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B1D26641-40CB-4BFF-BBCD-DEEBCC8C1B4F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L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<sst xmlns="http://schemas.openxmlformats.org/spreadsheetml/2006/main" count="247" uniqueCount="52">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</sst>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AGOSTO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JULIO_2026!$E$2:$AI$2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JULIO_2026!$E$19:$AI$19</c:f>
              <c:numCache>
                <c:formatCode>0.0</c:formatCode>
                <c:ptCount val="31"/>
                <c:pt idx="0">
                  <c:v>2.5</c:v>
                </c:pt>
                <c:pt idx="1">
                  <c:v>2.1</c:v>
                </c:pt>
                <c:pt idx="2">
                  <c:v>150.20000000000002</c:v>
                </c:pt>
                <c:pt idx="3">
                  <c:v>3</c:v>
                </c:pt>
                <c:pt idx="4">
                  <c:v>232.4</c:v>
                </c:pt>
                <c:pt idx="5">
                  <c:v>47.1</c:v>
                </c:pt>
                <c:pt idx="6">
                  <c:v>0</c:v>
                </c:pt>
                <c:pt idx="7">
                  <c:v>0</c:v>
                </c:pt>
                <c:pt idx="8">
                  <c:v>7.3</c:v>
                </c:pt>
                <c:pt idx="9">
                  <c:v>0</c:v>
                </c:pt>
                <c:pt idx="10">
                  <c:v>15.3</c:v>
                </c:pt>
                <c:pt idx="11">
                  <c:v>0</c:v>
                </c:pt>
                <c:pt idx="12">
                  <c:v>25.9</c:v>
                </c:pt>
                <c:pt idx="13">
                  <c:v>0</c:v>
                </c:pt>
                <c:pt idx="14">
                  <c:v>3.6</c:v>
                </c:pt>
                <c:pt idx="15">
                  <c:v>208.3</c:v>
                </c:pt>
                <c:pt idx="16">
                  <c:v>5</c:v>
                </c:pt>
                <c:pt idx="17">
                  <c:v>0</c:v>
                </c:pt>
                <c:pt idx="18">
                  <c:v>56.6</c:v>
                </c:pt>
                <c:pt idx="19">
                  <c:v>0</c:v>
                </c:pt>
                <c:pt idx="20">
                  <c:v>60</c:v>
                </c:pt>
                <c:pt idx="21">
                  <c:v>1.3</c:v>
                </c:pt>
                <c:pt idx="22">
                  <c:v>300.59999999999997</c:v>
                </c:pt>
                <c:pt idx="23">
                  <c:v>0</c:v>
                </c:pt>
                <c:pt idx="24">
                  <c:v>65.599999999999994</c:v>
                </c:pt>
                <c:pt idx="25">
                  <c:v>58.3</c:v>
                </c:pt>
                <c:pt idx="26">
                  <c:v>4.5</c:v>
                </c:pt>
                <c:pt idx="27">
                  <c:v>0</c:v>
                </c:pt>
                <c:pt idx="28">
                  <c:v>35.499999999999993</c:v>
                </c:pt>
                <c:pt idx="29">
                  <c:v>436.2</c:v>
                </c:pt>
                <c:pt idx="30">
                  <c:v>52.6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zoomScaleNormal="100" workbookViewId="0">
      <pane xSplit="4" ySplit="2" topLeftCell="J3" activePane="bottomRight" state="frozen"/>
      <selection pane="topRight" activeCell="E1" sqref="E1"/>
      <selection pane="bottomLeft" activeCell="A3" sqref="A3"/>
      <selection pane="bottomRight" activeCell="AL18" sqref="AL18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3" width="4.5703125" customWidth="1"/>
    <col min="34" max="34" width="5.5703125" bestFit="1" customWidth="1"/>
    <col min="35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0</v>
      </c>
      <c r="G3" s="25">
        <v>0</v>
      </c>
      <c r="H3" s="25">
        <v>0</v>
      </c>
      <c r="I3" s="25">
        <v>18.3</v>
      </c>
      <c r="J3" s="25">
        <v>4.5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13.1</v>
      </c>
      <c r="R3" s="25">
        <v>0</v>
      </c>
      <c r="S3" s="25">
        <v>0</v>
      </c>
      <c r="T3" s="25">
        <v>54.8</v>
      </c>
      <c r="U3" s="25">
        <v>0</v>
      </c>
      <c r="V3" s="25">
        <v>0</v>
      </c>
      <c r="W3" s="25">
        <v>0</v>
      </c>
      <c r="X3" s="25">
        <v>0</v>
      </c>
      <c r="Y3" s="25">
        <v>6.2</v>
      </c>
      <c r="Z3" s="25">
        <v>0.8</v>
      </c>
      <c r="AA3" s="25">
        <v>13.1</v>
      </c>
      <c r="AB3" s="25">
        <v>0</v>
      </c>
      <c r="AC3" s="25">
        <v>0</v>
      </c>
      <c r="AD3" s="25">
        <v>0</v>
      </c>
      <c r="AE3" s="25">
        <v>0</v>
      </c>
      <c r="AF3" s="25">
        <v>0</v>
      </c>
      <c r="AG3" s="25">
        <v>12.9</v>
      </c>
      <c r="AH3" s="25">
        <v>15.4</v>
      </c>
      <c r="AI3" s="34">
        <v>0.7</v>
      </c>
      <c r="AJ3" s="36">
        <f>SUM(E3:AI3)</f>
        <v>139.79999999999998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0</v>
      </c>
      <c r="G4" s="25">
        <v>0</v>
      </c>
      <c r="H4" s="25">
        <v>0</v>
      </c>
      <c r="I4" s="25">
        <v>35.4</v>
      </c>
      <c r="J4" s="25">
        <v>0</v>
      </c>
      <c r="K4" s="25">
        <v>0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</v>
      </c>
      <c r="S4" s="25">
        <v>0</v>
      </c>
      <c r="T4" s="25">
        <v>13.5</v>
      </c>
      <c r="U4" s="25">
        <v>2.5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53.5</v>
      </c>
      <c r="AB4" s="25">
        <v>0</v>
      </c>
      <c r="AC4" s="25"/>
      <c r="AD4" s="25">
        <v>7.4</v>
      </c>
      <c r="AE4" s="25">
        <v>0</v>
      </c>
      <c r="AF4" s="25">
        <v>0</v>
      </c>
      <c r="AG4" s="25">
        <v>2</v>
      </c>
      <c r="AH4" s="25">
        <v>102.6</v>
      </c>
      <c r="AI4" s="34">
        <v>9.1999999999999993</v>
      </c>
      <c r="AJ4" s="36">
        <f t="shared" ref="AJ4:AJ17" si="0">SUM(E4:AI4)</f>
        <v>226.1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1.5</v>
      </c>
      <c r="F5" s="24">
        <v>2.1</v>
      </c>
      <c r="G5" s="25">
        <v>16.399999999999999</v>
      </c>
      <c r="H5" s="25">
        <v>0</v>
      </c>
      <c r="I5" s="25">
        <v>41.5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8.3000000000000007</v>
      </c>
      <c r="P5" s="25">
        <v>0</v>
      </c>
      <c r="Q5" s="25">
        <v>0</v>
      </c>
      <c r="R5" s="25">
        <v>0</v>
      </c>
      <c r="S5" s="25">
        <v>2.6</v>
      </c>
      <c r="T5" s="25">
        <v>20.100000000000001</v>
      </c>
      <c r="U5" s="25">
        <v>0</v>
      </c>
      <c r="V5" s="25">
        <v>0</v>
      </c>
      <c r="W5" s="25">
        <v>32.1</v>
      </c>
      <c r="X5" s="25">
        <v>0</v>
      </c>
      <c r="Y5" s="25">
        <v>10.1</v>
      </c>
      <c r="Z5" s="25">
        <v>0</v>
      </c>
      <c r="AA5" s="25">
        <v>36</v>
      </c>
      <c r="AB5" s="25">
        <v>0</v>
      </c>
      <c r="AC5" s="25">
        <v>0</v>
      </c>
      <c r="AD5" s="25">
        <v>1.7</v>
      </c>
      <c r="AE5" s="25">
        <v>0</v>
      </c>
      <c r="AF5" s="25">
        <v>0</v>
      </c>
      <c r="AG5" s="25">
        <v>19</v>
      </c>
      <c r="AH5" s="25">
        <v>98.4</v>
      </c>
      <c r="AI5" s="34">
        <v>0</v>
      </c>
      <c r="AJ5" s="36">
        <f t="shared" si="0"/>
        <v>289.79999999999995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0</v>
      </c>
      <c r="G6" s="25">
        <v>34.5</v>
      </c>
      <c r="H6" s="25">
        <v>3</v>
      </c>
      <c r="I6" s="25">
        <v>8</v>
      </c>
      <c r="J6" s="25">
        <v>0</v>
      </c>
      <c r="K6" s="25">
        <v>0</v>
      </c>
      <c r="L6" s="25">
        <v>0</v>
      </c>
      <c r="M6" s="25">
        <v>7.3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0</v>
      </c>
      <c r="T6" s="25">
        <v>23</v>
      </c>
      <c r="U6" s="25">
        <v>1.5</v>
      </c>
      <c r="V6" s="25">
        <v>0</v>
      </c>
      <c r="W6" s="25">
        <v>11.5</v>
      </c>
      <c r="X6" s="25">
        <v>0</v>
      </c>
      <c r="Y6" s="25">
        <v>3</v>
      </c>
      <c r="Z6" s="25">
        <v>0</v>
      </c>
      <c r="AA6" s="25">
        <v>28</v>
      </c>
      <c r="AB6" s="25">
        <v>0</v>
      </c>
      <c r="AC6" s="25">
        <v>0</v>
      </c>
      <c r="AD6" s="25">
        <v>4.5</v>
      </c>
      <c r="AE6" s="25">
        <v>4.5</v>
      </c>
      <c r="AF6" s="25">
        <v>0</v>
      </c>
      <c r="AG6" s="25">
        <v>0</v>
      </c>
      <c r="AH6" s="25">
        <v>33</v>
      </c>
      <c r="AI6" s="34">
        <v>33.5</v>
      </c>
      <c r="AJ6" s="36">
        <f t="shared" si="0"/>
        <v>195.3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1</v>
      </c>
      <c r="F9" s="24">
        <v>0</v>
      </c>
      <c r="G9" s="25">
        <v>28</v>
      </c>
      <c r="H9" s="25">
        <v>0</v>
      </c>
      <c r="I9" s="25">
        <v>0</v>
      </c>
      <c r="J9" s="25">
        <v>1</v>
      </c>
      <c r="K9" s="25">
        <v>0</v>
      </c>
      <c r="L9" s="25">
        <v>0</v>
      </c>
      <c r="M9" s="25">
        <v>0</v>
      </c>
      <c r="N9" s="25">
        <v>0</v>
      </c>
      <c r="O9" s="25">
        <v>7</v>
      </c>
      <c r="P9" s="25">
        <v>0</v>
      </c>
      <c r="Q9" s="25">
        <v>0</v>
      </c>
      <c r="R9" s="25">
        <v>0</v>
      </c>
      <c r="S9" s="25">
        <v>1</v>
      </c>
      <c r="T9" s="25">
        <v>19</v>
      </c>
      <c r="U9" s="25">
        <v>0</v>
      </c>
      <c r="V9" s="25">
        <v>0</v>
      </c>
      <c r="W9" s="25">
        <v>13</v>
      </c>
      <c r="X9" s="25">
        <v>0</v>
      </c>
      <c r="Y9" s="25">
        <v>25</v>
      </c>
      <c r="Z9" s="25">
        <v>0</v>
      </c>
      <c r="AA9" s="25">
        <v>66</v>
      </c>
      <c r="AB9" s="25">
        <v>0</v>
      </c>
      <c r="AC9" s="25">
        <v>16</v>
      </c>
      <c r="AD9" s="25">
        <v>0</v>
      </c>
      <c r="AE9" s="25">
        <v>0</v>
      </c>
      <c r="AF9" s="25">
        <v>0</v>
      </c>
      <c r="AG9" s="25">
        <v>0</v>
      </c>
      <c r="AH9" s="25">
        <v>35</v>
      </c>
      <c r="AI9" s="34">
        <v>0</v>
      </c>
      <c r="AJ9" s="36">
        <f t="shared" si="0"/>
        <v>212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0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0</v>
      </c>
      <c r="G11" s="25">
        <v>3.2</v>
      </c>
      <c r="H11" s="25">
        <v>0</v>
      </c>
      <c r="I11" s="25">
        <v>12</v>
      </c>
      <c r="J11" s="25">
        <v>1.4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/>
      <c r="R11" s="25">
        <v>0</v>
      </c>
      <c r="S11" s="25">
        <v>0</v>
      </c>
      <c r="T11" s="25">
        <v>20.5</v>
      </c>
      <c r="U11" s="25">
        <v>0</v>
      </c>
      <c r="V11" s="25">
        <v>0</v>
      </c>
      <c r="W11" s="25">
        <v>0</v>
      </c>
      <c r="X11" s="25">
        <v>0</v>
      </c>
      <c r="Y11" s="25">
        <v>3</v>
      </c>
      <c r="Z11" s="25">
        <v>0</v>
      </c>
      <c r="AA11" s="25">
        <v>16.2</v>
      </c>
      <c r="AB11" s="25">
        <v>0</v>
      </c>
      <c r="AC11" s="25">
        <v>6.6</v>
      </c>
      <c r="AD11" s="25">
        <v>1.2</v>
      </c>
      <c r="AE11" s="25">
        <v>0</v>
      </c>
      <c r="AF11" s="25"/>
      <c r="AG11" s="25">
        <v>0</v>
      </c>
      <c r="AH11" s="25">
        <v>50</v>
      </c>
      <c r="AI11" s="34">
        <v>0.5</v>
      </c>
      <c r="AJ11" s="36">
        <f t="shared" si="0"/>
        <v>114.6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0</v>
      </c>
      <c r="G12" s="25">
        <v>0</v>
      </c>
      <c r="H12" s="25">
        <v>0</v>
      </c>
      <c r="I12" s="25">
        <v>57.8</v>
      </c>
      <c r="J12" s="25">
        <v>6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1.8</v>
      </c>
      <c r="R12" s="25">
        <v>0</v>
      </c>
      <c r="S12" s="25">
        <v>0</v>
      </c>
      <c r="T12" s="25">
        <v>7.3</v>
      </c>
      <c r="U12" s="25">
        <v>1</v>
      </c>
      <c r="V12" s="25">
        <v>0</v>
      </c>
      <c r="W12" s="25">
        <v>0</v>
      </c>
      <c r="X12" s="25">
        <v>0</v>
      </c>
      <c r="Y12" s="25">
        <v>1.2</v>
      </c>
      <c r="Z12" s="25">
        <v>0.5</v>
      </c>
      <c r="AA12" s="25">
        <v>26.6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>
        <v>0.8</v>
      </c>
      <c r="AH12" s="25">
        <v>41</v>
      </c>
      <c r="AI12" s="34">
        <v>1.2</v>
      </c>
      <c r="AJ12" s="36">
        <f t="shared" si="0"/>
        <v>145.19999999999999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0</v>
      </c>
      <c r="G13" s="25">
        <v>0</v>
      </c>
      <c r="H13" s="25">
        <v>0</v>
      </c>
      <c r="I13" s="25">
        <v>3</v>
      </c>
      <c r="J13" s="25">
        <v>2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26</v>
      </c>
      <c r="U13" s="25">
        <v>0</v>
      </c>
      <c r="V13" s="25">
        <v>0</v>
      </c>
      <c r="W13" s="25">
        <v>0</v>
      </c>
      <c r="X13" s="25">
        <v>0</v>
      </c>
      <c r="Y13" s="25">
        <v>6</v>
      </c>
      <c r="Z13" s="25">
        <v>0</v>
      </c>
      <c r="AA13" s="25">
        <v>13</v>
      </c>
      <c r="AB13" s="25">
        <v>0</v>
      </c>
      <c r="AC13" s="25">
        <v>27</v>
      </c>
      <c r="AD13" s="25">
        <v>0</v>
      </c>
      <c r="AE13" s="25">
        <v>0</v>
      </c>
      <c r="AF13" s="25">
        <v>0</v>
      </c>
      <c r="AG13" s="25">
        <v>0</v>
      </c>
      <c r="AH13" s="25">
        <v>17</v>
      </c>
      <c r="AI13" s="34">
        <v>0</v>
      </c>
      <c r="AJ13" s="36">
        <f t="shared" si="0"/>
        <v>94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49.5</v>
      </c>
      <c r="H14" s="25">
        <v>0</v>
      </c>
      <c r="I14" s="25">
        <v>56.4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11</v>
      </c>
      <c r="R14" s="25">
        <v>0</v>
      </c>
      <c r="S14" s="25">
        <v>0</v>
      </c>
      <c r="T14" s="25">
        <v>9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22.4</v>
      </c>
      <c r="AB14" s="25">
        <v>0</v>
      </c>
      <c r="AC14" s="25">
        <v>0</v>
      </c>
      <c r="AD14" s="25">
        <v>32.1</v>
      </c>
      <c r="AE14" s="25">
        <v>0</v>
      </c>
      <c r="AF14" s="25">
        <v>0</v>
      </c>
      <c r="AG14" s="25">
        <v>0</v>
      </c>
      <c r="AH14" s="25">
        <v>25.3</v>
      </c>
      <c r="AI14" s="34">
        <v>0</v>
      </c>
      <c r="AJ14" s="36">
        <f>SUM(E14:AI14)</f>
        <v>206.70000000000002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0</v>
      </c>
      <c r="G15" s="25">
        <v>18.600000000000001</v>
      </c>
      <c r="H15" s="25">
        <v>0</v>
      </c>
      <c r="I15" s="25"/>
      <c r="J15" s="25">
        <v>31.2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15.1</v>
      </c>
      <c r="U15" s="25">
        <v>0</v>
      </c>
      <c r="V15" s="25">
        <v>0</v>
      </c>
      <c r="W15" s="25">
        <v>0</v>
      </c>
      <c r="X15" s="25">
        <v>0</v>
      </c>
      <c r="Y15" s="25">
        <v>5.5</v>
      </c>
      <c r="Z15" s="25">
        <v>0</v>
      </c>
      <c r="AA15" s="25">
        <v>25.8</v>
      </c>
      <c r="AB15" s="25">
        <v>0</v>
      </c>
      <c r="AC15" s="25">
        <v>16</v>
      </c>
      <c r="AD15" s="25">
        <v>11.4</v>
      </c>
      <c r="AE15" s="25">
        <v>0</v>
      </c>
      <c r="AF15" s="25">
        <v>0</v>
      </c>
      <c r="AG15" s="25">
        <v>0.8</v>
      </c>
      <c r="AH15" s="25">
        <v>18.5</v>
      </c>
      <c r="AI15" s="34">
        <v>7.5</v>
      </c>
      <c r="AJ15" s="36">
        <f t="shared" si="0"/>
        <v>150.39999999999998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2.5</v>
      </c>
      <c r="F19" s="26">
        <f t="shared" ref="F19:AI19" si="1">IF(COUNT(F3:F17)&gt;0,SUM(F3:F17),-1)</f>
        <v>2.1</v>
      </c>
      <c r="G19" s="26">
        <f t="shared" si="1"/>
        <v>150.20000000000002</v>
      </c>
      <c r="H19" s="26">
        <f t="shared" si="1"/>
        <v>3</v>
      </c>
      <c r="I19" s="26">
        <f t="shared" si="1"/>
        <v>232.4</v>
      </c>
      <c r="J19" s="26">
        <f t="shared" si="1"/>
        <v>47.1</v>
      </c>
      <c r="K19" s="26">
        <f t="shared" si="1"/>
        <v>0</v>
      </c>
      <c r="L19" s="26">
        <f t="shared" si="1"/>
        <v>0</v>
      </c>
      <c r="M19" s="26">
        <f t="shared" si="1"/>
        <v>7.3</v>
      </c>
      <c r="N19" s="26">
        <f t="shared" si="1"/>
        <v>0</v>
      </c>
      <c r="O19" s="26">
        <f t="shared" si="1"/>
        <v>15.3</v>
      </c>
      <c r="P19" s="26">
        <f t="shared" si="1"/>
        <v>0</v>
      </c>
      <c r="Q19" s="26">
        <f t="shared" si="1"/>
        <v>25.9</v>
      </c>
      <c r="R19" s="26">
        <f t="shared" si="1"/>
        <v>0</v>
      </c>
      <c r="S19" s="26">
        <f t="shared" si="1"/>
        <v>3.6</v>
      </c>
      <c r="T19" s="26">
        <f t="shared" si="1"/>
        <v>208.3</v>
      </c>
      <c r="U19" s="26">
        <f t="shared" si="1"/>
        <v>5</v>
      </c>
      <c r="V19" s="26">
        <f t="shared" si="1"/>
        <v>0</v>
      </c>
      <c r="W19" s="26">
        <f t="shared" si="1"/>
        <v>56.6</v>
      </c>
      <c r="X19" s="26">
        <f t="shared" si="1"/>
        <v>0</v>
      </c>
      <c r="Y19" s="26">
        <f t="shared" si="1"/>
        <v>60</v>
      </c>
      <c r="Z19" s="26">
        <f t="shared" si="1"/>
        <v>1.3</v>
      </c>
      <c r="AA19" s="26">
        <f t="shared" si="1"/>
        <v>300.59999999999997</v>
      </c>
      <c r="AB19" s="26">
        <f t="shared" si="1"/>
        <v>0</v>
      </c>
      <c r="AC19" s="26">
        <f t="shared" si="1"/>
        <v>65.599999999999994</v>
      </c>
      <c r="AD19" s="26">
        <f t="shared" si="1"/>
        <v>58.3</v>
      </c>
      <c r="AE19" s="26">
        <f t="shared" si="1"/>
        <v>4.5</v>
      </c>
      <c r="AF19" s="26">
        <f t="shared" si="1"/>
        <v>0</v>
      </c>
      <c r="AG19" s="26">
        <f t="shared" si="1"/>
        <v>35.499999999999993</v>
      </c>
      <c r="AH19" s="26">
        <f t="shared" si="1"/>
        <v>436.2</v>
      </c>
      <c r="AI19" s="26">
        <f t="shared" si="1"/>
        <v>52.6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JULIO_2026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Servicio Operacional De Pronósticos Y Alertas - Ospa</cp:lastModifiedBy>
  <dcterms:created xsi:type="dcterms:W3CDTF">2026-02-07T12:28:54Z</dcterms:created>
  <dcterms:modified xsi:type="dcterms:W3CDTF">2026-09-01T15:47:41Z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