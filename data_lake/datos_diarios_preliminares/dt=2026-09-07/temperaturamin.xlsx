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C38DA19-65C4-4F3F-AE52-56F0B473E6E9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Temperatura!$A$4:$AW$208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W206" i="1" s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S204" i="1" s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S166" i="1" s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S158" i="1" s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W156" i="1" s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W146" i="1" s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W132" i="1" s="1"/>
  <c r="AR132" i="1"/>
  <c r="AS132" i="1" s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S128" i="1" s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W124" i="1" s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/>
  <c r="AU120" i="1" a="1"/>
  <c r="AU120" i="1" s="1"/>
  <c r="AT120" i="1"/>
  <c r="AR120" i="1"/>
  <c r="AP120" i="1"/>
  <c r="AQ120" i="1" s="1"/>
  <c r="AV119" i="1" a="1"/>
  <c r="AV119" i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/>
  <c r="AU106" i="1" a="1"/>
  <c r="AU106" i="1" s="1"/>
  <c r="AT106" i="1"/>
  <c r="AR106" i="1"/>
  <c r="AS106" i="1" s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W100" i="1" s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W82" i="1" s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W80" i="1" s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W74" i="1" s="1"/>
  <c r="AR74" i="1"/>
  <c r="AP74" i="1"/>
  <c r="AQ74" i="1" s="1"/>
  <c r="AV73" i="1" a="1"/>
  <c r="AV73" i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S72" i="1" s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W56" i="1" s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/>
  <c r="AT41" i="1"/>
  <c r="AW41" i="1" s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W37" i="1" s="1"/>
  <c r="AT37" i="1"/>
  <c r="AR37" i="1"/>
  <c r="AP37" i="1"/>
  <c r="AQ37" i="1" s="1"/>
  <c r="AV36" i="1" a="1"/>
  <c r="AV36" i="1"/>
  <c r="AU36" i="1" a="1"/>
  <c r="AU36" i="1"/>
  <c r="AW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W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W24" i="1" s="1"/>
  <c r="AT24" i="1"/>
  <c r="AR24" i="1"/>
  <c r="AP24" i="1"/>
  <c r="AQ24" i="1" s="1"/>
  <c r="AS24" i="1" s="1"/>
  <c r="AV23" i="1" a="1"/>
  <c r="AV23" i="1"/>
  <c r="AU23" i="1" a="1"/>
  <c r="AU23" i="1" s="1"/>
  <c r="AT23" i="1"/>
  <c r="AR23" i="1"/>
  <c r="AP23" i="1"/>
  <c r="AQ23" i="1" s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/>
  <c r="AU18" i="1" a="1"/>
  <c r="AU18" i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/>
  <c r="AU7" i="1" a="1"/>
  <c r="AU7" i="1" s="1"/>
  <c r="AT7" i="1"/>
  <c r="AR7" i="1"/>
  <c r="AP7" i="1"/>
  <c r="AQ7" i="1" s="1"/>
  <c r="AS7" i="1" s="1"/>
  <c r="AV6" i="1" a="1"/>
  <c r="AV6" i="1"/>
  <c r="AU6" i="1" a="1"/>
  <c r="AU6" i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72" i="1" l="1"/>
  <c r="AS76" i="1"/>
  <c r="AS88" i="1"/>
  <c r="AW134" i="1"/>
  <c r="AS28" i="1"/>
  <c r="AS182" i="1"/>
  <c r="AS11" i="1"/>
  <c r="AS116" i="1"/>
  <c r="AW194" i="1"/>
  <c r="AS58" i="1"/>
  <c r="AS97" i="1"/>
  <c r="AS101" i="1"/>
  <c r="AS120" i="1"/>
  <c r="AW62" i="1"/>
  <c r="AS191" i="1"/>
  <c r="AS82" i="1"/>
  <c r="AS19" i="1"/>
  <c r="AS160" i="1"/>
  <c r="AS168" i="1"/>
  <c r="AS172" i="1"/>
  <c r="AS9" i="1"/>
  <c r="AS44" i="1"/>
  <c r="AS133" i="1"/>
  <c r="AW172" i="1"/>
  <c r="AS192" i="1"/>
  <c r="AS200" i="1"/>
  <c r="AW176" i="1"/>
  <c r="AS6" i="1"/>
  <c r="AS13" i="1"/>
  <c r="AS48" i="1"/>
  <c r="AS52" i="1"/>
  <c r="AS114" i="1"/>
  <c r="AS157" i="1"/>
  <c r="AS161" i="1"/>
  <c r="AS56" i="1"/>
  <c r="AS99" i="1"/>
  <c r="AS185" i="1"/>
  <c r="AS46" i="1"/>
  <c r="AW33" i="1"/>
  <c r="AW21" i="1"/>
  <c r="AW34" i="1"/>
  <c r="AS66" i="1"/>
  <c r="AS41" i="1"/>
  <c r="AS70" i="1"/>
  <c r="AS81" i="1"/>
  <c r="AS92" i="1"/>
  <c r="AS96" i="1"/>
  <c r="AS122" i="1"/>
  <c r="AS126" i="1"/>
  <c r="AS145" i="1"/>
  <c r="AS179" i="1"/>
  <c r="AS190" i="1"/>
  <c r="AW31" i="1"/>
  <c r="AS25" i="1"/>
  <c r="AS38" i="1"/>
  <c r="AS74" i="1"/>
  <c r="AS107" i="1"/>
  <c r="AS153" i="1"/>
  <c r="AW96" i="1"/>
  <c r="AS111" i="1"/>
  <c r="AS119" i="1"/>
  <c r="AW126" i="1"/>
  <c r="AS134" i="1"/>
  <c r="AW164" i="1"/>
  <c r="AS198" i="1"/>
  <c r="AS45" i="1"/>
  <c r="AS67" i="1"/>
  <c r="AS142" i="1"/>
  <c r="AW198" i="1"/>
  <c r="AS206" i="1"/>
  <c r="AW138" i="1"/>
  <c r="AW142" i="1"/>
  <c r="AS146" i="1"/>
  <c r="AS60" i="1"/>
  <c r="AS108" i="1"/>
  <c r="AS150" i="1"/>
  <c r="AS23" i="1"/>
  <c r="AS36" i="1"/>
  <c r="AS39" i="1"/>
  <c r="AS53" i="1"/>
  <c r="AS64" i="1"/>
  <c r="AW86" i="1"/>
  <c r="AS112" i="1"/>
  <c r="AS162" i="1"/>
  <c r="AS169" i="1"/>
  <c r="AW180" i="1"/>
  <c r="AS184" i="1"/>
  <c r="AS8" i="1"/>
  <c r="AS143" i="1"/>
  <c r="AS173" i="1"/>
  <c r="AS203" i="1"/>
  <c r="AS20" i="1"/>
  <c r="AS33" i="1"/>
  <c r="AS83" i="1"/>
  <c r="AW90" i="1"/>
  <c r="AW158" i="1"/>
  <c r="AS177" i="1"/>
  <c r="AS147" i="1"/>
  <c r="AS196" i="1"/>
  <c r="AS98" i="1"/>
  <c r="AS50" i="1"/>
  <c r="AS102" i="1"/>
  <c r="AS136" i="1"/>
  <c r="AS91" i="1"/>
  <c r="AS121" i="1"/>
  <c r="AW136" i="1"/>
  <c r="AS140" i="1"/>
  <c r="AS170" i="1"/>
  <c r="AS73" i="1"/>
  <c r="AS129" i="1"/>
  <c r="AS178" i="1"/>
  <c r="AW189" i="1"/>
  <c r="AW8" i="1"/>
  <c r="AS21" i="1"/>
  <c r="AS34" i="1"/>
  <c r="AW40" i="1"/>
  <c r="AS47" i="1"/>
  <c r="AS148" i="1"/>
  <c r="AW30" i="1"/>
  <c r="AS18" i="1"/>
  <c r="AS31" i="1"/>
  <c r="AS110" i="1"/>
  <c r="AS167" i="1"/>
  <c r="AW174" i="1"/>
  <c r="AS186" i="1"/>
  <c r="AS197" i="1"/>
  <c r="AS103" i="1"/>
  <c r="AW110" i="1"/>
  <c r="AS118" i="1"/>
  <c r="AS141" i="1"/>
  <c r="AW148" i="1"/>
  <c r="AW152" i="1"/>
  <c r="AS156" i="1"/>
  <c r="AS171" i="1"/>
  <c r="AW182" i="1"/>
  <c r="AS201" i="1"/>
  <c r="AS78" i="1"/>
  <c r="AW92" i="1"/>
  <c r="AS130" i="1"/>
  <c r="AW140" i="1"/>
  <c r="AS154" i="1"/>
  <c r="AS175" i="1"/>
  <c r="AW188" i="1"/>
  <c r="AS75" i="1"/>
  <c r="AW78" i="1"/>
  <c r="AS89" i="1"/>
  <c r="AW116" i="1"/>
  <c r="AW130" i="1"/>
  <c r="AS137" i="1"/>
  <c r="AS144" i="1"/>
  <c r="AS151" i="1"/>
  <c r="AW154" i="1"/>
  <c r="AW178" i="1"/>
  <c r="AW9" i="1"/>
  <c r="AW12" i="1"/>
  <c r="AW32" i="1"/>
  <c r="AW15" i="1"/>
  <c r="AW18" i="1"/>
  <c r="AW35" i="1"/>
  <c r="AW38" i="1"/>
  <c r="AS165" i="1"/>
  <c r="AS199" i="1"/>
  <c r="AW23" i="1"/>
  <c r="AW26" i="1"/>
  <c r="AW29" i="1"/>
  <c r="AS10" i="1"/>
  <c r="AS30" i="1"/>
  <c r="AW47" i="1"/>
  <c r="AS68" i="1"/>
  <c r="AW106" i="1"/>
  <c r="AW120" i="1"/>
  <c r="AS127" i="1"/>
  <c r="AW168" i="1"/>
  <c r="AS189" i="1"/>
  <c r="AW192" i="1"/>
  <c r="AW68" i="1"/>
  <c r="AS79" i="1"/>
  <c r="AS93" i="1"/>
  <c r="AS124" i="1"/>
  <c r="AS155" i="1"/>
  <c r="AW199" i="1"/>
  <c r="AS65" i="1"/>
  <c r="AS100" i="1"/>
  <c r="AW179" i="1"/>
  <c r="AS42" i="1"/>
  <c r="AW58" i="1"/>
  <c r="AS62" i="1"/>
  <c r="AS69" i="1"/>
  <c r="AW162" i="1"/>
  <c r="AS193" i="1"/>
  <c r="AW196" i="1"/>
  <c r="AS90" i="1"/>
  <c r="AS104" i="1"/>
  <c r="AW114" i="1"/>
  <c r="AS135" i="1"/>
  <c r="AS159" i="1"/>
  <c r="AS183" i="1"/>
  <c r="AW186" i="1"/>
  <c r="AS207" i="1"/>
  <c r="AW16" i="1"/>
  <c r="AW42" i="1"/>
  <c r="AS59" i="1"/>
  <c r="AW76" i="1"/>
  <c r="AS80" i="1"/>
  <c r="AS94" i="1"/>
  <c r="AW104" i="1"/>
  <c r="AS125" i="1"/>
  <c r="AW128" i="1"/>
  <c r="AS149" i="1"/>
  <c r="AW207" i="1"/>
  <c r="AS163" i="1"/>
  <c r="AW166" i="1"/>
  <c r="AW11" i="1"/>
  <c r="AW14" i="1"/>
  <c r="AW43" i="1"/>
  <c r="AW17" i="1"/>
  <c r="AW20" i="1"/>
  <c r="AP2" i="1"/>
  <c r="AS12" i="1"/>
  <c r="AW6" i="1"/>
  <c r="AW7" i="1"/>
  <c r="AW10" i="1"/>
  <c r="AW27" i="1"/>
  <c r="AW13" i="1"/>
  <c r="AW19" i="1"/>
  <c r="AW22" i="1"/>
  <c r="AW39" i="1"/>
  <c r="AW5" i="1"/>
  <c r="AW25" i="1"/>
  <c r="AS84" i="1"/>
  <c r="AW94" i="1"/>
  <c r="AS115" i="1"/>
  <c r="AW118" i="1"/>
  <c r="AS139" i="1"/>
  <c r="AS180" i="1"/>
  <c r="AS187" i="1"/>
  <c r="AW190" i="1"/>
  <c r="AW200" i="1"/>
  <c r="AS37" i="1"/>
  <c r="AS40" i="1"/>
  <c r="AS43" i="1"/>
  <c r="AS49" i="1"/>
  <c r="AS63" i="1"/>
  <c r="AW66" i="1"/>
  <c r="AW70" i="1"/>
  <c r="AS77" i="1"/>
  <c r="AW84" i="1"/>
  <c r="AS105" i="1"/>
  <c r="AW108" i="1"/>
  <c r="AW122" i="1"/>
  <c r="AW170" i="1"/>
  <c r="AS194" i="1"/>
  <c r="AW204" i="1"/>
  <c r="AW46" i="1"/>
  <c r="AS95" i="1"/>
  <c r="AW98" i="1"/>
  <c r="AW112" i="1"/>
  <c r="AW160" i="1"/>
  <c r="AS174" i="1"/>
  <c r="AS181" i="1"/>
  <c r="AW184" i="1"/>
  <c r="AW60" i="1"/>
  <c r="AS71" i="1"/>
  <c r="AS85" i="1"/>
  <c r="AW88" i="1"/>
  <c r="AW102" i="1"/>
  <c r="AS123" i="1"/>
  <c r="AW150" i="1"/>
  <c r="AS164" i="1"/>
  <c r="AS195" i="1"/>
  <c r="AW48" i="1"/>
  <c r="AW53" i="1"/>
  <c r="AW63" i="1"/>
  <c r="AW71" i="1"/>
  <c r="AW81" i="1"/>
  <c r="AW111" i="1"/>
  <c r="AW121" i="1"/>
  <c r="AW131" i="1"/>
  <c r="AW141" i="1"/>
  <c r="AW151" i="1"/>
  <c r="AW161" i="1"/>
  <c r="AW171" i="1"/>
  <c r="AW181" i="1"/>
  <c r="AW191" i="1"/>
  <c r="AW201" i="1"/>
  <c r="AW51" i="1"/>
  <c r="AW61" i="1"/>
  <c r="AW91" i="1"/>
  <c r="AW101" i="1"/>
  <c r="AW44" i="1"/>
  <c r="AW49" i="1"/>
  <c r="AW54" i="1"/>
  <c r="AW59" i="1"/>
  <c r="AW64" i="1"/>
  <c r="AW69" i="1"/>
  <c r="AW79" i="1"/>
  <c r="AW89" i="1"/>
  <c r="AW99" i="1"/>
  <c r="AW109" i="1"/>
  <c r="AW119" i="1"/>
  <c r="AW129" i="1"/>
  <c r="AW139" i="1"/>
  <c r="AW149" i="1"/>
  <c r="AW159" i="1"/>
  <c r="AW169" i="1"/>
  <c r="AW52" i="1"/>
  <c r="AW57" i="1"/>
  <c r="AW67" i="1"/>
  <c r="AW77" i="1"/>
  <c r="AW87" i="1"/>
  <c r="AW97" i="1"/>
  <c r="AW107" i="1"/>
  <c r="AW117" i="1"/>
  <c r="AW127" i="1"/>
  <c r="AW137" i="1"/>
  <c r="AW147" i="1"/>
  <c r="AW157" i="1"/>
  <c r="AW167" i="1"/>
  <c r="AW177" i="1"/>
  <c r="AW187" i="1"/>
  <c r="AW197" i="1"/>
  <c r="AW202" i="1"/>
  <c r="AW45" i="1"/>
  <c r="AW50" i="1"/>
  <c r="AW55" i="1"/>
  <c r="AW65" i="1"/>
  <c r="AW75" i="1"/>
  <c r="AW85" i="1"/>
  <c r="AW95" i="1"/>
  <c r="AW105" i="1"/>
  <c r="AW115" i="1"/>
  <c r="AW125" i="1"/>
  <c r="AW135" i="1"/>
  <c r="AW145" i="1"/>
  <c r="AW155" i="1"/>
  <c r="AW165" i="1"/>
  <c r="AW175" i="1"/>
  <c r="AW185" i="1"/>
  <c r="AW195" i="1"/>
  <c r="AW205" i="1"/>
  <c r="AS208" i="1"/>
  <c r="AW208" i="1"/>
  <c r="AW73" i="1"/>
  <c r="AW83" i="1"/>
  <c r="AW93" i="1"/>
  <c r="AW103" i="1"/>
  <c r="AW113" i="1"/>
  <c r="AW123" i="1"/>
  <c r="AW133" i="1"/>
  <c r="AW143" i="1"/>
  <c r="AW153" i="1"/>
  <c r="AW163" i="1"/>
  <c r="AW173" i="1"/>
  <c r="AW183" i="1"/>
  <c r="AW193" i="1"/>
  <c r="AW203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<sst xmlns="http://schemas.openxmlformats.org/spreadsheetml/2006/main" count="3543" uniqueCount="1271">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</sst>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7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D74" zoomScale="80" zoomScaleNormal="80" workbookViewId="0">
      <selection activeCell="AW114" sqref="J114:AW114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76" width="32.42578125" style="74" customWidth="1"/>
    <col min="177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MIN(K5:K208)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116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6</v>
      </c>
      <c r="AQ5" s="89" t="str">
        <f t="shared" ref="AQ5:AQ68" si="2">IF(AP5&gt;14,AVERAGE(K5:AO5),"")</f>
        <v/>
      </c>
      <c r="AR5" s="89">
        <f>IFERROR(VLOOKUP(A5,Climatologia!A:U,9+$E$2,FALSE),"")</f>
        <v>26.01813723632689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26.5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5.3000000000000007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6</v>
      </c>
      <c r="AQ6" s="89" t="str">
        <f t="shared" si="2"/>
        <v/>
      </c>
      <c r="AR6" s="89">
        <f>IFERROR(VLOOKUP(A6,Climatologia!A:U,9+$E$2,FALSE),"")</f>
        <v>25.709567576944131</v>
      </c>
      <c r="AS6" s="89" t="str">
        <f t="shared" si="3"/>
        <v/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6</v>
      </c>
      <c r="AQ7" s="89" t="str">
        <f t="shared" si="2"/>
        <v/>
      </c>
      <c r="AR7" s="89">
        <f>IFERROR(VLOOKUP(A7,Climatologia!A:U,9+$E$2,FALSE),"")</f>
        <v>24.686654351395731</v>
      </c>
      <c r="AS7" s="89" t="str">
        <f t="shared" si="3"/>
        <v/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/>
      <c r="R8" s="51"/>
      <c r="S8" s="51"/>
      <c r="T8" s="51"/>
      <c r="U8" s="51"/>
      <c r="V8" s="51"/>
      <c r="W8" s="51"/>
      <c r="X8" s="51"/>
      <c r="Y8" s="51"/>
      <c r="Z8" s="111"/>
      <c r="AA8" s="116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6</v>
      </c>
      <c r="AQ8" s="89" t="str">
        <f t="shared" si="2"/>
        <v/>
      </c>
      <c r="AR8" s="89">
        <f>IFERROR(VLOOKUP(A8,Climatologia!A:U,9+$E$2,FALSE),"")</f>
        <v>25.822663111099491</v>
      </c>
      <c r="AS8" s="89" t="str">
        <f t="shared" si="3"/>
        <v/>
      </c>
      <c r="AT8" s="90">
        <f t="shared" si="4"/>
        <v>26.3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4.6999999999999993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6</v>
      </c>
      <c r="AQ9" s="89" t="str">
        <f t="shared" si="2"/>
        <v/>
      </c>
      <c r="AR9" s="89">
        <f>IFERROR(VLOOKUP(A9,Climatologia!A:U,9+$E$2,FALSE),"")</f>
        <v>24.328670251361899</v>
      </c>
      <c r="AS9" s="89" t="str">
        <f t="shared" si="3"/>
        <v/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6</v>
      </c>
      <c r="AQ10" s="89" t="str">
        <f t="shared" si="2"/>
        <v/>
      </c>
      <c r="AR10" s="89">
        <f>IFERROR(VLOOKUP(A10,Climatologia!A:U,9+$E$2,FALSE),"")</f>
        <v>24.807709685406738</v>
      </c>
      <c r="AS10" s="89" t="str">
        <f t="shared" si="3"/>
        <v/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6</v>
      </c>
      <c r="AQ11" s="89" t="str">
        <f t="shared" si="2"/>
        <v/>
      </c>
      <c r="AR11" s="89">
        <f>IFERROR(VLOOKUP(A11,Climatologia!A:U,9+$E$2,FALSE),"")</f>
        <v>23.800122349539521</v>
      </c>
      <c r="AS11" s="89" t="str">
        <f t="shared" si="3"/>
        <v/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116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6</v>
      </c>
      <c r="AQ12" s="89" t="str">
        <f t="shared" si="2"/>
        <v/>
      </c>
      <c r="AR12" s="89">
        <f>IFERROR(VLOOKUP(A12,Climatologia!A:U,9+$E$2,FALSE),"")</f>
        <v>23.168302150308641</v>
      </c>
      <c r="AS12" s="89" t="str">
        <f t="shared" si="3"/>
        <v/>
      </c>
      <c r="AT12" s="90">
        <f t="shared" si="4"/>
        <v>24.1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4.3000000000000007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6</v>
      </c>
      <c r="AQ13" s="89" t="str">
        <f t="shared" si="2"/>
        <v/>
      </c>
      <c r="AR13" s="89">
        <f>IFERROR(VLOOKUP(A13,Climatologia!A:U,9+$E$2,FALSE),"")</f>
        <v>23.052718375560229</v>
      </c>
      <c r="AS13" s="89" t="str">
        <f t="shared" si="3"/>
        <v/>
      </c>
      <c r="AT13" s="90">
        <f t="shared" si="4"/>
        <v>24.2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4.1999999999999993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6</v>
      </c>
      <c r="AQ14" s="89" t="str">
        <f t="shared" si="2"/>
        <v/>
      </c>
      <c r="AR14" s="89">
        <f>IFERROR(VLOOKUP(A14,Climatologia!A:U,9+$E$2,FALSE),"")</f>
        <v>18.375069904788941</v>
      </c>
      <c r="AS14" s="89" t="str">
        <f t="shared" si="3"/>
        <v/>
      </c>
      <c r="AT14" s="90">
        <f t="shared" si="4"/>
        <v>18.8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3.2000000000000011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6</v>
      </c>
      <c r="AQ15" s="89" t="str">
        <f t="shared" si="2"/>
        <v/>
      </c>
      <c r="AR15" s="89">
        <f>IFERROR(VLOOKUP(A15,Climatologia!A:U,9+$E$2,FALSE),"")</f>
        <v>23.532452107279699</v>
      </c>
      <c r="AS15" s="89" t="str">
        <f t="shared" si="3"/>
        <v/>
      </c>
      <c r="AT15" s="90">
        <f t="shared" si="4"/>
        <v>23.8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5.1999999999999993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6</v>
      </c>
      <c r="AQ16" s="89" t="str">
        <f t="shared" si="2"/>
        <v/>
      </c>
      <c r="AR16" s="89">
        <f>IFERROR(VLOOKUP(A16,Climatologia!A:U,9+$E$2,FALSE),"")</f>
        <v>23.20104269293925</v>
      </c>
      <c r="AS16" s="89" t="str">
        <f t="shared" si="3"/>
        <v/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6</v>
      </c>
      <c r="AQ17" s="89" t="str">
        <f t="shared" si="2"/>
        <v/>
      </c>
      <c r="AR17" s="89">
        <f>IFERROR(VLOOKUP(A17,Climatologia!A:U,9+$E$2,FALSE),"")</f>
        <v>17.481532567049811</v>
      </c>
      <c r="AS17" s="89" t="str">
        <f t="shared" si="3"/>
        <v/>
      </c>
      <c r="AT17" s="90">
        <f t="shared" si="4"/>
        <v>18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6</v>
      </c>
      <c r="AQ18" s="89" t="str">
        <f t="shared" si="2"/>
        <v/>
      </c>
      <c r="AR18" s="89">
        <f>IFERROR(VLOOKUP(A18,Climatologia!A:U,9+$E$2,FALSE),"")</f>
        <v>12.499881093935789</v>
      </c>
      <c r="AS18" s="89" t="str">
        <f t="shared" si="3"/>
        <v/>
      </c>
      <c r="AT18" s="90">
        <f t="shared" si="4"/>
        <v>10.6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3.1999999999999993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6</v>
      </c>
      <c r="AQ19" s="89" t="str">
        <f t="shared" si="2"/>
        <v/>
      </c>
      <c r="AR19" s="89">
        <f>IFERROR(VLOOKUP(A19,Climatologia!A:U,9+$E$2,FALSE),"")</f>
        <v>17.517363619777409</v>
      </c>
      <c r="AS19" s="89" t="str">
        <f t="shared" si="3"/>
        <v/>
      </c>
      <c r="AT19" s="90">
        <f t="shared" si="4"/>
        <v>18.8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5.6000000000000014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6</v>
      </c>
      <c r="AQ20" s="89" t="str">
        <f t="shared" si="2"/>
        <v/>
      </c>
      <c r="AR20" s="89">
        <f>IFERROR(VLOOKUP(A20,Climatologia!A:U,9+$E$2,FALSE),"")</f>
        <v>16.802106227106218</v>
      </c>
      <c r="AS20" s="89" t="str">
        <f t="shared" si="3"/>
        <v/>
      </c>
      <c r="AT20" s="90">
        <f t="shared" si="4"/>
        <v>17.600000000000001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5.0000000000000018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6</v>
      </c>
      <c r="AQ21" s="89" t="str">
        <f t="shared" si="2"/>
        <v/>
      </c>
      <c r="AR21" s="89">
        <f>IFERROR(VLOOKUP(A21,Climatologia!A:U,9+$E$2,FALSE),"")</f>
        <v>19.232081736909329</v>
      </c>
      <c r="AS21" s="89" t="str">
        <f t="shared" si="3"/>
        <v/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6</v>
      </c>
      <c r="AQ22" s="89" t="str">
        <f t="shared" si="2"/>
        <v/>
      </c>
      <c r="AR22" s="89">
        <f>IFERROR(VLOOKUP(A22,Climatologia!A:U,9+$E$2,FALSE),"")</f>
        <v>7.7788019451812538</v>
      </c>
      <c r="AS22" s="89" t="str">
        <f t="shared" si="3"/>
        <v/>
      </c>
      <c r="AT22" s="90">
        <f t="shared" si="4"/>
        <v>7.6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7.8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6</v>
      </c>
      <c r="AQ23" s="89" t="str">
        <f t="shared" si="2"/>
        <v/>
      </c>
      <c r="AR23" s="89">
        <f>IFERROR(VLOOKUP(A23,Climatologia!A:U,9+$E$2,FALSE),"")</f>
        <v>18.648510848126229</v>
      </c>
      <c r="AS23" s="89" t="str">
        <f t="shared" si="3"/>
        <v/>
      </c>
      <c r="AT23" s="90">
        <f t="shared" si="4"/>
        <v>18.899999999999999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4.6999999999999993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6</v>
      </c>
      <c r="AQ24" s="89" t="str">
        <f t="shared" si="2"/>
        <v/>
      </c>
      <c r="AR24" s="89">
        <f>IFERROR(VLOOKUP(A24,Climatologia!A:U,9+$E$2,FALSE),"")</f>
        <v>23.155076628352489</v>
      </c>
      <c r="AS24" s="89" t="str">
        <f t="shared" si="3"/>
        <v/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6</v>
      </c>
      <c r="AQ25" s="89" t="str">
        <f t="shared" si="2"/>
        <v/>
      </c>
      <c r="AR25" s="89">
        <f>IFERROR(VLOOKUP(A25,Climatologia!A:U,9+$E$2,FALSE),"")</f>
        <v>14.47676179151804</v>
      </c>
      <c r="AS25" s="89" t="str">
        <f t="shared" si="3"/>
        <v/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6</v>
      </c>
      <c r="AQ26" s="89" t="str">
        <f t="shared" si="2"/>
        <v/>
      </c>
      <c r="AR26" s="89">
        <f>IFERROR(VLOOKUP(A26,Climatologia!A:U,9+$E$2,FALSE),"")</f>
        <v>4.5924256837098687</v>
      </c>
      <c r="AS26" s="89" t="str">
        <f t="shared" si="3"/>
        <v/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6</v>
      </c>
      <c r="AQ27" s="89" t="str">
        <f t="shared" si="2"/>
        <v/>
      </c>
      <c r="AR27" s="89">
        <f>IFERROR(VLOOKUP(A27,Climatologia!A:U,9+$E$2,FALSE),"")</f>
        <v>23.200678160919541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3.4000000000000021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6</v>
      </c>
      <c r="AQ28" s="89" t="str">
        <f t="shared" si="2"/>
        <v/>
      </c>
      <c r="AR28" s="89">
        <f>IFERROR(VLOOKUP(A28,Climatologia!A:U,9+$E$2,FALSE),"")</f>
        <v>22.923426719914591</v>
      </c>
      <c r="AS28" s="89" t="str">
        <f t="shared" si="3"/>
        <v/>
      </c>
      <c r="AT28" s="90">
        <f t="shared" si="4"/>
        <v>22.4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3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6</v>
      </c>
      <c r="AQ29" s="89" t="str">
        <f t="shared" si="2"/>
        <v/>
      </c>
      <c r="AR29" s="89">
        <f>IFERROR(VLOOKUP(A29,Climatologia!A:U,9+$E$2,FALSE),"")</f>
        <v>23.916765755053511</v>
      </c>
      <c r="AS29" s="89" t="str">
        <f t="shared" si="3"/>
        <v/>
      </c>
      <c r="AT29" s="90">
        <f t="shared" si="4"/>
        <v>24.8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5.3000000000000007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6</v>
      </c>
      <c r="AQ30" s="89" t="str">
        <f t="shared" si="2"/>
        <v/>
      </c>
      <c r="AR30" s="89">
        <f>IFERROR(VLOOKUP(A30,Climatologia!A:U,9+$E$2,FALSE),"")</f>
        <v>20.68482758620689</v>
      </c>
      <c r="AS30" s="89" t="str">
        <f t="shared" si="3"/>
        <v/>
      </c>
      <c r="AT30" s="90">
        <f t="shared" si="4"/>
        <v>20.8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6</v>
      </c>
      <c r="AQ31" s="89" t="str">
        <f t="shared" si="2"/>
        <v/>
      </c>
      <c r="AR31" s="89">
        <f>IFERROR(VLOOKUP(A31,Climatologia!A:U,9+$E$2,FALSE),"")</f>
        <v>22.350396614879379</v>
      </c>
      <c r="AS31" s="89" t="str">
        <f t="shared" si="3"/>
        <v/>
      </c>
      <c r="AT31" s="90">
        <f t="shared" si="4"/>
        <v>22.5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6.1000000000000014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6</v>
      </c>
      <c r="AQ32" s="89" t="str">
        <f t="shared" si="2"/>
        <v/>
      </c>
      <c r="AR32" s="89">
        <f>IFERROR(VLOOKUP(A32,Climatologia!A:U,9+$E$2,FALSE),"")</f>
        <v>13.518105175598549</v>
      </c>
      <c r="AS32" s="89" t="str">
        <f t="shared" si="3"/>
        <v/>
      </c>
      <c r="AT32" s="90">
        <f t="shared" si="4"/>
        <v>13.8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5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6</v>
      </c>
      <c r="AQ34" s="89" t="str">
        <f t="shared" si="2"/>
        <v/>
      </c>
      <c r="AR34" s="89">
        <f>IFERROR(VLOOKUP(A34,Climatologia!A:U,9+$E$2,FALSE),"")</f>
        <v>15.0297619047619</v>
      </c>
      <c r="AS34" s="89" t="str">
        <f t="shared" si="3"/>
        <v/>
      </c>
      <c r="AT34" s="90">
        <f t="shared" si="4"/>
        <v>15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5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6</v>
      </c>
      <c r="AQ35" s="89" t="str">
        <f t="shared" si="2"/>
        <v/>
      </c>
      <c r="AR35" s="89">
        <f>IFERROR(VLOOKUP(A35,Climatologia!A:U,9+$E$2,FALSE),"")</f>
        <v>13.05107074438971</v>
      </c>
      <c r="AS35" s="89" t="str">
        <f t="shared" si="3"/>
        <v/>
      </c>
      <c r="AT35" s="90">
        <f t="shared" si="4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5.8000000000000007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6</v>
      </c>
      <c r="AQ36" s="89" t="str">
        <f t="shared" si="2"/>
        <v/>
      </c>
      <c r="AR36" s="89">
        <f>IFERROR(VLOOKUP(A36,Climatologia!A:U,9+$E$2,FALSE),"")</f>
        <v>19.576900580794259</v>
      </c>
      <c r="AS36" s="89" t="str">
        <f t="shared" si="3"/>
        <v/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6</v>
      </c>
      <c r="AQ37" s="89" t="str">
        <f t="shared" si="2"/>
        <v/>
      </c>
      <c r="AR37" s="89">
        <f>IFERROR(VLOOKUP(A37,Climatologia!A:U,9+$E$2,FALSE),"")</f>
        <v>9.8631470471660734</v>
      </c>
      <c r="AS37" s="89" t="str">
        <f t="shared" si="3"/>
        <v/>
      </c>
      <c r="AT37" s="90">
        <f t="shared" si="4"/>
        <v>8.4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6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6</v>
      </c>
      <c r="AQ39" s="89" t="str">
        <f t="shared" si="2"/>
        <v/>
      </c>
      <c r="AR39" s="89">
        <f>IFERROR(VLOOKUP(A39,Climatologia!A:U,9+$E$2,FALSE),"")</f>
        <v>17.370087470001259</v>
      </c>
      <c r="AS39" s="89" t="str">
        <f t="shared" si="3"/>
        <v/>
      </c>
      <c r="AT39" s="90">
        <f t="shared" si="4"/>
        <v>18.2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5.1999999999999993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5</v>
      </c>
      <c r="AQ40" s="89" t="str">
        <f t="shared" si="2"/>
        <v/>
      </c>
      <c r="AR40" s="89">
        <f>IFERROR(VLOOKUP(A40,Climatologia!A:U,9+$E$2,FALSE),"")</f>
        <v>13.01098388839768</v>
      </c>
      <c r="AS40" s="89" t="str">
        <f t="shared" si="3"/>
        <v/>
      </c>
      <c r="AT40" s="90">
        <f t="shared" si="4"/>
        <v>14.2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5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6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22.6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5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6</v>
      </c>
      <c r="AQ42" s="89" t="str">
        <f t="shared" si="2"/>
        <v/>
      </c>
      <c r="AR42" s="89">
        <f>IFERROR(VLOOKUP(A42,Climatologia!A:U,9+$E$2,FALSE),"")</f>
        <v>24.10281124033644</v>
      </c>
      <c r="AS42" s="89" t="str">
        <f t="shared" si="3"/>
        <v/>
      </c>
      <c r="AT42" s="90">
        <f t="shared" si="4"/>
        <v>24.6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6</v>
      </c>
      <c r="AQ43" s="89" t="str">
        <f t="shared" si="2"/>
        <v/>
      </c>
      <c r="AR43" s="89">
        <f>IFERROR(VLOOKUP(A43,Climatologia!A:U,9+$E$2,FALSE),"")</f>
        <v>23.744525938089151</v>
      </c>
      <c r="AS43" s="89" t="str">
        <f t="shared" si="3"/>
        <v/>
      </c>
      <c r="AT43" s="90">
        <f t="shared" si="4"/>
        <v>22.4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3.3999999999999986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6</v>
      </c>
      <c r="AQ44" s="89" t="str">
        <f t="shared" si="2"/>
        <v/>
      </c>
      <c r="AR44" s="89">
        <f>IFERROR(VLOOKUP(A44,Climatologia!A:U,9+$E$2,FALSE),"")</f>
        <v>22.988656597627109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6</v>
      </c>
      <c r="AQ47" s="89" t="str">
        <f t="shared" si="2"/>
        <v/>
      </c>
      <c r="AR47" s="89">
        <f>IFERROR(VLOOKUP(A47,Climatologia!A:U,9+$E$2,FALSE),"")</f>
        <v>22.692015599343179</v>
      </c>
      <c r="AS47" s="89" t="str">
        <f t="shared" si="3"/>
        <v/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6</v>
      </c>
      <c r="AQ51" s="89" t="str">
        <f t="shared" si="2"/>
        <v/>
      </c>
      <c r="AR51" s="89">
        <f>IFERROR(VLOOKUP(A51,Climatologia!A:U,9+$E$2,FALSE),"")</f>
        <v>23.050863235049139</v>
      </c>
      <c r="AS51" s="89" t="str">
        <f t="shared" si="3"/>
        <v/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4.4000000000000021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6</v>
      </c>
      <c r="AQ52" s="89" t="str">
        <f t="shared" si="2"/>
        <v/>
      </c>
      <c r="AR52" s="89">
        <f>IFERROR(VLOOKUP(A52,Climatologia!A:U,9+$E$2,FALSE),"")</f>
        <v>22.452709359605912</v>
      </c>
      <c r="AS52" s="89" t="str">
        <f t="shared" si="3"/>
        <v/>
      </c>
      <c r="AT52" s="90">
        <f t="shared" si="4"/>
        <v>23.8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5.6000000000000014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6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6</v>
      </c>
      <c r="AQ57" s="89" t="str">
        <f t="shared" si="2"/>
        <v/>
      </c>
      <c r="AR57" s="89">
        <f>IFERROR(VLOOKUP(A57,Climatologia!A:U,9+$E$2,FALSE),"")</f>
        <v>23.7254865927842</v>
      </c>
      <c r="AS57" s="89" t="str">
        <f t="shared" si="3"/>
        <v/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3</v>
      </c>
      <c r="AQ58" s="89" t="str">
        <f t="shared" si="2"/>
        <v/>
      </c>
      <c r="AR58" s="89">
        <f>IFERROR(VLOOKUP(A58,Climatologia!A:U,9+$E$2,FALSE),"")</f>
        <v>21.37518499513471</v>
      </c>
      <c r="AS58" s="89" t="str">
        <f t="shared" si="3"/>
        <v/>
      </c>
      <c r="AT58" s="90">
        <f t="shared" si="4"/>
        <v>23.6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7.8000000000000007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6</v>
      </c>
      <c r="AQ60" s="89" t="str">
        <f t="shared" si="2"/>
        <v/>
      </c>
      <c r="AR60" s="89">
        <f>IFERROR(VLOOKUP(A60,Climatologia!A:U,9+$E$2,FALSE),"")</f>
        <v>21.711950830140491</v>
      </c>
      <c r="AS60" s="89" t="str">
        <f t="shared" si="3"/>
        <v/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5</v>
      </c>
      <c r="AQ63" s="89" t="str">
        <f t="shared" si="2"/>
        <v/>
      </c>
      <c r="AR63" s="89">
        <f>IFERROR(VLOOKUP(A63,Climatologia!A:U,9+$E$2,FALSE),"")</f>
        <v>22.363032714412022</v>
      </c>
      <c r="AS63" s="89" t="str">
        <f t="shared" si="3"/>
        <v/>
      </c>
      <c r="AT63" s="90">
        <f t="shared" si="4"/>
        <v>21.2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3.3999999999999986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6</v>
      </c>
      <c r="AQ64" s="89" t="str">
        <f t="shared" si="2"/>
        <v/>
      </c>
      <c r="AR64" s="89">
        <f>IFERROR(VLOOKUP(A64,Climatologia!A:U,9+$E$2,FALSE),"")</f>
        <v>22.055755336617409</v>
      </c>
      <c r="AS64" s="89" t="str">
        <f t="shared" si="3"/>
        <v/>
      </c>
      <c r="AT64" s="90">
        <f t="shared" si="4"/>
        <v>21.8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3.9000000000000021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6</v>
      </c>
      <c r="AQ65" s="89" t="str">
        <f t="shared" si="2"/>
        <v/>
      </c>
      <c r="AR65" s="89">
        <f>IFERROR(VLOOKUP(A65,Climatologia!A:U,9+$E$2,FALSE),"")</f>
        <v>21.68406544285855</v>
      </c>
      <c r="AS65" s="89" t="str">
        <f t="shared" si="3"/>
        <v/>
      </c>
      <c r="AT65" s="90">
        <f t="shared" si="4"/>
        <v>22.2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4.1999999999999993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20.68482758620689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17.8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21.4</v>
      </c>
      <c r="L67" s="51">
        <v>22</v>
      </c>
      <c r="M67" s="51">
        <v>20.8</v>
      </c>
      <c r="N67" s="51">
        <v>21.6</v>
      </c>
      <c r="O67" s="51">
        <v>21</v>
      </c>
      <c r="P67" s="51">
        <v>20.6</v>
      </c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6</v>
      </c>
      <c r="AQ67" s="89" t="str">
        <f t="shared" si="2"/>
        <v/>
      </c>
      <c r="AR67" s="89">
        <f>IFERROR(VLOOKUP(A67,Climatologia!A:U,9+$E$2,FALSE),"")</f>
        <v>21.265392804773391</v>
      </c>
      <c r="AS67" s="89" t="str">
        <f t="shared" si="3"/>
        <v/>
      </c>
      <c r="AT67" s="90">
        <f t="shared" si="4"/>
        <v>20.6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18.2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7" s="92">
        <f t="shared" si="5"/>
        <v>2.4000000000000021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20.2</v>
      </c>
      <c r="L68" s="51">
        <v>21.4</v>
      </c>
      <c r="M68" s="51">
        <v>21.6</v>
      </c>
      <c r="N68" s="51">
        <v>22</v>
      </c>
      <c r="O68" s="51">
        <v>21.8</v>
      </c>
      <c r="P68" s="51">
        <v>20</v>
      </c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6</v>
      </c>
      <c r="AQ68" s="89" t="str">
        <f t="shared" si="2"/>
        <v/>
      </c>
      <c r="AR68" s="89">
        <f>IFERROR(VLOOKUP(A68,Climatologia!A:U,9+$E$2,FALSE),"")</f>
        <v>21.303087027914611</v>
      </c>
      <c r="AS68" s="89" t="str">
        <f t="shared" si="3"/>
        <v/>
      </c>
      <c r="AT68" s="90">
        <f t="shared" si="4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23.6</v>
      </c>
      <c r="L69" s="51">
        <v>22.6</v>
      </c>
      <c r="M69" s="51">
        <v>22.4</v>
      </c>
      <c r="N69" s="51">
        <v>23.8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4</v>
      </c>
      <c r="AQ69" s="89" t="str">
        <f t="shared" ref="AQ69:AQ132" si="7">IF(AP69&gt;14,AVERAGE(K69:AO69),"")</f>
        <v/>
      </c>
      <c r="AR69" s="89">
        <f>IFERROR(VLOOKUP(A69,Climatologia!A:U,9+$E$2,FALSE),"")</f>
        <v>21.233794084615539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22.4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9" s="92">
        <f t="shared" ref="AW69:AW132" si="10">IF(OR(AT69="",AU69=""),"NA",IFERROR(AT69-AU69,"NA"))</f>
        <v>4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24.2</v>
      </c>
      <c r="L70" s="51">
        <v>22.3</v>
      </c>
      <c r="M70" s="51">
        <v>24</v>
      </c>
      <c r="N70" s="51">
        <v>23.3</v>
      </c>
      <c r="O70" s="51">
        <v>24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5</v>
      </c>
      <c r="AQ70" s="89" t="str">
        <f t="shared" si="7"/>
        <v/>
      </c>
      <c r="AR70" s="89">
        <f>IFERROR(VLOOKUP(A70,Climatologia!A:U,9+$E$2,FALSE),"")</f>
        <v>22.62335339263911</v>
      </c>
      <c r="AS70" s="89" t="str">
        <f t="shared" si="8"/>
        <v/>
      </c>
      <c r="AT70" s="90">
        <f t="shared" si="9"/>
        <v>22.3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70" s="92">
        <f t="shared" si="10"/>
        <v>8.3000000000000007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23.3</v>
      </c>
      <c r="L71" s="51">
        <v>23.3</v>
      </c>
      <c r="M71" s="51">
        <v>22.3</v>
      </c>
      <c r="N71" s="51">
        <v>21.3</v>
      </c>
      <c r="O71" s="51">
        <v>21.3</v>
      </c>
      <c r="P71" s="51">
        <v>21.3</v>
      </c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6</v>
      </c>
      <c r="AQ71" s="89" t="str">
        <f t="shared" si="7"/>
        <v/>
      </c>
      <c r="AR71" s="89">
        <f>IFERROR(VLOOKUP(A71,Climatologia!A:U,9+$E$2,FALSE),"")</f>
        <v>21.58913993796752</v>
      </c>
      <c r="AS71" s="89" t="str">
        <f t="shared" si="8"/>
        <v/>
      </c>
      <c r="AT71" s="90">
        <f t="shared" si="9"/>
        <v>21.3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17.2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1" s="92">
        <f t="shared" si="10"/>
        <v>4.1000000000000014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20.8</v>
      </c>
      <c r="L72" s="51">
        <v>21.8</v>
      </c>
      <c r="M72" s="51">
        <v>20.8</v>
      </c>
      <c r="N72" s="51">
        <v>20.8</v>
      </c>
      <c r="O72" s="51">
        <v>21</v>
      </c>
      <c r="P72" s="51">
        <v>20.8</v>
      </c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6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16.399999999999999</v>
      </c>
      <c r="M73" s="51">
        <v>17.2</v>
      </c>
      <c r="N73" s="51">
        <v>18.2</v>
      </c>
      <c r="O73" s="51">
        <v>17.2</v>
      </c>
      <c r="P73" s="51">
        <v>17.399999999999999</v>
      </c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6</v>
      </c>
      <c r="AQ73" s="89" t="str">
        <f t="shared" si="7"/>
        <v/>
      </c>
      <c r="AR73" s="89">
        <f>IFERROR(VLOOKUP(A73,Climatologia!A:U,9+$E$2,FALSE),"")</f>
        <v>16.856863660477451</v>
      </c>
      <c r="AS73" s="89" t="str">
        <f t="shared" si="8"/>
        <v/>
      </c>
      <c r="AT73" s="90">
        <f t="shared" si="9"/>
        <v>16.399999999999999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14.2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3" s="92">
        <f t="shared" si="10"/>
        <v>2.1999999999999993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11.2</v>
      </c>
      <c r="L74" s="51">
        <v>11.2</v>
      </c>
      <c r="M74" s="51">
        <v>13</v>
      </c>
      <c r="N74" s="51">
        <v>12.2</v>
      </c>
      <c r="O74" s="51">
        <v>12.4</v>
      </c>
      <c r="P74" s="51">
        <v>12.2</v>
      </c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6</v>
      </c>
      <c r="AQ74" s="89" t="str">
        <f t="shared" si="7"/>
        <v/>
      </c>
      <c r="AR74" s="89">
        <f>IFERROR(VLOOKUP(A74,Climatologia!A:U,9+$E$2,FALSE),"")</f>
        <v>11.565427904789971</v>
      </c>
      <c r="AS74" s="89" t="str">
        <f t="shared" si="8"/>
        <v/>
      </c>
      <c r="AT74" s="90">
        <f t="shared" si="9"/>
        <v>11.2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4" s="92">
        <f t="shared" si="10"/>
        <v>3.1999999999999993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14.2</v>
      </c>
      <c r="L75" s="51">
        <v>14</v>
      </c>
      <c r="M75" s="51">
        <v>17.2</v>
      </c>
      <c r="N75" s="51">
        <v>16.2</v>
      </c>
      <c r="O75" s="51">
        <v>17.2</v>
      </c>
      <c r="P75" s="51">
        <v>17</v>
      </c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6</v>
      </c>
      <c r="AQ75" s="89" t="str">
        <f t="shared" si="7"/>
        <v/>
      </c>
      <c r="AR75" s="89">
        <f>IFERROR(VLOOKUP(A75,Climatologia!A:U,9+$E$2,FALSE),"")</f>
        <v>15.41515998624619</v>
      </c>
      <c r="AS75" s="89" t="str">
        <f t="shared" si="8"/>
        <v/>
      </c>
      <c r="AT75" s="90">
        <f t="shared" si="9"/>
        <v>14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</v>
      </c>
      <c r="L76" s="51">
        <v>16</v>
      </c>
      <c r="M76" s="51">
        <v>15.8</v>
      </c>
      <c r="N76" s="51">
        <v>18.2</v>
      </c>
      <c r="O76" s="51">
        <v>17.8</v>
      </c>
      <c r="P76" s="51">
        <v>18</v>
      </c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116"/>
      <c r="AM76" s="51"/>
      <c r="AN76" s="51"/>
      <c r="AO76" s="51"/>
      <c r="AP76" s="88">
        <f t="shared" si="6"/>
        <v>6</v>
      </c>
      <c r="AQ76" s="89" t="str">
        <f t="shared" si="7"/>
        <v/>
      </c>
      <c r="AR76" s="89">
        <f>IFERROR(VLOOKUP(A76,Climatologia!A:U,9+$E$2,FALSE),"")</f>
        <v>18.656310283027459</v>
      </c>
      <c r="AS76" s="89" t="str">
        <f t="shared" si="8"/>
        <v/>
      </c>
      <c r="AT76" s="90">
        <f t="shared" si="9"/>
        <v>15.8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6" s="92">
        <f t="shared" si="10"/>
        <v>1.2000000000000011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26</v>
      </c>
      <c r="L77" s="51">
        <v>25.8</v>
      </c>
      <c r="M77" s="51">
        <v>24</v>
      </c>
      <c r="N77" s="51">
        <v>27.8</v>
      </c>
      <c r="O77" s="51">
        <v>28.8</v>
      </c>
      <c r="P77" s="51">
        <v>28.8</v>
      </c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6</v>
      </c>
      <c r="AQ77" s="89" t="str">
        <f t="shared" si="7"/>
        <v/>
      </c>
      <c r="AR77" s="89">
        <f>IFERROR(VLOOKUP(A77,Climatologia!A:U,9+$E$2,FALSE),"")</f>
        <v>24.258489020705198</v>
      </c>
      <c r="AS77" s="89" t="str">
        <f t="shared" si="8"/>
        <v/>
      </c>
      <c r="AT77" s="90">
        <f t="shared" si="9"/>
        <v>24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18.600000000000001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7" s="92">
        <f t="shared" si="10"/>
        <v>5.3999999999999986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24.6</v>
      </c>
      <c r="L78" s="51">
        <v>23.6</v>
      </c>
      <c r="M78" s="51">
        <v>22.6</v>
      </c>
      <c r="N78" s="51">
        <v>24.8</v>
      </c>
      <c r="O78" s="51">
        <v>24.8</v>
      </c>
      <c r="P78" s="51">
        <v>27.8</v>
      </c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6</v>
      </c>
      <c r="AQ78" s="89" t="str">
        <f t="shared" si="7"/>
        <v/>
      </c>
      <c r="AR78" s="89">
        <f>IFERROR(VLOOKUP(A78,Climatologia!A:U,9+$E$2,FALSE),"")</f>
        <v>23.486005023711911</v>
      </c>
      <c r="AS78" s="89" t="str">
        <f t="shared" si="8"/>
        <v/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8" s="92">
        <f t="shared" si="10"/>
        <v>4.6000000000000014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14.8</v>
      </c>
      <c r="L79" s="51">
        <v>15</v>
      </c>
      <c r="M79" s="51">
        <v>14.4</v>
      </c>
      <c r="N79" s="51">
        <v>14.2</v>
      </c>
      <c r="O79" s="51">
        <v>14.2</v>
      </c>
      <c r="P79" s="51">
        <v>15.2</v>
      </c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6</v>
      </c>
      <c r="AQ79" s="89" t="str">
        <f t="shared" si="7"/>
        <v/>
      </c>
      <c r="AR79" s="89">
        <f>IFERROR(VLOOKUP(A79,Climatologia!A:U,9+$E$2,FALSE),"")</f>
        <v>15.67780219897565</v>
      </c>
      <c r="AS79" s="89" t="str">
        <f t="shared" si="8"/>
        <v/>
      </c>
      <c r="AT79" s="90">
        <f t="shared" si="9"/>
        <v>14.2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20.9214094475129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23.2</v>
      </c>
      <c r="M81" s="51">
        <v>23.2</v>
      </c>
      <c r="N81" s="51">
        <v>23.8</v>
      </c>
      <c r="O81" s="51">
        <v>23.6</v>
      </c>
      <c r="P81" s="51">
        <v>23.4</v>
      </c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6</v>
      </c>
      <c r="AQ81" s="89" t="str">
        <f t="shared" si="7"/>
        <v/>
      </c>
      <c r="AR81" s="89">
        <f>IFERROR(VLOOKUP(A81,Climatologia!A:U,9+$E$2,FALSE),"")</f>
        <v>22.145798455144551</v>
      </c>
      <c r="AS81" s="89" t="str">
        <f t="shared" si="8"/>
        <v/>
      </c>
      <c r="AT81" s="90">
        <f t="shared" si="9"/>
        <v>23.2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1" s="92">
        <f t="shared" si="10"/>
        <v>5.5999999999999979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27.2</v>
      </c>
      <c r="L83" s="51">
        <v>26.8</v>
      </c>
      <c r="M83" s="51">
        <v>27</v>
      </c>
      <c r="N83" s="51">
        <v>27.4</v>
      </c>
      <c r="O83" s="51">
        <v>28</v>
      </c>
      <c r="P83" s="51">
        <v>28.8</v>
      </c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6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17.8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3" s="92">
        <f t="shared" si="10"/>
        <v>9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25.4</v>
      </c>
      <c r="L84" s="51">
        <v>26.8</v>
      </c>
      <c r="M84" s="51">
        <v>27.2</v>
      </c>
      <c r="N84" s="51">
        <v>26</v>
      </c>
      <c r="O84" s="51">
        <v>27.6</v>
      </c>
      <c r="P84" s="51">
        <v>27</v>
      </c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6</v>
      </c>
      <c r="AQ84" s="89" t="str">
        <f t="shared" si="7"/>
        <v/>
      </c>
      <c r="AR84" s="89">
        <f>IFERROR(VLOOKUP(A84,Climatologia!A:U,9+$E$2,FALSE),"")</f>
        <v>23.18181172727245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23.6</v>
      </c>
      <c r="L85" s="51">
        <v>25.2</v>
      </c>
      <c r="M85" s="51">
        <v>23.6</v>
      </c>
      <c r="N85" s="51">
        <v>26.6</v>
      </c>
      <c r="O85" s="51">
        <v>24.8</v>
      </c>
      <c r="P85" s="51">
        <v>24.6</v>
      </c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6</v>
      </c>
      <c r="AQ85" s="89" t="str">
        <f t="shared" si="7"/>
        <v/>
      </c>
      <c r="AR85" s="89">
        <f>IFERROR(VLOOKUP(A85,Climatologia!A:U,9+$E$2,FALSE),"")</f>
        <v>22.978702810599369</v>
      </c>
      <c r="AS85" s="89" t="str">
        <f t="shared" si="8"/>
        <v/>
      </c>
      <c r="AT85" s="90">
        <f t="shared" si="9"/>
        <v>23.6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5" s="92">
        <f t="shared" si="10"/>
        <v>5.6000000000000014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20</v>
      </c>
      <c r="L86" s="51">
        <v>19.8</v>
      </c>
      <c r="M86" s="51">
        <v>21.8</v>
      </c>
      <c r="N86" s="51">
        <v>20</v>
      </c>
      <c r="O86" s="51">
        <v>21.8</v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5</v>
      </c>
      <c r="AQ86" s="89" t="str">
        <f t="shared" si="7"/>
        <v/>
      </c>
      <c r="AR86" s="89">
        <f>IFERROR(VLOOKUP(A86,Climatologia!A:U,9+$E$2,FALSE),"")</f>
        <v>22.3738564692013</v>
      </c>
      <c r="AS86" s="89" t="str">
        <f t="shared" si="8"/>
        <v/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23.4</v>
      </c>
      <c r="L87" s="51"/>
      <c r="M87" s="51">
        <v>24.2</v>
      </c>
      <c r="N87" s="51">
        <v>24</v>
      </c>
      <c r="O87" s="51">
        <v>26.6</v>
      </c>
      <c r="P87" s="51">
        <v>25</v>
      </c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5</v>
      </c>
      <c r="AQ87" s="89" t="str">
        <f t="shared" si="7"/>
        <v/>
      </c>
      <c r="AR87" s="89">
        <f>IFERROR(VLOOKUP(A87,Climatologia!A:U,9+$E$2,FALSE),"")</f>
        <v>23.309072933771219</v>
      </c>
      <c r="AS87" s="89" t="str">
        <f t="shared" si="8"/>
        <v/>
      </c>
      <c r="AT87" s="90">
        <f t="shared" si="9"/>
        <v>23.4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7" s="92">
        <f t="shared" si="10"/>
        <v>5.3999999999999986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24</v>
      </c>
      <c r="L88" s="51">
        <v>24.2</v>
      </c>
      <c r="M88" s="51">
        <v>23.6</v>
      </c>
      <c r="N88" s="51">
        <v>22.8</v>
      </c>
      <c r="O88" s="51">
        <v>25.6</v>
      </c>
      <c r="P88" s="51">
        <v>25</v>
      </c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6</v>
      </c>
      <c r="AQ88" s="89" t="str">
        <f t="shared" si="7"/>
        <v/>
      </c>
      <c r="AR88" s="89">
        <f>IFERROR(VLOOKUP(A88,Climatologia!A:U,9+$E$2,FALSE),"")</f>
        <v>22.641522648439089</v>
      </c>
      <c r="AS88" s="89" t="str">
        <f t="shared" si="8"/>
        <v/>
      </c>
      <c r="AT88" s="90">
        <f t="shared" si="9"/>
        <v>22.8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17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8" s="92">
        <f t="shared" si="10"/>
        <v>5.8000000000000007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24.8</v>
      </c>
      <c r="L89" s="116">
        <v>26.4</v>
      </c>
      <c r="M89" s="116">
        <v>24.2</v>
      </c>
      <c r="N89" s="116">
        <v>25.8</v>
      </c>
      <c r="O89" s="116">
        <v>25.6</v>
      </c>
      <c r="P89" s="116">
        <v>26.2</v>
      </c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6</v>
      </c>
      <c r="AQ89" s="89" t="str">
        <f t="shared" si="7"/>
        <v/>
      </c>
      <c r="AR89" s="89">
        <f>IFERROR(VLOOKUP(A89,Climatologia!A:U,9+$E$2,FALSE),"")</f>
        <v>22.80732142857142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9" s="92">
        <f t="shared" si="10"/>
        <v>10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11.2</v>
      </c>
      <c r="L90" s="51">
        <v>10.199999999999999</v>
      </c>
      <c r="M90" s="51">
        <v>11</v>
      </c>
      <c r="N90" s="51">
        <v>11</v>
      </c>
      <c r="O90" s="51">
        <v>13.2</v>
      </c>
      <c r="P90" s="51">
        <v>11.6</v>
      </c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6</v>
      </c>
      <c r="AQ90" s="89" t="str">
        <f t="shared" si="7"/>
        <v/>
      </c>
      <c r="AR90" s="89">
        <f>IFERROR(VLOOKUP(A90,Climatologia!A:U,9+$E$2,FALSE),"")</f>
        <v>11.04377011494253</v>
      </c>
      <c r="AS90" s="89" t="str">
        <f t="shared" si="8"/>
        <v/>
      </c>
      <c r="AT90" s="90">
        <f t="shared" si="9"/>
        <v>10.199999999999999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90" s="92">
        <f t="shared" si="10"/>
        <v>5.9999999999999991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19.2</v>
      </c>
      <c r="L91" s="51">
        <v>18.600000000000001</v>
      </c>
      <c r="M91" s="51">
        <v>19</v>
      </c>
      <c r="N91" s="51">
        <v>19.2</v>
      </c>
      <c r="O91" s="51">
        <v>19</v>
      </c>
      <c r="P91" s="51">
        <v>19.399999999999999</v>
      </c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6</v>
      </c>
      <c r="AQ91" s="89" t="str">
        <f t="shared" si="7"/>
        <v/>
      </c>
      <c r="AR91" s="89">
        <f>IFERROR(VLOOKUP(A91,Climatologia!A:U,9+$E$2,FALSE),"")</f>
        <v>17.65629355956942</v>
      </c>
      <c r="AS91" s="89" t="str">
        <f t="shared" si="8"/>
        <v/>
      </c>
      <c r="AT91" s="90">
        <f t="shared" si="9"/>
        <v>18.600000000000001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1" s="92">
        <f t="shared" si="10"/>
        <v>4.4000000000000021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12.2</v>
      </c>
      <c r="L92" s="51">
        <v>10.199999999999999</v>
      </c>
      <c r="M92" s="51">
        <v>10.199999999999999</v>
      </c>
      <c r="N92" s="51">
        <v>10.8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4</v>
      </c>
      <c r="AQ92" s="89" t="str">
        <f t="shared" si="7"/>
        <v/>
      </c>
      <c r="AR92" s="89">
        <f>IFERROR(VLOOKUP(A92,Climatologia!A:U,9+$E$2,FALSE),"")</f>
        <v>11.22937715871128</v>
      </c>
      <c r="AS92" s="89" t="str">
        <f t="shared" si="8"/>
        <v/>
      </c>
      <c r="AT92" s="90">
        <f t="shared" si="9"/>
        <v>10.199999999999999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7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3.1999999999999993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9.4</v>
      </c>
      <c r="L93" s="51">
        <v>10.4</v>
      </c>
      <c r="M93" s="51">
        <v>9.6</v>
      </c>
      <c r="N93" s="51">
        <v>9.4</v>
      </c>
      <c r="O93" s="51">
        <v>10</v>
      </c>
      <c r="P93" s="51">
        <v>8.8000000000000007</v>
      </c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6</v>
      </c>
      <c r="AQ93" s="89" t="str">
        <f t="shared" si="7"/>
        <v/>
      </c>
      <c r="AR93" s="89">
        <f>IFERROR(VLOOKUP(A93,Climatologia!A:U,9+$E$2,FALSE),"")</f>
        <v>8.2655190007037298</v>
      </c>
      <c r="AS93" s="89" t="str">
        <f t="shared" si="8"/>
        <v/>
      </c>
      <c r="AT93" s="90">
        <f t="shared" si="9"/>
        <v>8.8000000000000007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1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3" s="92">
        <f t="shared" si="10"/>
        <v>7.8000000000000007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10.537256571653121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>
        <v>7.2</v>
      </c>
      <c r="L95" s="51">
        <v>6.2</v>
      </c>
      <c r="M95" s="51">
        <v>4.4000000000000004</v>
      </c>
      <c r="N95" s="51">
        <v>4.2</v>
      </c>
      <c r="O95" s="51">
        <v>7.2</v>
      </c>
      <c r="P95" s="51">
        <v>8.4</v>
      </c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6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4.2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5" s="92">
        <f t="shared" si="10"/>
        <v>4.2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3.2</v>
      </c>
      <c r="L96" s="51">
        <v>6.4</v>
      </c>
      <c r="M96" s="51">
        <v>5.6</v>
      </c>
      <c r="N96" s="51">
        <v>6.8</v>
      </c>
      <c r="O96" s="51">
        <v>4.4000000000000004</v>
      </c>
      <c r="P96" s="51">
        <v>6.2</v>
      </c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6</v>
      </c>
      <c r="AQ96" s="89" t="str">
        <f t="shared" si="7"/>
        <v/>
      </c>
      <c r="AR96" s="89">
        <f>IFERROR(VLOOKUP(A96,Climatologia!A:U,9+$E$2,FALSE),"")</f>
        <v>6.9772719899777336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0.4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6" s="92">
        <f t="shared" si="10"/>
        <v>2.8000000000000003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7.9</v>
      </c>
      <c r="L97" s="51">
        <v>9</v>
      </c>
      <c r="M97" s="51">
        <v>9.6</v>
      </c>
      <c r="N97" s="51">
        <v>8</v>
      </c>
      <c r="O97" s="51">
        <v>7.6</v>
      </c>
      <c r="P97" s="51">
        <v>8</v>
      </c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6</v>
      </c>
      <c r="AQ97" s="89" t="str">
        <f t="shared" si="7"/>
        <v/>
      </c>
      <c r="AR97" s="89">
        <f>IFERROR(VLOOKUP(A97,Climatologia!A:U,9+$E$2,FALSE),"")</f>
        <v>8.3739754437240048</v>
      </c>
      <c r="AS97" s="89" t="str">
        <f t="shared" si="8"/>
        <v/>
      </c>
      <c r="AT97" s="90">
        <f t="shared" si="9"/>
        <v>7.6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7" s="92">
        <f t="shared" si="10"/>
        <v>3.9999999999999996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4.8</v>
      </c>
      <c r="L98" s="51">
        <v>7</v>
      </c>
      <c r="M98" s="51">
        <v>4.8</v>
      </c>
      <c r="N98" s="51">
        <v>5.4</v>
      </c>
      <c r="O98" s="51">
        <v>3.8</v>
      </c>
      <c r="P98" s="51">
        <v>7.8</v>
      </c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6</v>
      </c>
      <c r="AQ98" s="89" t="str">
        <f t="shared" si="7"/>
        <v/>
      </c>
      <c r="AR98" s="89">
        <f>IFERROR(VLOOKUP(A98,Climatologia!A:U,9+$E$2,FALSE),"")</f>
        <v>6.2010253961478679</v>
      </c>
      <c r="AS98" s="89" t="str">
        <f t="shared" si="8"/>
        <v/>
      </c>
      <c r="AT98" s="90">
        <f t="shared" si="9"/>
        <v>3.8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-0.2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8" s="92">
        <f t="shared" si="10"/>
        <v>4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7</v>
      </c>
      <c r="L99" s="51">
        <v>8.8000000000000007</v>
      </c>
      <c r="M99" s="51">
        <v>9.8000000000000007</v>
      </c>
      <c r="N99" s="51">
        <v>10.199999999999999</v>
      </c>
      <c r="O99" s="51">
        <v>9.6</v>
      </c>
      <c r="P99" s="51">
        <v>10.6</v>
      </c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6</v>
      </c>
      <c r="AQ99" s="89" t="str">
        <f t="shared" si="7"/>
        <v/>
      </c>
      <c r="AR99" s="89">
        <f>IFERROR(VLOOKUP(A99,Climatologia!A:U,9+$E$2,FALSE),"")</f>
        <v>8.159618451306919</v>
      </c>
      <c r="AS99" s="89" t="str">
        <f t="shared" si="8"/>
        <v/>
      </c>
      <c r="AT99" s="90">
        <f t="shared" si="9"/>
        <v>7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2.9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9" s="92">
        <f t="shared" si="10"/>
        <v>4.0999999999999996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6.4</v>
      </c>
      <c r="L100" s="51"/>
      <c r="M100" s="51">
        <v>7</v>
      </c>
      <c r="N100" s="51">
        <v>7.2</v>
      </c>
      <c r="O100" s="51"/>
      <c r="P100" s="51">
        <v>7.8</v>
      </c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4</v>
      </c>
      <c r="AQ100" s="89" t="str">
        <f t="shared" si="7"/>
        <v/>
      </c>
      <c r="AR100" s="89">
        <f>IFERROR(VLOOKUP(A100,Climatologia!A:U,9+$E$2,FALSE),"")</f>
        <v>6.6991656023839923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17.818800331214131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14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10.55201043605182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4.8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</v>
      </c>
      <c r="L103" s="51">
        <v>13</v>
      </c>
      <c r="M103" s="51">
        <v>12</v>
      </c>
      <c r="N103" s="51">
        <v>12.2</v>
      </c>
      <c r="O103" s="51">
        <v>10.199999999999999</v>
      </c>
      <c r="P103" s="51">
        <v>12</v>
      </c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6</v>
      </c>
      <c r="AQ103" s="89" t="str">
        <f t="shared" si="7"/>
        <v/>
      </c>
      <c r="AR103" s="89">
        <f>IFERROR(VLOOKUP(A103,Climatologia!A:U,9+$E$2,FALSE),"")</f>
        <v>11.245521419341051</v>
      </c>
      <c r="AS103" s="89" t="str">
        <f t="shared" si="8"/>
        <v/>
      </c>
      <c r="AT103" s="90">
        <f t="shared" si="9"/>
        <v>10.199999999999999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3" s="92">
        <f t="shared" si="10"/>
        <v>3.5999999999999996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2.2000000000000002</v>
      </c>
      <c r="L104" s="109">
        <v>5.4</v>
      </c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2</v>
      </c>
      <c r="AQ104" s="89" t="str">
        <f t="shared" si="7"/>
        <v/>
      </c>
      <c r="AR104" s="89">
        <f>IFERROR(VLOOKUP(A104,Climatologia!A:U,9+$E$2,FALSE),"")</f>
        <v>5.5502937420178808</v>
      </c>
      <c r="AS104" s="89" t="str">
        <f t="shared" si="8"/>
        <v/>
      </c>
      <c r="AT104" s="90">
        <f t="shared" si="9"/>
        <v>2.2000000000000002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0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4" s="92">
        <f t="shared" si="10"/>
        <v>2.2000000000000002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4.5999999999999996</v>
      </c>
      <c r="L105" s="51">
        <v>8.4</v>
      </c>
      <c r="M105" s="51">
        <v>3.4</v>
      </c>
      <c r="N105" s="51">
        <v>3.8</v>
      </c>
      <c r="O105" s="51">
        <v>2.6</v>
      </c>
      <c r="P105" s="51">
        <v>2.4</v>
      </c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6</v>
      </c>
      <c r="AQ105" s="89" t="str">
        <f t="shared" si="7"/>
        <v/>
      </c>
      <c r="AR105" s="89">
        <f>IFERROR(VLOOKUP(A105,Climatologia!A:U,9+$E$2,FALSE),"")</f>
        <v>6.577004617349445</v>
      </c>
      <c r="AS105" s="89" t="str">
        <f t="shared" si="8"/>
        <v/>
      </c>
      <c r="AT105" s="90">
        <f t="shared" si="9"/>
        <v>2.4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5" s="92">
        <f t="shared" si="10"/>
        <v>2.8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</v>
      </c>
      <c r="L106" s="51">
        <v>9.8000000000000007</v>
      </c>
      <c r="M106" s="51">
        <v>10.4</v>
      </c>
      <c r="N106" s="51">
        <v>10.4</v>
      </c>
      <c r="O106" s="51">
        <v>10.6</v>
      </c>
      <c r="P106" s="51">
        <v>9.4</v>
      </c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6</v>
      </c>
      <c r="AQ106" s="89" t="str">
        <f t="shared" si="7"/>
        <v/>
      </c>
      <c r="AR106" s="89">
        <f>IFERROR(VLOOKUP(A106,Climatologia!A:U,9+$E$2,FALSE),"")</f>
        <v>9.5729657311464695</v>
      </c>
      <c r="AS106" s="89" t="str">
        <f t="shared" si="8"/>
        <v/>
      </c>
      <c r="AT106" s="90">
        <f t="shared" si="9"/>
        <v>9.4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3.8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6" s="92">
        <f t="shared" si="10"/>
        <v>5.6000000000000005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/>
      <c r="L107" s="51">
        <v>13.6</v>
      </c>
      <c r="M107" s="51">
        <v>13.6</v>
      </c>
      <c r="N107" s="51">
        <v>14.4</v>
      </c>
      <c r="O107" s="51">
        <v>13.8</v>
      </c>
      <c r="P107" s="51">
        <v>13.6</v>
      </c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5</v>
      </c>
      <c r="AQ107" s="89" t="str">
        <f t="shared" si="7"/>
        <v/>
      </c>
      <c r="AR107" s="89">
        <f>IFERROR(VLOOKUP(A107,Climatologia!A:U,9+$E$2,FALSE),"")</f>
        <v>13.60304714989444</v>
      </c>
      <c r="AS107" s="89" t="str">
        <f t="shared" si="8"/>
        <v/>
      </c>
      <c r="AT107" s="90">
        <f t="shared" si="9"/>
        <v>13.6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7" s="92">
        <f t="shared" si="10"/>
        <v>6.3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9.8000000000000007</v>
      </c>
      <c r="L108" s="51">
        <v>11.6</v>
      </c>
      <c r="M108" s="51">
        <v>12.8</v>
      </c>
      <c r="N108" s="51">
        <v>11</v>
      </c>
      <c r="O108" s="51">
        <v>11</v>
      </c>
      <c r="P108" s="51">
        <v>9.6</v>
      </c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6</v>
      </c>
      <c r="AQ108" s="89" t="str">
        <f t="shared" si="7"/>
        <v/>
      </c>
      <c r="AR108" s="89">
        <f>IFERROR(VLOOKUP(A108,Climatologia!A:U,9+$E$2,FALSE),"")</f>
        <v>11.188895457033389</v>
      </c>
      <c r="AS108" s="89" t="str">
        <f t="shared" si="8"/>
        <v/>
      </c>
      <c r="AT108" s="90">
        <f t="shared" si="9"/>
        <v>9.6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1.2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8" s="92">
        <f t="shared" si="10"/>
        <v>8.4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15.4</v>
      </c>
      <c r="M109" s="51">
        <v>14</v>
      </c>
      <c r="N109" s="51">
        <v>15.4</v>
      </c>
      <c r="O109" s="51">
        <v>14</v>
      </c>
      <c r="P109" s="51">
        <v>14.2</v>
      </c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6</v>
      </c>
      <c r="AQ109" s="89" t="str">
        <f t="shared" si="7"/>
        <v/>
      </c>
      <c r="AR109" s="89">
        <f>IFERROR(VLOOKUP(A109,Climatologia!A:U,9+$E$2,FALSE),"")</f>
        <v>13.358971566848149</v>
      </c>
      <c r="AS109" s="89" t="str">
        <f t="shared" si="8"/>
        <v/>
      </c>
      <c r="AT109" s="90">
        <f t="shared" si="9"/>
        <v>14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9" s="92">
        <f t="shared" si="10"/>
        <v>4.5999999999999996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15.4</v>
      </c>
      <c r="M110" s="51">
        <v>15.2</v>
      </c>
      <c r="N110" s="51">
        <v>15.2</v>
      </c>
      <c r="O110" s="51">
        <v>14.8</v>
      </c>
      <c r="P110" s="51">
        <v>14.6</v>
      </c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6</v>
      </c>
      <c r="AQ110" s="89" t="str">
        <f t="shared" si="7"/>
        <v/>
      </c>
      <c r="AR110" s="89">
        <f>IFERROR(VLOOKUP(A110,Climatologia!A:U,9+$E$2,FALSE),"")</f>
        <v>13.685588761174969</v>
      </c>
      <c r="AS110" s="89" t="str">
        <f t="shared" si="8"/>
        <v/>
      </c>
      <c r="AT110" s="90">
        <f t="shared" si="9"/>
        <v>14.6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10" s="92">
        <f t="shared" si="10"/>
        <v>6.6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17.600000000000001</v>
      </c>
      <c r="L111" s="51">
        <v>18.600000000000001</v>
      </c>
      <c r="M111" s="51">
        <v>17.8</v>
      </c>
      <c r="N111" s="51">
        <v>19.2</v>
      </c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4</v>
      </c>
      <c r="AQ111" s="89" t="str">
        <f t="shared" si="7"/>
        <v/>
      </c>
      <c r="AR111" s="89">
        <f>IFERROR(VLOOKUP(A111,Climatologia!A:U,9+$E$2,FALSE),"")</f>
        <v>16.876051428203631</v>
      </c>
      <c r="AS111" s="89" t="str">
        <f t="shared" si="8"/>
        <v/>
      </c>
      <c r="AT111" s="90">
        <f t="shared" si="9"/>
        <v>17.600000000000001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13.4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1" s="92">
        <f t="shared" si="10"/>
        <v>4.2000000000000011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24.8</v>
      </c>
      <c r="L112" s="51">
        <v>21.6</v>
      </c>
      <c r="M112" s="51">
        <v>23.6</v>
      </c>
      <c r="N112" s="51">
        <v>24</v>
      </c>
      <c r="O112" s="51">
        <v>23.2</v>
      </c>
      <c r="P112" s="51">
        <v>21</v>
      </c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6</v>
      </c>
      <c r="AQ112" s="89" t="str">
        <f t="shared" si="7"/>
        <v/>
      </c>
      <c r="AR112" s="89">
        <f>IFERROR(VLOOKUP(A112,Climatologia!A:U,9+$E$2,FALSE),"")</f>
        <v>22.868438849358391</v>
      </c>
      <c r="AS112" s="89" t="str">
        <f t="shared" si="8"/>
        <v/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14.4</v>
      </c>
      <c r="L113" s="51">
        <v>14.6</v>
      </c>
      <c r="M113" s="51">
        <v>16.5</v>
      </c>
      <c r="N113" s="51">
        <v>14.2</v>
      </c>
      <c r="O113" s="51">
        <v>15.5</v>
      </c>
      <c r="P113" s="51">
        <v>14.2</v>
      </c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6</v>
      </c>
      <c r="AQ113" s="89" t="str">
        <f t="shared" si="7"/>
        <v/>
      </c>
      <c r="AR113" s="89">
        <f>IFERROR(VLOOKUP(A113,Climatologia!A:U,9+$E$2,FALSE),"")</f>
        <v>15.184620689655169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8.4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3" s="92">
        <f t="shared" si="10"/>
        <v>5.7999999999999989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21.4</v>
      </c>
      <c r="L114" s="51">
        <v>18.399999999999999</v>
      </c>
      <c r="M114" s="51">
        <v>19.2</v>
      </c>
      <c r="N114" s="51">
        <v>19.399999999999999</v>
      </c>
      <c r="O114" s="51">
        <v>19</v>
      </c>
      <c r="P114" s="51">
        <v>17.600000000000001</v>
      </c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6</v>
      </c>
      <c r="AQ114" s="89" t="str">
        <f t="shared" si="7"/>
        <v/>
      </c>
      <c r="AR114" s="89">
        <f>IFERROR(VLOOKUP(A114,Climatologia!A:U,9+$E$2,FALSE),"")</f>
        <v>22.39663970483894</v>
      </c>
      <c r="AS114" s="89" t="str">
        <f t="shared" si="8"/>
        <v/>
      </c>
      <c r="AT114" s="90">
        <f t="shared" si="9"/>
        <v>17.600000000000001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4" s="92">
        <f t="shared" si="10"/>
        <v>-0.39999999999999858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/>
      <c r="L115" s="51">
        <v>21.6</v>
      </c>
      <c r="M115" s="51"/>
      <c r="N115" s="51"/>
      <c r="O115" s="51"/>
      <c r="P115" s="51">
        <v>22</v>
      </c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21.6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20.2</v>
      </c>
      <c r="L116" s="51">
        <v>19.399999999999999</v>
      </c>
      <c r="M116" s="51">
        <v>20.2</v>
      </c>
      <c r="N116" s="51">
        <v>21.2</v>
      </c>
      <c r="O116" s="51">
        <v>22.4</v>
      </c>
      <c r="P116" s="51">
        <v>20.2</v>
      </c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6</v>
      </c>
      <c r="AQ116" s="89" t="str">
        <f t="shared" si="7"/>
        <v/>
      </c>
      <c r="AR116" s="89">
        <f>IFERROR(VLOOKUP(A116,Climatologia!A:U,9+$E$2,FALSE),"")</f>
        <v>18.540485312899111</v>
      </c>
      <c r="AS116" s="89" t="str">
        <f t="shared" si="8"/>
        <v/>
      </c>
      <c r="AT116" s="90">
        <f t="shared" si="9"/>
        <v>19.399999999999999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14.5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22.2</v>
      </c>
      <c r="L117" s="51"/>
      <c r="M117" s="51">
        <v>22.4</v>
      </c>
      <c r="N117" s="51">
        <v>22.2</v>
      </c>
      <c r="O117" s="51">
        <v>22</v>
      </c>
      <c r="P117" s="51">
        <v>22.2</v>
      </c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5</v>
      </c>
      <c r="AQ117" s="89" t="str">
        <f t="shared" si="7"/>
        <v/>
      </c>
      <c r="AR117" s="89">
        <f>IFERROR(VLOOKUP(A117,Climatologia!A:U,9+$E$2,FALSE),"")</f>
        <v>22.374270023718299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7" s="92">
        <f t="shared" si="10"/>
        <v>4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21.63752371829958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4.5999999999999996</v>
      </c>
      <c r="L119" s="51">
        <v>7.4</v>
      </c>
      <c r="M119" s="51">
        <v>9.6</v>
      </c>
      <c r="N119" s="51">
        <v>8</v>
      </c>
      <c r="O119" s="51">
        <v>9.1999999999999993</v>
      </c>
      <c r="P119" s="51">
        <v>7.6</v>
      </c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6</v>
      </c>
      <c r="AQ119" s="89" t="str">
        <f t="shared" si="7"/>
        <v/>
      </c>
      <c r="AR119" s="89">
        <f>IFERROR(VLOOKUP(A119,Climatologia!A:U,9+$E$2,FALSE),"")</f>
        <v>5.3443424510780826</v>
      </c>
      <c r="AS119" s="89" t="str">
        <f t="shared" si="8"/>
        <v/>
      </c>
      <c r="AT119" s="90">
        <f t="shared" si="9"/>
        <v>4.5999999999999996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19.974118469865591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8.3000000000000007</v>
      </c>
      <c r="L121" s="51">
        <v>9.3000000000000007</v>
      </c>
      <c r="M121" s="51">
        <v>10.5</v>
      </c>
      <c r="N121" s="51">
        <v>12.9</v>
      </c>
      <c r="O121" s="51">
        <v>12.4</v>
      </c>
      <c r="P121" s="51">
        <v>12.7</v>
      </c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6</v>
      </c>
      <c r="AQ121" s="89" t="str">
        <f t="shared" si="7"/>
        <v/>
      </c>
      <c r="AR121" s="89">
        <f>IFERROR(VLOOKUP(A121,Climatologia!A:U,9+$E$2,FALSE),"")</f>
        <v>10.619220882169749</v>
      </c>
      <c r="AS121" s="89" t="str">
        <f t="shared" si="8"/>
        <v/>
      </c>
      <c r="AT121" s="90">
        <f t="shared" si="9"/>
        <v>8.3000000000000007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3.4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1" s="92">
        <f t="shared" si="10"/>
        <v>4.9000000000000004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13.27264042872071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5.4</v>
      </c>
      <c r="L123" s="51">
        <v>6.8</v>
      </c>
      <c r="M123" s="51">
        <v>9.8000000000000007</v>
      </c>
      <c r="N123" s="51">
        <v>7.8</v>
      </c>
      <c r="O123" s="51">
        <v>9.1999999999999993</v>
      </c>
      <c r="P123" s="51">
        <v>7.2</v>
      </c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6</v>
      </c>
      <c r="AQ123" s="89" t="str">
        <f t="shared" si="7"/>
        <v/>
      </c>
      <c r="AR123" s="89">
        <f>IFERROR(VLOOKUP(A123,Climatologia!A:U,9+$E$2,FALSE),"")</f>
        <v>7.3917414401264976</v>
      </c>
      <c r="AS123" s="89" t="str">
        <f t="shared" si="8"/>
        <v/>
      </c>
      <c r="AT123" s="90">
        <f t="shared" si="9"/>
        <v>5.4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3" s="92">
        <f t="shared" si="10"/>
        <v>4.2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20.95607142857143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17.399999999999999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23.01698412698412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11.4</v>
      </c>
      <c r="L126" s="51">
        <v>12.6</v>
      </c>
      <c r="M126" s="51">
        <v>13.9</v>
      </c>
      <c r="N126" s="51">
        <v>13.8</v>
      </c>
      <c r="O126" s="51">
        <v>13.7</v>
      </c>
      <c r="P126" s="51">
        <v>13.2</v>
      </c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6</v>
      </c>
      <c r="AQ126" s="89" t="str">
        <f t="shared" si="7"/>
        <v/>
      </c>
      <c r="AR126" s="89">
        <f>IFERROR(VLOOKUP(A126,Climatologia!A:U,9+$E$2,FALSE),"")</f>
        <v>11.326784072249589</v>
      </c>
      <c r="AS126" s="89" t="str">
        <f t="shared" si="8"/>
        <v/>
      </c>
      <c r="AT126" s="90">
        <f t="shared" si="9"/>
        <v>11.4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6" s="92">
        <f t="shared" si="10"/>
        <v>6.7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13.4</v>
      </c>
      <c r="L127" s="51">
        <v>14.4</v>
      </c>
      <c r="M127" s="51">
        <v>15.8</v>
      </c>
      <c r="N127" s="51">
        <v>15.4</v>
      </c>
      <c r="O127" s="51">
        <v>15.2</v>
      </c>
      <c r="P127" s="51">
        <v>15.6</v>
      </c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6</v>
      </c>
      <c r="AQ127" s="89" t="str">
        <f t="shared" si="7"/>
        <v/>
      </c>
      <c r="AR127" s="89">
        <f>IFERROR(VLOOKUP(A127,Climatologia!A:U,9+$E$2,FALSE),"")</f>
        <v>13.24615019157088</v>
      </c>
      <c r="AS127" s="89" t="str">
        <f t="shared" si="8"/>
        <v/>
      </c>
      <c r="AT127" s="90">
        <f t="shared" si="9"/>
        <v>13.4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7" s="92">
        <f t="shared" si="10"/>
        <v>5.2000000000000011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14.9793962585034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10.199999999999999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8.8000000000000007</v>
      </c>
      <c r="L129" s="51">
        <v>10.199999999999999</v>
      </c>
      <c r="M129" s="51">
        <v>10.8</v>
      </c>
      <c r="N129" s="51">
        <v>9.6</v>
      </c>
      <c r="O129" s="51">
        <v>11.4</v>
      </c>
      <c r="P129" s="51">
        <v>9.1999999999999993</v>
      </c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6</v>
      </c>
      <c r="AQ129" s="89" t="str">
        <f t="shared" si="7"/>
        <v/>
      </c>
      <c r="AR129" s="89">
        <f>IFERROR(VLOOKUP(A129,Climatologia!A:U,9+$E$2,FALSE),"")</f>
        <v>9.1450862068965524</v>
      </c>
      <c r="AS129" s="89" t="str">
        <f t="shared" si="8"/>
        <v/>
      </c>
      <c r="AT129" s="90">
        <f t="shared" si="9"/>
        <v>8.8000000000000007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9" s="92">
        <f t="shared" si="10"/>
        <v>4.8000000000000007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9.4</v>
      </c>
      <c r="L130" s="51">
        <v>13</v>
      </c>
      <c r="M130" s="51">
        <v>12.6</v>
      </c>
      <c r="N130" s="51">
        <v>13</v>
      </c>
      <c r="O130" s="51">
        <v>12.4</v>
      </c>
      <c r="P130" s="51">
        <v>11.8</v>
      </c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6</v>
      </c>
      <c r="AQ130" s="89" t="str">
        <f t="shared" si="7"/>
        <v/>
      </c>
      <c r="AR130" s="89">
        <f>IFERROR(VLOOKUP(A130,Climatologia!A:U,9+$E$2,FALSE),"")</f>
        <v>10.51523938340441</v>
      </c>
      <c r="AS130" s="89" t="str">
        <f t="shared" si="8"/>
        <v/>
      </c>
      <c r="AT130" s="90">
        <f t="shared" si="9"/>
        <v>9.4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7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30" s="92">
        <f t="shared" si="10"/>
        <v>2.4000000000000004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14.6</v>
      </c>
      <c r="L131" s="51">
        <v>15.2</v>
      </c>
      <c r="M131" s="51">
        <v>14.8</v>
      </c>
      <c r="N131" s="51">
        <v>16</v>
      </c>
      <c r="O131" s="51">
        <v>15.6</v>
      </c>
      <c r="P131" s="51">
        <v>15.4</v>
      </c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6</v>
      </c>
      <c r="AQ131" s="89" t="str">
        <f t="shared" si="7"/>
        <v/>
      </c>
      <c r="AR131" s="89">
        <f>IFERROR(VLOOKUP(A131,Climatologia!A:U,9+$E$2,FALSE),"")</f>
        <v>14.537346512473739</v>
      </c>
      <c r="AS131" s="89" t="str">
        <f t="shared" si="8"/>
        <v/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10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1" s="92">
        <f t="shared" si="10"/>
        <v>4.5999999999999996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2.2000000000000002</v>
      </c>
      <c r="L132" s="51">
        <v>3</v>
      </c>
      <c r="M132" s="51">
        <v>6.2</v>
      </c>
      <c r="N132" s="51">
        <v>6.4</v>
      </c>
      <c r="O132" s="51">
        <v>6</v>
      </c>
      <c r="P132" s="51">
        <v>6.4</v>
      </c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6</v>
      </c>
      <c r="AQ132" s="89" t="str">
        <f t="shared" si="7"/>
        <v/>
      </c>
      <c r="AR132" s="89">
        <f>IFERROR(VLOOKUP(A132,Climatologia!A:U,9+$E$2,FALSE),"")</f>
        <v>5.9172796934865914</v>
      </c>
      <c r="AS132" s="89" t="str">
        <f t="shared" si="8"/>
        <v/>
      </c>
      <c r="AT132" s="90">
        <f t="shared" si="9"/>
        <v>2.2000000000000002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2" s="92">
        <f t="shared" si="10"/>
        <v>1.0000000000000002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15.46328945133345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14.2</v>
      </c>
      <c r="L134" s="51">
        <v>16</v>
      </c>
      <c r="M134" s="51">
        <v>15.8</v>
      </c>
      <c r="N134" s="51">
        <v>16.2</v>
      </c>
      <c r="O134" s="51">
        <v>15.4</v>
      </c>
      <c r="P134" s="51">
        <v>17</v>
      </c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6</v>
      </c>
      <c r="AQ134" s="89" t="str">
        <f t="shared" si="12"/>
        <v/>
      </c>
      <c r="AR134" s="89">
        <f>IFERROR(VLOOKUP(A134,Climatologia!A:U,9+$E$2,FALSE),"")</f>
        <v>13.931554654444071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10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4" s="92">
        <f t="shared" si="15"/>
        <v>4.1999999999999993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8.4</v>
      </c>
      <c r="L135" s="51">
        <v>9</v>
      </c>
      <c r="M135" s="51">
        <v>12</v>
      </c>
      <c r="N135" s="51">
        <v>12</v>
      </c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4</v>
      </c>
      <c r="AQ135" s="89" t="str">
        <f t="shared" si="12"/>
        <v/>
      </c>
      <c r="AR135" s="89">
        <f>IFERROR(VLOOKUP(A135,Climatologia!A:U,9+$E$2,FALSE),"")</f>
        <v>9.2348212445501403</v>
      </c>
      <c r="AS135" s="89" t="str">
        <f t="shared" si="13"/>
        <v/>
      </c>
      <c r="AT135" s="90">
        <f t="shared" si="14"/>
        <v>8.4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5" s="92">
        <f t="shared" si="15"/>
        <v>3.4000000000000004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10.4</v>
      </c>
      <c r="L136" s="51">
        <v>12</v>
      </c>
      <c r="M136" s="51">
        <v>13.8</v>
      </c>
      <c r="N136" s="51">
        <v>9.1999999999999993</v>
      </c>
      <c r="O136" s="51">
        <v>16</v>
      </c>
      <c r="P136" s="51">
        <v>14.4</v>
      </c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6</v>
      </c>
      <c r="AQ136" s="89" t="str">
        <f t="shared" si="12"/>
        <v/>
      </c>
      <c r="AR136" s="89">
        <f>IFERROR(VLOOKUP(A136,Climatologia!A:U,9+$E$2,FALSE),"")</f>
        <v>12.205965517241379</v>
      </c>
      <c r="AS136" s="89" t="str">
        <f t="shared" si="13"/>
        <v/>
      </c>
      <c r="AT136" s="90">
        <f t="shared" si="14"/>
        <v>9.1999999999999993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6" s="92">
        <f t="shared" si="15"/>
        <v>1.1999999999999993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6.4</v>
      </c>
      <c r="L137" s="51">
        <v>9.1999999999999993</v>
      </c>
      <c r="M137" s="51">
        <v>10.8</v>
      </c>
      <c r="N137" s="51">
        <v>9</v>
      </c>
      <c r="O137" s="51">
        <v>10.8</v>
      </c>
      <c r="P137" s="51">
        <v>8</v>
      </c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6</v>
      </c>
      <c r="AQ137" s="89" t="str">
        <f t="shared" si="12"/>
        <v/>
      </c>
      <c r="AR137" s="89">
        <f>IFERROR(VLOOKUP(A137,Climatologia!A:U,9+$E$2,FALSE),"")</f>
        <v>8.3700583367250037</v>
      </c>
      <c r="AS137" s="89" t="str">
        <f t="shared" si="13"/>
        <v/>
      </c>
      <c r="AT137" s="90">
        <f t="shared" si="14"/>
        <v>6.4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2.8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7" s="92">
        <f t="shared" si="15"/>
        <v>3.6000000000000005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6</v>
      </c>
      <c r="L138" s="51">
        <v>6.2</v>
      </c>
      <c r="M138" s="51">
        <v>8.4</v>
      </c>
      <c r="N138" s="51">
        <v>8</v>
      </c>
      <c r="O138" s="51">
        <v>8.4</v>
      </c>
      <c r="P138" s="51">
        <v>5.6</v>
      </c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6</v>
      </c>
      <c r="AQ138" s="89" t="str">
        <f t="shared" si="12"/>
        <v/>
      </c>
      <c r="AR138" s="89">
        <f>IFERROR(VLOOKUP(A138,Climatologia!A:U,9+$E$2,FALSE),"")</f>
        <v>6.6653428458184703</v>
      </c>
      <c r="AS138" s="89" t="str">
        <f t="shared" si="13"/>
        <v/>
      </c>
      <c r="AT138" s="90">
        <f t="shared" si="14"/>
        <v>5.6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2.2000000000000002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8" s="92">
        <f t="shared" si="15"/>
        <v>3.3999999999999995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23.8</v>
      </c>
      <c r="L139" s="51">
        <v>23.6</v>
      </c>
      <c r="M139" s="51">
        <v>24.2</v>
      </c>
      <c r="N139" s="51">
        <v>25.4</v>
      </c>
      <c r="O139" s="51">
        <v>24.6</v>
      </c>
      <c r="P139" s="51">
        <v>24.2</v>
      </c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6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11.8</v>
      </c>
      <c r="L140" s="51">
        <v>12</v>
      </c>
      <c r="M140" s="51">
        <v>12.2</v>
      </c>
      <c r="N140" s="51">
        <v>10.4</v>
      </c>
      <c r="O140" s="51">
        <v>12.2</v>
      </c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5</v>
      </c>
      <c r="AQ140" s="89" t="str">
        <f t="shared" si="12"/>
        <v/>
      </c>
      <c r="AR140" s="89">
        <f>IFERROR(VLOOKUP(A140,Climatologia!A:U,9+$E$2,FALSE),"")</f>
        <v>10.703855500821019</v>
      </c>
      <c r="AS140" s="89" t="str">
        <f t="shared" si="13"/>
        <v/>
      </c>
      <c r="AT140" s="90">
        <f t="shared" si="14"/>
        <v>10.4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40" s="92">
        <f t="shared" si="15"/>
        <v>5.4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16.2</v>
      </c>
      <c r="L141" s="51">
        <v>15.6</v>
      </c>
      <c r="M141" s="51">
        <v>15.4</v>
      </c>
      <c r="N141" s="51">
        <v>14.6</v>
      </c>
      <c r="O141" s="51">
        <v>14.8</v>
      </c>
      <c r="P141" s="51">
        <v>14.4</v>
      </c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6</v>
      </c>
      <c r="AQ141" s="89" t="str">
        <f t="shared" si="12"/>
        <v/>
      </c>
      <c r="AR141" s="89">
        <f>IFERROR(VLOOKUP(A141,Climatologia!A:U,9+$E$2,FALSE),"")</f>
        <v>14.545254688445249</v>
      </c>
      <c r="AS141" s="89" t="str">
        <f t="shared" si="13"/>
        <v/>
      </c>
      <c r="AT141" s="90">
        <f t="shared" si="14"/>
        <v>14.4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1" s="92">
        <f t="shared" si="15"/>
        <v>2.5999999999999996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24.8</v>
      </c>
      <c r="L142" s="51">
        <v>24.4</v>
      </c>
      <c r="M142" s="51">
        <v>23.4</v>
      </c>
      <c r="N142" s="51">
        <v>24.2</v>
      </c>
      <c r="O142" s="51">
        <v>24.4</v>
      </c>
      <c r="P142" s="51">
        <v>24.8</v>
      </c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6</v>
      </c>
      <c r="AQ142" s="89" t="str">
        <f t="shared" si="12"/>
        <v/>
      </c>
      <c r="AR142" s="89">
        <f>IFERROR(VLOOKUP(A142,Climatologia!A:U,9+$E$2,FALSE),"")</f>
        <v>22.455977862920388</v>
      </c>
      <c r="AS142" s="89" t="str">
        <f t="shared" si="13"/>
        <v/>
      </c>
      <c r="AT142" s="90">
        <f t="shared" si="14"/>
        <v>23.4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19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2" s="92">
        <f t="shared" si="15"/>
        <v>4.3999999999999986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20.399999999999999</v>
      </c>
      <c r="L143" s="51">
        <v>21</v>
      </c>
      <c r="M143" s="51">
        <v>21.2</v>
      </c>
      <c r="N143" s="51">
        <v>20.6</v>
      </c>
      <c r="O143" s="51">
        <v>20.399999999999999</v>
      </c>
      <c r="P143" s="51">
        <v>20.399999999999999</v>
      </c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6</v>
      </c>
      <c r="AQ143" s="89" t="str">
        <f t="shared" si="12"/>
        <v/>
      </c>
      <c r="AR143" s="89">
        <f>IFERROR(VLOOKUP(A143,Climatologia!A:U,9+$E$2,FALSE),"")</f>
        <v>19.329999999999998</v>
      </c>
      <c r="AS143" s="89" t="str">
        <f t="shared" si="13"/>
        <v/>
      </c>
      <c r="AT143" s="90">
        <f t="shared" si="14"/>
        <v>20.399999999999999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3" s="92">
        <f t="shared" si="15"/>
        <v>5.1999999999999993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25.2</v>
      </c>
      <c r="M144" s="51">
        <v>24.8</v>
      </c>
      <c r="N144" s="51">
        <v>24.2</v>
      </c>
      <c r="O144" s="51">
        <v>25</v>
      </c>
      <c r="P144" s="51">
        <v>24.4</v>
      </c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6</v>
      </c>
      <c r="AQ144" s="89" t="str">
        <f t="shared" si="12"/>
        <v/>
      </c>
      <c r="AR144" s="89">
        <f>IFERROR(VLOOKUP(A144,Climatologia!A:U,9+$E$2,FALSE),"")</f>
        <v>23.11510704812429</v>
      </c>
      <c r="AS144" s="89" t="str">
        <f t="shared" si="13"/>
        <v/>
      </c>
      <c r="AT144" s="90">
        <f t="shared" si="14"/>
        <v>24.2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4" s="92">
        <f t="shared" si="15"/>
        <v>8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18.2</v>
      </c>
      <c r="L145" s="51">
        <v>18</v>
      </c>
      <c r="M145" s="51">
        <v>17.2</v>
      </c>
      <c r="N145" s="51">
        <v>17.600000000000001</v>
      </c>
      <c r="O145" s="51">
        <v>16.600000000000001</v>
      </c>
      <c r="P145" s="51">
        <v>15.2</v>
      </c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6</v>
      </c>
      <c r="AQ145" s="89" t="str">
        <f t="shared" si="12"/>
        <v/>
      </c>
      <c r="AR145" s="89">
        <f>IFERROR(VLOOKUP(A145,Climatologia!A:U,9+$E$2,FALSE),"")</f>
        <v>16.00302197802198</v>
      </c>
      <c r="AS145" s="89" t="str">
        <f t="shared" si="13"/>
        <v/>
      </c>
      <c r="AT145" s="90">
        <f t="shared" si="14"/>
        <v>15.2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11.4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5" s="92">
        <f t="shared" si="15"/>
        <v>3.7999999999999989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</v>
      </c>
      <c r="L146" s="51">
        <v>14</v>
      </c>
      <c r="M146" s="51">
        <v>14</v>
      </c>
      <c r="N146" s="51">
        <v>13.6</v>
      </c>
      <c r="O146" s="51">
        <v>16.2</v>
      </c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5</v>
      </c>
      <c r="AQ146" s="89" t="str">
        <f t="shared" si="12"/>
        <v/>
      </c>
      <c r="AR146" s="89">
        <f>IFERROR(VLOOKUP(A146,Climatologia!A:U,9+$E$2,FALSE),"")</f>
        <v>14.45928882262166</v>
      </c>
      <c r="AS146" s="89" t="str">
        <f t="shared" si="13"/>
        <v/>
      </c>
      <c r="AT146" s="90">
        <f t="shared" si="14"/>
        <v>13.6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8.6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6" s="92">
        <f t="shared" si="15"/>
        <v>5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17.2</v>
      </c>
      <c r="L147" s="51">
        <v>17</v>
      </c>
      <c r="M147" s="51">
        <v>16.2</v>
      </c>
      <c r="N147" s="51">
        <v>16.2</v>
      </c>
      <c r="O147" s="51">
        <v>16.600000000000001</v>
      </c>
      <c r="P147" s="51">
        <v>16.8</v>
      </c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6</v>
      </c>
      <c r="AQ147" s="89" t="str">
        <f t="shared" si="12"/>
        <v/>
      </c>
      <c r="AR147" s="89">
        <f>IFERROR(VLOOKUP(A147,Climatologia!A:U,9+$E$2,FALSE),"")</f>
        <v>14.599499815025331</v>
      </c>
      <c r="AS147" s="89" t="str">
        <f t="shared" si="13"/>
        <v/>
      </c>
      <c r="AT147" s="90">
        <f t="shared" si="14"/>
        <v>16.2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11.2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7" s="92">
        <f t="shared" si="15"/>
        <v>5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22.255609026988331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19.720218938149969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16.399999999999999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25.8</v>
      </c>
      <c r="L150" s="51">
        <v>25.2</v>
      </c>
      <c r="M150" s="51">
        <v>24.8</v>
      </c>
      <c r="N150" s="51">
        <v>24</v>
      </c>
      <c r="O150" s="51">
        <v>23.8</v>
      </c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5</v>
      </c>
      <c r="AQ150" s="89" t="str">
        <f t="shared" si="12"/>
        <v/>
      </c>
      <c r="AR150" s="89">
        <f>IFERROR(VLOOKUP(A150,Climatologia!A:U,9+$E$2,FALSE),"")</f>
        <v>22.212792092964509</v>
      </c>
      <c r="AS150" s="89" t="str">
        <f t="shared" si="13"/>
        <v/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24.4</v>
      </c>
      <c r="L151" s="51">
        <v>25</v>
      </c>
      <c r="M151" s="51">
        <v>24.4</v>
      </c>
      <c r="N151" s="51">
        <v>23.4</v>
      </c>
      <c r="O151" s="51">
        <v>24.8</v>
      </c>
      <c r="P151" s="51">
        <v>24.4</v>
      </c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6</v>
      </c>
      <c r="AQ151" s="89" t="str">
        <f t="shared" si="12"/>
        <v/>
      </c>
      <c r="AR151" s="89">
        <f>IFERROR(VLOOKUP(A151,Climatologia!A:U,9+$E$2,FALSE),"")</f>
        <v>23.24969243701382</v>
      </c>
      <c r="AS151" s="89" t="str">
        <f t="shared" si="13"/>
        <v/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15.4</v>
      </c>
      <c r="L152" s="51">
        <v>15.4</v>
      </c>
      <c r="M152" s="51">
        <v>15</v>
      </c>
      <c r="N152" s="51">
        <v>14.8</v>
      </c>
      <c r="O152" s="51">
        <v>14.2</v>
      </c>
      <c r="P152" s="51">
        <v>14.8</v>
      </c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6</v>
      </c>
      <c r="AQ152" s="89" t="str">
        <f t="shared" si="12"/>
        <v/>
      </c>
      <c r="AR152" s="89">
        <f>IFERROR(VLOOKUP(A152,Climatologia!A:U,9+$E$2,FALSE),"")</f>
        <v>14.218116214197231</v>
      </c>
      <c r="AS152" s="89" t="str">
        <f t="shared" si="13"/>
        <v/>
      </c>
      <c r="AT152" s="90">
        <f t="shared" si="14"/>
        <v>14.2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2" s="92">
        <f t="shared" si="15"/>
        <v>3.1999999999999993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21.2</v>
      </c>
      <c r="L153" s="51">
        <v>19.8</v>
      </c>
      <c r="M153" s="51">
        <v>20.399999999999999</v>
      </c>
      <c r="N153" s="51">
        <v>19.399999999999999</v>
      </c>
      <c r="O153" s="51">
        <v>20.399999999999999</v>
      </c>
      <c r="P153" s="51">
        <v>20</v>
      </c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6</v>
      </c>
      <c r="AQ153" s="89" t="str">
        <f t="shared" si="12"/>
        <v/>
      </c>
      <c r="AR153" s="89">
        <f>IFERROR(VLOOKUP(A153,Climatologia!A:U,9+$E$2,FALSE),"")</f>
        <v>19.470720699479319</v>
      </c>
      <c r="AS153" s="89" t="str">
        <f t="shared" si="13"/>
        <v/>
      </c>
      <c r="AT153" s="90">
        <f t="shared" si="14"/>
        <v>19.399999999999999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3" s="92">
        <f t="shared" si="15"/>
        <v>5.3999999999999986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</v>
      </c>
      <c r="L154" s="51">
        <v>16.2</v>
      </c>
      <c r="M154" s="51">
        <v>17</v>
      </c>
      <c r="N154" s="51">
        <v>16</v>
      </c>
      <c r="O154" s="51">
        <v>16</v>
      </c>
      <c r="P154" s="51">
        <v>15.2</v>
      </c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6</v>
      </c>
      <c r="AQ154" s="89" t="str">
        <f t="shared" si="12"/>
        <v/>
      </c>
      <c r="AR154" s="89">
        <f>IFERROR(VLOOKUP(A154,Climatologia!A:U,9+$E$2,FALSE),"")</f>
        <v>15.55247935291613</v>
      </c>
      <c r="AS154" s="89" t="str">
        <f t="shared" si="13"/>
        <v/>
      </c>
      <c r="AT154" s="90">
        <f t="shared" si="14"/>
        <v>15.2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4" s="92">
        <f t="shared" si="15"/>
        <v>4.1999999999999993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19.399999999999999</v>
      </c>
      <c r="L155" s="51">
        <v>19</v>
      </c>
      <c r="M155" s="51">
        <v>18.8</v>
      </c>
      <c r="N155" s="51">
        <v>19.2</v>
      </c>
      <c r="O155" s="51">
        <v>18.600000000000001</v>
      </c>
      <c r="P155" s="51">
        <v>19.600000000000001</v>
      </c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6</v>
      </c>
      <c r="AQ155" s="89" t="str">
        <f t="shared" si="12"/>
        <v/>
      </c>
      <c r="AR155" s="89">
        <f>IFERROR(VLOOKUP(A155,Climatologia!A:U,9+$E$2,FALSE),"")</f>
        <v>17.95067323481117</v>
      </c>
      <c r="AS155" s="89" t="str">
        <f t="shared" si="13"/>
        <v/>
      </c>
      <c r="AT155" s="90">
        <f t="shared" si="14"/>
        <v>18.600000000000001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11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5" s="92">
        <f t="shared" si="15"/>
        <v>7.6000000000000014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13.359148505747131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8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9</v>
      </c>
      <c r="L157" s="51">
        <v>10</v>
      </c>
      <c r="M157" s="51">
        <v>10</v>
      </c>
      <c r="N157" s="51">
        <v>9.1999999999999993</v>
      </c>
      <c r="O157" s="51">
        <v>9</v>
      </c>
      <c r="P157" s="51">
        <v>10.6</v>
      </c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6</v>
      </c>
      <c r="AQ157" s="89" t="str">
        <f t="shared" si="12"/>
        <v/>
      </c>
      <c r="AR157" s="89">
        <f>IFERROR(VLOOKUP(A157,Climatologia!A:U,9+$E$2,FALSE),"")</f>
        <v>8.9902791461412157</v>
      </c>
      <c r="AS157" s="89" t="str">
        <f t="shared" si="13"/>
        <v/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5.4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7" s="92">
        <f t="shared" si="15"/>
        <v>3.5999999999999996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13.8</v>
      </c>
      <c r="L158" s="51">
        <v>14.2</v>
      </c>
      <c r="M158" s="51">
        <v>14.4</v>
      </c>
      <c r="N158" s="51">
        <v>14</v>
      </c>
      <c r="O158" s="51">
        <v>12.8</v>
      </c>
      <c r="P158" s="51">
        <v>14</v>
      </c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6</v>
      </c>
      <c r="AQ158" s="89" t="str">
        <f t="shared" si="12"/>
        <v/>
      </c>
      <c r="AR158" s="89">
        <f>IFERROR(VLOOKUP(A158,Climatologia!A:U,9+$E$2,FALSE),"")</f>
        <v>14.050960919540231</v>
      </c>
      <c r="AS158" s="89" t="str">
        <f t="shared" si="13"/>
        <v/>
      </c>
      <c r="AT158" s="90">
        <f t="shared" si="14"/>
        <v>12.8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8" s="92">
        <f t="shared" si="15"/>
        <v>1.8000000000000007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21.4</v>
      </c>
      <c r="L159" s="51">
        <v>21</v>
      </c>
      <c r="M159" s="51">
        <v>21.2</v>
      </c>
      <c r="N159" s="51">
        <v>21.6</v>
      </c>
      <c r="O159" s="51">
        <v>21</v>
      </c>
      <c r="P159" s="51">
        <v>19.2</v>
      </c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6</v>
      </c>
      <c r="AQ159" s="89" t="str">
        <f t="shared" si="12"/>
        <v/>
      </c>
      <c r="AR159" s="89">
        <f>IFERROR(VLOOKUP(A159,Climatologia!A:U,9+$E$2,FALSE),"")</f>
        <v>19.856944177063081</v>
      </c>
      <c r="AS159" s="89" t="str">
        <f t="shared" si="13"/>
        <v/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16.2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9" s="92">
        <f t="shared" si="15"/>
        <v>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5.4</v>
      </c>
      <c r="L160" s="51">
        <v>6.6</v>
      </c>
      <c r="M160" s="51">
        <v>7.2</v>
      </c>
      <c r="N160" s="51">
        <v>5.8</v>
      </c>
      <c r="O160" s="51">
        <v>6.2</v>
      </c>
      <c r="P160" s="51">
        <v>6.6</v>
      </c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6</v>
      </c>
      <c r="AQ160" s="89" t="str">
        <f t="shared" si="12"/>
        <v/>
      </c>
      <c r="AR160" s="89">
        <f>IFERROR(VLOOKUP(A160,Climatologia!A:U,9+$E$2,FALSE),"")</f>
        <v>5.302976940353874</v>
      </c>
      <c r="AS160" s="89" t="str">
        <f t="shared" si="13"/>
        <v/>
      </c>
      <c r="AT160" s="90">
        <f t="shared" si="14"/>
        <v>5.4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-4.4000000000000004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60" s="92">
        <f t="shared" si="15"/>
        <v>9.8000000000000007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22</v>
      </c>
      <c r="L161" s="51">
        <v>22.2</v>
      </c>
      <c r="M161" s="51">
        <v>20.2</v>
      </c>
      <c r="N161" s="51">
        <v>22</v>
      </c>
      <c r="O161" s="51">
        <v>20</v>
      </c>
      <c r="P161" s="51">
        <v>21</v>
      </c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6</v>
      </c>
      <c r="AQ161" s="89" t="str">
        <f t="shared" si="12"/>
        <v/>
      </c>
      <c r="AR161" s="89">
        <f>IFERROR(VLOOKUP(A161,Climatologia!A:U,9+$E$2,FALSE),"")</f>
        <v>20.703538991340711</v>
      </c>
      <c r="AS161" s="89" t="str">
        <f t="shared" si="13"/>
        <v/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16.399999999999999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14.8</v>
      </c>
      <c r="L162" s="51">
        <v>15.8</v>
      </c>
      <c r="M162" s="51">
        <v>16</v>
      </c>
      <c r="N162" s="51"/>
      <c r="O162" s="51">
        <v>15</v>
      </c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4</v>
      </c>
      <c r="AQ162" s="89" t="str">
        <f t="shared" si="12"/>
        <v/>
      </c>
      <c r="AR162" s="89">
        <f>IFERROR(VLOOKUP(A162,Climatologia!A:U,9+$E$2,FALSE),"")</f>
        <v>13.66748994960647</v>
      </c>
      <c r="AS162" s="89" t="str">
        <f t="shared" si="13"/>
        <v/>
      </c>
      <c r="AT162" s="90">
        <f t="shared" si="14"/>
        <v>14.8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2" s="92">
        <f t="shared" si="15"/>
        <v>4.8000000000000007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19</v>
      </c>
      <c r="L163" s="51">
        <v>19.600000000000001</v>
      </c>
      <c r="M163" s="51">
        <v>19</v>
      </c>
      <c r="N163" s="51">
        <v>18</v>
      </c>
      <c r="O163" s="51">
        <v>18.600000000000001</v>
      </c>
      <c r="P163" s="51">
        <v>18.399999999999999</v>
      </c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6</v>
      </c>
      <c r="AQ163" s="89" t="str">
        <f t="shared" si="12"/>
        <v/>
      </c>
      <c r="AR163" s="89">
        <f>IFERROR(VLOOKUP(A163,Climatologia!A:U,9+$E$2,FALSE),"")</f>
        <v>18.073157894736841</v>
      </c>
      <c r="AS163" s="89" t="str">
        <f t="shared" si="13"/>
        <v/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3" s="92">
        <f t="shared" si="15"/>
        <v>3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19</v>
      </c>
      <c r="L164" s="51">
        <v>20.399999999999999</v>
      </c>
      <c r="M164" s="51">
        <v>19</v>
      </c>
      <c r="N164" s="51">
        <v>19.2</v>
      </c>
      <c r="O164" s="51">
        <v>18</v>
      </c>
      <c r="P164" s="51">
        <v>18.600000000000001</v>
      </c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6</v>
      </c>
      <c r="AQ164" s="89" t="str">
        <f t="shared" si="12"/>
        <v/>
      </c>
      <c r="AR164" s="89">
        <f>IFERROR(VLOOKUP(A164,Climatologia!A:U,9+$E$2,FALSE),"")</f>
        <v>19.171552610996091</v>
      </c>
      <c r="AS164" s="89" t="str">
        <f t="shared" si="13"/>
        <v/>
      </c>
      <c r="AT164" s="90">
        <f t="shared" si="14"/>
        <v>18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4" s="92">
        <f t="shared" si="15"/>
        <v>2.3000000000000007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8</v>
      </c>
      <c r="M165" s="51">
        <v>9</v>
      </c>
      <c r="N165" s="51">
        <v>10.8</v>
      </c>
      <c r="O165" s="51">
        <v>9</v>
      </c>
      <c r="P165" s="51">
        <v>8</v>
      </c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6</v>
      </c>
      <c r="AQ165" s="89" t="str">
        <f t="shared" si="12"/>
        <v/>
      </c>
      <c r="AR165" s="89">
        <f>IFERROR(VLOOKUP(A165,Climatologia!A:U,9+$E$2,FALSE),"")</f>
        <v>8.1571670780627432</v>
      </c>
      <c r="AS165" s="89" t="str">
        <f t="shared" si="13"/>
        <v/>
      </c>
      <c r="AT165" s="90">
        <f t="shared" si="14"/>
        <v>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3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5" s="92">
        <f t="shared" si="15"/>
        <v>5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19.600000000000001</v>
      </c>
      <c r="L166" s="51">
        <v>19</v>
      </c>
      <c r="M166" s="51">
        <v>19.600000000000001</v>
      </c>
      <c r="N166" s="51"/>
      <c r="O166" s="51">
        <v>19.600000000000001</v>
      </c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4</v>
      </c>
      <c r="AQ166" s="89" t="str">
        <f t="shared" si="12"/>
        <v/>
      </c>
      <c r="AR166" s="89">
        <f>IFERROR(VLOOKUP(A166,Climatologia!A:U,9+$E$2,FALSE),"")</f>
        <v>17.38327387384858</v>
      </c>
      <c r="AS166" s="89" t="str">
        <f t="shared" si="13"/>
        <v/>
      </c>
      <c r="AT166" s="90">
        <f t="shared" si="14"/>
        <v>19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12.6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6" s="92">
        <f t="shared" si="15"/>
        <v>6.4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17.538792398415641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14.2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15.58295354982547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8.6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19.8</v>
      </c>
      <c r="L169" s="51">
        <v>20.2</v>
      </c>
      <c r="M169" s="51">
        <v>19.399999999999999</v>
      </c>
      <c r="N169" s="51">
        <v>19.8</v>
      </c>
      <c r="O169" s="51">
        <v>20.2</v>
      </c>
      <c r="P169" s="51">
        <v>19.600000000000001</v>
      </c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6</v>
      </c>
      <c r="AQ169" s="89" t="str">
        <f t="shared" si="12"/>
        <v/>
      </c>
      <c r="AR169" s="89">
        <f>IFERROR(VLOOKUP(A169,Climatologia!A:U,9+$E$2,FALSE),"")</f>
        <v>19.095617658203871</v>
      </c>
      <c r="AS169" s="89" t="str">
        <f t="shared" si="13"/>
        <v/>
      </c>
      <c r="AT169" s="90">
        <f t="shared" si="14"/>
        <v>19.399999999999999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9" s="92">
        <f t="shared" si="15"/>
        <v>4.3999999999999986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15.2</v>
      </c>
      <c r="L170" s="51">
        <v>15.6</v>
      </c>
      <c r="M170" s="51">
        <v>14</v>
      </c>
      <c r="N170" s="51">
        <v>14.8</v>
      </c>
      <c r="O170" s="51">
        <v>13.6</v>
      </c>
      <c r="P170" s="51">
        <v>14.2</v>
      </c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6</v>
      </c>
      <c r="AQ170" s="89" t="str">
        <f t="shared" si="12"/>
        <v/>
      </c>
      <c r="AR170" s="89">
        <f>IFERROR(VLOOKUP(A170,Climatologia!A:U,9+$E$2,FALSE),"")</f>
        <v>13.604003489326759</v>
      </c>
      <c r="AS170" s="89" t="str">
        <f t="shared" si="13"/>
        <v/>
      </c>
      <c r="AT170" s="90">
        <f t="shared" si="14"/>
        <v>13.6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70" s="92">
        <f t="shared" si="15"/>
        <v>7.6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11.71973333333333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20</v>
      </c>
      <c r="M172" s="51">
        <v>20.2</v>
      </c>
      <c r="N172" s="51">
        <v>20.399999999999999</v>
      </c>
      <c r="O172" s="51">
        <v>20.6</v>
      </c>
      <c r="P172" s="51">
        <v>21.2</v>
      </c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6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20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2" s="92">
        <f t="shared" si="15"/>
        <v>2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22.290641792860178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22.991182948434439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18.399999999999999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24.4</v>
      </c>
      <c r="L175" s="51">
        <v>21.6</v>
      </c>
      <c r="M175" s="51">
        <v>21.4</v>
      </c>
      <c r="N175" s="51">
        <v>21.8</v>
      </c>
      <c r="O175" s="51">
        <v>22.2</v>
      </c>
      <c r="P175" s="51">
        <v>20.6</v>
      </c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6</v>
      </c>
      <c r="AQ175" s="89" t="str">
        <f t="shared" si="12"/>
        <v/>
      </c>
      <c r="AR175" s="89">
        <f>IFERROR(VLOOKUP(A175,Climatologia!A:U,9+$E$2,FALSE),"")</f>
        <v>20.74341280266896</v>
      </c>
      <c r="AS175" s="89" t="str">
        <f t="shared" si="13"/>
        <v/>
      </c>
      <c r="AT175" s="90">
        <f t="shared" si="14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5" s="92">
        <f t="shared" si="15"/>
        <v>4.6000000000000014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24.4</v>
      </c>
      <c r="L176" s="51">
        <v>24.2</v>
      </c>
      <c r="M176" s="51">
        <v>23.4</v>
      </c>
      <c r="N176" s="51">
        <v>24.6</v>
      </c>
      <c r="O176" s="51">
        <v>25</v>
      </c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5</v>
      </c>
      <c r="AQ176" s="89" t="str">
        <f t="shared" si="12"/>
        <v/>
      </c>
      <c r="AR176" s="89">
        <f>IFERROR(VLOOKUP(A176,Climatologia!A:U,9+$E$2,FALSE),"")</f>
        <v>21.67335632183908</v>
      </c>
      <c r="AS176" s="89" t="str">
        <f t="shared" si="13"/>
        <v/>
      </c>
      <c r="AT176" s="90">
        <f t="shared" si="14"/>
        <v>23.4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6" s="92">
        <f t="shared" si="15"/>
        <v>7.3999999999999986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17.399999999999999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13.6</v>
      </c>
      <c r="L179" s="51">
        <v>12.4</v>
      </c>
      <c r="M179" s="51">
        <v>13.2</v>
      </c>
      <c r="N179" s="51">
        <v>12.6</v>
      </c>
      <c r="O179" s="51">
        <v>13.2</v>
      </c>
      <c r="P179" s="51">
        <v>13.8</v>
      </c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6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12.4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10.6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26.4</v>
      </c>
      <c r="L180" s="51">
        <v>22.8</v>
      </c>
      <c r="M180" s="51"/>
      <c r="N180" s="51">
        <v>22.6</v>
      </c>
      <c r="O180" s="51">
        <v>25.6</v>
      </c>
      <c r="P180" s="51">
        <v>25</v>
      </c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5</v>
      </c>
      <c r="AQ180" s="89" t="str">
        <f t="shared" si="12"/>
        <v/>
      </c>
      <c r="AR180" s="89">
        <f>IFERROR(VLOOKUP(A180,Climatologia!A:U,9+$E$2,FALSE),"")</f>
        <v>22.952130860571948</v>
      </c>
      <c r="AS180" s="89" t="str">
        <f t="shared" si="13"/>
        <v/>
      </c>
      <c r="AT180" s="90">
        <f t="shared" si="14"/>
        <v>22.6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80" s="92">
        <f t="shared" si="15"/>
        <v>3.6000000000000014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23.6</v>
      </c>
      <c r="L181" s="51">
        <v>21.8</v>
      </c>
      <c r="M181" s="51">
        <v>23.2</v>
      </c>
      <c r="N181" s="51">
        <v>23.8</v>
      </c>
      <c r="O181" s="51">
        <v>23.6</v>
      </c>
      <c r="P181" s="51">
        <v>22.2</v>
      </c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6</v>
      </c>
      <c r="AQ181" s="89" t="str">
        <f t="shared" si="12"/>
        <v/>
      </c>
      <c r="AR181" s="89">
        <f>IFERROR(VLOOKUP(A181,Climatologia!A:U,9+$E$2,FALSE),"")</f>
        <v>21.663136479048831</v>
      </c>
      <c r="AS181" s="89" t="str">
        <f t="shared" si="13"/>
        <v/>
      </c>
      <c r="AT181" s="90">
        <f t="shared" si="14"/>
        <v>21.8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16.2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1" s="92">
        <f t="shared" si="15"/>
        <v>5.6000000000000014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13.2</v>
      </c>
      <c r="M182" s="51">
        <v>13</v>
      </c>
      <c r="N182" s="51">
        <v>13.4</v>
      </c>
      <c r="O182" s="51">
        <v>13.2</v>
      </c>
      <c r="P182" s="51">
        <v>13</v>
      </c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6</v>
      </c>
      <c r="AQ182" s="89" t="str">
        <f t="shared" si="12"/>
        <v/>
      </c>
      <c r="AR182" s="89">
        <f>IFERROR(VLOOKUP(A182,Climatologia!A:U,9+$E$2,FALSE),"")</f>
        <v>14.28702791461412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18.8</v>
      </c>
      <c r="L183" s="51">
        <v>19.600000000000001</v>
      </c>
      <c r="M183" s="51">
        <v>17.2</v>
      </c>
      <c r="N183" s="51">
        <v>19.2</v>
      </c>
      <c r="O183" s="51">
        <v>19.600000000000001</v>
      </c>
      <c r="P183" s="51">
        <v>19</v>
      </c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6</v>
      </c>
      <c r="AQ183" s="89" t="str">
        <f t="shared" si="12"/>
        <v/>
      </c>
      <c r="AR183" s="89">
        <f>IFERROR(VLOOKUP(A183,Climatologia!A:U,9+$E$2,FALSE),"")</f>
        <v>19.90422009459251</v>
      </c>
      <c r="AS183" s="89" t="str">
        <f t="shared" si="13"/>
        <v/>
      </c>
      <c r="AT183" s="90">
        <f t="shared" si="14"/>
        <v>17.2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3" s="92">
        <f t="shared" si="15"/>
        <v>0.39999999999999858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21.4</v>
      </c>
      <c r="L184" s="51">
        <v>22.6</v>
      </c>
      <c r="M184" s="51">
        <v>22.4</v>
      </c>
      <c r="N184" s="51">
        <v>22.8</v>
      </c>
      <c r="O184" s="51">
        <v>23.8</v>
      </c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5</v>
      </c>
      <c r="AQ184" s="89" t="str">
        <f t="shared" si="12"/>
        <v/>
      </c>
      <c r="AR184" s="89">
        <f>IFERROR(VLOOKUP(A184,Climatologia!A:U,9+$E$2,FALSE),"")</f>
        <v>20.13286316365626</v>
      </c>
      <c r="AS184" s="89" t="str">
        <f t="shared" si="13"/>
        <v/>
      </c>
      <c r="AT184" s="90">
        <f t="shared" si="14"/>
        <v>21.4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4" s="92">
        <f t="shared" si="15"/>
        <v>5.3999999999999986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17.2</v>
      </c>
      <c r="L185" s="51">
        <v>17</v>
      </c>
      <c r="M185" s="51">
        <v>16</v>
      </c>
      <c r="N185" s="51">
        <v>15.8</v>
      </c>
      <c r="O185" s="51">
        <v>17.600000000000001</v>
      </c>
      <c r="P185" s="51">
        <v>16.399999999999999</v>
      </c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6</v>
      </c>
      <c r="AQ185" s="89" t="str">
        <f t="shared" si="12"/>
        <v/>
      </c>
      <c r="AR185" s="89">
        <f>IFERROR(VLOOKUP(A185,Climatologia!A:U,9+$E$2,FALSE),"")</f>
        <v>16.92344442575952</v>
      </c>
      <c r="AS185" s="89" t="str">
        <f t="shared" si="13"/>
        <v/>
      </c>
      <c r="AT185" s="90">
        <f t="shared" si="14"/>
        <v>15.8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5" s="92">
        <f t="shared" si="15"/>
        <v>3.8000000000000007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21.8</v>
      </c>
      <c r="L186" s="51">
        <v>20.6</v>
      </c>
      <c r="M186" s="51">
        <v>20.399999999999999</v>
      </c>
      <c r="N186" s="51">
        <v>21.6</v>
      </c>
      <c r="O186" s="51"/>
      <c r="P186" s="51">
        <v>23</v>
      </c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5</v>
      </c>
      <c r="AQ186" s="89" t="str">
        <f t="shared" si="12"/>
        <v/>
      </c>
      <c r="AR186" s="89">
        <f>IFERROR(VLOOKUP(A186,Climatologia!A:U,9+$E$2,FALSE),"")</f>
        <v>20.23041991214405</v>
      </c>
      <c r="AS186" s="89" t="str">
        <f t="shared" si="13"/>
        <v/>
      </c>
      <c r="AT186" s="90">
        <f t="shared" si="14"/>
        <v>20.399999999999999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6" s="92">
        <f t="shared" si="15"/>
        <v>3.3999999999999986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17.399999999999999</v>
      </c>
      <c r="L187" s="51">
        <v>16.2</v>
      </c>
      <c r="M187" s="51">
        <v>16.2</v>
      </c>
      <c r="N187" s="51">
        <v>18</v>
      </c>
      <c r="O187" s="51">
        <v>18.2</v>
      </c>
      <c r="P187" s="51">
        <v>19.2</v>
      </c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6</v>
      </c>
      <c r="AQ187" s="89" t="str">
        <f t="shared" si="12"/>
        <v/>
      </c>
      <c r="AR187" s="89">
        <f>IFERROR(VLOOKUP(A187,Climatologia!A:U,9+$E$2,FALSE),"")</f>
        <v>16.7940049395581</v>
      </c>
      <c r="AS187" s="89" t="str">
        <f t="shared" si="13"/>
        <v/>
      </c>
      <c r="AT187" s="90">
        <f t="shared" si="14"/>
        <v>16.2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7" s="92">
        <f t="shared" si="15"/>
        <v>2.1999999999999993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23.2</v>
      </c>
      <c r="L188" s="51">
        <v>20.8</v>
      </c>
      <c r="M188" s="51">
        <v>20.399999999999999</v>
      </c>
      <c r="N188" s="51">
        <v>20.8</v>
      </c>
      <c r="O188" s="51">
        <v>23.2</v>
      </c>
      <c r="P188" s="51">
        <v>22.6</v>
      </c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6</v>
      </c>
      <c r="AQ188" s="89" t="str">
        <f t="shared" si="12"/>
        <v/>
      </c>
      <c r="AR188" s="89">
        <f>IFERROR(VLOOKUP(A188,Climatologia!A:U,9+$E$2,FALSE),"")</f>
        <v>20.381504495550061</v>
      </c>
      <c r="AS188" s="89" t="str">
        <f t="shared" si="13"/>
        <v/>
      </c>
      <c r="AT188" s="90">
        <f t="shared" si="14"/>
        <v>20.399999999999999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14.8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8" s="92">
        <f t="shared" si="15"/>
        <v>5.5999999999999979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19.399999999999999</v>
      </c>
      <c r="L189" s="51">
        <v>17.8</v>
      </c>
      <c r="M189" s="51">
        <v>18.399999999999999</v>
      </c>
      <c r="N189" s="51">
        <v>17.8</v>
      </c>
      <c r="O189" s="51">
        <v>18.8</v>
      </c>
      <c r="P189" s="51">
        <v>18.399999999999999</v>
      </c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6</v>
      </c>
      <c r="AQ189" s="89" t="str">
        <f t="shared" si="12"/>
        <v/>
      </c>
      <c r="AR189" s="89">
        <f>IFERROR(VLOOKUP(A189,Climatologia!A:U,9+$E$2,FALSE),"")</f>
        <v>15.6368235879347</v>
      </c>
      <c r="AS189" s="89" t="str">
        <f t="shared" si="13"/>
        <v/>
      </c>
      <c r="AT189" s="90">
        <f t="shared" si="14"/>
        <v>17.8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9" s="92">
        <f t="shared" si="15"/>
        <v>6.6000000000000014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13.6</v>
      </c>
      <c r="L190" s="51">
        <v>13.8</v>
      </c>
      <c r="M190" s="51">
        <v>14.8</v>
      </c>
      <c r="N190" s="51">
        <v>13.4</v>
      </c>
      <c r="O190" s="51">
        <v>13.6</v>
      </c>
      <c r="P190" s="51">
        <v>14</v>
      </c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6</v>
      </c>
      <c r="AQ190" s="89" t="str">
        <f t="shared" si="12"/>
        <v/>
      </c>
      <c r="AR190" s="89">
        <f>IFERROR(VLOOKUP(A190,Climatologia!A:U,9+$E$2,FALSE),"")</f>
        <v>11.04110301039956</v>
      </c>
      <c r="AS190" s="89" t="str">
        <f t="shared" si="13"/>
        <v/>
      </c>
      <c r="AT190" s="90">
        <f t="shared" si="14"/>
        <v>13.4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8.4</v>
      </c>
      <c r="L191" s="51">
        <v>8.6</v>
      </c>
      <c r="M191" s="51">
        <v>7.4</v>
      </c>
      <c r="N191" s="51">
        <v>8.8000000000000007</v>
      </c>
      <c r="O191" s="51">
        <v>7</v>
      </c>
      <c r="P191" s="51">
        <v>6.4</v>
      </c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6</v>
      </c>
      <c r="AQ191" s="89" t="str">
        <f t="shared" si="12"/>
        <v/>
      </c>
      <c r="AR191" s="89">
        <f>IFERROR(VLOOKUP(A191,Climatologia!A:U,9+$E$2,FALSE),"")</f>
        <v>6.3320712773816243</v>
      </c>
      <c r="AS191" s="89" t="str">
        <f t="shared" si="13"/>
        <v/>
      </c>
      <c r="AT191" s="90">
        <f t="shared" si="14"/>
        <v>6.4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1" s="92">
        <f t="shared" si="15"/>
        <v>8.2000000000000011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24.2</v>
      </c>
      <c r="L192" s="51">
        <v>21.4</v>
      </c>
      <c r="M192" s="51">
        <v>21</v>
      </c>
      <c r="N192" s="51">
        <v>23.4</v>
      </c>
      <c r="O192" s="51">
        <v>23.6</v>
      </c>
      <c r="P192" s="51">
        <v>22.6</v>
      </c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6</v>
      </c>
      <c r="AQ192" s="89" t="str">
        <f t="shared" si="12"/>
        <v/>
      </c>
      <c r="AR192" s="89">
        <f>IFERROR(VLOOKUP(A192,Climatologia!A:U,9+$E$2,FALSE),"")</f>
        <v>20.01407453289416</v>
      </c>
      <c r="AS192" s="89" t="str">
        <f t="shared" si="13"/>
        <v/>
      </c>
      <c r="AT192" s="90">
        <f t="shared" si="14"/>
        <v>21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10.199999999999999</v>
      </c>
      <c r="L193" s="51">
        <v>10.4</v>
      </c>
      <c r="M193" s="51">
        <v>10.199999999999999</v>
      </c>
      <c r="N193" s="51">
        <v>9.4</v>
      </c>
      <c r="O193" s="51">
        <v>9.6</v>
      </c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5</v>
      </c>
      <c r="AQ193" s="89" t="str">
        <f t="shared" si="12"/>
        <v/>
      </c>
      <c r="AR193" s="89">
        <f>IFERROR(VLOOKUP(A193,Climatologia!A:U,9+$E$2,FALSE),"")</f>
        <v>7.2971740738735793</v>
      </c>
      <c r="AS193" s="89" t="str">
        <f t="shared" si="13"/>
        <v/>
      </c>
      <c r="AT193" s="90">
        <f t="shared" si="14"/>
        <v>9.4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3" s="92">
        <f t="shared" si="15"/>
        <v>7.4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8</v>
      </c>
      <c r="L194" s="51">
        <v>8.1999999999999993</v>
      </c>
      <c r="M194" s="51">
        <v>10.6</v>
      </c>
      <c r="N194" s="51">
        <v>8.1999999999999993</v>
      </c>
      <c r="O194" s="51">
        <v>10.6</v>
      </c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5</v>
      </c>
      <c r="AQ194" s="89" t="str">
        <f t="shared" si="12"/>
        <v/>
      </c>
      <c r="AR194" s="89">
        <f>IFERROR(VLOOKUP(A194,Climatologia!A:U,9+$E$2,FALSE),"")</f>
        <v>7.3102534256681198</v>
      </c>
      <c r="AS194" s="89" t="str">
        <f t="shared" si="13"/>
        <v/>
      </c>
      <c r="AT194" s="90">
        <f t="shared" si="14"/>
        <v>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4" s="92">
        <f t="shared" si="15"/>
        <v>6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7.6942555167267797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0.4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5.8</v>
      </c>
      <c r="L196" s="51">
        <v>8.6</v>
      </c>
      <c r="M196" s="51">
        <v>7.2</v>
      </c>
      <c r="N196" s="51">
        <v>8.1999999999999993</v>
      </c>
      <c r="O196" s="51">
        <v>5.8</v>
      </c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5</v>
      </c>
      <c r="AQ196" s="89" t="str">
        <f t="shared" si="12"/>
        <v/>
      </c>
      <c r="AR196" s="89">
        <f>IFERROR(VLOOKUP(A196,Climatologia!A:U,9+$E$2,FALSE),"")</f>
        <v>6.5871179225202194</v>
      </c>
      <c r="AS196" s="89" t="str">
        <f t="shared" si="13"/>
        <v/>
      </c>
      <c r="AT196" s="90">
        <f t="shared" si="14"/>
        <v>5.8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7.4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8.8000000000000007</v>
      </c>
      <c r="L197" s="51">
        <v>10</v>
      </c>
      <c r="M197" s="51">
        <v>8</v>
      </c>
      <c r="N197" s="51">
        <v>9.4</v>
      </c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08" si="16">COUNTIF(K197:AO197,"&gt;0")</f>
        <v>4</v>
      </c>
      <c r="AQ197" s="89" t="str">
        <f t="shared" ref="AQ197:AQ208" si="17">IF(AP197&gt;14,AVERAGE(K197:AO197),"")</f>
        <v/>
      </c>
      <c r="AR197" s="89">
        <f>IFERROR(VLOOKUP(A197,Climatologia!A:U,9+$E$2,FALSE),"")</f>
        <v>6.1188038398383222</v>
      </c>
      <c r="AS197" s="89" t="str">
        <f t="shared" ref="AS197:AS208" si="18">IF(OR(AQ197="",AR197=""),"",IFERROR(AQ197-AR197,""))</f>
        <v/>
      </c>
      <c r="AT197" s="90">
        <f t="shared" ref="AT197:AT208" si="19">IF(COUNT(K197:AO197)=0,"",MIN(K197:AO197))</f>
        <v>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-1.6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8" si="20">IF(OR(AT197="",AU197=""),"NA",IFERROR(AT197-AU197,"NA"))</f>
        <v>9.6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8.6</v>
      </c>
      <c r="L198" s="51">
        <v>9</v>
      </c>
      <c r="M198" s="51">
        <v>9.1999999999999993</v>
      </c>
      <c r="N198" s="51">
        <v>7.2</v>
      </c>
      <c r="O198" s="51">
        <v>10.4</v>
      </c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5</v>
      </c>
      <c r="AQ198" s="89" t="str">
        <f t="shared" si="17"/>
        <v/>
      </c>
      <c r="AR198" s="89">
        <f>IFERROR(VLOOKUP(A198,Climatologia!A:U,9+$E$2,FALSE),"")</f>
        <v>6.6913987808700464</v>
      </c>
      <c r="AS198" s="89" t="str">
        <f t="shared" si="18"/>
        <v/>
      </c>
      <c r="AT198" s="90">
        <f t="shared" si="19"/>
        <v>7.2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0.2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8" s="92">
        <f t="shared" si="20"/>
        <v>7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9.1999999999999993</v>
      </c>
      <c r="M199" s="51">
        <v>10.199999999999999</v>
      </c>
      <c r="N199" s="51">
        <v>10</v>
      </c>
      <c r="O199" s="51">
        <v>10.6</v>
      </c>
      <c r="P199" s="51">
        <v>8.1999999999999993</v>
      </c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6</v>
      </c>
      <c r="AQ199" s="89" t="str">
        <f t="shared" si="17"/>
        <v/>
      </c>
      <c r="AR199" s="89">
        <f>IFERROR(VLOOKUP(A199,Climatologia!A:U,9+$E$2,FALSE),"")</f>
        <v>6.8721572322812943</v>
      </c>
      <c r="AS199" s="89" t="str">
        <f t="shared" si="18"/>
        <v/>
      </c>
      <c r="AT199" s="90">
        <f t="shared" si="19"/>
        <v>8.1999999999999993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-1.8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9" s="92">
        <f t="shared" si="20"/>
        <v>10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>
        <v>10</v>
      </c>
      <c r="L200" s="51">
        <v>11</v>
      </c>
      <c r="M200" s="51">
        <v>10</v>
      </c>
      <c r="N200" s="51">
        <v>9.1999999999999993</v>
      </c>
      <c r="O200" s="51">
        <v>6.6</v>
      </c>
      <c r="P200" s="51">
        <v>7</v>
      </c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6</v>
      </c>
      <c r="AQ200" s="89" t="str">
        <f t="shared" si="17"/>
        <v/>
      </c>
      <c r="AR200" s="89">
        <f>IFERROR(VLOOKUP(A200,Climatologia!A:U,9+$E$2,FALSE),"")</f>
        <v>6.8567518092805448</v>
      </c>
      <c r="AS200" s="89" t="str">
        <f t="shared" si="18"/>
        <v/>
      </c>
      <c r="AT200" s="90">
        <f t="shared" si="19"/>
        <v>6.6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-3.4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10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10.8</v>
      </c>
      <c r="L201" s="51">
        <v>8.4</v>
      </c>
      <c r="M201" s="51">
        <v>8.1999999999999993</v>
      </c>
      <c r="N201" s="51">
        <v>10.199999999999999</v>
      </c>
      <c r="O201" s="51">
        <v>8.8000000000000007</v>
      </c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5</v>
      </c>
      <c r="AQ201" s="89" t="str">
        <f t="shared" si="17"/>
        <v/>
      </c>
      <c r="AR201" s="89">
        <f>IFERROR(VLOOKUP(A201,Climatologia!A:U,9+$E$2,FALSE),"")</f>
        <v>6.3417884368241078</v>
      </c>
      <c r="AS201" s="89" t="str">
        <f t="shared" si="18"/>
        <v/>
      </c>
      <c r="AT201" s="90">
        <f t="shared" si="19"/>
        <v>8.1999999999999993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-0.6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1" s="92">
        <f t="shared" si="20"/>
        <v>8.7999999999999989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10.6</v>
      </c>
      <c r="L202" s="51">
        <v>10</v>
      </c>
      <c r="M202" s="51">
        <v>9.6</v>
      </c>
      <c r="N202" s="51">
        <v>9.1999999999999993</v>
      </c>
      <c r="O202" s="51">
        <v>9.6</v>
      </c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5</v>
      </c>
      <c r="AQ202" s="89" t="str">
        <f t="shared" si="17"/>
        <v/>
      </c>
      <c r="AR202" s="89">
        <f>IFERROR(VLOOKUP(A202,Climatologia!A:U,9+$E$2,FALSE),"")</f>
        <v>7.0236414292537948</v>
      </c>
      <c r="AS202" s="89" t="str">
        <f t="shared" si="18"/>
        <v/>
      </c>
      <c r="AT202" s="90">
        <f t="shared" si="19"/>
        <v>9.1999999999999993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2" s="92">
        <f t="shared" si="20"/>
        <v>9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9.8000000000000007</v>
      </c>
      <c r="L203" s="51">
        <v>8.6</v>
      </c>
      <c r="M203" s="51">
        <v>8.6</v>
      </c>
      <c r="N203" s="51">
        <v>9.8000000000000007</v>
      </c>
      <c r="O203" s="51">
        <v>9</v>
      </c>
      <c r="P203" s="51">
        <v>6.8</v>
      </c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6</v>
      </c>
      <c r="AQ203" s="89" t="str">
        <f t="shared" si="17"/>
        <v/>
      </c>
      <c r="AR203" s="89">
        <f>IFERROR(VLOOKUP(A203,Climatologia!A:U,9+$E$2,FALSE),"")</f>
        <v>8.052510832141536</v>
      </c>
      <c r="AS203" s="89" t="str">
        <f t="shared" si="18"/>
        <v/>
      </c>
      <c r="AT203" s="90">
        <f t="shared" si="19"/>
        <v>6.8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3" s="92">
        <f t="shared" si="20"/>
        <v>5.6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6</v>
      </c>
      <c r="L204" s="51">
        <v>5.4</v>
      </c>
      <c r="M204" s="51">
        <v>5.6</v>
      </c>
      <c r="N204" s="51">
        <v>5.2</v>
      </c>
      <c r="O204" s="51">
        <v>6.2</v>
      </c>
      <c r="P204" s="51">
        <v>5.6</v>
      </c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6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5.2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3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4" s="92">
        <f t="shared" si="20"/>
        <v>2.2000000000000002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17.734083083854891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9.8000000000000007</v>
      </c>
      <c r="L206" s="51">
        <v>10.6</v>
      </c>
      <c r="M206" s="51">
        <v>11.6</v>
      </c>
      <c r="N206" s="51">
        <v>9.8000000000000007</v>
      </c>
      <c r="O206" s="51">
        <v>10.6</v>
      </c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5</v>
      </c>
      <c r="AQ206" s="89" t="str">
        <f t="shared" si="17"/>
        <v/>
      </c>
      <c r="AR206" s="89">
        <f>IFERROR(VLOOKUP(A206,Climatologia!A:U,9+$E$2,FALSE),"")</f>
        <v>8.9660145437485337</v>
      </c>
      <c r="AS206" s="89" t="str">
        <f t="shared" si="18"/>
        <v/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1.1000000000000001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6" s="92">
        <f t="shared" si="20"/>
        <v>8.7000000000000011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5.8</v>
      </c>
      <c r="M207" s="51">
        <v>7</v>
      </c>
      <c r="N207" s="51">
        <v>6</v>
      </c>
      <c r="O207" s="51">
        <v>5.2</v>
      </c>
      <c r="P207" s="51">
        <v>5.4</v>
      </c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6</v>
      </c>
      <c r="AQ207" s="89" t="str">
        <f t="shared" si="17"/>
        <v/>
      </c>
      <c r="AR207" s="89">
        <f>IFERROR(VLOOKUP(A207,Climatologia!A:U,9+$E$2,FALSE),"")</f>
        <v>4.9011609803563827</v>
      </c>
      <c r="AS207" s="89" t="str">
        <f t="shared" si="18"/>
        <v/>
      </c>
      <c r="AT207" s="90">
        <f t="shared" si="19"/>
        <v>5.2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7" s="92">
        <f t="shared" si="20"/>
        <v>5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23</v>
      </c>
      <c r="L208" s="51">
        <v>23.2</v>
      </c>
      <c r="M208" s="51">
        <v>23</v>
      </c>
      <c r="N208" s="51">
        <v>23.2</v>
      </c>
      <c r="O208" s="51">
        <v>23.6</v>
      </c>
      <c r="P208" s="51">
        <v>23.2</v>
      </c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6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23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18.2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8" s="92">
        <f t="shared" si="20"/>
        <v>4.8000000000000007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0" t="s">
        <v>421</v>
      </c>
      <c r="X1" s="121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5" t="s">
        <v>847</v>
      </c>
      <c r="B1" s="125" t="s">
        <v>7</v>
      </c>
      <c r="C1" s="125" t="s">
        <v>10</v>
      </c>
      <c r="D1" s="125" t="s">
        <v>9</v>
      </c>
      <c r="E1" s="125" t="s">
        <v>11</v>
      </c>
      <c r="F1" s="125" t="s">
        <v>15</v>
      </c>
      <c r="G1" s="125" t="s">
        <v>848</v>
      </c>
      <c r="H1" s="122" t="s">
        <v>849</v>
      </c>
      <c r="I1" s="123"/>
      <c r="J1" s="124"/>
      <c r="K1" s="122" t="s">
        <v>850</v>
      </c>
      <c r="L1" s="123"/>
      <c r="M1" s="124"/>
      <c r="N1" s="122" t="s">
        <v>851</v>
      </c>
      <c r="O1" s="123"/>
      <c r="P1" s="124"/>
      <c r="Q1" s="122" t="s">
        <v>852</v>
      </c>
      <c r="R1" s="123"/>
      <c r="S1" s="124"/>
      <c r="T1" s="122" t="s">
        <v>853</v>
      </c>
      <c r="U1" s="123"/>
      <c r="V1" s="124"/>
      <c r="W1" s="122" t="s">
        <v>854</v>
      </c>
      <c r="X1" s="123"/>
      <c r="Y1" s="124"/>
      <c r="Z1" s="122" t="s">
        <v>855</v>
      </c>
      <c r="AA1" s="123"/>
      <c r="AB1" s="124"/>
      <c r="AC1" s="122" t="s">
        <v>856</v>
      </c>
      <c r="AD1" s="123"/>
      <c r="AE1" s="124"/>
      <c r="AF1" s="122" t="s">
        <v>857</v>
      </c>
      <c r="AG1" s="123"/>
      <c r="AH1" s="124"/>
      <c r="AI1" s="122" t="s">
        <v>858</v>
      </c>
      <c r="AJ1" s="123"/>
      <c r="AK1" s="124"/>
      <c r="AL1" s="122" t="s">
        <v>859</v>
      </c>
      <c r="AM1" s="123"/>
      <c r="AN1" s="124"/>
      <c r="AO1" s="122" t="s">
        <v>860</v>
      </c>
      <c r="AP1" s="123"/>
      <c r="AQ1" s="124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6"/>
      <c r="B2" s="126"/>
      <c r="C2" s="126"/>
      <c r="D2" s="126"/>
      <c r="E2" s="126"/>
      <c r="F2" s="126"/>
      <c r="G2" s="126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2026-09-06T15:39:51Z</dcterms:modified>
</cp:coreProperties>
</file>