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A86DAED-3A82-400D-8C17-BF8033BFF0DB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<sst xmlns="http://schemas.openxmlformats.org/spreadsheetml/2006/main" count="3690" uniqueCount="1514">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</sst>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C175" zoomScale="85" zoomScaleNormal="85" workbookViewId="0">
      <selection activeCell="O221" sqref="O221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55" width="32.42578125" style="50" customWidth="1"/>
    <col min="156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SEPTIEMBRE</v>
      </c>
      <c r="E2" s="76">
        <v>9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30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28.6</v>
      </c>
      <c r="L5" s="56">
        <v>30.1</v>
      </c>
      <c r="M5" s="56">
        <v>30</v>
      </c>
      <c r="N5" s="56">
        <v>30.3</v>
      </c>
      <c r="O5" s="56">
        <v>29.9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5</v>
      </c>
      <c r="AQ5" s="71" t="str">
        <f t="shared" ref="AQ5:AQ68" si="1">IF(AP5&gt;14,AVERAGE(K5:AO5),"")</f>
        <v/>
      </c>
      <c r="AR5" s="71">
        <f>IFERROR(VLOOKUP(A5,Climatologia_TMED!A:U,9+$E$2,FALSE),"")</f>
        <v>28.19559771167529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28.2</v>
      </c>
      <c r="L6" s="56">
        <v>29.7</v>
      </c>
      <c r="M6" s="56">
        <v>29.8</v>
      </c>
      <c r="N6" s="56">
        <v>29.7</v>
      </c>
      <c r="O6" s="56">
        <v>29.9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5</v>
      </c>
      <c r="AQ6" s="71" t="str">
        <f t="shared" si="1"/>
        <v/>
      </c>
      <c r="AR6" s="71">
        <f>IFERROR(VLOOKUP(A6,Climatologia_TMED!A:U,9+$E$2,FALSE),"")</f>
        <v>28.25163478260869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28.9</v>
      </c>
      <c r="L7" s="56">
        <v>31</v>
      </c>
      <c r="M7" s="56">
        <v>31.5</v>
      </c>
      <c r="N7" s="56">
        <v>31.4</v>
      </c>
      <c r="O7" s="56">
        <v>32.5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5</v>
      </c>
      <c r="AQ7" s="71" t="str">
        <f t="shared" si="1"/>
        <v/>
      </c>
      <c r="AR7" s="71">
        <f>IFERROR(VLOOKUP(A7,Climatologia_TMED!A:U,9+$E$2,FALSE),"")</f>
        <v>28.589798932951091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29.8</v>
      </c>
      <c r="L8" s="56">
        <v>30.5</v>
      </c>
      <c r="M8" s="56">
        <v>30.5</v>
      </c>
      <c r="N8" s="56">
        <v>30.6</v>
      </c>
      <c r="O8" s="56">
        <v>31.7</v>
      </c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5</v>
      </c>
      <c r="AQ8" s="71" t="str">
        <f t="shared" si="1"/>
        <v/>
      </c>
      <c r="AR8" s="71">
        <f>IFERROR(VLOOKUP(A8,Climatologia_TMED!A:U,9+$E$2,FALSE),"")</f>
        <v>28.588634585621801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29.8</v>
      </c>
      <c r="L9" s="56">
        <v>30.4</v>
      </c>
      <c r="M9" s="56">
        <v>30.4</v>
      </c>
      <c r="N9" s="56">
        <v>31</v>
      </c>
      <c r="O9" s="56">
        <v>29.6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5</v>
      </c>
      <c r="AQ9" s="71" t="str">
        <f t="shared" si="1"/>
        <v/>
      </c>
      <c r="AR9" s="71">
        <f>IFERROR(VLOOKUP(A9,Climatologia_TMED!A:U,9+$E$2,FALSE),"")</f>
        <v>29.696260683760649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29.7</v>
      </c>
      <c r="L10" s="56">
        <v>30.5</v>
      </c>
      <c r="M10" s="56">
        <v>33.299999999999997</v>
      </c>
      <c r="N10" s="56">
        <v>31.3</v>
      </c>
      <c r="O10" s="56">
        <v>32.5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5</v>
      </c>
      <c r="AQ10" s="71" t="str">
        <f t="shared" si="1"/>
        <v/>
      </c>
      <c r="AR10" s="71">
        <f>IFERROR(VLOOKUP(A10,Climatologia_TMED!A:U,9+$E$2,FALSE),"")</f>
        <v>28.721385845783921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28.5</v>
      </c>
      <c r="L11" s="56">
        <v>31.6</v>
      </c>
      <c r="M11" s="56">
        <v>32.799999999999997</v>
      </c>
      <c r="N11" s="56">
        <v>33.5</v>
      </c>
      <c r="O11" s="56">
        <v>32.6</v>
      </c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5</v>
      </c>
      <c r="AQ11" s="71" t="str">
        <f t="shared" si="1"/>
        <v/>
      </c>
      <c r="AR11" s="71">
        <f>IFERROR(VLOOKUP(A11,Climatologia_TMED!A:U,9+$E$2,FALSE),"")</f>
        <v>28.21428787063774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29.7</v>
      </c>
      <c r="L12" s="56">
        <v>29.9</v>
      </c>
      <c r="M12" s="56">
        <v>30.5</v>
      </c>
      <c r="N12" s="56">
        <v>30.3</v>
      </c>
      <c r="O12" s="56">
        <v>29.5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5</v>
      </c>
      <c r="AQ12" s="71" t="str">
        <f t="shared" si="1"/>
        <v/>
      </c>
      <c r="AR12" s="71">
        <f>IFERROR(VLOOKUP(A12,Climatologia_TMED!A:U,9+$E$2,FALSE),"")</f>
        <v>27.70823838484932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30.1</v>
      </c>
      <c r="L13" s="56">
        <v>29.9</v>
      </c>
      <c r="M13" s="56">
        <v>29.8</v>
      </c>
      <c r="N13" s="56">
        <v>31.1</v>
      </c>
      <c r="O13" s="56">
        <v>31.6</v>
      </c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5</v>
      </c>
      <c r="AQ13" s="71" t="str">
        <f t="shared" si="1"/>
        <v/>
      </c>
      <c r="AR13" s="71">
        <f>IFERROR(VLOOKUP(A13,Climatologia_TMED!A:U,9+$E$2,FALSE),"")</f>
        <v>27.821442821282261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22.3</v>
      </c>
      <c r="L14" s="56">
        <v>23</v>
      </c>
      <c r="M14" s="56">
        <v>23.4</v>
      </c>
      <c r="N14" s="56">
        <v>24.3</v>
      </c>
      <c r="O14" s="56">
        <v>24.8</v>
      </c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5</v>
      </c>
      <c r="AQ14" s="71" t="str">
        <f t="shared" si="1"/>
        <v/>
      </c>
      <c r="AR14" s="71">
        <f>IFERROR(VLOOKUP(A14,Climatologia_TMED!A:U,9+$E$2,FALSE),"")</f>
        <v>21.645192307692302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30.6</v>
      </c>
      <c r="L15" s="56">
        <v>29.6</v>
      </c>
      <c r="M15" s="56">
        <v>31.1</v>
      </c>
      <c r="N15" s="56">
        <v>31</v>
      </c>
      <c r="O15" s="56">
        <v>31.6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5</v>
      </c>
      <c r="AQ15" s="71" t="str">
        <f t="shared" si="1"/>
        <v/>
      </c>
      <c r="AR15" s="71">
        <f>IFERROR(VLOOKUP(A15,Climatologia_TMED!A:U,9+$E$2,FALSE),"")</f>
        <v>28.721184147509561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28.4</v>
      </c>
      <c r="L16" s="56">
        <v>28.7</v>
      </c>
      <c r="M16" s="56">
        <v>29.1</v>
      </c>
      <c r="N16" s="56">
        <v>29.3</v>
      </c>
      <c r="O16" s="56">
        <v>28.4</v>
      </c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5</v>
      </c>
      <c r="AQ16" s="71" t="str">
        <f t="shared" si="1"/>
        <v/>
      </c>
      <c r="AR16" s="71">
        <f>IFERROR(VLOOKUP(A16,Climatologia_TMED!A:U,9+$E$2,FALSE),"")</f>
        <v>27.412401021711371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24.3</v>
      </c>
      <c r="L17" s="56">
        <v>24.8</v>
      </c>
      <c r="M17" s="56">
        <v>26.5</v>
      </c>
      <c r="N17" s="56">
        <v>26.3</v>
      </c>
      <c r="O17" s="56">
        <v>26</v>
      </c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5</v>
      </c>
      <c r="AQ17" s="71" t="str">
        <f t="shared" si="1"/>
        <v/>
      </c>
      <c r="AR17" s="71">
        <f>IFERROR(VLOOKUP(A17,Climatologia_TMED!A:U,9+$E$2,FALSE),"")</f>
        <v>23.202496921182259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18.5</v>
      </c>
      <c r="M18" s="56">
        <v>19.2</v>
      </c>
      <c r="N18" s="56">
        <v>19.8</v>
      </c>
      <c r="O18" s="56">
        <v>18.7</v>
      </c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5</v>
      </c>
      <c r="AQ18" s="71" t="str">
        <f t="shared" si="1"/>
        <v/>
      </c>
      <c r="AR18" s="71">
        <f>IFERROR(VLOOKUP(A18,Climatologia_TMED!A:U,9+$E$2,FALSE),"")</f>
        <v>17.218397988505739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23.8</v>
      </c>
      <c r="L19" s="56">
        <v>24</v>
      </c>
      <c r="M19" s="56">
        <v>25.1</v>
      </c>
      <c r="N19" s="56">
        <v>24.2</v>
      </c>
      <c r="O19" s="56">
        <v>25.3</v>
      </c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5</v>
      </c>
      <c r="AQ19" s="71" t="str">
        <f t="shared" si="1"/>
        <v/>
      </c>
      <c r="AR19" s="71">
        <f>IFERROR(VLOOKUP(A19,Climatologia_TMED!A:U,9+$E$2,FALSE),"")</f>
        <v>21.945897435897429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24.7</v>
      </c>
      <c r="L20" s="56">
        <v>25.1</v>
      </c>
      <c r="M20" s="56">
        <v>25.9</v>
      </c>
      <c r="N20" s="56">
        <v>25.3</v>
      </c>
      <c r="O20" s="56">
        <v>25.1</v>
      </c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5</v>
      </c>
      <c r="AQ20" s="71" t="str">
        <f t="shared" si="1"/>
        <v/>
      </c>
      <c r="AR20" s="71">
        <f>IFERROR(VLOOKUP(A20,Climatologia_TMED!A:U,9+$E$2,FALSE),"")</f>
        <v>22.11881789187823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28.1</v>
      </c>
      <c r="L21" s="56">
        <v>26.8</v>
      </c>
      <c r="M21" s="56">
        <v>28.3</v>
      </c>
      <c r="N21" s="56">
        <v>28</v>
      </c>
      <c r="O21" s="56">
        <v>28.9</v>
      </c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5</v>
      </c>
      <c r="AQ21" s="71" t="str">
        <f t="shared" si="1"/>
        <v/>
      </c>
      <c r="AR21" s="71">
        <f>IFERROR(VLOOKUP(A21,Climatologia_TMED!A:U,9+$E$2,FALSE),"")</f>
        <v>24.941045052186539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16.2</v>
      </c>
      <c r="L22" s="56">
        <v>15.6</v>
      </c>
      <c r="M22" s="56">
        <v>16</v>
      </c>
      <c r="N22" s="56">
        <v>15.6</v>
      </c>
      <c r="O22" s="56">
        <v>15.7</v>
      </c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5</v>
      </c>
      <c r="AQ22" s="71" t="str">
        <f t="shared" si="1"/>
        <v/>
      </c>
      <c r="AR22" s="71">
        <f>IFERROR(VLOOKUP(A22,Climatologia_TMED!A:U,9+$E$2,FALSE),"")</f>
        <v>13.769711096374881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26.5</v>
      </c>
      <c r="L23" s="56">
        <v>27.1</v>
      </c>
      <c r="M23" s="56">
        <v>27.5</v>
      </c>
      <c r="N23" s="56">
        <v>27.1</v>
      </c>
      <c r="O23" s="56">
        <v>26.3</v>
      </c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5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29.4</v>
      </c>
      <c r="L24" s="56">
        <v>30</v>
      </c>
      <c r="M24" s="56">
        <v>29.7</v>
      </c>
      <c r="N24" s="56">
        <v>31.5</v>
      </c>
      <c r="O24" s="56">
        <v>30.9</v>
      </c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5</v>
      </c>
      <c r="AQ24" s="71" t="str">
        <f t="shared" si="1"/>
        <v/>
      </c>
      <c r="AR24" s="71">
        <f>IFERROR(VLOOKUP(A24,Climatologia_TMED!A:U,9+$E$2,FALSE),"")</f>
        <v>29.322570561941241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21.2</v>
      </c>
      <c r="L25" s="56">
        <v>22.2</v>
      </c>
      <c r="M25" s="56">
        <v>23.6</v>
      </c>
      <c r="N25" s="56">
        <v>23.9</v>
      </c>
      <c r="O25" s="56">
        <v>22.3</v>
      </c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5</v>
      </c>
      <c r="AQ25" s="71" t="str">
        <f t="shared" si="1"/>
        <v/>
      </c>
      <c r="AR25" s="71">
        <f>IFERROR(VLOOKUP(A25,Climatologia_TMED!A:U,9+$E$2,FALSE),"")</f>
        <v>19.994578515905641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10.7</v>
      </c>
      <c r="M26" s="56">
        <v>10.8</v>
      </c>
      <c r="N26" s="56">
        <v>10.9</v>
      </c>
      <c r="O26" s="56">
        <v>10.3</v>
      </c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5</v>
      </c>
      <c r="AQ26" s="71" t="str">
        <f t="shared" si="1"/>
        <v/>
      </c>
      <c r="AR26" s="71">
        <f>IFERROR(VLOOKUP(A26,Climatologia_TMED!A:U,9+$E$2,FALSE),"")</f>
        <v>10.71746913580245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26.6</v>
      </c>
      <c r="L27" s="56">
        <v>26.7</v>
      </c>
      <c r="M27" s="56">
        <v>28.3</v>
      </c>
      <c r="N27" s="56">
        <v>28.3</v>
      </c>
      <c r="O27" s="56">
        <v>28</v>
      </c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5</v>
      </c>
      <c r="AQ27" s="71" t="str">
        <f t="shared" si="1"/>
        <v/>
      </c>
      <c r="AR27" s="71">
        <f>IFERROR(VLOOKUP(A27,Climatologia_TMED!A:U,9+$E$2,FALSE),"")</f>
        <v>26.709312260536379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29.2</v>
      </c>
      <c r="L28" s="56">
        <v>24.2</v>
      </c>
      <c r="M28" s="56">
        <v>29.2</v>
      </c>
      <c r="N28" s="56">
        <v>26.8</v>
      </c>
      <c r="O28" s="56">
        <v>28.8</v>
      </c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5</v>
      </c>
      <c r="AQ28" s="71" t="str">
        <f t="shared" si="1"/>
        <v/>
      </c>
      <c r="AR28" s="71">
        <f>IFERROR(VLOOKUP(A28,Climatologia_TMED!A:U,9+$E$2,FALSE),"")</f>
        <v>26.623456522478399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30</v>
      </c>
      <c r="L29" s="56">
        <v>27.3</v>
      </c>
      <c r="M29" s="56">
        <v>28.4</v>
      </c>
      <c r="N29" s="56">
        <v>29.9</v>
      </c>
      <c r="O29" s="56">
        <v>29.6</v>
      </c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5</v>
      </c>
      <c r="AQ29" s="71" t="str">
        <f t="shared" si="1"/>
        <v/>
      </c>
      <c r="AR29" s="71">
        <f>IFERROR(VLOOKUP(A29,Climatologia_TMED!A:U,9+$E$2,FALSE),"")</f>
        <v>27.90706246579089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27.3</v>
      </c>
      <c r="L30" s="56">
        <v>25.8</v>
      </c>
      <c r="M30" s="56">
        <v>27.8</v>
      </c>
      <c r="N30" s="56">
        <v>26.2</v>
      </c>
      <c r="O30" s="56">
        <v>25.3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5</v>
      </c>
      <c r="AQ30" s="71" t="str">
        <f t="shared" si="1"/>
        <v/>
      </c>
      <c r="AR30" s="71">
        <f>IFERROR(VLOOKUP(A30,Climatologia_TMED!A:U,9+$E$2,FALSE),"")</f>
        <v>25.8193588981371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30.3</v>
      </c>
      <c r="L31" s="98">
        <v>28.5</v>
      </c>
      <c r="M31" s="98">
        <v>28.4</v>
      </c>
      <c r="N31" s="98">
        <v>28.7</v>
      </c>
      <c r="O31" s="98">
        <v>27.5</v>
      </c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5</v>
      </c>
      <c r="AQ31" s="71" t="str">
        <f t="shared" si="1"/>
        <v/>
      </c>
      <c r="AR31" s="71">
        <f>IFERROR(VLOOKUP(A31,Climatologia_TMED!A:U,9+$E$2,FALSE),"")</f>
        <v>26.375667582417581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19.533333333333331</v>
      </c>
      <c r="L32" s="56">
        <v>21.266666666666669</v>
      </c>
      <c r="M32" s="56">
        <v>20.100000000000001</v>
      </c>
      <c r="N32" s="56">
        <v>19.93333333333333</v>
      </c>
      <c r="O32" s="56">
        <v>20.2</v>
      </c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5</v>
      </c>
      <c r="AQ32" s="71" t="str">
        <f t="shared" si="1"/>
        <v/>
      </c>
      <c r="AR32" s="71">
        <f>IFERROR(VLOOKUP(A32,Climatologia_TMED!A:U,9+$E$2,FALSE),"")</f>
        <v>17.481558928512911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</v>
      </c>
      <c r="L33" s="56">
        <v>28.65</v>
      </c>
      <c r="M33" s="56">
        <v>27.3</v>
      </c>
      <c r="N33" s="56">
        <v>28.4</v>
      </c>
      <c r="O33" s="56">
        <v>27.85</v>
      </c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5</v>
      </c>
      <c r="AQ33" s="71" t="str">
        <f t="shared" si="1"/>
        <v/>
      </c>
      <c r="AR33" s="71">
        <f>IFERROR(VLOOKUP(A33,Climatologia_TMED!A:U,9+$E$2,FALSE),"")</f>
        <v>26.682697842546961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21.733333333333331</v>
      </c>
      <c r="L34" s="56">
        <v>21.266666666666669</v>
      </c>
      <c r="M34" s="56">
        <v>21.733333333333331</v>
      </c>
      <c r="N34" s="56">
        <v>21.8</v>
      </c>
      <c r="O34" s="56">
        <v>22.333333333333329</v>
      </c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5</v>
      </c>
      <c r="AQ34" s="71" t="str">
        <f t="shared" si="1"/>
        <v/>
      </c>
      <c r="AR34" s="71">
        <f>IFERROR(VLOOKUP(A34,Climatologia_TMED!A:U,9+$E$2,FALSE),"")</f>
        <v>19.739292288721511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</v>
      </c>
      <c r="L35" s="56">
        <v>24.2</v>
      </c>
      <c r="M35" s="56">
        <v>24.8</v>
      </c>
      <c r="N35" s="56">
        <v>23.65</v>
      </c>
      <c r="O35" s="56">
        <v>26.6</v>
      </c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5</v>
      </c>
      <c r="AQ35" s="71" t="str">
        <f t="shared" si="1"/>
        <v/>
      </c>
      <c r="AR35" s="71">
        <f>IFERROR(VLOOKUP(A35,Climatologia_TMED!A:U,9+$E$2,FALSE),"")</f>
        <v>23.891595702759091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19.45</v>
      </c>
      <c r="L36" s="56">
        <v>19.649999999999999</v>
      </c>
      <c r="M36" s="56">
        <v>20.3</v>
      </c>
      <c r="N36" s="56">
        <v>20.399999999999999</v>
      </c>
      <c r="O36" s="56">
        <v>20</v>
      </c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5</v>
      </c>
      <c r="AQ36" s="71" t="str">
        <f t="shared" si="1"/>
        <v/>
      </c>
      <c r="AR36" s="71">
        <f>IFERROR(VLOOKUP(A36,Climatologia_TMED!A:U,9+$E$2,FALSE),"")</f>
        <v>18.514353665342391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27.7</v>
      </c>
      <c r="L37" s="56">
        <v>27.8</v>
      </c>
      <c r="M37" s="56">
        <v>28.5</v>
      </c>
      <c r="N37" s="56">
        <v>28.55</v>
      </c>
      <c r="O37" s="56">
        <v>28</v>
      </c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5</v>
      </c>
      <c r="AQ37" s="71" t="str">
        <f t="shared" si="1"/>
        <v/>
      </c>
      <c r="AR37" s="71">
        <f>IFERROR(VLOOKUP(A37,Climatologia_TMED!A:U,9+$E$2,FALSE),"")</f>
        <v>25.832923850574691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16.45</v>
      </c>
      <c r="L38" s="56">
        <v>16.05</v>
      </c>
      <c r="M38" s="56">
        <v>16.5</v>
      </c>
      <c r="N38" s="56">
        <v>16.95</v>
      </c>
      <c r="O38" s="56">
        <v>16.7</v>
      </c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5</v>
      </c>
      <c r="AQ38" s="71" t="str">
        <f t="shared" si="1"/>
        <v/>
      </c>
      <c r="AR38" s="71">
        <f>IFERROR(VLOOKUP(A38,Climatologia_TMED!A:U,9+$E$2,FALSE),"")</f>
        <v>14.973386973180061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20.666666666666671</v>
      </c>
      <c r="L39" s="56">
        <v>22.13333333333334</v>
      </c>
      <c r="M39" s="56">
        <v>23.13333333333334</v>
      </c>
      <c r="N39" s="56">
        <v>22.6</v>
      </c>
      <c r="O39" s="56">
        <v>22.666666666666671</v>
      </c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5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24.2</v>
      </c>
      <c r="L40" s="56">
        <v>24.266666666666669</v>
      </c>
      <c r="M40" s="56">
        <v>26.13333333333334</v>
      </c>
      <c r="N40" s="56">
        <v>25.933333333333341</v>
      </c>
      <c r="O40" s="56">
        <v>25.6</v>
      </c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5</v>
      </c>
      <c r="AQ40" s="71" t="str">
        <f t="shared" si="1"/>
        <v/>
      </c>
      <c r="AR40" s="71">
        <f>IFERROR(VLOOKUP(A40,Climatologia_TMED!A:U,9+$E$2,FALSE),"")</f>
        <v>22.425573372913821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17.8</v>
      </c>
      <c r="L41" s="56">
        <v>18.666666666666671</v>
      </c>
      <c r="M41" s="56">
        <v>21.333333333333329</v>
      </c>
      <c r="N41" s="56">
        <v>19.06666666666667</v>
      </c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4</v>
      </c>
      <c r="AQ41" s="71" t="str">
        <f t="shared" si="1"/>
        <v/>
      </c>
      <c r="AR41" s="71">
        <f>IFERROR(VLOOKUP(A41,Climatologia_TMED!A:U,9+$E$2,FALSE),"")</f>
        <v>18.027767276645449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28.3</v>
      </c>
      <c r="L42" s="56">
        <v>28.1</v>
      </c>
      <c r="M42" s="56">
        <v>29.05</v>
      </c>
      <c r="N42" s="56">
        <v>28.6</v>
      </c>
      <c r="O42" s="56">
        <v>28.25</v>
      </c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5</v>
      </c>
      <c r="AQ42" s="71" t="str">
        <f t="shared" si="1"/>
        <v/>
      </c>
      <c r="AR42" s="71">
        <f>IFERROR(VLOOKUP(A42,Climatologia_TMED!A:U,9+$E$2,FALSE),"")</f>
        <v>27.293074712643669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28.65</v>
      </c>
      <c r="L43" s="56">
        <v>30</v>
      </c>
      <c r="M43" s="56">
        <v>29</v>
      </c>
      <c r="N43" s="56">
        <v>30.35</v>
      </c>
      <c r="O43" s="56">
        <v>30.65</v>
      </c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5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27.3</v>
      </c>
      <c r="L44" s="56">
        <v>28.35</v>
      </c>
      <c r="M44" s="56">
        <v>29.25</v>
      </c>
      <c r="N44" s="56">
        <v>28.95</v>
      </c>
      <c r="O44" s="56">
        <v>29.1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5</v>
      </c>
      <c r="AQ44" s="71" t="str">
        <f t="shared" si="1"/>
        <v/>
      </c>
      <c r="AR44" s="71">
        <f>IFERROR(VLOOKUP(A44,Climatologia_TMED!A:U,9+$E$2,FALSE),"")</f>
        <v>27.271401728699139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27.3</v>
      </c>
      <c r="L45" s="56">
        <v>29</v>
      </c>
      <c r="M45" s="56">
        <v>28.95</v>
      </c>
      <c r="N45" s="56">
        <v>29.7</v>
      </c>
      <c r="O45" s="56">
        <v>30.45</v>
      </c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5</v>
      </c>
      <c r="AQ45" s="71" t="str">
        <f t="shared" si="1"/>
        <v/>
      </c>
      <c r="AR45" s="71">
        <f>IFERROR(VLOOKUP(A45,Climatologia_TMED!A:U,9+$E$2,FALSE),"")</f>
        <v>27.170883848750218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27.75</v>
      </c>
      <c r="L46" s="56">
        <v>28.4</v>
      </c>
      <c r="M46" s="56">
        <v>28.9</v>
      </c>
      <c r="N46" s="56">
        <v>29.05</v>
      </c>
      <c r="O46" s="56">
        <v>29.5</v>
      </c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5</v>
      </c>
      <c r="AQ46" s="71" t="str">
        <f t="shared" si="1"/>
        <v/>
      </c>
      <c r="AR46" s="71">
        <f>IFERROR(VLOOKUP(A46,Climatologia_TMED!A:U,9+$E$2,FALSE),"")</f>
        <v>27.502544129720849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29.4</v>
      </c>
      <c r="L47" s="56">
        <v>30.266666666666669</v>
      </c>
      <c r="M47" s="56">
        <v>30.266666666666669</v>
      </c>
      <c r="N47" s="56">
        <v>30.733333333333331</v>
      </c>
      <c r="O47" s="56">
        <v>30.666666666666671</v>
      </c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5</v>
      </c>
      <c r="AQ47" s="71" t="str">
        <f t="shared" si="1"/>
        <v/>
      </c>
      <c r="AR47" s="71">
        <f>IFERROR(VLOOKUP(A47,Climatologia_TMED!A:U,9+$E$2,FALSE),"")</f>
        <v>27.547468594953131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27.83504220790606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27.20166699872285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28.8</v>
      </c>
      <c r="L50" s="56">
        <v>27.5</v>
      </c>
      <c r="M50" s="56">
        <v>29.45</v>
      </c>
      <c r="N50" s="56">
        <v>28.05</v>
      </c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4</v>
      </c>
      <c r="AQ50" s="71" t="str">
        <f t="shared" si="1"/>
        <v/>
      </c>
      <c r="AR50" s="71">
        <f>IFERROR(VLOOKUP(A50,Climatologia_TMED!A:U,9+$E$2,FALSE),"")</f>
        <v>27.104513508203151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27.583607924335698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27.85</v>
      </c>
      <c r="L53" s="56">
        <v>28.35</v>
      </c>
      <c r="M53" s="56">
        <v>28.7</v>
      </c>
      <c r="N53" s="56">
        <v>29.55</v>
      </c>
      <c r="O53" s="56">
        <v>30.15</v>
      </c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5</v>
      </c>
      <c r="AQ53" s="71" t="str">
        <f t="shared" si="1"/>
        <v/>
      </c>
      <c r="AR53" s="71">
        <f>IFERROR(VLOOKUP(A53,Climatologia_TMED!A:U,9+$E$2,FALSE),"")</f>
        <v>26.749827654625062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28.25</v>
      </c>
      <c r="L54" s="56">
        <v>29.9</v>
      </c>
      <c r="M54" s="56">
        <v>30.7</v>
      </c>
      <c r="N54" s="56">
        <v>31.05</v>
      </c>
      <c r="O54" s="56">
        <v>31</v>
      </c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5</v>
      </c>
      <c r="AQ54" s="71" t="str">
        <f t="shared" si="1"/>
        <v/>
      </c>
      <c r="AR54" s="71">
        <f>IFERROR(VLOOKUP(A54,Climatologia_TMED!A:U,9+$E$2,FALSE),"")</f>
        <v>28.232848920531278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30.6</v>
      </c>
      <c r="M55" s="56">
        <v>30.6</v>
      </c>
      <c r="N55" s="56">
        <v>31.15</v>
      </c>
      <c r="O55" s="56">
        <v>31.55</v>
      </c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4</v>
      </c>
      <c r="AQ55" s="71" t="str">
        <f t="shared" si="1"/>
        <v/>
      </c>
      <c r="AR55" s="71">
        <f>IFERROR(VLOOKUP(A55,Climatologia_TMED!A:U,9+$E$2,FALSE),"")</f>
        <v>27.973048706760991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27.592747745358079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27.95</v>
      </c>
      <c r="L59" s="56">
        <v>30.2</v>
      </c>
      <c r="M59" s="56">
        <v>28.1</v>
      </c>
      <c r="N59" s="56">
        <v>27.7</v>
      </c>
      <c r="O59" s="56">
        <v>28.95</v>
      </c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5</v>
      </c>
      <c r="AQ59" s="71" t="str">
        <f t="shared" si="1"/>
        <v/>
      </c>
      <c r="AR59" s="71">
        <f>IFERROR(VLOOKUP(A59,Climatologia_TMED!A:U,9+$E$2,FALSE),"")</f>
        <v>27.588642383345931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27.15</v>
      </c>
      <c r="L60" s="56"/>
      <c r="M60" s="56">
        <v>28.2</v>
      </c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2</v>
      </c>
      <c r="AQ60" s="71" t="str">
        <f t="shared" si="1"/>
        <v/>
      </c>
      <c r="AR60" s="71">
        <f>IFERROR(VLOOKUP(A60,Climatologia_TMED!A:U,9+$E$2,FALSE),"")</f>
        <v>25.17327717195532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27.95</v>
      </c>
      <c r="L61" s="56">
        <v>28.35</v>
      </c>
      <c r="M61" s="56">
        <v>28.25</v>
      </c>
      <c r="N61" s="56">
        <v>28.3</v>
      </c>
      <c r="O61" s="56">
        <v>28.15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5</v>
      </c>
      <c r="AQ61" s="71" t="str">
        <f t="shared" si="1"/>
        <v/>
      </c>
      <c r="AR61" s="71">
        <f>IFERROR(VLOOKUP(A61,Climatologia_TMED!A:U,9+$E$2,FALSE),"")</f>
        <v>26.632899791994539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29</v>
      </c>
      <c r="L62" s="56">
        <v>28.266666666666669</v>
      </c>
      <c r="M62" s="56">
        <v>29</v>
      </c>
      <c r="N62" s="56">
        <v>27.86666666666666</v>
      </c>
      <c r="O62" s="56">
        <v>28</v>
      </c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5</v>
      </c>
      <c r="AQ62" s="71" t="str">
        <f t="shared" si="1"/>
        <v/>
      </c>
      <c r="AR62" s="71">
        <f>IFERROR(VLOOKUP(A62,Climatologia_TMED!A:U,9+$E$2,FALSE),"")</f>
        <v>25.63602002658137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24.429159646179532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26.14389418321813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26.65</v>
      </c>
      <c r="L65" s="56">
        <v>26.35</v>
      </c>
      <c r="M65" s="56">
        <v>26.3</v>
      </c>
      <c r="N65" s="56">
        <v>26.6</v>
      </c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4</v>
      </c>
      <c r="AQ65" s="71" t="str">
        <f t="shared" si="1"/>
        <v/>
      </c>
      <c r="AR65" s="71">
        <f>IFERROR(VLOOKUP(A65,Climatologia_TMED!A:U,9+$E$2,FALSE),"")</f>
        <v>25.93303305966063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26.95</v>
      </c>
      <c r="L66" s="56">
        <v>27.9</v>
      </c>
      <c r="M66" s="56">
        <v>26.6</v>
      </c>
      <c r="N66" s="56">
        <v>27.05</v>
      </c>
      <c r="O66" s="56">
        <v>26.9</v>
      </c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5</v>
      </c>
      <c r="AQ66" s="71" t="str">
        <f t="shared" si="1"/>
        <v/>
      </c>
      <c r="AR66" s="71">
        <f>IFERROR(VLOOKUP(A66,Climatologia_TMED!A:U,9+$E$2,FALSE),"")</f>
        <v>26.03334788268257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28.2</v>
      </c>
      <c r="L67" s="56">
        <v>26.9</v>
      </c>
      <c r="M67" s="56">
        <v>26.75</v>
      </c>
      <c r="N67" s="56">
        <v>26.75</v>
      </c>
      <c r="O67" s="56">
        <v>26.55</v>
      </c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5</v>
      </c>
      <c r="AQ67" s="71" t="str">
        <f t="shared" si="1"/>
        <v/>
      </c>
      <c r="AR67" s="71">
        <f>IFERROR(VLOOKUP(A67,Climatologia_TMED!A:U,9+$E$2,FALSE),"")</f>
        <v>25.972265457945628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26.25</v>
      </c>
      <c r="L68" s="56">
        <v>24.75</v>
      </c>
      <c r="M68" s="56">
        <v>26.15</v>
      </c>
      <c r="N68" s="56">
        <v>26.1</v>
      </c>
      <c r="O68" s="56">
        <v>24.85</v>
      </c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5</v>
      </c>
      <c r="AQ68" s="71" t="str">
        <f t="shared" si="1"/>
        <v/>
      </c>
      <c r="AR68" s="71">
        <f>IFERROR(VLOOKUP(A68,Climatologia_TMED!A:U,9+$E$2,FALSE),"")</f>
        <v>25.69936023080939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27.35</v>
      </c>
      <c r="L69" s="56">
        <v>27.35</v>
      </c>
      <c r="M69" s="56">
        <v>26.65</v>
      </c>
      <c r="N69" s="56">
        <v>26.1</v>
      </c>
      <c r="O69" s="56">
        <v>25.55</v>
      </c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5</v>
      </c>
      <c r="AQ69" s="71" t="str">
        <f t="shared" ref="AQ69:AQ132" si="4">IF(AP69&gt;14,AVERAGE(K69:AO69),"")</f>
        <v/>
      </c>
      <c r="AR69" s="71">
        <f>IFERROR(VLOOKUP(A69,Climatologia_TMED!A:U,9+$E$2,FALSE),"")</f>
        <v>25.433855658806561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28.933333333333341</v>
      </c>
      <c r="L70" s="56">
        <v>28.13333333333334</v>
      </c>
      <c r="M70" s="56">
        <v>28.2</v>
      </c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3</v>
      </c>
      <c r="AQ70" s="71" t="str">
        <f t="shared" si="4"/>
        <v/>
      </c>
      <c r="AR70" s="71">
        <f>IFERROR(VLOOKUP(A70,Climatologia_TMED!A:U,9+$E$2,FALSE),"")</f>
        <v>26.78526553852701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27.5</v>
      </c>
      <c r="L71" s="56">
        <v>27.233333333333331</v>
      </c>
      <c r="M71" s="56">
        <v>27.766666666666669</v>
      </c>
      <c r="N71" s="56">
        <v>26.6</v>
      </c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4</v>
      </c>
      <c r="AQ71" s="71" t="str">
        <f t="shared" si="4"/>
        <v/>
      </c>
      <c r="AR71" s="71">
        <f>IFERROR(VLOOKUP(A71,Climatologia_TMED!A:U,9+$E$2,FALSE),"")</f>
        <v>26.743940917887269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27.2</v>
      </c>
      <c r="L72" s="56">
        <v>26.166666666666671</v>
      </c>
      <c r="M72" s="56">
        <v>26.966666666666669</v>
      </c>
      <c r="N72" s="56">
        <v>25.733333333333331</v>
      </c>
      <c r="O72" s="56">
        <v>25.7</v>
      </c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5</v>
      </c>
      <c r="AQ72" s="71" t="str">
        <f t="shared" si="4"/>
        <v/>
      </c>
      <c r="AR72" s="71">
        <f>IFERROR(VLOOKUP(A72,Climatologia_TMED!A:U,9+$E$2,FALSE),"")</f>
        <v>25.67966610037471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26.9</v>
      </c>
      <c r="M73" s="56">
        <v>25.55</v>
      </c>
      <c r="N73" s="56">
        <v>27.25</v>
      </c>
      <c r="O73" s="56">
        <v>25.6</v>
      </c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5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20.6</v>
      </c>
      <c r="M74" s="56">
        <v>21.95</v>
      </c>
      <c r="N74" s="56">
        <v>22.55</v>
      </c>
      <c r="O74" s="56">
        <v>20.85</v>
      </c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5</v>
      </c>
      <c r="AQ74" s="71" t="str">
        <f t="shared" si="4"/>
        <v/>
      </c>
      <c r="AR74" s="71">
        <f>IFERROR(VLOOKUP(A74,Climatologia_TMED!A:U,9+$E$2,FALSE),"")</f>
        <v>21.0133878380074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15.93333333333333</v>
      </c>
      <c r="L75" s="56">
        <v>16.466666666666669</v>
      </c>
      <c r="M75" s="56">
        <v>15.6</v>
      </c>
      <c r="N75" s="56">
        <v>15.866666666666671</v>
      </c>
      <c r="O75" s="56">
        <v>15.866666666666671</v>
      </c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5</v>
      </c>
      <c r="AQ75" s="71" t="str">
        <f t="shared" si="4"/>
        <v/>
      </c>
      <c r="AR75" s="71">
        <f>IFERROR(VLOOKUP(A75,Climatologia_TMED!A:U,9+$E$2,FALSE),"")</f>
        <v>15.701877672565811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22.1</v>
      </c>
      <c r="L76" s="56">
        <v>20.95</v>
      </c>
      <c r="M76" s="56">
        <v>21.55</v>
      </c>
      <c r="N76" s="56">
        <v>21.6</v>
      </c>
      <c r="O76" s="56">
        <v>20.85</v>
      </c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5</v>
      </c>
      <c r="AQ76" s="71" t="str">
        <f t="shared" si="4"/>
        <v/>
      </c>
      <c r="AR76" s="71">
        <f>IFERROR(VLOOKUP(A76,Climatologia_TMED!A:U,9+$E$2,FALSE),"")</f>
        <v>20.329282890428001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24.533333333333331</v>
      </c>
      <c r="L77" s="56">
        <v>24.06666666666667</v>
      </c>
      <c r="M77" s="56">
        <v>24.6</v>
      </c>
      <c r="N77" s="56">
        <v>25.266666666666669</v>
      </c>
      <c r="O77" s="56">
        <v>24.266666666666669</v>
      </c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5</v>
      </c>
      <c r="AQ77" s="71" t="str">
        <f t="shared" si="4"/>
        <v/>
      </c>
      <c r="AR77" s="71">
        <f>IFERROR(VLOOKUP(A77,Climatologia_TMED!A:U,9+$E$2,FALSE),"")</f>
        <v>23.181190288660531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31.1</v>
      </c>
      <c r="L78" s="56">
        <v>31.9</v>
      </c>
      <c r="M78" s="56">
        <v>31.3</v>
      </c>
      <c r="N78" s="56">
        <v>33.1</v>
      </c>
      <c r="O78" s="56">
        <v>33.6</v>
      </c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5</v>
      </c>
      <c r="AQ78" s="71" t="str">
        <f t="shared" si="4"/>
        <v/>
      </c>
      <c r="AR78" s="71">
        <f>IFERROR(VLOOKUP(A78,Climatologia_TMED!A:U,9+$E$2,FALSE),"")</f>
        <v>29.972578572390191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32.4</v>
      </c>
      <c r="L79" s="56">
        <v>32.133333333333333</v>
      </c>
      <c r="M79" s="56">
        <v>31.466666666666669</v>
      </c>
      <c r="N79" s="56">
        <v>33.266666666666673</v>
      </c>
      <c r="O79" s="56">
        <v>33.733333333333327</v>
      </c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5</v>
      </c>
      <c r="AQ79" s="71" t="str">
        <f t="shared" si="4"/>
        <v/>
      </c>
      <c r="AR79" s="71">
        <f>IFERROR(VLOOKUP(A79,Climatologia_TMED!A:U,9+$E$2,FALSE),"")</f>
        <v>30.131825001485431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20.93333333333333</v>
      </c>
      <c r="L80" s="56">
        <v>20.6</v>
      </c>
      <c r="M80" s="56">
        <v>20.399999999999999</v>
      </c>
      <c r="N80" s="56">
        <v>21.06666666666667</v>
      </c>
      <c r="O80" s="56">
        <v>22.866666666666671</v>
      </c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5</v>
      </c>
      <c r="AQ80" s="71" t="str">
        <f t="shared" si="4"/>
        <v/>
      </c>
      <c r="AR80" s="71">
        <f>IFERROR(VLOOKUP(A80,Climatologia_TMED!A:U,9+$E$2,FALSE),"")</f>
        <v>20.400266345908459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28.1</v>
      </c>
      <c r="L81" s="56">
        <v>25.5</v>
      </c>
      <c r="M81" s="56">
        <v>26.3</v>
      </c>
      <c r="N81" s="56">
        <v>26</v>
      </c>
      <c r="O81" s="56">
        <v>26.25</v>
      </c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5</v>
      </c>
      <c r="AQ81" s="71" t="str">
        <f t="shared" si="4"/>
        <v/>
      </c>
      <c r="AR81" s="71">
        <f>IFERROR(VLOOKUP(A81,Climatologia_TMED!A:U,9+$E$2,FALSE),"")</f>
        <v>25.577833762927309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29.06666666666667</v>
      </c>
      <c r="L82" s="56">
        <v>27.13333333333334</v>
      </c>
      <c r="M82" s="56">
        <v>27.933333333333341</v>
      </c>
      <c r="N82" s="56">
        <v>27.8</v>
      </c>
      <c r="O82" s="56">
        <v>27.9</v>
      </c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5</v>
      </c>
      <c r="AQ82" s="71" t="str">
        <f t="shared" si="4"/>
        <v/>
      </c>
      <c r="AR82" s="71">
        <f>IFERROR(VLOOKUP(A82,Climatologia_TMED!A:U,9+$E$2,FALSE),"")</f>
        <v>26.422429947394001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29.061393038588839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29.2</v>
      </c>
      <c r="L85" s="56">
        <v>29.85</v>
      </c>
      <c r="M85" s="56">
        <v>32.5</v>
      </c>
      <c r="N85" s="56">
        <v>32.049999999999997</v>
      </c>
      <c r="O85" s="56">
        <v>32.549999999999997</v>
      </c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5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30.5</v>
      </c>
      <c r="L86" s="56">
        <v>29.75</v>
      </c>
      <c r="M86" s="56">
        <v>30</v>
      </c>
      <c r="N86" s="56">
        <v>30.25</v>
      </c>
      <c r="O86" s="56">
        <v>30.55</v>
      </c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5</v>
      </c>
      <c r="AQ86" s="71" t="str">
        <f t="shared" si="4"/>
        <v/>
      </c>
      <c r="AR86" s="71">
        <f>IFERROR(VLOOKUP(A86,Climatologia_TMED!A:U,9+$E$2,FALSE),"")</f>
        <v>28.266494092446621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29</v>
      </c>
      <c r="L87" s="56">
        <v>30.7</v>
      </c>
      <c r="M87" s="56">
        <v>31.2</v>
      </c>
      <c r="N87" s="56">
        <v>30.45</v>
      </c>
      <c r="O87" s="56">
        <v>31.15</v>
      </c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5</v>
      </c>
      <c r="AQ87" s="71" t="str">
        <f t="shared" si="4"/>
        <v/>
      </c>
      <c r="AR87" s="71">
        <f>IFERROR(VLOOKUP(A87,Climatologia_TMED!A:U,9+$E$2,FALSE),"")</f>
        <v>28.46747541407867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26.7</v>
      </c>
      <c r="L88" s="56">
        <v>29.65</v>
      </c>
      <c r="M88" s="56">
        <v>29.65</v>
      </c>
      <c r="N88" s="56">
        <v>31.9</v>
      </c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4</v>
      </c>
      <c r="AQ88" s="71" t="str">
        <f t="shared" si="4"/>
        <v/>
      </c>
      <c r="AR88" s="71">
        <f>IFERROR(VLOOKUP(A88,Climatologia_TMED!A:U,9+$E$2,FALSE),"")</f>
        <v>27.487126327474471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26.8</v>
      </c>
      <c r="L89" s="56"/>
      <c r="M89" s="56">
        <v>31.05</v>
      </c>
      <c r="N89" s="56">
        <v>31.5</v>
      </c>
      <c r="O89" s="56">
        <v>31.05</v>
      </c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4</v>
      </c>
      <c r="AQ89" s="71" t="str">
        <f t="shared" si="4"/>
        <v/>
      </c>
      <c r="AR89" s="71">
        <f>IFERROR(VLOOKUP(A89,Climatologia_TMED!A:U,9+$E$2,FALSE),"")</f>
        <v>28.15701374072578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29.5</v>
      </c>
      <c r="L90" s="56">
        <v>30.05</v>
      </c>
      <c r="M90" s="56">
        <v>30.8</v>
      </c>
      <c r="N90" s="56">
        <v>32.099999999999987</v>
      </c>
      <c r="O90" s="56">
        <v>32</v>
      </c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5</v>
      </c>
      <c r="AQ90" s="71" t="str">
        <f t="shared" si="4"/>
        <v/>
      </c>
      <c r="AR90" s="71">
        <f>IFERROR(VLOOKUP(A90,Climatologia_TMED!A:U,9+$E$2,FALSE),"")</f>
        <v>27.68573940212433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/>
      <c r="M91" s="56">
        <v>30.25</v>
      </c>
      <c r="N91" s="56"/>
      <c r="O91" s="56">
        <v>31.45</v>
      </c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2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16.45</v>
      </c>
      <c r="L92" s="56">
        <v>17.95</v>
      </c>
      <c r="M92" s="56">
        <v>18.55</v>
      </c>
      <c r="N92" s="56">
        <v>17.2</v>
      </c>
      <c r="O92" s="56">
        <v>18.274999999999999</v>
      </c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5</v>
      </c>
      <c r="AQ92" s="71" t="str">
        <f t="shared" si="4"/>
        <v/>
      </c>
      <c r="AR92" s="71">
        <f>IFERROR(VLOOKUP(A92,Climatologia_TMED!A:U,9+$E$2,FALSE),"")</f>
        <v>16.238137566137532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24.466666666666669</v>
      </c>
      <c r="L93" s="56">
        <v>24.8</v>
      </c>
      <c r="M93" s="56">
        <v>25.4</v>
      </c>
      <c r="N93" s="56">
        <v>25</v>
      </c>
      <c r="O93" s="56">
        <v>25.86666666666666</v>
      </c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5</v>
      </c>
      <c r="AQ93" s="71" t="str">
        <f t="shared" si="4"/>
        <v/>
      </c>
      <c r="AR93" s="71">
        <f>IFERROR(VLOOKUP(A93,Climatologia_TMED!A:U,9+$E$2,FALSE),"")</f>
        <v>22.28312267806265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18.05</v>
      </c>
      <c r="L94" s="56">
        <v>17.45</v>
      </c>
      <c r="M94" s="56">
        <v>18</v>
      </c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3</v>
      </c>
      <c r="AQ94" s="71" t="str">
        <f t="shared" si="4"/>
        <v/>
      </c>
      <c r="AR94" s="71">
        <f>IFERROR(VLOOKUP(A94,Climatologia_TMED!A:U,9+$E$2,FALSE),"")</f>
        <v>16.29618252860929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</v>
      </c>
      <c r="L95" s="56">
        <v>14.6</v>
      </c>
      <c r="M95" s="56">
        <v>13.35</v>
      </c>
      <c r="N95" s="56">
        <v>14.95</v>
      </c>
      <c r="O95" s="56">
        <v>13.85</v>
      </c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5</v>
      </c>
      <c r="AQ95" s="71" t="str">
        <f t="shared" si="4"/>
        <v/>
      </c>
      <c r="AR95" s="71">
        <f>IFERROR(VLOOKUP(A95,Climatologia_TMED!A:U,9+$E$2,FALSE),"")</f>
        <v>13.88572613872102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17.20167760615205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17.733333333333331</v>
      </c>
      <c r="L97" s="56">
        <v>17.333333333333329</v>
      </c>
      <c r="M97" s="56">
        <v>18</v>
      </c>
      <c r="N97" s="56">
        <v>13.9</v>
      </c>
      <c r="O97" s="56">
        <v>14.733333333333331</v>
      </c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5</v>
      </c>
      <c r="AQ97" s="71" t="str">
        <f t="shared" si="4"/>
        <v/>
      </c>
      <c r="AR97" s="71">
        <f>IFERROR(VLOOKUP(A97,Climatologia_TMED!A:U,9+$E$2,FALSE),"")</f>
        <v>14.31904513099447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11.7</v>
      </c>
      <c r="L98" s="56">
        <v>13.15</v>
      </c>
      <c r="M98" s="56">
        <v>12.95</v>
      </c>
      <c r="N98" s="56">
        <v>13.1</v>
      </c>
      <c r="O98" s="56">
        <v>11.95</v>
      </c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5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14.83333333333333</v>
      </c>
      <c r="L99" s="56">
        <v>14.93333333333333</v>
      </c>
      <c r="M99" s="56">
        <v>15.5</v>
      </c>
      <c r="N99" s="56">
        <v>15.6</v>
      </c>
      <c r="O99" s="56">
        <v>14.633333333333329</v>
      </c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5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15.46666666666667</v>
      </c>
      <c r="L100" s="56">
        <v>16.333333333333329</v>
      </c>
      <c r="M100" s="56">
        <v>15.733333333333331</v>
      </c>
      <c r="N100" s="56">
        <v>15.733333333333331</v>
      </c>
      <c r="O100" s="56">
        <v>15.46666666666667</v>
      </c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5</v>
      </c>
      <c r="AQ100" s="71" t="str">
        <f t="shared" si="4"/>
        <v/>
      </c>
      <c r="AR100" s="71">
        <f>IFERROR(VLOOKUP(A100,Climatologia_TMED!A:U,9+$E$2,FALSE),"")</f>
        <v>14.483315594307189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13.2</v>
      </c>
      <c r="L101" s="56">
        <v>13</v>
      </c>
      <c r="M101" s="56">
        <v>13.3</v>
      </c>
      <c r="N101" s="56">
        <v>14.2</v>
      </c>
      <c r="O101" s="56">
        <v>12.65</v>
      </c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5</v>
      </c>
      <c r="AQ101" s="71" t="str">
        <f t="shared" si="4"/>
        <v/>
      </c>
      <c r="AR101" s="71">
        <f>IFERROR(VLOOKUP(A101,Climatologia_TMED!A:U,9+$E$2,FALSE),"")</f>
        <v>12.81914533693047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/>
      <c r="L102" s="56"/>
      <c r="M102" s="56">
        <v>14</v>
      </c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</v>
      </c>
      <c r="AQ102" s="71" t="str">
        <f t="shared" si="4"/>
        <v/>
      </c>
      <c r="AR102" s="71">
        <f>IFERROR(VLOOKUP(A102,Climatologia_TMED!A:U,9+$E$2,FALSE),"")</f>
        <v>11.519944726573801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25.572309064071689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16.778330728968012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19.06666666666667</v>
      </c>
      <c r="L105" s="56">
        <v>20.2</v>
      </c>
      <c r="M105" s="56">
        <v>20.733333333333331</v>
      </c>
      <c r="N105" s="56">
        <v>20.6</v>
      </c>
      <c r="O105" s="56">
        <v>19.533333333333331</v>
      </c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5</v>
      </c>
      <c r="AQ105" s="71" t="str">
        <f t="shared" si="4"/>
        <v/>
      </c>
      <c r="AR105" s="71">
        <f>IFERROR(VLOOKUP(A105,Climatologia_TMED!A:U,9+$E$2,FALSE),"")</f>
        <v>17.31151636275251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13.807907620263929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14.33333333333333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</v>
      </c>
      <c r="AQ107" s="71" t="str">
        <f t="shared" si="4"/>
        <v/>
      </c>
      <c r="AR107" s="71">
        <f>IFERROR(VLOOKUP(A107,Climatologia_TMED!A:U,9+$E$2,FALSE),"")</f>
        <v>13.52481481481478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13.2</v>
      </c>
      <c r="L108" s="56">
        <v>13.45</v>
      </c>
      <c r="M108" s="56">
        <v>13.05</v>
      </c>
      <c r="N108" s="56">
        <v>15.4</v>
      </c>
      <c r="O108" s="56">
        <v>12.1</v>
      </c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5</v>
      </c>
      <c r="AQ108" s="71" t="str">
        <f t="shared" si="4"/>
        <v/>
      </c>
      <c r="AR108" s="71">
        <f>IFERROR(VLOOKUP(A108,Climatologia_TMED!A:U,9+$E$2,FALSE),"")</f>
        <v>14.328268637690741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15</v>
      </c>
      <c r="L109" s="56">
        <v>14.65</v>
      </c>
      <c r="M109" s="56">
        <v>14.35</v>
      </c>
      <c r="N109" s="56">
        <v>13.8</v>
      </c>
      <c r="O109" s="56">
        <v>14.3</v>
      </c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5</v>
      </c>
      <c r="AQ109" s="71" t="str">
        <f t="shared" si="4"/>
        <v/>
      </c>
      <c r="AR109" s="71">
        <f>IFERROR(VLOOKUP(A109,Climatologia_TMED!A:U,9+$E$2,FALSE),"")</f>
        <v>14.084508876117489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>
        <v>18.13333333333334</v>
      </c>
      <c r="M110" s="56">
        <v>17</v>
      </c>
      <c r="N110" s="56">
        <v>17.399999999999999</v>
      </c>
      <c r="O110" s="56">
        <v>18.466666666666669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4</v>
      </c>
      <c r="AQ110" s="71" t="str">
        <f t="shared" si="4"/>
        <v/>
      </c>
      <c r="AR110" s="71">
        <f>IFERROR(VLOOKUP(A110,Climatologia_TMED!A:U,9+$E$2,FALSE),"")</f>
        <v>17.65575995579476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</v>
      </c>
      <c r="L111" s="56">
        <v>16</v>
      </c>
      <c r="M111" s="56">
        <v>15.266666666666669</v>
      </c>
      <c r="N111" s="56">
        <v>16.733333333333331</v>
      </c>
      <c r="O111" s="56">
        <v>14.93333333333333</v>
      </c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5</v>
      </c>
      <c r="AQ111" s="71" t="str">
        <f t="shared" si="4"/>
        <v/>
      </c>
      <c r="AR111" s="71">
        <f>IFERROR(VLOOKUP(A111,Climatologia_TMED!A:U,9+$E$2,FALSE),"")</f>
        <v>15.803133701388001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19.533333333333331</v>
      </c>
      <c r="L112" s="56">
        <v>18.866666666666671</v>
      </c>
      <c r="M112" s="56">
        <v>18.2</v>
      </c>
      <c r="N112" s="56">
        <v>18.466666666666669</v>
      </c>
      <c r="O112" s="56">
        <v>18.8</v>
      </c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5</v>
      </c>
      <c r="AQ112" s="71" t="str">
        <f t="shared" si="4"/>
        <v/>
      </c>
      <c r="AR112" s="71">
        <f>IFERROR(VLOOKUP(A112,Climatologia_TMED!A:U,9+$E$2,FALSE),"")</f>
        <v>17.236627506814891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/>
      <c r="L113" s="56">
        <v>18.600000000000001</v>
      </c>
      <c r="M113" s="56"/>
      <c r="N113" s="56">
        <v>18.133333333333329</v>
      </c>
      <c r="O113" s="56">
        <v>20.266666666666669</v>
      </c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3</v>
      </c>
      <c r="AQ113" s="71" t="str">
        <f t="shared" si="4"/>
        <v/>
      </c>
      <c r="AR113" s="71">
        <f>IFERROR(VLOOKUP(A113,Climatologia_TMED!A:U,9+$E$2,FALSE),"")</f>
        <v>18.656653384418881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22.733333333333331</v>
      </c>
      <c r="L114" s="56">
        <v>22.333333333333329</v>
      </c>
      <c r="M114" s="56">
        <v>22.2</v>
      </c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3</v>
      </c>
      <c r="AQ114" s="71" t="str">
        <f t="shared" si="4"/>
        <v/>
      </c>
      <c r="AR114" s="71">
        <f>IFERROR(VLOOKUP(A114,Climatologia_TMED!A:U,9+$E$2,FALSE),"")</f>
        <v>21.107726441384582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29.4</v>
      </c>
      <c r="L115" s="56">
        <v>27.55</v>
      </c>
      <c r="M115" s="56">
        <v>28.35</v>
      </c>
      <c r="N115" s="56">
        <v>27.45</v>
      </c>
      <c r="O115" s="56">
        <v>28.45</v>
      </c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5</v>
      </c>
      <c r="AQ115" s="71" t="str">
        <f t="shared" si="4"/>
        <v/>
      </c>
      <c r="AR115" s="71">
        <f>IFERROR(VLOOKUP(A115,Climatologia_TMED!A:U,9+$E$2,FALSE),"")</f>
        <v>27.435459278907519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19.266666666666669</v>
      </c>
      <c r="M116" s="56">
        <v>20</v>
      </c>
      <c r="N116" s="56">
        <v>19.266666666666669</v>
      </c>
      <c r="O116" s="56">
        <v>20.133333333333329</v>
      </c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5</v>
      </c>
      <c r="AQ116" s="71" t="str">
        <f t="shared" si="4"/>
        <v/>
      </c>
      <c r="AR116" s="71">
        <f>IFERROR(VLOOKUP(A116,Climatologia_TMED!A:U,9+$E$2,FALSE),"")</f>
        <v>18.998379875318051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28.733333333333331</v>
      </c>
      <c r="L117" s="56">
        <v>26.933333333333341</v>
      </c>
      <c r="M117" s="56">
        <v>27.93333333333333</v>
      </c>
      <c r="N117" s="56">
        <v>26.266666666666669</v>
      </c>
      <c r="O117" s="56">
        <v>27.6</v>
      </c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5</v>
      </c>
      <c r="AQ117" s="71" t="str">
        <f t="shared" si="4"/>
        <v/>
      </c>
      <c r="AR117" s="71">
        <f>IFERROR(VLOOKUP(A117,Climatologia_TMED!A:U,9+$E$2,FALSE),"")</f>
        <v>26.39198997936926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0</v>
      </c>
      <c r="AQ118" s="71" t="str">
        <f t="shared" si="4"/>
        <v/>
      </c>
      <c r="AR118" s="71">
        <f>IFERROR(VLOOKUP(A118,Climatologia_TMED!A:U,9+$E$2,FALSE),"")</f>
        <v>26.776155172413791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24.333333333333329</v>
      </c>
      <c r="L119" s="56">
        <v>23.93333333333333</v>
      </c>
      <c r="M119" s="56">
        <v>25</v>
      </c>
      <c r="N119" s="56">
        <v>24.733333333333331</v>
      </c>
      <c r="O119" s="56">
        <v>24.333333333333329</v>
      </c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5</v>
      </c>
      <c r="AQ119" s="71" t="str">
        <f t="shared" si="4"/>
        <v/>
      </c>
      <c r="AR119" s="71">
        <f>IFERROR(VLOOKUP(A119,Climatologia_TMED!A:U,9+$E$2,FALSE),"")</f>
        <v>22.727160493827121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/>
      <c r="M120" s="56">
        <v>29.2</v>
      </c>
      <c r="N120" s="56">
        <v>29.13333333333334</v>
      </c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2</v>
      </c>
      <c r="AQ120" s="71" t="str">
        <f t="shared" si="4"/>
        <v/>
      </c>
      <c r="AR120" s="71">
        <f>IFERROR(VLOOKUP(A120,Climatologia_TMED!A:U,9+$E$2,FALSE),"")</f>
        <v>26.748528727445361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26.329559919114491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</v>
      </c>
      <c r="M122" s="56">
        <v>11.866666666666671</v>
      </c>
      <c r="N122" s="56">
        <v>13.66666666666667</v>
      </c>
      <c r="O122" s="56">
        <v>11.93333333333333</v>
      </c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5</v>
      </c>
      <c r="AQ122" s="71" t="str">
        <f t="shared" si="4"/>
        <v/>
      </c>
      <c r="AR122" s="71">
        <f>IFERROR(VLOOKUP(A122,Climatologia_TMED!A:U,9+$E$2,FALSE),"")</f>
        <v>10.480613155511239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23.320281739397249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16.06666666666667</v>
      </c>
      <c r="L124" s="56">
        <v>15.6</v>
      </c>
      <c r="M124" s="56">
        <v>16.13333333333334</v>
      </c>
      <c r="N124" s="56">
        <v>17.399999999999999</v>
      </c>
      <c r="O124" s="56">
        <v>16.333333333333329</v>
      </c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5</v>
      </c>
      <c r="AQ124" s="71" t="str">
        <f t="shared" si="4"/>
        <v/>
      </c>
      <c r="AR124" s="71">
        <f>IFERROR(VLOOKUP(A124,Climatologia_TMED!A:U,9+$E$2,FALSE),"")</f>
        <v>15.581381177062839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16.896553402427049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12.33333333333333</v>
      </c>
      <c r="L126" s="56">
        <v>11.46666666666667</v>
      </c>
      <c r="M126" s="56"/>
      <c r="N126" s="56">
        <v>12</v>
      </c>
      <c r="O126" s="56">
        <v>11.6</v>
      </c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4</v>
      </c>
      <c r="AQ126" s="71" t="str">
        <f t="shared" si="4"/>
        <v/>
      </c>
      <c r="AR126" s="71">
        <f>IFERROR(VLOOKUP(A126,Climatologia_TMED!A:U,9+$E$2,FALSE),"")</f>
        <v>11.071363212780239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25.821244708994701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26.092742266992261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25.724228587985191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16.266666666666669</v>
      </c>
      <c r="L130" s="56">
        <v>15.6</v>
      </c>
      <c r="M130" s="56">
        <v>15.7</v>
      </c>
      <c r="N130" s="56">
        <v>16.866666666666671</v>
      </c>
      <c r="O130" s="56">
        <v>15.53333333333333</v>
      </c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5</v>
      </c>
      <c r="AQ130" s="71" t="str">
        <f t="shared" si="4"/>
        <v/>
      </c>
      <c r="AR130" s="71">
        <f>IFERROR(VLOOKUP(A130,Climatologia_TMED!A:U,9+$E$2,FALSE),"")</f>
        <v>14.40976256368152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19.25</v>
      </c>
      <c r="L131" s="56">
        <v>19.350000000000001</v>
      </c>
      <c r="M131" s="56">
        <v>18.05</v>
      </c>
      <c r="N131" s="56">
        <v>19.3</v>
      </c>
      <c r="O131" s="56">
        <v>17.75</v>
      </c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5</v>
      </c>
      <c r="AQ131" s="71" t="str">
        <f t="shared" si="4"/>
        <v/>
      </c>
      <c r="AR131" s="71">
        <f>IFERROR(VLOOKUP(A131,Climatologia_TMED!A:U,9+$E$2,FALSE),"")</f>
        <v>17.160277508071349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18.871717663426111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14.93333333333333</v>
      </c>
      <c r="L133" s="56">
        <v>14.366666666666671</v>
      </c>
      <c r="M133" s="56">
        <v>13.733333333333331</v>
      </c>
      <c r="N133" s="56">
        <v>13.8</v>
      </c>
      <c r="O133" s="56">
        <v>13.56666666666667</v>
      </c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5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13.069584214343539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18.466666666666669</v>
      </c>
      <c r="L134" s="56">
        <v>18.399999999999999</v>
      </c>
      <c r="M134" s="56">
        <v>17.2</v>
      </c>
      <c r="N134" s="56">
        <v>19.466666666666669</v>
      </c>
      <c r="O134" s="56">
        <v>18.266666666666669</v>
      </c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5</v>
      </c>
      <c r="AQ134" s="71" t="str">
        <f t="shared" si="7"/>
        <v/>
      </c>
      <c r="AR134" s="71">
        <f>IFERROR(VLOOKUP(A134,Climatologia_TMED!A:U,9+$E$2,FALSE),"")</f>
        <v>16.153236104678619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19.649999999999999</v>
      </c>
      <c r="L135" s="56">
        <v>19.899999999999999</v>
      </c>
      <c r="M135" s="56">
        <v>22.65</v>
      </c>
      <c r="N135" s="56">
        <v>22.4</v>
      </c>
      <c r="O135" s="56">
        <v>21.95</v>
      </c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5</v>
      </c>
      <c r="AQ135" s="71" t="str">
        <f t="shared" si="7"/>
        <v/>
      </c>
      <c r="AR135" s="71">
        <f>IFERROR(VLOOKUP(A135,Climatologia_TMED!A:U,9+$E$2,FALSE),"")</f>
        <v>18.508045822497071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11.6</v>
      </c>
      <c r="L136" s="56">
        <v>11</v>
      </c>
      <c r="M136" s="56">
        <v>11.66666666666667</v>
      </c>
      <c r="N136" s="56">
        <v>11.8</v>
      </c>
      <c r="O136" s="56">
        <v>11</v>
      </c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5</v>
      </c>
      <c r="AQ136" s="71" t="str">
        <f t="shared" si="7"/>
        <v/>
      </c>
      <c r="AR136" s="71">
        <f>IFERROR(VLOOKUP(A136,Climatologia_TMED!A:U,9+$E$2,FALSE),"")</f>
        <v>11.35006818181817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21.055600007286738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22.666666666666671</v>
      </c>
      <c r="L138" s="56">
        <v>21.733333333333331</v>
      </c>
      <c r="M138" s="56">
        <v>22.6</v>
      </c>
      <c r="N138" s="56">
        <v>22.93333333333333</v>
      </c>
      <c r="O138" s="56">
        <v>22.266666666666669</v>
      </c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5</v>
      </c>
      <c r="AQ138" s="71" t="str">
        <f t="shared" si="7"/>
        <v/>
      </c>
      <c r="AR138" s="71">
        <f>IFERROR(VLOOKUP(A138,Climatologia_TMED!A:U,9+$E$2,FALSE),"")</f>
        <v>20.212549364462841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14.75</v>
      </c>
      <c r="M139" s="56">
        <v>13.275</v>
      </c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3</v>
      </c>
      <c r="AQ139" s="71" t="str">
        <f t="shared" si="7"/>
        <v/>
      </c>
      <c r="AR139" s="71">
        <f>IFERROR(VLOOKUP(A139,Climatologia_TMED!A:U,9+$E$2,FALSE),"")</f>
        <v>13.24473771858926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15.85</v>
      </c>
      <c r="L140" s="56">
        <v>16</v>
      </c>
      <c r="M140" s="56">
        <v>15.4</v>
      </c>
      <c r="N140" s="56">
        <v>17.350000000000001</v>
      </c>
      <c r="O140" s="56">
        <v>17.2</v>
      </c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5</v>
      </c>
      <c r="AQ140" s="71" t="str">
        <f t="shared" si="7"/>
        <v/>
      </c>
      <c r="AR140" s="71">
        <f>IFERROR(VLOOKUP(A140,Climatologia_TMED!A:U,9+$E$2,FALSE),"")</f>
        <v>15.86800396825396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13.733333333333331</v>
      </c>
      <c r="L141" s="56">
        <v>13.66666666666667</v>
      </c>
      <c r="M141" s="56">
        <v>13.133333333333329</v>
      </c>
      <c r="N141" s="56">
        <v>13.4</v>
      </c>
      <c r="O141" s="56">
        <v>13.133333333333329</v>
      </c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5</v>
      </c>
      <c r="AQ141" s="71" t="str">
        <f t="shared" si="7"/>
        <v/>
      </c>
      <c r="AR141" s="71">
        <f>IFERROR(VLOOKUP(A141,Climatologia_TMED!A:U,9+$E$2,FALSE),"")</f>
        <v>12.41555836002585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13.2</v>
      </c>
      <c r="L142" s="56">
        <v>12.2</v>
      </c>
      <c r="M142" s="56">
        <v>11.475</v>
      </c>
      <c r="N142" s="56">
        <v>11.375</v>
      </c>
      <c r="O142" s="56">
        <v>10.8</v>
      </c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5</v>
      </c>
      <c r="AQ142" s="71" t="str">
        <f t="shared" si="7"/>
        <v/>
      </c>
      <c r="AR142" s="71">
        <f>IFERROR(VLOOKUP(A142,Climatologia_TMED!A:U,9+$E$2,FALSE),"")</f>
        <v>10.878836012622729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28.06666666666667</v>
      </c>
      <c r="L143" s="56">
        <v>28.533333333333331</v>
      </c>
      <c r="M143" s="56">
        <v>28.066666666666659</v>
      </c>
      <c r="N143" s="56">
        <v>27.666666666666671</v>
      </c>
      <c r="O143" s="56">
        <v>27.333333333333329</v>
      </c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5</v>
      </c>
      <c r="AQ143" s="71" t="str">
        <f t="shared" si="7"/>
        <v/>
      </c>
      <c r="AR143" s="71">
        <f>IFERROR(VLOOKUP(A143,Climatologia_TMED!A:U,9+$E$2,FALSE),"")</f>
        <v>25.845127155172399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17.666666666666671</v>
      </c>
      <c r="L144" s="56">
        <v>16.2</v>
      </c>
      <c r="M144" s="56">
        <v>16.2</v>
      </c>
      <c r="N144" s="56">
        <v>16.36666666666666</v>
      </c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4</v>
      </c>
      <c r="AQ144" s="71" t="str">
        <f t="shared" si="7"/>
        <v/>
      </c>
      <c r="AR144" s="71">
        <f>IFERROR(VLOOKUP(A144,Climatologia_TMED!A:U,9+$E$2,FALSE),"")</f>
        <v>16.049799344705932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20.533333333333331</v>
      </c>
      <c r="L145" s="56">
        <v>19.600000000000001</v>
      </c>
      <c r="M145" s="56">
        <v>21.466666666666669</v>
      </c>
      <c r="N145" s="56">
        <v>21.2</v>
      </c>
      <c r="O145" s="56">
        <v>21</v>
      </c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5</v>
      </c>
      <c r="AQ145" s="71" t="str">
        <f t="shared" si="7"/>
        <v/>
      </c>
      <c r="AR145" s="71">
        <f>IFERROR(VLOOKUP(A145,Climatologia_TMED!A:U,9+$E$2,FALSE),"")</f>
        <v>19.60942301581591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30.533333333333331</v>
      </c>
      <c r="L146" s="56">
        <v>30.466666666666669</v>
      </c>
      <c r="M146" s="56">
        <v>31.06666666666667</v>
      </c>
      <c r="N146" s="56">
        <v>31.63333333333334</v>
      </c>
      <c r="O146" s="56">
        <v>31.066666666666659</v>
      </c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5</v>
      </c>
      <c r="AQ146" s="71" t="str">
        <f t="shared" si="7"/>
        <v/>
      </c>
      <c r="AR146" s="71">
        <f>IFERROR(VLOOKUP(A146,Climatologia_TMED!A:U,9+$E$2,FALSE),"")</f>
        <v>29.357750542626871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25.666666666666671</v>
      </c>
      <c r="L147" s="56">
        <v>26</v>
      </c>
      <c r="M147" s="56">
        <v>26.93333333333333</v>
      </c>
      <c r="N147" s="56">
        <v>26.4</v>
      </c>
      <c r="O147" s="56">
        <v>27.13333333333334</v>
      </c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5</v>
      </c>
      <c r="AQ147" s="71" t="str">
        <f t="shared" si="7"/>
        <v/>
      </c>
      <c r="AR147" s="71">
        <f>IFERROR(VLOOKUP(A147,Climatologia_TMED!A:U,9+$E$2,FALSE),"")</f>
        <v>24.12521236571591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29.4</v>
      </c>
      <c r="L148" s="56">
        <v>30.666666666666671</v>
      </c>
      <c r="M148" s="56">
        <v>29.4</v>
      </c>
      <c r="N148" s="56">
        <v>29.8</v>
      </c>
      <c r="O148" s="56">
        <v>32.133333333333333</v>
      </c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5</v>
      </c>
      <c r="AQ148" s="71" t="str">
        <f t="shared" si="7"/>
        <v/>
      </c>
      <c r="AR148" s="71">
        <f>IFERROR(VLOOKUP(A148,Climatologia_TMED!A:U,9+$E$2,FALSE),"")</f>
        <v>28.928979357144449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22.8</v>
      </c>
      <c r="L149" s="56">
        <v>21.733333333333331</v>
      </c>
      <c r="M149" s="56">
        <v>23.4</v>
      </c>
      <c r="N149" s="56">
        <v>23.733333333333331</v>
      </c>
      <c r="O149" s="56">
        <v>23.93333333333333</v>
      </c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5</v>
      </c>
      <c r="AQ149" s="71" t="str">
        <f t="shared" si="7"/>
        <v/>
      </c>
      <c r="AR149" s="71">
        <f>IFERROR(VLOOKUP(A149,Climatologia_TMED!A:U,9+$E$2,FALSE),"")</f>
        <v>21.503141534391531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22.536240421876951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22.533333333333331</v>
      </c>
      <c r="L151" s="56">
        <v>22.333333333333329</v>
      </c>
      <c r="M151" s="56">
        <v>23.533333333333331</v>
      </c>
      <c r="N151" s="56">
        <v>23.733333333333331</v>
      </c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4</v>
      </c>
      <c r="AQ151" s="71" t="str">
        <f t="shared" si="7"/>
        <v/>
      </c>
      <c r="AR151" s="71">
        <f>IFERROR(VLOOKUP(A151,Climatologia_TMED!A:U,9+$E$2,FALSE),"")</f>
        <v>21.410009141056261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21.900484304189789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28.68589772243504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19.850000000000001</v>
      </c>
      <c r="L154" s="56">
        <v>19.75</v>
      </c>
      <c r="M154" s="56">
        <v>21.55</v>
      </c>
      <c r="N154" s="56">
        <v>21.6</v>
      </c>
      <c r="O154" s="56">
        <v>22.55</v>
      </c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5</v>
      </c>
      <c r="AQ154" s="71" t="str">
        <f t="shared" si="7"/>
        <v/>
      </c>
      <c r="AR154" s="71">
        <f>IFERROR(VLOOKUP(A154,Climatologia_TMED!A:U,9+$E$2,FALSE),"")</f>
        <v>19.491120005473451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28.13333333333334</v>
      </c>
      <c r="L155" s="56">
        <v>28.733333333333331</v>
      </c>
      <c r="M155" s="56">
        <v>29.466666666666669</v>
      </c>
      <c r="N155" s="56">
        <v>29.06666666666667</v>
      </c>
      <c r="O155" s="56">
        <v>28.6</v>
      </c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5</v>
      </c>
      <c r="AQ155" s="71" t="str">
        <f t="shared" si="7"/>
        <v/>
      </c>
      <c r="AR155" s="71">
        <f>IFERROR(VLOOKUP(A155,Climatologia_TMED!A:U,9+$E$2,FALSE),"")</f>
        <v>27.651460311092379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24.426682492087249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29.86666666666666</v>
      </c>
      <c r="L157" s="56">
        <v>29.466666666666669</v>
      </c>
      <c r="M157" s="56">
        <v>30.466666666666669</v>
      </c>
      <c r="N157" s="56">
        <v>30.06666666666667</v>
      </c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4</v>
      </c>
      <c r="AQ157" s="71" t="str">
        <f t="shared" si="7"/>
        <v/>
      </c>
      <c r="AR157" s="71">
        <f>IFERROR(VLOOKUP(A157,Climatologia_TMED!A:U,9+$E$2,FALSE),"")</f>
        <v>27.369901230633982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30.733333333333331</v>
      </c>
      <c r="L158" s="56">
        <v>30.86666666666666</v>
      </c>
      <c r="M158" s="56">
        <v>30</v>
      </c>
      <c r="N158" s="56">
        <v>30.06666666666667</v>
      </c>
      <c r="O158" s="56">
        <v>31.333333333333329</v>
      </c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5</v>
      </c>
      <c r="AQ158" s="71" t="str">
        <f t="shared" si="7"/>
        <v/>
      </c>
      <c r="AR158" s="71">
        <f>IFERROR(VLOOKUP(A158,Climatologia_TMED!A:U,9+$E$2,FALSE),"")</f>
        <v>27.726090563430109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19.86666666666666</v>
      </c>
      <c r="L159" s="56">
        <v>20.133333333333329</v>
      </c>
      <c r="M159" s="56">
        <v>21.333333333333329</v>
      </c>
      <c r="N159" s="56">
        <v>20.266666666666669</v>
      </c>
      <c r="O159" s="56">
        <v>21.466666666666669</v>
      </c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5</v>
      </c>
      <c r="AQ159" s="71" t="str">
        <f t="shared" si="7"/>
        <v/>
      </c>
      <c r="AR159" s="71">
        <f>IFERROR(VLOOKUP(A159,Climatologia_TMED!A:U,9+$E$2,FALSE),"")</f>
        <v>18.835058362971861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27.13333333333334</v>
      </c>
      <c r="L160" s="56">
        <v>27.266666666666669</v>
      </c>
      <c r="M160" s="56">
        <v>26.86666666666666</v>
      </c>
      <c r="N160" s="56">
        <v>27.533333333333331</v>
      </c>
      <c r="O160" s="56">
        <v>28.93333333333333</v>
      </c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5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17.288778054313081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28.6</v>
      </c>
      <c r="L162" s="56">
        <v>28.533333333333331</v>
      </c>
      <c r="M162" s="56">
        <v>29.266666666666669</v>
      </c>
      <c r="N162" s="56">
        <v>30</v>
      </c>
      <c r="O162" s="56">
        <v>29.93333333333333</v>
      </c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5</v>
      </c>
      <c r="AQ162" s="71" t="str">
        <f t="shared" si="7"/>
        <v/>
      </c>
      <c r="AR162" s="71">
        <f>IFERROR(VLOOKUP(A162,Climatologia_TMED!A:U,9+$E$2,FALSE),"")</f>
        <v>28.127510724694599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21.06666666666667</v>
      </c>
      <c r="L163" s="56">
        <v>21.466666666666669</v>
      </c>
      <c r="M163" s="56">
        <v>22.13333333333334</v>
      </c>
      <c r="N163" s="56">
        <v>21.133333333333329</v>
      </c>
      <c r="O163" s="56">
        <v>21.666666666666671</v>
      </c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5</v>
      </c>
      <c r="AQ163" s="71" t="str">
        <f t="shared" si="7"/>
        <v/>
      </c>
      <c r="AR163" s="71">
        <f>IFERROR(VLOOKUP(A163,Climatologia_TMED!A:U,9+$E$2,FALSE),"")</f>
        <v>21.22896057140672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25.2</v>
      </c>
      <c r="L164" s="56">
        <v>25.9</v>
      </c>
      <c r="M164" s="56">
        <v>25.3</v>
      </c>
      <c r="N164" s="56">
        <v>25.7</v>
      </c>
      <c r="O164" s="56">
        <v>26.5</v>
      </c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5</v>
      </c>
      <c r="AQ164" s="71" t="str">
        <f t="shared" si="7"/>
        <v/>
      </c>
      <c r="AR164" s="71">
        <f>IFERROR(VLOOKUP(A164,Climatologia_TMED!A:U,9+$E$2,FALSE),"")</f>
        <v>23.89155800492609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19.0774795279168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14.6</v>
      </c>
      <c r="M166" s="56">
        <v>14.7</v>
      </c>
      <c r="N166" s="56">
        <v>15.133333333333329</v>
      </c>
      <c r="O166" s="56">
        <v>14.06666666666667</v>
      </c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5</v>
      </c>
      <c r="AQ166" s="71" t="str">
        <f t="shared" si="7"/>
        <v/>
      </c>
      <c r="AR166" s="71">
        <f>IFERROR(VLOOKUP(A166,Climatologia_TMED!A:U,9+$E$2,FALSE),"")</f>
        <v>13.620666666666629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20.666666666666671</v>
      </c>
      <c r="L167" s="56">
        <v>20.733333333333331</v>
      </c>
      <c r="M167" s="56">
        <v>20.399999999999999</v>
      </c>
      <c r="N167" s="56">
        <v>21.266666666666669</v>
      </c>
      <c r="O167" s="56">
        <v>21.333333333333329</v>
      </c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5</v>
      </c>
      <c r="AQ167" s="71" t="str">
        <f t="shared" si="7"/>
        <v/>
      </c>
      <c r="AR167" s="71">
        <f>IFERROR(VLOOKUP(A167,Climatologia_TMED!A:U,9+$E$2,FALSE),"")</f>
        <v>19.08208868706501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27.8</v>
      </c>
      <c r="L168" s="56">
        <v>28.3</v>
      </c>
      <c r="M168" s="56">
        <v>28.35</v>
      </c>
      <c r="N168" s="56">
        <v>28.7</v>
      </c>
      <c r="O168" s="56">
        <v>29.55</v>
      </c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5</v>
      </c>
      <c r="AQ168" s="71" t="str">
        <f t="shared" si="7"/>
        <v/>
      </c>
      <c r="AR168" s="71">
        <f>IFERROR(VLOOKUP(A168,Climatologia_TMED!A:U,9+$E$2,FALSE),"")</f>
        <v>26.096985386238281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10.65</v>
      </c>
      <c r="L169" s="56">
        <v>10</v>
      </c>
      <c r="M169" s="56">
        <v>9.7000000000000011</v>
      </c>
      <c r="N169" s="56">
        <v>9.1000000000000014</v>
      </c>
      <c r="O169" s="56">
        <v>9.3999999999999986</v>
      </c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5</v>
      </c>
      <c r="AQ169" s="71" t="str">
        <f t="shared" si="7"/>
        <v/>
      </c>
      <c r="AR169" s="71">
        <f>IFERROR(VLOOKUP(A169,Climatologia_TMED!A:U,9+$E$2,FALSE),"")</f>
        <v>9.1213698261706551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25.266666666666669</v>
      </c>
      <c r="L170" s="56">
        <v>23.86666666666666</v>
      </c>
      <c r="M170" s="56">
        <v>26.6</v>
      </c>
      <c r="N170" s="56">
        <v>27.06666666666667</v>
      </c>
      <c r="O170" s="56">
        <v>25.533333333333331</v>
      </c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5</v>
      </c>
      <c r="AQ170" s="71" t="str">
        <f t="shared" si="7"/>
        <v/>
      </c>
      <c r="AR170" s="71">
        <f>IFERROR(VLOOKUP(A170,Climatologia_TMED!A:U,9+$E$2,FALSE),"")</f>
        <v>24.925912119489681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22.13333333333334</v>
      </c>
      <c r="L171" s="56">
        <v>22.13333333333334</v>
      </c>
      <c r="M171" s="56">
        <v>20.86666666666666</v>
      </c>
      <c r="N171" s="56">
        <v>22.533333333333331</v>
      </c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4</v>
      </c>
      <c r="AQ171" s="71" t="str">
        <f t="shared" si="7"/>
        <v/>
      </c>
      <c r="AR171" s="71">
        <f>IFERROR(VLOOKUP(A171,Climatologia_TMED!A:U,9+$E$2,FALSE),"")</f>
        <v>18.83550959983776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26.85</v>
      </c>
      <c r="L172" s="56">
        <v>26.45</v>
      </c>
      <c r="M172" s="56">
        <v>26.75</v>
      </c>
      <c r="N172" s="56">
        <v>23.75</v>
      </c>
      <c r="O172" s="56">
        <v>27.1</v>
      </c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5</v>
      </c>
      <c r="AQ172" s="71" t="str">
        <f t="shared" si="7"/>
        <v/>
      </c>
      <c r="AR172" s="71">
        <f>IFERROR(VLOOKUP(A172,Climatologia_TMED!A:U,9+$E$2,FALSE),"")</f>
        <v>24.505676764856439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25.45</v>
      </c>
      <c r="L173" s="56">
        <v>26.1</v>
      </c>
      <c r="M173" s="56">
        <v>25.95</v>
      </c>
      <c r="N173" s="56">
        <v>25.85</v>
      </c>
      <c r="O173" s="56">
        <v>22.2</v>
      </c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5</v>
      </c>
      <c r="AQ173" s="71" t="str">
        <f t="shared" si="7"/>
        <v/>
      </c>
      <c r="AR173" s="71">
        <f>IFERROR(VLOOKUP(A173,Climatologia_TMED!A:U,9+$E$2,FALSE),"")</f>
        <v>24.013909243295011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12.46666666666667</v>
      </c>
      <c r="L174" s="56">
        <v>12.266666666666669</v>
      </c>
      <c r="M174" s="56">
        <v>12.266666666666669</v>
      </c>
      <c r="N174" s="56">
        <v>11.66666666666667</v>
      </c>
      <c r="O174" s="56">
        <v>14.266666666666669</v>
      </c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5</v>
      </c>
      <c r="AQ174" s="71" t="str">
        <f t="shared" si="7"/>
        <v/>
      </c>
      <c r="AR174" s="71">
        <f>IFERROR(VLOOKUP(A174,Climatologia_TMED!A:U,9+$E$2,FALSE),"")</f>
        <v>12.189782900889689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24.666666666666671</v>
      </c>
      <c r="L175" s="56">
        <v>24.93333333333333</v>
      </c>
      <c r="M175" s="56">
        <v>25.4</v>
      </c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23.699565695841741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23.029922927012919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19.418723529608179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24.466666666666669</v>
      </c>
      <c r="L178" s="56">
        <v>25.4</v>
      </c>
      <c r="M178" s="56">
        <v>25.4</v>
      </c>
      <c r="N178" s="56">
        <v>25.86666666666666</v>
      </c>
      <c r="O178" s="56">
        <v>26.4</v>
      </c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5</v>
      </c>
      <c r="AQ178" s="71" t="str">
        <f t="shared" si="7"/>
        <v/>
      </c>
      <c r="AR178" s="71">
        <f>IFERROR(VLOOKUP(A178,Climatologia_TMED!A:U,9+$E$2,FALSE),"")</f>
        <v>24.463062760640639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18.05</v>
      </c>
      <c r="L179" s="56">
        <v>18.8</v>
      </c>
      <c r="M179" s="56">
        <v>18.649999999999999</v>
      </c>
      <c r="N179" s="56">
        <v>20.100000000000001</v>
      </c>
      <c r="O179" s="56">
        <v>19.8</v>
      </c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5</v>
      </c>
      <c r="AQ179" s="71" t="str">
        <f t="shared" si="7"/>
        <v/>
      </c>
      <c r="AR179" s="71">
        <f>IFERROR(VLOOKUP(A179,Climatologia_TMED!A:U,9+$E$2,FALSE),"")</f>
        <v>17.246762526490102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15.614783950617269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30.666666666666671</v>
      </c>
      <c r="L181" s="56">
        <v>32.4</v>
      </c>
      <c r="M181" s="56">
        <v>30.93333333333333</v>
      </c>
      <c r="N181" s="56">
        <v>32.466666666666669</v>
      </c>
      <c r="O181" s="56">
        <v>34.266666666666673</v>
      </c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5</v>
      </c>
      <c r="AQ181" s="71" t="str">
        <f t="shared" si="7"/>
        <v/>
      </c>
      <c r="AR181" s="71">
        <f>IFERROR(VLOOKUP(A181,Climatologia_TMED!A:U,9+$E$2,FALSE),"")</f>
        <v>29.303127464277281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29.070524972011309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29.850658456486009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29.333333333333329</v>
      </c>
      <c r="L184" s="56">
        <v>27.666666666666671</v>
      </c>
      <c r="M184" s="56">
        <v>27.6</v>
      </c>
      <c r="N184" s="56">
        <v>30.8</v>
      </c>
      <c r="O184" s="56">
        <v>29.06666666666667</v>
      </c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5</v>
      </c>
      <c r="AQ184" s="71" t="str">
        <f t="shared" si="7"/>
        <v/>
      </c>
      <c r="AR184" s="71">
        <f>IFERROR(VLOOKUP(A184,Climatologia_TMED!A:U,9+$E$2,FALSE),"")</f>
        <v>27.44577311344327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30</v>
      </c>
      <c r="L185" s="56">
        <v>30.8</v>
      </c>
      <c r="M185" s="56">
        <v>30.2</v>
      </c>
      <c r="N185" s="56">
        <v>31.4</v>
      </c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4</v>
      </c>
      <c r="AQ185" s="71" t="str">
        <f t="shared" si="7"/>
        <v/>
      </c>
      <c r="AR185" s="71">
        <f>IFERROR(VLOOKUP(A185,Climatologia_TMED!A:U,9+$E$2,FALSE),"")</f>
        <v>28.293327865203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29.339347721096161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26.279203588598349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17.06666666666667</v>
      </c>
      <c r="M188" s="56">
        <v>17.466666666666669</v>
      </c>
      <c r="N188" s="56">
        <v>18</v>
      </c>
      <c r="O188" s="56">
        <v>19.06666666666667</v>
      </c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5</v>
      </c>
      <c r="AQ188" s="71" t="str">
        <f t="shared" si="7"/>
        <v/>
      </c>
      <c r="AR188" s="71">
        <f>IFERROR(VLOOKUP(A188,Climatologia_TMED!A:U,9+$E$2,FALSE),"")</f>
        <v>16.212706169096929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</v>
      </c>
      <c r="L189" s="56">
        <v>30.6</v>
      </c>
      <c r="M189" s="56"/>
      <c r="N189" s="56">
        <v>33.266666666666673</v>
      </c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3</v>
      </c>
      <c r="AQ189" s="71" t="str">
        <f t="shared" si="7"/>
        <v/>
      </c>
      <c r="AR189" s="71">
        <f>IFERROR(VLOOKUP(A189,Climatologia_TMED!A:U,9+$E$2,FALSE),"")</f>
        <v>29.645502227391589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29.6</v>
      </c>
      <c r="M190" s="56">
        <v>31.2</v>
      </c>
      <c r="N190" s="56">
        <v>31.466666666666669</v>
      </c>
      <c r="O190" s="56">
        <v>32.266666666666673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5</v>
      </c>
      <c r="AQ190" s="71" t="str">
        <f t="shared" si="7"/>
        <v/>
      </c>
      <c r="AR190" s="71">
        <f>IFERROR(VLOOKUP(A190,Climatologia_TMED!A:U,9+$E$2,FALSE),"")</f>
        <v>29.06825057892295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18.5</v>
      </c>
      <c r="L191" s="56">
        <v>18.95</v>
      </c>
      <c r="M191" s="56">
        <v>18.899999999999999</v>
      </c>
      <c r="N191" s="56">
        <v>19.25</v>
      </c>
      <c r="O191" s="56">
        <v>19.45</v>
      </c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5</v>
      </c>
      <c r="AQ191" s="71" t="str">
        <f t="shared" si="7"/>
        <v/>
      </c>
      <c r="AR191" s="71">
        <f>IFERROR(VLOOKUP(A191,Climatologia_TMED!A:U,9+$E$2,FALSE),"")</f>
        <v>17.433905550874321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26.666666666666671</v>
      </c>
      <c r="L192" s="56">
        <v>25.86666666666666</v>
      </c>
      <c r="M192" s="56">
        <v>25.4</v>
      </c>
      <c r="N192" s="56">
        <v>25.533333333333331</v>
      </c>
      <c r="O192" s="56">
        <v>25.933333333333341</v>
      </c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5</v>
      </c>
      <c r="AQ192" s="71" t="str">
        <f t="shared" si="7"/>
        <v/>
      </c>
      <c r="AR192" s="71">
        <f>IFERROR(VLOOKUP(A192,Climatologia_TMED!A:U,9+$E$2,FALSE),"")</f>
        <v>25.502000319284761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28.95</v>
      </c>
      <c r="L193" s="56">
        <v>30.3</v>
      </c>
      <c r="M193" s="56">
        <v>30.4</v>
      </c>
      <c r="N193" s="56">
        <v>30.2</v>
      </c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4</v>
      </c>
      <c r="AQ193" s="71" t="str">
        <f t="shared" si="7"/>
        <v/>
      </c>
      <c r="AR193" s="71">
        <f>IFERROR(VLOOKUP(A193,Climatologia_TMED!A:U,9+$E$2,FALSE),"")</f>
        <v>26.951923603216709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22.13333333333334</v>
      </c>
      <c r="L194" s="56">
        <v>22.2</v>
      </c>
      <c r="M194" s="56">
        <v>21.8</v>
      </c>
      <c r="N194" s="56">
        <v>22.733333333333331</v>
      </c>
      <c r="O194" s="56">
        <v>23.06666666666667</v>
      </c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5</v>
      </c>
      <c r="AQ194" s="71" t="str">
        <f t="shared" si="7"/>
        <v/>
      </c>
      <c r="AR194" s="71">
        <f>IFERROR(VLOOKUP(A194,Climatologia_TMED!A:U,9+$E$2,FALSE),"")</f>
        <v>22.05916615791612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27.4</v>
      </c>
      <c r="L195" s="56">
        <v>27</v>
      </c>
      <c r="M195" s="56">
        <v>27.733333333333331</v>
      </c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3</v>
      </c>
      <c r="AQ195" s="71" t="str">
        <f t="shared" si="7"/>
        <v/>
      </c>
      <c r="AR195" s="71">
        <f>IFERROR(VLOOKUP(A195,Climatologia_TMED!A:U,9+$E$2,FALSE),"")</f>
        <v>25.427422811167251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20.733333333333331</v>
      </c>
      <c r="L196" s="56">
        <v>20.866666666666671</v>
      </c>
      <c r="M196" s="56">
        <v>23.066666666666659</v>
      </c>
      <c r="N196" s="56">
        <v>23.2</v>
      </c>
      <c r="O196" s="56">
        <v>23.86666666666666</v>
      </c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5</v>
      </c>
      <c r="AQ196" s="71" t="str">
        <f t="shared" si="7"/>
        <v/>
      </c>
      <c r="AR196" s="71">
        <f>IFERROR(VLOOKUP(A196,Climatologia_TMED!A:U,9+$E$2,FALSE),"")</f>
        <v>20.06610658768091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26.6</v>
      </c>
      <c r="L197" s="56">
        <v>26.733333333333331</v>
      </c>
      <c r="M197" s="56">
        <v>26.533333333333331</v>
      </c>
      <c r="N197" s="56">
        <v>27.333333333333329</v>
      </c>
      <c r="O197" s="56">
        <v>28.533333333333331</v>
      </c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5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24.80996849865301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21.65</v>
      </c>
      <c r="L198" s="56">
        <v>22.05</v>
      </c>
      <c r="M198" s="56">
        <v>21.9</v>
      </c>
      <c r="N198" s="56">
        <v>22.85</v>
      </c>
      <c r="O198" s="56">
        <v>22.95</v>
      </c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5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16.399999999999999</v>
      </c>
      <c r="L199" s="56">
        <v>16.333333333333329</v>
      </c>
      <c r="M199" s="56">
        <v>16.733333333333331</v>
      </c>
      <c r="N199" s="56">
        <v>16.666666666666671</v>
      </c>
      <c r="O199" s="56">
        <v>18.133333333333329</v>
      </c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5</v>
      </c>
      <c r="AQ199" s="71" t="str">
        <f t="shared" si="10"/>
        <v/>
      </c>
      <c r="AR199" s="71">
        <f>IFERROR(VLOOKUP(A199,Climatologia_TMED!A:U,9+$E$2,FALSE),"")</f>
        <v>16.081175934022749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14.4</v>
      </c>
      <c r="L200" s="56">
        <v>14.5</v>
      </c>
      <c r="M200" s="56">
        <v>14.3</v>
      </c>
      <c r="N200" s="56">
        <v>14.35</v>
      </c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4</v>
      </c>
      <c r="AQ200" s="71" t="str">
        <f t="shared" si="10"/>
        <v/>
      </c>
      <c r="AR200" s="71">
        <f>IFERROR(VLOOKUP(A200,Climatologia_TMED!A:U,9+$E$2,FALSE),"")</f>
        <v>13.31035878811257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27.85</v>
      </c>
      <c r="L201" s="56">
        <v>27.95</v>
      </c>
      <c r="M201" s="56">
        <v>28.25</v>
      </c>
      <c r="N201" s="56">
        <v>29.35</v>
      </c>
      <c r="O201" s="56">
        <v>29.75</v>
      </c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5</v>
      </c>
      <c r="AQ201" s="71" t="str">
        <f t="shared" si="10"/>
        <v/>
      </c>
      <c r="AR201" s="71">
        <f>IFERROR(VLOOKUP(A201,Climatologia_TMED!A:U,9+$E$2,FALSE),"")</f>
        <v>26.396486689839168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14.15</v>
      </c>
      <c r="L202" s="56">
        <v>13.9</v>
      </c>
      <c r="M202" s="56"/>
      <c r="N202" s="56">
        <v>13.8</v>
      </c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3</v>
      </c>
      <c r="AQ202" s="71" t="str">
        <f t="shared" si="10"/>
        <v/>
      </c>
      <c r="AR202" s="71">
        <f>IFERROR(VLOOKUP(A202,Climatologia_TMED!A:U,9+$E$2,FALSE),"")</f>
        <v>13.08979464177302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14</v>
      </c>
      <c r="M203" s="56">
        <v>14.2</v>
      </c>
      <c r="N203" s="56">
        <v>14.53333333333333</v>
      </c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4</v>
      </c>
      <c r="AQ203" s="71" t="str">
        <f t="shared" si="10"/>
        <v/>
      </c>
      <c r="AR203" s="71">
        <f>IFERROR(VLOOKUP(A203,Climatologia_TMED!A:U,9+$E$2,FALSE),"")</f>
        <v>12.22132350003263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12.340387465760401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16.45</v>
      </c>
      <c r="L205" s="56">
        <v>14.6</v>
      </c>
      <c r="M205" s="56">
        <v>15.5</v>
      </c>
      <c r="N205" s="56">
        <v>16</v>
      </c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4</v>
      </c>
      <c r="AQ205" s="71" t="str">
        <f t="shared" si="10"/>
        <v/>
      </c>
      <c r="AR205" s="71">
        <f>IFERROR(VLOOKUP(A205,Climatologia_TMED!A:U,9+$E$2,FALSE),"")</f>
        <v>13.66598918422733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12.8</v>
      </c>
      <c r="L206" s="56">
        <v>14.35</v>
      </c>
      <c r="M206" s="56">
        <v>13.5</v>
      </c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3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14.266666666666669</v>
      </c>
      <c r="L207" s="56">
        <v>13.866666666666671</v>
      </c>
      <c r="M207" s="56">
        <v>13.8</v>
      </c>
      <c r="N207" s="56">
        <v>13.266666666666669</v>
      </c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4</v>
      </c>
      <c r="AQ207" s="71" t="str">
        <f t="shared" si="10"/>
        <v/>
      </c>
      <c r="AR207" s="71">
        <f>IFERROR(VLOOKUP(A207,Climatologia_TMED!A:U,9+$E$2,FALSE),"")</f>
        <v>13.625609299157309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15.35</v>
      </c>
      <c r="L208" s="56">
        <v>14.25</v>
      </c>
      <c r="M208" s="56">
        <v>13.45</v>
      </c>
      <c r="N208" s="56">
        <v>14.4</v>
      </c>
      <c r="O208" s="56">
        <v>13.2</v>
      </c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5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11.35</v>
      </c>
      <c r="L209" s="56">
        <v>11.25</v>
      </c>
      <c r="M209" s="56">
        <v>11.05</v>
      </c>
      <c r="N209" s="56">
        <v>11.25</v>
      </c>
      <c r="O209" s="56">
        <v>11.15</v>
      </c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5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15.75</v>
      </c>
      <c r="L210" s="56">
        <v>15.35</v>
      </c>
      <c r="M210" s="56">
        <v>15.35</v>
      </c>
      <c r="N210" s="56">
        <v>15.2</v>
      </c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4</v>
      </c>
      <c r="AQ210" s="71" t="str">
        <f t="shared" si="10"/>
        <v/>
      </c>
      <c r="AR210" s="71">
        <f>IFERROR(VLOOKUP(A210,Climatologia_TMED!A:U,9+$E$2,FALSE),"")</f>
        <v>14.4377601063053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8.85</v>
      </c>
      <c r="L211" s="56">
        <v>8.8000000000000007</v>
      </c>
      <c r="M211" s="56">
        <v>8.5</v>
      </c>
      <c r="N211" s="56">
        <v>8.1999999999999993</v>
      </c>
      <c r="O211" s="56">
        <v>8.5500000000000007</v>
      </c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5</v>
      </c>
      <c r="AQ211" s="71" t="str">
        <f t="shared" si="10"/>
        <v/>
      </c>
      <c r="AR211" s="71">
        <f>IFERROR(VLOOKUP(A211,Climatologia_TMED!A:U,9+$E$2,FALSE),"")</f>
        <v>8.3646954462216279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28.5</v>
      </c>
      <c r="L212" s="56">
        <v>28.7</v>
      </c>
      <c r="M212" s="56">
        <v>28.75</v>
      </c>
      <c r="N212" s="56">
        <v>29.2</v>
      </c>
      <c r="O212" s="56">
        <v>29.15</v>
      </c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5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2026-09-06T15:28:54Z</dcterms:modified>
</cp:coreProperties>
</file>