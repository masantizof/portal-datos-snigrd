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11357A9-06C9-42CB-A199-D32FDFE08A64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Temperatura!$K$1:$K$212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S211" i="1" s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S203" i="1" s="1"/>
  <c r="AR202" i="1"/>
  <c r="AP202" i="1"/>
  <c r="AQ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S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S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S181" i="1" s="1"/>
  <c r="AR180" i="1"/>
  <c r="AP180" i="1"/>
  <c r="AQ180" i="1" s="1"/>
  <c r="AS180" i="1" s="1"/>
  <c r="AR179" i="1"/>
  <c r="AP179" i="1"/>
  <c r="AQ179" i="1" s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R175" i="1"/>
  <c r="AP175" i="1"/>
  <c r="AQ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R169" i="1"/>
  <c r="AP169" i="1"/>
  <c r="AQ169" i="1" s="1"/>
  <c r="AS169" i="1" s="1"/>
  <c r="AR168" i="1"/>
  <c r="AP168" i="1"/>
  <c r="AQ168" i="1" s="1"/>
  <c r="AR167" i="1"/>
  <c r="AP167" i="1"/>
  <c r="AQ167" i="1" s="1"/>
  <c r="AS167" i="1" s="1"/>
  <c r="AR166" i="1"/>
  <c r="AP166" i="1"/>
  <c r="AQ166" i="1" s="1"/>
  <c r="AR165" i="1"/>
  <c r="AP165" i="1"/>
  <c r="AQ165" i="1" s="1"/>
  <c r="AS165" i="1" s="1"/>
  <c r="AR164" i="1"/>
  <c r="AP164" i="1"/>
  <c r="AQ164" i="1" s="1"/>
  <c r="AR163" i="1"/>
  <c r="AP163" i="1"/>
  <c r="AQ163" i="1" s="1"/>
  <c r="AR162" i="1"/>
  <c r="AP162" i="1"/>
  <c r="AQ162" i="1" s="1"/>
  <c r="AS162" i="1" s="1"/>
  <c r="AR161" i="1"/>
  <c r="AP161" i="1"/>
  <c r="AQ161" i="1" s="1"/>
  <c r="AR160" i="1"/>
  <c r="AP160" i="1"/>
  <c r="AQ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R156" i="1"/>
  <c r="AP156" i="1"/>
  <c r="AQ156" i="1" s="1"/>
  <c r="AS156" i="1" s="1"/>
  <c r="AR155" i="1"/>
  <c r="AP155" i="1"/>
  <c r="AQ155" i="1" s="1"/>
  <c r="AR154" i="1"/>
  <c r="AP154" i="1"/>
  <c r="AQ154" i="1" s="1"/>
  <c r="AS154" i="1" s="1"/>
  <c r="AR153" i="1"/>
  <c r="AP153" i="1"/>
  <c r="AQ153" i="1" s="1"/>
  <c r="AR152" i="1"/>
  <c r="AP152" i="1"/>
  <c r="AQ152" i="1" s="1"/>
  <c r="AR151" i="1"/>
  <c r="AP151" i="1"/>
  <c r="AQ151" i="1" s="1"/>
  <c r="AS151" i="1" s="1"/>
  <c r="AR150" i="1"/>
  <c r="AP150" i="1"/>
  <c r="AQ150" i="1" s="1"/>
  <c r="AR149" i="1"/>
  <c r="AP149" i="1"/>
  <c r="AQ149" i="1" s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R144" i="1"/>
  <c r="AP144" i="1"/>
  <c r="AQ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R139" i="1"/>
  <c r="AP139" i="1"/>
  <c r="AQ139" i="1" s="1"/>
  <c r="AS139" i="1" s="1"/>
  <c r="AR138" i="1"/>
  <c r="AP138" i="1"/>
  <c r="AQ138" i="1" s="1"/>
  <c r="AR137" i="1"/>
  <c r="AP137" i="1"/>
  <c r="AQ137" i="1" s="1"/>
  <c r="AR136" i="1"/>
  <c r="AP136" i="1"/>
  <c r="AQ136" i="1" s="1"/>
  <c r="AS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S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S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R105" i="1"/>
  <c r="AP105" i="1"/>
  <c r="AQ105" i="1" s="1"/>
  <c r="AS105" i="1" s="1"/>
  <c r="AR104" i="1"/>
  <c r="AP104" i="1"/>
  <c r="AQ104" i="1" s="1"/>
  <c r="AR103" i="1"/>
  <c r="AP103" i="1"/>
  <c r="AQ103" i="1" s="1"/>
  <c r="AR102" i="1"/>
  <c r="AP102" i="1"/>
  <c r="AQ102" i="1" s="1"/>
  <c r="AS102" i="1" s="1"/>
  <c r="AR101" i="1"/>
  <c r="AP101" i="1"/>
  <c r="AQ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R90" i="1"/>
  <c r="AP90" i="1"/>
  <c r="AQ90" i="1" s="1"/>
  <c r="AR89" i="1"/>
  <c r="AP89" i="1"/>
  <c r="AQ89" i="1" s="1"/>
  <c r="AS89" i="1" s="1"/>
  <c r="AR88" i="1"/>
  <c r="AP88" i="1"/>
  <c r="AQ88" i="1" s="1"/>
  <c r="AR87" i="1"/>
  <c r="AP87" i="1"/>
  <c r="AQ87" i="1" s="1"/>
  <c r="AR86" i="1"/>
  <c r="AP86" i="1"/>
  <c r="AQ86" i="1" s="1"/>
  <c r="AS86" i="1" s="1"/>
  <c r="AR85" i="1"/>
  <c r="AP85" i="1"/>
  <c r="AQ85" i="1" s="1"/>
  <c r="AR84" i="1"/>
  <c r="AP84" i="1"/>
  <c r="AQ84" i="1" s="1"/>
  <c r="AS84" i="1" s="1"/>
  <c r="AR83" i="1"/>
  <c r="AP83" i="1"/>
  <c r="AQ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R73" i="1"/>
  <c r="AP73" i="1"/>
  <c r="AQ73" i="1" s="1"/>
  <c r="AS73" i="1" s="1"/>
  <c r="AR72" i="1"/>
  <c r="AP72" i="1"/>
  <c r="AQ72" i="1" s="1"/>
  <c r="AR71" i="1"/>
  <c r="AP71" i="1"/>
  <c r="AQ71" i="1" s="1"/>
  <c r="AR70" i="1"/>
  <c r="AP70" i="1"/>
  <c r="AQ70" i="1" s="1"/>
  <c r="AS70" i="1" s="1"/>
  <c r="AR69" i="1"/>
  <c r="AP69" i="1"/>
  <c r="AQ69" i="1" s="1"/>
  <c r="AR68" i="1"/>
  <c r="AP68" i="1"/>
  <c r="AQ68" i="1" s="1"/>
  <c r="AR67" i="1"/>
  <c r="AP67" i="1"/>
  <c r="AQ67" i="1" s="1"/>
  <c r="AS67" i="1" s="1"/>
  <c r="AR66" i="1"/>
  <c r="AP66" i="1"/>
  <c r="AQ66" i="1" s="1"/>
  <c r="AR65" i="1"/>
  <c r="AP65" i="1"/>
  <c r="AQ65" i="1" s="1"/>
  <c r="AS65" i="1" s="1"/>
  <c r="AR64" i="1"/>
  <c r="AP64" i="1"/>
  <c r="AQ64" i="1" s="1"/>
  <c r="AR63" i="1"/>
  <c r="AP63" i="1"/>
  <c r="AQ63" i="1" s="1"/>
  <c r="AS63" i="1" s="1"/>
  <c r="AR62" i="1"/>
  <c r="AP62" i="1"/>
  <c r="AQ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R58" i="1"/>
  <c r="AP58" i="1"/>
  <c r="AQ58" i="1" s="1"/>
  <c r="AR57" i="1"/>
  <c r="AP57" i="1"/>
  <c r="AQ57" i="1" s="1"/>
  <c r="AR56" i="1"/>
  <c r="AP56" i="1"/>
  <c r="AQ56" i="1" s="1"/>
  <c r="AR55" i="1"/>
  <c r="AP55" i="1"/>
  <c r="AQ55" i="1" s="1"/>
  <c r="AR54" i="1"/>
  <c r="AP54" i="1"/>
  <c r="AQ54" i="1" s="1"/>
  <c r="AS54" i="1" s="1"/>
  <c r="AR53" i="1"/>
  <c r="AP53" i="1"/>
  <c r="AQ53" i="1" s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R44" i="1"/>
  <c r="AP44" i="1"/>
  <c r="AQ44" i="1" s="1"/>
  <c r="AS44" i="1" s="1"/>
  <c r="AR43" i="1"/>
  <c r="AP43" i="1"/>
  <c r="AQ43" i="1" s="1"/>
  <c r="AR42" i="1"/>
  <c r="AP42" i="1"/>
  <c r="AQ42" i="1" s="1"/>
  <c r="AS42" i="1" s="1"/>
  <c r="AR41" i="1"/>
  <c r="AP41" i="1"/>
  <c r="AQ41" i="1" s="1"/>
  <c r="AR40" i="1"/>
  <c r="AP40" i="1"/>
  <c r="AQ40" i="1" s="1"/>
  <c r="AS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R35" i="1"/>
  <c r="AP35" i="1"/>
  <c r="AQ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S28" i="1" s="1"/>
  <c r="AR27" i="1"/>
  <c r="AP27" i="1"/>
  <c r="AQ27" i="1" s="1"/>
  <c r="AR26" i="1"/>
  <c r="AP26" i="1"/>
  <c r="AQ26" i="1" s="1"/>
  <c r="AS26" i="1" s="1"/>
  <c r="AR25" i="1"/>
  <c r="AP25" i="1"/>
  <c r="AQ25" i="1" s="1"/>
  <c r="AR24" i="1"/>
  <c r="AP24" i="1"/>
  <c r="AQ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R20" i="1"/>
  <c r="AP20" i="1"/>
  <c r="AQ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R14" i="1"/>
  <c r="AP14" i="1"/>
  <c r="AQ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S8" i="1" s="1"/>
  <c r="AR7" i="1"/>
  <c r="AP7" i="1"/>
  <c r="AQ7" i="1" s="1"/>
  <c r="AR6" i="1"/>
  <c r="AP6" i="1"/>
  <c r="AQ6" i="1" s="1"/>
  <c r="AR5" i="1"/>
  <c r="AP5" i="1"/>
  <c r="AQ5" i="1" s="1"/>
  <c r="AS5" i="1" s="1"/>
  <c r="I2" i="1"/>
  <c r="D2" i="1"/>
  <c r="AS182" i="1" l="1"/>
  <c r="AS186" i="1"/>
  <c r="AS187" i="1"/>
  <c r="AS188" i="1"/>
  <c r="AS189" i="1"/>
  <c r="AS126" i="1"/>
  <c r="AS35" i="1"/>
  <c r="AS192" i="1"/>
  <c r="AS193" i="1"/>
  <c r="AS68" i="1"/>
  <c r="AS95" i="1"/>
  <c r="AS6" i="1"/>
  <c r="AS38" i="1"/>
  <c r="AS131" i="1"/>
  <c r="AS163" i="1"/>
  <c r="AS29" i="1"/>
  <c r="AS155" i="1"/>
  <c r="AS132" i="1"/>
  <c r="AS164" i="1"/>
  <c r="AS58" i="1"/>
  <c r="AS197" i="1"/>
  <c r="AS66" i="1"/>
  <c r="AS101" i="1"/>
  <c r="AS41" i="1"/>
  <c r="AS134" i="1"/>
  <c r="AS166" i="1"/>
  <c r="AS198" i="1"/>
  <c r="AS124" i="1"/>
  <c r="AS199" i="1"/>
  <c r="AS168" i="1"/>
  <c r="AS202" i="1"/>
  <c r="AS10" i="1"/>
  <c r="AS205" i="1"/>
  <c r="AS206" i="1"/>
  <c r="AS152" i="1"/>
  <c r="AS99" i="1"/>
  <c r="AS137" i="1"/>
  <c r="AS135" i="1"/>
  <c r="AS207" i="1"/>
  <c r="AS157" i="1"/>
  <c r="AS11" i="1"/>
  <c r="AS140" i="1"/>
  <c r="AS27" i="1"/>
  <c r="AS98" i="1"/>
  <c r="AS183" i="1"/>
  <c r="AS138" i="1"/>
  <c r="AS179" i="1"/>
  <c r="AS120" i="1"/>
  <c r="AS122" i="1"/>
  <c r="AS127" i="1"/>
  <c r="AS103" i="1"/>
  <c r="AS104" i="1"/>
  <c r="AS74" i="1"/>
  <c r="AS170" i="1"/>
  <c r="AS113" i="1"/>
  <c r="AS24" i="1"/>
  <c r="AS55" i="1"/>
  <c r="AS106" i="1"/>
  <c r="AS25" i="1"/>
  <c r="AS118" i="1"/>
  <c r="AS150" i="1"/>
  <c r="AS175" i="1"/>
  <c r="AS91" i="1"/>
  <c r="AS117" i="1"/>
  <c r="AS191" i="1"/>
  <c r="AS195" i="1"/>
  <c r="AS45" i="1"/>
  <c r="AS57" i="1"/>
  <c r="AS204" i="1"/>
  <c r="AS133" i="1"/>
  <c r="AS20" i="1"/>
  <c r="AS194" i="1"/>
  <c r="AS53" i="1"/>
  <c r="AS30" i="1"/>
  <c r="AS59" i="1"/>
  <c r="AS87" i="1"/>
  <c r="AS116" i="1"/>
  <c r="AS144" i="1"/>
  <c r="AS32" i="1"/>
  <c r="AS90" i="1"/>
  <c r="AS62" i="1"/>
  <c r="AS161" i="1"/>
  <c r="AS21" i="1"/>
  <c r="AS56" i="1"/>
  <c r="AS119" i="1"/>
  <c r="AS176" i="1"/>
  <c r="AS160" i="1"/>
  <c r="AS83" i="1"/>
  <c r="AS85" i="1"/>
  <c r="AS31" i="1"/>
  <c r="AS88" i="1"/>
  <c r="AS145" i="1"/>
  <c r="AS7" i="1"/>
  <c r="AS36" i="1"/>
  <c r="AS64" i="1"/>
  <c r="AS121" i="1"/>
  <c r="AS149" i="1"/>
  <c r="AS9" i="1"/>
  <c r="AS153" i="1"/>
  <c r="AS37" i="1"/>
  <c r="AS123" i="1"/>
  <c r="AS39" i="1"/>
  <c r="AS14" i="1"/>
  <c r="AS43" i="1"/>
  <c r="AS71" i="1"/>
  <c r="AS100" i="1"/>
  <c r="AS128" i="1"/>
  <c r="AS184" i="1"/>
  <c r="AS212" i="1"/>
  <c r="AS69" i="1"/>
  <c r="AS15" i="1"/>
  <c r="AS72" i="1"/>
  <c r="AS129" i="1"/>
  <c r="AS185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<sst xmlns="http://schemas.openxmlformats.org/spreadsheetml/2006/main" count="3690" uniqueCount="1514">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</sst>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zoomScale="80" zoomScaleNormal="80" workbookViewId="0">
      <selection activeCell="A174" sqref="A174:XFD174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20" width="32.42578125" style="50" customWidth="1"/>
    <col min="121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</v>
      </c>
      <c r="AQ5" s="71" t="str">
        <f t="shared" ref="AQ5:AQ68" si="1">IF(AP5&gt;14,AVERAGE(K5:AO5),"")</f>
        <v/>
      </c>
      <c r="AR5" s="71">
        <f>IFERROR(VLOOKUP(A5,Climatologia_TMED!A:U,9+$E$2,FALSE),"")</f>
        <v>28.292205052411301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</v>
      </c>
      <c r="AQ6" s="71" t="str">
        <f t="shared" si="1"/>
        <v/>
      </c>
      <c r="AR6" s="71">
        <f>IFERROR(VLOOKUP(A6,Climatologia_TMED!A:U,9+$E$2,FALSE),"")</f>
        <v>28.542323510282561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</v>
      </c>
      <c r="AQ7" s="71" t="str">
        <f t="shared" si="1"/>
        <v/>
      </c>
      <c r="AR7" s="71">
        <f>IFERROR(VLOOKUP(A7,Climatologia_TMED!A:U,9+$E$2,FALSE),"")</f>
        <v>28.878924731182799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</v>
      </c>
      <c r="AQ8" s="71" t="str">
        <f t="shared" si="1"/>
        <v/>
      </c>
      <c r="AR8" s="71">
        <f>IFERROR(VLOOKUP(A8,Climatologia_TMED!A:U,9+$E$2,FALSE),"")</f>
        <v>28.663204007006499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</v>
      </c>
      <c r="AQ9" s="71" t="str">
        <f t="shared" si="1"/>
        <v/>
      </c>
      <c r="AR9" s="71">
        <f>IFERROR(VLOOKUP(A9,Climatologia_TMED!A:U,9+$E$2,FALSE),"")</f>
        <v>29.925161290322539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</v>
      </c>
      <c r="AQ10" s="71" t="str">
        <f t="shared" si="1"/>
        <v/>
      </c>
      <c r="AR10" s="71">
        <f>IFERROR(VLOOKUP(A10,Climatologia_TMED!A:U,9+$E$2,FALSE),"")</f>
        <v>29.55639347861802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</v>
      </c>
      <c r="AQ11" s="71" t="str">
        <f t="shared" si="1"/>
        <v/>
      </c>
      <c r="AR11" s="71">
        <f>IFERROR(VLOOKUP(A11,Climatologia_TMED!A:U,9+$E$2,FALSE),"")</f>
        <v>29.275519036173971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</v>
      </c>
      <c r="AQ12" s="71" t="str">
        <f t="shared" si="1"/>
        <v/>
      </c>
      <c r="AR12" s="71">
        <f>IFERROR(VLOOKUP(A12,Climatologia_TMED!A:U,9+$E$2,FALSE),"")</f>
        <v>28.08210560234475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</v>
      </c>
      <c r="AQ13" s="71" t="str">
        <f t="shared" si="1"/>
        <v/>
      </c>
      <c r="AR13" s="71">
        <f>IFERROR(VLOOKUP(A13,Climatologia_TMED!A:U,9+$E$2,FALSE),"")</f>
        <v>28.275630329996261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</v>
      </c>
      <c r="AQ14" s="71" t="str">
        <f t="shared" si="1"/>
        <v/>
      </c>
      <c r="AR14" s="71">
        <f>IFERROR(VLOOKUP(A14,Climatologia_TMED!A:U,9+$E$2,FALSE),"")</f>
        <v>21.814997932175341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</v>
      </c>
      <c r="AQ15" s="71" t="str">
        <f t="shared" si="1"/>
        <v/>
      </c>
      <c r="AR15" s="71">
        <f>IFERROR(VLOOKUP(A15,Climatologia_TMED!A:U,9+$E$2,FALSE),"")</f>
        <v>28.742611827956981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</v>
      </c>
      <c r="AQ16" s="71" t="str">
        <f t="shared" si="1"/>
        <v/>
      </c>
      <c r="AR16" s="71">
        <f>IFERROR(VLOOKUP(A16,Climatologia_TMED!A:U,9+$E$2,FALSE),"")</f>
        <v>27.745849035404088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</v>
      </c>
      <c r="AQ17" s="71" t="str">
        <f t="shared" si="1"/>
        <v/>
      </c>
      <c r="AR17" s="71">
        <f>IFERROR(VLOOKUP(A17,Climatologia_TMED!A:U,9+$E$2,FALSE),"")</f>
        <v>23.942684331797231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</v>
      </c>
      <c r="AQ18" s="71" t="str">
        <f t="shared" si="1"/>
        <v/>
      </c>
      <c r="AR18" s="71">
        <f>IFERROR(VLOOKUP(A18,Climatologia_TMED!A:U,9+$E$2,FALSE),"")</f>
        <v>17.429768704357489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</v>
      </c>
      <c r="AQ19" s="71" t="str">
        <f t="shared" si="1"/>
        <v/>
      </c>
      <c r="AR19" s="71">
        <f>IFERROR(VLOOKUP(A19,Climatologia_TMED!A:U,9+$E$2,FALSE),"")</f>
        <v>22.368290322580641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</v>
      </c>
      <c r="AQ20" s="71" t="str">
        <f t="shared" si="1"/>
        <v/>
      </c>
      <c r="AR20" s="71">
        <f>IFERROR(VLOOKUP(A20,Climatologia_TMED!A:U,9+$E$2,FALSE),"")</f>
        <v>22.807707609594701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</v>
      </c>
      <c r="AQ21" s="71" t="str">
        <f t="shared" si="1"/>
        <v/>
      </c>
      <c r="AR21" s="71">
        <f>IFERROR(VLOOKUP(A21,Climatologia_TMED!A:U,9+$E$2,FALSE),"")</f>
        <v>25.445872233516159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</v>
      </c>
      <c r="AQ22" s="71" t="str">
        <f t="shared" si="1"/>
        <v/>
      </c>
      <c r="AR22" s="71">
        <f>IFERROR(VLOOKUP(A22,Climatologia_TMED!A:U,9+$E$2,FALSE),"")</f>
        <v>13.827819728473219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</v>
      </c>
      <c r="AQ24" s="71" t="str">
        <f t="shared" si="1"/>
        <v/>
      </c>
      <c r="AR24" s="71">
        <f>IFERROR(VLOOKUP(A24,Climatologia_TMED!A:U,9+$E$2,FALSE),"")</f>
        <v>29.117078853046579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</v>
      </c>
      <c r="AQ25" s="71" t="str">
        <f t="shared" si="1"/>
        <v/>
      </c>
      <c r="AR25" s="71">
        <f>IFERROR(VLOOKUP(A25,Climatologia_TMED!A:U,9+$E$2,FALSE),"")</f>
        <v>20.318073144829391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</v>
      </c>
      <c r="AQ26" s="71" t="str">
        <f t="shared" si="1"/>
        <v/>
      </c>
      <c r="AR26" s="71">
        <f>IFERROR(VLOOKUP(A26,Climatologia_TMED!A:U,9+$E$2,FALSE),"")</f>
        <v>10.2499147200593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</v>
      </c>
      <c r="AQ27" s="71" t="str">
        <f t="shared" si="1"/>
        <v/>
      </c>
      <c r="AR27" s="71">
        <f>IFERROR(VLOOKUP(A27,Climatologia_TMED!A:U,9+$E$2,FALSE),"")</f>
        <v>26.978227598566299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</v>
      </c>
      <c r="AQ28" s="71" t="str">
        <f t="shared" si="1"/>
        <v/>
      </c>
      <c r="AR28" s="71">
        <f>IFERROR(VLOOKUP(A28,Climatologia_TMED!A:U,9+$E$2,FALSE),"")</f>
        <v>26.165451660622249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</v>
      </c>
      <c r="AQ29" s="71" t="str">
        <f t="shared" si="1"/>
        <v/>
      </c>
      <c r="AR29" s="71">
        <f>IFERROR(VLOOKUP(A29,Climatologia_TMED!A:U,9+$E$2,FALSE),"")</f>
        <v>27.268435099846361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</v>
      </c>
      <c r="AQ30" s="71" t="str">
        <f t="shared" si="1"/>
        <v/>
      </c>
      <c r="AR30" s="71">
        <f>IFERROR(VLOOKUP(A30,Climatologia_TMED!A:U,9+$E$2,FALSE),"")</f>
        <v>25.205756395995511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</v>
      </c>
      <c r="AQ31" s="71" t="str">
        <f t="shared" si="1"/>
        <v/>
      </c>
      <c r="AR31" s="71">
        <f>IFERROR(VLOOKUP(A31,Climatologia_TMED!A:U,9+$E$2,FALSE),"")</f>
        <v>25.960296951277201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</v>
      </c>
      <c r="AQ32" s="71" t="str">
        <f t="shared" si="1"/>
        <v/>
      </c>
      <c r="AR32" s="71">
        <f>IFERROR(VLOOKUP(A32,Climatologia_TMED!A:U,9+$E$2,FALSE),"")</f>
        <v>17.69892835396929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</v>
      </c>
      <c r="AQ33" s="71" t="str">
        <f t="shared" si="1"/>
        <v/>
      </c>
      <c r="AR33" s="71">
        <f>IFERROR(VLOOKUP(A33,Climatologia_TMED!A:U,9+$E$2,FALSE),"")</f>
        <v>26.885476337530289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</v>
      </c>
      <c r="AQ34" s="71" t="str">
        <f t="shared" si="1"/>
        <v/>
      </c>
      <c r="AR34" s="71">
        <f>IFERROR(VLOOKUP(A34,Climatologia_TMED!A:U,9+$E$2,FALSE),"")</f>
        <v>19.861806556333011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</v>
      </c>
      <c r="AQ35" s="71" t="str">
        <f t="shared" si="1"/>
        <v/>
      </c>
      <c r="AR35" s="71">
        <f>IFERROR(VLOOKUP(A35,Climatologia_TMED!A:U,9+$E$2,FALSE),"")</f>
        <v>24.163939937062029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</v>
      </c>
      <c r="AQ36" s="71" t="str">
        <f t="shared" si="1"/>
        <v/>
      </c>
      <c r="AR36" s="71">
        <f>IFERROR(VLOOKUP(A36,Climatologia_TMED!A:U,9+$E$2,FALSE),"")</f>
        <v>18.948390779307498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</v>
      </c>
      <c r="AQ37" s="71" t="str">
        <f t="shared" si="1"/>
        <v/>
      </c>
      <c r="AR37" s="71">
        <f>IFERROR(VLOOKUP(A37,Climatologia_TMED!A:U,9+$E$2,FALSE),"")</f>
        <v>26.09341273397051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</v>
      </c>
      <c r="AQ38" s="71" t="str">
        <f t="shared" si="1"/>
        <v/>
      </c>
      <c r="AR38" s="71">
        <f>IFERROR(VLOOKUP(A38,Climatologia_TMED!A:U,9+$E$2,FALSE),"")</f>
        <v>15.0852109133605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</v>
      </c>
      <c r="AQ41" s="71" t="str">
        <f t="shared" si="1"/>
        <v/>
      </c>
      <c r="AR41" s="71">
        <f>IFERROR(VLOOKUP(A41,Climatologia_TMED!A:U,9+$E$2,FALSE),"")</f>
        <v>18.50720543555942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</v>
      </c>
      <c r="AQ42" s="71" t="str">
        <f t="shared" si="1"/>
        <v/>
      </c>
      <c r="AR42" s="71">
        <f>IFERROR(VLOOKUP(A42,Climatologia_TMED!A:U,9+$E$2,FALSE),"")</f>
        <v>27.517114695340499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0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</v>
      </c>
      <c r="AQ44" s="71" t="str">
        <f t="shared" si="1"/>
        <v/>
      </c>
      <c r="AR44" s="71">
        <f>IFERROR(VLOOKUP(A44,Climatologia_TMED!A:U,9+$E$2,FALSE),"")</f>
        <v>27.22851750737534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</v>
      </c>
      <c r="AQ45" s="71" t="str">
        <f t="shared" si="1"/>
        <v/>
      </c>
      <c r="AR45" s="71">
        <f>IFERROR(VLOOKUP(A45,Climatologia_TMED!A:U,9+$E$2,FALSE),"")</f>
        <v>27.597106102685618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</v>
      </c>
      <c r="AQ46" s="71" t="str">
        <f t="shared" si="1"/>
        <v/>
      </c>
      <c r="AR46" s="71">
        <f>IFERROR(VLOOKUP(A46,Climatologia_TMED!A:U,9+$E$2,FALSE),"")</f>
        <v>27.738976943755159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</v>
      </c>
      <c r="AQ50" s="71" t="str">
        <f t="shared" si="1"/>
        <v/>
      </c>
      <c r="AR50" s="71">
        <f>IFERROR(VLOOKUP(A50,Climatologia_TMED!A:U,9+$E$2,FALSE),"")</f>
        <v>27.21920614995987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</v>
      </c>
      <c r="AQ53" s="71" t="str">
        <f t="shared" si="1"/>
        <v/>
      </c>
      <c r="AR53" s="71">
        <f>IFERROR(VLOOKUP(A53,Climatologia_TMED!A:U,9+$E$2,FALSE),"")</f>
        <v>27.2190910764708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</v>
      </c>
      <c r="AQ54" s="71" t="str">
        <f t="shared" si="1"/>
        <v/>
      </c>
      <c r="AR54" s="71">
        <f>IFERROR(VLOOKUP(A54,Climatologia_TMED!A:U,9+$E$2,FALSE),"")</f>
        <v>28.41139216335926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</v>
      </c>
      <c r="AQ55" s="71" t="str">
        <f t="shared" si="1"/>
        <v/>
      </c>
      <c r="AR55" s="71">
        <f>IFERROR(VLOOKUP(A55,Climatologia_TMED!A:U,9+$E$2,FALSE),"")</f>
        <v>28.417502124868491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</v>
      </c>
      <c r="AQ59" s="71" t="str">
        <f t="shared" si="1"/>
        <v/>
      </c>
      <c r="AR59" s="71">
        <f>IFERROR(VLOOKUP(A59,Climatologia_TMED!A:U,9+$E$2,FALSE),"")</f>
        <v>27.95576397141701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0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</v>
      </c>
      <c r="AQ61" s="71" t="str">
        <f t="shared" si="1"/>
        <v/>
      </c>
      <c r="AR61" s="71">
        <f>IFERROR(VLOOKUP(A61,Climatologia_TMED!A:U,9+$E$2,FALSE),"")</f>
        <v>26.14540821795481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</v>
      </c>
      <c r="AQ65" s="71" t="str">
        <f t="shared" si="1"/>
        <v/>
      </c>
      <c r="AR65" s="71">
        <f>IFERROR(VLOOKUP(A65,Climatologia_TMED!A:U,9+$E$2,FALSE),"")</f>
        <v>25.359269039673709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</v>
      </c>
      <c r="AQ66" s="71" t="str">
        <f t="shared" si="1"/>
        <v/>
      </c>
      <c r="AR66" s="71">
        <f>IFERROR(VLOOKUP(A66,Climatologia_TMED!A:U,9+$E$2,FALSE),"")</f>
        <v>25.449219842417062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</v>
      </c>
      <c r="AQ68" s="71" t="str">
        <f t="shared" si="1"/>
        <v/>
      </c>
      <c r="AR68" s="71">
        <f>IFERROR(VLOOKUP(A68,Climatologia_TMED!A:U,9+$E$2,FALSE),"")</f>
        <v>25.105050309426691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</v>
      </c>
      <c r="AQ69" s="71" t="str">
        <f t="shared" ref="AQ69:AQ132" si="4">IF(AP69&gt;14,AVERAGE(K69:AO69),"")</f>
        <v/>
      </c>
      <c r="AR69" s="71">
        <f>IFERROR(VLOOKUP(A69,Climatologia_TMED!A:U,9+$E$2,FALSE),"")</f>
        <v>24.8597341342183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0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</v>
      </c>
      <c r="AQ71" s="71" t="str">
        <f t="shared" si="4"/>
        <v/>
      </c>
      <c r="AR71" s="71">
        <f>IFERROR(VLOOKUP(A71,Climatologia_TMED!A:U,9+$E$2,FALSE),"")</f>
        <v>26.117252164977831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</v>
      </c>
      <c r="AQ72" s="71" t="str">
        <f t="shared" si="4"/>
        <v/>
      </c>
      <c r="AR72" s="71">
        <f>IFERROR(VLOOKUP(A72,Climatologia_TMED!A:U,9+$E$2,FALSE),"")</f>
        <v>25.27783516958878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</v>
      </c>
      <c r="AQ74" s="71" t="str">
        <f t="shared" si="4"/>
        <v/>
      </c>
      <c r="AR74" s="71">
        <f>IFERROR(VLOOKUP(A74,Climatologia_TMED!A:U,9+$E$2,FALSE),"")</f>
        <v>20.33780487249993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</v>
      </c>
      <c r="AQ75" s="71" t="str">
        <f t="shared" si="4"/>
        <v/>
      </c>
      <c r="AR75" s="71">
        <f>IFERROR(VLOOKUP(A75,Climatologia_TMED!A:U,9+$E$2,FALSE),"")</f>
        <v>15.196816531610249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</v>
      </c>
      <c r="AQ76" s="71" t="str">
        <f t="shared" si="4"/>
        <v/>
      </c>
      <c r="AR76" s="71">
        <f>IFERROR(VLOOKUP(A76,Climatologia_TMED!A:U,9+$E$2,FALSE),"")</f>
        <v>19.97314578052206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</v>
      </c>
      <c r="AQ77" s="71" t="str">
        <f t="shared" si="4"/>
        <v/>
      </c>
      <c r="AR77" s="71">
        <f>IFERROR(VLOOKUP(A77,Climatologia_TMED!A:U,9+$E$2,FALSE),"")</f>
        <v>23.041557017477079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</v>
      </c>
      <c r="AQ78" s="71" t="str">
        <f t="shared" si="4"/>
        <v/>
      </c>
      <c r="AR78" s="71">
        <f>IFERROR(VLOOKUP(A78,Climatologia_TMED!A:U,9+$E$2,FALSE),"")</f>
        <v>30.200545349460899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</v>
      </c>
      <c r="AQ79" s="71" t="str">
        <f t="shared" si="4"/>
        <v/>
      </c>
      <c r="AR79" s="71">
        <f>IFERROR(VLOOKUP(A79,Climatologia_TMED!A:U,9+$E$2,FALSE),"")</f>
        <v>30.2833215669562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0</v>
      </c>
      <c r="AQ80" s="71" t="str">
        <f t="shared" si="4"/>
        <v/>
      </c>
      <c r="AR80" s="71">
        <f>IFERROR(VLOOKUP(A80,Climatologia_TMED!A:U,9+$E$2,FALSE),"")</f>
        <v>19.906859619029429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</v>
      </c>
      <c r="AQ81" s="71" t="str">
        <f t="shared" si="4"/>
        <v/>
      </c>
      <c r="AR81" s="71">
        <f>IFERROR(VLOOKUP(A81,Climatologia_TMED!A:U,9+$E$2,FALSE),"")</f>
        <v>24.759854360077661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</v>
      </c>
      <c r="AQ82" s="71" t="str">
        <f t="shared" si="4"/>
        <v/>
      </c>
      <c r="AR82" s="71">
        <f>IFERROR(VLOOKUP(A82,Climatologia_TMED!A:U,9+$E$2,FALSE),"")</f>
        <v>25.773428481765642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</v>
      </c>
      <c r="AQ86" s="71" t="str">
        <f t="shared" si="4"/>
        <v/>
      </c>
      <c r="AR86" s="71">
        <f>IFERROR(VLOOKUP(A86,Climatologia_TMED!A:U,9+$E$2,FALSE),"")</f>
        <v>28.83382033964488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</v>
      </c>
      <c r="AQ87" s="71" t="str">
        <f t="shared" si="4"/>
        <v/>
      </c>
      <c r="AR87" s="71">
        <f>IFERROR(VLOOKUP(A87,Climatologia_TMED!A:U,9+$E$2,FALSE),"")</f>
        <v>28.894325312819621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</v>
      </c>
      <c r="AQ88" s="71" t="str">
        <f t="shared" si="4"/>
        <v/>
      </c>
      <c r="AR88" s="71">
        <f>IFERROR(VLOOKUP(A88,Climatologia_TMED!A:U,9+$E$2,FALSE),"")</f>
        <v>28.344159946236552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</v>
      </c>
      <c r="AQ90" s="71" t="str">
        <f t="shared" si="4"/>
        <v/>
      </c>
      <c r="AR90" s="71">
        <f>IFERROR(VLOOKUP(A90,Climatologia_TMED!A:U,9+$E$2,FALSE),"")</f>
        <v>28.656630487957131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0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</v>
      </c>
      <c r="AQ92" s="71" t="str">
        <f t="shared" si="4"/>
        <v/>
      </c>
      <c r="AR92" s="71">
        <f>IFERROR(VLOOKUP(A92,Climatologia_TMED!A:U,9+$E$2,FALSE),"")</f>
        <v>16.21673046594978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</v>
      </c>
      <c r="AQ93" s="71" t="str">
        <f t="shared" si="4"/>
        <v/>
      </c>
      <c r="AR93" s="71">
        <f>IFERROR(VLOOKUP(A93,Climatologia_TMED!A:U,9+$E$2,FALSE),"")</f>
        <v>22.373011505376319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</v>
      </c>
      <c r="AQ94" s="71" t="str">
        <f t="shared" si="4"/>
        <v/>
      </c>
      <c r="AR94" s="71">
        <f>IFERROR(VLOOKUP(A94,Climatologia_TMED!A:U,9+$E$2,FALSE),"")</f>
        <v>16.186325847907689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</v>
      </c>
      <c r="AQ95" s="71" t="str">
        <f t="shared" si="4"/>
        <v/>
      </c>
      <c r="AR95" s="71">
        <f>IFERROR(VLOOKUP(A95,Climatologia_TMED!A:U,9+$E$2,FALSE),"")</f>
        <v>13.65433628672837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</v>
      </c>
      <c r="AQ100" s="71" t="str">
        <f t="shared" si="4"/>
        <v/>
      </c>
      <c r="AR100" s="71">
        <f>IFERROR(VLOOKUP(A100,Climatologia_TMED!A:U,9+$E$2,FALSE),"")</f>
        <v>14.335275908930971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</v>
      </c>
      <c r="AQ101" s="71" t="str">
        <f t="shared" si="4"/>
        <v/>
      </c>
      <c r="AR101" s="71">
        <f>IFERROR(VLOOKUP(A101,Climatologia_TMED!A:U,9+$E$2,FALSE),"")</f>
        <v>12.395793750638649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0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</v>
      </c>
      <c r="AQ108" s="71" t="str">
        <f t="shared" si="4"/>
        <v/>
      </c>
      <c r="AR108" s="71">
        <f>IFERROR(VLOOKUP(A108,Climatologia_TMED!A:U,9+$E$2,FALSE),"")</f>
        <v>14.24758963832916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</v>
      </c>
      <c r="AQ109" s="71" t="str">
        <f t="shared" si="4"/>
        <v/>
      </c>
      <c r="AR109" s="71">
        <f>IFERROR(VLOOKUP(A109,Climatologia_TMED!A:U,9+$E$2,FALSE),"")</f>
        <v>13.718935791090621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0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</v>
      </c>
      <c r="AQ111" s="71" t="str">
        <f t="shared" si="4"/>
        <v/>
      </c>
      <c r="AR111" s="71">
        <f>IFERROR(VLOOKUP(A111,Climatologia_TMED!A:U,9+$E$2,FALSE),"")</f>
        <v>15.45884618025514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</v>
      </c>
      <c r="AQ112" s="71" t="str">
        <f t="shared" si="4"/>
        <v/>
      </c>
      <c r="AR112" s="71">
        <f>IFERROR(VLOOKUP(A112,Climatologia_TMED!A:U,9+$E$2,FALSE),"")</f>
        <v>16.69989368729069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</v>
      </c>
      <c r="AQ113" s="71" t="str">
        <f t="shared" si="4"/>
        <v/>
      </c>
      <c r="AR113" s="71">
        <f>IFERROR(VLOOKUP(A113,Climatologia_TMED!A:U,9+$E$2,FALSE),"")</f>
        <v>18.084103151649959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0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</v>
      </c>
      <c r="AQ115" s="71" t="str">
        <f t="shared" si="4"/>
        <v/>
      </c>
      <c r="AR115" s="71">
        <f>IFERROR(VLOOKUP(A115,Climatologia_TMED!A:U,9+$E$2,FALSE),"")</f>
        <v>26.548363201911549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</v>
      </c>
      <c r="AQ116" s="71" t="str">
        <f t="shared" si="4"/>
        <v/>
      </c>
      <c r="AR116" s="71">
        <f>IFERROR(VLOOKUP(A116,Climatologia_TMED!A:U,9+$E$2,FALSE),"")</f>
        <v>18.451479726130369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</v>
      </c>
      <c r="AQ117" s="71" t="str">
        <f t="shared" si="4"/>
        <v/>
      </c>
      <c r="AR117" s="71">
        <f>IFERROR(VLOOKUP(A117,Climatologia_TMED!A:U,9+$E$2,FALSE),"")</f>
        <v>25.726306451612881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</v>
      </c>
      <c r="AQ122" s="71" t="str">
        <f t="shared" si="4"/>
        <v/>
      </c>
      <c r="AR122" s="71">
        <f>IFERROR(VLOOKUP(A122,Climatologia_TMED!A:U,9+$E$2,FALSE),"")</f>
        <v>10.160420312062531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0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1</v>
      </c>
      <c r="AQ130" s="71" t="str">
        <f t="shared" si="4"/>
        <v/>
      </c>
      <c r="AR130" s="71">
        <f>IFERROR(VLOOKUP(A130,Climatologia_TMED!A:U,9+$E$2,FALSE),"")</f>
        <v>14.37068910561999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</v>
      </c>
      <c r="AQ131" s="71" t="str">
        <f t="shared" si="4"/>
        <v/>
      </c>
      <c r="AR131" s="71">
        <f>IFERROR(VLOOKUP(A131,Climatologia_TMED!A:U,9+$E$2,FALSE),"")</f>
        <v>17.018039759621502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12.632064451040261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</v>
      </c>
      <c r="AQ134" s="71" t="str">
        <f t="shared" si="7"/>
        <v/>
      </c>
      <c r="AR134" s="71">
        <f>IFERROR(VLOOKUP(A134,Climatologia_TMED!A:U,9+$E$2,FALSE),"")</f>
        <v>15.77617103004156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</v>
      </c>
      <c r="AQ135" s="71" t="str">
        <f t="shared" si="7"/>
        <v/>
      </c>
      <c r="AR135" s="71">
        <f>IFERROR(VLOOKUP(A135,Climatologia_TMED!A:U,9+$E$2,FALSE),"")</f>
        <v>19.08404124452408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0</v>
      </c>
      <c r="AQ136" s="71" t="str">
        <f t="shared" si="7"/>
        <v/>
      </c>
      <c r="AR136" s="71">
        <f>IFERROR(VLOOKUP(A136,Climatologia_TMED!A:U,9+$E$2,FALSE),"")</f>
        <v>10.862936379928311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</v>
      </c>
      <c r="AQ138" s="71" t="str">
        <f t="shared" si="7"/>
        <v/>
      </c>
      <c r="AR138" s="71">
        <f>IFERROR(VLOOKUP(A138,Climatologia_TMED!A:U,9+$E$2,FALSE),"")</f>
        <v>20.235550356930549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</v>
      </c>
      <c r="AQ139" s="71" t="str">
        <f t="shared" si="7"/>
        <v/>
      </c>
      <c r="AR139" s="71">
        <f>IFERROR(VLOOKUP(A139,Climatologia_TMED!A:U,9+$E$2,FALSE),"")</f>
        <v>12.97471752858849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</v>
      </c>
      <c r="AQ140" s="71" t="str">
        <f t="shared" si="7"/>
        <v/>
      </c>
      <c r="AR140" s="71">
        <f>IFERROR(VLOOKUP(A140,Climatologia_TMED!A:U,9+$E$2,FALSE),"")</f>
        <v>15.718876344086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</v>
      </c>
      <c r="AQ141" s="71" t="str">
        <f t="shared" si="7"/>
        <v/>
      </c>
      <c r="AR141" s="71">
        <f>IFERROR(VLOOKUP(A141,Climatologia_TMED!A:U,9+$E$2,FALSE),"")</f>
        <v>11.969387238873461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</v>
      </c>
      <c r="AQ142" s="71" t="str">
        <f t="shared" si="7"/>
        <v/>
      </c>
      <c r="AR142" s="71">
        <f>IFERROR(VLOOKUP(A142,Climatologia_TMED!A:U,9+$E$2,FALSE),"")</f>
        <v>10.49248004916649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</v>
      </c>
      <c r="AQ143" s="71" t="str">
        <f t="shared" si="7"/>
        <v/>
      </c>
      <c r="AR143" s="71">
        <f>IFERROR(VLOOKUP(A143,Climatologia_TMED!A:U,9+$E$2,FALSE),"")</f>
        <v>25.992543202764971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</v>
      </c>
      <c r="AQ144" s="71" t="str">
        <f t="shared" si="7"/>
        <v/>
      </c>
      <c r="AR144" s="71">
        <f>IFERROR(VLOOKUP(A144,Climatologia_TMED!A:U,9+$E$2,FALSE),"")</f>
        <v>15.9826099414474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</v>
      </c>
      <c r="AQ145" s="71" t="str">
        <f t="shared" si="7"/>
        <v/>
      </c>
      <c r="AR145" s="71">
        <f>IFERROR(VLOOKUP(A145,Climatologia_TMED!A:U,9+$E$2,FALSE),"")</f>
        <v>19.40683329936412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0</v>
      </c>
      <c r="AQ146" s="71" t="str">
        <f t="shared" si="7"/>
        <v/>
      </c>
      <c r="AR146" s="71">
        <f>IFERROR(VLOOKUP(A146,Climatologia_TMED!A:U,9+$E$2,FALSE),"")</f>
        <v>29.306317625921391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</v>
      </c>
      <c r="AQ147" s="71" t="str">
        <f t="shared" si="7"/>
        <v/>
      </c>
      <c r="AR147" s="71">
        <f>IFERROR(VLOOKUP(A147,Climatologia_TMED!A:U,9+$E$2,FALSE),"")</f>
        <v>24.061574212155389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</v>
      </c>
      <c r="AQ149" s="71" t="str">
        <f t="shared" si="7"/>
        <v/>
      </c>
      <c r="AR149" s="71">
        <f>IFERROR(VLOOKUP(A149,Climatologia_TMED!A:U,9+$E$2,FALSE),"")</f>
        <v>21.98128955804011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</v>
      </c>
      <c r="AQ154" s="71" t="str">
        <f t="shared" si="7"/>
        <v/>
      </c>
      <c r="AR154" s="71">
        <f>IFERROR(VLOOKUP(A154,Climatologia_TMED!A:U,9+$E$2,FALSE),"")</f>
        <v>19.603370199692769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0</v>
      </c>
      <c r="AQ155" s="71" t="str">
        <f t="shared" si="7"/>
        <v/>
      </c>
      <c r="AR155" s="71">
        <f>IFERROR(VLOOKUP(A155,Climatologia_TMED!A:U,9+$E$2,FALSE),"")</f>
        <v>27.798082822950249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0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</v>
      </c>
      <c r="AQ158" s="71" t="str">
        <f t="shared" si="7"/>
        <v/>
      </c>
      <c r="AR158" s="71">
        <f>IFERROR(VLOOKUP(A158,Climatologia_TMED!A:U,9+$E$2,FALSE),"")</f>
        <v>28.018688345149439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</v>
      </c>
      <c r="AQ159" s="71" t="str">
        <f t="shared" si="7"/>
        <v/>
      </c>
      <c r="AR159" s="71">
        <f>IFERROR(VLOOKUP(A159,Climatologia_TMED!A:U,9+$E$2,FALSE),"")</f>
        <v>19.083052786798319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</v>
      </c>
      <c r="AQ162" s="71" t="str">
        <f t="shared" si="7"/>
        <v/>
      </c>
      <c r="AR162" s="71">
        <f>IFERROR(VLOOKUP(A162,Climatologia_TMED!A:U,9+$E$2,FALSE),"")</f>
        <v>28.49681537062899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</v>
      </c>
      <c r="AQ163" s="71" t="str">
        <f t="shared" si="7"/>
        <v/>
      </c>
      <c r="AR163" s="71">
        <f>IFERROR(VLOOKUP(A163,Climatologia_TMED!A:U,9+$E$2,FALSE),"")</f>
        <v>21.304846458288491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</v>
      </c>
      <c r="AQ164" s="71" t="str">
        <f t="shared" si="7"/>
        <v/>
      </c>
      <c r="AR164" s="71">
        <f>IFERROR(VLOOKUP(A164,Climatologia_TMED!A:U,9+$E$2,FALSE),"")</f>
        <v>23.886011584659681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</v>
      </c>
      <c r="AQ166" s="71" t="str">
        <f t="shared" si="7"/>
        <v/>
      </c>
      <c r="AR166" s="71">
        <f>IFERROR(VLOOKUP(A166,Climatologia_TMED!A:U,9+$E$2,FALSE),"")</f>
        <v>13.59731182795695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</v>
      </c>
      <c r="AQ167" s="71" t="str">
        <f t="shared" si="7"/>
        <v/>
      </c>
      <c r="AR167" s="71">
        <f>IFERROR(VLOOKUP(A167,Climatologia_TMED!A:U,9+$E$2,FALSE),"")</f>
        <v>19.132762427527378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</v>
      </c>
      <c r="AQ168" s="71" t="str">
        <f t="shared" si="7"/>
        <v/>
      </c>
      <c r="AR168" s="71">
        <f>IFERROR(VLOOKUP(A168,Climatologia_TMED!A:U,9+$E$2,FALSE),"")</f>
        <v>26.11906044753972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</v>
      </c>
      <c r="AQ169" s="71" t="str">
        <f t="shared" si="7"/>
        <v/>
      </c>
      <c r="AR169" s="71">
        <f>IFERROR(VLOOKUP(A169,Climatologia_TMED!A:U,9+$E$2,FALSE),"")</f>
        <v>8.9418110731500597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</v>
      </c>
      <c r="AQ170" s="71" t="str">
        <f t="shared" si="7"/>
        <v/>
      </c>
      <c r="AR170" s="71">
        <f>IFERROR(VLOOKUP(A170,Climatologia_TMED!A:U,9+$E$2,FALSE),"")</f>
        <v>24.395609944791921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</v>
      </c>
      <c r="AQ171" s="71" t="str">
        <f t="shared" si="7"/>
        <v/>
      </c>
      <c r="AR171" s="71">
        <f>IFERROR(VLOOKUP(A171,Climatologia_TMED!A:U,9+$E$2,FALSE),"")</f>
        <v>19.277535015015289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</v>
      </c>
      <c r="AQ173" s="71" t="str">
        <f t="shared" si="7"/>
        <v/>
      </c>
      <c r="AR173" s="71">
        <f>IFERROR(VLOOKUP(A173,Climatologia_TMED!A:U,9+$E$2,FALSE),"")</f>
        <v>24.24334341397849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1</v>
      </c>
      <c r="AQ174" s="71" t="str">
        <f t="shared" si="7"/>
        <v/>
      </c>
      <c r="AR174" s="71">
        <f>IFERROR(VLOOKUP(A174,Climatologia_TMED!A:U,9+$E$2,FALSE),"")</f>
        <v>12.130348155415341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1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24.764281496732401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</v>
      </c>
      <c r="AQ179" s="71" t="str">
        <f t="shared" si="7"/>
        <v/>
      </c>
      <c r="AR179" s="71">
        <f>IFERROR(VLOOKUP(A179,Climatologia_TMED!A:U,9+$E$2,FALSE),"")</f>
        <v>17.52263018923631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</v>
      </c>
      <c r="AQ181" s="71" t="str">
        <f t="shared" si="7"/>
        <v/>
      </c>
      <c r="AR181" s="71">
        <f>IFERROR(VLOOKUP(A181,Climatologia_TMED!A:U,9+$E$2,FALSE),"")</f>
        <v>29.494520657328639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</v>
      </c>
      <c r="AQ188" s="71" t="str">
        <f t="shared" si="7"/>
        <v/>
      </c>
      <c r="AR188" s="71">
        <f>IFERROR(VLOOKUP(A188,Climatologia_TMED!A:U,9+$E$2,FALSE),"")</f>
        <v>16.219992677735171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</v>
      </c>
      <c r="AQ190" s="71" t="str">
        <f t="shared" si="7"/>
        <v/>
      </c>
      <c r="AR190" s="71">
        <f>IFERROR(VLOOKUP(A190,Climatologia_TMED!A:U,9+$E$2,FALSE),"")</f>
        <v>29.552042558032198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</v>
      </c>
      <c r="AQ191" s="71" t="str">
        <f t="shared" si="7"/>
        <v/>
      </c>
      <c r="AR191" s="71">
        <f>IFERROR(VLOOKUP(A191,Climatologia_TMED!A:U,9+$E$2,FALSE),"")</f>
        <v>17.464112079265011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</v>
      </c>
      <c r="AQ192" s="71" t="str">
        <f t="shared" si="7"/>
        <v/>
      </c>
      <c r="AR192" s="71">
        <f>IFERROR(VLOOKUP(A192,Climatologia_TMED!A:U,9+$E$2,FALSE),"")</f>
        <v>25.598921067303831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</v>
      </c>
      <c r="AQ193" s="71" t="str">
        <f t="shared" si="7"/>
        <v/>
      </c>
      <c r="AR193" s="71">
        <f>IFERROR(VLOOKUP(A193,Climatologia_TMED!A:U,9+$E$2,FALSE),"")</f>
        <v>26.876419518290088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</v>
      </c>
      <c r="AQ194" s="71" t="str">
        <f t="shared" si="7"/>
        <v/>
      </c>
      <c r="AR194" s="71">
        <f>IFERROR(VLOOKUP(A194,Climatologia_TMED!A:U,9+$E$2,FALSE),"")</f>
        <v>21.92453935902186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</v>
      </c>
      <c r="AQ196" s="71" t="str">
        <f t="shared" si="7"/>
        <v/>
      </c>
      <c r="AR196" s="71">
        <f>IFERROR(VLOOKUP(A196,Climatologia_TMED!A:U,9+$E$2,FALSE),"")</f>
        <v>20.501275507765811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24.669620158482161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</v>
      </c>
      <c r="AQ201" s="71" t="str">
        <f t="shared" si="10"/>
        <v/>
      </c>
      <c r="AR201" s="71">
        <f>IFERROR(VLOOKUP(A201,Climatologia_TMED!A:U,9+$E$2,FALSE),"")</f>
        <v>26.42009640850436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</v>
      </c>
      <c r="AQ202" s="71" t="str">
        <f t="shared" si="10"/>
        <v/>
      </c>
      <c r="AR202" s="71">
        <f>IFERROR(VLOOKUP(A202,Climatologia_TMED!A:U,9+$E$2,FALSE),"")</f>
        <v>12.92387825817962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0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0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0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0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2026-08-02T15:05:45Z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2026-08-02T15:05:45Z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a3014b0e-3346-4d7d-8819-44754e814675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