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Climatologia_TMAX" sheetId="2" state="visible" r:id="rId2"/>
    <sheet xmlns:r="http://schemas.openxmlformats.org/officeDocument/2006/relationships" name="Maximos_TMAX" sheetId="3" state="visible" r:id="rId3"/>
    <sheet xmlns:r="http://schemas.openxmlformats.org/officeDocument/2006/relationships" name="Control_Cambios" sheetId="4" state="hidden" r:id="rId4"/>
  </sheets>
  <definedNames>
    <definedName name="_xlnm._FilterDatabase" localSheetId="0" hidden="1">'Temperatura'!$AW$1:$AW$472</definedName>
    <definedName name="_xlnm.Print_Area" localSheetId="0">'Temperatura'!$B$4:$R$29</definedName>
    <definedName name="_xlnm._FilterDatabase" localSheetId="1" hidden="1">'Climatologia_TMAX'!$A$2:$X$345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sz val="11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</fonts>
  <fills count="38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0" fontId="5" fillId="18" borderId="4" applyAlignment="1">
      <alignment horizontal="center" vertical="center" wrapText="1"/>
    </xf>
    <xf numFmtId="172" fontId="25" fillId="0" borderId="0" applyProtection="1">
      <protection locked="0" hidden="0"/>
    </xf>
    <xf numFmtId="172" fontId="25" fillId="0" borderId="0" applyProtection="1">
      <protection locked="0" hidden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 applyProtection="1">
      <protection locked="0" hidden="0"/>
    </xf>
    <xf numFmtId="172" fontId="25" fillId="0" borderId="0" applyProtection="1">
      <protection locked="0" hidden="0"/>
    </xf>
    <xf numFmtId="172" fontId="26" fillId="0" borderId="0" applyProtection="1">
      <protection locked="0" hidden="0"/>
    </xf>
    <xf numFmtId="172" fontId="26" fillId="0" borderId="0" applyProtection="1">
      <protection locked="0" hidden="0"/>
    </xf>
    <xf numFmtId="172" fontId="26" fillId="0" borderId="0" applyProtection="1">
      <protection locked="0" hidden="0"/>
    </xf>
    <xf numFmtId="172" fontId="26" fillId="0" borderId="0" applyProtection="1">
      <protection locked="0" hidden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 applyProtection="1">
      <protection locked="0" hidden="0"/>
    </xf>
    <xf numFmtId="172" fontId="24" fillId="0" borderId="0" applyProtection="1">
      <protection locked="0" hidden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 applyProtection="1">
      <protection locked="0" hidden="0"/>
    </xf>
    <xf numFmtId="172" fontId="25" fillId="0" borderId="11" applyProtection="1">
      <protection locked="0" hidden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pivotButton="0" quotePrefix="0" xfId="0"/>
    <xf numFmtId="0" fontId="3" fillId="0" borderId="12" pivotButton="0" quotePrefix="0" xfId="80"/>
    <xf numFmtId="0" fontId="35" fillId="27" borderId="22" applyAlignment="1" pivotButton="0" quotePrefix="0" xfId="0">
      <alignment horizontal="center" vertical="center"/>
    </xf>
    <xf numFmtId="0" fontId="35" fillId="27" borderId="23" applyAlignment="1" pivotButton="0" quotePrefix="0" xfId="0">
      <alignment horizontal="center" vertical="center"/>
    </xf>
    <xf numFmtId="164" fontId="35" fillId="27" borderId="23" applyAlignment="1" pivotButton="0" quotePrefix="0" xfId="0">
      <alignment horizontal="center" vertical="center"/>
    </xf>
    <xf numFmtId="2" fontId="35" fillId="27" borderId="23" applyAlignment="1" pivotButton="0" quotePrefix="0" xfId="0">
      <alignment horizontal="center" vertical="center"/>
    </xf>
    <xf numFmtId="2" fontId="35" fillId="27" borderId="24" applyAlignment="1" pivotButton="0" quotePrefix="0" xfId="0">
      <alignment horizontal="center" vertical="center"/>
    </xf>
    <xf numFmtId="0" fontId="35" fillId="27" borderId="25" applyAlignment="1" pivotButton="0" quotePrefix="0" xfId="0">
      <alignment horizontal="center" vertical="center"/>
    </xf>
    <xf numFmtId="0" fontId="35" fillId="27" borderId="24" applyAlignment="1" pivotButton="0" quotePrefix="0" xfId="0">
      <alignment horizontal="center" vertical="center"/>
    </xf>
    <xf numFmtId="165" fontId="36" fillId="27" borderId="25" applyAlignment="1" pivotButton="0" quotePrefix="0" xfId="0">
      <alignment horizontal="center" vertical="center" wrapText="1"/>
    </xf>
    <xf numFmtId="0" fontId="36" fillId="27" borderId="24" applyAlignment="1" pivotButton="0" quotePrefix="0" xfId="0">
      <alignment horizontal="center" vertical="center" wrapText="1"/>
    </xf>
    <xf numFmtId="0" fontId="37" fillId="0" borderId="26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" fontId="37" fillId="0" borderId="15" applyAlignment="1" pivotButton="0" quotePrefix="0" xfId="0">
      <alignment horizontal="center" vertical="center"/>
    </xf>
    <xf numFmtId="167" fontId="37" fillId="0" borderId="16" applyAlignment="1" pivotButton="0" quotePrefix="0" xfId="0">
      <alignment horizontal="center" vertical="center"/>
    </xf>
    <xf numFmtId="0" fontId="39" fillId="0" borderId="13" applyAlignment="1" pivotButton="0" quotePrefix="0" xfId="58">
      <alignment horizontal="center" vertical="center"/>
    </xf>
    <xf numFmtId="0" fontId="37" fillId="0" borderId="20" applyAlignment="1" pivotButton="0" quotePrefix="0" xfId="0">
      <alignment horizontal="center" vertical="center"/>
    </xf>
    <xf numFmtId="0" fontId="39" fillId="0" borderId="12" applyAlignment="1" pivotButton="0" quotePrefix="0" xfId="58">
      <alignment horizontal="center" vertical="center"/>
    </xf>
    <xf numFmtId="2" fontId="39" fillId="0" borderId="12" applyAlignment="1" pivotButton="0" quotePrefix="0" xfId="58">
      <alignment horizontal="center" vertical="center"/>
    </xf>
    <xf numFmtId="2" fontId="39" fillId="0" borderId="16" applyAlignment="1" pivotButton="0" quotePrefix="0" xfId="58">
      <alignment horizontal="center" vertical="center"/>
    </xf>
    <xf numFmtId="166" fontId="40" fillId="0" borderId="15" applyAlignment="1" pivotButton="0" quotePrefix="0" xfId="0">
      <alignment horizontal="center" vertical="center"/>
    </xf>
    <xf numFmtId="166" fontId="40" fillId="0" borderId="12" applyAlignment="1" pivotButton="0" quotePrefix="0" xfId="0">
      <alignment horizontal="center" vertical="center"/>
    </xf>
    <xf numFmtId="166" fontId="40" fillId="0" borderId="27" applyAlignment="1" pivotButton="0" quotePrefix="0" xfId="0">
      <alignment horizontal="center" vertical="center"/>
    </xf>
    <xf numFmtId="1" fontId="41" fillId="0" borderId="26" applyAlignment="1" pivotButton="0" quotePrefix="0" xfId="0">
      <alignment horizontal="center" vertical="center"/>
    </xf>
    <xf numFmtId="167" fontId="42" fillId="0" borderId="16" applyAlignment="1" pivotButton="0" quotePrefix="0" xfId="78">
      <alignment horizontal="center" vertical="center"/>
    </xf>
    <xf numFmtId="0" fontId="37" fillId="0" borderId="17" applyAlignment="1" pivotButton="0" quotePrefix="0" xfId="0">
      <alignment horizontal="center" vertical="center"/>
    </xf>
    <xf numFmtId="0" fontId="39" fillId="0" borderId="18" applyAlignment="1" pivotButton="0" quotePrefix="0" xfId="58">
      <alignment horizontal="center" vertical="center"/>
    </xf>
    <xf numFmtId="2" fontId="39" fillId="0" borderId="18" applyAlignment="1" pivotButton="0" quotePrefix="0" xfId="58">
      <alignment horizontal="center" vertical="center"/>
    </xf>
    <xf numFmtId="2" fontId="39" fillId="0" borderId="28" applyAlignment="1" pivotButton="0" quotePrefix="0" xfId="58">
      <alignment horizontal="center" vertical="center"/>
    </xf>
    <xf numFmtId="166" fontId="40" fillId="0" borderId="19" applyAlignment="1" pivotButton="0" quotePrefix="0" xfId="0">
      <alignment horizontal="center" vertical="center"/>
    </xf>
    <xf numFmtId="166" fontId="40" fillId="0" borderId="18" applyAlignment="1" pivotButton="0" quotePrefix="0" xfId="0">
      <alignment horizontal="center" vertical="center"/>
    </xf>
    <xf numFmtId="1" fontId="41" fillId="0" borderId="17" applyAlignment="1" pivotButton="0" quotePrefix="0" xfId="0">
      <alignment horizontal="center" vertical="center"/>
    </xf>
    <xf numFmtId="167" fontId="42" fillId="0" borderId="28" applyAlignment="1" pivotButton="0" quotePrefix="0" xfId="78">
      <alignment horizontal="center" vertical="center"/>
    </xf>
    <xf numFmtId="0" fontId="32" fillId="0" borderId="12" pivotButton="0" quotePrefix="0" xfId="80"/>
    <xf numFmtId="166" fontId="3" fillId="0" borderId="12" pivotButton="0" quotePrefix="0" xfId="80"/>
    <xf numFmtId="166" fontId="32" fillId="0" borderId="12" pivotButton="0" quotePrefix="0" xfId="80"/>
    <xf numFmtId="0" fontId="31" fillId="0" borderId="12" applyAlignment="1" pivotButton="0" quotePrefix="0" xfId="82">
      <alignment horizontal="center" vertical="center"/>
    </xf>
    <xf numFmtId="0" fontId="4" fillId="0" borderId="0" pivotButton="0" quotePrefix="0" xfId="82"/>
    <xf numFmtId="14" fontId="4" fillId="0" borderId="12" applyAlignment="1" pivotButton="0" quotePrefix="0" xfId="82">
      <alignment horizontal="center" vertical="center"/>
    </xf>
    <xf numFmtId="0" fontId="4" fillId="0" borderId="12" applyAlignment="1" pivotButton="0" quotePrefix="0" xfId="82">
      <alignment horizontal="center" vertical="center"/>
    </xf>
    <xf numFmtId="0" fontId="4" fillId="0" borderId="12" applyAlignment="1" pivotButton="0" quotePrefix="0" xfId="82">
      <alignment horizontal="center" vertical="center" wrapText="1"/>
    </xf>
    <xf numFmtId="0" fontId="43" fillId="0" borderId="12" applyAlignment="1" pivotButton="0" quotePrefix="0" xfId="83">
      <alignment horizontal="center" vertical="center" wrapText="1"/>
    </xf>
    <xf numFmtId="0" fontId="2" fillId="0" borderId="12" applyAlignment="1" pivotButton="0" quotePrefix="0" xfId="83">
      <alignment horizontal="center"/>
    </xf>
    <xf numFmtId="0" fontId="2" fillId="0" borderId="12" applyAlignment="1" pivotButton="0" quotePrefix="0" xfId="83">
      <alignment vertical="center" wrapText="1"/>
    </xf>
    <xf numFmtId="0" fontId="2" fillId="0" borderId="12" applyAlignment="1" pivotButton="0" quotePrefix="0" xfId="83">
      <alignment horizontal="left"/>
    </xf>
    <xf numFmtId="0" fontId="44" fillId="0" borderId="0" applyAlignment="1" pivotButton="0" quotePrefix="0" xfId="0">
      <alignment horizontal="left" vertical="center"/>
    </xf>
    <xf numFmtId="0" fontId="45" fillId="0" borderId="0" pivotButton="0" quotePrefix="0" xfId="0"/>
    <xf numFmtId="0" fontId="45" fillId="0" borderId="0" applyAlignment="1" pivotButton="0" quotePrefix="0" xfId="0">
      <alignment vertical="center"/>
    </xf>
    <xf numFmtId="0" fontId="46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center" vertical="center"/>
    </xf>
    <xf numFmtId="166" fontId="45" fillId="0" borderId="0" pivotButton="0" quotePrefix="0" xfId="0"/>
    <xf numFmtId="166" fontId="47" fillId="0" borderId="0" applyAlignment="1" pivotButton="0" quotePrefix="0" xfId="0">
      <alignment horizontal="center"/>
    </xf>
    <xf numFmtId="166" fontId="47" fillId="0" borderId="0" pivotButton="0" quotePrefix="0" xfId="0"/>
    <xf numFmtId="166" fontId="45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/>
    </xf>
    <xf numFmtId="0" fontId="45" fillId="0" borderId="12" applyAlignment="1" pivotButton="0" quotePrefix="0" xfId="0">
      <alignment horizontal="center" vertical="center"/>
    </xf>
    <xf numFmtId="0" fontId="45" fillId="25" borderId="12" applyAlignment="1" pivotButton="0" quotePrefix="0" xfId="0">
      <alignment horizontal="left" vertical="center"/>
    </xf>
    <xf numFmtId="1" fontId="45" fillId="0" borderId="12" applyAlignment="1" pivotButton="0" quotePrefix="0" xfId="0">
      <alignment horizontal="center" vertical="center"/>
    </xf>
    <xf numFmtId="0" fontId="45" fillId="25" borderId="12" applyAlignment="1" pivotButton="0" quotePrefix="0" xfId="0">
      <alignment horizontal="center"/>
    </xf>
    <xf numFmtId="166" fontId="45" fillId="0" borderId="12" applyAlignment="1" pivotButton="0" quotePrefix="0" xfId="0">
      <alignment horizontal="right" vertical="center"/>
    </xf>
    <xf numFmtId="1" fontId="45" fillId="0" borderId="12" applyAlignment="1" pivotButton="0" quotePrefix="0" xfId="0">
      <alignment horizontal="center"/>
    </xf>
    <xf numFmtId="166" fontId="45" fillId="0" borderId="12" applyAlignment="1" pivotButton="0" quotePrefix="0" xfId="0">
      <alignment horizontal="center"/>
    </xf>
    <xf numFmtId="168" fontId="45" fillId="0" borderId="12" applyAlignment="1" pivotButton="0" quotePrefix="0" xfId="0">
      <alignment horizontal="center" vertical="center"/>
    </xf>
    <xf numFmtId="1" fontId="45" fillId="0" borderId="12" applyAlignment="1" pivotButton="0" quotePrefix="0" xfId="0">
      <alignment horizontal="left" vertical="center"/>
    </xf>
    <xf numFmtId="0" fontId="45" fillId="0" borderId="12" applyAlignment="1" pivotButton="0" quotePrefix="0" xfId="0">
      <alignment horizontal="center"/>
    </xf>
    <xf numFmtId="0" fontId="45" fillId="0" borderId="12" applyAlignment="1" pivotButton="0" quotePrefix="0" xfId="0">
      <alignment horizontal="left" vertical="center"/>
    </xf>
    <xf numFmtId="166" fontId="46" fillId="0" borderId="12" applyAlignment="1" pivotButton="0" quotePrefix="0" xfId="0">
      <alignment horizontal="right" vertical="center"/>
    </xf>
    <xf numFmtId="166" fontId="45" fillId="0" borderId="12" applyAlignment="1" pivotButton="0" quotePrefix="0" xfId="0">
      <alignment horizontal="center" vertical="center"/>
    </xf>
    <xf numFmtId="14" fontId="45" fillId="0" borderId="12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/>
    </xf>
    <xf numFmtId="0" fontId="45" fillId="25" borderId="12" applyAlignment="1" pivotButton="0" quotePrefix="0" xfId="0">
      <alignment horizontal="left"/>
    </xf>
    <xf numFmtId="0" fontId="45" fillId="0" borderId="12" applyAlignment="1" pivotButton="0" quotePrefix="0" xfId="0">
      <alignment horizontal="left"/>
    </xf>
    <xf numFmtId="1" fontId="47" fillId="28" borderId="12" applyAlignment="1" pivotButton="0" quotePrefix="0" xfId="0">
      <alignment horizontal="center"/>
    </xf>
    <xf numFmtId="0" fontId="47" fillId="28" borderId="12" applyAlignment="1" pivotButton="0" quotePrefix="0" xfId="0">
      <alignment horizontal="center"/>
    </xf>
    <xf numFmtId="49" fontId="47" fillId="28" borderId="12" applyAlignment="1" pivotButton="0" quotePrefix="0" xfId="0">
      <alignment horizontal="center" vertical="center"/>
    </xf>
    <xf numFmtId="1" fontId="47" fillId="26" borderId="12" applyAlignment="1" pivotButton="0" quotePrefix="0" xfId="0">
      <alignment horizontal="center" vertical="center" wrapText="1"/>
    </xf>
    <xf numFmtId="0" fontId="47" fillId="26" borderId="12" applyAlignment="1" pivotButton="0" quotePrefix="0" xfId="0">
      <alignment horizontal="center" vertical="center"/>
    </xf>
    <xf numFmtId="169" fontId="47" fillId="26" borderId="12" applyAlignment="1" pivotButton="0" quotePrefix="0" xfId="0">
      <alignment horizontal="center" vertical="center"/>
    </xf>
    <xf numFmtId="1" fontId="47" fillId="26" borderId="12" applyAlignment="1" pivotButton="0" quotePrefix="0" xfId="0">
      <alignment horizontal="center" vertical="center"/>
    </xf>
    <xf numFmtId="166" fontId="47" fillId="26" borderId="12" applyAlignment="1" pivotButton="0" quotePrefix="0" xfId="0">
      <alignment horizontal="center" vertical="center" wrapText="1"/>
    </xf>
    <xf numFmtId="0" fontId="47" fillId="26" borderId="12" applyAlignment="1" pivotButton="0" quotePrefix="0" xfId="0">
      <alignment horizontal="center" vertical="center" wrapText="1"/>
    </xf>
    <xf numFmtId="166" fontId="47" fillId="26" borderId="12" applyAlignment="1" pivotButton="0" quotePrefix="0" xfId="0">
      <alignment horizontal="center" vertical="center"/>
    </xf>
    <xf numFmtId="0" fontId="48" fillId="28" borderId="12" applyAlignment="1" pivotButton="0" quotePrefix="0" xfId="0">
      <alignment horizontal="center"/>
    </xf>
    <xf numFmtId="1" fontId="45" fillId="0" borderId="0" pivotButton="0" quotePrefix="0" xfId="0"/>
    <xf numFmtId="166" fontId="48" fillId="28" borderId="12" applyAlignment="1" pivotButton="0" quotePrefix="0" xfId="0">
      <alignment horizontal="center"/>
    </xf>
    <xf numFmtId="166" fontId="48" fillId="0" borderId="12" applyAlignment="1" pivotButton="0" quotePrefix="0" xfId="0">
      <alignment horizontal="center"/>
    </xf>
    <xf numFmtId="0" fontId="45" fillId="31" borderId="12" applyAlignment="1" pivotButton="0" quotePrefix="0" xfId="0">
      <alignment horizontal="center" vertical="center"/>
    </xf>
    <xf numFmtId="0" fontId="45" fillId="31" borderId="12" applyAlignment="1" pivotButton="0" quotePrefix="0" xfId="0">
      <alignment horizontal="left" vertical="center"/>
    </xf>
    <xf numFmtId="1" fontId="45" fillId="31" borderId="12" applyAlignment="1" pivotButton="0" quotePrefix="0" xfId="0">
      <alignment horizontal="left" vertical="center"/>
    </xf>
    <xf numFmtId="0" fontId="45" fillId="31" borderId="12" applyAlignment="1" pivotButton="0" quotePrefix="0" xfId="0">
      <alignment horizontal="center"/>
    </xf>
    <xf numFmtId="0" fontId="45" fillId="31" borderId="12" applyAlignment="1" pivotButton="0" quotePrefix="0" xfId="0">
      <alignment horizontal="left"/>
    </xf>
    <xf numFmtId="170" fontId="45" fillId="25" borderId="12" applyAlignment="1" pivotButton="0" quotePrefix="0" xfId="0">
      <alignment horizontal="center"/>
    </xf>
    <xf numFmtId="170" fontId="45" fillId="0" borderId="12" applyAlignment="1" pivotButton="0" quotePrefix="0" xfId="0">
      <alignment horizontal="center"/>
    </xf>
    <xf numFmtId="170" fontId="45" fillId="31" borderId="12" applyAlignment="1" pivotButton="0" quotePrefix="0" xfId="0">
      <alignment horizontal="center"/>
    </xf>
    <xf numFmtId="170" fontId="45" fillId="0" borderId="12" applyAlignment="1" pivotButton="0" quotePrefix="0" xfId="0">
      <alignment horizontal="center" vertical="center"/>
    </xf>
    <xf numFmtId="1" fontId="45" fillId="25" borderId="12" applyAlignment="1" pivotButton="0" quotePrefix="0" xfId="0">
      <alignment horizontal="center"/>
    </xf>
    <xf numFmtId="1" fontId="45" fillId="31" borderId="12" applyAlignment="1" pivotButton="0" quotePrefix="0" xfId="0">
      <alignment horizontal="center"/>
    </xf>
    <xf numFmtId="0" fontId="1" fillId="0" borderId="12" pivotButton="0" quotePrefix="0" xfId="80"/>
    <xf numFmtId="166" fontId="45" fillId="31" borderId="12" applyAlignment="1" pivotButton="0" quotePrefix="0" xfId="0">
      <alignment horizontal="right" vertical="center"/>
    </xf>
    <xf numFmtId="166" fontId="45" fillId="32" borderId="12" applyAlignment="1" pivotButton="0" quotePrefix="0" xfId="0">
      <alignment horizontal="right" vertical="center"/>
    </xf>
    <xf numFmtId="166" fontId="45" fillId="30" borderId="12" applyAlignment="1" pivotButton="0" quotePrefix="0" xfId="0">
      <alignment horizontal="right" vertical="center"/>
    </xf>
    <xf numFmtId="1" fontId="45" fillId="33" borderId="12" applyAlignment="1" pivotButton="0" quotePrefix="0" xfId="0">
      <alignment horizontal="left" vertical="center"/>
    </xf>
    <xf numFmtId="166" fontId="45" fillId="29" borderId="12" applyAlignment="1" pivotButton="0" quotePrefix="0" xfId="0">
      <alignment horizontal="right" vertical="center"/>
    </xf>
    <xf numFmtId="166" fontId="45" fillId="34" borderId="12" applyAlignment="1" pivotButton="0" quotePrefix="0" xfId="0">
      <alignment horizontal="right" vertical="center"/>
    </xf>
    <xf numFmtId="166" fontId="45" fillId="29" borderId="12" applyAlignment="1" pivotButton="0" quotePrefix="0" xfId="0">
      <alignment horizontal="center" vertical="center"/>
    </xf>
    <xf numFmtId="166" fontId="45" fillId="35" borderId="12" applyAlignment="1" pivotButton="0" quotePrefix="0" xfId="0">
      <alignment horizontal="right" vertical="center"/>
    </xf>
    <xf numFmtId="166" fontId="45" fillId="36" borderId="12" applyAlignment="1" pivotButton="0" quotePrefix="0" xfId="0">
      <alignment horizontal="right" vertical="center"/>
    </xf>
    <xf numFmtId="166" fontId="45" fillId="37" borderId="12" applyAlignment="1" pivotButton="0" quotePrefix="0" xfId="0">
      <alignment horizontal="right" vertical="center"/>
    </xf>
    <xf numFmtId="0" fontId="33" fillId="26" borderId="29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30" fillId="26" borderId="29" applyAlignment="1" pivotButton="0" quotePrefix="0" xfId="0">
      <alignment horizontal="center" vertical="center"/>
    </xf>
    <xf numFmtId="171" fontId="34" fillId="26" borderId="21" applyAlignment="1" pivotButton="0" quotePrefix="0" xfId="81">
      <alignment horizontal="center" vertical="center" wrapText="1"/>
    </xf>
    <xf numFmtId="0" fontId="32" fillId="0" borderId="12" applyAlignment="1" pivotButton="0" quotePrefix="0" xfId="80">
      <alignment horizontal="center"/>
    </xf>
    <xf numFmtId="0" fontId="0" fillId="0" borderId="30" pivotButton="0" quotePrefix="0" xfId="0"/>
    <xf numFmtId="0" fontId="0" fillId="0" borderId="15" pivotButton="0" quotePrefix="0" xfId="0"/>
    <xf numFmtId="0" fontId="32" fillId="0" borderId="12" applyAlignment="1" pivotButton="0" quotePrefix="0" xfId="80">
      <alignment horizontal="center" vertical="center"/>
    </xf>
    <xf numFmtId="0" fontId="0" fillId="0" borderId="13" pivotButton="0" quotePrefix="0" xfId="0"/>
  </cellXfs>
  <cellStyles count="86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6" xfId="82"/>
    <cellStyle name="Normal 7" xfId="83"/>
    <cellStyle name="Porcentaje 2" xfId="84"/>
    <cellStyle name="Normal 2 4" xfId="85"/>
  </cellStyles>
  <dxfs count="16">
    <dxf>
      <font>
        <b val="1"/>
        <color theme="5" tint="-0.249946592608417"/>
      </font>
      <fill>
        <patternFill>
          <bgColor theme="5" tint="0.5999633777886288"/>
        </patternFill>
      </fill>
    </dxf>
    <dxf>
      <font>
        <b val="1"/>
        <color theme="4" tint="-0.249946592608417"/>
      </font>
      <fill>
        <patternFill>
          <bgColor theme="4" tint="0.5999633777886288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72"/>
  <sheetViews>
    <sheetView tabSelected="1" topLeftCell="E1" zoomScale="77" zoomScaleNormal="77" workbookViewId="0">
      <selection activeCell="AC5" sqref="AC5:AC31"/>
    </sheetView>
  </sheetViews>
  <sheetFormatPr baseColWidth="10" defaultColWidth="32.42578125" defaultRowHeight="15"/>
  <cols>
    <col width="16.7109375" customWidth="1" style="90" min="1" max="1"/>
    <col width="37.5703125" customWidth="1" style="51" min="2" max="2"/>
    <col width="49.85546875" customWidth="1" style="51" min="3" max="3"/>
    <col width="15.140625" bestFit="1" customWidth="1" style="51" min="4" max="4"/>
    <col width="11.7109375" customWidth="1" style="51" min="5" max="5"/>
    <col width="9.140625" customWidth="1" style="51" min="6" max="6"/>
    <col hidden="1" width="13.85546875" customWidth="1" style="51" min="7" max="7"/>
    <col hidden="1" width="19" customWidth="1" style="51" min="8" max="8"/>
    <col width="23.140625" customWidth="1" style="51" min="9" max="9"/>
    <col width="31.7109375" bestFit="1" customWidth="1" style="76" min="10" max="10"/>
    <col width="7.28515625" customWidth="1" style="51" min="11" max="41"/>
    <col width="15.5703125" customWidth="1" style="55" min="42" max="42"/>
    <col width="18.5703125" customWidth="1" style="55" min="43" max="43"/>
    <col width="21.85546875" customWidth="1" style="56" min="44" max="44"/>
    <col width="11.7109375" customWidth="1" style="57" min="45" max="45"/>
    <col width="11.28515625" bestFit="1" customWidth="1" style="51" min="46" max="46"/>
    <col width="18" bestFit="1" customWidth="1" style="51" min="47" max="47"/>
    <col width="13.140625" bestFit="1" customWidth="1" style="51" min="48" max="48"/>
    <col width="13.28515625" bestFit="1" customWidth="1" style="51" min="49" max="49"/>
    <col width="32.42578125" customWidth="1" style="51" min="50" max="200"/>
    <col width="32.42578125" customWidth="1" style="51" min="201" max="16384"/>
  </cols>
  <sheetData>
    <row r="1">
      <c r="A1" s="50" t="n"/>
      <c r="G1" s="53" t="n"/>
      <c r="H1" s="53" t="n"/>
      <c r="I1" s="52" t="n"/>
      <c r="J1" s="53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T1" s="57" t="n"/>
      <c r="AU1" s="57" t="n"/>
      <c r="AV1" s="57" t="n"/>
      <c r="AW1" s="57" t="n"/>
    </row>
    <row r="2" ht="16.5" customHeight="1">
      <c r="A2" s="79" t="inlineStr">
        <is>
          <t>VARIABLE</t>
        </is>
      </c>
      <c r="B2" s="80" t="inlineStr">
        <is>
          <t>TEMPERATURA MAXIMA (°C)</t>
        </is>
      </c>
      <c r="C2" s="81" t="inlineStr">
        <is>
          <t>MES</t>
        </is>
      </c>
      <c r="D2" s="80">
        <f>VLOOKUP(E2,Maximos_TMAX!AS1:AU13,2,FALSE)</f>
        <v/>
      </c>
      <c r="E2" s="80" t="n">
        <v>9</v>
      </c>
      <c r="F2" s="80" t="inlineStr">
        <is>
          <t>AÑO</t>
        </is>
      </c>
      <c r="G2" s="80" t="n">
        <v>2026</v>
      </c>
      <c r="H2" s="89" t="inlineStr">
        <is>
          <t>DIAS</t>
        </is>
      </c>
      <c r="I2" s="89">
        <f>VLOOKUP(E2,Maximos_TMAX!AS1:AU13,3,FALSE)</f>
        <v/>
      </c>
      <c r="J2" s="89" t="inlineStr">
        <is>
          <t>Máximo</t>
        </is>
      </c>
      <c r="K2" s="92">
        <f>MAX(K5:K288)</f>
        <v/>
      </c>
      <c r="L2" s="92">
        <f>MAX(L5:L288)</f>
        <v/>
      </c>
      <c r="M2" s="92">
        <f>MAX(M5:M288)</f>
        <v/>
      </c>
      <c r="N2" s="92">
        <f>MAX(N5:N288)</f>
        <v/>
      </c>
      <c r="O2" s="92">
        <f>MAX(O5:O288)</f>
        <v/>
      </c>
      <c r="P2" s="92">
        <f>MAX(P5:P288)</f>
        <v/>
      </c>
      <c r="Q2" s="92">
        <f>MAX(Q5:Q288)</f>
        <v/>
      </c>
      <c r="R2" s="92">
        <f>MAX(R5:R288)</f>
        <v/>
      </c>
      <c r="S2" s="92">
        <f>MAX(S5:S288)</f>
        <v/>
      </c>
      <c r="T2" s="92">
        <f>MAX(T5:T288)</f>
        <v/>
      </c>
      <c r="U2" s="92">
        <f>MAX(U5:U288)</f>
        <v/>
      </c>
      <c r="V2" s="92">
        <f>MAX(V5:V288)</f>
        <v/>
      </c>
      <c r="W2" s="92">
        <f>MAX(W5:W288)</f>
        <v/>
      </c>
      <c r="X2" s="92">
        <f>MAX(X5:X288)</f>
        <v/>
      </c>
      <c r="Y2" s="92">
        <f>MAX(Y5:Y288)</f>
        <v/>
      </c>
      <c r="Z2" s="92">
        <f>MAX(Z5:Z288)</f>
        <v/>
      </c>
      <c r="AA2" s="92">
        <f>MAX(AA5:AA288)</f>
        <v/>
      </c>
      <c r="AB2" s="92">
        <f>MAX(AB5:AB288)</f>
        <v/>
      </c>
      <c r="AC2" s="92">
        <f>MAX(AC5:AC288)</f>
        <v/>
      </c>
      <c r="AD2" s="92">
        <f>MAX(AD5:AD288)</f>
        <v/>
      </c>
      <c r="AE2" s="92">
        <f>MAX(AE5:AE288)</f>
        <v/>
      </c>
      <c r="AF2" s="92">
        <f>MAX(AF5:AF288)</f>
        <v/>
      </c>
      <c r="AG2" s="92">
        <f>MAX(AG5:AG288)</f>
        <v/>
      </c>
      <c r="AH2" s="92">
        <f>MAX(AH5:AH288)</f>
        <v/>
      </c>
      <c r="AI2" s="92">
        <f>MAX(AI5:AI288)</f>
        <v/>
      </c>
      <c r="AJ2" s="92">
        <f>MAX(AJ5:AJ288)</f>
        <v/>
      </c>
      <c r="AK2" s="92">
        <f>MAX(AK5:AK288)</f>
        <v/>
      </c>
      <c r="AL2" s="92">
        <f>MAX(AL5:AL288)</f>
        <v/>
      </c>
      <c r="AM2" s="92">
        <f>MAX(AM5:AM288)</f>
        <v/>
      </c>
      <c r="AN2" s="92">
        <f>MAX(AN5:AN288)</f>
        <v/>
      </c>
      <c r="AO2" s="92">
        <f>MAX(AO5:AO288)</f>
        <v/>
      </c>
      <c r="AP2" s="91">
        <f>MAX(K2:AO2)</f>
        <v/>
      </c>
      <c r="AU2" s="61" t="n"/>
      <c r="AV2" s="61" t="n"/>
    </row>
    <row r="3" ht="16.5" customHeight="1">
      <c r="A3" s="53" t="n"/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2" t="n"/>
      <c r="L3" s="52" t="n"/>
      <c r="M3" s="52" t="n"/>
      <c r="N3" s="52" t="n"/>
      <c r="O3" s="52" t="n"/>
      <c r="P3" s="58" t="n"/>
      <c r="Q3" s="58" t="n"/>
      <c r="R3" s="52" t="n"/>
      <c r="S3" s="52" t="n"/>
      <c r="T3" s="52" t="n"/>
      <c r="U3" s="52" t="n"/>
      <c r="V3" s="52" t="n"/>
      <c r="W3" s="52" t="n"/>
      <c r="X3" s="59" t="n"/>
      <c r="Y3" s="59" t="n"/>
      <c r="Z3" s="59" t="n"/>
      <c r="AA3" s="52" t="n"/>
      <c r="AB3" s="52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60" t="n"/>
      <c r="AL3" s="59" t="n"/>
      <c r="AN3" s="59" t="n"/>
      <c r="AO3" s="59" t="n"/>
      <c r="AU3" s="61" t="n"/>
      <c r="AV3" s="61" t="n"/>
    </row>
    <row r="4" ht="24.75" customFormat="1" customHeight="1" s="52">
      <c r="A4" s="82" t="inlineStr">
        <is>
          <t>CODIGO</t>
        </is>
      </c>
      <c r="B4" s="83" t="inlineStr">
        <is>
          <t>ESTACION</t>
        </is>
      </c>
      <c r="C4" s="83" t="inlineStr">
        <is>
          <t>AREA_OP</t>
        </is>
      </c>
      <c r="D4" s="82" t="inlineStr">
        <is>
          <t>LON</t>
        </is>
      </c>
      <c r="E4" s="82" t="inlineStr">
        <is>
          <t>LAT</t>
        </is>
      </c>
      <c r="F4" s="82" t="inlineStr">
        <is>
          <t>ELEV</t>
        </is>
      </c>
      <c r="G4" s="83" t="inlineStr">
        <is>
          <t>COD_DPTO</t>
        </is>
      </c>
      <c r="H4" s="83" t="inlineStr">
        <is>
          <t>COD_MUNICIPIO</t>
        </is>
      </c>
      <c r="I4" s="83" t="inlineStr">
        <is>
          <t>DEPARTAMENTO</t>
        </is>
      </c>
      <c r="J4" s="83" t="inlineStr">
        <is>
          <t>MUNICIPIO</t>
        </is>
      </c>
      <c r="K4" s="83" t="n">
        <v>1</v>
      </c>
      <c r="L4" s="83" t="n">
        <v>2</v>
      </c>
      <c r="M4" s="83" t="n">
        <v>3</v>
      </c>
      <c r="N4" s="83" t="n">
        <v>4</v>
      </c>
      <c r="O4" s="83" t="n">
        <v>5</v>
      </c>
      <c r="P4" s="83" t="n">
        <v>6</v>
      </c>
      <c r="Q4" s="83" t="n">
        <v>7</v>
      </c>
      <c r="R4" s="83" t="n">
        <v>8</v>
      </c>
      <c r="S4" s="83" t="n">
        <v>9</v>
      </c>
      <c r="T4" s="83" t="n">
        <v>10</v>
      </c>
      <c r="U4" s="84" t="n">
        <v>11</v>
      </c>
      <c r="V4" s="83" t="n">
        <v>12</v>
      </c>
      <c r="W4" s="84" t="n">
        <v>13</v>
      </c>
      <c r="X4" s="83" t="n">
        <v>14</v>
      </c>
      <c r="Y4" s="84" t="n">
        <v>15</v>
      </c>
      <c r="Z4" s="83" t="n">
        <v>16</v>
      </c>
      <c r="AA4" s="84" t="n">
        <v>17</v>
      </c>
      <c r="AB4" s="83" t="n">
        <v>18</v>
      </c>
      <c r="AC4" s="84" t="n">
        <v>19</v>
      </c>
      <c r="AD4" s="83" t="n">
        <v>20</v>
      </c>
      <c r="AE4" s="84" t="n">
        <v>21</v>
      </c>
      <c r="AF4" s="85" t="n">
        <v>22</v>
      </c>
      <c r="AG4" s="85" t="n">
        <v>23</v>
      </c>
      <c r="AH4" s="84" t="n">
        <v>24</v>
      </c>
      <c r="AI4" s="84" t="n">
        <v>25</v>
      </c>
      <c r="AJ4" s="85" t="n">
        <v>26</v>
      </c>
      <c r="AK4" s="84" t="n">
        <v>27</v>
      </c>
      <c r="AL4" s="85" t="n">
        <v>28</v>
      </c>
      <c r="AM4" s="85" t="n">
        <v>29</v>
      </c>
      <c r="AN4" s="85" t="n">
        <v>30</v>
      </c>
      <c r="AO4" s="84" t="n">
        <v>31</v>
      </c>
      <c r="AP4" s="86" t="inlineStr">
        <is>
          <t>NUM_DATOS</t>
        </is>
      </c>
      <c r="AQ4" s="86" t="inlineStr">
        <is>
          <t>MEDIA_MENSUAL</t>
        </is>
      </c>
      <c r="AR4" s="86" t="inlineStr">
        <is>
          <t>MEDIA_MULTIANUAL</t>
        </is>
      </c>
      <c r="AS4" s="87" t="inlineStr">
        <is>
          <t>ANOMALIA</t>
        </is>
      </c>
      <c r="AT4" s="87" t="inlineStr">
        <is>
          <t>MAX_MES</t>
        </is>
      </c>
      <c r="AU4" s="88" t="inlineStr">
        <is>
          <t>MAX_HISTORICO</t>
        </is>
      </c>
      <c r="AV4" s="88" t="inlineStr">
        <is>
          <t>FECHA</t>
        </is>
      </c>
      <c r="AW4" s="83" t="inlineStr">
        <is>
          <t>DIFERENCIA</t>
        </is>
      </c>
    </row>
    <row r="5" ht="15" customHeight="1">
      <c r="A5" s="62" t="n">
        <v>17015010</v>
      </c>
      <c r="B5" s="63" t="inlineStr">
        <is>
          <t>Aeropuerto Sesquicentenario</t>
        </is>
      </c>
      <c r="C5" s="70" t="inlineStr">
        <is>
          <t>Grupo Observación y Monitoreo</t>
        </is>
      </c>
      <c r="D5" s="98" t="n">
        <v>-81.7038888888889</v>
      </c>
      <c r="E5" s="98" t="n">
        <v>12.58694444444444</v>
      </c>
      <c r="F5" s="102" t="n">
        <v>1</v>
      </c>
      <c r="G5" s="65" t="n">
        <v>88</v>
      </c>
      <c r="H5" s="65" t="n">
        <v>88001</v>
      </c>
      <c r="I5" s="63" t="inlineStr">
        <is>
          <t>Archipiélago de San Andres, Providencia y Santa Catalina</t>
        </is>
      </c>
      <c r="J5" s="77" t="inlineStr">
        <is>
          <t>Isla de San Andrés</t>
        </is>
      </c>
      <c r="K5" s="66" t="n">
        <v>30.5</v>
      </c>
      <c r="L5" s="66" t="n">
        <v>32.4</v>
      </c>
      <c r="M5" s="66" t="n">
        <v>32.1</v>
      </c>
      <c r="N5" s="66" t="n">
        <v>32.4</v>
      </c>
      <c r="O5" s="66" t="n">
        <v>32.6</v>
      </c>
      <c r="P5" s="66" t="n">
        <v>32.4</v>
      </c>
      <c r="Q5" s="66" t="n">
        <v>32</v>
      </c>
      <c r="R5" s="66" t="n">
        <v>32.2</v>
      </c>
      <c r="S5" s="66" t="n">
        <v>32.1</v>
      </c>
      <c r="T5" s="66" t="n">
        <v>32.2</v>
      </c>
      <c r="U5" s="66" t="n">
        <v>32.7</v>
      </c>
      <c r="V5" s="66" t="n">
        <v>32.4</v>
      </c>
      <c r="W5" s="66" t="n">
        <v>32.7</v>
      </c>
      <c r="X5" s="66" t="n">
        <v>31</v>
      </c>
      <c r="Y5" s="66" t="n">
        <v>31.5</v>
      </c>
      <c r="Z5" s="66" t="n">
        <v>31.7</v>
      </c>
      <c r="AA5" s="66" t="n">
        <v>29.6</v>
      </c>
      <c r="AB5" s="66" t="n">
        <v>31.9</v>
      </c>
      <c r="AC5" s="66" t="n">
        <v>32.1</v>
      </c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7">
        <f>COUNTIF(K5:AO5,"&gt;0")</f>
        <v/>
      </c>
      <c r="AQ5" s="68">
        <f>IF(AP5&gt;14,AVERAGE(K5:AO5),"")</f>
        <v/>
      </c>
      <c r="AR5" s="68">
        <f>IFERROR(VLOOKUP(A5,Climatologia_TMAX!A:U,9+$E$2,FALSE),"")</f>
        <v/>
      </c>
      <c r="AS5" s="68">
        <f>IF(OR(AQ5="",AR5=""),"",IFERROR(AQ5-AR5,""))</f>
        <v/>
      </c>
      <c r="AT5" s="74">
        <f>IF(COUNT(K5:AO5)=0,"",MAX(K5:AO5))</f>
        <v/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/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" s="69">
        <f>IF(OR(AT5="",AU5=""),"NA",IFERROR(AT5-AU5,"NA"))</f>
        <v/>
      </c>
    </row>
    <row r="6" ht="15" customHeight="1">
      <c r="A6" s="62" t="n">
        <v>17025020</v>
      </c>
      <c r="B6" s="70" t="inlineStr">
        <is>
          <t>Aeropuerto El Embrujo</t>
        </is>
      </c>
      <c r="C6" s="70" t="inlineStr">
        <is>
          <t>Grupo Observación y Monitoreo</t>
        </is>
      </c>
      <c r="D6" s="99" t="n">
        <v>-81.35772222</v>
      </c>
      <c r="E6" s="99" t="n">
        <v>13.3595</v>
      </c>
      <c r="F6" s="67" t="n">
        <v>7</v>
      </c>
      <c r="G6" s="71" t="n">
        <v>88</v>
      </c>
      <c r="H6" s="71" t="n">
        <v>88564</v>
      </c>
      <c r="I6" s="72" t="inlineStr">
        <is>
          <t>Archipiélago de San Andres, Providencia y Santa Catalina</t>
        </is>
      </c>
      <c r="J6" s="78" t="inlineStr">
        <is>
          <t>Isla de Providencia</t>
        </is>
      </c>
      <c r="K6" s="66" t="n">
        <v>30.6</v>
      </c>
      <c r="L6" s="66" t="n">
        <v>32.1</v>
      </c>
      <c r="M6" s="66" t="n">
        <v>32.2</v>
      </c>
      <c r="N6" s="66" t="n">
        <v>32.5</v>
      </c>
      <c r="O6" s="66" t="n">
        <v>32.2</v>
      </c>
      <c r="P6" s="66" t="n">
        <v>32.4</v>
      </c>
      <c r="Q6" s="66" t="n">
        <v>32.4</v>
      </c>
      <c r="R6" s="66" t="n">
        <v>32.8</v>
      </c>
      <c r="S6" s="66" t="n">
        <v>32.6</v>
      </c>
      <c r="T6" s="66" t="n">
        <v>32.4</v>
      </c>
      <c r="U6" s="66" t="n">
        <v>32.2</v>
      </c>
      <c r="V6" s="66" t="n">
        <v>32.5</v>
      </c>
      <c r="W6" s="66" t="n">
        <v>32.2</v>
      </c>
      <c r="X6" s="66" t="n">
        <v>32.2</v>
      </c>
      <c r="Y6" s="66" t="n">
        <v>31.4</v>
      </c>
      <c r="Z6" s="66" t="n">
        <v>32.1</v>
      </c>
      <c r="AA6" s="66" t="n">
        <v>30.2</v>
      </c>
      <c r="AB6" s="66" t="n">
        <v>32.8</v>
      </c>
      <c r="AC6" s="66" t="n">
        <v>32.6</v>
      </c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7">
        <f>COUNTIF(K6:AO6,"&gt;0")</f>
        <v/>
      </c>
      <c r="AQ6" s="68">
        <f>IF(AP6&gt;14,AVERAGE(K6:AO6),"")</f>
        <v/>
      </c>
      <c r="AR6" s="68">
        <f>IFERROR(VLOOKUP(A6,Climatologia_TMAX!A:U,9+$E$2,FALSE),"")</f>
        <v/>
      </c>
      <c r="AS6" s="68">
        <f>IF(OR(AQ6="",AR6=""),"",IFERROR(AQ6-AR6,""))</f>
        <v/>
      </c>
      <c r="AT6" s="74">
        <f>IF(COUNT(K6:AO6)=0,"",MAX(K6:AO6))</f>
        <v/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/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" s="69">
        <f>IF(OR(AT6="",AU6=""),"NA",IFERROR(AT6-AU6,"NA"))</f>
        <v/>
      </c>
    </row>
    <row r="7" ht="15" customHeight="1">
      <c r="A7" s="62" t="n">
        <v>15015050</v>
      </c>
      <c r="B7" s="70" t="inlineStr">
        <is>
          <t>Aeropuerto Simón Bolívar</t>
        </is>
      </c>
      <c r="C7" s="70" t="inlineStr">
        <is>
          <t>Grupo Observación y Monitoreo</t>
        </is>
      </c>
      <c r="D7" s="99" t="n">
        <v>-74.22888889000001</v>
      </c>
      <c r="E7" s="99" t="n">
        <v>11.12833333</v>
      </c>
      <c r="F7" s="67" t="n">
        <v>4</v>
      </c>
      <c r="G7" s="71" t="n">
        <v>47</v>
      </c>
      <c r="H7" s="71" t="n">
        <v>47001</v>
      </c>
      <c r="I7" s="72" t="inlineStr">
        <is>
          <t>Magdalena</t>
        </is>
      </c>
      <c r="J7" s="78" t="inlineStr">
        <is>
          <t>Santa Marta</t>
        </is>
      </c>
      <c r="K7" s="66" t="n">
        <v>32.4</v>
      </c>
      <c r="L7" s="66" t="n">
        <v>34.8</v>
      </c>
      <c r="M7" s="66" t="n">
        <v>35.2</v>
      </c>
      <c r="N7" s="66" t="n">
        <v>35.2</v>
      </c>
      <c r="O7" s="66" t="n">
        <v>37</v>
      </c>
      <c r="P7" s="66" t="n">
        <v>35.2</v>
      </c>
      <c r="Q7" s="66" t="n">
        <v>33.5</v>
      </c>
      <c r="R7" s="66" t="n">
        <v>35</v>
      </c>
      <c r="S7" s="66" t="n">
        <v>36.9</v>
      </c>
      <c r="T7" s="66" t="n">
        <v>34.4</v>
      </c>
      <c r="U7" s="66" t="n">
        <v>35.2</v>
      </c>
      <c r="V7" s="66" t="n">
        <v>35.4</v>
      </c>
      <c r="W7" s="66" t="n">
        <v>35.2</v>
      </c>
      <c r="X7" s="66" t="n">
        <v>34.8</v>
      </c>
      <c r="Y7" s="66" t="n">
        <v>35.4</v>
      </c>
      <c r="Z7" s="66" t="n">
        <v>33.6</v>
      </c>
      <c r="AA7" s="66" t="n">
        <v>35.7</v>
      </c>
      <c r="AB7" s="66" t="n">
        <v>35.6</v>
      </c>
      <c r="AC7" s="66" t="n">
        <v>34.9</v>
      </c>
      <c r="AD7" s="66" t="n"/>
      <c r="AE7" s="114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7">
        <f>COUNTIF(K7:AO7,"&gt;0")</f>
        <v/>
      </c>
      <c r="AQ7" s="68">
        <f>IF(AP7&gt;14,AVERAGE(K7:AO7),"")</f>
        <v/>
      </c>
      <c r="AR7" s="68">
        <f>IFERROR(VLOOKUP(A7,Climatologia_TMAX!A:U,9+$E$2,FALSE),"")</f>
        <v/>
      </c>
      <c r="AS7" s="68">
        <f>IF(OR(AQ7="",AR7=""),"",IFERROR(AQ7-AR7,""))</f>
        <v/>
      </c>
      <c r="AT7" s="74">
        <f>IF(COUNT(K7:AO7)=0,"",MAX(K7:AO7))</f>
        <v/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/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" s="69">
        <f>IF(OR(AT7="",AU7=""),"NA",IFERROR(AT7-AU7,"NA"))</f>
        <v/>
      </c>
    </row>
    <row r="8" ht="15" customHeight="1">
      <c r="A8" s="62" t="n">
        <v>14015080</v>
      </c>
      <c r="B8" s="63" t="inlineStr">
        <is>
          <t>Aeropuerto Rafael Nuñez</t>
        </is>
      </c>
      <c r="C8" s="70" t="inlineStr">
        <is>
          <t>Grupo Observación y Monitoreo</t>
        </is>
      </c>
      <c r="D8" s="98" t="n">
        <v>-75.51602778</v>
      </c>
      <c r="E8" s="98" t="n">
        <v>10.44725</v>
      </c>
      <c r="F8" s="102" t="n">
        <v>2</v>
      </c>
      <c r="G8" s="65" t="n">
        <v>13</v>
      </c>
      <c r="H8" s="65" t="n">
        <v>13001</v>
      </c>
      <c r="I8" s="63" t="inlineStr">
        <is>
          <t>Bolívar</t>
        </is>
      </c>
      <c r="J8" s="77" t="inlineStr">
        <is>
          <t>Cartagena de Indias</t>
        </is>
      </c>
      <c r="K8" s="66" t="n">
        <v>33.2</v>
      </c>
      <c r="L8" s="66" t="n">
        <v>33.9</v>
      </c>
      <c r="M8" s="66" t="n">
        <v>33.7</v>
      </c>
      <c r="N8" s="66" t="n">
        <v>34.3</v>
      </c>
      <c r="O8" s="66" t="n">
        <v>34.2</v>
      </c>
      <c r="P8" s="66" t="n">
        <v>36.1</v>
      </c>
      <c r="Q8" s="66" t="n">
        <v>33.9</v>
      </c>
      <c r="R8" s="66" t="n">
        <v>38.3</v>
      </c>
      <c r="S8" s="66" t="n">
        <v>35.5</v>
      </c>
      <c r="T8" s="66" t="n">
        <v>34.1</v>
      </c>
      <c r="U8" s="66" t="n">
        <v>32.8</v>
      </c>
      <c r="V8" s="66" t="n">
        <v>34.6</v>
      </c>
      <c r="W8" s="66" t="n">
        <v>32.8</v>
      </c>
      <c r="X8" s="66" t="n">
        <v>32.9</v>
      </c>
      <c r="Y8" s="66" t="n">
        <v>33.9</v>
      </c>
      <c r="Z8" s="66" t="n">
        <v>35.1</v>
      </c>
      <c r="AA8" s="66" t="n">
        <v>35</v>
      </c>
      <c r="AB8" s="66" t="n">
        <v>33.7</v>
      </c>
      <c r="AC8" s="66" t="n">
        <v>33.4</v>
      </c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7">
        <f>COUNTIF(K8:AO8,"&gt;0")</f>
        <v/>
      </c>
      <c r="AQ8" s="68">
        <f>IF(AP8&gt;14,AVERAGE(K8:AO8),"")</f>
        <v/>
      </c>
      <c r="AR8" s="68">
        <f>IFERROR(VLOOKUP(A8,Climatologia_TMAX!A:U,9+$E$2,FALSE),"")</f>
        <v/>
      </c>
      <c r="AS8" s="68">
        <f>IF(OR(AQ8="",AR8=""),"",IFERROR(AQ8-AR8,""))</f>
        <v/>
      </c>
      <c r="AT8" s="74">
        <f>IF(COUNT(K8:AO8)=0,"",MAX(K8:AO8))</f>
        <v/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/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" s="69">
        <f>IF(OR(AT8="",AU8=""),"NA",IFERROR(AT8-AU8,"NA"))</f>
        <v/>
      </c>
    </row>
    <row r="9" ht="15" customHeight="1">
      <c r="A9" s="62" t="n">
        <v>29045190</v>
      </c>
      <c r="B9" s="63" t="inlineStr">
        <is>
          <t xml:space="preserve">Aeropuerto Ernesto Cortissoz - AUT </t>
        </is>
      </c>
      <c r="C9" s="70" t="inlineStr">
        <is>
          <t>Grupo Observación y Monitoreo</t>
        </is>
      </c>
      <c r="D9" s="98" t="n">
        <v>-74.77972222000001</v>
      </c>
      <c r="E9" s="98" t="n">
        <v>10.91777778</v>
      </c>
      <c r="F9" s="102" t="n">
        <v>14</v>
      </c>
      <c r="G9" s="65" t="n">
        <v>8</v>
      </c>
      <c r="H9" s="65" t="n">
        <v>8758</v>
      </c>
      <c r="I9" s="63" t="inlineStr">
        <is>
          <t>Atlántico</t>
        </is>
      </c>
      <c r="J9" s="77" t="inlineStr">
        <is>
          <t>Soledad</t>
        </is>
      </c>
      <c r="K9" s="66" t="n">
        <v>35.1</v>
      </c>
      <c r="L9" s="66" t="n">
        <v>35.6</v>
      </c>
      <c r="M9" s="66" t="n">
        <v>36.7</v>
      </c>
      <c r="N9" s="66" t="n">
        <v>35.6</v>
      </c>
      <c r="O9" s="66" t="n">
        <v>36.5</v>
      </c>
      <c r="P9" s="66" t="n">
        <v>38</v>
      </c>
      <c r="Q9" s="66" t="n">
        <v>34.8</v>
      </c>
      <c r="R9" s="66" t="n">
        <v>35.6</v>
      </c>
      <c r="S9" s="66" t="n">
        <v>36.1</v>
      </c>
      <c r="T9" s="66" t="n">
        <v>35.7</v>
      </c>
      <c r="U9" s="66" t="n">
        <v>34.7</v>
      </c>
      <c r="V9" s="66" t="n">
        <v>34.9</v>
      </c>
      <c r="W9" s="66" t="n">
        <v>34.7</v>
      </c>
      <c r="X9" s="66" t="n">
        <v>33.1</v>
      </c>
      <c r="Y9" s="66" t="n">
        <v>34.5</v>
      </c>
      <c r="Z9" s="66" t="n">
        <v>32.6</v>
      </c>
      <c r="AA9" s="66" t="n">
        <v>36.8</v>
      </c>
      <c r="AB9" s="66" t="n">
        <v>38.8</v>
      </c>
      <c r="AC9" s="66" t="n">
        <v>37</v>
      </c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7">
        <f>COUNTIF(K9:AO9,"&gt;0")</f>
        <v/>
      </c>
      <c r="AQ9" s="68">
        <f>IF(AP9&gt;14,AVERAGE(K9:AO9),"")</f>
        <v/>
      </c>
      <c r="AR9" s="68">
        <f>IFERROR(VLOOKUP(A9,Climatologia_TMAX!A:U,9+$E$2,FALSE),"")</f>
        <v/>
      </c>
      <c r="AS9" s="68">
        <f>IF(OR(AQ9="",AR9=""),"",IFERROR(AQ9-AR9,""))</f>
        <v/>
      </c>
      <c r="AT9" s="74">
        <f>IF(COUNT(K9:AO9)=0,"",MAX(K9:AO9))</f>
        <v/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/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" s="69">
        <f>IF(OR(AT9="",AU9=""),"NA",IFERROR(AT9-AU9,"NA"))</f>
        <v/>
      </c>
    </row>
    <row r="10" ht="15" customHeight="1">
      <c r="A10" s="62" t="n">
        <v>15065180</v>
      </c>
      <c r="B10" s="63" t="inlineStr">
        <is>
          <t xml:space="preserve">Aeropuerto Almirante Padilla </t>
        </is>
      </c>
      <c r="C10" s="70" t="inlineStr">
        <is>
          <t>Grupo Observación y Monitoreo</t>
        </is>
      </c>
      <c r="D10" s="98" t="n">
        <v>-72.91766666999999</v>
      </c>
      <c r="E10" s="98" t="n">
        <v>11.52961111</v>
      </c>
      <c r="F10" s="102" t="n">
        <v>4</v>
      </c>
      <c r="G10" s="65" t="n">
        <v>44</v>
      </c>
      <c r="H10" s="65" t="n">
        <v>44001</v>
      </c>
      <c r="I10" s="63" t="inlineStr">
        <is>
          <t>La Guajira</t>
        </is>
      </c>
      <c r="J10" s="77" t="inlineStr">
        <is>
          <t>Riohacha</t>
        </is>
      </c>
      <c r="K10" s="66" t="n">
        <v>34.7</v>
      </c>
      <c r="L10" s="66" t="n">
        <v>34.3</v>
      </c>
      <c r="M10" s="66" t="n">
        <v>37.4</v>
      </c>
      <c r="N10" s="66" t="n">
        <v>36.8</v>
      </c>
      <c r="O10" s="66" t="n">
        <v>38.5</v>
      </c>
      <c r="P10" s="66" t="n">
        <v>39.6</v>
      </c>
      <c r="Q10" s="66" t="n">
        <v>37.8</v>
      </c>
      <c r="R10" s="66" t="n">
        <v>38.1</v>
      </c>
      <c r="S10" s="66" t="n">
        <v>37.9</v>
      </c>
      <c r="T10" s="66" t="n">
        <v>38.2</v>
      </c>
      <c r="U10" s="66" t="n">
        <v>36.5</v>
      </c>
      <c r="V10" s="66" t="n">
        <v>36.2</v>
      </c>
      <c r="W10" s="66" t="n">
        <v>36.5</v>
      </c>
      <c r="X10" s="66" t="n">
        <v>35.9</v>
      </c>
      <c r="Y10" s="66" t="n">
        <v>35.9</v>
      </c>
      <c r="Z10" s="66" t="n">
        <v>36.4</v>
      </c>
      <c r="AA10" s="66" t="n">
        <v>37.1</v>
      </c>
      <c r="AB10" s="66" t="n">
        <v>39.8</v>
      </c>
      <c r="AC10" s="66" t="n">
        <v>35.4</v>
      </c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7">
        <f>COUNTIF(K10:AO10,"&gt;0")</f>
        <v/>
      </c>
      <c r="AQ10" s="68">
        <f>IF(AP10&gt;14,AVERAGE(K10:AO10),"")</f>
        <v/>
      </c>
      <c r="AR10" s="68">
        <f>IFERROR(VLOOKUP(A10,Climatologia_TMAX!A:U,9+$E$2,FALSE),"")</f>
        <v/>
      </c>
      <c r="AS10" s="68">
        <f>IF(OR(AQ10="",AR10=""),"",IFERROR(AQ10-AR10,""))</f>
        <v/>
      </c>
      <c r="AT10" s="74">
        <f>IF(COUNT(K10:AO10)=0,"",MAX(K10:AO10))</f>
        <v/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/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" s="69">
        <f>IF(OR(AT10="",AU10=""),"NA",IFERROR(AT10-AU10,"NA"))</f>
        <v/>
      </c>
    </row>
    <row r="11" ht="15" customHeight="1">
      <c r="A11" s="62" t="n">
        <v>28025502</v>
      </c>
      <c r="B11" s="72" t="inlineStr">
        <is>
          <t>Aeropuerto Alfonso López</t>
        </is>
      </c>
      <c r="C11" s="70" t="inlineStr">
        <is>
          <t>Grupo Observación y Monitoreo</t>
        </is>
      </c>
      <c r="D11" s="99" t="n">
        <v>-73.24766667</v>
      </c>
      <c r="E11" s="99" t="n">
        <v>10.43616667</v>
      </c>
      <c r="F11" s="67" t="n">
        <v>138</v>
      </c>
      <c r="G11" s="62" t="n">
        <v>20</v>
      </c>
      <c r="H11" s="62" t="n">
        <v>20001</v>
      </c>
      <c r="I11" s="72" t="inlineStr">
        <is>
          <t>Cesar</t>
        </is>
      </c>
      <c r="J11" s="72" t="inlineStr">
        <is>
          <t>Valledupar</t>
        </is>
      </c>
      <c r="K11" s="66" t="n">
        <v>35.8</v>
      </c>
      <c r="L11" s="66" t="n">
        <v>37</v>
      </c>
      <c r="M11" s="66" t="n">
        <v>37.8</v>
      </c>
      <c r="N11" s="66" t="n">
        <v>39</v>
      </c>
      <c r="O11" s="66" t="n">
        <v>38.9</v>
      </c>
      <c r="P11" s="66" t="n">
        <v>40.1</v>
      </c>
      <c r="Q11" s="66" t="n">
        <v>35.9</v>
      </c>
      <c r="R11" s="66" t="n">
        <v>40</v>
      </c>
      <c r="S11" s="66" t="n">
        <v>39.8</v>
      </c>
      <c r="T11" s="66" t="n">
        <v>37.7</v>
      </c>
      <c r="U11" s="66" t="n">
        <v>38.9</v>
      </c>
      <c r="V11" s="66" t="n">
        <v>37.5</v>
      </c>
      <c r="W11" s="66" t="n">
        <v>38.9</v>
      </c>
      <c r="X11" s="66" t="n">
        <v>35.9</v>
      </c>
      <c r="Y11" s="66" t="n">
        <v>38.6</v>
      </c>
      <c r="Z11" s="66" t="n">
        <v>37.2</v>
      </c>
      <c r="AA11" s="66" t="n">
        <v>40.4</v>
      </c>
      <c r="AB11" s="66" t="n">
        <v>40.6</v>
      </c>
      <c r="AC11" s="66" t="n">
        <v>35.6</v>
      </c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7">
        <f>COUNTIF(K11:AO11,"&gt;0")</f>
        <v/>
      </c>
      <c r="AQ11" s="68">
        <f>IF(AP11&gt;14,AVERAGE(K11:AO11),"")</f>
        <v/>
      </c>
      <c r="AR11" s="68">
        <f>IFERROR(VLOOKUP(A11,Climatologia_TMAX!A:U,9+$E$2,FALSE),"")</f>
        <v/>
      </c>
      <c r="AS11" s="68">
        <f>IF(OR(AQ11="",AR11=""),"",IFERROR(AQ11-AR11,""))</f>
        <v/>
      </c>
      <c r="AT11" s="111">
        <f>IF(COUNT(K11:AO11)=0,"",MAX(K11:AO11))</f>
        <v/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/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" s="69">
        <f>IF(OR(AT11="",AU11=""),"NA",IFERROR(AT11-AU11,"NA"))</f>
        <v/>
      </c>
    </row>
    <row r="12" ht="15" customHeight="1">
      <c r="A12" s="62" t="n">
        <v>13035501</v>
      </c>
      <c r="B12" s="63" t="inlineStr">
        <is>
          <t>Aeropuerto Los Garzones</t>
        </is>
      </c>
      <c r="C12" s="70" t="inlineStr">
        <is>
          <t>Grupo Observación y Monitoreo</t>
        </is>
      </c>
      <c r="D12" s="98" t="n">
        <v>-75.82513889000001</v>
      </c>
      <c r="E12" s="98" t="n">
        <v>8.825833330000002</v>
      </c>
      <c r="F12" s="102" t="n">
        <v>20</v>
      </c>
      <c r="G12" s="65" t="n">
        <v>23</v>
      </c>
      <c r="H12" s="65" t="n">
        <v>23001</v>
      </c>
      <c r="I12" s="63" t="inlineStr">
        <is>
          <t>Córdoba</t>
        </is>
      </c>
      <c r="J12" s="77" t="inlineStr">
        <is>
          <t>Montería</t>
        </is>
      </c>
      <c r="K12" s="66" t="n">
        <v>34.6</v>
      </c>
      <c r="L12" s="66" t="n">
        <v>34.1</v>
      </c>
      <c r="M12" s="66" t="n">
        <v>36.1</v>
      </c>
      <c r="N12" s="66" t="n">
        <v>35</v>
      </c>
      <c r="O12" s="66" t="n">
        <v>36.2</v>
      </c>
      <c r="P12" s="66" t="n">
        <v>30.6</v>
      </c>
      <c r="Q12" s="66" t="n">
        <v>32.6</v>
      </c>
      <c r="R12" s="66" t="n">
        <v>37.4</v>
      </c>
      <c r="S12" s="66" t="n">
        <v>36.4</v>
      </c>
      <c r="T12" s="66" t="n">
        <v>33.4</v>
      </c>
      <c r="U12" s="113" t="n">
        <v>31.9</v>
      </c>
      <c r="V12" s="66" t="n">
        <v>35.5</v>
      </c>
      <c r="W12" s="66" t="n">
        <v>31.9</v>
      </c>
      <c r="X12" s="66" t="n">
        <v>34.6</v>
      </c>
      <c r="Y12" s="66" t="n">
        <v>31.4</v>
      </c>
      <c r="Z12" s="66" t="n">
        <v>33.8</v>
      </c>
      <c r="AA12" s="66" t="n">
        <v>36.9</v>
      </c>
      <c r="AB12" s="66" t="n">
        <v>35.2</v>
      </c>
      <c r="AC12" s="66" t="n">
        <v>29.6</v>
      </c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7">
        <f>COUNTIF(K12:AO12,"&gt;0")</f>
        <v/>
      </c>
      <c r="AQ12" s="68">
        <f>IF(AP12&gt;14,AVERAGE(K12:AO12),"")</f>
        <v/>
      </c>
      <c r="AR12" s="68">
        <f>IFERROR(VLOOKUP(A12,Climatologia_TMAX!A:U,9+$E$2,FALSE),"")</f>
        <v/>
      </c>
      <c r="AS12" s="68">
        <f>IF(OR(AQ12="",AR12=""),"",IFERROR(AQ12-AR12,""))</f>
        <v/>
      </c>
      <c r="AT12" s="74">
        <f>IF(COUNT(K12:AO12)=0,"",MAX(K12:AO12))</f>
        <v/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/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" s="69">
        <f>IF(OR(AT12="",AU12=""),"NA",IFERROR(AT12-AU12,"NA"))</f>
        <v/>
      </c>
    </row>
    <row r="13" ht="15" customHeight="1">
      <c r="A13" s="62" t="n">
        <v>23155030</v>
      </c>
      <c r="B13" s="70" t="inlineStr">
        <is>
          <t>Aeropuerto Yariguies</t>
        </is>
      </c>
      <c r="C13" s="70" t="inlineStr">
        <is>
          <t>Grupo Observación y Monitoreo</t>
        </is>
      </c>
      <c r="D13" s="99" t="n">
        <v>-73.80861111</v>
      </c>
      <c r="E13" s="99" t="n">
        <v>7.02638889</v>
      </c>
      <c r="F13" s="67" t="n">
        <v>126</v>
      </c>
      <c r="G13" s="71" t="n">
        <v>68</v>
      </c>
      <c r="H13" s="71" t="n">
        <v>68081</v>
      </c>
      <c r="I13" s="72" t="inlineStr">
        <is>
          <t>Santander</t>
        </is>
      </c>
      <c r="J13" s="78" t="inlineStr">
        <is>
          <t>Barrancabermeja</t>
        </is>
      </c>
      <c r="K13" s="66" t="n">
        <v>35</v>
      </c>
      <c r="L13" s="66" t="n">
        <v>33.8</v>
      </c>
      <c r="M13" s="66" t="n">
        <v>35.4</v>
      </c>
      <c r="N13" s="66" t="n">
        <v>35.4</v>
      </c>
      <c r="O13" s="66" t="n">
        <v>36.6</v>
      </c>
      <c r="P13" s="66" t="n">
        <v>32.2</v>
      </c>
      <c r="Q13" s="66" t="n">
        <v>34</v>
      </c>
      <c r="R13" s="66" t="n">
        <v>36.4</v>
      </c>
      <c r="S13" s="66" t="n">
        <v>37.6</v>
      </c>
      <c r="T13" s="66" t="n">
        <v>35.8</v>
      </c>
      <c r="U13" s="66" t="n">
        <v>33</v>
      </c>
      <c r="V13" s="66" t="n">
        <v>36.5</v>
      </c>
      <c r="W13" s="66" t="n">
        <v>33</v>
      </c>
      <c r="X13" s="66" t="n">
        <v>36.4</v>
      </c>
      <c r="Y13" s="66" t="n">
        <v>35.4</v>
      </c>
      <c r="Z13" s="66" t="n">
        <v>33.6</v>
      </c>
      <c r="AA13" s="66" t="n">
        <v>36.5</v>
      </c>
      <c r="AB13" s="66" t="n">
        <v>37.2</v>
      </c>
      <c r="AC13" s="66" t="n">
        <v>30</v>
      </c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7">
        <f>COUNTIF(K13:AO13,"&gt;0")</f>
        <v/>
      </c>
      <c r="AQ13" s="68">
        <f>IF(AP13&gt;14,AVERAGE(K13:AO13),"")</f>
        <v/>
      </c>
      <c r="AR13" s="68">
        <f>IFERROR(VLOOKUP(A13,Climatologia_TMAX!A:U,9+$E$2,FALSE),"")</f>
        <v/>
      </c>
      <c r="AS13" s="68">
        <f>IF(OR(AQ13="",AR13=""),"",IFERROR(AQ13-AR13,""))</f>
        <v/>
      </c>
      <c r="AT13" s="74">
        <f>IF(COUNT(K13:AO13)=0,"",MAX(K13:AO13))</f>
        <v/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/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" s="69">
        <f>IF(OR(AT13="",AU13=""),"NA",IFERROR(AT13-AU13,"NA"))</f>
        <v/>
      </c>
    </row>
    <row r="14" ht="15" customHeight="1">
      <c r="A14" s="62" t="n">
        <v>23195502</v>
      </c>
      <c r="B14" s="70" t="inlineStr">
        <is>
          <t>Aeropuerto Palonegro</t>
        </is>
      </c>
      <c r="C14" s="70" t="inlineStr">
        <is>
          <t>Grupo Observación y Monitoreo</t>
        </is>
      </c>
      <c r="D14" s="99" t="n">
        <v>-73.18452778</v>
      </c>
      <c r="E14" s="99" t="n">
        <v>7.12147222</v>
      </c>
      <c r="F14" s="67" t="n">
        <v>1189</v>
      </c>
      <c r="G14" s="71" t="n">
        <v>68</v>
      </c>
      <c r="H14" s="71" t="n">
        <v>68406</v>
      </c>
      <c r="I14" s="72" t="inlineStr">
        <is>
          <t>Santander</t>
        </is>
      </c>
      <c r="J14" s="78" t="inlineStr">
        <is>
          <t>Lebrija</t>
        </is>
      </c>
      <c r="K14" s="66" t="n">
        <v>28.6</v>
      </c>
      <c r="L14" s="112" t="n">
        <v>26.3</v>
      </c>
      <c r="M14" s="66" t="n">
        <v>29.2</v>
      </c>
      <c r="N14" s="66" t="n">
        <v>29.8</v>
      </c>
      <c r="O14" s="66" t="n">
        <v>31.3</v>
      </c>
      <c r="P14" s="66" t="n">
        <v>26.7</v>
      </c>
      <c r="Q14" s="66" t="n">
        <v>29.2</v>
      </c>
      <c r="R14" s="112" t="n">
        <v>29.4</v>
      </c>
      <c r="S14" s="66" t="n">
        <v>29.6</v>
      </c>
      <c r="T14" s="66" t="n">
        <v>30.2</v>
      </c>
      <c r="U14" s="66" t="n">
        <v>28.6</v>
      </c>
      <c r="V14" s="66" t="n">
        <v>29.1</v>
      </c>
      <c r="W14" s="66" t="n">
        <v>28.6</v>
      </c>
      <c r="X14" s="66" t="n">
        <v>30</v>
      </c>
      <c r="Y14" s="66" t="n">
        <v>29.8</v>
      </c>
      <c r="Z14" s="66" t="n">
        <v>28</v>
      </c>
      <c r="AA14" s="66" t="n">
        <v>30.6</v>
      </c>
      <c r="AB14" s="66" t="n">
        <v>28.4</v>
      </c>
      <c r="AC14" s="66" t="n">
        <v>26.8</v>
      </c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7">
        <f>COUNTIF(K14:AO14,"&gt;0")</f>
        <v/>
      </c>
      <c r="AQ14" s="68">
        <f>IF(AP14&gt;14,AVERAGE(K14:AO14),"")</f>
        <v/>
      </c>
      <c r="AR14" s="68">
        <f>IFERROR(VLOOKUP(A14,Climatologia_TMAX!A:U,9+$E$2,FALSE),"")</f>
        <v/>
      </c>
      <c r="AS14" s="68">
        <f>IF(OR(AQ14="",AR14=""),"",IFERROR(AQ14-AR14,""))</f>
        <v/>
      </c>
      <c r="AT14" s="74">
        <f>IF(COUNT(K14:AO14)=0,"",MAX(K14:AO14))</f>
        <v/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/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" s="69">
        <f>IF(OR(AT14="",AU14=""),"NA",IFERROR(AT14-AU14,"NA"))</f>
        <v/>
      </c>
    </row>
    <row r="15" ht="15" customHeight="1">
      <c r="A15" s="62" t="n">
        <v>16015010</v>
      </c>
      <c r="B15" s="63" t="inlineStr">
        <is>
          <t>Aeropuerto Camilo Daza</t>
        </is>
      </c>
      <c r="C15" s="70" t="inlineStr">
        <is>
          <t>Grupo Observación y Monitoreo</t>
        </is>
      </c>
      <c r="D15" s="98" t="n">
        <v>-72.50916667</v>
      </c>
      <c r="E15" s="98" t="n">
        <v>7.93027778</v>
      </c>
      <c r="F15" s="102" t="n">
        <v>250</v>
      </c>
      <c r="G15" s="65" t="n">
        <v>54</v>
      </c>
      <c r="H15" s="65" t="n">
        <v>54001</v>
      </c>
      <c r="I15" s="63" t="inlineStr">
        <is>
          <t>Norte de Santander</t>
        </is>
      </c>
      <c r="J15" s="77" t="inlineStr">
        <is>
          <t>Cúcuta</t>
        </is>
      </c>
      <c r="K15" s="66" t="n">
        <v>37.2</v>
      </c>
      <c r="L15" s="66" t="n">
        <v>36.6</v>
      </c>
      <c r="M15" s="66" t="n">
        <v>37</v>
      </c>
      <c r="N15" s="66" t="n">
        <v>37.2</v>
      </c>
      <c r="O15" s="66" t="n">
        <v>36</v>
      </c>
      <c r="P15" s="66" t="n">
        <v>34.2</v>
      </c>
      <c r="Q15" s="66" t="n">
        <v>36.2</v>
      </c>
      <c r="R15" s="66" t="n">
        <v>33.4</v>
      </c>
      <c r="S15" s="66" t="n">
        <v>35.4</v>
      </c>
      <c r="T15" s="66" t="n">
        <v>35.2</v>
      </c>
      <c r="U15" s="66" t="n">
        <v>35.5</v>
      </c>
      <c r="V15" s="66" t="n">
        <v>36.7</v>
      </c>
      <c r="W15" s="66" t="n">
        <v>35.5</v>
      </c>
      <c r="X15" s="66" t="n">
        <v>37</v>
      </c>
      <c r="Y15" s="66" t="n">
        <v>37.6</v>
      </c>
      <c r="Z15" s="66" t="n">
        <v>36.3</v>
      </c>
      <c r="AA15" s="66" t="n">
        <v>35</v>
      </c>
      <c r="AB15" s="66" t="n">
        <v>37.6</v>
      </c>
      <c r="AC15" s="66" t="n">
        <v>36.3</v>
      </c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7">
        <f>COUNTIF(K15:AO15,"&gt;0")</f>
        <v/>
      </c>
      <c r="AQ15" s="68">
        <f>IF(AP15&gt;14,AVERAGE(K15:AO15),"")</f>
        <v/>
      </c>
      <c r="AR15" s="68">
        <f>IFERROR(VLOOKUP(A15,Climatologia_TMAX!A:U,9+$E$2,FALSE),"")</f>
        <v/>
      </c>
      <c r="AS15" s="68">
        <f>IF(OR(AQ15="",AR15=""),"",IFERROR(AQ15-AR15,""))</f>
        <v/>
      </c>
      <c r="AT15" s="74">
        <f>IF(COUNT(K15:AO15)=0,"",MAX(K15:AO15))</f>
        <v/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/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" s="69">
        <f>IF(OR(AT15="",AU15=""),"NA",IFERROR(AT15-AU15,"NA"))</f>
        <v/>
      </c>
    </row>
    <row r="16" ht="15" customHeight="1">
      <c r="A16" s="62" t="n">
        <v>12015070</v>
      </c>
      <c r="B16" s="70" t="inlineStr">
        <is>
          <t>Aeropuerto Los Cedros</t>
        </is>
      </c>
      <c r="C16" s="70" t="inlineStr">
        <is>
          <t>Grupo Observación y Monitoreo</t>
        </is>
      </c>
      <c r="D16" s="99" t="n">
        <v>-76.71788889</v>
      </c>
      <c r="E16" s="99" t="n">
        <v>7.81638889</v>
      </c>
      <c r="F16" s="67" t="n">
        <v>41</v>
      </c>
      <c r="G16" s="71" t="n">
        <v>5</v>
      </c>
      <c r="H16" s="71" t="n">
        <v>5147</v>
      </c>
      <c r="I16" s="72" t="inlineStr">
        <is>
          <t>Antioquia</t>
        </is>
      </c>
      <c r="J16" s="78" t="inlineStr">
        <is>
          <t>Carepa</t>
        </is>
      </c>
      <c r="K16" s="66" t="n">
        <v>30.3</v>
      </c>
      <c r="L16" s="66" t="n">
        <v>31.9</v>
      </c>
      <c r="M16" s="66" t="n">
        <v>31.8</v>
      </c>
      <c r="N16" s="66" t="n">
        <v>32.9</v>
      </c>
      <c r="O16" s="66" t="n">
        <v>30.8</v>
      </c>
      <c r="P16" s="66" t="n">
        <v>30.5</v>
      </c>
      <c r="Q16" s="66" t="n">
        <v>31.8</v>
      </c>
      <c r="R16" s="66" t="n">
        <v>34.1</v>
      </c>
      <c r="S16" s="66" t="n">
        <v>32.3</v>
      </c>
      <c r="T16" s="66" t="n">
        <v>33.2</v>
      </c>
      <c r="U16" s="66" t="n">
        <v>29.9</v>
      </c>
      <c r="V16" s="66" t="n">
        <v>32.2</v>
      </c>
      <c r="W16" s="66" t="n">
        <v>29.9</v>
      </c>
      <c r="X16" s="66" t="n">
        <v>33.2</v>
      </c>
      <c r="Y16" s="66" t="n">
        <v>32.3</v>
      </c>
      <c r="Z16" s="66" t="n">
        <v>34.3</v>
      </c>
      <c r="AA16" s="66" t="n">
        <v>34.2</v>
      </c>
      <c r="AB16" s="66" t="n">
        <v>31.1</v>
      </c>
      <c r="AC16" s="66" t="n">
        <v>33.6</v>
      </c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7">
        <f>COUNTIF(K16:AO16,"&gt;0")</f>
        <v/>
      </c>
      <c r="AQ16" s="68">
        <f>IF(AP16&gt;14,AVERAGE(K16:AO16),"")</f>
        <v/>
      </c>
      <c r="AR16" s="68">
        <f>IFERROR(VLOOKUP(A16,Climatologia_TMAX!A:U,9+$E$2,FALSE),"")</f>
        <v/>
      </c>
      <c r="AS16" s="68">
        <f>IF(OR(AQ16="",AR16=""),"",IFERROR(AQ16-AR16,""))</f>
        <v/>
      </c>
      <c r="AT16" s="74">
        <f>IF(COUNT(K16:AO16)=0,"",MAX(K16:AO16))</f>
        <v/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/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" s="69">
        <f>IF(OR(AT16="",AU16=""),"NA",IFERROR(AT16-AU16,"NA"))</f>
        <v/>
      </c>
    </row>
    <row r="17" ht="15" customHeight="1">
      <c r="A17" s="62" t="n">
        <v>27015330</v>
      </c>
      <c r="B17" s="70" t="inlineStr">
        <is>
          <t xml:space="preserve">Aeropuerto Olaya Herrera - AUT </t>
        </is>
      </c>
      <c r="C17" s="70" t="inlineStr">
        <is>
          <t>Grupo Observación y Monitoreo</t>
        </is>
      </c>
      <c r="D17" s="99" t="n">
        <v>-75.59</v>
      </c>
      <c r="E17" s="99" t="n">
        <v>6.22</v>
      </c>
      <c r="F17" s="67" t="n">
        <v>1490</v>
      </c>
      <c r="G17" s="71" t="n">
        <v>5</v>
      </c>
      <c r="H17" s="71" t="n">
        <v>5001</v>
      </c>
      <c r="I17" s="72" t="inlineStr">
        <is>
          <t>Antioquia</t>
        </is>
      </c>
      <c r="J17" s="78" t="inlineStr">
        <is>
          <t>Medellín</t>
        </is>
      </c>
      <c r="K17" s="66" t="n">
        <v>29</v>
      </c>
      <c r="L17" s="66" t="n">
        <v>30.8</v>
      </c>
      <c r="M17" s="66" t="n">
        <v>31.9</v>
      </c>
      <c r="N17" s="66" t="n">
        <v>32</v>
      </c>
      <c r="O17" s="66" t="n">
        <v>30.8</v>
      </c>
      <c r="P17" s="66" t="n">
        <v>30.1</v>
      </c>
      <c r="Q17" s="66" t="n">
        <v>28.9</v>
      </c>
      <c r="R17" s="66" t="n">
        <v>31.2</v>
      </c>
      <c r="S17" s="66" t="n">
        <v>32.4</v>
      </c>
      <c r="T17" s="66" t="n">
        <v>32</v>
      </c>
      <c r="U17" s="66" t="n">
        <v>29</v>
      </c>
      <c r="V17" s="66" t="n">
        <v>31.3</v>
      </c>
      <c r="W17" s="66" t="n">
        <v>29</v>
      </c>
      <c r="X17" s="66" t="n">
        <v>31.9</v>
      </c>
      <c r="Y17" s="66" t="n">
        <v>31.1</v>
      </c>
      <c r="Z17" s="66" t="n">
        <v>30.6</v>
      </c>
      <c r="AA17" s="66" t="n">
        <v>32</v>
      </c>
      <c r="AB17" s="66" t="n">
        <v>32.7</v>
      </c>
      <c r="AC17" s="66" t="n">
        <v>28.1</v>
      </c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7">
        <f>COUNTIF(K17:AO17,"&gt;0")</f>
        <v/>
      </c>
      <c r="AQ17" s="68">
        <f>IF(AP17&gt;14,AVERAGE(K17:AO17),"")</f>
        <v/>
      </c>
      <c r="AR17" s="68">
        <f>IFERROR(VLOOKUP(A17,Climatologia_TMAX!A:U,9+$E$2,FALSE),"")</f>
        <v/>
      </c>
      <c r="AS17" s="68">
        <f>IF(OR(AQ17="",AR17=""),"",IFERROR(AQ17-AR17,""))</f>
        <v/>
      </c>
      <c r="AT17" s="74">
        <f>IF(COUNT(K17:AO17)=0,"",MAX(K17:AO17))</f>
        <v/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/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" s="69">
        <f>IF(OR(AT17="",AU17=""),"NA",IFERROR(AT17-AU17,"NA"))</f>
        <v/>
      </c>
    </row>
    <row r="18" ht="15" customHeight="1">
      <c r="A18" s="62" t="n">
        <v>23085270</v>
      </c>
      <c r="B18" s="63" t="inlineStr">
        <is>
          <t xml:space="preserve">Aeropuerto José María Córdova - AUT </t>
        </is>
      </c>
      <c r="C18" s="70" t="inlineStr">
        <is>
          <t>Grupo Observación y Monitoreo</t>
        </is>
      </c>
      <c r="D18" s="98" t="n">
        <v>-75.43000000000001</v>
      </c>
      <c r="E18" s="98" t="n">
        <v>6.17</v>
      </c>
      <c r="F18" s="102" t="n">
        <v>2157</v>
      </c>
      <c r="G18" s="65" t="n">
        <v>5</v>
      </c>
      <c r="H18" s="65" t="n">
        <v>5615</v>
      </c>
      <c r="I18" s="63" t="inlineStr">
        <is>
          <t>Antioquia</t>
        </is>
      </c>
      <c r="J18" s="77" t="inlineStr">
        <is>
          <t>Rionegro</t>
        </is>
      </c>
      <c r="K18" s="66" t="n">
        <v>24.2</v>
      </c>
      <c r="L18" s="66" t="n">
        <v>24</v>
      </c>
      <c r="M18" s="66" t="n">
        <v>24.8</v>
      </c>
      <c r="N18" s="66" t="n">
        <v>25</v>
      </c>
      <c r="O18" s="66" t="n">
        <v>24</v>
      </c>
      <c r="P18" s="66" t="n">
        <v>23.2</v>
      </c>
      <c r="Q18" s="66" t="n">
        <v>22.8</v>
      </c>
      <c r="R18" s="66" t="n">
        <v>24.9</v>
      </c>
      <c r="S18" s="66" t="n">
        <v>25</v>
      </c>
      <c r="T18" s="66" t="n">
        <v>25.3</v>
      </c>
      <c r="U18" s="66" t="n">
        <v>25</v>
      </c>
      <c r="V18" s="66" t="n">
        <v>25.1</v>
      </c>
      <c r="W18" s="66" t="n">
        <v>25</v>
      </c>
      <c r="X18" s="66" t="n">
        <v>24.6</v>
      </c>
      <c r="Y18" s="66" t="n">
        <v>24.8</v>
      </c>
      <c r="Z18" s="66" t="n">
        <v>24.8</v>
      </c>
      <c r="AA18" s="66" t="n">
        <v>25</v>
      </c>
      <c r="AB18" s="66" t="n">
        <v>25.6</v>
      </c>
      <c r="AC18" s="66" t="n">
        <v>23.4</v>
      </c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7">
        <f>COUNTIF(K18:AO18,"&gt;0")</f>
        <v/>
      </c>
      <c r="AQ18" s="68">
        <f>IF(AP18&gt;14,AVERAGE(K18:AO18),"")</f>
        <v/>
      </c>
      <c r="AR18" s="68">
        <f>IFERROR(VLOOKUP(A18,Climatologia_TMAX!A:U,9+$E$2,FALSE),"")</f>
        <v/>
      </c>
      <c r="AS18" s="68">
        <f>IF(OR(AQ18="",AR18=""),"",IFERROR(AQ18-AR18,""))</f>
        <v/>
      </c>
      <c r="AT18" s="74">
        <f>IF(COUNT(K18:AO18)=0,"",MAX(K18:AO18))</f>
        <v/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/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" s="69">
        <f>IF(OR(AT18="",AU18=""),"NA",IFERROR(AT18-AU18,"NA"))</f>
        <v/>
      </c>
    </row>
    <row r="19" ht="15" customHeight="1">
      <c r="A19" s="62" t="n">
        <v>26135040</v>
      </c>
      <c r="B19" s="63" t="inlineStr">
        <is>
          <t>Aeropuerto Matecaña</t>
        </is>
      </c>
      <c r="C19" s="70" t="inlineStr">
        <is>
          <t>Grupo Observación y Monitoreo</t>
        </is>
      </c>
      <c r="D19" s="98" t="n">
        <v>-75.73722222000001</v>
      </c>
      <c r="E19" s="98" t="n">
        <v>4.81586111</v>
      </c>
      <c r="F19" s="102" t="n">
        <v>1342</v>
      </c>
      <c r="G19" s="65" t="n">
        <v>66</v>
      </c>
      <c r="H19" s="65" t="n">
        <v>66001</v>
      </c>
      <c r="I19" s="63" t="inlineStr">
        <is>
          <t>Risaralda</t>
        </is>
      </c>
      <c r="J19" s="77" t="inlineStr">
        <is>
          <t>Pereira</t>
        </is>
      </c>
      <c r="K19" s="66" t="n">
        <v>28</v>
      </c>
      <c r="L19" s="66" t="n">
        <v>28</v>
      </c>
      <c r="M19" s="66" t="n">
        <v>30.2</v>
      </c>
      <c r="N19" s="66" t="n">
        <v>29.2</v>
      </c>
      <c r="O19" s="66" t="n">
        <v>29.2</v>
      </c>
      <c r="P19" s="66" t="n">
        <v>28.2</v>
      </c>
      <c r="Q19" s="66" t="n">
        <v>27.8</v>
      </c>
      <c r="R19" s="66" t="n">
        <v>32.8</v>
      </c>
      <c r="S19" s="66" t="n">
        <v>30.6</v>
      </c>
      <c r="T19" s="66" t="n">
        <v>30.8</v>
      </c>
      <c r="U19" s="113" t="n">
        <v>27.2</v>
      </c>
      <c r="V19" s="66" t="n">
        <v>30.2</v>
      </c>
      <c r="W19" s="66" t="n">
        <v>27.2</v>
      </c>
      <c r="X19" s="66" t="n">
        <v>29.3</v>
      </c>
      <c r="Y19" s="66" t="n">
        <v>31.2</v>
      </c>
      <c r="Z19" s="66" t="n">
        <v>30.9</v>
      </c>
      <c r="AA19" s="66" t="n">
        <v>34</v>
      </c>
      <c r="AB19" s="66" t="n">
        <v>31.4</v>
      </c>
      <c r="AC19" s="66" t="n">
        <v>29</v>
      </c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7">
        <f>COUNTIF(K19:AO19,"&gt;0")</f>
        <v/>
      </c>
      <c r="AQ19" s="68">
        <f>IF(AP19&gt;14,AVERAGE(K19:AO19),"")</f>
        <v/>
      </c>
      <c r="AR19" s="68">
        <f>IFERROR(VLOOKUP(A19,Climatologia_TMAX!A:U,9+$E$2,FALSE),"")</f>
        <v/>
      </c>
      <c r="AS19" s="68">
        <f>IF(OR(AQ19="",AR19=""),"",IFERROR(AQ19-AR19,""))</f>
        <v/>
      </c>
      <c r="AT19" s="74">
        <f>IF(COUNT(K19:AO19)=0,"",MAX(K19:AO19))</f>
        <v/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/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" s="69">
        <f>IF(OR(AT19="",AU19=""),"NA",IFERROR(AT19-AU19,"NA"))</f>
        <v/>
      </c>
    </row>
    <row r="20" ht="15" customHeight="1">
      <c r="A20" s="62" t="n">
        <v>26125061</v>
      </c>
      <c r="B20" s="63" t="inlineStr">
        <is>
          <t xml:space="preserve">Aeropuerto El Edén - AUT </t>
        </is>
      </c>
      <c r="C20" s="70" t="inlineStr">
        <is>
          <t>Grupo Observación y Monitoreo</t>
        </is>
      </c>
      <c r="D20" s="98" t="n">
        <v>-75.76638889</v>
      </c>
      <c r="E20" s="98" t="n">
        <v>4.45472222</v>
      </c>
      <c r="F20" s="102" t="n">
        <v>1229</v>
      </c>
      <c r="G20" s="65" t="n">
        <v>63</v>
      </c>
      <c r="H20" s="65" t="n">
        <v>63001</v>
      </c>
      <c r="I20" s="63" t="inlineStr">
        <is>
          <t>Quindío</t>
        </is>
      </c>
      <c r="J20" s="77" t="inlineStr">
        <is>
          <t xml:space="preserve">Armenia </t>
        </is>
      </c>
      <c r="K20" s="66" t="n">
        <v>29.6</v>
      </c>
      <c r="L20" s="66" t="n">
        <v>30.6</v>
      </c>
      <c r="M20" s="66" t="n">
        <v>32.2</v>
      </c>
      <c r="N20" s="66" t="n">
        <v>32</v>
      </c>
      <c r="O20" s="66" t="n">
        <v>33.1</v>
      </c>
      <c r="P20" s="66" t="n">
        <v>32.3</v>
      </c>
      <c r="Q20" s="66" t="n">
        <v>26.9</v>
      </c>
      <c r="R20" s="66" t="n">
        <v>34.6</v>
      </c>
      <c r="S20" s="66" t="n">
        <v>31.7</v>
      </c>
      <c r="T20" s="66" t="n">
        <v>31.7</v>
      </c>
      <c r="U20" s="66" t="n">
        <v>28.3</v>
      </c>
      <c r="V20" s="66" t="n">
        <v>31</v>
      </c>
      <c r="W20" s="66" t="n">
        <v>28.3</v>
      </c>
      <c r="X20" s="66" t="n">
        <v>31.1</v>
      </c>
      <c r="Y20" s="66" t="n">
        <v>31.3</v>
      </c>
      <c r="Z20" s="66" t="n">
        <v>32.2</v>
      </c>
      <c r="AA20" s="66" t="n">
        <v>35.1</v>
      </c>
      <c r="AB20" s="66" t="n">
        <v>33.8</v>
      </c>
      <c r="AC20" s="66" t="n">
        <v>32.7</v>
      </c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7">
        <f>COUNTIF(K20:AO20,"&gt;0")</f>
        <v/>
      </c>
      <c r="AQ20" s="68">
        <f>IF(AP20&gt;14,AVERAGE(K20:AO20),"")</f>
        <v/>
      </c>
      <c r="AR20" s="68">
        <f>IFERROR(VLOOKUP(A20,Climatologia_TMAX!A:U,9+$E$2,FALSE),"")</f>
        <v/>
      </c>
      <c r="AS20" s="68">
        <f>IF(OR(AQ20="",AR20=""),"",IFERROR(AQ20-AR20,""))</f>
        <v/>
      </c>
      <c r="AT20" s="74">
        <f>IF(COUNT(K20:AO20)=0,"",MAX(K20:AO20))</f>
        <v/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/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" s="69">
        <f>IF(OR(AT20="",AU20=""),"NA",IFERROR(AT20-AU20,"NA"))</f>
        <v/>
      </c>
    </row>
    <row r="21" ht="15" customHeight="1">
      <c r="A21" s="64" t="n">
        <v>21245040</v>
      </c>
      <c r="B21" s="72" t="inlineStr">
        <is>
          <t>Aeropuerto Perales</t>
        </is>
      </c>
      <c r="C21" s="70" t="inlineStr">
        <is>
          <t>Grupo Observación y Monitoreo</t>
        </is>
      </c>
      <c r="D21" s="99" t="n">
        <v>-75.13941666999999</v>
      </c>
      <c r="E21" s="99" t="n">
        <v>4.42413889</v>
      </c>
      <c r="F21" s="67" t="n">
        <v>943</v>
      </c>
      <c r="G21" s="62" t="n">
        <v>73</v>
      </c>
      <c r="H21" s="62" t="n">
        <v>73001</v>
      </c>
      <c r="I21" s="72" t="inlineStr">
        <is>
          <t>Tolima</t>
        </is>
      </c>
      <c r="J21" s="72" t="inlineStr">
        <is>
          <t>Ibagué</t>
        </is>
      </c>
      <c r="K21" s="66" t="n">
        <v>32.2</v>
      </c>
      <c r="L21" s="66" t="n">
        <v>32.1</v>
      </c>
      <c r="M21" s="66" t="n">
        <v>33.4</v>
      </c>
      <c r="N21" s="66" t="n">
        <v>33.7</v>
      </c>
      <c r="O21" s="66" t="n">
        <v>33.9</v>
      </c>
      <c r="P21" s="66" t="n">
        <v>33.3</v>
      </c>
      <c r="Q21" s="66" t="n">
        <v>32.8</v>
      </c>
      <c r="R21" s="66" t="n">
        <v>35.8</v>
      </c>
      <c r="S21" s="66" t="n">
        <v>35.4</v>
      </c>
      <c r="T21" s="66" t="n">
        <v>36</v>
      </c>
      <c r="U21" s="66" t="n">
        <v>34.1</v>
      </c>
      <c r="V21" s="66" t="n">
        <v>36.2</v>
      </c>
      <c r="W21" s="66" t="n">
        <v>34.1</v>
      </c>
      <c r="X21" s="66" t="n">
        <v>34.6</v>
      </c>
      <c r="Y21" s="66" t="n">
        <v>35.2</v>
      </c>
      <c r="Z21" s="66" t="n">
        <v>34.6</v>
      </c>
      <c r="AA21" s="66" t="n">
        <v>35</v>
      </c>
      <c r="AB21" s="66" t="n">
        <v>36.1</v>
      </c>
      <c r="AC21" s="66" t="n">
        <v>34.7</v>
      </c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7">
        <f>COUNTIF(K21:AO21,"&gt;0")</f>
        <v/>
      </c>
      <c r="AQ21" s="68">
        <f>IF(AP21&gt;14,AVERAGE(K21:AO21),"")</f>
        <v/>
      </c>
      <c r="AR21" s="68">
        <f>IFERROR(VLOOKUP(A21,Climatologia_TMAX!A:U,9+$E$2,FALSE),"")</f>
        <v/>
      </c>
      <c r="AS21" s="68">
        <f>IF(OR(AQ21="",AR21=""),"",IFERROR(AQ21-AR21,""))</f>
        <v/>
      </c>
      <c r="AT21" s="74">
        <f>IF(COUNT(K21:AO21)=0,"",MAX(K21:AO21))</f>
        <v/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/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" s="69">
        <f>IF(OR(AT21="",AU21=""),"NA",IFERROR(AT21-AU21,"NA"))</f>
        <v/>
      </c>
    </row>
    <row r="22" ht="15" customHeight="1">
      <c r="A22" s="62" t="n">
        <v>21205791</v>
      </c>
      <c r="B22" s="70" t="inlineStr">
        <is>
          <t xml:space="preserve">Aeropuerto El Dorado Catam - AUT </t>
        </is>
      </c>
      <c r="C22" s="70" t="inlineStr">
        <is>
          <t>Grupo Observación y Monitoreo</t>
        </is>
      </c>
      <c r="D22" s="99" t="n">
        <v>-74.15066666999999</v>
      </c>
      <c r="E22" s="99" t="n">
        <v>4.70558333</v>
      </c>
      <c r="F22" s="67" t="n">
        <v>2547</v>
      </c>
      <c r="G22" s="71" t="n">
        <v>25</v>
      </c>
      <c r="H22" s="71" t="n">
        <v>11001</v>
      </c>
      <c r="I22" s="72" t="inlineStr">
        <is>
          <t>Cundinamarca</t>
        </is>
      </c>
      <c r="J22" s="78" t="inlineStr">
        <is>
          <t>Bogotá</t>
        </is>
      </c>
      <c r="K22" s="66" t="n">
        <v>20.8</v>
      </c>
      <c r="L22" s="66" t="n">
        <v>19.3</v>
      </c>
      <c r="M22" s="66" t="n">
        <v>18.5</v>
      </c>
      <c r="N22" s="66" t="n">
        <v>19.9</v>
      </c>
      <c r="O22" s="66" t="n">
        <v>19.8</v>
      </c>
      <c r="P22" s="66" t="n">
        <v>19.7</v>
      </c>
      <c r="Q22" s="66" t="n">
        <v>17.2</v>
      </c>
      <c r="R22" s="66" t="n">
        <v>19.8</v>
      </c>
      <c r="S22" s="66" t="n">
        <v>21.4</v>
      </c>
      <c r="T22" s="66" t="n">
        <v>21</v>
      </c>
      <c r="U22" s="66" t="n">
        <v>20.6</v>
      </c>
      <c r="V22" s="66" t="n">
        <v>21.7</v>
      </c>
      <c r="W22" s="66" t="n">
        <v>20.6</v>
      </c>
      <c r="X22" s="66" t="n">
        <v>21.3</v>
      </c>
      <c r="Y22" s="66" t="n">
        <v>20.5</v>
      </c>
      <c r="Z22" s="66" t="n">
        <v>20.9</v>
      </c>
      <c r="AA22" s="66" t="n">
        <v>19.7</v>
      </c>
      <c r="AB22" s="66" t="n">
        <v>19.3</v>
      </c>
      <c r="AC22" s="66" t="n">
        <v>20.7</v>
      </c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7">
        <f>COUNTIF(K22:AO22,"&gt;0")</f>
        <v/>
      </c>
      <c r="AQ22" s="68">
        <f>IF(AP22&gt;14,AVERAGE(K22:AO22),"")</f>
        <v/>
      </c>
      <c r="AR22" s="68">
        <f>IFERROR(VLOOKUP(A22,Climatologia_TMAX!A:U,9+$E$2,FALSE),"")</f>
        <v/>
      </c>
      <c r="AS22" s="68">
        <f>IF(OR(AQ22="",AR22=""),"",IFERROR(AQ22-AR22,""))</f>
        <v/>
      </c>
      <c r="AT22" s="74">
        <f>IF(COUNT(K22:AO22)=0,"",MAX(K22:AO22))</f>
        <v/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/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" s="69">
        <f>IF(OR(AT22="",AU22=""),"NA",IFERROR(AT22-AU22,"NA"))</f>
        <v/>
      </c>
    </row>
    <row r="23" ht="15" customHeight="1">
      <c r="A23" s="62" t="n">
        <v>26075040</v>
      </c>
      <c r="B23" s="63" t="inlineStr">
        <is>
          <t>Aeropuerto Alfonso Bonilla</t>
        </is>
      </c>
      <c r="C23" s="70" t="inlineStr">
        <is>
          <t>Grupo Observación y Monitoreo</t>
        </is>
      </c>
      <c r="D23" s="98" t="n">
        <v>-76.38663889</v>
      </c>
      <c r="E23" s="98" t="n">
        <v>3.53668889</v>
      </c>
      <c r="F23" s="102" t="n">
        <v>970</v>
      </c>
      <c r="G23" s="62" t="n">
        <v>76</v>
      </c>
      <c r="H23" s="62" t="n">
        <v>76520</v>
      </c>
      <c r="I23" s="72" t="inlineStr">
        <is>
          <t>Valle del Cauca</t>
        </is>
      </c>
      <c r="J23" s="72" t="inlineStr">
        <is>
          <t>Palmira</t>
        </is>
      </c>
      <c r="K23" s="66" t="n">
        <v>33.2</v>
      </c>
      <c r="L23" s="66" t="n">
        <v>33.5</v>
      </c>
      <c r="M23" s="66" t="n">
        <v>31.7</v>
      </c>
      <c r="N23" s="66" t="n">
        <v>32.5</v>
      </c>
      <c r="O23" s="66" t="n">
        <v>32.7</v>
      </c>
      <c r="P23" s="66" t="n">
        <v>34</v>
      </c>
      <c r="Q23" s="66" t="n">
        <v>32.8</v>
      </c>
      <c r="R23" s="66" t="n">
        <v>35</v>
      </c>
      <c r="S23" s="66" t="n">
        <v>34.8</v>
      </c>
      <c r="T23" s="66" t="n">
        <v>34.5</v>
      </c>
      <c r="U23" s="66" t="n">
        <v>30.7</v>
      </c>
      <c r="V23" s="66" t="n">
        <v>34.6</v>
      </c>
      <c r="W23" s="66" t="n">
        <v>30.7</v>
      </c>
      <c r="X23" s="66" t="n">
        <v>34.2</v>
      </c>
      <c r="Y23" s="66" t="n">
        <v>34.8</v>
      </c>
      <c r="Z23" s="66" t="n">
        <v>33.3</v>
      </c>
      <c r="AA23" s="66" t="n">
        <v>36.8</v>
      </c>
      <c r="AB23" s="66" t="n">
        <v>35.3</v>
      </c>
      <c r="AC23" s="66" t="n">
        <v>34.9</v>
      </c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7">
        <f>COUNTIF(K23:AO23,"&gt;0")</f>
        <v/>
      </c>
      <c r="AQ23" s="68">
        <f>IF(AP23&gt;14,AVERAGE(K23:AO23),"")</f>
        <v/>
      </c>
      <c r="AR23" s="68">
        <f>IFERROR(VLOOKUP(A23,Climatologia_TMAX!A:U,9+$E$2,FALSE),"")</f>
        <v/>
      </c>
      <c r="AS23" s="68">
        <f>IF(OR(AQ23="",AR23=""),"",IFERROR(AQ23-AR23,""))</f>
        <v/>
      </c>
      <c r="AT23" s="74">
        <f>IF(COUNT(K23:AO23)=0,"",MAX(K23:AO23))</f>
        <v/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/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" s="69">
        <f>IF(OR(AT23="",AU23=""),"NA",IFERROR(AT23-AU23,"NA"))</f>
        <v/>
      </c>
    </row>
    <row r="24" ht="15" customHeight="1">
      <c r="A24" s="62" t="n">
        <v>21115020</v>
      </c>
      <c r="B24" s="72" t="inlineStr">
        <is>
          <t>Aeropuerto Benito Salas</t>
        </is>
      </c>
      <c r="C24" s="70" t="inlineStr">
        <is>
          <t>Grupo Observación y Monitoreo</t>
        </is>
      </c>
      <c r="D24" s="99" t="n">
        <v>-75.29305556000001</v>
      </c>
      <c r="E24" s="99" t="n">
        <v>2.94875</v>
      </c>
      <c r="F24" s="67" t="n">
        <v>439</v>
      </c>
      <c r="G24" s="62" t="n">
        <v>41</v>
      </c>
      <c r="H24" s="62" t="n">
        <v>41001</v>
      </c>
      <c r="I24" s="72" t="inlineStr">
        <is>
          <t>Huila</t>
        </is>
      </c>
      <c r="J24" s="72" t="inlineStr">
        <is>
          <t>Neiva</t>
        </is>
      </c>
      <c r="K24" s="66" t="n">
        <v>37</v>
      </c>
      <c r="L24" s="66" t="n">
        <v>36.2</v>
      </c>
      <c r="M24" s="66" t="n">
        <v>36.2</v>
      </c>
      <c r="N24" s="66" t="n">
        <v>36.4</v>
      </c>
      <c r="O24" s="66" t="n">
        <v>35.8</v>
      </c>
      <c r="P24" s="66" t="n">
        <v>36.7</v>
      </c>
      <c r="Q24" s="66" t="n">
        <v>36.4</v>
      </c>
      <c r="R24" s="66" t="n">
        <v>38.2</v>
      </c>
      <c r="S24" s="66" t="n">
        <v>38.2</v>
      </c>
      <c r="T24" s="66" t="n">
        <v>35.6</v>
      </c>
      <c r="U24" s="66" t="n">
        <v>35</v>
      </c>
      <c r="V24" s="66" t="n">
        <v>36.3</v>
      </c>
      <c r="W24" s="66" t="n">
        <v>35</v>
      </c>
      <c r="X24" s="66" t="n">
        <v>38.3</v>
      </c>
      <c r="Y24" s="66" t="n">
        <v>39</v>
      </c>
      <c r="Z24" s="66" t="n">
        <v>36.6</v>
      </c>
      <c r="AA24" s="66" t="n">
        <v>36.6</v>
      </c>
      <c r="AB24" s="66" t="n">
        <v>38</v>
      </c>
      <c r="AC24" s="66" t="n">
        <v>36.7</v>
      </c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7">
        <f>COUNTIF(K24:AO24,"&gt;0")</f>
        <v/>
      </c>
      <c r="AQ24" s="68">
        <f>IF(AP24&gt;14,AVERAGE(K24:AO24),"")</f>
        <v/>
      </c>
      <c r="AR24" s="68">
        <f>IFERROR(VLOOKUP(A24,Climatologia_TMAX!A:U,9+$E$2,FALSE),"")</f>
        <v/>
      </c>
      <c r="AS24" s="68">
        <f>IF(OR(AQ24="",AR24=""),"",IFERROR(AQ24-AR24,""))</f>
        <v/>
      </c>
      <c r="AT24" s="74">
        <f>IF(COUNT(K24:AO24)=0,"",MAX(K24:AO24))</f>
        <v/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/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" s="69">
        <f>IF(OR(AT24="",AU24=""),"NA",IFERROR(AT24-AU24,"NA"))</f>
        <v/>
      </c>
    </row>
    <row r="25" ht="15" customHeight="1">
      <c r="A25" s="62" t="n">
        <v>52045020</v>
      </c>
      <c r="B25" s="70" t="inlineStr">
        <is>
          <t>Aeropuerto Antonio Nariño</t>
        </is>
      </c>
      <c r="C25" s="70" t="inlineStr">
        <is>
          <t>Grupo Observación y Monitoreo</t>
        </is>
      </c>
      <c r="D25" s="99" t="n">
        <v>-77.29086111000001</v>
      </c>
      <c r="E25" s="99" t="n">
        <v>1.39408333</v>
      </c>
      <c r="F25" s="67" t="n">
        <v>1796</v>
      </c>
      <c r="G25" s="71" t="n">
        <v>52</v>
      </c>
      <c r="H25" s="71" t="n">
        <v>52240</v>
      </c>
      <c r="I25" s="72" t="inlineStr">
        <is>
          <t>Nariño</t>
        </is>
      </c>
      <c r="J25" s="78" t="inlineStr">
        <is>
          <t>Chachaguí</t>
        </is>
      </c>
      <c r="K25" s="66" t="n">
        <v>28.4</v>
      </c>
      <c r="L25" s="66" t="n">
        <v>28</v>
      </c>
      <c r="M25" s="66" t="n">
        <v>28.2</v>
      </c>
      <c r="N25" s="66" t="n">
        <v>28.5</v>
      </c>
      <c r="O25" s="66" t="n">
        <v>27.4</v>
      </c>
      <c r="P25" s="66" t="n">
        <v>27.4</v>
      </c>
      <c r="Q25" s="66" t="n">
        <v>26.8</v>
      </c>
      <c r="R25" s="66" t="n">
        <v>28.1</v>
      </c>
      <c r="S25" s="66" t="n">
        <v>27.8</v>
      </c>
      <c r="T25" s="66" t="n">
        <v>29.8</v>
      </c>
      <c r="U25" s="66" t="n">
        <v>28.2</v>
      </c>
      <c r="V25" s="66" t="n">
        <v>28</v>
      </c>
      <c r="W25" s="66" t="n">
        <v>28.2</v>
      </c>
      <c r="X25" s="66" t="n">
        <v>28.2</v>
      </c>
      <c r="Y25" s="66" t="n">
        <v>27.8</v>
      </c>
      <c r="Z25" s="66" t="n">
        <v>28.5</v>
      </c>
      <c r="AA25" s="66" t="n">
        <v>28</v>
      </c>
      <c r="AB25" s="66" t="n">
        <v>28.3</v>
      </c>
      <c r="AC25" s="66" t="n">
        <v>27</v>
      </c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7">
        <f>COUNTIF(K25:AO25,"&gt;0")</f>
        <v/>
      </c>
      <c r="AQ25" s="68">
        <f>IF(AP25&gt;14,AVERAGE(K25:AO25),"")</f>
        <v/>
      </c>
      <c r="AR25" s="68">
        <f>IFERROR(VLOOKUP(A25,Climatologia_TMAX!A:U,9+$E$2,FALSE),"")</f>
        <v/>
      </c>
      <c r="AS25" s="68">
        <f>IF(OR(AQ25="",AR25=""),"",IFERROR(AQ25-AR25,""))</f>
        <v/>
      </c>
      <c r="AT25" s="74">
        <f>IF(COUNT(K25:AO25)=0,"",MAX(K25:AO25))</f>
        <v/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/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" s="69">
        <f>IF(OR(AT25="",AU25=""),"NA",IFERROR(AT25-AU25,"NA"))</f>
        <v/>
      </c>
    </row>
    <row r="26" ht="15" customHeight="1">
      <c r="A26" s="62" t="n">
        <v>52055230</v>
      </c>
      <c r="B26" s="70" t="inlineStr">
        <is>
          <t xml:space="preserve">Aeropuerto San Luis - AUT </t>
        </is>
      </c>
      <c r="C26" s="70" t="inlineStr">
        <is>
          <t>Grupo Observación y Monitoreo</t>
        </is>
      </c>
      <c r="D26" s="99" t="n">
        <v>-77.67775</v>
      </c>
      <c r="E26" s="99" t="n">
        <v>0.8570833300000001</v>
      </c>
      <c r="F26" s="67" t="n">
        <v>2961</v>
      </c>
      <c r="G26" s="71" t="n">
        <v>52</v>
      </c>
      <c r="H26" s="71" t="n">
        <v>52022</v>
      </c>
      <c r="I26" s="72" t="inlineStr">
        <is>
          <t>Nariño</t>
        </is>
      </c>
      <c r="J26" s="78" t="inlineStr">
        <is>
          <t>Aldana</t>
        </is>
      </c>
      <c r="K26" s="66" t="n">
        <v>19.4</v>
      </c>
      <c r="L26" s="66" t="n">
        <v>16.2</v>
      </c>
      <c r="M26" s="66" t="n">
        <v>16.2</v>
      </c>
      <c r="N26" s="66" t="n">
        <v>15.2</v>
      </c>
      <c r="O26" s="66" t="n">
        <v>14.2</v>
      </c>
      <c r="P26" s="66" t="n">
        <v>16.8</v>
      </c>
      <c r="Q26" s="66" t="n">
        <v>16.2</v>
      </c>
      <c r="R26" s="66" t="n">
        <v>15.2</v>
      </c>
      <c r="S26" s="66" t="n">
        <v>16.4</v>
      </c>
      <c r="T26" s="66" t="n">
        <v>17.8</v>
      </c>
      <c r="U26" s="66" t="n">
        <v>16.8</v>
      </c>
      <c r="V26" s="66" t="n">
        <v>17.4</v>
      </c>
      <c r="W26" s="66" t="n">
        <v>16.8</v>
      </c>
      <c r="X26" s="66" t="n">
        <v>16.6</v>
      </c>
      <c r="Y26" s="66" t="n">
        <v>15.6</v>
      </c>
      <c r="Z26" s="66" t="n">
        <v>16.2</v>
      </c>
      <c r="AA26" s="66" t="n">
        <v>15.8</v>
      </c>
      <c r="AB26" s="66" t="n">
        <v>15.8</v>
      </c>
      <c r="AC26" s="66" t="n">
        <v>14.6</v>
      </c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7">
        <f>COUNTIF(K26:AO26,"&gt;0")</f>
        <v/>
      </c>
      <c r="AQ26" s="68">
        <f>IF(AP26&gt;14,AVERAGE(K26:AO26),"")</f>
        <v/>
      </c>
      <c r="AR26" s="68">
        <f>IFERROR(VLOOKUP(A26,Climatologia_TMAX!A:U,9+$E$2,FALSE),"")</f>
        <v/>
      </c>
      <c r="AS26" s="68">
        <f>IF(OR(AQ26="",AR26=""),"",IFERROR(AQ26-AR26,""))</f>
        <v/>
      </c>
      <c r="AT26" s="74">
        <f>IF(COUNT(K26:AO26)=0,"",MAX(K26:AO26))</f>
        <v/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/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" s="69">
        <f>IF(OR(AT26="",AU26=""),"NA",IFERROR(AT26-AU26,"NA"))</f>
        <v/>
      </c>
    </row>
    <row r="27" ht="15" customHeight="1">
      <c r="A27" s="62" t="n">
        <v>11045010</v>
      </c>
      <c r="B27" s="72" t="inlineStr">
        <is>
          <t>Aeropuerto El Caraño</t>
        </is>
      </c>
      <c r="C27" s="70" t="inlineStr">
        <is>
          <t>Grupo Observación y Monitoreo</t>
        </is>
      </c>
      <c r="D27" s="99" t="n">
        <v>-76.64377777999999</v>
      </c>
      <c r="E27" s="99" t="n">
        <v>5.69055556</v>
      </c>
      <c r="F27" s="67" t="n">
        <v>75</v>
      </c>
      <c r="G27" s="62" t="n">
        <v>27</v>
      </c>
      <c r="H27" s="62" t="n">
        <v>27001</v>
      </c>
      <c r="I27" s="72" t="inlineStr">
        <is>
          <t>Chocó</t>
        </is>
      </c>
      <c r="J27" s="72" t="inlineStr">
        <is>
          <t>Quibdó</t>
        </is>
      </c>
      <c r="K27" s="66" t="n">
        <v>32.4</v>
      </c>
      <c r="L27" s="66" t="n">
        <v>32.8</v>
      </c>
      <c r="M27" s="66" t="n">
        <v>32.4</v>
      </c>
      <c r="N27" s="66" t="n">
        <v>33.4</v>
      </c>
      <c r="O27" s="66" t="n">
        <v>32.2</v>
      </c>
      <c r="P27" s="66" t="n">
        <v>31</v>
      </c>
      <c r="Q27" s="66" t="n">
        <v>31.4</v>
      </c>
      <c r="R27" s="66" t="n">
        <v>33.6</v>
      </c>
      <c r="S27" s="66" t="n">
        <v>31</v>
      </c>
      <c r="T27" s="66" t="n">
        <v>33.4</v>
      </c>
      <c r="U27" s="113" t="n">
        <v>29.2</v>
      </c>
      <c r="V27" s="66" t="n">
        <v>34.2</v>
      </c>
      <c r="W27" s="66" t="n">
        <v>29.2</v>
      </c>
      <c r="X27" s="66" t="n">
        <v>32.2</v>
      </c>
      <c r="Y27" s="66" t="n">
        <v>30.4</v>
      </c>
      <c r="Z27" s="66" t="n">
        <v>31.2</v>
      </c>
      <c r="AA27" s="66" t="n">
        <v>34</v>
      </c>
      <c r="AB27" s="66" t="n">
        <v>31.2</v>
      </c>
      <c r="AC27" s="66" t="n">
        <v>32.8</v>
      </c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7">
        <f>COUNTIF(K27:AO27,"&gt;0")</f>
        <v/>
      </c>
      <c r="AQ27" s="68">
        <f>IF(AP27&gt;14,AVERAGE(K27:AO27),"")</f>
        <v/>
      </c>
      <c r="AR27" s="68">
        <f>IFERROR(VLOOKUP(A27,Climatologia_TMAX!A:U,9+$E$2,FALSE),"")</f>
        <v/>
      </c>
      <c r="AS27" s="68">
        <f>IF(OR(AQ27="",AR27=""),"",IFERROR(AQ27-AR27,""))</f>
        <v/>
      </c>
      <c r="AT27" s="74">
        <f>IF(COUNT(K27:AO27)=0,"",MAX(K27:AO27))</f>
        <v/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/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" s="69">
        <f>IF(OR(AT27="",AU27=""),"NA",IFERROR(AT27-AU27,"NA"))</f>
        <v/>
      </c>
    </row>
    <row r="28" ht="15" customHeight="1">
      <c r="A28" s="62" t="n">
        <v>37055010</v>
      </c>
      <c r="B28" s="72" t="inlineStr">
        <is>
          <t>Aeropuerto Santiago Pérez</t>
        </is>
      </c>
      <c r="C28" s="70" t="inlineStr">
        <is>
          <t>Grupo Observación y Monitoreo</t>
        </is>
      </c>
      <c r="D28" s="99" t="n">
        <v>-70.73805556000001</v>
      </c>
      <c r="E28" s="99" t="n">
        <v>7.06944444</v>
      </c>
      <c r="F28" s="67" t="n">
        <v>128</v>
      </c>
      <c r="G28" s="62" t="n">
        <v>81</v>
      </c>
      <c r="H28" s="62" t="n">
        <v>81001</v>
      </c>
      <c r="I28" s="72" t="inlineStr">
        <is>
          <t>Arauca</t>
        </is>
      </c>
      <c r="J28" s="72" t="inlineStr">
        <is>
          <t>Arauca</t>
        </is>
      </c>
      <c r="K28" s="66" t="n">
        <v>34.1</v>
      </c>
      <c r="L28" s="66" t="n">
        <v>30.3</v>
      </c>
      <c r="M28" s="66" t="n">
        <v>33.3</v>
      </c>
      <c r="N28" s="66" t="n">
        <v>31.6</v>
      </c>
      <c r="O28" s="66" t="n">
        <v>34.1</v>
      </c>
      <c r="P28" s="66" t="n">
        <v>33.1</v>
      </c>
      <c r="Q28" s="66" t="n">
        <v>33.4</v>
      </c>
      <c r="R28" s="66" t="n">
        <v>32.3</v>
      </c>
      <c r="S28" s="66" t="n">
        <v>33.5</v>
      </c>
      <c r="T28" s="66" t="n">
        <v>32.4</v>
      </c>
      <c r="U28" s="66" t="n">
        <v>32.9</v>
      </c>
      <c r="V28" s="66" t="n">
        <v>31.8</v>
      </c>
      <c r="W28" s="66" t="n">
        <v>32.9</v>
      </c>
      <c r="X28" s="66" t="n">
        <v>32.9</v>
      </c>
      <c r="Y28" s="66" t="n">
        <v>32.6</v>
      </c>
      <c r="Z28" s="66" t="n">
        <v>32.2</v>
      </c>
      <c r="AA28" s="66" t="n">
        <v>32.5</v>
      </c>
      <c r="AB28" s="66" t="n">
        <v>33.7</v>
      </c>
      <c r="AC28" s="66" t="n">
        <v>30.1</v>
      </c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7">
        <f>COUNTIF(K28:AO28,"&gt;0")</f>
        <v/>
      </c>
      <c r="AQ28" s="68">
        <f>IF(AP28&gt;14,AVERAGE(K28:AO28),"")</f>
        <v/>
      </c>
      <c r="AR28" s="68">
        <f>IFERROR(VLOOKUP(A28,Climatologia_TMAX!A:U,9+$E$2,FALSE),"")</f>
        <v/>
      </c>
      <c r="AS28" s="68">
        <f>IF(OR(AQ28="",AR28=""),"",IFERROR(AQ28-AR28,""))</f>
        <v/>
      </c>
      <c r="AT28" s="74">
        <f>IF(COUNT(K28:AO28)=0,"",MAX(K28:AO28))</f>
        <v/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/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" s="69">
        <f>IF(OR(AT28="",AU28=""),"NA",IFERROR(AT28-AU28,"NA"))</f>
        <v/>
      </c>
    </row>
    <row r="29" ht="15" customHeight="1">
      <c r="A29" s="62" t="n">
        <v>38015030</v>
      </c>
      <c r="B29" s="72" t="inlineStr">
        <is>
          <t>Aeropuerto Puerto Carreño</t>
        </is>
      </c>
      <c r="C29" s="70" t="inlineStr">
        <is>
          <t>Grupo Observación y Monitoreo</t>
        </is>
      </c>
      <c r="D29" s="99" t="n">
        <v>-67.49122222000001</v>
      </c>
      <c r="E29" s="99" t="n">
        <v>6.18243611</v>
      </c>
      <c r="F29" s="67" t="n">
        <v>57</v>
      </c>
      <c r="G29" s="71" t="n">
        <v>99</v>
      </c>
      <c r="H29" s="71" t="n">
        <v>99001</v>
      </c>
      <c r="I29" s="72" t="inlineStr">
        <is>
          <t>Vichada</t>
        </is>
      </c>
      <c r="J29" s="78" t="inlineStr">
        <is>
          <t>Puerto Carreño</t>
        </is>
      </c>
      <c r="K29" s="66" t="n">
        <v>35.2</v>
      </c>
      <c r="L29" s="66" t="n">
        <v>32.5</v>
      </c>
      <c r="M29" s="66" t="n">
        <v>33</v>
      </c>
      <c r="N29" s="66" t="n">
        <v>33.8</v>
      </c>
      <c r="O29" s="66" t="n">
        <v>34.6</v>
      </c>
      <c r="P29" s="66" t="n">
        <v>32</v>
      </c>
      <c r="Q29" s="66" t="n">
        <v>33</v>
      </c>
      <c r="R29" s="66" t="n">
        <v>34.2</v>
      </c>
      <c r="S29" s="66" t="n">
        <v>34.8</v>
      </c>
      <c r="T29" s="66" t="n">
        <v>32.4</v>
      </c>
      <c r="U29" s="66" t="n">
        <v>34.4</v>
      </c>
      <c r="V29" s="66" t="n">
        <v>34.2</v>
      </c>
      <c r="W29" s="66" t="n">
        <v>34.4</v>
      </c>
      <c r="X29" s="66" t="n">
        <v>34.8</v>
      </c>
      <c r="Y29" s="66" t="n">
        <v>33.6</v>
      </c>
      <c r="Z29" s="66" t="n">
        <v>32.4</v>
      </c>
      <c r="AA29" s="66" t="n">
        <v>33</v>
      </c>
      <c r="AB29" s="66" t="n">
        <v>30</v>
      </c>
      <c r="AC29" s="66" t="n">
        <v>31.4</v>
      </c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7">
        <f>COUNTIF(K29:AO29,"&gt;0")</f>
        <v/>
      </c>
      <c r="AQ29" s="68">
        <f>IF(AP29&gt;14,AVERAGE(K29:AO29),"")</f>
        <v/>
      </c>
      <c r="AR29" s="68">
        <f>IFERROR(VLOOKUP(A29,Climatologia_TMAX!A:U,9+$E$2,FALSE),"")</f>
        <v/>
      </c>
      <c r="AS29" s="68">
        <f>IF(OR(AQ29="",AR29=""),"",IFERROR(AQ29-AR29,""))</f>
        <v/>
      </c>
      <c r="AT29" s="74">
        <f>IF(COUNT(K29:AO29)=0,"",MAX(K29:AO29))</f>
        <v/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/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9" s="69">
        <f>IF(OR(AT29="",AU29=""),"NA",IFERROR(AT29-AU29,"NA"))</f>
        <v/>
      </c>
    </row>
    <row r="30" ht="14.25" customHeight="1">
      <c r="A30" s="62" t="n">
        <v>35035020</v>
      </c>
      <c r="B30" s="63" t="inlineStr">
        <is>
          <t>Aeropuerto Vanguardia</t>
        </is>
      </c>
      <c r="C30" s="70" t="inlineStr">
        <is>
          <t>Grupo Observación y Monitoreo</t>
        </is>
      </c>
      <c r="D30" s="98" t="n">
        <v>-73.61757778</v>
      </c>
      <c r="E30" s="98" t="n">
        <v>4.16191944</v>
      </c>
      <c r="F30" s="102" t="n">
        <v>422</v>
      </c>
      <c r="G30" s="65" t="n">
        <v>50</v>
      </c>
      <c r="H30" s="65" t="n">
        <v>50001</v>
      </c>
      <c r="I30" s="63" t="inlineStr">
        <is>
          <t>Meta</t>
        </is>
      </c>
      <c r="J30" s="77" t="inlineStr">
        <is>
          <t>Villavicencio</t>
        </is>
      </c>
      <c r="K30" s="66" t="n">
        <v>31.8</v>
      </c>
      <c r="L30" s="66" t="n">
        <v>32</v>
      </c>
      <c r="M30" s="66" t="n">
        <v>33.2</v>
      </c>
      <c r="N30" s="66" t="n">
        <v>31.3</v>
      </c>
      <c r="O30" s="66" t="n">
        <v>31.9</v>
      </c>
      <c r="P30" s="66" t="n">
        <v>33.2</v>
      </c>
      <c r="Q30" s="66" t="n">
        <v>30.6</v>
      </c>
      <c r="R30" s="66" t="n">
        <v>30.4</v>
      </c>
      <c r="S30" s="66" t="n">
        <v>31.7</v>
      </c>
      <c r="T30" s="66" t="n">
        <v>31</v>
      </c>
      <c r="U30" s="66" t="n">
        <v>32.1</v>
      </c>
      <c r="V30" s="66" t="n">
        <v>31.4</v>
      </c>
      <c r="W30" s="66" t="n">
        <v>32.1</v>
      </c>
      <c r="X30" s="66" t="n">
        <v>33.2</v>
      </c>
      <c r="Y30" s="66" t="n">
        <v>32.2</v>
      </c>
      <c r="Z30" s="66" t="n">
        <v>32.3</v>
      </c>
      <c r="AA30" s="66" t="n">
        <v>31.9</v>
      </c>
      <c r="AB30" s="66" t="n">
        <v>28</v>
      </c>
      <c r="AC30" s="66" t="n">
        <v>31.7</v>
      </c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7">
        <f>COUNTIF(K30:AO30,"&gt;0")</f>
        <v/>
      </c>
      <c r="AQ30" s="68">
        <f>IF(AP30&gt;14,AVERAGE(K30:AO30),"")</f>
        <v/>
      </c>
      <c r="AR30" s="68">
        <f>IFERROR(VLOOKUP(A30,Climatologia_TMAX!A:U,9+$E$2,FALSE),"")</f>
        <v/>
      </c>
      <c r="AS30" s="68">
        <f>IF(OR(AQ30="",AR30=""),"",IFERROR(AQ30-AR30,""))</f>
        <v/>
      </c>
      <c r="AT30" s="74">
        <f>IF(COUNT(K30:AO30)=0,"",MAX(K30:AO30))</f>
        <v/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/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0" s="69">
        <f>IF(OR(AT30="",AU30=""),"NA",IFERROR(AT30-AU30,"NA"))</f>
        <v/>
      </c>
    </row>
    <row r="31" ht="16.15" customHeight="1">
      <c r="A31" s="93" t="n">
        <v>48015050</v>
      </c>
      <c r="B31" s="94" t="inlineStr">
        <is>
          <t>Aeropuerto Vásquez Cobo</t>
        </is>
      </c>
      <c r="C31" s="95" t="inlineStr">
        <is>
          <t>Grupo Observación y Monitoreo</t>
        </is>
      </c>
      <c r="D31" s="100" t="n">
        <v>-69.94091666999999</v>
      </c>
      <c r="E31" s="100" t="n">
        <v>-4.19386111</v>
      </c>
      <c r="F31" s="103" t="n">
        <v>84</v>
      </c>
      <c r="G31" s="96" t="n">
        <v>91</v>
      </c>
      <c r="H31" s="96" t="n">
        <v>91001</v>
      </c>
      <c r="I31" s="94" t="inlineStr">
        <is>
          <t>Amazonas</t>
        </is>
      </c>
      <c r="J31" s="97" t="inlineStr">
        <is>
          <t>Leticia</t>
        </is>
      </c>
      <c r="K31" s="105" t="n">
        <v>36.1</v>
      </c>
      <c r="L31" s="105" t="n">
        <v>34.6</v>
      </c>
      <c r="M31" s="105" t="n">
        <v>32.6</v>
      </c>
      <c r="N31" s="105" t="n">
        <v>33.3</v>
      </c>
      <c r="O31" s="105" t="n">
        <v>32.6</v>
      </c>
      <c r="P31" s="105" t="n">
        <v>32.6</v>
      </c>
      <c r="Q31" s="105" t="n">
        <v>30.3</v>
      </c>
      <c r="R31" s="105" t="n">
        <v>30.2</v>
      </c>
      <c r="S31" s="105" t="n">
        <v>32.9</v>
      </c>
      <c r="T31" s="105" t="n">
        <v>33.3</v>
      </c>
      <c r="U31" s="105" t="n">
        <v>31.5</v>
      </c>
      <c r="V31" s="105" t="n">
        <v>31</v>
      </c>
      <c r="W31" s="105" t="n">
        <v>31.5</v>
      </c>
      <c r="X31" s="105" t="n">
        <v>27.2</v>
      </c>
      <c r="Y31" s="105" t="n">
        <v>29.4</v>
      </c>
      <c r="Z31" s="105" t="n">
        <v>32.9</v>
      </c>
      <c r="AA31" s="105" t="n">
        <v>27.7</v>
      </c>
      <c r="AB31" s="105" t="n">
        <v>32.6</v>
      </c>
      <c r="AC31" s="105" t="n">
        <v>30.4</v>
      </c>
      <c r="AD31" s="105" t="n"/>
      <c r="AE31" s="105" t="n"/>
      <c r="AF31" s="105" t="n"/>
      <c r="AG31" s="105" t="n"/>
      <c r="AH31" s="105" t="n"/>
      <c r="AI31" s="105" t="n"/>
      <c r="AJ31" s="105" t="n"/>
      <c r="AK31" s="105" t="n"/>
      <c r="AL31" s="105" t="n"/>
      <c r="AM31" s="105" t="n"/>
      <c r="AN31" s="105" t="n"/>
      <c r="AO31" s="105" t="n"/>
      <c r="AP31" s="67">
        <f>COUNTIF(K31:AO31,"&gt;0")</f>
        <v/>
      </c>
      <c r="AQ31" s="68">
        <f>IF(AP31&gt;14,AVERAGE(K31:AO31),"")</f>
        <v/>
      </c>
      <c r="AR31" s="68">
        <f>IFERROR(VLOOKUP(A31,Climatologia_TMAX!A:U,9+$E$2,FALSE),"")</f>
        <v/>
      </c>
      <c r="AS31" s="68">
        <f>IF(OR(AQ31="",AR31=""),"",IFERROR(AQ31-AR31,""))</f>
        <v/>
      </c>
      <c r="AT31" s="74">
        <f>IF(COUNT(K31:AO31)=0,"",MAX(K31:AO31))</f>
        <v/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/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1" s="69">
        <f>IF(OR(AT31="",AU31=""),"NA",IFERROR(AT31-AU31,"NA"))</f>
        <v/>
      </c>
    </row>
    <row r="32" ht="14.25" customHeight="1">
      <c r="A32" s="64" t="n">
        <v>23085030</v>
      </c>
      <c r="B32" s="70" t="inlineStr">
        <is>
          <t>Alejandria</t>
        </is>
      </c>
      <c r="C32" s="70" t="inlineStr">
        <is>
          <t>Area Operativa 01 - Antioquia-Chocó</t>
        </is>
      </c>
      <c r="D32" s="99" t="n">
        <v>-75.14338889</v>
      </c>
      <c r="E32" s="99" t="n">
        <v>6.37625</v>
      </c>
      <c r="F32" s="64" t="n">
        <v>1712</v>
      </c>
      <c r="G32" s="62" t="n">
        <v>5</v>
      </c>
      <c r="H32" s="62" t="n">
        <v>5021</v>
      </c>
      <c r="I32" s="72" t="inlineStr">
        <is>
          <t>Antioquia</t>
        </is>
      </c>
      <c r="J32" s="72" t="inlineStr">
        <is>
          <t>Alejandría</t>
        </is>
      </c>
      <c r="K32" s="66" t="n">
        <v/>
      </c>
      <c r="L32" s="66" t="n">
        <v/>
      </c>
      <c r="M32" s="66" t="n">
        <v/>
      </c>
      <c r="N32" s="66" t="n">
        <v/>
      </c>
      <c r="O32" s="66" t="n">
        <v/>
      </c>
      <c r="P32" s="66" t="n">
        <v/>
      </c>
      <c r="Q32" s="66" t="n">
        <v/>
      </c>
      <c r="R32" s="66" t="n">
        <v/>
      </c>
      <c r="S32" s="66" t="n">
        <v/>
      </c>
      <c r="T32" s="66" t="n">
        <v/>
      </c>
      <c r="U32" s="66" t="n">
        <v/>
      </c>
      <c r="V32" s="66" t="n">
        <v/>
      </c>
      <c r="W32" s="66" t="n">
        <v/>
      </c>
      <c r="X32" s="66" t="n">
        <v/>
      </c>
      <c r="Y32" s="66" t="n">
        <v/>
      </c>
      <c r="Z32" s="66" t="n">
        <v/>
      </c>
      <c r="AA32" s="66" t="n">
        <v>27.8</v>
      </c>
      <c r="AB32" s="66" t="n">
        <v>27.2</v>
      </c>
      <c r="AC32" s="66" t="n">
        <v>24.8</v>
      </c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7">
        <f>COUNTIF(K32:AO32,"&gt;0")</f>
        <v/>
      </c>
      <c r="AQ32" s="68">
        <f>IF(AP32&gt;14,AVERAGE(K32:AO32),"")</f>
        <v/>
      </c>
      <c r="AR32" s="68">
        <f>IFERROR(VLOOKUP(A32,Climatologia_TMAX!A:U,9+$E$2,FALSE),"")</f>
        <v/>
      </c>
      <c r="AS32" s="68">
        <f>IF(OR(AQ32="",AR32=""),"",IFERROR(AQ32-AR32,""))</f>
        <v/>
      </c>
      <c r="AT32" s="74">
        <f>IF(COUNT(K32:AO32)=0,"",MAX(K32:AO32))</f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/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2" s="69">
        <f>IF(OR(AT32="",AU32=""),"NA",IFERROR(AT32-AU32,"NA"))</f>
        <v/>
      </c>
    </row>
    <row r="33" ht="14.25" customHeight="1">
      <c r="A33" s="64" t="n">
        <v>23085110</v>
      </c>
      <c r="B33" s="70" t="inlineStr">
        <is>
          <t>El Penol</t>
        </is>
      </c>
      <c r="C33" s="70" t="inlineStr">
        <is>
          <t>Area Operativa 01 - Antioquia-Chocó</t>
        </is>
      </c>
      <c r="D33" s="99" t="n">
        <v>-75.24138888900001</v>
      </c>
      <c r="E33" s="99" t="n">
        <v>6.2138889</v>
      </c>
      <c r="F33" s="64" t="n">
        <v>2022</v>
      </c>
      <c r="G33" s="62" t="n">
        <v>5</v>
      </c>
      <c r="H33" s="62" t="n">
        <v>5541</v>
      </c>
      <c r="I33" s="72" t="inlineStr">
        <is>
          <t>Antioquia</t>
        </is>
      </c>
      <c r="J33" s="72" t="inlineStr">
        <is>
          <t>Peñol</t>
        </is>
      </c>
      <c r="K33" s="66" t="n">
        <v>24.8</v>
      </c>
      <c r="L33" s="66" t="n">
        <v>25</v>
      </c>
      <c r="M33" s="66" t="n">
        <v>26</v>
      </c>
      <c r="N33" s="66" t="n">
        <v>26.4</v>
      </c>
      <c r="O33" s="66" t="n">
        <v>26.2</v>
      </c>
      <c r="P33" s="66" t="n">
        <v>25</v>
      </c>
      <c r="Q33" s="66" t="n">
        <v>25.8</v>
      </c>
      <c r="R33" s="66" t="n">
        <v>26.4</v>
      </c>
      <c r="S33" s="66" t="n">
        <v>27</v>
      </c>
      <c r="T33" s="66" t="n">
        <v>26.8</v>
      </c>
      <c r="U33" s="66" t="n">
        <v>24.8</v>
      </c>
      <c r="V33" s="66" t="n">
        <v>25.4</v>
      </c>
      <c r="W33" s="66" t="n">
        <v>22.4</v>
      </c>
      <c r="X33" s="66" t="n">
        <v>26</v>
      </c>
      <c r="Y33" s="66" t="n">
        <v>25.4</v>
      </c>
      <c r="Z33" s="66" t="n">
        <v>25.2</v>
      </c>
      <c r="AA33" s="66" t="n">
        <v>27</v>
      </c>
      <c r="AB33" s="66" t="n">
        <v>26.4</v>
      </c>
      <c r="AC33" s="66" t="n">
        <v>24.2</v>
      </c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7">
        <f>COUNTIF(K33:AO33,"&gt;0")</f>
        <v/>
      </c>
      <c r="AQ33" s="68">
        <f>IF(AP33&gt;14,AVERAGE(K33:AO33),"")</f>
        <v/>
      </c>
      <c r="AR33" s="68">
        <f>IFERROR(VLOOKUP(A33,Climatologia_TMAX!A:U,9+$E$2,FALSE),"")</f>
        <v/>
      </c>
      <c r="AS33" s="68">
        <f>IF(OR(AQ33="",AR33=""),"",IFERROR(AQ33-AR33,""))</f>
        <v/>
      </c>
      <c r="AT33" s="74">
        <f>IF(COUNT(K33:AO33)=0,"",MAX(K33:AO33))</f>
        <v/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/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3" s="69">
        <f>IF(OR(AT33="",AU33=""),"NA",IFERROR(AT33-AU33,"NA"))</f>
        <v/>
      </c>
    </row>
    <row r="34" ht="14.25" customHeight="1">
      <c r="A34" s="64" t="n">
        <v>23085080</v>
      </c>
      <c r="B34" s="70" t="inlineStr">
        <is>
          <t>Granja Experimental El Nus</t>
        </is>
      </c>
      <c r="C34" s="70" t="inlineStr">
        <is>
          <t>Area Operativa 01 - Antioquia-Chocó</t>
        </is>
      </c>
      <c r="D34" s="99" t="n">
        <v>-74.83669444</v>
      </c>
      <c r="E34" s="99" t="n">
        <v>6.483583333</v>
      </c>
      <c r="F34" s="64" t="n">
        <v>859</v>
      </c>
      <c r="G34" s="62" t="n">
        <v>5</v>
      </c>
      <c r="H34" s="62" t="n">
        <v>5670</v>
      </c>
      <c r="I34" s="72" t="inlineStr">
        <is>
          <t>Antioquia</t>
        </is>
      </c>
      <c r="J34" s="72" t="inlineStr">
        <is>
          <t>San Roque</t>
        </is>
      </c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7">
        <f>COUNTIF(K34:AO34,"&gt;0")</f>
        <v/>
      </c>
      <c r="AQ34" s="68">
        <f>IF(AP34&gt;14,AVERAGE(K34:AO34),"")</f>
        <v/>
      </c>
      <c r="AR34" s="68">
        <f>IFERROR(VLOOKUP(A34,Climatologia_TMAX!A:U,9+$E$2,FALSE),"")</f>
        <v/>
      </c>
      <c r="AS34" s="68">
        <f>IF(OR(AQ34="",AR34=""),"",IFERROR(AQ34-AR34,""))</f>
        <v/>
      </c>
      <c r="AT34" s="74">
        <f>IF(COUNT(K34:AO34)=0,"",MAX(K34:AO34))</f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/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4" s="69">
        <f>IF(OR(AT34="",AU34=""),"NA",IFERROR(AT34-AU34,"NA"))</f>
        <v/>
      </c>
    </row>
    <row r="35" ht="14.25" customHeight="1">
      <c r="A35" s="64" t="n">
        <v>26175030</v>
      </c>
      <c r="B35" s="70" t="inlineStr">
        <is>
          <t>Granja La Nacional</t>
        </is>
      </c>
      <c r="C35" s="70" t="inlineStr">
        <is>
          <t>Area Operativa 01 - Antioquia-Chocó</t>
        </is>
      </c>
      <c r="D35" s="99" t="n">
        <v>-75.69091666999999</v>
      </c>
      <c r="E35" s="99" t="n">
        <v>5.717333333</v>
      </c>
      <c r="F35" s="64" t="n">
        <v>1153</v>
      </c>
      <c r="G35" s="62" t="n">
        <v>5</v>
      </c>
      <c r="H35" s="62" t="n">
        <v>5789</v>
      </c>
      <c r="I35" s="72" t="inlineStr">
        <is>
          <t>Antioquia</t>
        </is>
      </c>
      <c r="J35" s="72" t="inlineStr">
        <is>
          <t>Támesis</t>
        </is>
      </c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7">
        <f>COUNTIF(K35:AO35,"&gt;0")</f>
        <v/>
      </c>
      <c r="AQ35" s="68">
        <f>IF(AP35&gt;14,AVERAGE(K35:AO35),"")</f>
        <v/>
      </c>
      <c r="AR35" s="68">
        <f>IFERROR(VLOOKUP(A35,Climatologia_TMAX!A:U,9+$E$2,FALSE),"")</f>
        <v/>
      </c>
      <c r="AS35" s="68">
        <f>IF(OR(AQ35="",AR35=""),"",IFERROR(AQ35-AR35,""))</f>
        <v/>
      </c>
      <c r="AT35" s="74">
        <f>IF(COUNT(K35:AO35)=0,"",MAX(K35:AO35))</f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/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5" s="69">
        <f>IF(OR(AT35="",AU35=""),"NA",IFERROR(AT35-AU35,"NA"))</f>
        <v/>
      </c>
    </row>
    <row r="36" ht="14.25" customHeight="1">
      <c r="A36" s="64" t="n">
        <v>26175040</v>
      </c>
      <c r="B36" s="70" t="inlineStr">
        <is>
          <t>Hacienda Tunez</t>
        </is>
      </c>
      <c r="C36" s="70" t="inlineStr">
        <is>
          <t>Area Operativa 01 - Antioquia-Chocó</t>
        </is>
      </c>
      <c r="D36" s="99" t="n">
        <v>-75.65097222</v>
      </c>
      <c r="E36" s="99" t="n">
        <v>5.80025</v>
      </c>
      <c r="F36" s="64" t="n">
        <v>604</v>
      </c>
      <c r="G36" s="62" t="n">
        <v>5</v>
      </c>
      <c r="H36" s="62" t="n">
        <v>5282</v>
      </c>
      <c r="I36" s="72" t="inlineStr">
        <is>
          <t>Antioquia</t>
        </is>
      </c>
      <c r="J36" s="72" t="inlineStr">
        <is>
          <t>Fredonia</t>
        </is>
      </c>
      <c r="K36" s="66" t="n">
        <v>36</v>
      </c>
      <c r="L36" s="66" t="n">
        <v>35.4</v>
      </c>
      <c r="M36" s="66" t="n">
        <v>39</v>
      </c>
      <c r="N36" s="66" t="n">
        <v>39.4</v>
      </c>
      <c r="O36" s="66" t="n">
        <v>38.2</v>
      </c>
      <c r="P36" s="66" t="n">
        <v>38.2</v>
      </c>
      <c r="Q36" s="66" t="n">
        <v>37</v>
      </c>
      <c r="R36" s="66" t="n">
        <v>41.4</v>
      </c>
      <c r="S36" s="66" t="n">
        <v>39.8</v>
      </c>
      <c r="T36" s="66" t="n">
        <v>40</v>
      </c>
      <c r="U36" s="66" t="n">
        <v>34</v>
      </c>
      <c r="V36" s="66" t="n">
        <v>38.8</v>
      </c>
      <c r="W36" s="66" t="n">
        <v>37</v>
      </c>
      <c r="X36" s="66" t="n">
        <v>38.6</v>
      </c>
      <c r="Y36" s="66" t="n">
        <v>36.8</v>
      </c>
      <c r="Z36" s="66" t="n">
        <v>35.8</v>
      </c>
      <c r="AA36" s="66" t="n">
        <v>41</v>
      </c>
      <c r="AB36" s="66" t="n">
        <v>38.4</v>
      </c>
      <c r="AC36" s="66" t="n">
        <v>34.6</v>
      </c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7">
        <f>COUNTIF(K36:AO36,"&gt;0")</f>
        <v/>
      </c>
      <c r="AQ36" s="68">
        <f>IF(AP36&gt;14,AVERAGE(K36:AO36),"")</f>
        <v/>
      </c>
      <c r="AR36" s="68">
        <f>IFERROR(VLOOKUP(A36,Climatologia_TMAX!A:U,9+$E$2,FALSE),"")</f>
        <v/>
      </c>
      <c r="AS36" s="68">
        <f>IF(OR(AQ36="",AR36=""),"",IFERROR(AQ36-AR36,""))</f>
        <v/>
      </c>
      <c r="AT36" s="74">
        <f>IF(COUNT(K36:AO36)=0,"",MAX(K36:AO36))</f>
        <v/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/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6" s="69">
        <f>IF(OR(AT36="",AU36=""),"NA",IFERROR(AT36-AU36,"NA"))</f>
        <v/>
      </c>
    </row>
    <row r="37" ht="14.25" customHeight="1">
      <c r="A37" s="64" t="n">
        <v>26195020</v>
      </c>
      <c r="B37" s="70" t="inlineStr">
        <is>
          <t>Ita Andes</t>
        </is>
      </c>
      <c r="C37" s="70" t="inlineStr">
        <is>
          <t>Area Operativa 01 - Antioquia-Chocó</t>
        </is>
      </c>
      <c r="D37" s="99" t="n">
        <v>-75.88022221999999</v>
      </c>
      <c r="E37" s="99" t="n">
        <v>5.691</v>
      </c>
      <c r="F37" s="64" t="n">
        <v>1180</v>
      </c>
      <c r="G37" s="62" t="n">
        <v>5</v>
      </c>
      <c r="H37" s="62" t="n">
        <v>5034</v>
      </c>
      <c r="I37" s="72" t="inlineStr">
        <is>
          <t>Antioquia</t>
        </is>
      </c>
      <c r="J37" s="72" t="inlineStr">
        <is>
          <t>Andes</t>
        </is>
      </c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7">
        <f>COUNTIF(K37:AO37,"&gt;0")</f>
        <v/>
      </c>
      <c r="AQ37" s="68">
        <f>IF(AP37&gt;14,AVERAGE(K37:AO37),"")</f>
        <v/>
      </c>
      <c r="AR37" s="68">
        <f>IFERROR(VLOOKUP(A37,Climatologia_TMAX!A:U,9+$E$2,FALSE),"")</f>
        <v/>
      </c>
      <c r="AS37" s="68">
        <f>IF(OR(AQ37="",AR37=""),"",IFERROR(AQ37-AR37,""))</f>
        <v/>
      </c>
      <c r="AT37" s="74">
        <f>IF(COUNT(K37:AO37)=0,"",MAX(K37:AO37))</f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/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7" s="69">
        <f>IF(OR(AT37="",AU37=""),"NA",IFERROR(AT37-AU37,"NA"))</f>
        <v/>
      </c>
    </row>
    <row r="38" ht="14.25" customHeight="1">
      <c r="A38" s="64" t="n">
        <v>26205080</v>
      </c>
      <c r="B38" s="70" t="inlineStr">
        <is>
          <t>La Aldea</t>
        </is>
      </c>
      <c r="C38" s="70" t="inlineStr">
        <is>
          <t>Area Operativa 01 - Antioquia-Chocó</t>
        </is>
      </c>
      <c r="D38" s="99" t="n">
        <v>-75.70094444</v>
      </c>
      <c r="E38" s="99" t="n">
        <v>6.341055556</v>
      </c>
      <c r="F38" s="64" t="n">
        <v>1737</v>
      </c>
      <c r="G38" s="62" t="n">
        <v>5</v>
      </c>
      <c r="H38" s="62" t="n">
        <v>5001</v>
      </c>
      <c r="I38" s="72" t="inlineStr">
        <is>
          <t>Antioquia</t>
        </is>
      </c>
      <c r="J38" s="72" t="inlineStr">
        <is>
          <t>Medellín</t>
        </is>
      </c>
      <c r="K38" s="66" t="n">
        <v>25</v>
      </c>
      <c r="L38" s="66" t="n">
        <v>27.4</v>
      </c>
      <c r="M38" s="66" t="n">
        <v>29.4</v>
      </c>
      <c r="N38" s="66" t="n">
        <v>29</v>
      </c>
      <c r="O38" s="66" t="n">
        <v>27.6</v>
      </c>
      <c r="P38" s="66" t="n">
        <v>27.2</v>
      </c>
      <c r="Q38" s="66" t="n">
        <v>27.6</v>
      </c>
      <c r="R38" s="112" t="n">
        <v>30</v>
      </c>
      <c r="S38" s="66" t="n">
        <v>29</v>
      </c>
      <c r="T38" s="66" t="n">
        <v>31</v>
      </c>
      <c r="U38" s="66" t="n">
        <v>25</v>
      </c>
      <c r="V38" s="66" t="n">
        <v>29.2</v>
      </c>
      <c r="W38" s="66" t="n">
        <v>27.4</v>
      </c>
      <c r="X38" s="66" t="n">
        <v>29</v>
      </c>
      <c r="Y38" s="66" t="n">
        <v>28.4</v>
      </c>
      <c r="Z38" s="66" t="n">
        <v>27</v>
      </c>
      <c r="AA38" s="66" t="n">
        <v>31</v>
      </c>
      <c r="AB38" s="66" t="n">
        <v>29.2</v>
      </c>
      <c r="AC38" s="66" t="n">
        <v>24.6</v>
      </c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7">
        <f>COUNTIF(K38:AO38,"&gt;0")</f>
        <v/>
      </c>
      <c r="AQ38" s="68">
        <f>IF(AP38&gt;14,AVERAGE(K38:AO38),"")</f>
        <v/>
      </c>
      <c r="AR38" s="68">
        <f>IFERROR(VLOOKUP(A38,Climatologia_TMAX!A:U,9+$E$2,FALSE),"")</f>
        <v/>
      </c>
      <c r="AS38" s="68">
        <f>IF(OR(AQ38="",AR38=""),"",IFERROR(AQ38-AR38,""))</f>
        <v/>
      </c>
      <c r="AT38" s="74">
        <f>IF(COUNT(K38:AO38)=0,"",MAX(K38:AO38))</f>
        <v/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/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8" s="69">
        <f>IF(OR(AT38="",AU38=""),"NA",IFERROR(AT38-AU38,"NA"))</f>
        <v/>
      </c>
    </row>
    <row r="39" ht="14.25" customHeight="1">
      <c r="A39" s="64" t="n">
        <v>27015260</v>
      </c>
      <c r="B39" s="70" t="inlineStr">
        <is>
          <t>La Salada</t>
        </is>
      </c>
      <c r="C39" s="70" t="inlineStr">
        <is>
          <t>Area Operativa 01 - Antioquia-Chocó</t>
        </is>
      </c>
      <c r="D39" s="99" t="n">
        <v>-75.62466667</v>
      </c>
      <c r="E39" s="99" t="n">
        <v>6.048361111</v>
      </c>
      <c r="F39" s="64" t="n">
        <v>1923</v>
      </c>
      <c r="G39" s="62" t="n">
        <v>5</v>
      </c>
      <c r="H39" s="62" t="n">
        <v>5129</v>
      </c>
      <c r="I39" s="72" t="inlineStr">
        <is>
          <t>Antioquia</t>
        </is>
      </c>
      <c r="J39" s="72" t="inlineStr">
        <is>
          <t>Caldas</t>
        </is>
      </c>
      <c r="K39" s="66" t="n">
        <v>24.6</v>
      </c>
      <c r="L39" s="66" t="n">
        <v>25</v>
      </c>
      <c r="M39" s="66" t="n">
        <v>27.2</v>
      </c>
      <c r="N39" s="66" t="n">
        <v>26</v>
      </c>
      <c r="O39" s="66" t="n">
        <v>27.4</v>
      </c>
      <c r="P39" s="66" t="n">
        <v>26.4</v>
      </c>
      <c r="Q39" s="66" t="n">
        <v>26.2</v>
      </c>
      <c r="R39" s="66" t="n">
        <v>28.4</v>
      </c>
      <c r="S39" s="66" t="n">
        <v>27.6</v>
      </c>
      <c r="T39" s="66" t="n">
        <v>28</v>
      </c>
      <c r="U39" s="66" t="n">
        <v>29</v>
      </c>
      <c r="V39" s="109" t="n">
        <v>26.8</v>
      </c>
      <c r="W39" s="66" t="n">
        <v>25.4</v>
      </c>
      <c r="X39" s="66" t="n">
        <v>27.4</v>
      </c>
      <c r="Y39" s="66" t="n">
        <v>25.6</v>
      </c>
      <c r="Z39" s="66" t="n">
        <v>26.2</v>
      </c>
      <c r="AA39" s="66" t="n">
        <v>28.8</v>
      </c>
      <c r="AB39" s="66" t="n">
        <v>27.4</v>
      </c>
      <c r="AC39" s="66" t="n">
        <v/>
      </c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7">
        <f>COUNTIF(K39:AO39,"&gt;0")</f>
        <v/>
      </c>
      <c r="AQ39" s="68">
        <f>IF(AP39&gt;14,AVERAGE(K39:AO39),"")</f>
        <v/>
      </c>
      <c r="AR39" s="68">
        <f>IFERROR(VLOOKUP(A39,Climatologia_TMAX!A:U,9+$E$2,FALSE),"")</f>
        <v/>
      </c>
      <c r="AS39" s="68">
        <f>IF(OR(AQ39="",AR39=""),"",IFERROR(AQ39-AR39,""))</f>
        <v/>
      </c>
      <c r="AT39" s="74">
        <f>IF(COUNT(K39:AO39)=0,"",MAX(K39:AO39))</f>
        <v/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/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39" s="69">
        <f>IF(OR(AT39="",AU39=""),"NA",IFERROR(AT39-AU39,"NA"))</f>
        <v/>
      </c>
    </row>
    <row r="40" ht="14.25" customHeight="1">
      <c r="A40" s="64" t="n">
        <v>26185020</v>
      </c>
      <c r="B40" s="70" t="inlineStr">
        <is>
          <t>Mesopotamia</t>
        </is>
      </c>
      <c r="C40" s="70" t="inlineStr">
        <is>
          <t>Area Operativa 01 - Antioquia-Chocó</t>
        </is>
      </c>
      <c r="D40" s="99" t="n">
        <v>-75.31863889</v>
      </c>
      <c r="E40" s="99" t="n">
        <v>5.886361111</v>
      </c>
      <c r="F40" s="64" t="n">
        <v>2408</v>
      </c>
      <c r="G40" s="62" t="n">
        <v>5</v>
      </c>
      <c r="H40" s="62" t="n">
        <v>5400</v>
      </c>
      <c r="I40" s="72" t="inlineStr">
        <is>
          <t>Antioquia</t>
        </is>
      </c>
      <c r="J40" s="72" t="inlineStr">
        <is>
          <t>La Unión</t>
        </is>
      </c>
      <c r="K40" s="66" t="n">
        <v>22.4</v>
      </c>
      <c r="L40" s="66" t="n">
        <v>21.4</v>
      </c>
      <c r="M40" s="66" t="n">
        <v>22</v>
      </c>
      <c r="N40" s="66" t="n">
        <v>22.2</v>
      </c>
      <c r="O40" s="66" t="n">
        <v>21.8</v>
      </c>
      <c r="P40" s="66" t="n">
        <v>21.8</v>
      </c>
      <c r="Q40" s="66" t="n">
        <v>20.6</v>
      </c>
      <c r="R40" s="66" t="n">
        <v>22.8</v>
      </c>
      <c r="S40" s="66" t="n">
        <v>22.6</v>
      </c>
      <c r="T40" s="66" t="n">
        <v>25.4</v>
      </c>
      <c r="U40" s="66" t="n">
        <v>23.2</v>
      </c>
      <c r="V40" s="66" t="n">
        <v>23</v>
      </c>
      <c r="W40" s="66" t="n">
        <v>21.8</v>
      </c>
      <c r="X40" s="66" t="n">
        <v>22.4</v>
      </c>
      <c r="Y40" s="66" t="n">
        <v>23</v>
      </c>
      <c r="Z40" s="66" t="n">
        <v>22</v>
      </c>
      <c r="AA40" s="66" t="n">
        <v>22.8</v>
      </c>
      <c r="AB40" s="66" t="n">
        <v>23</v>
      </c>
      <c r="AC40" s="66" t="n">
        <v>22.2</v>
      </c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7">
        <f>COUNTIF(K40:AO40,"&gt;0")</f>
        <v/>
      </c>
      <c r="AQ40" s="68">
        <f>IF(AP40&gt;14,AVERAGE(K40:AO40),"")</f>
        <v/>
      </c>
      <c r="AR40" s="68">
        <f>IFERROR(VLOOKUP(A40,Climatologia_TMAX!A:U,9+$E$2,FALSE),"")</f>
        <v/>
      </c>
      <c r="AS40" s="68">
        <f>IF(OR(AQ40="",AR40=""),"",IFERROR(AQ40-AR40,""))</f>
        <v/>
      </c>
      <c r="AT40" s="74">
        <f>IF(COUNT(K40:AO40)=0,"",MAX(K40:AO40))</f>
        <v/>
      </c>
      <c r="AU40" s="74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>
        <f>IF(OR(AT40="",AU40=""),"NA",IFERROR(AT40-AU40,"NA"))</f>
        <v/>
      </c>
    </row>
    <row r="41" ht="14.25" customHeight="1">
      <c r="A41" s="64" t="n">
        <v>23085140</v>
      </c>
      <c r="B41" s="70" t="inlineStr">
        <is>
          <t>San Francisco</t>
        </is>
      </c>
      <c r="C41" s="70" t="inlineStr">
        <is>
          <t>Area Operativa 01 - Antioquia-Chocó</t>
        </is>
      </c>
      <c r="D41" s="99" t="n">
        <v>-75.10069444</v>
      </c>
      <c r="E41" s="99" t="n">
        <v>5.963805556</v>
      </c>
      <c r="F41" s="64" t="n">
        <v>1325</v>
      </c>
      <c r="G41" s="62" t="n">
        <v>5</v>
      </c>
      <c r="H41" s="62" t="n">
        <v>5652</v>
      </c>
      <c r="I41" s="72" t="inlineStr">
        <is>
          <t>Antioquia</t>
        </is>
      </c>
      <c r="J41" s="72" t="inlineStr">
        <is>
          <t>San Francisco</t>
        </is>
      </c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7">
        <f>COUNTIF(K41:AO41,"&gt;0")</f>
        <v/>
      </c>
      <c r="AQ41" s="68">
        <f>IF(AP41&gt;14,AVERAGE(K41:AO41),"")</f>
        <v/>
      </c>
      <c r="AR41" s="68">
        <f>IFERROR(VLOOKUP(A41,Climatologia_TMAX!A:U,9+$E$2,FALSE),"")</f>
        <v/>
      </c>
      <c r="AS41" s="68">
        <f>IF(OR(AQ41="",AR41=""),"",IFERROR(AQ41-AR41,""))</f>
        <v/>
      </c>
      <c r="AT41" s="74">
        <f>IF(COUNT(K41:AO41)=0,"",MAX(K41:AO41))</f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/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1" s="69">
        <f>IF(OR(AT41="",AU41=""),"NA",IFERROR(AT41-AU41,"NA"))</f>
        <v/>
      </c>
    </row>
    <row r="42" ht="14.25" customHeight="1">
      <c r="A42" s="64" t="n">
        <v>27015090</v>
      </c>
      <c r="B42" s="70" t="inlineStr">
        <is>
          <t>Tulio Ospina</t>
        </is>
      </c>
      <c r="C42" s="70" t="inlineStr">
        <is>
          <t>Area Operativa 01 - Antioquia-Chocó</t>
        </is>
      </c>
      <c r="D42" s="99" t="n">
        <v>-75.55325000000001</v>
      </c>
      <c r="E42" s="99" t="n">
        <v>6.319694444</v>
      </c>
      <c r="F42" s="64" t="n">
        <v>1453</v>
      </c>
      <c r="G42" s="62" t="n">
        <v>5</v>
      </c>
      <c r="H42" s="62" t="n">
        <v>5088</v>
      </c>
      <c r="I42" s="72" t="inlineStr">
        <is>
          <t>Antioquia</t>
        </is>
      </c>
      <c r="J42" s="72" t="inlineStr">
        <is>
          <t>Bello</t>
        </is>
      </c>
      <c r="K42" s="66" t="n">
        <v>30.6</v>
      </c>
      <c r="L42" s="66" t="n">
        <v>31.8</v>
      </c>
      <c r="M42" s="66" t="n">
        <v>33.2</v>
      </c>
      <c r="N42" s="66" t="n">
        <v>33.4</v>
      </c>
      <c r="O42" s="66" t="n">
        <v>32.2</v>
      </c>
      <c r="P42" s="66" t="n">
        <v>31</v>
      </c>
      <c r="Q42" s="66" t="n">
        <v>30</v>
      </c>
      <c r="R42" s="112" t="n">
        <v>33.4</v>
      </c>
      <c r="S42" s="66" t="n">
        <v>33</v>
      </c>
      <c r="T42" s="66" t="n">
        <v>33.6</v>
      </c>
      <c r="U42" s="66" t="n">
        <v>30.8</v>
      </c>
      <c r="V42" s="66" t="n">
        <v>32.2</v>
      </c>
      <c r="W42" s="66" t="n">
        <v>30.4</v>
      </c>
      <c r="X42" s="66" t="n">
        <v>32.8</v>
      </c>
      <c r="Y42" s="66" t="n">
        <v>30.6</v>
      </c>
      <c r="Z42" s="66" t="n">
        <v>31.8</v>
      </c>
      <c r="AA42" s="66" t="n">
        <v>33.6</v>
      </c>
      <c r="AB42" s="66" t="n">
        <v>34</v>
      </c>
      <c r="AC42" s="66" t="n">
        <v>28.6</v>
      </c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7">
        <f>COUNTIF(K42:AO42,"&gt;0")</f>
        <v/>
      </c>
      <c r="AQ42" s="68">
        <f>IF(AP42&gt;14,AVERAGE(K42:AO42),"")</f>
        <v/>
      </c>
      <c r="AR42" s="68">
        <f>IFERROR(VLOOKUP(A42,Climatologia_TMAX!A:U,9+$E$2,FALSE),"")</f>
        <v/>
      </c>
      <c r="AS42" s="68">
        <f>IF(OR(AQ42="",AR42=""),"",IFERROR(AQ42-AR42,""))</f>
        <v/>
      </c>
      <c r="AT42" s="74">
        <f>IF(COUNT(K42:AO42)=0,"",MAX(K42:AO42))</f>
        <v/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/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2" s="69">
        <f>IF(OR(AT42="",AU42=""),"NA",IFERROR(AT42-AU42,"NA"))</f>
        <v/>
      </c>
    </row>
    <row r="43" ht="14.25" customHeight="1">
      <c r="A43" s="64" t="n">
        <v>12015020</v>
      </c>
      <c r="B43" s="70" t="inlineStr">
        <is>
          <t>Uniban</t>
        </is>
      </c>
      <c r="C43" s="70" t="inlineStr">
        <is>
          <t>Area Operativa 01 - Antioquia-Chocó</t>
        </is>
      </c>
      <c r="D43" s="99" t="n">
        <v>-76.65133333</v>
      </c>
      <c r="E43" s="99" t="n">
        <v>7.825916667</v>
      </c>
      <c r="F43" s="64" t="n">
        <v>43</v>
      </c>
      <c r="G43" s="62" t="n">
        <v>5</v>
      </c>
      <c r="H43" s="62" t="n">
        <v>5045</v>
      </c>
      <c r="I43" s="72" t="inlineStr">
        <is>
          <t>Antioquia</t>
        </is>
      </c>
      <c r="J43" s="72" t="inlineStr">
        <is>
          <t>Apartadó</t>
        </is>
      </c>
      <c r="K43" s="66" t="n">
        <v>31.2</v>
      </c>
      <c r="L43" s="66" t="n">
        <v>32.4</v>
      </c>
      <c r="M43" s="66" t="n">
        <v>32.2</v>
      </c>
      <c r="N43" s="66" t="n">
        <v>33</v>
      </c>
      <c r="O43" s="66" t="n">
        <v>31</v>
      </c>
      <c r="P43" s="66" t="n">
        <v>31.8</v>
      </c>
      <c r="Q43" s="66" t="n">
        <v>32</v>
      </c>
      <c r="R43" s="66" t="n">
        <v>33.8</v>
      </c>
      <c r="S43" s="66" t="n">
        <v>33.4</v>
      </c>
      <c r="T43" s="66" t="n">
        <v>33.8</v>
      </c>
      <c r="U43" s="66" t="n">
        <v>31.2</v>
      </c>
      <c r="V43" s="66" t="n">
        <v>31.6</v>
      </c>
      <c r="W43" s="66" t="n">
        <v>32.6</v>
      </c>
      <c r="X43" s="66" t="n">
        <v>33.4</v>
      </c>
      <c r="Y43" s="66" t="n">
        <v>33</v>
      </c>
      <c r="Z43" s="66" t="n">
        <v>35.2</v>
      </c>
      <c r="AA43" s="66" t="n">
        <v>35.2</v>
      </c>
      <c r="AB43" s="66" t="n">
        <v>32.2</v>
      </c>
      <c r="AC43" s="66" t="n">
        <v>33.8</v>
      </c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7">
        <f>COUNTIF(K43:AO43,"&gt;0")</f>
        <v/>
      </c>
      <c r="AQ43" s="68">
        <f>IF(AP43&gt;14,AVERAGE(K43:AO43),"")</f>
        <v/>
      </c>
      <c r="AR43" s="68">
        <f>IFERROR(VLOOKUP(A43,Climatologia_TMAX!A:U,9+$E$2,FALSE),"")</f>
        <v/>
      </c>
      <c r="AS43" s="68">
        <f>IF(OR(AQ43="",AR43=""),"",IFERROR(AQ43-AR43,""))</f>
        <v/>
      </c>
      <c r="AT43" s="74">
        <f>IF(COUNT(K43:AO43)=0,"",MAX(K43:AO43))</f>
        <v/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/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3" s="69">
        <f>IF(OR(AT43="",AU43=""),"NA",IFERROR(AT43-AU43,"NA"))</f>
        <v/>
      </c>
    </row>
    <row r="44" ht="14.25" customHeight="1">
      <c r="A44" s="64" t="n">
        <v>11075020</v>
      </c>
      <c r="B44" s="70" t="inlineStr">
        <is>
          <t>Urrao</t>
        </is>
      </c>
      <c r="C44" s="70" t="inlineStr">
        <is>
          <t>Area Operativa 01 - Antioquia-Chocó</t>
        </is>
      </c>
      <c r="D44" s="99" t="n">
        <v>-76.143305556</v>
      </c>
      <c r="E44" s="99" t="n">
        <v>6.298305556</v>
      </c>
      <c r="F44" s="64" t="n">
        <v>1833</v>
      </c>
      <c r="G44" s="62" t="n">
        <v>5</v>
      </c>
      <c r="H44" s="62" t="n">
        <v>5847</v>
      </c>
      <c r="I44" s="72" t="inlineStr">
        <is>
          <t>Antioquia</t>
        </is>
      </c>
      <c r="J44" s="72" t="inlineStr">
        <is>
          <t>Urrao</t>
        </is>
      </c>
      <c r="K44" s="66" t="n">
        <v>26.4</v>
      </c>
      <c r="L44" s="66" t="n">
        <v>27.6</v>
      </c>
      <c r="M44" s="66" t="n">
        <v>27.4</v>
      </c>
      <c r="N44" s="66" t="n">
        <v>27</v>
      </c>
      <c r="O44" s="66" t="n">
        <v>27.2</v>
      </c>
      <c r="P44" s="66" t="n">
        <v>28</v>
      </c>
      <c r="Q44" s="66" t="n">
        <v>27.8</v>
      </c>
      <c r="R44" s="66" t="n">
        <v>29.2</v>
      </c>
      <c r="S44" s="66" t="n">
        <v>27.4</v>
      </c>
      <c r="T44" s="66" t="n">
        <v>26</v>
      </c>
      <c r="U44" s="66" t="n">
        <v>25.4</v>
      </c>
      <c r="V44" s="66" t="n">
        <v>27.4</v>
      </c>
      <c r="W44" s="66" t="n">
        <v>29</v>
      </c>
      <c r="X44" s="66" t="n">
        <v>28</v>
      </c>
      <c r="Y44" s="66" t="n">
        <v>26.8</v>
      </c>
      <c r="Z44" s="66" t="n">
        <v>26.8</v>
      </c>
      <c r="AA44" s="109" t="n">
        <v>29.8</v>
      </c>
      <c r="AB44" s="66" t="n">
        <v>29.6</v>
      </c>
      <c r="AC44" s="66" t="n">
        <v>28.4</v>
      </c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7">
        <f>COUNTIF(K44:AO44,"&gt;0")</f>
        <v/>
      </c>
      <c r="AQ44" s="68">
        <f>IF(AP44&gt;14,AVERAGE(K44:AO44),"")</f>
        <v/>
      </c>
      <c r="AR44" s="68">
        <f>IFERROR(VLOOKUP(A44,Climatologia_TMAX!A:U,9+$E$2,FALSE),"")</f>
        <v/>
      </c>
      <c r="AS44" s="68">
        <f>IF(OR(AQ44="",AR44=""),"",IFERROR(AQ44-AR44,""))</f>
        <v/>
      </c>
      <c r="AT44" s="74">
        <f>IF(COUNT(K44:AO44)=0,"",MAX(K44:AO44))</f>
        <v/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/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4" s="69">
        <f>IF(OR(AT44="",AU44=""),"NA",IFERROR(AT44-AU44,"NA"))</f>
        <v/>
      </c>
    </row>
    <row r="45" ht="14.25" customHeight="1">
      <c r="A45" s="64" t="n">
        <v>25025080</v>
      </c>
      <c r="B45" s="70" t="inlineStr">
        <is>
          <t>Aeropuerto Rafael Barvo</t>
        </is>
      </c>
      <c r="C45" s="70" t="inlineStr">
        <is>
          <t>Area Operativa 02 - Atlántico-Bolivar-Sucre</t>
        </is>
      </c>
      <c r="D45" s="99" t="n">
        <v>-75.28305555999999</v>
      </c>
      <c r="E45" s="99" t="n">
        <v>9.333888889000001</v>
      </c>
      <c r="F45" s="64" t="n">
        <v>166</v>
      </c>
      <c r="G45" s="62" t="n">
        <v>70</v>
      </c>
      <c r="H45" s="62" t="n">
        <v>70215</v>
      </c>
      <c r="I45" s="72" t="inlineStr">
        <is>
          <t>Sucre</t>
        </is>
      </c>
      <c r="J45" s="72" t="inlineStr">
        <is>
          <t>Corozal</t>
        </is>
      </c>
      <c r="K45" s="66" t="n">
        <v>34</v>
      </c>
      <c r="L45" s="66" t="n">
        <v>34.6</v>
      </c>
      <c r="M45" s="66" t="n">
        <v>34.8</v>
      </c>
      <c r="N45" s="66" t="n">
        <v>36.2</v>
      </c>
      <c r="O45" s="66" t="n">
        <v>35.6</v>
      </c>
      <c r="P45" s="66" t="n">
        <v>33.6</v>
      </c>
      <c r="Q45" s="66" t="n">
        <v>32.6</v>
      </c>
      <c r="R45" s="66" t="n">
        <v>36.2</v>
      </c>
      <c r="S45" s="66" t="n">
        <v>37.2</v>
      </c>
      <c r="T45" s="66" t="n">
        <v>36.8</v>
      </c>
      <c r="U45" s="66" t="n">
        <v>33.6</v>
      </c>
      <c r="V45" s="66" t="n">
        <v>36</v>
      </c>
      <c r="W45" s="66" t="n">
        <v>33</v>
      </c>
      <c r="X45" s="66" t="n">
        <v>34.2</v>
      </c>
      <c r="Y45" s="66" t="n">
        <v>35</v>
      </c>
      <c r="Z45" s="66" t="n">
        <v>32.2</v>
      </c>
      <c r="AA45" s="66" t="n">
        <v>36.8</v>
      </c>
      <c r="AB45" s="66" t="n">
        <v>36.6</v>
      </c>
      <c r="AC45" s="66" t="n">
        <v>31.2</v>
      </c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7">
        <f>COUNTIF(K45:AO45,"&gt;0")</f>
        <v/>
      </c>
      <c r="AQ45" s="68">
        <f>IF(AP45&gt;14,AVERAGE(K45:AO45),"")</f>
        <v/>
      </c>
      <c r="AR45" s="68">
        <f>IFERROR(VLOOKUP(A45,Climatologia_TMAX!A:U,9+$E$2,FALSE),"")</f>
        <v/>
      </c>
      <c r="AS45" s="68">
        <f>IF(OR(AQ45="",AR45=""),"",IFERROR(AQ45-AR45,""))</f>
        <v/>
      </c>
      <c r="AT45" s="74">
        <f>IF(COUNT(K45:AO45)=0,"",MAX(K45:AO45))</f>
        <v/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/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5" s="69">
        <f>IF(OR(AT45="",AU45=""),"NA",IFERROR(AT45-AU45,"NA"))</f>
        <v/>
      </c>
    </row>
    <row r="46" ht="14.25" customHeight="1">
      <c r="A46" s="64" t="n">
        <v>12045010</v>
      </c>
      <c r="B46" s="70" t="inlineStr">
        <is>
          <t>Arboletes</t>
        </is>
      </c>
      <c r="C46" s="70" t="inlineStr">
        <is>
          <t>Area Operativa 02 - Atlántico-Bolivar-Sucre</t>
        </is>
      </c>
      <c r="D46" s="99" t="n">
        <v>-76.43194444</v>
      </c>
      <c r="E46" s="99" t="n">
        <v>8.846944444</v>
      </c>
      <c r="F46" s="64" t="n">
        <v>4</v>
      </c>
      <c r="G46" s="62" t="n">
        <v>5</v>
      </c>
      <c r="H46" s="62" t="n">
        <v>5051</v>
      </c>
      <c r="I46" s="72" t="inlineStr">
        <is>
          <t>Antioquia</t>
        </is>
      </c>
      <c r="J46" s="72" t="inlineStr">
        <is>
          <t>Arboletes</t>
        </is>
      </c>
      <c r="K46" s="66" t="n">
        <v>31.8</v>
      </c>
      <c r="L46" s="66" t="n">
        <v>31.6</v>
      </c>
      <c r="M46" s="66" t="n">
        <v>32.2</v>
      </c>
      <c r="N46" s="66" t="n">
        <v>32</v>
      </c>
      <c r="O46" s="66" t="n">
        <v>31.8</v>
      </c>
      <c r="P46" s="66" t="n">
        <v>31.2</v>
      </c>
      <c r="Q46" s="66" t="n">
        <v>30.2</v>
      </c>
      <c r="R46" s="66" t="n">
        <v>32.6</v>
      </c>
      <c r="S46" s="66" t="n">
        <v>33.2</v>
      </c>
      <c r="T46" s="66" t="n">
        <v>31.6</v>
      </c>
      <c r="U46" s="66" t="n">
        <v>30.2</v>
      </c>
      <c r="V46" s="66" t="n">
        <v>31.4</v>
      </c>
      <c r="W46" s="66" t="n">
        <v>31.2</v>
      </c>
      <c r="X46" s="66" t="n">
        <v>31</v>
      </c>
      <c r="Y46" s="66" t="n">
        <v>30.2</v>
      </c>
      <c r="Z46" s="66" t="n">
        <v>31.8</v>
      </c>
      <c r="AA46" s="66" t="n">
        <v>32</v>
      </c>
      <c r="AB46" s="66" t="n">
        <v>31.8</v>
      </c>
      <c r="AC46" s="66" t="n">
        <v>30.2</v>
      </c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7">
        <f>COUNTIF(K46:AO46,"&gt;0")</f>
        <v/>
      </c>
      <c r="AQ46" s="68">
        <f>IF(AP46&gt;14,AVERAGE(K46:AO46),"")</f>
        <v/>
      </c>
      <c r="AR46" s="68">
        <f>IFERROR(VLOOKUP(A46,Climatologia_TMAX!A:U,9+$E$2,FALSE),"")</f>
        <v/>
      </c>
      <c r="AS46" s="68">
        <f>IF(OR(AQ46="",AR46=""),"",IFERROR(AQ46-AR46,""))</f>
        <v/>
      </c>
      <c r="AT46" s="74">
        <f>IF(COUNT(K46:AO46)=0,"",MAX(K46:AO46))</f>
        <v/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/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6" s="69">
        <f>IF(OR(AT46="",AU46=""),"NA",IFERROR(AT46-AU46,"NA"))</f>
        <v/>
      </c>
    </row>
    <row r="47" ht="14.25" customHeight="1">
      <c r="A47" s="64" t="n">
        <v>14010050</v>
      </c>
      <c r="B47" s="70" t="inlineStr">
        <is>
          <t>Cañaveral</t>
        </is>
      </c>
      <c r="C47" s="70" t="inlineStr">
        <is>
          <t>Area Operativa 02 - Atlántico-Bolivar-Sucre</t>
        </is>
      </c>
      <c r="D47" s="99" t="n">
        <v>-75.335295</v>
      </c>
      <c r="E47" s="99" t="n">
        <v>10.392974</v>
      </c>
      <c r="F47" s="64" t="n">
        <v>75</v>
      </c>
      <c r="G47" s="62" t="n">
        <v>13</v>
      </c>
      <c r="H47" s="62" t="n">
        <v>13836</v>
      </c>
      <c r="I47" s="72" t="inlineStr">
        <is>
          <t>Bolívar</t>
        </is>
      </c>
      <c r="J47" s="72" t="inlineStr">
        <is>
          <t>Turbaco</t>
        </is>
      </c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7">
        <f>COUNTIF(K47:AO47,"&gt;0")</f>
        <v/>
      </c>
      <c r="AQ47" s="68">
        <f>IF(AP47&gt;14,AVERAGE(K47:AO47),"")</f>
        <v/>
      </c>
      <c r="AR47" s="68">
        <f>IFERROR(VLOOKUP(A47,Climatologia_TMAX!A:U,9+$E$2,FALSE),"")</f>
        <v/>
      </c>
      <c r="AS47" s="68">
        <f>IF(OR(AQ47="",AR47=""),"",IFERROR(AQ47-AR47,""))</f>
        <v/>
      </c>
      <c r="AT47" s="74">
        <f>IF(COUNT(K47:AO47)=0,"",MAX(K47:AO47))</f>
        <v/>
      </c>
      <c r="AU47" s="74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>
        <f>IF(OR(AT47="",AU47=""),"NA",IFERROR(AT47-AU47,"NA"))</f>
        <v/>
      </c>
    </row>
    <row r="48" ht="14.25" customHeight="1">
      <c r="A48" s="64" t="n">
        <v>13090040</v>
      </c>
      <c r="B48" s="70" t="inlineStr">
        <is>
          <t>Chalan</t>
        </is>
      </c>
      <c r="C48" s="70" t="inlineStr">
        <is>
          <t>Area Operativa 02 - Atlántico-Bolivar-Sucre</t>
        </is>
      </c>
      <c r="D48" s="99" t="n">
        <v>-75.32250000000001</v>
      </c>
      <c r="E48" s="99" t="n">
        <v>9.538611111</v>
      </c>
      <c r="F48" s="64" t="n">
        <v>100</v>
      </c>
      <c r="G48" s="62" t="n">
        <v>70</v>
      </c>
      <c r="H48" s="62" t="n">
        <v>70230</v>
      </c>
      <c r="I48" s="72" t="inlineStr">
        <is>
          <t>Sucre</t>
        </is>
      </c>
      <c r="J48" s="72" t="inlineStr">
        <is>
          <t>Chalán</t>
        </is>
      </c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7">
        <f>COUNTIF(K48:AO48,"&gt;0")</f>
        <v/>
      </c>
      <c r="AQ48" s="68">
        <f>IF(AP48&gt;14,AVERAGE(K48:AO48),"")</f>
        <v/>
      </c>
      <c r="AR48" s="68">
        <f>IFERROR(VLOOKUP(A48,Climatologia_TMAX!A:U,9+$E$2,FALSE),"")</f>
        <v/>
      </c>
      <c r="AS48" s="68">
        <f>IF(OR(AQ48="",AR48=""),"",IFERROR(AQ48-AR48,""))</f>
        <v/>
      </c>
      <c r="AT48" s="74">
        <f>IF(COUNT(K48:AO48)=0,"",MAX(K48:AO48))</f>
        <v/>
      </c>
      <c r="AU48" s="74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>
        <f>IF(OR(AT48="",AU48=""),"NA",IFERROR(AT48-AU48,"NA"))</f>
        <v/>
      </c>
    </row>
    <row r="49" ht="14.25" customHeight="1">
      <c r="A49" s="64" t="n">
        <v>13075010</v>
      </c>
      <c r="B49" s="70" t="inlineStr">
        <is>
          <t>Chima</t>
        </is>
      </c>
      <c r="C49" s="70" t="inlineStr">
        <is>
          <t>Area Operativa 02 - Atlántico-Bolivar-Sucre</t>
        </is>
      </c>
      <c r="D49" s="99" t="n">
        <v>-75.62208333</v>
      </c>
      <c r="E49" s="99" t="n">
        <v>9.15075</v>
      </c>
      <c r="F49" s="64" t="n">
        <v>20</v>
      </c>
      <c r="G49" s="62" t="n">
        <v>23</v>
      </c>
      <c r="H49" s="62" t="n">
        <v>23168</v>
      </c>
      <c r="I49" s="72" t="inlineStr">
        <is>
          <t>Córdoba</t>
        </is>
      </c>
      <c r="J49" s="72" t="inlineStr">
        <is>
          <t>Chimá</t>
        </is>
      </c>
      <c r="K49" s="66" t="n">
        <v>33.8</v>
      </c>
      <c r="L49" s="66" t="n">
        <v>33.6</v>
      </c>
      <c r="M49" s="66" t="n">
        <v>34.8</v>
      </c>
      <c r="N49" s="66" t="n">
        <v>35.8</v>
      </c>
      <c r="O49" s="66" t="n">
        <v>36.2</v>
      </c>
      <c r="P49" s="66" t="n">
        <v>31.8</v>
      </c>
      <c r="Q49" s="66" t="n">
        <v>33.8</v>
      </c>
      <c r="R49" s="66" t="n">
        <v>34.2</v>
      </c>
      <c r="S49" s="66" t="n">
        <v>37.2</v>
      </c>
      <c r="T49" s="66" t="n">
        <v>34.4</v>
      </c>
      <c r="U49" s="66" t="n">
        <v>33</v>
      </c>
      <c r="V49" s="66" t="n">
        <v>37.4</v>
      </c>
      <c r="W49" s="66" t="n">
        <v>31.8</v>
      </c>
      <c r="X49" s="66" t="n">
        <v>34.2</v>
      </c>
      <c r="Y49" s="66" t="n">
        <v>33.8</v>
      </c>
      <c r="Z49" s="66" t="n">
        <v>34.2</v>
      </c>
      <c r="AA49" s="66" t="n">
        <v>33.6</v>
      </c>
      <c r="AB49" s="66" t="n">
        <v>35.2</v>
      </c>
      <c r="AC49" s="66" t="n">
        <v>30.4</v>
      </c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7">
        <f>COUNTIF(K49:AO49,"&gt;0")</f>
        <v/>
      </c>
      <c r="AQ49" s="68">
        <f>IF(AP49&gt;14,AVERAGE(K49:AO49),"")</f>
        <v/>
      </c>
      <c r="AR49" s="68">
        <f>IFERROR(VLOOKUP(A49,Climatologia_TMAX!A:U,9+$E$2,FALSE),"")</f>
        <v/>
      </c>
      <c r="AS49" s="68">
        <f>IF(OR(AQ49="",AR49=""),"",IFERROR(AQ49-AR49,""))</f>
        <v/>
      </c>
      <c r="AT49" s="74">
        <f>IF(COUNT(K49:AO49)=0,"",MAX(K49:AO49))</f>
        <v/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/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9" s="69">
        <f>IF(OR(AT49="",AU49=""),"NA",IFERROR(AT49-AU49,"NA"))</f>
        <v/>
      </c>
    </row>
    <row r="50" ht="14.25" customHeight="1">
      <c r="A50" s="64" t="n">
        <v>25020470</v>
      </c>
      <c r="B50" s="70" t="inlineStr">
        <is>
          <t>Chinu - AUT</t>
        </is>
      </c>
      <c r="C50" s="70" t="inlineStr">
        <is>
          <t>Area Operativa 02 - Atlántico-Bolivar-Sucre</t>
        </is>
      </c>
      <c r="D50" s="99" t="n">
        <v>-75.39333333</v>
      </c>
      <c r="E50" s="99" t="n">
        <v>9.117777778000001</v>
      </c>
      <c r="F50" s="64" t="n">
        <v>125</v>
      </c>
      <c r="G50" s="62" t="n">
        <v>23</v>
      </c>
      <c r="H50" s="62" t="n">
        <v>23182</v>
      </c>
      <c r="I50" s="72" t="inlineStr">
        <is>
          <t>Córdoba</t>
        </is>
      </c>
      <c r="J50" s="72" t="inlineStr">
        <is>
          <t>Chinú</t>
        </is>
      </c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7">
        <f>COUNTIF(K50:AO50,"&gt;0")</f>
        <v/>
      </c>
      <c r="AQ50" s="68">
        <f>IF(AP50&gt;14,AVERAGE(K50:AO50),"")</f>
        <v/>
      </c>
      <c r="AR50" s="68">
        <f>IFERROR(VLOOKUP(A50,Climatologia_TMAX!A:U,9+$E$2,FALSE),"")</f>
        <v/>
      </c>
      <c r="AS50" s="68">
        <f>IF(OR(AQ50="",AR50=""),"",IFERROR(AQ50-AR50,""))</f>
        <v/>
      </c>
      <c r="AT50" s="74">
        <f>IF(COUNT(K50:AO50)=0,"",MAX(K50:AO50))</f>
        <v/>
      </c>
      <c r="AU50" s="74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>
        <f>IF(OR(AT50="",AU50=""),"NA",IFERROR(AT50-AU50,"NA"))</f>
        <v/>
      </c>
    </row>
    <row r="51" ht="14.25" customHeight="1">
      <c r="A51" s="64" t="n">
        <v>25025170</v>
      </c>
      <c r="B51" s="70" t="inlineStr">
        <is>
          <t>Colomboy</t>
        </is>
      </c>
      <c r="C51" s="70" t="inlineStr">
        <is>
          <t>Area Operativa 02 - Atlántico-Bolivar-Sucre</t>
        </is>
      </c>
      <c r="D51" s="99" t="n">
        <v>-75.49883333</v>
      </c>
      <c r="E51" s="99" t="n">
        <v>8.740861110999999</v>
      </c>
      <c r="F51" s="64" t="n">
        <v>125</v>
      </c>
      <c r="G51" s="62" t="n">
        <v>23</v>
      </c>
      <c r="H51" s="62" t="n">
        <v>23660</v>
      </c>
      <c r="I51" s="72" t="inlineStr">
        <is>
          <t>Córdoba</t>
        </is>
      </c>
      <c r="J51" s="72" t="inlineStr">
        <is>
          <t>Sahagún</t>
        </is>
      </c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7">
        <f>COUNTIF(K51:AO51,"&gt;0")</f>
        <v/>
      </c>
      <c r="AQ51" s="68">
        <f>IF(AP51&gt;14,AVERAGE(K51:AO51),"")</f>
        <v/>
      </c>
      <c r="AR51" s="68">
        <f>IFERROR(VLOOKUP(A51,Climatologia_TMAX!A:U,9+$E$2,FALSE),"")</f>
        <v/>
      </c>
      <c r="AS51" s="68">
        <f>IF(OR(AQ51="",AR51=""),"",IFERROR(AQ51-AR51,""))</f>
        <v/>
      </c>
      <c r="AT51" s="74">
        <f>IF(COUNT(K51:AO51)=0,"",MAX(K51:AO51))</f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/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1" s="69">
        <f>IF(OR(AT51="",AU51=""),"NA",IFERROR(AT51-AU51,"NA"))</f>
        <v/>
      </c>
    </row>
    <row r="52" ht="14.25" customHeight="1">
      <c r="A52" s="64" t="n">
        <v>12045020</v>
      </c>
      <c r="B52" s="70" t="inlineStr">
        <is>
          <t>Cristo Rey  - AUT</t>
        </is>
      </c>
      <c r="C52" s="70" t="inlineStr">
        <is>
          <t>Area Operativa 02 - Atlántico-Bolivar-Sucre</t>
        </is>
      </c>
      <c r="D52" s="99" t="n">
        <v>-76.22444444</v>
      </c>
      <c r="E52" s="99" t="n">
        <v>9.071111111</v>
      </c>
      <c r="F52" s="64" t="n">
        <v>15</v>
      </c>
      <c r="G52" s="62" t="n">
        <v>23</v>
      </c>
      <c r="H52" s="62" t="n">
        <v>23574</v>
      </c>
      <c r="I52" s="72" t="inlineStr">
        <is>
          <t>Córdoba</t>
        </is>
      </c>
      <c r="J52" s="72" t="inlineStr">
        <is>
          <t>Puerto Escondido</t>
        </is>
      </c>
      <c r="K52" s="66" t="n">
        <v>32</v>
      </c>
      <c r="L52" s="66" t="n">
        <v>32.8</v>
      </c>
      <c r="M52" s="66" t="n">
        <v>32.6</v>
      </c>
      <c r="N52" s="66" t="n">
        <v>33</v>
      </c>
      <c r="O52" s="66" t="n">
        <v>33.4</v>
      </c>
      <c r="P52" s="66" t="n">
        <v>31.4</v>
      </c>
      <c r="Q52" s="66" t="n">
        <v>32.2</v>
      </c>
      <c r="R52" s="66" t="n">
        <v>34.2</v>
      </c>
      <c r="S52" s="66" t="n">
        <v>34.4</v>
      </c>
      <c r="T52" s="66" t="n">
        <v>31</v>
      </c>
      <c r="U52" s="66" t="n">
        <v>30</v>
      </c>
      <c r="V52" s="66" t="n">
        <v>32.2</v>
      </c>
      <c r="W52" s="66" t="n">
        <v/>
      </c>
      <c r="X52" s="66" t="n">
        <v>31</v>
      </c>
      <c r="Y52" s="66" t="n">
        <v>31.8</v>
      </c>
      <c r="Z52" s="66" t="n">
        <v>31.2</v>
      </c>
      <c r="AA52" s="66" t="n">
        <v>34.2</v>
      </c>
      <c r="AB52" s="66" t="n">
        <v>32.4</v>
      </c>
      <c r="AC52" s="66" t="n">
        <v>29.8</v>
      </c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7">
        <f>COUNTIF(K52:AO52,"&gt;0")</f>
        <v/>
      </c>
      <c r="AQ52" s="68">
        <f>IF(AP52&gt;14,AVERAGE(K52:AO52),"")</f>
        <v/>
      </c>
      <c r="AR52" s="68">
        <f>IFERROR(VLOOKUP(A52,Climatologia_TMAX!A:U,9+$E$2,FALSE),"")</f>
        <v/>
      </c>
      <c r="AS52" s="68">
        <f>IF(OR(AQ52="",AR52=""),"",IFERROR(AQ52-AR52,""))</f>
        <v/>
      </c>
      <c r="AT52" s="74">
        <f>IF(COUNT(K52:AO52)=0,"",MAX(K52:AO52))</f>
        <v/>
      </c>
      <c r="AU52" s="74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>
        <f>IF(OR(AT52="",AU52=""),"NA",IFERROR(AT52-AU52,"NA"))</f>
        <v/>
      </c>
    </row>
    <row r="53" ht="14.25" customHeight="1">
      <c r="A53" s="64" t="n">
        <v>25025160</v>
      </c>
      <c r="B53" s="70" t="inlineStr">
        <is>
          <t>Cuba Hacienda</t>
        </is>
      </c>
      <c r="C53" s="70" t="inlineStr">
        <is>
          <t>Area Operativa 02 - Atlántico-Bolivar-Sucre</t>
        </is>
      </c>
      <c r="D53" s="99" t="n">
        <v>-75.40277777999999</v>
      </c>
      <c r="E53" s="99" t="n">
        <v>8.003888889000001</v>
      </c>
      <c r="F53" s="64" t="n">
        <v>50</v>
      </c>
      <c r="G53" s="62" t="n">
        <v>23</v>
      </c>
      <c r="H53" s="62" t="n">
        <v>23466</v>
      </c>
      <c r="I53" s="72" t="inlineStr">
        <is>
          <t>Córdoba</t>
        </is>
      </c>
      <c r="J53" s="72" t="inlineStr">
        <is>
          <t>Montelíbano</t>
        </is>
      </c>
      <c r="K53" s="66" t="n">
        <v>33.8</v>
      </c>
      <c r="L53" s="66" t="n">
        <v>32</v>
      </c>
      <c r="M53" s="66" t="n">
        <v>34.2</v>
      </c>
      <c r="N53" s="66" t="n">
        <v>34</v>
      </c>
      <c r="O53" s="66" t="n">
        <v>33.8</v>
      </c>
      <c r="P53" s="66" t="n">
        <v>29.8</v>
      </c>
      <c r="Q53" s="66" t="n">
        <v>33.8</v>
      </c>
      <c r="R53" s="66" t="n">
        <v>35</v>
      </c>
      <c r="S53" s="66" t="n">
        <v>35.2</v>
      </c>
      <c r="T53" s="66" t="n">
        <v>33.2</v>
      </c>
      <c r="U53" s="66" t="n">
        <v>31.8</v>
      </c>
      <c r="V53" s="66" t="n">
        <v>34.2</v>
      </c>
      <c r="W53" s="66" t="n">
        <v>28.8</v>
      </c>
      <c r="X53" s="66" t="n">
        <v>34.2</v>
      </c>
      <c r="Y53" s="66" t="n">
        <v>33</v>
      </c>
      <c r="Z53" s="66" t="n">
        <v>33.8</v>
      </c>
      <c r="AA53" s="66" t="n">
        <v>35.2</v>
      </c>
      <c r="AB53" s="66" t="n">
        <v>35</v>
      </c>
      <c r="AC53" s="66" t="n">
        <v>27.2</v>
      </c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7">
        <f>COUNTIF(K53:AO53,"&gt;0")</f>
        <v/>
      </c>
      <c r="AQ53" s="68">
        <f>IF(AP53&gt;14,AVERAGE(K53:AO53),"")</f>
        <v/>
      </c>
      <c r="AR53" s="68">
        <f>IFERROR(VLOOKUP(A53,Climatologia_TMAX!A:U,9+$E$2,FALSE),"")</f>
        <v/>
      </c>
      <c r="AS53" s="68">
        <f>IF(OR(AQ53="",AR53=""),"",IFERROR(AQ53-AR53,""))</f>
        <v/>
      </c>
      <c r="AT53" s="74">
        <f>IF(COUNT(K53:AO53)=0,"",MAX(K53:AO53))</f>
        <v/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/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3" s="69">
        <f>IF(OR(AT53="",AU53=""),"NA",IFERROR(AT53-AU53,"NA"))</f>
        <v/>
      </c>
    </row>
    <row r="54" ht="14.25" customHeight="1">
      <c r="A54" s="64" t="n">
        <v>29015000</v>
      </c>
      <c r="B54" s="70" t="inlineStr">
        <is>
          <t>El Guamo - AUT</t>
        </is>
      </c>
      <c r="C54" s="70" t="inlineStr">
        <is>
          <t>Area Operativa 02 - Atlántico-Bolivar-Sucre</t>
        </is>
      </c>
      <c r="D54" s="99" t="n">
        <v>-74.97663799999999</v>
      </c>
      <c r="E54" s="99" t="n">
        <v>10.034607</v>
      </c>
      <c r="F54" s="64" t="n">
        <v>75</v>
      </c>
      <c r="G54" s="62" t="n">
        <v>13</v>
      </c>
      <c r="H54" s="62" t="n">
        <v>13248</v>
      </c>
      <c r="I54" s="72" t="inlineStr">
        <is>
          <t>Bolívar</t>
        </is>
      </c>
      <c r="J54" s="72" t="inlineStr">
        <is>
          <t>El Guamo</t>
        </is>
      </c>
      <c r="K54" s="66" t="n">
        <v>35</v>
      </c>
      <c r="L54" s="66" t="n">
        <v>36.8</v>
      </c>
      <c r="M54" s="66" t="n">
        <v>36.8</v>
      </c>
      <c r="N54" s="66" t="n">
        <v>37.8</v>
      </c>
      <c r="O54" s="66" t="n">
        <v>38.6</v>
      </c>
      <c r="P54" s="66" t="n">
        <v>32.4</v>
      </c>
      <c r="Q54" s="66" t="n">
        <v>33.4</v>
      </c>
      <c r="R54" s="66" t="n">
        <v>38</v>
      </c>
      <c r="S54" s="66" t="n">
        <v>38.8</v>
      </c>
      <c r="T54" s="66" t="n">
        <v>37</v>
      </c>
      <c r="U54" s="66" t="n">
        <v>35.4</v>
      </c>
      <c r="V54" s="66" t="n">
        <v/>
      </c>
      <c r="W54" s="66" t="n">
        <v/>
      </c>
      <c r="X54" s="66" t="n">
        <v>36.4</v>
      </c>
      <c r="Y54" s="66" t="n">
        <v>36.8</v>
      </c>
      <c r="Z54" s="66" t="n">
        <v>35</v>
      </c>
      <c r="AA54" s="66" t="n">
        <v>39.6</v>
      </c>
      <c r="AB54" s="66" t="n">
        <v>39.8</v>
      </c>
      <c r="AC54" s="66" t="n">
        <v>32.4</v>
      </c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7">
        <f>COUNTIF(K54:AO54,"&gt;0")</f>
        <v/>
      </c>
      <c r="AQ54" s="68">
        <f>IF(AP54&gt;14,AVERAGE(K54:AO54),"")</f>
        <v/>
      </c>
      <c r="AR54" s="68">
        <f>IFERROR(VLOOKUP(A54,Climatologia_TMAX!A:U,9+$E$2,FALSE),"")</f>
        <v/>
      </c>
      <c r="AS54" s="68">
        <f>IF(OR(AQ54="",AR54=""),"",IFERROR(AQ54-AR54,""))</f>
        <v/>
      </c>
      <c r="AT54" s="74">
        <f>IF(COUNT(K54:AO54)=0,"",MAX(K54:AO54))</f>
        <v/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/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4" s="69">
        <f>IF(OR(AT54="",AU54=""),"NA",IFERROR(AT54-AU54,"NA"))</f>
        <v/>
      </c>
    </row>
    <row r="55" ht="14.25" customHeight="1">
      <c r="A55" s="64" t="n">
        <v>13075020</v>
      </c>
      <c r="B55" s="70" t="inlineStr">
        <is>
          <t>El Salado</t>
        </is>
      </c>
      <c r="C55" s="70" t="inlineStr">
        <is>
          <t>Area Operativa 02 - Atlántico-Bolivar-Sucre</t>
        </is>
      </c>
      <c r="D55" s="99" t="n">
        <v>-75.58222222000001</v>
      </c>
      <c r="E55" s="99" t="n">
        <v>8.913888889000001</v>
      </c>
      <c r="F55" s="64" t="n">
        <v>40</v>
      </c>
      <c r="G55" s="62" t="n">
        <v>23</v>
      </c>
      <c r="H55" s="62" t="n">
        <v>23189</v>
      </c>
      <c r="I55" s="72" t="inlineStr">
        <is>
          <t>Córdoba</t>
        </is>
      </c>
      <c r="J55" s="72" t="inlineStr">
        <is>
          <t>Ciénaga De Oro</t>
        </is>
      </c>
      <c r="K55" s="66" t="n">
        <v>35.6</v>
      </c>
      <c r="L55" s="66" t="n">
        <v>35</v>
      </c>
      <c r="M55" s="66" t="n">
        <v>35.8</v>
      </c>
      <c r="N55" s="66" t="n">
        <v>36.2</v>
      </c>
      <c r="O55" s="66" t="n">
        <v>36.8</v>
      </c>
      <c r="P55" s="66" t="n">
        <v>32.6</v>
      </c>
      <c r="Q55" s="66" t="n">
        <v>33.2</v>
      </c>
      <c r="R55" s="66" t="n">
        <v>37.6</v>
      </c>
      <c r="S55" s="66" t="n">
        <v>37.2</v>
      </c>
      <c r="T55" s="66" t="n">
        <v>33</v>
      </c>
      <c r="U55" s="66" t="n">
        <v>33.2</v>
      </c>
      <c r="V55" s="66" t="n">
        <v>37</v>
      </c>
      <c r="W55" s="66" t="n">
        <v>31.6</v>
      </c>
      <c r="X55" s="66" t="n">
        <v>35.4</v>
      </c>
      <c r="Y55" s="66" t="n">
        <v>34</v>
      </c>
      <c r="Z55" s="66" t="n">
        <v/>
      </c>
      <c r="AA55" s="66" t="n">
        <v/>
      </c>
      <c r="AB55" s="66" t="n">
        <v/>
      </c>
      <c r="AC55" s="66" t="n">
        <v/>
      </c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109" t="n"/>
      <c r="AO55" s="66" t="n"/>
      <c r="AP55" s="67">
        <f>COUNTIF(K55:AO55,"&gt;0")</f>
        <v/>
      </c>
      <c r="AQ55" s="68">
        <f>IF(AP55&gt;14,AVERAGE(K55:AO55),"")</f>
        <v/>
      </c>
      <c r="AR55" s="68">
        <f>IFERROR(VLOOKUP(A55,Climatologia_TMAX!A:U,9+$E$2,FALSE),"")</f>
        <v/>
      </c>
      <c r="AS55" s="68">
        <f>IF(OR(AQ55="",AR55=""),"",IFERROR(AQ55-AR55,""))</f>
        <v/>
      </c>
      <c r="AT55" s="111">
        <f>IF(COUNT(K55:AO55)=0,"",MAX(K55:AO55))</f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/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5" s="69">
        <f>IF(OR(AT55="",AU55=""),"NA",IFERROR(AT55-AU55,"NA"))</f>
        <v/>
      </c>
    </row>
    <row r="56" ht="14.25" customHeight="1">
      <c r="A56" s="64" t="n">
        <v>13085010</v>
      </c>
      <c r="B56" s="70" t="inlineStr">
        <is>
          <t>La Doctrina</t>
        </is>
      </c>
      <c r="C56" s="70" t="inlineStr">
        <is>
          <t>Area Operativa 02 - Atlántico-Bolivar-Sucre</t>
        </is>
      </c>
      <c r="D56" s="99" t="n">
        <v>-75.89277778</v>
      </c>
      <c r="E56" s="99" t="n">
        <v>9.297222222</v>
      </c>
      <c r="F56" s="64" t="n">
        <v>20</v>
      </c>
      <c r="G56" s="62" t="n">
        <v>23</v>
      </c>
      <c r="H56" s="62" t="n">
        <v>23417</v>
      </c>
      <c r="I56" s="72" t="inlineStr">
        <is>
          <t>Córdoba</t>
        </is>
      </c>
      <c r="J56" s="72" t="inlineStr">
        <is>
          <t>Lorica</t>
        </is>
      </c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7">
        <f>COUNTIF(K56:AO56,"&gt;0")</f>
        <v/>
      </c>
      <c r="AQ56" s="68">
        <f>IF(AP56&gt;14,AVERAGE(K56:AO56),"")</f>
        <v/>
      </c>
      <c r="AR56" s="68">
        <f>IFERROR(VLOOKUP(A56,Climatologia_TMAX!A:U,9+$E$2,FALSE),"")</f>
        <v/>
      </c>
      <c r="AS56" s="68">
        <f>IF(OR(AQ56="",AR56=""),"",IFERROR(AQ56-AR56,""))</f>
        <v/>
      </c>
      <c r="AT56" s="74">
        <f>IF(COUNT(K56:AO56)=0,"",MAX(K56:AO56))</f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/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6" s="69">
        <f>IF(OR(AT56="",AU56=""),"NA",IFERROR(AT56-AU56,"NA"))</f>
        <v/>
      </c>
    </row>
    <row r="57" ht="14.25" customHeight="1">
      <c r="A57" s="64" t="n">
        <v>25025240</v>
      </c>
      <c r="B57" s="70" t="inlineStr">
        <is>
          <t>Majagual - AUT</t>
        </is>
      </c>
      <c r="C57" s="70" t="inlineStr">
        <is>
          <t>Area Operativa 02 - Atlántico-Bolivar-Sucre</t>
        </is>
      </c>
      <c r="D57" s="99" t="n">
        <v>-74.626401</v>
      </c>
      <c r="E57" s="99" t="n">
        <v>8.542384999999999</v>
      </c>
      <c r="F57" s="64" t="n">
        <v>26</v>
      </c>
      <c r="G57" s="62" t="n">
        <v>70</v>
      </c>
      <c r="H57" s="62" t="n">
        <v>70429</v>
      </c>
      <c r="I57" s="72" t="inlineStr">
        <is>
          <t>Sucre</t>
        </is>
      </c>
      <c r="J57" s="72" t="inlineStr">
        <is>
          <t>Majagual</t>
        </is>
      </c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7">
        <f>COUNTIF(K57:AO57,"&gt;0")</f>
        <v/>
      </c>
      <c r="AQ57" s="68">
        <f>IF(AP57&gt;14,AVERAGE(K57:AO57),"")</f>
        <v/>
      </c>
      <c r="AR57" s="68">
        <f>IFERROR(VLOOKUP(A57,Climatologia_TMAX!A:U,9+$E$2,FALSE),"")</f>
        <v/>
      </c>
      <c r="AS57" s="68">
        <f>IF(OR(AQ57="",AR57=""),"",IFERROR(AQ57-AR57,""))</f>
        <v/>
      </c>
      <c r="AT57" s="74">
        <f>IF(COUNT(K57:AO57)=0,"",MAX(K57:AO57))</f>
        <v/>
      </c>
      <c r="AU57" s="74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>
        <f>IF(OR(AT57="",AU57=""),"NA",IFERROR(AT57-AU57,"NA"))</f>
        <v/>
      </c>
    </row>
    <row r="58" ht="14.25" customHeight="1">
      <c r="A58" s="64" t="n">
        <v>25021350</v>
      </c>
      <c r="B58" s="70" t="inlineStr">
        <is>
          <t>Mompos</t>
        </is>
      </c>
      <c r="C58" s="70" t="inlineStr">
        <is>
          <t>Area Operativa 02 - Atlántico-Bolivar-Sucre</t>
        </is>
      </c>
      <c r="D58" s="99" t="n">
        <v>-74.43565</v>
      </c>
      <c r="E58" s="99" t="n">
        <v>9.262560000000001</v>
      </c>
      <c r="F58" s="64" t="n">
        <v>20</v>
      </c>
      <c r="G58" s="62" t="n">
        <v>13</v>
      </c>
      <c r="H58" s="62" t="n">
        <v>13468</v>
      </c>
      <c r="I58" s="72" t="inlineStr">
        <is>
          <t>Bolívar</t>
        </is>
      </c>
      <c r="J58" s="72" t="inlineStr">
        <is>
          <t>Santa Cruz De Mompox</t>
        </is>
      </c>
      <c r="K58" s="66" t="n"/>
      <c r="L58" s="66" t="n"/>
      <c r="M58" s="73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7">
        <f>COUNTIF(K58:AO58,"&gt;0")</f>
        <v/>
      </c>
      <c r="AQ58" s="68">
        <f>IF(AP58&gt;14,AVERAGE(K58:AO58),"")</f>
        <v/>
      </c>
      <c r="AR58" s="68">
        <f>IFERROR(VLOOKUP(A58,Climatologia_TMAX!A:U,9+$E$2,FALSE),"")</f>
        <v/>
      </c>
      <c r="AS58" s="68">
        <f>IF(OR(AQ58="",AR58=""),"",IFERROR(AQ58-AR58,""))</f>
        <v/>
      </c>
      <c r="AT58" s="74">
        <f>IF(COUNT(K58:AO58)=0,"",MAX(K58:AO58))</f>
        <v/>
      </c>
      <c r="AU58" s="74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>
        <f>IF(OR(AT58="",AU58=""),"NA",IFERROR(AT58-AU58,"NA"))</f>
        <v/>
      </c>
    </row>
    <row r="59" ht="14.25" customHeight="1">
      <c r="A59" s="64" t="n">
        <v>29035080</v>
      </c>
      <c r="B59" s="70" t="inlineStr">
        <is>
          <t>Normal Manati  - AUT</t>
        </is>
      </c>
      <c r="C59" s="70" t="inlineStr">
        <is>
          <t>Area Operativa 02 - Atlántico-Bolivar-Sucre</t>
        </is>
      </c>
      <c r="D59" s="99" t="n">
        <v>-74.95472599999999</v>
      </c>
      <c r="E59" s="99" t="n">
        <v>10.453966</v>
      </c>
      <c r="F59" s="64" t="n">
        <v>10</v>
      </c>
      <c r="G59" s="62" t="n">
        <v>8</v>
      </c>
      <c r="H59" s="62" t="n">
        <v>8436</v>
      </c>
      <c r="I59" s="72" t="inlineStr">
        <is>
          <t>Atlántico</t>
        </is>
      </c>
      <c r="J59" s="72" t="inlineStr">
        <is>
          <t>Manatí</t>
        </is>
      </c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7">
        <f>COUNTIF(K59:AO59,"&gt;0")</f>
        <v/>
      </c>
      <c r="AQ59" s="68">
        <f>IF(AP59&gt;14,AVERAGE(K59:AO59),"")</f>
        <v/>
      </c>
      <c r="AR59" s="68">
        <f>IFERROR(VLOOKUP(A59,Climatologia_TMAX!A:U,9+$E$2,FALSE),"")</f>
        <v/>
      </c>
      <c r="AS59" s="68">
        <f>IF(OR(AQ59="",AR59=""),"",IFERROR(AQ59-AR59,""))</f>
        <v/>
      </c>
      <c r="AT59" s="74">
        <f>IF(COUNT(K59:AO59)=0,"",MAX(K59:AO59))</f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/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9" s="69">
        <f>IF(OR(AT59="",AU59=""),"NA",IFERROR(AT59-AU59,"NA"))</f>
        <v/>
      </c>
    </row>
    <row r="60" ht="14.25" customHeight="1">
      <c r="A60" s="64" t="n">
        <v>13057010</v>
      </c>
      <c r="B60" s="70" t="inlineStr">
        <is>
          <t>Nueva Colombia AUT</t>
        </is>
      </c>
      <c r="C60" s="70" t="inlineStr">
        <is>
          <t>Area Operativa 02 - Atlántico-Bolivar-Sucre</t>
        </is>
      </c>
      <c r="D60" s="99" t="n">
        <v>-75.97861111</v>
      </c>
      <c r="E60" s="99" t="n">
        <v>8.499444444</v>
      </c>
      <c r="F60" s="64" t="n">
        <v>20</v>
      </c>
      <c r="G60" s="62" t="n">
        <v>23</v>
      </c>
      <c r="H60" s="62" t="n">
        <v>23001</v>
      </c>
      <c r="I60" s="72" t="inlineStr">
        <is>
          <t>Córdoba</t>
        </is>
      </c>
      <c r="J60" s="72" t="inlineStr">
        <is>
          <t>Montería</t>
        </is>
      </c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7">
        <f>COUNTIF(K60:AO60,"&gt;0")</f>
        <v/>
      </c>
      <c r="AQ60" s="68">
        <f>IF(AP60&gt;14,AVERAGE(K60:AO60),"")</f>
        <v/>
      </c>
      <c r="AR60" s="68">
        <f>IFERROR(VLOOKUP(A60,Climatologia_TMAX!A:U,9+$E$2,FALSE),"")</f>
        <v/>
      </c>
      <c r="AS60" s="68">
        <f>IF(OR(AQ60="",AR60=""),"",IFERROR(AQ60-AR60,""))</f>
        <v/>
      </c>
      <c r="AT60" s="74">
        <f>IF(COUNT(K60:AO60)=0,"",MAX(K60:AO60))</f>
        <v/>
      </c>
      <c r="AU60" s="74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>
        <f>IF(OR(AT60="",AU60=""),"NA",IFERROR(AT60-AU60,"NA"))</f>
        <v/>
      </c>
    </row>
    <row r="61" ht="14.25" customHeight="1">
      <c r="A61" s="64" t="n">
        <v>29035040</v>
      </c>
      <c r="B61" s="70" t="inlineStr">
        <is>
          <t>Nueva Florida</t>
        </is>
      </c>
      <c r="C61" s="70" t="inlineStr">
        <is>
          <t>Area Operativa 02 - Atlántico-Bolivar-Sucre</t>
        </is>
      </c>
      <c r="D61" s="99" t="n">
        <v>-75.351561</v>
      </c>
      <c r="E61" s="99" t="n">
        <v>9.944806</v>
      </c>
      <c r="F61" s="64" t="n">
        <v>13</v>
      </c>
      <c r="G61" s="62" t="n">
        <v>13</v>
      </c>
      <c r="H61" s="62" t="n">
        <v>13442</v>
      </c>
      <c r="I61" s="72" t="inlineStr">
        <is>
          <t>Bolívar</t>
        </is>
      </c>
      <c r="J61" s="72" t="inlineStr">
        <is>
          <t>María La Baja</t>
        </is>
      </c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7">
        <f>COUNTIF(K61:AO61,"&gt;0")</f>
        <v/>
      </c>
      <c r="AQ61" s="68">
        <f>IF(AP61&gt;14,AVERAGE(K61:AO61),"")</f>
        <v/>
      </c>
      <c r="AR61" s="68">
        <f>IFERROR(VLOOKUP(A61,Climatologia_TMAX!A:U,9+$E$2,FALSE),"")</f>
        <v/>
      </c>
      <c r="AS61" s="68">
        <f>IF(OR(AQ61="",AR61=""),"",IFERROR(AQ61-AR61,""))</f>
        <v/>
      </c>
      <c r="AT61" s="74">
        <f>IF(COUNT(K61:AO61)=0,"",MAX(K61:AO61))</f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/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1" s="69">
        <f>IF(OR(AT61="",AU61=""),"NA",IFERROR(AT61-AU61,"NA"))</f>
        <v/>
      </c>
    </row>
    <row r="62" ht="14.25" customHeight="1">
      <c r="A62" s="64" t="n">
        <v>25025210</v>
      </c>
      <c r="B62" s="70" t="inlineStr">
        <is>
          <t>Pinillos</t>
        </is>
      </c>
      <c r="C62" s="70" t="inlineStr">
        <is>
          <t>Area Operativa 02 - Atlántico-Bolivar-Sucre</t>
        </is>
      </c>
      <c r="D62" s="99" t="n">
        <v>-74.45777778</v>
      </c>
      <c r="E62" s="99" t="n">
        <v>8.911388888999999</v>
      </c>
      <c r="F62" s="64" t="n">
        <v>10</v>
      </c>
      <c r="G62" s="62" t="n">
        <v>13</v>
      </c>
      <c r="H62" s="62" t="n">
        <v>13549</v>
      </c>
      <c r="I62" s="72" t="inlineStr">
        <is>
          <t>Bolívar</t>
        </is>
      </c>
      <c r="J62" s="72" t="inlineStr">
        <is>
          <t>Pinillos</t>
        </is>
      </c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7">
        <f>COUNTIF(K62:AO62,"&gt;0")</f>
        <v/>
      </c>
      <c r="AQ62" s="68">
        <f>IF(AP62&gt;14,AVERAGE(K62:AO62),"")</f>
        <v/>
      </c>
      <c r="AR62" s="68">
        <f>IFERROR(VLOOKUP(A62,Climatologia_TMAX!A:U,9+$E$2,FALSE),"")</f>
        <v/>
      </c>
      <c r="AS62" s="68">
        <f>IF(OR(AQ62="",AR62=""),"",IFERROR(AQ62-AR62,""))</f>
        <v/>
      </c>
      <c r="AT62" s="74">
        <f>IF(COUNT(K62:AO62)=0,"",MAX(K62:AO62))</f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/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2" s="69">
        <f>IF(OR(AT62="",AU62=""),"NA",IFERROR(AT62-AU62,"NA"))</f>
        <v/>
      </c>
    </row>
    <row r="63" ht="14.25" customHeight="1">
      <c r="A63" s="64" t="n">
        <v>14010010</v>
      </c>
      <c r="B63" s="70" t="inlineStr">
        <is>
          <t>Piojo</t>
        </is>
      </c>
      <c r="C63" s="70" t="inlineStr">
        <is>
          <t>Area Operativa 02 - Atlántico-Bolivar-Sucre</t>
        </is>
      </c>
      <c r="D63" s="99" t="n">
        <v>-75.10797221999999</v>
      </c>
      <c r="E63" s="99" t="n">
        <v>10.74611111</v>
      </c>
      <c r="F63" s="64" t="n">
        <v>320</v>
      </c>
      <c r="G63" s="62" t="n">
        <v>8</v>
      </c>
      <c r="H63" s="62" t="n">
        <v>8549</v>
      </c>
      <c r="I63" s="72" t="inlineStr">
        <is>
          <t>Atlántico</t>
        </is>
      </c>
      <c r="J63" s="72" t="inlineStr">
        <is>
          <t>Piojó</t>
        </is>
      </c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7">
        <f>COUNTIF(K63:AO63,"&gt;0")</f>
        <v/>
      </c>
      <c r="AQ63" s="68">
        <f>IF(AP63&gt;14,AVERAGE(K63:AO63),"")</f>
        <v/>
      </c>
      <c r="AR63" s="68">
        <f>IFERROR(VLOOKUP(A63,Climatologia_TMAX!A:U,9+$E$2,FALSE),"")</f>
        <v/>
      </c>
      <c r="AS63" s="68">
        <f>IF(OR(AQ63="",AR63=""),"",IFERROR(AQ63-AR63,""))</f>
        <v/>
      </c>
      <c r="AT63" s="74">
        <f>IF(COUNT(K63:AO63)=0,"",MAX(K63:AO63))</f>
        <v/>
      </c>
      <c r="AU63" s="74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>
        <f>IF(OR(AT63="",AU63=""),"NA",IFERROR(AT63-AU63,"NA"))</f>
        <v/>
      </c>
    </row>
    <row r="64" ht="14.25" customHeight="1">
      <c r="A64" s="64" t="n">
        <v>25025190</v>
      </c>
      <c r="B64" s="70" t="inlineStr">
        <is>
          <t>Planeta Rica  - AUT</t>
        </is>
      </c>
      <c r="C64" s="70" t="inlineStr">
        <is>
          <t>Area Operativa 02 - Atlántico-Bolivar-Sucre</t>
        </is>
      </c>
      <c r="D64" s="99" t="n">
        <v>-75.58372222</v>
      </c>
      <c r="E64" s="99" t="n">
        <v>8.399333333</v>
      </c>
      <c r="F64" s="64" t="n">
        <v>90</v>
      </c>
      <c r="G64" s="62" t="n">
        <v>23</v>
      </c>
      <c r="H64" s="62" t="n">
        <v>23555</v>
      </c>
      <c r="I64" s="72" t="inlineStr">
        <is>
          <t>Córdoba</t>
        </is>
      </c>
      <c r="J64" s="72" t="inlineStr">
        <is>
          <t>Planeta Rica</t>
        </is>
      </c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7">
        <f>COUNTIF(K64:AO64,"&gt;0")</f>
        <v/>
      </c>
      <c r="AQ64" s="68">
        <f>IF(AP64&gt;14,AVERAGE(K64:AO64),"")</f>
        <v/>
      </c>
      <c r="AR64" s="68">
        <f>IFERROR(VLOOKUP(A64,Climatologia_TMAX!A:U,9+$E$2,FALSE),"")</f>
        <v/>
      </c>
      <c r="AS64" s="68">
        <f>IF(OR(AQ64="",AR64=""),"",IFERROR(AQ64-AR64,""))</f>
        <v/>
      </c>
      <c r="AT64" s="74">
        <f>IF(COUNT(K64:AO64)=0,"",MAX(K64:AO64))</f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/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4" s="69">
        <f>IF(OR(AT64="",AU64=""),"NA",IFERROR(AT64-AU64,"NA"))</f>
        <v/>
      </c>
    </row>
    <row r="65" ht="14.25" customHeight="1">
      <c r="A65" s="64" t="n">
        <v>29035030</v>
      </c>
      <c r="B65" s="70" t="inlineStr">
        <is>
          <t>Presa Ay Grande</t>
        </is>
      </c>
      <c r="C65" s="70" t="inlineStr">
        <is>
          <t>Area Operativa 02 - Atlántico-Bolivar-Sucre</t>
        </is>
      </c>
      <c r="D65" s="99" t="n">
        <v>-75.326301</v>
      </c>
      <c r="E65" s="99" t="n">
        <v>9.879633999999999</v>
      </c>
      <c r="F65" s="64" t="n">
        <v>60</v>
      </c>
      <c r="G65" s="62" t="n">
        <v>13</v>
      </c>
      <c r="H65" s="62" t="n">
        <v>13442</v>
      </c>
      <c r="I65" s="72" t="inlineStr">
        <is>
          <t>Bolívar</t>
        </is>
      </c>
      <c r="J65" s="72" t="inlineStr">
        <is>
          <t>María La Baja</t>
        </is>
      </c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7">
        <f>COUNTIF(K65:AO65,"&gt;0")</f>
        <v/>
      </c>
      <c r="AQ65" s="68">
        <f>IF(AP65&gt;14,AVERAGE(K65:AO65),"")</f>
        <v/>
      </c>
      <c r="AR65" s="68">
        <f>IFERROR(VLOOKUP(A65,Climatologia_TMAX!A:U,9+$E$2,FALSE),"")</f>
        <v/>
      </c>
      <c r="AS65" s="68">
        <f>IF(OR(AQ65="",AR65=""),"",IFERROR(AQ65-AR65,""))</f>
        <v/>
      </c>
      <c r="AT65" s="74">
        <f>IF(COUNT(K65:AO65)=0,"",MAX(K65:AO65))</f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/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5" s="69">
        <f>IF(OR(AT65="",AU65=""),"NA",IFERROR(AT65-AU65,"NA"))</f>
        <v/>
      </c>
    </row>
    <row r="66" ht="14.25" customHeight="1">
      <c r="A66" s="64" t="n">
        <v>29040230</v>
      </c>
      <c r="B66" s="70" t="inlineStr">
        <is>
          <t>Puerto Colombia</t>
        </is>
      </c>
      <c r="C66" s="70" t="inlineStr">
        <is>
          <t>Area Operativa 02 - Atlántico-Bolivar-Sucre</t>
        </is>
      </c>
      <c r="D66" s="99" t="n">
        <v>-74.95179400000001</v>
      </c>
      <c r="E66" s="99" t="n">
        <v>10.996665</v>
      </c>
      <c r="F66" s="64" t="n">
        <v>5</v>
      </c>
      <c r="G66" s="62" t="n">
        <v>8</v>
      </c>
      <c r="H66" s="62" t="n">
        <v>8573</v>
      </c>
      <c r="I66" s="72" t="inlineStr">
        <is>
          <t>Atlántico</t>
        </is>
      </c>
      <c r="J66" s="72" t="inlineStr">
        <is>
          <t>Puerto Colombia</t>
        </is>
      </c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7">
        <f>COUNTIF(K66:AO66,"&gt;0")</f>
        <v/>
      </c>
      <c r="AQ66" s="68">
        <f>IF(AP66&gt;14,AVERAGE(K66:AO66),"")</f>
        <v/>
      </c>
      <c r="AR66" s="68">
        <f>IFERROR(VLOOKUP(A66,Climatologia_TMAX!A:U,9+$E$2,FALSE),"")</f>
        <v/>
      </c>
      <c r="AS66" s="68">
        <f>IF(OR(AQ66="",AR66=""),"",IFERROR(AQ66-AR66,""))</f>
        <v/>
      </c>
      <c r="AT66" s="74">
        <f>IF(COUNT(K66:AO66)=0,"",MAX(K66:AO66))</f>
        <v/>
      </c>
      <c r="AU66" s="74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>
        <f>IF(OR(AT66="",AU66=""),"NA",IFERROR(AT66-AU66,"NA"))</f>
        <v/>
      </c>
    </row>
    <row r="67" ht="14.25" customHeight="1">
      <c r="A67" s="64" t="n">
        <v>13015040</v>
      </c>
      <c r="B67" s="70" t="inlineStr">
        <is>
          <t>Represa Urra</t>
        </is>
      </c>
      <c r="C67" s="70" t="inlineStr">
        <is>
          <t>Area Operativa 02 - Atlántico-Bolivar-Sucre</t>
        </is>
      </c>
      <c r="D67" s="99" t="n">
        <v>-76.20305556</v>
      </c>
      <c r="E67" s="99" t="n">
        <v>8.014166667</v>
      </c>
      <c r="F67" s="64" t="n">
        <v>300</v>
      </c>
      <c r="G67" s="62" t="n">
        <v>23</v>
      </c>
      <c r="H67" s="62" t="n">
        <v>23807</v>
      </c>
      <c r="I67" s="72" t="inlineStr">
        <is>
          <t>Córdoba</t>
        </is>
      </c>
      <c r="J67" s="72" t="inlineStr">
        <is>
          <t>Tierralta</t>
        </is>
      </c>
      <c r="K67" s="66" t="n">
        <v>32.2</v>
      </c>
      <c r="L67" s="66" t="n">
        <v>33</v>
      </c>
      <c r="M67" s="66" t="n">
        <v>33</v>
      </c>
      <c r="N67" s="66" t="n">
        <v>33.6</v>
      </c>
      <c r="O67" s="66" t="n">
        <v>32</v>
      </c>
      <c r="P67" s="66" t="n">
        <v>29</v>
      </c>
      <c r="Q67" s="66" t="n">
        <v>31.6</v>
      </c>
      <c r="R67" s="66" t="n">
        <v>33.8</v>
      </c>
      <c r="S67" s="66" t="n">
        <v>33.6</v>
      </c>
      <c r="T67" s="66" t="n">
        <v>33.1</v>
      </c>
      <c r="U67" s="66" t="n">
        <v>33.1</v>
      </c>
      <c r="V67" s="66" t="n">
        <v>33</v>
      </c>
      <c r="W67" s="66" t="n">
        <v>33</v>
      </c>
      <c r="X67" s="66" t="n">
        <v>34.1</v>
      </c>
      <c r="Y67" s="66" t="n">
        <v>32.4</v>
      </c>
      <c r="Z67" s="66" t="n">
        <v>34.1</v>
      </c>
      <c r="AA67" s="66" t="n">
        <v>34</v>
      </c>
      <c r="AB67" s="66" t="n">
        <v>36.4</v>
      </c>
      <c r="AC67" s="66" t="n">
        <v>36.6</v>
      </c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7">
        <f>COUNTIF(K67:AO67,"&gt;0")</f>
        <v/>
      </c>
      <c r="AQ67" s="68">
        <f>IF(AP67&gt;14,AVERAGE(K67:AO67),"")</f>
        <v/>
      </c>
      <c r="AR67" s="68">
        <f>IFERROR(VLOOKUP(A67,Climatologia_TMAX!A:U,9+$E$2,FALSE),"")</f>
        <v/>
      </c>
      <c r="AS67" s="68">
        <f>IF(OR(AQ67="",AR67=""),"",IFERROR(AQ67-AR67,""))</f>
        <v/>
      </c>
      <c r="AT67" s="74">
        <f>IF(COUNT(K67:AO67)=0,"",MAX(K67:AO67))</f>
        <v/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/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7" s="69">
        <f>IF(OR(AT67="",AU67=""),"NA",IFERROR(AT67-AU67,"NA"))</f>
        <v/>
      </c>
    </row>
    <row r="68" ht="14.25" customHeight="1">
      <c r="A68" s="64" t="n">
        <v>25025380</v>
      </c>
      <c r="B68" s="70" t="inlineStr">
        <is>
          <t>San Benito - AUT</t>
        </is>
      </c>
      <c r="C68" s="70" t="inlineStr">
        <is>
          <t>Area Operativa 02 - Atlántico-Bolivar-Sucre</t>
        </is>
      </c>
      <c r="D68" s="99" t="n">
        <v>-75.04472222</v>
      </c>
      <c r="E68" s="99" t="n">
        <v>9.163888889000001</v>
      </c>
      <c r="F68" s="64" t="n">
        <v>20</v>
      </c>
      <c r="G68" s="62" t="n">
        <v>70</v>
      </c>
      <c r="H68" s="62" t="n">
        <v>70678</v>
      </c>
      <c r="I68" s="72" t="inlineStr">
        <is>
          <t>Sucre</t>
        </is>
      </c>
      <c r="J68" s="72" t="inlineStr">
        <is>
          <t>San Benito Abad</t>
        </is>
      </c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7">
        <f>COUNTIF(K68:AO68,"&gt;0")</f>
        <v/>
      </c>
      <c r="AQ68" s="68">
        <f>IF(AP68&gt;14,AVERAGE(K68:AO68),"")</f>
        <v/>
      </c>
      <c r="AR68" s="68">
        <f>IFERROR(VLOOKUP(A68,Climatologia_TMAX!A:U,9+$E$2,FALSE),"")</f>
        <v/>
      </c>
      <c r="AS68" s="68">
        <f>IF(OR(AQ68="",AR68=""),"",IFERROR(AQ68-AR68,""))</f>
        <v/>
      </c>
      <c r="AT68" s="74">
        <f>IF(COUNT(K68:AO68)=0,"",MAX(K68:AO68))</f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/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8" s="69">
        <f>IF(OR(AT68="",AU68=""),"NA",IFERROR(AT68-AU68,"NA"))</f>
        <v/>
      </c>
    </row>
    <row r="69" ht="14.25" customHeight="1">
      <c r="A69" s="64" t="n">
        <v>13085030</v>
      </c>
      <c r="B69" s="70" t="inlineStr">
        <is>
          <t>San Bernardo Del Viento</t>
        </is>
      </c>
      <c r="C69" s="70" t="inlineStr">
        <is>
          <t>Area Operativa 02 - Atlántico-Bolivar-Sucre</t>
        </is>
      </c>
      <c r="D69" s="99" t="n">
        <v>-75.95</v>
      </c>
      <c r="E69" s="99" t="n">
        <v>9.369999999999999</v>
      </c>
      <c r="F69" s="64" t="n">
        <v>22</v>
      </c>
      <c r="G69" s="62" t="n">
        <v>23</v>
      </c>
      <c r="H69" s="62" t="n">
        <v>23675</v>
      </c>
      <c r="I69" s="72" t="inlineStr">
        <is>
          <t>Córdoba</t>
        </is>
      </c>
      <c r="J69" s="72" t="inlineStr">
        <is>
          <t>San Bernardo Del Viento</t>
        </is>
      </c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7">
        <f>COUNTIF(K69:AO69,"&gt;0")</f>
        <v/>
      </c>
      <c r="AQ69" s="68">
        <f>IF(AP69&gt;14,AVERAGE(K69:AO69),"")</f>
        <v/>
      </c>
      <c r="AR69" s="68">
        <f>IFERROR(VLOOKUP(A69,Climatologia_TMAX!A:U,9+$E$2,FALSE),"")</f>
        <v/>
      </c>
      <c r="AS69" s="68">
        <f>IF(OR(AQ69="",AR69=""),"",IFERROR(AQ69-AR69,""))</f>
        <v/>
      </c>
      <c r="AT69" s="74">
        <f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/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9" s="69">
        <f>IF(OR(AT69="",AU69=""),"NA",IFERROR(AT69-AU69,"NA"))</f>
        <v/>
      </c>
    </row>
    <row r="70" ht="14.25" customHeight="1">
      <c r="A70" s="64" t="n">
        <v>29030050</v>
      </c>
      <c r="B70" s="70" t="inlineStr">
        <is>
          <t>San Estanislao</t>
        </is>
      </c>
      <c r="C70" s="70" t="inlineStr">
        <is>
          <t>Area Operativa 02 - Atlántico-Bolivar-Sucre</t>
        </is>
      </c>
      <c r="D70" s="99" t="n">
        <v>-75.16183332999999</v>
      </c>
      <c r="E70" s="99" t="n">
        <v>10.40411111</v>
      </c>
      <c r="F70" s="64" t="n">
        <v>20</v>
      </c>
      <c r="G70" s="62" t="n">
        <v>13</v>
      </c>
      <c r="H70" s="62" t="n">
        <v>13647</v>
      </c>
      <c r="I70" s="72" t="inlineStr">
        <is>
          <t>Bolívar</t>
        </is>
      </c>
      <c r="J70" s="72" t="inlineStr">
        <is>
          <t>San Estanislao</t>
        </is>
      </c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7">
        <f>COUNTIF(K70:AO70,"&gt;0")</f>
        <v/>
      </c>
      <c r="AQ70" s="68">
        <f>IF(AP70&gt;14,AVERAGE(K70:AO70),"")</f>
        <v/>
      </c>
      <c r="AR70" s="68">
        <f>IFERROR(VLOOKUP(A70,Climatologia_TMAX!A:U,9+$E$2,FALSE),"")</f>
        <v/>
      </c>
      <c r="AS70" s="68">
        <f>IF(OR(AQ70="",AR70=""),"",IFERROR(AQ70-AR70,""))</f>
        <v/>
      </c>
      <c r="AT70" s="74">
        <f>IF(COUNT(K70:AO70)=0,"",MAX(K70:AO70))</f>
        <v/>
      </c>
      <c r="AU70" s="74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>
        <f>IF(OR(AT70="",AU70=""),"NA",IFERROR(AT70-AU70,"NA"))</f>
        <v/>
      </c>
    </row>
    <row r="71" ht="14.25" customHeight="1">
      <c r="A71" s="64" t="n">
        <v>12030010</v>
      </c>
      <c r="B71" s="70" t="inlineStr">
        <is>
          <t>San Juan De Uraba</t>
        </is>
      </c>
      <c r="C71" s="70" t="inlineStr">
        <is>
          <t>Area Operativa 02 - Atlántico-Bolivar-Sucre</t>
        </is>
      </c>
      <c r="D71" s="99" t="n">
        <v>-76.53305555999999</v>
      </c>
      <c r="E71" s="99" t="n">
        <v>8.755222222</v>
      </c>
      <c r="F71" s="64" t="n">
        <v>4</v>
      </c>
      <c r="G71" s="62" t="n">
        <v>5</v>
      </c>
      <c r="H71" s="62" t="n">
        <v>5659</v>
      </c>
      <c r="I71" s="72" t="inlineStr">
        <is>
          <t>Antioquia</t>
        </is>
      </c>
      <c r="J71" s="72" t="inlineStr">
        <is>
          <t>San Juan De Urabá</t>
        </is>
      </c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7">
        <f>COUNTIF(K71:AO71,"&gt;0")</f>
        <v/>
      </c>
      <c r="AQ71" s="68">
        <f>IF(AP71&gt;14,AVERAGE(K71:AO71),"")</f>
        <v/>
      </c>
      <c r="AR71" s="68">
        <f>IFERROR(VLOOKUP(A71,Climatologia_TMAX!A:U,9+$E$2,FALSE),"")</f>
        <v/>
      </c>
      <c r="AS71" s="68">
        <f>IF(OR(AQ71="",AR71=""),"",IFERROR(AQ71-AR71,""))</f>
        <v/>
      </c>
      <c r="AT71" s="74">
        <f>IF(COUNT(K71:AO71)=0,"",MAX(K71:AO71))</f>
        <v/>
      </c>
      <c r="AU71" s="74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>
        <f>IF(OR(AT71="",AU71=""),"NA",IFERROR(AT71-AU71,"NA"))</f>
        <v/>
      </c>
    </row>
    <row r="72" ht="14.25" customHeight="1">
      <c r="A72" s="64" t="n">
        <v>29035110</v>
      </c>
      <c r="B72" s="70" t="inlineStr">
        <is>
          <t>San Pablo</t>
        </is>
      </c>
      <c r="C72" s="70" t="inlineStr">
        <is>
          <t>Area Operativa 02 - Atlántico-Bolivar-Sucre</t>
        </is>
      </c>
      <c r="D72" s="99" t="n">
        <v>-75.25861111</v>
      </c>
      <c r="E72" s="99" t="n">
        <v>10.04316667</v>
      </c>
      <c r="F72" s="64" t="n">
        <v>20</v>
      </c>
      <c r="G72" s="62" t="n">
        <v>13</v>
      </c>
      <c r="H72" s="62" t="n">
        <v>13442</v>
      </c>
      <c r="I72" s="72" t="inlineStr">
        <is>
          <t>Bolívar</t>
        </is>
      </c>
      <c r="J72" s="72" t="inlineStr">
        <is>
          <t>María La Baja</t>
        </is>
      </c>
      <c r="K72" s="66" t="n">
        <v/>
      </c>
      <c r="L72" s="66" t="n">
        <v/>
      </c>
      <c r="M72" s="66" t="n">
        <v/>
      </c>
      <c r="N72" s="66" t="n">
        <v/>
      </c>
      <c r="O72" s="66" t="n">
        <v/>
      </c>
      <c r="P72" s="66" t="n">
        <v/>
      </c>
      <c r="Q72" s="66" t="n">
        <v/>
      </c>
      <c r="R72" s="66" t="n">
        <v/>
      </c>
      <c r="S72" s="66" t="n">
        <v/>
      </c>
      <c r="T72" s="66" t="n">
        <v/>
      </c>
      <c r="U72" s="66" t="n">
        <v>33.6</v>
      </c>
      <c r="V72" s="66" t="n">
        <v>35.2</v>
      </c>
      <c r="W72" s="66" t="n">
        <v>33.2</v>
      </c>
      <c r="X72" s="66" t="n">
        <v>34.6</v>
      </c>
      <c r="Y72" s="66" t="n">
        <v>34</v>
      </c>
      <c r="Z72" s="66" t="n">
        <v>35.2</v>
      </c>
      <c r="AA72" s="66" t="n">
        <v>40.4</v>
      </c>
      <c r="AB72" s="66" t="n">
        <v>37</v>
      </c>
      <c r="AC72" s="66" t="n">
        <v>32.4</v>
      </c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7">
        <f>COUNTIF(K72:AO72,"&gt;0")</f>
        <v/>
      </c>
      <c r="AQ72" s="68">
        <f>IF(AP72&gt;14,AVERAGE(K72:AO72),"")</f>
        <v/>
      </c>
      <c r="AR72" s="68">
        <f>IFERROR(VLOOKUP(A72,Climatologia_TMAX!A:U,9+$E$2,FALSE),"")</f>
        <v/>
      </c>
      <c r="AS72" s="68">
        <f>IF(OR(AQ72="",AR72=""),"",IFERROR(AQ72-AR72,""))</f>
        <v/>
      </c>
      <c r="AT72" s="74">
        <f>IF(COUNT(K72:AO72)=0,"",MAX(K72:AO72))</f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/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2" s="69">
        <f>IF(OR(AT72="",AU72=""),"NA",IFERROR(AT72-AU72,"NA"))</f>
        <v/>
      </c>
    </row>
    <row r="73" ht="14.25" customHeight="1">
      <c r="A73" s="64" t="n">
        <v>29040310</v>
      </c>
      <c r="B73" s="70" t="inlineStr">
        <is>
          <t>San Pedrito Alerta</t>
        </is>
      </c>
      <c r="C73" s="70" t="inlineStr">
        <is>
          <t>Area Operativa 02 - Atlántico-Bolivar-Sucre</t>
        </is>
      </c>
      <c r="D73" s="99" t="n">
        <v>-74.907967</v>
      </c>
      <c r="E73" s="99" t="n">
        <v>10.2686</v>
      </c>
      <c r="F73" s="64" t="n">
        <v>8</v>
      </c>
      <c r="G73" s="62" t="n">
        <v>8</v>
      </c>
      <c r="H73" s="62" t="n">
        <v>8770</v>
      </c>
      <c r="I73" s="72" t="inlineStr">
        <is>
          <t>Atlántico</t>
        </is>
      </c>
      <c r="J73" s="72" t="inlineStr">
        <is>
          <t>Suan</t>
        </is>
      </c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7">
        <f>COUNTIF(K73:AO73,"&gt;0")</f>
        <v/>
      </c>
      <c r="AQ73" s="68">
        <f>IF(AP73&gt;14,AVERAGE(K73:AO73),"")</f>
        <v/>
      </c>
      <c r="AR73" s="68">
        <f>IFERROR(VLOOKUP(A73,Climatologia_TMAX!A:U,9+$E$2,FALSE),"")</f>
        <v/>
      </c>
      <c r="AS73" s="68">
        <f>IF(OR(AQ73="",AR73=""),"",IFERROR(AQ73-AR73,""))</f>
        <v/>
      </c>
      <c r="AT73" s="74">
        <f>IF(COUNT(K73:AO73)=0,"",MAX(K73:AO73))</f>
        <v/>
      </c>
      <c r="AU73" s="74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>
        <f>IF(OR(AT73="",AU73=""),"NA",IFERROR(AT73-AU73,"NA"))</f>
        <v/>
      </c>
    </row>
    <row r="74" ht="14.25" customHeight="1">
      <c r="A74" s="64" t="n">
        <v>29035000</v>
      </c>
      <c r="B74" s="70" t="inlineStr">
        <is>
          <t>Sincerin  - AUT</t>
        </is>
      </c>
      <c r="C74" s="70" t="inlineStr">
        <is>
          <t>Area Operativa 02 - Atlántico-Bolivar-Sucre</t>
        </is>
      </c>
      <c r="D74" s="99" t="n">
        <v>-75.27827778</v>
      </c>
      <c r="E74" s="99" t="n">
        <v>10.14258333</v>
      </c>
      <c r="F74" s="64" t="n">
        <v>10</v>
      </c>
      <c r="G74" s="62" t="n">
        <v>13</v>
      </c>
      <c r="H74" s="62" t="n">
        <v>13052</v>
      </c>
      <c r="I74" s="72" t="inlineStr">
        <is>
          <t>Bolívar</t>
        </is>
      </c>
      <c r="J74" s="72" t="inlineStr">
        <is>
          <t>Arjona</t>
        </is>
      </c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7">
        <f>COUNTIF(K74:AO74,"&gt;0")</f>
        <v/>
      </c>
      <c r="AQ74" s="68">
        <f>IF(AP74&gt;14,AVERAGE(K74:AO74),"")</f>
        <v/>
      </c>
      <c r="AR74" s="68">
        <f>IFERROR(VLOOKUP(A74,Climatologia_TMAX!A:U,9+$E$2,FALSE),"")</f>
        <v/>
      </c>
      <c r="AS74" s="68">
        <f>IF(OR(AQ74="",AR74=""),"",IFERROR(AQ74-AR74,""))</f>
        <v/>
      </c>
      <c r="AT74" s="74">
        <f>IF(COUNT(K74:AO74)=0,"",MAX(K74:AO74))</f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/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4" s="69">
        <f>IF(OR(AT74="",AU74=""),"NA",IFERROR(AT74-AU74,"NA"))</f>
        <v/>
      </c>
    </row>
    <row r="75" ht="14.25" customHeight="1">
      <c r="A75" s="64" t="n">
        <v>13030010</v>
      </c>
      <c r="B75" s="70" t="inlineStr">
        <is>
          <t>Tierralta</t>
        </is>
      </c>
      <c r="C75" s="70" t="inlineStr">
        <is>
          <t>Area Operativa 02 - Atlántico-Bolivar-Sucre</t>
        </is>
      </c>
      <c r="D75" s="99" t="n">
        <v>-76.05305556</v>
      </c>
      <c r="E75" s="99" t="n">
        <v>8.186666667000001</v>
      </c>
      <c r="F75" s="64" t="n">
        <v>100</v>
      </c>
      <c r="G75" s="62" t="n">
        <v>23</v>
      </c>
      <c r="H75" s="62" t="n">
        <v>23807</v>
      </c>
      <c r="I75" s="72" t="inlineStr">
        <is>
          <t>Córdoba</t>
        </is>
      </c>
      <c r="J75" s="72" t="inlineStr">
        <is>
          <t>Tierralta</t>
        </is>
      </c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7">
        <f>COUNTIF(K75:AO75,"&gt;0")</f>
        <v/>
      </c>
      <c r="AQ75" s="68">
        <f>IF(AP75&gt;14,AVERAGE(K75:AO75),"")</f>
        <v/>
      </c>
      <c r="AR75" s="68">
        <f>IFERROR(VLOOKUP(A75,Climatologia_TMAX!A:U,9+$E$2,FALSE),"")</f>
        <v/>
      </c>
      <c r="AS75" s="68">
        <f>IF(OR(AQ75="",AR75=""),"",IFERROR(AQ75-AR75,""))</f>
        <v/>
      </c>
      <c r="AT75" s="74">
        <f>IF(COUNT(K75:AO75)=0,"",MAX(K75:AO75))</f>
        <v/>
      </c>
      <c r="AU75" s="74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>
        <f>IF(OR(AT75="",AU75=""),"NA",IFERROR(AT75-AU75,"NA"))</f>
        <v/>
      </c>
    </row>
    <row r="76" ht="14.25" customHeight="1">
      <c r="A76" s="64" t="n">
        <v>25025270</v>
      </c>
      <c r="B76" s="70" t="inlineStr">
        <is>
          <t>Unisucre AUT</t>
        </is>
      </c>
      <c r="C76" s="70" t="inlineStr">
        <is>
          <t>Area Operativa 02 - Atlántico-Bolivar-Sucre</t>
        </is>
      </c>
      <c r="D76" s="99" t="n">
        <v>-75.3875</v>
      </c>
      <c r="E76" s="99" t="n">
        <v>9.316388889000001</v>
      </c>
      <c r="F76" s="64" t="n">
        <v>160</v>
      </c>
      <c r="G76" s="62" t="n">
        <v>70</v>
      </c>
      <c r="H76" s="62" t="n">
        <v>70670</v>
      </c>
      <c r="I76" s="72" t="inlineStr">
        <is>
          <t>Sucre</t>
        </is>
      </c>
      <c r="J76" s="72" t="inlineStr">
        <is>
          <t>Sampués</t>
        </is>
      </c>
      <c r="K76" s="66" t="n">
        <v>33</v>
      </c>
      <c r="L76" s="66" t="n">
        <v>33.2</v>
      </c>
      <c r="M76" s="66" t="n">
        <v>34.2</v>
      </c>
      <c r="N76" s="66" t="n">
        <v>35</v>
      </c>
      <c r="O76" s="66" t="n">
        <v>35.4</v>
      </c>
      <c r="P76" s="66" t="n">
        <v>32.4</v>
      </c>
      <c r="Q76" s="66" t="n">
        <v>32.8</v>
      </c>
      <c r="R76" s="66" t="n">
        <v>35.4</v>
      </c>
      <c r="S76" s="66" t="n">
        <v>36.6</v>
      </c>
      <c r="T76" s="66" t="n">
        <v>35.2</v>
      </c>
      <c r="U76" s="66" t="n">
        <v>32.6</v>
      </c>
      <c r="V76" s="66" t="n">
        <v>35</v>
      </c>
      <c r="W76" s="66" t="n">
        <v>31.4</v>
      </c>
      <c r="X76" s="66" t="n">
        <v>33.2</v>
      </c>
      <c r="Y76" s="66" t="n">
        <v>34.4</v>
      </c>
      <c r="Z76" s="66" t="n">
        <v>31.6</v>
      </c>
      <c r="AA76" s="66" t="n">
        <v>36</v>
      </c>
      <c r="AB76" s="66" t="n">
        <v>35.4</v>
      </c>
      <c r="AC76" s="66" t="n">
        <v>28.6</v>
      </c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7">
        <f>COUNTIF(K76:AO76,"&gt;0")</f>
        <v/>
      </c>
      <c r="AQ76" s="68">
        <f>IF(AP76&gt;14,AVERAGE(K76:AO76),"")</f>
        <v/>
      </c>
      <c r="AR76" s="68">
        <f>IFERROR(VLOOKUP(A76,Climatologia_TMAX!A:U,9+$E$2,FALSE),"")</f>
        <v/>
      </c>
      <c r="AS76" s="68">
        <f>IF(OR(AQ76="",AR76=""),"",IFERROR(AQ76-AR76,""))</f>
        <v/>
      </c>
      <c r="AT76" s="74">
        <f>IF(COUNT(K76:AO76)=0,"",MAX(K76:AO76))</f>
        <v/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/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6" s="69">
        <f>IF(OR(AT76="",AU76=""),"NA",IFERROR(AT76-AU76,"NA"))</f>
        <v/>
      </c>
    </row>
    <row r="77" ht="14.25" customHeight="1">
      <c r="A77" s="64" t="n">
        <v>33055010</v>
      </c>
      <c r="B77" s="70" t="inlineStr">
        <is>
          <t>Cumaribo</t>
        </is>
      </c>
      <c r="C77" s="70" t="inlineStr">
        <is>
          <t>Area Operativa 03 - Meta-Guaviare-Guainía</t>
        </is>
      </c>
      <c r="D77" s="99" t="n">
        <v>-69.81230600000001</v>
      </c>
      <c r="E77" s="99" t="n">
        <v>4.494806</v>
      </c>
      <c r="F77" s="64" t="n">
        <v>158</v>
      </c>
      <c r="G77" s="62" t="n">
        <v>99</v>
      </c>
      <c r="H77" s="62" t="n">
        <v>99773</v>
      </c>
      <c r="I77" s="72" t="inlineStr">
        <is>
          <t>Vichada</t>
        </is>
      </c>
      <c r="J77" s="72" t="inlineStr">
        <is>
          <t>Cumaribo</t>
        </is>
      </c>
      <c r="K77" s="66" t="n">
        <v>34.2</v>
      </c>
      <c r="L77" s="66" t="n">
        <v>30</v>
      </c>
      <c r="M77" s="66" t="n">
        <v>32.6</v>
      </c>
      <c r="N77" s="66" t="n">
        <v>31.8</v>
      </c>
      <c r="O77" s="66" t="n">
        <v>34</v>
      </c>
      <c r="P77" s="66" t="n">
        <v>31.4</v>
      </c>
      <c r="Q77" s="66" t="n">
        <v>32.2</v>
      </c>
      <c r="R77" s="66" t="n">
        <v>32</v>
      </c>
      <c r="S77" s="66" t="n">
        <v>33.2</v>
      </c>
      <c r="T77" s="109" t="n">
        <v>25.4</v>
      </c>
      <c r="U77" s="66" t="n">
        <v/>
      </c>
      <c r="V77" s="66" t="n">
        <v/>
      </c>
      <c r="W77" s="66" t="n">
        <v>29.8</v>
      </c>
      <c r="X77" s="66" t="n">
        <v>33.4</v>
      </c>
      <c r="Y77" s="66" t="n">
        <v>26.8</v>
      </c>
      <c r="Z77" s="66" t="n">
        <v>30.6</v>
      </c>
      <c r="AA77" s="66" t="n">
        <v>33.2</v>
      </c>
      <c r="AB77" s="66" t="n">
        <v>33.2</v>
      </c>
      <c r="AC77" s="66" t="n">
        <v>32.8</v>
      </c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7">
        <f>COUNTIF(K77:AO77,"&gt;0")</f>
        <v/>
      </c>
      <c r="AQ77" s="68">
        <f>IF(AP77&gt;14,AVERAGE(K77:AO77),"")</f>
        <v/>
      </c>
      <c r="AR77" s="68">
        <f>IFERROR(VLOOKUP(A77,Climatologia_TMAX!A:U,9+$E$2,FALSE),"")</f>
        <v/>
      </c>
      <c r="AS77" s="68">
        <f>IF(OR(AQ77="",AR77=""),"",IFERROR(AQ77-AR77,""))</f>
        <v/>
      </c>
      <c r="AT77" s="74">
        <f>IF(COUNT(K77:AO77)=0,"",MAX(K77:AO77))</f>
        <v/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/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7" s="69">
        <f>IF(OR(AT77="",AU77=""),"NA",IFERROR(AT77-AU77,"NA"))</f>
        <v/>
      </c>
    </row>
    <row r="78" ht="14.25" customHeight="1">
      <c r="A78" s="64" t="n">
        <v>35055010</v>
      </c>
      <c r="B78" s="70" t="inlineStr">
        <is>
          <t>El Japon</t>
        </is>
      </c>
      <c r="C78" s="70" t="inlineStr">
        <is>
          <t>Area Operativa 03 - Meta-Guaviare-Guainía</t>
        </is>
      </c>
      <c r="D78" s="99" t="n">
        <v>-73.30130556</v>
      </c>
      <c r="E78" s="99" t="n">
        <v>4.376972222</v>
      </c>
      <c r="F78" s="64" t="n">
        <v>280</v>
      </c>
      <c r="G78" s="62" t="n">
        <v>25</v>
      </c>
      <c r="H78" s="62" t="n">
        <v>25530</v>
      </c>
      <c r="I78" s="72" t="inlineStr">
        <is>
          <t>Cundinamarca</t>
        </is>
      </c>
      <c r="J78" s="72" t="inlineStr">
        <is>
          <t>Paratebueno</t>
        </is>
      </c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7">
        <f>COUNTIF(K78:AO78,"&gt;0")</f>
        <v/>
      </c>
      <c r="AQ78" s="68">
        <f>IF(AP78&gt;14,AVERAGE(K78:AO78),"")</f>
        <v/>
      </c>
      <c r="AR78" s="68">
        <f>IFERROR(VLOOKUP(A78,Climatologia_TMAX!A:U,9+$E$2,FALSE),"")</f>
        <v/>
      </c>
      <c r="AS78" s="68">
        <f>IF(OR(AQ78="",AR78=""),"",IFERROR(AQ78-AR78,""))</f>
        <v/>
      </c>
      <c r="AT78" s="74">
        <f>IF(COUNT(K78:AO78)=0,"",MAX(K78:AO78))</f>
        <v/>
      </c>
      <c r="AU78" s="74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>
        <f>IF(OR(AT78="",AU78=""),"NA",IFERROR(AT78-AU78,"NA"))</f>
        <v/>
      </c>
    </row>
    <row r="79" ht="14.25" customHeight="1">
      <c r="A79" s="64" t="n">
        <v>31015010</v>
      </c>
      <c r="B79" s="70" t="inlineStr">
        <is>
          <t>El Trueno</t>
        </is>
      </c>
      <c r="C79" s="70" t="inlineStr">
        <is>
          <t>Area Operativa 03 - Meta-Guaviare-Guainía</t>
        </is>
      </c>
      <c r="D79" s="99" t="n">
        <v>-72.639861</v>
      </c>
      <c r="E79" s="99" t="n">
        <v>2.372592</v>
      </c>
      <c r="F79" s="64" t="n">
        <v>216</v>
      </c>
      <c r="G79" s="62" t="n">
        <v>95</v>
      </c>
      <c r="H79" s="62" t="n">
        <v>95025</v>
      </c>
      <c r="I79" s="72" t="inlineStr">
        <is>
          <t>Guaviare</t>
        </is>
      </c>
      <c r="J79" s="72" t="inlineStr">
        <is>
          <t>El Retorno</t>
        </is>
      </c>
      <c r="K79" s="66" t="n">
        <v>33.2</v>
      </c>
      <c r="L79" s="66" t="n">
        <v>32.4</v>
      </c>
      <c r="M79" s="66" t="n">
        <v>33</v>
      </c>
      <c r="N79" s="66" t="n">
        <v>32.2</v>
      </c>
      <c r="O79" s="66" t="n">
        <v>32.8</v>
      </c>
      <c r="P79" s="66" t="n">
        <v>33.2</v>
      </c>
      <c r="Q79" s="66" t="n">
        <v>32.6</v>
      </c>
      <c r="R79" s="66" t="n">
        <v>33</v>
      </c>
      <c r="S79" s="66" t="n">
        <v>31.8</v>
      </c>
      <c r="T79" s="66" t="n">
        <v>31.8</v>
      </c>
      <c r="U79" s="66" t="n">
        <v>32.2</v>
      </c>
      <c r="V79" s="66" t="n">
        <v/>
      </c>
      <c r="W79" s="66" t="n">
        <v>30.8</v>
      </c>
      <c r="X79" s="66" t="n">
        <v>30.4</v>
      </c>
      <c r="Y79" s="66" t="n">
        <v>31.4</v>
      </c>
      <c r="Z79" s="66" t="n">
        <v>30.9</v>
      </c>
      <c r="AA79" s="66" t="n">
        <v>31.8</v>
      </c>
      <c r="AB79" s="66" t="n">
        <v/>
      </c>
      <c r="AC79" s="66" t="n">
        <v/>
      </c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7">
        <f>COUNTIF(K79:AO79,"&gt;0")</f>
        <v/>
      </c>
      <c r="AQ79" s="68">
        <f>IF(AP79&gt;14,AVERAGE(K79:AO79),"")</f>
        <v/>
      </c>
      <c r="AR79" s="68">
        <f>IFERROR(VLOOKUP(A79,Climatologia_TMAX!A:U,9+$E$2,FALSE),"")</f>
        <v/>
      </c>
      <c r="AS79" s="68">
        <f>IF(OR(AQ79="",AR79=""),"",IFERROR(AQ79-AR79,""))</f>
        <v/>
      </c>
      <c r="AT79" s="74">
        <f>IF(COUNT(K79:AO79)=0,"",MAX(K79:AO79))</f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/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9" s="69">
        <f>IF(OR(AT79="",AU79=""),"NA",IFERROR(AT79-AU79,"NA"))</f>
        <v/>
      </c>
    </row>
    <row r="80" ht="14.25" customHeight="1">
      <c r="A80" s="64" t="n">
        <v>35105050</v>
      </c>
      <c r="B80" s="70" t="inlineStr">
        <is>
          <t>Guaicaramo</t>
        </is>
      </c>
      <c r="C80" s="70" t="inlineStr">
        <is>
          <t>Area Operativa 03 - Meta-Guaviare-Guainía</t>
        </is>
      </c>
      <c r="D80" s="99" t="n">
        <v>-72.95363999999999</v>
      </c>
      <c r="E80" s="99" t="n">
        <v>4.46865</v>
      </c>
      <c r="F80" s="64" t="n">
        <v>199</v>
      </c>
      <c r="G80" s="62" t="n">
        <v>50</v>
      </c>
      <c r="H80" s="62" t="n">
        <v>50110</v>
      </c>
      <c r="I80" s="72" t="inlineStr">
        <is>
          <t>Meta</t>
        </is>
      </c>
      <c r="J80" s="72" t="inlineStr">
        <is>
          <t>Barranca De Upía</t>
        </is>
      </c>
      <c r="K80" s="66" t="n">
        <v>33.4</v>
      </c>
      <c r="L80" s="66" t="n">
        <v>32</v>
      </c>
      <c r="M80" s="66" t="n">
        <v>33.2</v>
      </c>
      <c r="N80" s="66" t="n">
        <v/>
      </c>
      <c r="O80" s="66" t="n">
        <v>32.6</v>
      </c>
      <c r="P80" s="66" t="n">
        <v>33</v>
      </c>
      <c r="Q80" s="66" t="n">
        <v>31.2</v>
      </c>
      <c r="R80" s="66" t="n">
        <v>32.4</v>
      </c>
      <c r="S80" s="66" t="n">
        <v>32</v>
      </c>
      <c r="T80" s="66" t="n">
        <v>29</v>
      </c>
      <c r="U80" s="66" t="n">
        <v>32.2</v>
      </c>
      <c r="V80" s="66" t="n">
        <v>34</v>
      </c>
      <c r="W80" s="66" t="n">
        <v>33.2</v>
      </c>
      <c r="X80" s="66" t="n">
        <v>33.4</v>
      </c>
      <c r="Y80" s="66" t="n">
        <v>32</v>
      </c>
      <c r="Z80" s="66" t="n">
        <v>31.6</v>
      </c>
      <c r="AA80" s="66" t="n">
        <v>32.6</v>
      </c>
      <c r="AB80" s="66" t="n">
        <v>30.4</v>
      </c>
      <c r="AC80" s="66" t="n">
        <v/>
      </c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7">
        <f>COUNTIF(K80:AO80,"&gt;0")</f>
        <v/>
      </c>
      <c r="AQ80" s="68">
        <f>IF(AP80&gt;14,AVERAGE(K80:AO80),"")</f>
        <v/>
      </c>
      <c r="AR80" s="68">
        <f>IFERROR(VLOOKUP(A80,Climatologia_TMAX!A:U,9+$E$2,FALSE),"")</f>
        <v/>
      </c>
      <c r="AS80" s="68">
        <f>IF(OR(AQ80="",AR80=""),"",IFERROR(AQ80-AR80,""))</f>
        <v/>
      </c>
      <c r="AT80" s="74">
        <f>IF(COUNT(K80:AO80)=0,"",MAX(K80:AO80))</f>
        <v/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/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0" s="69">
        <f>IF(OR(AT80="",AU80=""),"NA",IFERROR(AT80-AU80,"NA"))</f>
        <v/>
      </c>
    </row>
    <row r="81" ht="14.25" customHeight="1">
      <c r="A81" s="64" t="n">
        <v>35045020</v>
      </c>
      <c r="B81" s="70" t="inlineStr">
        <is>
          <t>Hacienda La Cabaña</t>
        </is>
      </c>
      <c r="C81" s="70" t="inlineStr">
        <is>
          <t>Area Operativa 03 - Meta-Guaviare-Guainía</t>
        </is>
      </c>
      <c r="D81" s="99" t="n">
        <v>-73.3575</v>
      </c>
      <c r="E81" s="99" t="n">
        <v>4.300444444</v>
      </c>
      <c r="F81" s="64" t="n">
        <v>310</v>
      </c>
      <c r="G81" s="62" t="n">
        <v>50</v>
      </c>
      <c r="H81" s="62" t="n">
        <v>50226</v>
      </c>
      <c r="I81" s="72" t="inlineStr">
        <is>
          <t>Meta</t>
        </is>
      </c>
      <c r="J81" s="72" t="inlineStr">
        <is>
          <t>Cumaral</t>
        </is>
      </c>
      <c r="K81" s="66" t="n">
        <v>33.2</v>
      </c>
      <c r="L81" s="66" t="n">
        <v>31.8</v>
      </c>
      <c r="M81" s="66" t="n">
        <v>33</v>
      </c>
      <c r="N81" s="66" t="n">
        <v>32.8</v>
      </c>
      <c r="O81" s="66" t="n">
        <v>32</v>
      </c>
      <c r="P81" s="66" t="n">
        <v>33.2</v>
      </c>
      <c r="Q81" s="66" t="n">
        <v>30</v>
      </c>
      <c r="R81" s="66" t="n">
        <v>31.6</v>
      </c>
      <c r="S81" s="66" t="n">
        <v>32.6</v>
      </c>
      <c r="T81" s="66" t="n">
        <v>30.2</v>
      </c>
      <c r="U81" s="66" t="n">
        <v>32.4</v>
      </c>
      <c r="V81" s="66" t="n">
        <v>32.6</v>
      </c>
      <c r="W81" s="66" t="n">
        <v>32.4</v>
      </c>
      <c r="X81" s="66" t="n">
        <v>32.8</v>
      </c>
      <c r="Y81" s="66" t="n">
        <v>32.4</v>
      </c>
      <c r="Z81" s="66" t="n">
        <v>31.8</v>
      </c>
      <c r="AA81" s="66" t="n">
        <v>32</v>
      </c>
      <c r="AB81" s="66" t="n">
        <v>28.4</v>
      </c>
      <c r="AC81" s="66" t="n">
        <v>31.6</v>
      </c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7">
        <f>COUNTIF(K81:AO81,"&gt;0")</f>
        <v/>
      </c>
      <c r="AQ81" s="68">
        <f>IF(AP81&gt;14,AVERAGE(K81:AO81),"")</f>
        <v/>
      </c>
      <c r="AR81" s="68">
        <f>IFERROR(VLOOKUP(A81,Climatologia_TMAX!A:U,9+$E$2,FALSE),"")</f>
        <v/>
      </c>
      <c r="AS81" s="68">
        <f>IF(OR(AQ81="",AR81=""),"",IFERROR(AQ81-AR81,""))</f>
        <v/>
      </c>
      <c r="AT81" s="74">
        <f>IF(COUNT(K81:AO81)=0,"",MAX(K81:AO81))</f>
        <v/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/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1" s="69">
        <f>IF(OR(AT81="",AU81=""),"NA",IFERROR(AT81-AU81,"NA"))</f>
        <v/>
      </c>
    </row>
    <row r="82" ht="14.25" customHeight="1">
      <c r="A82" s="64" t="n">
        <v>35125010</v>
      </c>
      <c r="B82" s="70" t="inlineStr">
        <is>
          <t>Hacienda Las Margaritas</t>
        </is>
      </c>
      <c r="C82" s="70" t="inlineStr">
        <is>
          <t>Area Operativa 03 - Meta-Guaviare-Guainía</t>
        </is>
      </c>
      <c r="D82" s="99" t="n">
        <v>-72.2270638</v>
      </c>
      <c r="E82" s="99" t="n">
        <v>4.3698889</v>
      </c>
      <c r="F82" s="64" t="n">
        <v>178</v>
      </c>
      <c r="G82" s="62" t="n">
        <v>50</v>
      </c>
      <c r="H82" s="62" t="n">
        <v>50573</v>
      </c>
      <c r="I82" s="72" t="inlineStr">
        <is>
          <t>Meta</t>
        </is>
      </c>
      <c r="J82" s="72" t="inlineStr">
        <is>
          <t>Puerto López</t>
        </is>
      </c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7">
        <f>COUNTIF(K82:AO82,"&gt;0")</f>
        <v/>
      </c>
      <c r="AQ82" s="68">
        <f>IF(AP82&gt;14,AVERAGE(K82:AO82),"")</f>
        <v/>
      </c>
      <c r="AR82" s="68">
        <f>IFERROR(VLOOKUP(A82,Climatologia_TMAX!A:U,9+$E$2,FALSE),"")</f>
        <v/>
      </c>
      <c r="AS82" s="68">
        <f>IF(OR(AQ82="",AR82=""),"",IFERROR(AQ82-AR82,""))</f>
        <v/>
      </c>
      <c r="AT82" s="74">
        <f>IF(COUNT(K82:AO82)=0,"",MAX(K82:AO82))</f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/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2" s="69">
        <f>IF(OR(AT82="",AU82=""),"NA",IFERROR(AT82-AU82,"NA"))</f>
        <v/>
      </c>
    </row>
    <row r="83" ht="14.25" customHeight="1">
      <c r="A83" s="64" t="n">
        <v>35095110</v>
      </c>
      <c r="B83" s="70" t="inlineStr">
        <is>
          <t>Huerta La Grande</t>
        </is>
      </c>
      <c r="C83" s="70" t="inlineStr">
        <is>
          <t>Area Operativa 03 - Meta-Guaviare-Guainía</t>
        </is>
      </c>
      <c r="D83" s="99" t="n">
        <v>-72.915458</v>
      </c>
      <c r="E83" s="99" t="n">
        <v>4.65144</v>
      </c>
      <c r="F83" s="64" t="n">
        <v>345</v>
      </c>
      <c r="G83" s="62" t="n">
        <v>85</v>
      </c>
      <c r="H83" s="62" t="n">
        <v>85440</v>
      </c>
      <c r="I83" s="72" t="inlineStr">
        <is>
          <t>Casanare</t>
        </is>
      </c>
      <c r="J83" s="72" t="inlineStr">
        <is>
          <t>Villanueva</t>
        </is>
      </c>
      <c r="K83" s="66" t="n">
        <v>34.6</v>
      </c>
      <c r="L83" s="66" t="n">
        <v>34.2</v>
      </c>
      <c r="M83" s="66" t="n">
        <v>34</v>
      </c>
      <c r="N83" s="66" t="n">
        <v>32.4</v>
      </c>
      <c r="O83" s="66" t="n">
        <v>32.2</v>
      </c>
      <c r="P83" s="66" t="n">
        <v>33.2</v>
      </c>
      <c r="Q83" s="66" t="n">
        <v>32.2</v>
      </c>
      <c r="R83" s="66" t="n">
        <v>32.4</v>
      </c>
      <c r="S83" s="66" t="n">
        <v>30.2</v>
      </c>
      <c r="T83" s="66" t="n">
        <v>30.2</v>
      </c>
      <c r="U83" s="66" t="n">
        <v>34</v>
      </c>
      <c r="V83" s="66" t="n">
        <v>33.2</v>
      </c>
      <c r="W83" s="66" t="n">
        <v>30</v>
      </c>
      <c r="X83" s="66" t="n">
        <v>33.8</v>
      </c>
      <c r="Y83" s="66" t="n">
        <v>31.8</v>
      </c>
      <c r="Z83" s="66" t="n">
        <v>32.4</v>
      </c>
      <c r="AA83" s="66" t="n">
        <v>32.8</v>
      </c>
      <c r="AB83" s="66" t="n">
        <v>31.6</v>
      </c>
      <c r="AC83" s="66" t="n">
        <v>31.4</v>
      </c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7">
        <f>COUNTIF(K83:AO83,"&gt;0")</f>
        <v/>
      </c>
      <c r="AQ83" s="68">
        <f>IF(AP83&gt;14,AVERAGE(K83:AO83),"")</f>
        <v/>
      </c>
      <c r="AR83" s="68">
        <f>IFERROR(VLOOKUP(A83,Climatologia_TMAX!A:U,9+$E$2,FALSE),"")</f>
        <v/>
      </c>
      <c r="AS83" s="68">
        <f>IF(OR(AQ83="",AR83=""),"",IFERROR(AQ83-AR83,""))</f>
        <v/>
      </c>
      <c r="AT83" s="74">
        <f>IF(COUNT(K83:AO83)=0,"",MAX(K83:AO83))</f>
        <v/>
      </c>
      <c r="AU83" s="74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>
        <f>IF(OR(AT83="",AU83=""),"NA",IFERROR(AT83-AU83,"NA"))</f>
        <v/>
      </c>
    </row>
    <row r="84" ht="14.25" customHeight="1">
      <c r="A84" s="64" t="n">
        <v>32075040</v>
      </c>
      <c r="B84" s="70" t="inlineStr">
        <is>
          <t>La Holanda</t>
        </is>
      </c>
      <c r="C84" s="70" t="inlineStr">
        <is>
          <t>Area Operativa 03 - Meta-Guaviare-Guainía</t>
        </is>
      </c>
      <c r="D84" s="99" t="n">
        <v>-73.71602778</v>
      </c>
      <c r="E84" s="99" t="n">
        <v>3.516333333</v>
      </c>
      <c r="F84" s="64" t="n">
        <v>360</v>
      </c>
      <c r="G84" s="62" t="n">
        <v>50</v>
      </c>
      <c r="H84" s="62" t="n">
        <v>50313</v>
      </c>
      <c r="I84" s="72" t="inlineStr">
        <is>
          <t>Meta</t>
        </is>
      </c>
      <c r="J84" s="72" t="inlineStr">
        <is>
          <t>Granada</t>
        </is>
      </c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7">
        <f>COUNTIF(K84:AO84,"&gt;0")</f>
        <v/>
      </c>
      <c r="AQ84" s="68">
        <f>IF(AP84&gt;14,AVERAGE(K84:AO84),"")</f>
        <v/>
      </c>
      <c r="AR84" s="68">
        <f>IFERROR(VLOOKUP(A84,Climatologia_TMAX!A:U,9+$E$2,FALSE),"")</f>
        <v/>
      </c>
      <c r="AS84" s="68">
        <f>IF(OR(AQ84="",AR84=""),"",IFERROR(AQ84-AR84,""))</f>
        <v/>
      </c>
      <c r="AT84" s="74">
        <f>IF(COUNT(K84:AO84)=0,"",MAX(K84:AO84))</f>
        <v/>
      </c>
      <c r="AU84" s="74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>
        <f>IF(OR(AT84="",AU84=""),"NA",IFERROR(AT84-AU84,"NA"))</f>
        <v/>
      </c>
    </row>
    <row r="85" ht="14.25" customHeight="1">
      <c r="A85" s="64" t="n">
        <v>35025110</v>
      </c>
      <c r="B85" s="70" t="inlineStr">
        <is>
          <t>La Libertad - AUT</t>
        </is>
      </c>
      <c r="C85" s="70" t="inlineStr">
        <is>
          <t>Area Operativa 03 - Meta-Guaviare-Guainía</t>
        </is>
      </c>
      <c r="D85" s="99" t="n">
        <v>-73.467865</v>
      </c>
      <c r="E85" s="99" t="n">
        <v>4.057415</v>
      </c>
      <c r="F85" s="64" t="n">
        <v>340</v>
      </c>
      <c r="G85" s="62" t="n">
        <v>50</v>
      </c>
      <c r="H85" s="62" t="n">
        <v>50001</v>
      </c>
      <c r="I85" s="72" t="inlineStr">
        <is>
          <t>Meta</t>
        </is>
      </c>
      <c r="J85" s="72" t="inlineStr">
        <is>
          <t>Villavicencio</t>
        </is>
      </c>
      <c r="K85" s="66" t="n">
        <v>32.8</v>
      </c>
      <c r="L85" s="66" t="n">
        <v>32.2</v>
      </c>
      <c r="M85" s="66" t="n">
        <v>33.2</v>
      </c>
      <c r="N85" s="66" t="n">
        <v>31</v>
      </c>
      <c r="O85" s="66" t="n">
        <v>32.4</v>
      </c>
      <c r="P85" s="66" t="n">
        <v>32.6</v>
      </c>
      <c r="Q85" s="66" t="n">
        <v>31.2</v>
      </c>
      <c r="R85" s="66" t="n">
        <v>31</v>
      </c>
      <c r="S85" s="66" t="n">
        <v>32</v>
      </c>
      <c r="T85" s="66" t="n">
        <v>30.2</v>
      </c>
      <c r="U85" s="66" t="n">
        <v>32</v>
      </c>
      <c r="V85" s="66" t="n">
        <v>32.4</v>
      </c>
      <c r="W85" s="66" t="n">
        <v>28.4</v>
      </c>
      <c r="X85" s="66" t="n">
        <v>32.6</v>
      </c>
      <c r="Y85" s="66" t="n">
        <v>32.2</v>
      </c>
      <c r="Z85" s="66" t="n">
        <v>32</v>
      </c>
      <c r="AA85" s="66" t="n">
        <v>32</v>
      </c>
      <c r="AB85" s="66" t="n">
        <v>29.2</v>
      </c>
      <c r="AC85" s="66" t="n">
        <v>32</v>
      </c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7">
        <f>COUNTIF(K85:AO85,"&gt;0")</f>
        <v/>
      </c>
      <c r="AQ85" s="68">
        <f>IF(AP85&gt;14,AVERAGE(K85:AO85),"")</f>
        <v/>
      </c>
      <c r="AR85" s="68">
        <f>IFERROR(VLOOKUP(A85,Climatologia_TMAX!A:U,9+$E$2,FALSE),"")</f>
        <v/>
      </c>
      <c r="AS85" s="68">
        <f>IF(OR(AQ85="",AR85=""),"",IFERROR(AQ85-AR85,""))</f>
        <v/>
      </c>
      <c r="AT85" s="74">
        <f>IF(COUNT(K85:AO85)=0,"",MAX(K85:AO85))</f>
        <v/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/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5" s="69">
        <f>IF(OR(AT85="",AU85=""),"NA",IFERROR(AT85-AU85,"NA"))</f>
        <v/>
      </c>
    </row>
    <row r="86" ht="14.25" customHeight="1">
      <c r="A86" s="64" t="n">
        <v>32035010</v>
      </c>
      <c r="B86" s="70" t="inlineStr">
        <is>
          <t>La Macarena</t>
        </is>
      </c>
      <c r="C86" s="70" t="inlineStr">
        <is>
          <t>Area Operativa 03 - Meta-Guaviare-Guainía</t>
        </is>
      </c>
      <c r="D86" s="99" t="n">
        <v>-73.79347199999999</v>
      </c>
      <c r="E86" s="99" t="n">
        <v>2.176139</v>
      </c>
      <c r="F86" s="64" t="n">
        <v>227</v>
      </c>
      <c r="G86" s="62" t="n">
        <v>50</v>
      </c>
      <c r="H86" s="62" t="n">
        <v>50350</v>
      </c>
      <c r="I86" s="72" t="inlineStr">
        <is>
          <t>Meta</t>
        </is>
      </c>
      <c r="J86" s="72" t="inlineStr">
        <is>
          <t>La Macarena</t>
        </is>
      </c>
      <c r="K86" s="66" t="n">
        <v>34</v>
      </c>
      <c r="L86" s="66" t="n">
        <v>33.8</v>
      </c>
      <c r="M86" s="66" t="n">
        <v>34.6</v>
      </c>
      <c r="N86" s="66" t="n">
        <v>32.8</v>
      </c>
      <c r="O86" s="66" t="n">
        <v>33.6</v>
      </c>
      <c r="P86" s="66" t="n">
        <v>31.6</v>
      </c>
      <c r="Q86" s="66" t="n">
        <v>33.6</v>
      </c>
      <c r="R86" s="66" t="n">
        <v>32.6</v>
      </c>
      <c r="S86" s="66" t="n">
        <v>29.6</v>
      </c>
      <c r="T86" s="66" t="n">
        <v>30.2</v>
      </c>
      <c r="U86" s="66" t="n">
        <v>31.6</v>
      </c>
      <c r="V86" s="66" t="n">
        <v/>
      </c>
      <c r="W86" s="66" t="n">
        <v/>
      </c>
      <c r="X86" s="66" t="n">
        <v>30.8</v>
      </c>
      <c r="Y86" s="66" t="n">
        <v>32.8</v>
      </c>
      <c r="Z86" s="66" t="n">
        <v>30.6</v>
      </c>
      <c r="AA86" s="66" t="n">
        <v/>
      </c>
      <c r="AB86" s="66" t="n">
        <v/>
      </c>
      <c r="AC86" s="66" t="n">
        <v>30.2</v>
      </c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7">
        <f>COUNTIF(K86:AO86,"&gt;0")</f>
        <v/>
      </c>
      <c r="AQ86" s="68">
        <f>IF(AP86&gt;14,AVERAGE(K86:AO86),"")</f>
        <v/>
      </c>
      <c r="AR86" s="68">
        <f>IFERROR(VLOOKUP(A86,Climatologia_TMAX!A:U,9+$E$2,FALSE),"")</f>
        <v/>
      </c>
      <c r="AS86" s="68">
        <f>IF(OR(AQ86="",AR86=""),"",IFERROR(AQ86-AR86,""))</f>
        <v/>
      </c>
      <c r="AT86" s="74">
        <f>IF(COUNT(K86:AO86)=0,"",MAX(K86:AO86))</f>
        <v/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/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6" s="69">
        <f>IF(OR(AT86="",AU86=""),"NA",IFERROR(AT86-AU86,"NA"))</f>
        <v/>
      </c>
    </row>
    <row r="87" ht="14.25" customHeight="1">
      <c r="A87" s="64" t="n">
        <v>34015010</v>
      </c>
      <c r="B87" s="70" t="inlineStr">
        <is>
          <t>Las Gaviotas</t>
        </is>
      </c>
      <c r="C87" s="70" t="inlineStr">
        <is>
          <t>Area Operativa 03 - Meta-Guaviare-Guainía</t>
        </is>
      </c>
      <c r="D87" s="99" t="n">
        <v>-70.93022499999999</v>
      </c>
      <c r="E87" s="99" t="n">
        <v>4.553891</v>
      </c>
      <c r="F87" s="64" t="n">
        <v>173</v>
      </c>
      <c r="G87" s="62" t="n">
        <v>99</v>
      </c>
      <c r="H87" s="62" t="n">
        <v>99773</v>
      </c>
      <c r="I87" s="72" t="inlineStr">
        <is>
          <t>Vichada</t>
        </is>
      </c>
      <c r="J87" s="72" t="inlineStr">
        <is>
          <t>Cumaribo</t>
        </is>
      </c>
      <c r="K87" s="66" t="n">
        <v>33.8</v>
      </c>
      <c r="L87" s="66" t="n">
        <v>33.2</v>
      </c>
      <c r="M87" s="66" t="n">
        <v>32.8</v>
      </c>
      <c r="N87" s="66" t="n">
        <v>33.2</v>
      </c>
      <c r="O87" s="66" t="n">
        <v>33.4</v>
      </c>
      <c r="P87" s="66" t="n">
        <v>31.8</v>
      </c>
      <c r="Q87" s="66" t="n">
        <v>33.2</v>
      </c>
      <c r="R87" s="66" t="n">
        <v>31.2</v>
      </c>
      <c r="S87" s="66" t="n">
        <v>31.6</v>
      </c>
      <c r="T87" s="66" t="n">
        <v>27.4</v>
      </c>
      <c r="U87" s="66" t="n">
        <v>32.6</v>
      </c>
      <c r="V87" s="66" t="n">
        <v>32.8</v>
      </c>
      <c r="W87" s="66" t="n">
        <v>30.4</v>
      </c>
      <c r="X87" s="66" t="n">
        <v>32.6</v>
      </c>
      <c r="Y87" s="66" t="n">
        <v>33.2</v>
      </c>
      <c r="Z87" s="66" t="n">
        <v>31.6</v>
      </c>
      <c r="AA87" s="66" t="n">
        <v>33.2</v>
      </c>
      <c r="AB87" s="66" t="n">
        <v>31.8</v>
      </c>
      <c r="AC87" s="66" t="n">
        <v>32.2</v>
      </c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7">
        <f>COUNTIF(K87:AO87,"&gt;0")</f>
        <v/>
      </c>
      <c r="AQ87" s="68">
        <f>IF(AP87&gt;14,AVERAGE(K87:AO87),"")</f>
        <v/>
      </c>
      <c r="AR87" s="68">
        <f>IFERROR(VLOOKUP(A87,Climatologia_TMAX!A:U,9+$E$2,FALSE),"")</f>
        <v/>
      </c>
      <c r="AS87" s="68">
        <f>IF(OR(AQ87="",AR87=""),"",IFERROR(AQ87-AR87,""))</f>
        <v/>
      </c>
      <c r="AT87" s="74">
        <f>IF(COUNT(K87:AO87)=0,"",MAX(K87:AO87))</f>
        <v/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/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7" s="69">
        <f>IF(OR(AT87="",AU87=""),"NA",IFERROR(AT87-AU87,"NA"))</f>
        <v/>
      </c>
    </row>
    <row r="88" ht="14.25" customHeight="1">
      <c r="A88" s="64" t="n">
        <v>32155010</v>
      </c>
      <c r="B88" s="70" t="inlineStr">
        <is>
          <t>Mapiripana</t>
        </is>
      </c>
      <c r="C88" s="70" t="inlineStr">
        <is>
          <t>Area Operativa 03 - Meta-Guaviare-Guainía</t>
        </is>
      </c>
      <c r="D88" s="99" t="n">
        <v>-70.475139</v>
      </c>
      <c r="E88" s="99" t="n">
        <v>2.811778</v>
      </c>
      <c r="F88" s="64" t="n">
        <v>154</v>
      </c>
      <c r="G88" s="62" t="n">
        <v>94</v>
      </c>
      <c r="H88" s="62" t="n">
        <v>94343</v>
      </c>
      <c r="I88" s="72" t="inlineStr">
        <is>
          <t>Guainía</t>
        </is>
      </c>
      <c r="J88" s="72" t="inlineStr">
        <is>
          <t>Barrancominas</t>
        </is>
      </c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7">
        <f>COUNTIF(K88:AO88,"&gt;0")</f>
        <v/>
      </c>
      <c r="AQ88" s="68">
        <f>IF(AP88&gt;14,AVERAGE(K88:AO88),"")</f>
        <v/>
      </c>
      <c r="AR88" s="68">
        <f>IFERROR(VLOOKUP(A88,Climatologia_TMAX!A:U,9+$E$2,FALSE),"")</f>
        <v/>
      </c>
      <c r="AS88" s="68">
        <f>IF(OR(AQ88="",AR88=""),"",IFERROR(AQ88-AR88,""))</f>
        <v/>
      </c>
      <c r="AT88" s="74">
        <f>IF(COUNT(K88:AO88)=0,"",MAX(K88:AO88))</f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/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8" s="69">
        <f>IF(OR(AT88="",AU88=""),"NA",IFERROR(AT88-AU88,"NA"))</f>
        <v/>
      </c>
    </row>
    <row r="89" ht="14.25" customHeight="1">
      <c r="A89" s="64" t="n">
        <v>32075050</v>
      </c>
      <c r="B89" s="70" t="inlineStr">
        <is>
          <t>Mesetas</t>
        </is>
      </c>
      <c r="C89" s="70" t="inlineStr">
        <is>
          <t>Area Operativa 03 - Meta-Guaviare-Guainía</t>
        </is>
      </c>
      <c r="D89" s="99" t="n">
        <v>-74.04300000000001</v>
      </c>
      <c r="E89" s="99" t="n">
        <v>3.38008</v>
      </c>
      <c r="F89" s="64" t="n">
        <v>556</v>
      </c>
      <c r="G89" s="62" t="n">
        <v>50</v>
      </c>
      <c r="H89" s="62" t="n">
        <v>50330</v>
      </c>
      <c r="I89" s="72" t="inlineStr">
        <is>
          <t>Meta</t>
        </is>
      </c>
      <c r="J89" s="72" t="inlineStr">
        <is>
          <t>Mesetas</t>
        </is>
      </c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7">
        <f>COUNTIF(K89:AO89,"&gt;0")</f>
        <v/>
      </c>
      <c r="AQ89" s="68">
        <f>IF(AP89&gt;14,AVERAGE(K89:AO89),"")</f>
        <v/>
      </c>
      <c r="AR89" s="68">
        <f>IFERROR(VLOOKUP(A89,Climatologia_TMAX!A:U,9+$E$2,FALSE),"")</f>
        <v/>
      </c>
      <c r="AS89" s="68">
        <f>IF(OR(AQ89="",AR89=""),"",IFERROR(AQ89-AR89,""))</f>
        <v/>
      </c>
      <c r="AT89" s="74">
        <f>IF(COUNT(K89:AO89)=0,"",MAX(K89:AO89))</f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/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9" s="69">
        <f>IF(OR(AT89="",AU89=""),"NA",IFERROR(AT89-AU89,"NA"))</f>
        <v/>
      </c>
    </row>
    <row r="90" ht="14.25" customHeight="1">
      <c r="A90" s="64" t="n">
        <v>42075010</v>
      </c>
      <c r="B90" s="70" t="inlineStr">
        <is>
          <t>Mitu</t>
        </is>
      </c>
      <c r="C90" s="70" t="inlineStr">
        <is>
          <t>Area Operativa 03 - Meta-Guaviare-Guainía</t>
        </is>
      </c>
      <c r="D90" s="99" t="n">
        <v>-70.239204</v>
      </c>
      <c r="E90" s="99" t="n">
        <v>1.259702</v>
      </c>
      <c r="F90" s="64" t="n">
        <v>168</v>
      </c>
      <c r="G90" s="62" t="n">
        <v>97</v>
      </c>
      <c r="H90" s="62" t="n">
        <v>97001</v>
      </c>
      <c r="I90" s="72" t="inlineStr">
        <is>
          <t>Vaupés</t>
        </is>
      </c>
      <c r="J90" s="72" t="inlineStr">
        <is>
          <t>Mitú</t>
        </is>
      </c>
      <c r="K90" s="66" t="n">
        <v>30.4</v>
      </c>
      <c r="L90" s="66" t="n">
        <v>32</v>
      </c>
      <c r="M90" s="66" t="n">
        <v>31</v>
      </c>
      <c r="N90" s="66" t="n">
        <v>32.3</v>
      </c>
      <c r="O90" s="66" t="n">
        <v>30</v>
      </c>
      <c r="P90" s="66" t="n">
        <v>32.1</v>
      </c>
      <c r="Q90" s="66" t="n">
        <v>33</v>
      </c>
      <c r="R90" s="66" t="n">
        <v>29.2</v>
      </c>
      <c r="S90" s="66" t="n">
        <v>33.1</v>
      </c>
      <c r="T90" s="66" t="n">
        <v>31.4</v>
      </c>
      <c r="U90" s="66" t="n">
        <v>33.2</v>
      </c>
      <c r="V90" s="66" t="n">
        <v>32.2</v>
      </c>
      <c r="W90" s="66" t="n">
        <v>32.1</v>
      </c>
      <c r="X90" s="66" t="n">
        <v>32.4</v>
      </c>
      <c r="Y90" s="66" t="n">
        <v>30.3</v>
      </c>
      <c r="Z90" s="66" t="n">
        <v>31.2</v>
      </c>
      <c r="AA90" s="66" t="n">
        <v>32</v>
      </c>
      <c r="AB90" s="66" t="n">
        <v>33</v>
      </c>
      <c r="AC90" s="66" t="n">
        <v>32</v>
      </c>
      <c r="AD90" s="66" t="n"/>
      <c r="AE90" s="66" t="n"/>
      <c r="AF90" s="109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7">
        <f>COUNTIF(K90:AO90,"&gt;0")</f>
        <v/>
      </c>
      <c r="AQ90" s="68">
        <f>IF(AP90&gt;14,AVERAGE(K90:AO90),"")</f>
        <v/>
      </c>
      <c r="AR90" s="68">
        <f>IFERROR(VLOOKUP(A90,Climatologia_TMAX!A:U,9+$E$2,FALSE),"")</f>
        <v/>
      </c>
      <c r="AS90" s="68">
        <f>IF(OR(AQ90="",AR90=""),"",IFERROR(AQ90-AR90,""))</f>
        <v/>
      </c>
      <c r="AT90" s="74">
        <f>IF(COUNT(K90:AO90)=0,"",MAX(K90:AO90))</f>
        <v/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/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0" s="69">
        <f>IF(OR(AT90="",AU90=""),"NA",IFERROR(AT90-AU90,"NA"))</f>
        <v/>
      </c>
    </row>
    <row r="91" ht="14.25" customHeight="1">
      <c r="A91" s="64" t="n">
        <v>35225030</v>
      </c>
      <c r="B91" s="70" t="inlineStr">
        <is>
          <t>Modulos - AUT</t>
        </is>
      </c>
      <c r="C91" s="70" t="inlineStr">
        <is>
          <t>Area Operativa 03 - Meta-Guaviare-Guainía</t>
        </is>
      </c>
      <c r="D91" s="99" t="n">
        <v>-71.433083</v>
      </c>
      <c r="E91" s="99" t="n">
        <v>4.910528</v>
      </c>
      <c r="F91" s="64" t="n">
        <v>139</v>
      </c>
      <c r="G91" s="62" t="n">
        <v>85</v>
      </c>
      <c r="H91" s="62" t="n">
        <v>85230</v>
      </c>
      <c r="I91" s="72" t="inlineStr">
        <is>
          <t>Casanare</t>
        </is>
      </c>
      <c r="J91" s="72" t="inlineStr">
        <is>
          <t>Orocué</t>
        </is>
      </c>
      <c r="K91" s="66" t="n">
        <v>33.2</v>
      </c>
      <c r="L91" s="66" t="n">
        <v>33</v>
      </c>
      <c r="M91" s="66" t="n">
        <v>34</v>
      </c>
      <c r="N91" s="66" t="n">
        <v>31.3</v>
      </c>
      <c r="O91" s="66" t="n">
        <v/>
      </c>
      <c r="P91" s="66" t="n">
        <v>33.1</v>
      </c>
      <c r="Q91" s="66" t="n">
        <v>33</v>
      </c>
      <c r="R91" s="66" t="n">
        <v>32.3</v>
      </c>
      <c r="S91" s="66" t="n">
        <v>32.1</v>
      </c>
      <c r="T91" s="66" t="n">
        <v>28</v>
      </c>
      <c r="U91" s="66" t="n">
        <v>32.4</v>
      </c>
      <c r="V91" s="66" t="n">
        <v>33</v>
      </c>
      <c r="W91" s="66" t="n">
        <v>31.2</v>
      </c>
      <c r="X91" s="66" t="n">
        <v>33.3</v>
      </c>
      <c r="Y91" s="66" t="n">
        <v>33.1</v>
      </c>
      <c r="Z91" s="107" t="n">
        <v>33.1</v>
      </c>
      <c r="AA91" s="66" t="n">
        <v>33.4</v>
      </c>
      <c r="AB91" s="66" t="n">
        <v>33.4</v>
      </c>
      <c r="AC91" s="66" t="n">
        <v>32.2</v>
      </c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7">
        <f>COUNTIF(K91:AO91,"&gt;0")</f>
        <v/>
      </c>
      <c r="AQ91" s="68">
        <f>IF(AP91&gt;14,AVERAGE(K91:AO91),"")</f>
        <v/>
      </c>
      <c r="AR91" s="68">
        <f>IFERROR(VLOOKUP(A91,Climatologia_TMAX!A:U,9+$E$2,FALSE),"")</f>
        <v/>
      </c>
      <c r="AS91" s="68">
        <f>IF(OR(AQ91="",AR91=""),"",IFERROR(AQ91-AR91,""))</f>
        <v/>
      </c>
      <c r="AT91" s="74">
        <f>IF(COUNT(K91:AO91)=0,"",MAX(K91:AO91))</f>
        <v/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/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1" s="69">
        <f>IF(OR(AT91="",AU91=""),"NA",IFERROR(AT91-AU91,"NA"))</f>
        <v/>
      </c>
    </row>
    <row r="92" ht="14.25" customHeight="1">
      <c r="A92" s="64" t="n">
        <v>3502500006</v>
      </c>
      <c r="B92" s="70" t="inlineStr">
        <is>
          <t>Morichal</t>
        </is>
      </c>
      <c r="C92" s="70" t="inlineStr">
        <is>
          <t>Area Operativa 03 - Meta-Guaviare-Guainía</t>
        </is>
      </c>
      <c r="D92" s="99" t="n">
        <v>-73.24296388899999</v>
      </c>
      <c r="E92" s="99" t="n">
        <v>3.932547222</v>
      </c>
      <c r="F92" s="64" t="n">
        <v>277</v>
      </c>
      <c r="G92" s="62" t="n">
        <v>50</v>
      </c>
      <c r="H92" s="62" t="n">
        <v>50680</v>
      </c>
      <c r="I92" s="72" t="inlineStr">
        <is>
          <t>Meta</t>
        </is>
      </c>
      <c r="J92" s="72" t="inlineStr">
        <is>
          <t>San Carlos De Guaroa</t>
        </is>
      </c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7">
        <f>COUNTIF(K92:AO92,"&gt;0")</f>
        <v/>
      </c>
      <c r="AQ92" s="68">
        <f>IF(AP92&gt;14,AVERAGE(K92:AO92),"")</f>
        <v/>
      </c>
      <c r="AR92" s="68">
        <f>IFERROR(VLOOKUP(A92,Climatologia_TMAX!A:U,9+$E$2,FALSE),"")</f>
        <v/>
      </c>
      <c r="AS92" s="68">
        <f>IF(OR(AQ92="",AR92=""),"",IFERROR(AQ92-AR92,""))</f>
        <v/>
      </c>
      <c r="AT92" s="74">
        <f>IF(COUNT(K92:AO92)=0,"",MAX(K92:AO92))</f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/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2" s="69">
        <f>IF(OR(AT92="",AU92=""),"NA",IFERROR(AT92-AU92,"NA"))</f>
        <v/>
      </c>
    </row>
    <row r="93" ht="14.25" customHeight="1">
      <c r="A93" s="64" t="n">
        <v>35017020</v>
      </c>
      <c r="B93" s="70" t="inlineStr">
        <is>
          <t>Puente Lleras - AUT</t>
        </is>
      </c>
      <c r="C93" s="70" t="inlineStr">
        <is>
          <t>Area Operativa 03 - Meta-Guaviare-Guainía</t>
        </is>
      </c>
      <c r="D93" s="99" t="n">
        <v>-72.93638333299999</v>
      </c>
      <c r="E93" s="99" t="n">
        <v>4.103019444</v>
      </c>
      <c r="F93" s="64" t="n">
        <v>177</v>
      </c>
      <c r="G93" s="62" t="n">
        <v>50</v>
      </c>
      <c r="H93" s="62" t="n">
        <v>50573</v>
      </c>
      <c r="I93" s="72" t="inlineStr">
        <is>
          <t>Meta</t>
        </is>
      </c>
      <c r="J93" s="72" t="inlineStr">
        <is>
          <t>Puerto López</t>
        </is>
      </c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7">
        <f>COUNTIF(K93:AO93,"&gt;0")</f>
        <v/>
      </c>
      <c r="AQ93" s="68">
        <f>IF(AP93&gt;14,AVERAGE(K93:AO93),"")</f>
        <v/>
      </c>
      <c r="AR93" s="68">
        <f>IFERROR(VLOOKUP(A93,Climatologia_TMAX!A:U,9+$E$2,FALSE),"")</f>
        <v/>
      </c>
      <c r="AS93" s="68">
        <f>IF(OR(AQ93="",AR93=""),"",IFERROR(AQ93-AR93,""))</f>
        <v/>
      </c>
      <c r="AT93" s="74">
        <f>IF(COUNT(K93:AO93)=0,"",MAX(K93:AO93))</f>
        <v/>
      </c>
      <c r="AU93" s="74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>
        <f>IF(OR(AT93="",AU93=""),"NA",IFERROR(AT93-AU93,"NA"))</f>
        <v/>
      </c>
    </row>
    <row r="94" ht="14.25" customHeight="1">
      <c r="A94" s="64" t="n">
        <v>31095030</v>
      </c>
      <c r="B94" s="70" t="inlineStr">
        <is>
          <t>Puerto Inirida - AUT</t>
        </is>
      </c>
      <c r="C94" s="70" t="inlineStr">
        <is>
          <t>Area Operativa 03 - Meta-Guaviare-Guainía</t>
        </is>
      </c>
      <c r="D94" s="99" t="n">
        <v>-67.91911111</v>
      </c>
      <c r="E94" s="99" t="n">
        <v>3.874444</v>
      </c>
      <c r="F94" s="64" t="n">
        <v>98</v>
      </c>
      <c r="G94" s="62" t="n">
        <v>94</v>
      </c>
      <c r="H94" s="62" t="n">
        <v>94001</v>
      </c>
      <c r="I94" s="72" t="inlineStr">
        <is>
          <t>Guainía</t>
        </is>
      </c>
      <c r="J94" s="72" t="inlineStr">
        <is>
          <t>Inírida</t>
        </is>
      </c>
      <c r="K94" s="109" t="n">
        <v>33.6</v>
      </c>
      <c r="L94" s="66" t="n">
        <v>33.8</v>
      </c>
      <c r="M94" s="66" t="n">
        <v>33</v>
      </c>
      <c r="N94" s="66" t="n">
        <v>32.4</v>
      </c>
      <c r="O94" s="66" t="n">
        <v>34</v>
      </c>
      <c r="P94" s="66" t="n">
        <v>29.4</v>
      </c>
      <c r="Q94" s="66" t="n">
        <v>33.4</v>
      </c>
      <c r="R94" s="66" t="n">
        <v>32.2</v>
      </c>
      <c r="S94" s="66" t="n">
        <v>33.4</v>
      </c>
      <c r="T94" s="66" t="n">
        <v>30.6</v>
      </c>
      <c r="U94" s="66" t="n">
        <v>31.6</v>
      </c>
      <c r="V94" s="66" t="n">
        <v>32.6</v>
      </c>
      <c r="W94" s="66" t="n">
        <v>32</v>
      </c>
      <c r="X94" s="66" t="n">
        <v>34</v>
      </c>
      <c r="Y94" s="66" t="n">
        <v>31.2</v>
      </c>
      <c r="Z94" s="66" t="n">
        <v>30.4</v>
      </c>
      <c r="AA94" s="66" t="n">
        <v>32.8</v>
      </c>
      <c r="AB94" s="66" t="n">
        <v>32.2</v>
      </c>
      <c r="AC94" s="66" t="n">
        <v>34</v>
      </c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7">
        <f>COUNTIF(K94:AO94,"&gt;0")</f>
        <v/>
      </c>
      <c r="AQ94" s="68">
        <f>IF(AP94&gt;14,AVERAGE(K94:AO94),"")</f>
        <v/>
      </c>
      <c r="AR94" s="68">
        <f>IFERROR(VLOOKUP(A94,Climatologia_TMAX!A:U,9+$E$2,FALSE),"")</f>
        <v/>
      </c>
      <c r="AS94" s="68">
        <f>IF(OR(AQ94="",AR94=""),"",IFERROR(AQ94-AR94,""))</f>
        <v/>
      </c>
      <c r="AT94" s="74">
        <f>IF(COUNT(K94:AO94)=0,"",MAX(K94:AO94))</f>
        <v/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/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4" s="69">
        <f>IF(OR(AT94="",AU94=""),"NA",IFERROR(AT94-AU94,"NA"))</f>
        <v/>
      </c>
    </row>
    <row r="95" ht="14.25" customHeight="1">
      <c r="A95" s="64" t="n">
        <v>35010010</v>
      </c>
      <c r="B95" s="70" t="inlineStr">
        <is>
          <t>Puerto Lopez</t>
        </is>
      </c>
      <c r="C95" s="70" t="inlineStr">
        <is>
          <t>Area Operativa 03 - Meta-Guaviare-Guainía</t>
        </is>
      </c>
      <c r="D95" s="99" t="n">
        <v>-72.95038599999999</v>
      </c>
      <c r="E95" s="99" t="n">
        <v>4.099683</v>
      </c>
      <c r="F95" s="64" t="n">
        <v>180</v>
      </c>
      <c r="G95" s="62" t="n">
        <v>50</v>
      </c>
      <c r="H95" s="62" t="n">
        <v>50573</v>
      </c>
      <c r="I95" s="72" t="inlineStr">
        <is>
          <t>Meta</t>
        </is>
      </c>
      <c r="J95" s="72" t="inlineStr">
        <is>
          <t>Puerto López</t>
        </is>
      </c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7">
        <f>COUNTIF(K95:AO95,"&gt;0")</f>
        <v/>
      </c>
      <c r="AQ95" s="68">
        <f>IF(AP95&gt;14,AVERAGE(K95:AO95),"")</f>
        <v/>
      </c>
      <c r="AR95" s="68">
        <f>IFERROR(VLOOKUP(A95,Climatologia_TMAX!A:U,9+$E$2,FALSE),"")</f>
        <v/>
      </c>
      <c r="AS95" s="68">
        <f>IF(OR(AQ95="",AR95=""),"",IFERROR(AQ95-AR95,""))</f>
        <v/>
      </c>
      <c r="AT95" s="74">
        <f>IF(COUNT(K95:AO95)=0,"",MAX(K95:AO95))</f>
        <v/>
      </c>
      <c r="AU95" s="74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>
        <f>IF(OR(AT95="",AU95=""),"NA",IFERROR(AT95-AU95,"NA"))</f>
        <v/>
      </c>
    </row>
    <row r="96" ht="14.25" customHeight="1">
      <c r="A96" s="64" t="n">
        <v>32105080</v>
      </c>
      <c r="B96" s="70" t="inlineStr">
        <is>
          <t>San Jose Del Guaviare</t>
        </is>
      </c>
      <c r="C96" s="70" t="inlineStr">
        <is>
          <t>Area Operativa 03 - Meta-Guaviare-Guainía</t>
        </is>
      </c>
      <c r="D96" s="99" t="n">
        <v>-72.71803</v>
      </c>
      <c r="E96" s="99" t="n">
        <v>2.547925</v>
      </c>
      <c r="F96" s="64" t="n">
        <v>191</v>
      </c>
      <c r="G96" s="62" t="n">
        <v>95</v>
      </c>
      <c r="H96" s="62" t="n">
        <v>95001</v>
      </c>
      <c r="I96" s="72" t="inlineStr">
        <is>
          <t>Guaviare</t>
        </is>
      </c>
      <c r="J96" s="72" t="inlineStr">
        <is>
          <t>San José Del Guaviare</t>
        </is>
      </c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7">
        <f>COUNTIF(K96:AO96,"&gt;0")</f>
        <v/>
      </c>
      <c r="AQ96" s="68">
        <f>IF(AP96&gt;14,AVERAGE(K96:AO96),"")</f>
        <v/>
      </c>
      <c r="AR96" s="68">
        <f>IFERROR(VLOOKUP(A96,Climatologia_TMAX!A:U,9+$E$2,FALSE),"")</f>
        <v/>
      </c>
      <c r="AS96" s="68">
        <f>IF(OR(AQ96="",AR96=""),"",IFERROR(AQ96-AR96,""))</f>
        <v/>
      </c>
      <c r="AT96" s="74">
        <f>IF(COUNT(K96:AO96)=0,"",MAX(K96:AO96))</f>
        <v/>
      </c>
      <c r="AU96" s="74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>
        <f>IF(OR(AT96="",AU96=""),"NA",IFERROR(AT96-AU96,"NA"))</f>
        <v/>
      </c>
    </row>
    <row r="97" ht="14.25" customHeight="1">
      <c r="A97" s="64" t="n">
        <v>35035070</v>
      </c>
      <c r="B97" s="70" t="inlineStr">
        <is>
          <t>Unillanos</t>
        </is>
      </c>
      <c r="C97" s="70" t="inlineStr">
        <is>
          <t>Area Operativa 03 - Meta-Guaviare-Guainía</t>
        </is>
      </c>
      <c r="D97" s="99" t="n">
        <v>-73.582722</v>
      </c>
      <c r="E97" s="99" t="n">
        <v>4.076861</v>
      </c>
      <c r="F97" s="64" t="n">
        <v>386</v>
      </c>
      <c r="G97" s="62" t="n">
        <v>50</v>
      </c>
      <c r="H97" s="62" t="n">
        <v>50001</v>
      </c>
      <c r="I97" s="72" t="inlineStr">
        <is>
          <t>Meta</t>
        </is>
      </c>
      <c r="J97" s="72" t="inlineStr">
        <is>
          <t>Villavicencio</t>
        </is>
      </c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7">
        <f>COUNTIF(K97:AO97,"&gt;0")</f>
        <v/>
      </c>
      <c r="AQ97" s="68">
        <f>IF(AP97&gt;14,AVERAGE(K97:AO97),"")</f>
        <v/>
      </c>
      <c r="AR97" s="68">
        <f>IFERROR(VLOOKUP(A97,Climatologia_TMAX!A:U,9+$E$2,FALSE),"")</f>
        <v/>
      </c>
      <c r="AS97" s="68">
        <f>IF(OR(AQ97="",AR97=""),"",IFERROR(AQ97-AR97,""))</f>
        <v/>
      </c>
      <c r="AT97" s="74">
        <f>IF(COUNT(K97:AO97)=0,"",MAX(K97:AO97))</f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/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7" s="69">
        <f>IF(OR(AT97="",AU97=""),"NA",IFERROR(AT97-AU97,"NA"))</f>
        <v/>
      </c>
    </row>
    <row r="98" ht="14.25" customHeight="1">
      <c r="A98" s="64" t="n">
        <v>21025020</v>
      </c>
      <c r="B98" s="70" t="inlineStr">
        <is>
          <t>Altamira</t>
        </is>
      </c>
      <c r="C98" s="70" t="inlineStr">
        <is>
          <t>Area Operativa 04 - Huila-Caquetá</t>
        </is>
      </c>
      <c r="D98" s="99" t="n">
        <v>-75.8</v>
      </c>
      <c r="E98" s="99" t="n">
        <v>2.066666667</v>
      </c>
      <c r="F98" s="64" t="n">
        <v>1352</v>
      </c>
      <c r="G98" s="62" t="n">
        <v>41</v>
      </c>
      <c r="H98" s="62" t="n">
        <v>41026</v>
      </c>
      <c r="I98" s="72" t="inlineStr">
        <is>
          <t>Huila</t>
        </is>
      </c>
      <c r="J98" s="72" t="inlineStr">
        <is>
          <t>Altamira</t>
        </is>
      </c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7">
        <f>COUNTIF(K98:AO98,"&gt;0")</f>
        <v/>
      </c>
      <c r="AQ98" s="68">
        <f>IF(AP98&gt;14,AVERAGE(K98:AO98),"")</f>
        <v/>
      </c>
      <c r="AR98" s="68">
        <f>IFERROR(VLOOKUP(A98,Climatologia_TMAX!A:U,9+$E$2,FALSE),"")</f>
        <v/>
      </c>
      <c r="AS98" s="68">
        <f>IF(OR(AQ98="",AR98=""),"",IFERROR(AQ98-AR98,""))</f>
        <v/>
      </c>
      <c r="AT98" s="74">
        <f>IF(COUNT(K98:AO98)=0,"",MAX(K98:AO98))</f>
        <v/>
      </c>
      <c r="AU98" s="74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>
        <f>IF(OR(AT98="",AU98=""),"NA",IFERROR(AT98-AU98,"NA"))</f>
        <v/>
      </c>
    </row>
    <row r="99" ht="14.25" customHeight="1">
      <c r="A99" s="64" t="n">
        <v>21025030</v>
      </c>
      <c r="B99" s="70" t="inlineStr">
        <is>
          <t>Altamira El Grifo AUT</t>
        </is>
      </c>
      <c r="C99" s="70" t="inlineStr">
        <is>
          <t>Area Operativa 04 - Huila-Caquetá</t>
        </is>
      </c>
      <c r="D99" s="99" t="n">
        <v>-75.73622222</v>
      </c>
      <c r="E99" s="99" t="n">
        <v>2.079166667</v>
      </c>
      <c r="F99" s="64" t="n">
        <v>1368</v>
      </c>
      <c r="G99" s="62" t="n">
        <v>41</v>
      </c>
      <c r="H99" s="62" t="n">
        <v>41026</v>
      </c>
      <c r="I99" s="72" t="inlineStr">
        <is>
          <t>Huila</t>
        </is>
      </c>
      <c r="J99" s="72" t="inlineStr">
        <is>
          <t>Altamira</t>
        </is>
      </c>
      <c r="K99" s="66" t="n">
        <v>30</v>
      </c>
      <c r="L99" s="66" t="n">
        <v>25.2</v>
      </c>
      <c r="M99" s="66" t="n">
        <v>25</v>
      </c>
      <c r="N99" s="66" t="n">
        <v>26.2</v>
      </c>
      <c r="O99" s="66" t="n">
        <v>26.4</v>
      </c>
      <c r="P99" s="66" t="n">
        <v>28</v>
      </c>
      <c r="Q99" s="66" t="n">
        <v>27</v>
      </c>
      <c r="R99" s="66" t="n">
        <v>29</v>
      </c>
      <c r="S99" s="66" t="n">
        <v>29.2</v>
      </c>
      <c r="T99" s="66" t="n">
        <v>28</v>
      </c>
      <c r="U99" s="109" t="n">
        <v>26.2</v>
      </c>
      <c r="V99" s="66" t="n">
        <v>26.4</v>
      </c>
      <c r="W99" s="66" t="n">
        <v>27.2</v>
      </c>
      <c r="X99" s="66" t="n">
        <v>28</v>
      </c>
      <c r="Y99" s="66" t="n">
        <v>28</v>
      </c>
      <c r="Z99" s="66" t="n">
        <v>25.2</v>
      </c>
      <c r="AA99" s="66" t="n">
        <v>29</v>
      </c>
      <c r="AB99" s="66" t="n">
        <v>28</v>
      </c>
      <c r="AC99" s="66" t="n">
        <v>25.2</v>
      </c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7">
        <f>COUNTIF(K99:AO99,"&gt;0")</f>
        <v/>
      </c>
      <c r="AQ99" s="68">
        <f>IF(AP99&gt;14,AVERAGE(K99:AO99),"")</f>
        <v/>
      </c>
      <c r="AR99" s="68">
        <f>IFERROR(VLOOKUP(A99,Climatologia_TMAX!A:U,9+$E$2,FALSE),"")</f>
        <v/>
      </c>
      <c r="AS99" s="68">
        <f>IF(OR(AQ99="",AR99=""),"",IFERROR(AQ99-AR99,""))</f>
        <v/>
      </c>
      <c r="AT99" s="74">
        <f>IF(COUNT(K99:AO99)=0,"",MAX(K99:AO99))</f>
        <v/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/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9" s="69">
        <f>IF(OR(AT99="",AU99=""),"NA",IFERROR(AT99-AU99,"NA"))</f>
        <v/>
      </c>
    </row>
    <row r="100" ht="14.25" customHeight="1">
      <c r="A100" s="64" t="n">
        <v>21135030</v>
      </c>
      <c r="B100" s="70" t="inlineStr">
        <is>
          <t>Anchique</t>
        </is>
      </c>
      <c r="C100" s="70" t="inlineStr">
        <is>
          <t>Area Operativa 04 - Huila-Caquetá</t>
        </is>
      </c>
      <c r="D100" s="99" t="n">
        <v>-75.10899999999999</v>
      </c>
      <c r="E100" s="99" t="n">
        <v>3.573833333</v>
      </c>
      <c r="F100" s="64" t="n">
        <v>415</v>
      </c>
      <c r="G100" s="62" t="n">
        <v>73</v>
      </c>
      <c r="H100" s="62" t="n">
        <v>73483</v>
      </c>
      <c r="I100" s="72" t="inlineStr">
        <is>
          <t>Tolima</t>
        </is>
      </c>
      <c r="J100" s="72" t="inlineStr">
        <is>
          <t>Natagaima</t>
        </is>
      </c>
      <c r="K100" s="66" t="n">
        <v>38</v>
      </c>
      <c r="L100" s="66" t="n">
        <v>40</v>
      </c>
      <c r="M100" s="66" t="n">
        <v>37.2</v>
      </c>
      <c r="N100" s="66" t="n">
        <v>39.2</v>
      </c>
      <c r="O100" s="66" t="n">
        <v>40</v>
      </c>
      <c r="P100" s="66" t="n">
        <v>40.2</v>
      </c>
      <c r="Q100" s="66" t="n">
        <v>38.4</v>
      </c>
      <c r="R100" s="66" t="n">
        <v>41.2</v>
      </c>
      <c r="S100" s="66" t="n">
        <v>41.2</v>
      </c>
      <c r="T100" s="66" t="n">
        <v>41</v>
      </c>
      <c r="U100" s="66" t="n">
        <v>39.2</v>
      </c>
      <c r="V100" s="66" t="n">
        <v>40</v>
      </c>
      <c r="W100" s="66" t="n">
        <v>39.8</v>
      </c>
      <c r="X100" s="66" t="n">
        <v>43</v>
      </c>
      <c r="Y100" s="66" t="n">
        <v>40.8</v>
      </c>
      <c r="Z100" s="107" t="n">
        <v>38.8</v>
      </c>
      <c r="AA100" s="66" t="n">
        <v>40</v>
      </c>
      <c r="AB100" s="66" t="n">
        <v>40.8</v>
      </c>
      <c r="AC100" s="66" t="n">
        <v>39</v>
      </c>
      <c r="AD100" s="66" t="n"/>
      <c r="AE100" s="66" t="n"/>
      <c r="AF100" s="109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7">
        <f>COUNTIF(K100:AO100,"&gt;0")</f>
        <v/>
      </c>
      <c r="AQ100" s="68">
        <f>IF(AP100&gt;14,AVERAGE(K100:AO100),"")</f>
        <v/>
      </c>
      <c r="AR100" s="68">
        <f>IFERROR(VLOOKUP(A100,Climatologia_TMAX!A:U,9+$E$2,FALSE),"")</f>
        <v/>
      </c>
      <c r="AS100" s="68">
        <f>IF(OR(AQ100="",AR100=""),"",IFERROR(AQ100-AR100,""))</f>
        <v/>
      </c>
      <c r="AT100" s="74">
        <f>IF(COUNT(K100:AO100)=0,"",MAX(K100:AO100))</f>
        <v/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/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0" s="69">
        <f>IF(OR(AT100="",AU100=""),"NA",IFERROR(AT100-AU100,"NA"))</f>
        <v/>
      </c>
    </row>
    <row r="101" ht="14.25" customHeight="1">
      <c r="A101" s="64" t="n">
        <v>44135010</v>
      </c>
      <c r="B101" s="70" t="inlineStr">
        <is>
          <t>Araracuara</t>
        </is>
      </c>
      <c r="C101" s="70" t="inlineStr">
        <is>
          <t>Area Operativa 04 - Huila-Caquetá</t>
        </is>
      </c>
      <c r="D101" s="99" t="n">
        <v>-72.38191667</v>
      </c>
      <c r="E101" s="99" t="n">
        <v>-0.616361111</v>
      </c>
      <c r="F101" s="64" t="n">
        <v>150</v>
      </c>
      <c r="G101" s="62" t="n">
        <v>18</v>
      </c>
      <c r="H101" s="62" t="n">
        <v>18756</v>
      </c>
      <c r="I101" s="72" t="inlineStr">
        <is>
          <t>Caquetá</t>
        </is>
      </c>
      <c r="J101" s="72" t="inlineStr">
        <is>
          <t>Solano</t>
        </is>
      </c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7">
        <f>COUNTIF(K101:AO101,"&gt;0")</f>
        <v/>
      </c>
      <c r="AQ101" s="68">
        <f>IF(AP101&gt;14,AVERAGE(K101:AO101),"")</f>
        <v/>
      </c>
      <c r="AR101" s="68">
        <f>IFERROR(VLOOKUP(A101,Climatologia_TMAX!A:U,9+$E$2,FALSE),"")</f>
        <v/>
      </c>
      <c r="AS101" s="68">
        <f>IF(OR(AQ101="",AR101=""),"",IFERROR(AQ101-AR101,""))</f>
        <v/>
      </c>
      <c r="AT101" s="74">
        <f>IF(COUNT(K101:AO101)=0,"",MAX(K101:AO101))</f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/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1" s="69">
        <f>IF(OR(AT101="",AU101=""),"NA",IFERROR(AT101-AU101,"NA"))</f>
        <v/>
      </c>
    </row>
    <row r="102" ht="14.25" customHeight="1">
      <c r="A102" s="64" t="n">
        <v>21115100</v>
      </c>
      <c r="B102" s="70" t="inlineStr">
        <is>
          <t>Palacio-Vegalarga</t>
        </is>
      </c>
      <c r="C102" s="70" t="inlineStr">
        <is>
          <t>Area Operativa 04 - Huila-Caquetá</t>
        </is>
      </c>
      <c r="D102" s="99" t="n">
        <v>-75.06638889</v>
      </c>
      <c r="E102" s="99" t="n">
        <v>2.942638889</v>
      </c>
      <c r="F102" s="64" t="n">
        <v>1100</v>
      </c>
      <c r="G102" s="62" t="n">
        <v>41</v>
      </c>
      <c r="H102" s="62" t="n">
        <v>41001</v>
      </c>
      <c r="I102" s="72" t="inlineStr">
        <is>
          <t>Huila</t>
        </is>
      </c>
      <c r="J102" s="72" t="inlineStr">
        <is>
          <t>Neiva</t>
        </is>
      </c>
      <c r="K102" s="66" t="n">
        <v>33.6</v>
      </c>
      <c r="L102" s="66" t="n">
        <v>30.2</v>
      </c>
      <c r="M102" s="66" t="n">
        <v>29</v>
      </c>
      <c r="N102" s="66" t="n">
        <v>29.6</v>
      </c>
      <c r="O102" s="66" t="n">
        <v>29.8</v>
      </c>
      <c r="P102" s="66" t="n">
        <v>31</v>
      </c>
      <c r="Q102" s="66" t="n">
        <v>30.6</v>
      </c>
      <c r="R102" s="66" t="n">
        <v>31.6</v>
      </c>
      <c r="S102" s="66" t="n">
        <v>31</v>
      </c>
      <c r="T102" s="66" t="n">
        <v>29.6</v>
      </c>
      <c r="U102" s="66" t="n">
        <v>30.6</v>
      </c>
      <c r="V102" s="66" t="n">
        <v>31</v>
      </c>
      <c r="W102" s="66" t="n">
        <v>31.6</v>
      </c>
      <c r="X102" s="66" t="n">
        <v>31.8</v>
      </c>
      <c r="Y102" s="66" t="n">
        <v>33</v>
      </c>
      <c r="Z102" s="66" t="n">
        <v>33.6</v>
      </c>
      <c r="AA102" s="66" t="n">
        <v>30.2</v>
      </c>
      <c r="AB102" s="66" t="n">
        <v>32.8</v>
      </c>
      <c r="AC102" s="66" t="n">
        <v>30.4</v>
      </c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7">
        <f>COUNTIF(K102:AO102,"&gt;0")</f>
        <v/>
      </c>
      <c r="AQ102" s="68">
        <f>IF(AP102&gt;14,AVERAGE(K102:AO102),"")</f>
        <v/>
      </c>
      <c r="AR102" s="68">
        <f>IFERROR(VLOOKUP(A102,Climatologia_TMAX!A:U,9+$E$2,FALSE),"")</f>
        <v/>
      </c>
      <c r="AS102" s="68">
        <f>IF(OR(AQ102="",AR102=""),"",IFERROR(AQ102-AR102,""))</f>
        <v/>
      </c>
      <c r="AT102" s="74">
        <f>IF(COUNT(K102:AO102)=0,"",MAX(K102:AO102))</f>
        <v/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/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2" s="69">
        <f>IF(OR(AT102="",AU102=""),"NA",IFERROR(AT102-AU102,"NA"))</f>
        <v/>
      </c>
    </row>
    <row r="103" ht="14.25" customHeight="1">
      <c r="A103" s="64" t="n">
        <v>21015030</v>
      </c>
      <c r="B103" s="70" t="inlineStr">
        <is>
          <t>Parque Arqueologico - AUT</t>
        </is>
      </c>
      <c r="C103" s="70" t="inlineStr">
        <is>
          <t>Area Operativa 04 - Huila-Caquetá</t>
        </is>
      </c>
      <c r="D103" s="99" t="n">
        <v>-76.29497222000001</v>
      </c>
      <c r="E103" s="99" t="n">
        <v>1.888472222</v>
      </c>
      <c r="F103" s="64" t="n">
        <v>1800</v>
      </c>
      <c r="G103" s="62" t="n">
        <v>41</v>
      </c>
      <c r="H103" s="62" t="n">
        <v>41668</v>
      </c>
      <c r="I103" s="72" t="inlineStr">
        <is>
          <t>Huila</t>
        </is>
      </c>
      <c r="J103" s="72" t="inlineStr">
        <is>
          <t>San Agustín</t>
        </is>
      </c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7">
        <f>COUNTIF(K103:AO103,"&gt;0")</f>
        <v/>
      </c>
      <c r="AQ103" s="68">
        <f>IF(AP103&gt;14,AVERAGE(K103:AO103),"")</f>
        <v/>
      </c>
      <c r="AR103" s="68">
        <f>IFERROR(VLOOKUP(A103,Climatologia_TMAX!A:U,9+$E$2,FALSE),"")</f>
        <v/>
      </c>
      <c r="AS103" s="68">
        <f>IF(OR(AQ103="",AR103=""),"",IFERROR(AQ103-AR103,""))</f>
        <v/>
      </c>
      <c r="AT103" s="74">
        <f>IF(COUNT(K103:AO103)=0,"",MAX(K103:AO103))</f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/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3" s="69">
        <f>IF(OR(AT103="",AU103=""),"NA",IFERROR(AT103-AU103,"NA"))</f>
        <v/>
      </c>
    </row>
    <row r="104" ht="14.25" customHeight="1">
      <c r="A104" s="64" t="n">
        <v>21145040</v>
      </c>
      <c r="B104" s="70" t="inlineStr">
        <is>
          <t>San Alfonso</t>
        </is>
      </c>
      <c r="C104" s="70" t="inlineStr">
        <is>
          <t>Area Operativa 04 - Huila-Caquetá</t>
        </is>
      </c>
      <c r="D104" s="99" t="n">
        <v>-75.11011111000001</v>
      </c>
      <c r="E104" s="99" t="n">
        <v>3.373361111</v>
      </c>
      <c r="F104" s="64" t="n">
        <v>440</v>
      </c>
      <c r="G104" s="62" t="n">
        <v>41</v>
      </c>
      <c r="H104" s="62" t="n">
        <v>41872</v>
      </c>
      <c r="I104" s="72" t="inlineStr">
        <is>
          <t>Huila</t>
        </is>
      </c>
      <c r="J104" s="72" t="inlineStr">
        <is>
          <t>Villavieja</t>
        </is>
      </c>
      <c r="K104" s="66" t="n">
        <v>37.6</v>
      </c>
      <c r="L104" s="66" t="n">
        <v>39.4</v>
      </c>
      <c r="M104" s="66" t="n">
        <v>36.8</v>
      </c>
      <c r="N104" s="66" t="n">
        <v>38.6</v>
      </c>
      <c r="O104" s="66" t="n">
        <v>39.2</v>
      </c>
      <c r="P104" s="66" t="n">
        <v>39.4</v>
      </c>
      <c r="Q104" s="66" t="n">
        <v>37.6</v>
      </c>
      <c r="R104" s="66" t="n">
        <v>39.6</v>
      </c>
      <c r="S104" s="66" t="n">
        <v>38.6</v>
      </c>
      <c r="T104" s="66" t="n">
        <v>39</v>
      </c>
      <c r="U104" s="66" t="n">
        <v>37.6</v>
      </c>
      <c r="V104" s="66" t="n">
        <v>38.8</v>
      </c>
      <c r="W104" s="66" t="n">
        <v>38.2</v>
      </c>
      <c r="X104" s="66" t="n">
        <v>39.6</v>
      </c>
      <c r="Y104" s="66" t="n">
        <v>38.4</v>
      </c>
      <c r="Z104" s="66" t="n">
        <v>37.6</v>
      </c>
      <c r="AA104" s="66" t="n">
        <v>38.6</v>
      </c>
      <c r="AB104" s="66" t="n">
        <v>39.2</v>
      </c>
      <c r="AC104" s="66" t="n">
        <v>37.4</v>
      </c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7">
        <f>COUNTIF(K104:AO104,"&gt;0")</f>
        <v/>
      </c>
      <c r="AQ104" s="68">
        <f>IF(AP104&gt;14,AVERAGE(K104:AO104),"")</f>
        <v/>
      </c>
      <c r="AR104" s="68">
        <f>IFERROR(VLOOKUP(A104,Climatologia_TMAX!A:U,9+$E$2,FALSE),"")</f>
        <v/>
      </c>
      <c r="AS104" s="68">
        <f>IF(OR(AQ104="",AR104=""),"",IFERROR(AQ104-AR104,""))</f>
        <v/>
      </c>
      <c r="AT104" s="74">
        <f>IF(COUNT(K104:AO104)=0,"",MAX(K104:AO104))</f>
        <v/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/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4" s="69">
        <f>IF(OR(AT104="",AU104=""),"NA",IFERROR(AT104-AU104,"NA"))</f>
        <v/>
      </c>
    </row>
    <row r="105" ht="14.25" customHeight="1">
      <c r="A105" s="64" t="n">
        <v>44045010</v>
      </c>
      <c r="B105" s="70" t="inlineStr">
        <is>
          <t>San Jose De Fragua</t>
        </is>
      </c>
      <c r="C105" s="70" t="inlineStr">
        <is>
          <t>Area Operativa 04 - Huila-Caquetá</t>
        </is>
      </c>
      <c r="D105" s="99" t="n">
        <v>-75.9615</v>
      </c>
      <c r="E105" s="99" t="n">
        <v>1.325138889</v>
      </c>
      <c r="F105" s="64" t="n">
        <v>320</v>
      </c>
      <c r="G105" s="62" t="n">
        <v>18</v>
      </c>
      <c r="H105" s="62" t="n">
        <v>18610</v>
      </c>
      <c r="I105" s="72" t="inlineStr">
        <is>
          <t>Caquetá</t>
        </is>
      </c>
      <c r="J105" s="72" t="inlineStr">
        <is>
          <t>San José Del Fragua</t>
        </is>
      </c>
      <c r="K105" s="66" t="n">
        <v>35.2</v>
      </c>
      <c r="L105" s="66" t="n">
        <v>30.4</v>
      </c>
      <c r="M105" s="66" t="n">
        <v>33.2</v>
      </c>
      <c r="N105" s="66" t="n">
        <v>32.6</v>
      </c>
      <c r="O105" s="66" t="n">
        <v>32.5</v>
      </c>
      <c r="P105" s="66" t="n">
        <v>32.8</v>
      </c>
      <c r="Q105" s="66" t="n">
        <v>32</v>
      </c>
      <c r="R105" s="66" t="n">
        <v>30.8</v>
      </c>
      <c r="S105" s="66" t="n">
        <v>29.6</v>
      </c>
      <c r="T105" s="66" t="n">
        <v>34</v>
      </c>
      <c r="U105" s="66" t="n">
        <v>32</v>
      </c>
      <c r="V105" s="66" t="n">
        <v>30.4</v>
      </c>
      <c r="W105" s="66" t="n">
        <v>33.4</v>
      </c>
      <c r="X105" s="66" t="n">
        <v>31.4</v>
      </c>
      <c r="Y105" s="66" t="n">
        <v>32</v>
      </c>
      <c r="Z105" s="66" t="n">
        <v>30.6</v>
      </c>
      <c r="AA105" s="66" t="n">
        <v>32.8</v>
      </c>
      <c r="AB105" s="66" t="n">
        <v>32.4</v>
      </c>
      <c r="AC105" s="66" t="n">
        <v>32.4</v>
      </c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7">
        <f>COUNTIF(K105:AO105,"&gt;0")</f>
        <v/>
      </c>
      <c r="AQ105" s="68">
        <f>IF(AP105&gt;14,AVERAGE(K105:AO105),"")</f>
        <v/>
      </c>
      <c r="AR105" s="68">
        <f>IFERROR(VLOOKUP(A105,Climatologia_TMAX!A:U,9+$E$2,FALSE),"")</f>
        <v/>
      </c>
      <c r="AS105" s="68">
        <f>IF(OR(AQ105="",AR105=""),"",IFERROR(AQ105-AR105,""))</f>
        <v/>
      </c>
      <c r="AT105" s="74">
        <f>IF(COUNT(K105:AO105)=0,"",MAX(K105:AO105))</f>
        <v/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/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5" s="69">
        <f>IF(OR(AT105="",AU105=""),"NA",IFERROR(AT105-AU105,"NA"))</f>
        <v/>
      </c>
    </row>
    <row r="106" ht="14.25" customHeight="1">
      <c r="A106" s="64" t="n">
        <v>21145080</v>
      </c>
      <c r="B106" s="70" t="inlineStr">
        <is>
          <t>Santa Ana - AUT</t>
        </is>
      </c>
      <c r="C106" s="70" t="inlineStr">
        <is>
          <t>Area Operativa 04 - Huila-Caquetá</t>
        </is>
      </c>
      <c r="D106" s="99" t="n">
        <v>-74.70294444</v>
      </c>
      <c r="E106" s="99" t="n">
        <v>3.589777778</v>
      </c>
      <c r="F106" s="64" t="n">
        <v>1410</v>
      </c>
      <c r="G106" s="62" t="n">
        <v>41</v>
      </c>
      <c r="H106" s="62" t="n">
        <v>41206</v>
      </c>
      <c r="I106" s="72" t="inlineStr">
        <is>
          <t>Huila</t>
        </is>
      </c>
      <c r="J106" s="72" t="inlineStr">
        <is>
          <t>Colombia</t>
        </is>
      </c>
      <c r="K106" s="66" t="n">
        <v>26.2</v>
      </c>
      <c r="L106" s="66" t="n">
        <v>28</v>
      </c>
      <c r="M106" s="66" t="n">
        <v>25.8</v>
      </c>
      <c r="N106" s="66" t="n">
        <v>25.6</v>
      </c>
      <c r="O106" s="66" t="n">
        <v>28.6</v>
      </c>
      <c r="P106" s="66" t="n">
        <v>27</v>
      </c>
      <c r="Q106" s="66" t="n">
        <v>25.8</v>
      </c>
      <c r="R106" s="66" t="n">
        <v>27.8</v>
      </c>
      <c r="S106" s="66" t="n">
        <v>27.8</v>
      </c>
      <c r="T106" s="66" t="n">
        <v>27.8</v>
      </c>
      <c r="U106" s="66" t="n">
        <v>26.6</v>
      </c>
      <c r="V106" s="66" t="n">
        <v>27.8</v>
      </c>
      <c r="W106" s="66" t="n">
        <v>28.6</v>
      </c>
      <c r="X106" s="66" t="n">
        <v>29.4</v>
      </c>
      <c r="Y106" s="66" t="n">
        <v>27.2</v>
      </c>
      <c r="Z106" s="66" t="n">
        <v>25.4</v>
      </c>
      <c r="AA106" s="66" t="n">
        <v>26.8</v>
      </c>
      <c r="AB106" s="66" t="n">
        <v>28.4</v>
      </c>
      <c r="AC106" s="66" t="n">
        <v>27.6</v>
      </c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7">
        <f>COUNTIF(K106:AO106,"&gt;0")</f>
        <v/>
      </c>
      <c r="AQ106" s="68">
        <f>IF(AP106&gt;14,AVERAGE(K106:AO106),"")</f>
        <v/>
      </c>
      <c r="AR106" s="68">
        <f>IFERROR(VLOOKUP(A106,Climatologia_TMAX!A:U,9+$E$2,FALSE),"")</f>
        <v/>
      </c>
      <c r="AS106" s="68">
        <f>IF(OR(AQ106="",AR106=""),"",IFERROR(AQ106-AR106,""))</f>
        <v/>
      </c>
      <c r="AT106" s="74">
        <f>IF(COUNT(K106:AO106)=0,"",MAX(K106:AO106))</f>
        <v/>
      </c>
      <c r="AU106" s="74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>
        <f>IF(OR(AT106="",AU106=""),"NA",IFERROR(AT106-AU106,"NA"))</f>
        <v/>
      </c>
    </row>
    <row r="107" ht="14.25" customHeight="1">
      <c r="A107" s="64" t="n">
        <v>21055030</v>
      </c>
      <c r="B107" s="70" t="inlineStr">
        <is>
          <t>Santa Leticia</t>
        </is>
      </c>
      <c r="C107" s="70" t="inlineStr">
        <is>
          <t>Area Operativa 04 - Huila-Caquetá</t>
        </is>
      </c>
      <c r="D107" s="99" t="n">
        <v>-76.16</v>
      </c>
      <c r="E107" s="99" t="n">
        <v>2.24</v>
      </c>
      <c r="F107" s="64" t="n">
        <v>2085</v>
      </c>
      <c r="G107" s="62" t="n">
        <v>19</v>
      </c>
      <c r="H107" s="62" t="n">
        <v>19355</v>
      </c>
      <c r="I107" s="72" t="inlineStr">
        <is>
          <t>Cauca</t>
        </is>
      </c>
      <c r="J107" s="72" t="inlineStr">
        <is>
          <t>Inzá</t>
        </is>
      </c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7">
        <f>COUNTIF(K107:AO107,"&gt;0")</f>
        <v/>
      </c>
      <c r="AQ107" s="68">
        <f>IF(AP107&gt;14,AVERAGE(K107:AO107),"")</f>
        <v/>
      </c>
      <c r="AR107" s="68">
        <f>IFERROR(VLOOKUP(A107,Climatologia_TMAX!A:U,9+$E$2,FALSE),"")</f>
        <v/>
      </c>
      <c r="AS107" s="68">
        <f>IF(OR(AQ107="",AR107=""),"",IFERROR(AQ107-AR107,""))</f>
        <v/>
      </c>
      <c r="AT107" s="74">
        <f>IF(COUNT(K107:AO107)=0,"",MAX(K107:AO107))</f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/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7" s="69">
        <f>IF(OR(AT107="",AU107=""),"NA",IFERROR(AT107-AU107,"NA"))</f>
        <v/>
      </c>
    </row>
    <row r="108" ht="14.25" customHeight="1">
      <c r="A108" s="64" t="n">
        <v>44045020</v>
      </c>
      <c r="B108" s="70" t="inlineStr">
        <is>
          <t>Valparaiso</t>
        </is>
      </c>
      <c r="C108" s="70" t="inlineStr">
        <is>
          <t>Area Operativa 04 - Huila-Caquetá</t>
        </is>
      </c>
      <c r="D108" s="99" t="n">
        <v>-75.70447222</v>
      </c>
      <c r="E108" s="99" t="n">
        <v>1.19525</v>
      </c>
      <c r="F108" s="64" t="n">
        <v>270</v>
      </c>
      <c r="G108" s="62" t="n">
        <v>18</v>
      </c>
      <c r="H108" s="62" t="n">
        <v>18860</v>
      </c>
      <c r="I108" s="72" t="inlineStr">
        <is>
          <t>Caquetá</t>
        </is>
      </c>
      <c r="J108" s="72" t="inlineStr">
        <is>
          <t>Valparaíso</t>
        </is>
      </c>
      <c r="K108" s="66" t="n">
        <v>35.4</v>
      </c>
      <c r="L108" s="66" t="n">
        <v>31.6</v>
      </c>
      <c r="M108" s="66" t="n">
        <v>33.8</v>
      </c>
      <c r="N108" s="66" t="n">
        <v>32.6</v>
      </c>
      <c r="O108" s="66" t="n">
        <v>33.4</v>
      </c>
      <c r="P108" s="66" t="n">
        <v>33.8</v>
      </c>
      <c r="Q108" s="66" t="n">
        <v>32.8</v>
      </c>
      <c r="R108" s="66" t="n">
        <v>31.6</v>
      </c>
      <c r="S108" s="66" t="n">
        <v>31.2</v>
      </c>
      <c r="T108" s="66" t="n">
        <v>32.4</v>
      </c>
      <c r="U108" s="66" t="n">
        <v>31.6</v>
      </c>
      <c r="V108" s="66" t="n">
        <v>32.6</v>
      </c>
      <c r="W108" s="66" t="n">
        <v>31.8</v>
      </c>
      <c r="X108" s="66" t="n">
        <v>35</v>
      </c>
      <c r="Y108" s="66" t="n">
        <v>32</v>
      </c>
      <c r="Z108" s="66" t="n">
        <v>31</v>
      </c>
      <c r="AA108" s="66" t="n">
        <v>32.6</v>
      </c>
      <c r="AB108" s="66" t="n">
        <v>32.2</v>
      </c>
      <c r="AC108" s="66" t="n">
        <v>33.2</v>
      </c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7">
        <f>COUNTIF(K108:AO108,"&gt;0")</f>
        <v/>
      </c>
      <c r="AQ108" s="68">
        <f>IF(AP108&gt;14,AVERAGE(K108:AO108),"")</f>
        <v/>
      </c>
      <c r="AR108" s="68">
        <f>IFERROR(VLOOKUP(A108,Climatologia_TMAX!A:U,9+$E$2,FALSE),"")</f>
        <v/>
      </c>
      <c r="AS108" s="68">
        <f>IF(OR(AQ108="",AR108=""),"",IFERROR(AQ108-AR108,""))</f>
        <v/>
      </c>
      <c r="AT108" s="74">
        <f>IF(COUNT(K108:AO108)=0,"",MAX(K108:AO108))</f>
        <v/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/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8" s="69">
        <f>IF(OR(AT108="",AU108=""),"NA",IFERROR(AT108-AU108,"NA"))</f>
        <v/>
      </c>
    </row>
    <row r="109" ht="14.25" customHeight="1">
      <c r="A109" s="64" t="n">
        <v>21065040</v>
      </c>
      <c r="B109" s="70" t="inlineStr">
        <is>
          <t>Zuluaga AUT</t>
        </is>
      </c>
      <c r="C109" s="70" t="inlineStr">
        <is>
          <t>Area Operativa 04 - Huila-Caquetá</t>
        </is>
      </c>
      <c r="D109" s="99" t="n">
        <v>-75.52944444000001</v>
      </c>
      <c r="E109" s="99" t="n">
        <v>2.2525</v>
      </c>
      <c r="F109" s="64" t="n">
        <v>1270</v>
      </c>
      <c r="G109" s="62" t="n">
        <v>41</v>
      </c>
      <c r="H109" s="62" t="n">
        <v>41298</v>
      </c>
      <c r="I109" s="72" t="inlineStr">
        <is>
          <t>Huila</t>
        </is>
      </c>
      <c r="J109" s="72" t="inlineStr">
        <is>
          <t>Garzón</t>
        </is>
      </c>
      <c r="K109" s="66" t="n">
        <v>31</v>
      </c>
      <c r="L109" s="66" t="n">
        <v>27.2</v>
      </c>
      <c r="M109" s="66" t="n">
        <v>27.8</v>
      </c>
      <c r="N109" s="66" t="n">
        <v>28.6</v>
      </c>
      <c r="O109" s="66" t="n">
        <v>26.2</v>
      </c>
      <c r="P109" s="66" t="n">
        <v>26.8</v>
      </c>
      <c r="Q109" s="66" t="n">
        <v>28.2</v>
      </c>
      <c r="R109" s="66" t="n">
        <v>29.4</v>
      </c>
      <c r="S109" s="66" t="n">
        <v>30</v>
      </c>
      <c r="T109" s="66" t="n">
        <v>27.8</v>
      </c>
      <c r="U109" s="66" t="n">
        <v>27.2</v>
      </c>
      <c r="V109" s="66" t="n">
        <v>26</v>
      </c>
      <c r="W109" s="66" t="n">
        <v>28.5</v>
      </c>
      <c r="X109" s="66" t="n">
        <v>30.2</v>
      </c>
      <c r="Y109" s="66" t="n">
        <v>29.2</v>
      </c>
      <c r="Z109" s="66" t="n">
        <v>24</v>
      </c>
      <c r="AA109" s="66" t="n">
        <v>28.6</v>
      </c>
      <c r="AB109" s="66" t="n">
        <v>28</v>
      </c>
      <c r="AC109" s="66" t="n">
        <v>25.2</v>
      </c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7">
        <f>COUNTIF(K109:AO109,"&gt;0")</f>
        <v/>
      </c>
      <c r="AQ109" s="68">
        <f>IF(AP109&gt;14,AVERAGE(K109:AO109),"")</f>
        <v/>
      </c>
      <c r="AR109" s="68">
        <f>IFERROR(VLOOKUP(A109,Climatologia_TMAX!A:U,9+$E$2,FALSE),"")</f>
        <v/>
      </c>
      <c r="AS109" s="68">
        <f>IF(OR(AQ109="",AR109=""),"",IFERROR(AQ109-AR109,""))</f>
        <v/>
      </c>
      <c r="AT109" s="74">
        <f>IF(COUNT(K109:AO109)=0,"",MAX(K109:AO109))</f>
        <v/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/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9" s="69">
        <f>IF(OR(AT109="",AU109=""),"NA",IFERROR(AT109-AU109,"NA"))</f>
        <v/>
      </c>
    </row>
    <row r="110" ht="14.25" customHeight="1">
      <c r="A110" s="64" t="n">
        <v>15075501</v>
      </c>
      <c r="B110" s="70" t="inlineStr">
        <is>
          <t>Aeropuerto Puerto Bolivar  - AUT</t>
        </is>
      </c>
      <c r="C110" s="70" t="inlineStr">
        <is>
          <t>Area Operativa 05 - Magdalena-Cesar-Guajira-San Andrés</t>
        </is>
      </c>
      <c r="D110" s="99" t="n">
        <v>-71.98288889</v>
      </c>
      <c r="E110" s="99" t="n">
        <v>12.22430556</v>
      </c>
      <c r="F110" s="64" t="n">
        <v>10</v>
      </c>
      <c r="G110" s="62" t="n">
        <v>44</v>
      </c>
      <c r="H110" s="62" t="n">
        <v>44847</v>
      </c>
      <c r="I110" s="72" t="inlineStr">
        <is>
          <t>La Guajira</t>
        </is>
      </c>
      <c r="J110" s="72" t="inlineStr">
        <is>
          <t>Uribia</t>
        </is>
      </c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7">
        <f>COUNTIF(K110:AO110,"&gt;0")</f>
        <v/>
      </c>
      <c r="AQ110" s="68">
        <f>IF(AP110&gt;14,AVERAGE(K110:AO110),"")</f>
        <v/>
      </c>
      <c r="AR110" s="68">
        <f>IFERROR(VLOOKUP(A110,Climatologia_TMAX!A:U,9+$E$2,FALSE),"")</f>
        <v/>
      </c>
      <c r="AS110" s="68">
        <f>IF(OR(AQ110="",AR110=""),"",IFERROR(AQ110-AR110,""))</f>
        <v/>
      </c>
      <c r="AT110" s="74">
        <f>IF(COUNT(K110:AO110)=0,"",MAX(K110:AO110))</f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/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0" s="69">
        <f>IF(OR(AT110="",AU110=""),"NA",IFERROR(AT110-AU110,"NA"))</f>
        <v/>
      </c>
    </row>
    <row r="111" ht="14.25" customHeight="1">
      <c r="A111" s="64" t="n">
        <v>28035020</v>
      </c>
      <c r="B111" s="70" t="inlineStr">
        <is>
          <t>El Callao</t>
        </is>
      </c>
      <c r="C111" s="70" t="inlineStr">
        <is>
          <t>Area Operativa 05 - Magdalena-Cesar-Guajira-San Andrés</t>
        </is>
      </c>
      <c r="D111" s="99" t="n">
        <v>-73.31944444</v>
      </c>
      <c r="E111" s="99" t="n">
        <v>10.36305556</v>
      </c>
      <c r="F111" s="64" t="n">
        <v>110</v>
      </c>
      <c r="G111" s="62" t="n">
        <v>20</v>
      </c>
      <c r="H111" s="62" t="n">
        <v>20001</v>
      </c>
      <c r="I111" s="72" t="inlineStr">
        <is>
          <t>Cesar</t>
        </is>
      </c>
      <c r="J111" s="72" t="inlineStr">
        <is>
          <t>Valledupar</t>
        </is>
      </c>
      <c r="K111" s="66" t="n">
        <v>36.2</v>
      </c>
      <c r="L111" s="66" t="n">
        <v>35.6</v>
      </c>
      <c r="M111" s="66" t="n">
        <v>37.4</v>
      </c>
      <c r="N111" s="66" t="n">
        <v>38.2</v>
      </c>
      <c r="O111" s="66" t="n">
        <v>37.6</v>
      </c>
      <c r="P111" s="66" t="n">
        <v>40.2</v>
      </c>
      <c r="Q111" s="66" t="n">
        <v>34.4</v>
      </c>
      <c r="R111" s="66" t="n">
        <v>37.8</v>
      </c>
      <c r="S111" s="66" t="n">
        <v>39.4</v>
      </c>
      <c r="T111" s="66" t="n">
        <v>38.4</v>
      </c>
      <c r="U111" s="66" t="n">
        <v>39.4</v>
      </c>
      <c r="V111" s="66" t="n">
        <v>38</v>
      </c>
      <c r="W111" s="66" t="n">
        <v>39.4</v>
      </c>
      <c r="X111" s="66" t="n">
        <v>37.4</v>
      </c>
      <c r="Y111" s="66" t="n">
        <v>38.6</v>
      </c>
      <c r="Z111" s="66" t="n">
        <v>39.2</v>
      </c>
      <c r="AA111" s="109" t="n">
        <v>40.4</v>
      </c>
      <c r="AB111" s="66" t="n">
        <v>40.6</v>
      </c>
      <c r="AC111" s="66" t="n">
        <v/>
      </c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7">
        <f>COUNTIF(K111:AO111,"&gt;0")</f>
        <v/>
      </c>
      <c r="AQ111" s="68">
        <f>IF(AP111&gt;14,AVERAGE(K111:AO111),"")</f>
        <v/>
      </c>
      <c r="AR111" s="68">
        <f>IFERROR(VLOOKUP(A111,Climatologia_TMAX!A:U,9+$E$2,FALSE),"")</f>
        <v/>
      </c>
      <c r="AS111" s="68">
        <f>IF(OR(AQ111="",AR111=""),"",IFERROR(AQ111-AR111,""))</f>
        <v/>
      </c>
      <c r="AT111" s="74">
        <f>IF(COUNT(K111:AO111)=0,"",MAX(K111:AO111))</f>
        <v/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/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1" s="69">
        <f>IF(OR(AT111="",AU111=""),"NA",IFERROR(AT111-AU111,"NA"))</f>
        <v/>
      </c>
    </row>
    <row r="112" ht="14.25" customHeight="1">
      <c r="A112" s="64" t="n">
        <v>15085030</v>
      </c>
      <c r="B112" s="70" t="inlineStr">
        <is>
          <t>Escuela Agricola Carraipia  - AUT</t>
        </is>
      </c>
      <c r="C112" s="70" t="inlineStr">
        <is>
          <t>Area Operativa 05 - Magdalena-Cesar-Guajira-San Andrés</t>
        </is>
      </c>
      <c r="D112" s="99" t="n">
        <v>-72.35994444000001</v>
      </c>
      <c r="E112" s="99" t="n">
        <v>11.21675</v>
      </c>
      <c r="F112" s="64" t="n">
        <v>118</v>
      </c>
      <c r="G112" s="62" t="n">
        <v>44</v>
      </c>
      <c r="H112" s="62" t="n">
        <v>44430</v>
      </c>
      <c r="I112" s="72" t="inlineStr">
        <is>
          <t>La Guajira</t>
        </is>
      </c>
      <c r="J112" s="72" t="inlineStr">
        <is>
          <t>Maicao</t>
        </is>
      </c>
      <c r="K112" s="66" t="n">
        <v>37.8</v>
      </c>
      <c r="L112" s="66" t="n">
        <v>36.2</v>
      </c>
      <c r="M112" s="66" t="n">
        <v>36.4</v>
      </c>
      <c r="N112" s="66" t="n">
        <v>37</v>
      </c>
      <c r="O112" s="66" t="n">
        <v>36.8</v>
      </c>
      <c r="P112" s="66" t="n">
        <v>38.2</v>
      </c>
      <c r="Q112" s="66" t="n">
        <v>37.8</v>
      </c>
      <c r="R112" s="66" t="n">
        <v>36.6</v>
      </c>
      <c r="S112" s="66" t="n">
        <v>37.2</v>
      </c>
      <c r="T112" s="66" t="n">
        <v>37.6</v>
      </c>
      <c r="U112" s="66" t="n">
        <v>36.8</v>
      </c>
      <c r="V112" s="66" t="n">
        <v>35.6</v>
      </c>
      <c r="W112" s="66" t="n">
        <v>36.6</v>
      </c>
      <c r="X112" s="66" t="n">
        <v>34.6</v>
      </c>
      <c r="Y112" s="66" t="n">
        <v>37.6</v>
      </c>
      <c r="Z112" s="66" t="n">
        <v>36.2</v>
      </c>
      <c r="AA112" s="66" t="n">
        <v>39.2</v>
      </c>
      <c r="AB112" s="66" t="n">
        <v/>
      </c>
      <c r="AC112" s="66" t="n">
        <v>39.2</v>
      </c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7">
        <f>COUNTIF(K112:AO112,"&gt;0")</f>
        <v/>
      </c>
      <c r="AQ112" s="68">
        <f>IF(AP112&gt;14,AVERAGE(K112:AO112),"")</f>
        <v/>
      </c>
      <c r="AR112" s="68">
        <f>IFERROR(VLOOKUP(A112,Climatologia_TMAX!A:U,9+$E$2,FALSE),"")</f>
        <v/>
      </c>
      <c r="AS112" s="68">
        <f>IF(OR(AQ112="",AR112=""),"",IFERROR(AQ112-AR112,""))</f>
        <v/>
      </c>
      <c r="AT112" s="74">
        <f>IF(COUNT(K112:AO112)=0,"",MAX(K112:AO112))</f>
        <v/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/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2" s="69">
        <f>IF(OR(AT112="",AU112=""),"NA",IFERROR(AT112-AU112,"NA"))</f>
        <v/>
      </c>
    </row>
    <row r="113" ht="14.25" customHeight="1">
      <c r="A113" s="64" t="n">
        <v>15065501</v>
      </c>
      <c r="B113" s="70" t="inlineStr">
        <is>
          <t>La Mina Cerrejon  - AUT</t>
        </is>
      </c>
      <c r="C113" s="70" t="inlineStr">
        <is>
          <t>Area Operativa 05 - Magdalena-Cesar-Guajira-San Andrés</t>
        </is>
      </c>
      <c r="D113" s="99" t="n">
        <v>-72.61594444000001</v>
      </c>
      <c r="E113" s="99" t="n">
        <v>11.13758333</v>
      </c>
      <c r="F113" s="64" t="n">
        <v>80</v>
      </c>
      <c r="G113" s="62" t="n">
        <v>44</v>
      </c>
      <c r="H113" s="62" t="n">
        <v>44035</v>
      </c>
      <c r="I113" s="72" t="inlineStr">
        <is>
          <t>La Guajira</t>
        </is>
      </c>
      <c r="J113" s="72" t="inlineStr">
        <is>
          <t>Albania</t>
        </is>
      </c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7">
        <f>COUNTIF(K113:AO113,"&gt;0")</f>
        <v/>
      </c>
      <c r="AQ113" s="68">
        <f>IF(AP113&gt;14,AVERAGE(K113:AO113),"")</f>
        <v/>
      </c>
      <c r="AR113" s="68">
        <f>IFERROR(VLOOKUP(A113,Climatologia_TMAX!A:U,9+$E$2,FALSE),"")</f>
        <v/>
      </c>
      <c r="AS113" s="68">
        <f>IF(OR(AQ113="",AR113=""),"",IFERROR(AQ113-AR113,""))</f>
        <v/>
      </c>
      <c r="AT113" s="74">
        <f>IF(COUNT(K113:AO113)=0,"",MAX(K113:AO113))</f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/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3" s="69">
        <f>IF(OR(AT113="",AU113=""),"NA",IFERROR(AT113-AU113,"NA"))</f>
        <v/>
      </c>
    </row>
    <row r="114" ht="14.25" customHeight="1">
      <c r="A114" s="64" t="n">
        <v>25025002</v>
      </c>
      <c r="B114" s="70" t="inlineStr">
        <is>
          <t>Los Alamos - AUT</t>
        </is>
      </c>
      <c r="C114" s="70" t="inlineStr">
        <is>
          <t>Area Operativa 05 - Magdalena-Cesar-Guajira-San Andrés</t>
        </is>
      </c>
      <c r="D114" s="99" t="n">
        <v>-74.27363889</v>
      </c>
      <c r="E114" s="99" t="n">
        <v>9.304055556</v>
      </c>
      <c r="F114" s="64" t="n">
        <v>25</v>
      </c>
      <c r="G114" s="62" t="n">
        <v>47</v>
      </c>
      <c r="H114" s="62" t="n">
        <v>47692</v>
      </c>
      <c r="I114" s="72" t="inlineStr">
        <is>
          <t>Magdalena</t>
        </is>
      </c>
      <c r="J114" s="72" t="inlineStr">
        <is>
          <t>San Sebastián De Buenavista</t>
        </is>
      </c>
      <c r="K114" s="66" t="n">
        <v>33</v>
      </c>
      <c r="L114" s="66" t="n">
        <v>36.4</v>
      </c>
      <c r="M114" s="66" t="n">
        <v>36.4</v>
      </c>
      <c r="N114" s="66" t="n">
        <v>36.2</v>
      </c>
      <c r="O114" s="66" t="n">
        <v>37.4</v>
      </c>
      <c r="P114" s="66" t="n">
        <v>34.6</v>
      </c>
      <c r="Q114" s="66" t="n">
        <v>33</v>
      </c>
      <c r="R114" s="112" t="n">
        <v>39</v>
      </c>
      <c r="S114" s="66" t="n">
        <v>39.4</v>
      </c>
      <c r="T114" s="66" t="n">
        <v>37</v>
      </c>
      <c r="U114" s="66" t="n">
        <v>36.4</v>
      </c>
      <c r="V114" s="66" t="n">
        <v>37.8</v>
      </c>
      <c r="W114" s="66" t="n">
        <v>36.2</v>
      </c>
      <c r="X114" s="66" t="n">
        <v>36.4</v>
      </c>
      <c r="Y114" s="66" t="n">
        <v>35.4</v>
      </c>
      <c r="Z114" s="66" t="n">
        <v>31.4</v>
      </c>
      <c r="AA114" s="66" t="n">
        <v>37.2</v>
      </c>
      <c r="AB114" s="66" t="n">
        <v/>
      </c>
      <c r="AC114" s="66" t="n">
        <v>36.8</v>
      </c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7">
        <f>COUNTIF(K114:AO114,"&gt;0")</f>
        <v/>
      </c>
      <c r="AQ114" s="68">
        <f>IF(AP114&gt;14,AVERAGE(K114:AO114),"")</f>
        <v/>
      </c>
      <c r="AR114" s="68">
        <f>IFERROR(VLOOKUP(A114,Climatologia_TMAX!A:U,9+$E$2,FALSE),"")</f>
        <v/>
      </c>
      <c r="AS114" s="68">
        <f>IF(OR(AQ114="",AR114=""),"",IFERROR(AQ114-AR114,""))</f>
        <v/>
      </c>
      <c r="AT114" s="74">
        <f>IF(COUNT(K114:AO114)=0,"",MAX(K114:AO114))</f>
        <v/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/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4" s="69">
        <f>IF(OR(AT114="",AU114=""),"NA",IFERROR(AT114-AU114,"NA"))</f>
        <v/>
      </c>
    </row>
    <row r="115" ht="14.25" customHeight="1">
      <c r="A115" s="64" t="n">
        <v>15075030</v>
      </c>
      <c r="B115" s="70" t="inlineStr">
        <is>
          <t>Manaure</t>
        </is>
      </c>
      <c r="C115" s="70" t="inlineStr">
        <is>
          <t>Area Operativa 05 - Magdalena-Cesar-Guajira-San Andrés</t>
        </is>
      </c>
      <c r="D115" s="99" t="n">
        <v>-72.4635</v>
      </c>
      <c r="E115" s="99" t="n">
        <v>11.78105556</v>
      </c>
      <c r="F115" s="64" t="n">
        <v>1</v>
      </c>
      <c r="G115" s="62" t="n">
        <v>44</v>
      </c>
      <c r="H115" s="62" t="n">
        <v>44560</v>
      </c>
      <c r="I115" s="72" t="inlineStr">
        <is>
          <t>La Guajira</t>
        </is>
      </c>
      <c r="J115" s="72" t="inlineStr">
        <is>
          <t>Manaure</t>
        </is>
      </c>
      <c r="K115" s="66" t="n">
        <v>33.4</v>
      </c>
      <c r="L115" s="66" t="n">
        <v>35.8</v>
      </c>
      <c r="M115" s="66" t="n">
        <v>38</v>
      </c>
      <c r="N115" s="66" t="n">
        <v>37.4</v>
      </c>
      <c r="O115" s="66" t="n">
        <v>38.4</v>
      </c>
      <c r="P115" s="66" t="n">
        <v>39.2</v>
      </c>
      <c r="Q115" s="66" t="n">
        <v>37.4</v>
      </c>
      <c r="R115" s="66" t="n">
        <v>38</v>
      </c>
      <c r="S115" s="66" t="n">
        <v>38.4</v>
      </c>
      <c r="T115" s="66" t="n">
        <v>38.4</v>
      </c>
      <c r="U115" s="66" t="n">
        <v/>
      </c>
      <c r="V115" s="66" t="n">
        <v>37</v>
      </c>
      <c r="W115" s="66" t="n">
        <v>37</v>
      </c>
      <c r="X115" s="66" t="n">
        <v>36.4</v>
      </c>
      <c r="Y115" s="66" t="n">
        <v>37.2</v>
      </c>
      <c r="Z115" s="66" t="n">
        <v>36.2</v>
      </c>
      <c r="AA115" s="66" t="n">
        <v>38.4</v>
      </c>
      <c r="AB115" s="66" t="n">
        <v>38.8</v>
      </c>
      <c r="AC115" s="66" t="n">
        <v>39.2</v>
      </c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7">
        <f>COUNTIF(K115:AO115,"&gt;0")</f>
        <v/>
      </c>
      <c r="AQ115" s="68">
        <f>IF(AP115&gt;14,AVERAGE(K115:AO115),"")</f>
        <v/>
      </c>
      <c r="AR115" s="68">
        <f>IFERROR(VLOOKUP(A115,Climatologia_TMAX!A:U,9+$E$2,FALSE),"")</f>
        <v/>
      </c>
      <c r="AS115" s="68">
        <f>IF(OR(AQ115="",AR115=""),"",IFERROR(AQ115-AR115,""))</f>
        <v/>
      </c>
      <c r="AT115" s="74">
        <f>IF(COUNT(K115:AO115)=0,"",MAX(K115:AO115))</f>
        <v/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/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5" s="69">
        <f>IF(OR(AT115="",AU115=""),"NA",IFERROR(AT115-AU115,"NA"))</f>
        <v/>
      </c>
    </row>
    <row r="116" ht="14.25" customHeight="1">
      <c r="A116" s="64" t="n">
        <v>15045010</v>
      </c>
      <c r="B116" s="70" t="inlineStr">
        <is>
          <t>Matitas</t>
        </is>
      </c>
      <c r="C116" s="70" t="inlineStr">
        <is>
          <t>Area Operativa 05 - Magdalena-Cesar-Guajira-San Andrés</t>
        </is>
      </c>
      <c r="D116" s="99" t="n">
        <v>-73.03027778000001</v>
      </c>
      <c r="E116" s="99" t="n">
        <v>11.26388889</v>
      </c>
      <c r="F116" s="64" t="n">
        <v>20</v>
      </c>
      <c r="G116" s="62" t="n">
        <v>44</v>
      </c>
      <c r="H116" s="62" t="n">
        <v>44001</v>
      </c>
      <c r="I116" s="72" t="inlineStr">
        <is>
          <t>La Guajira</t>
        </is>
      </c>
      <c r="J116" s="72" t="inlineStr">
        <is>
          <t>Riohacha</t>
        </is>
      </c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7">
        <f>COUNTIF(K116:AO116,"&gt;0")</f>
        <v/>
      </c>
      <c r="AQ116" s="68">
        <f>IF(AP116&gt;14,AVERAGE(K116:AO116),"")</f>
        <v/>
      </c>
      <c r="AR116" s="68">
        <f>IFERROR(VLOOKUP(A116,Climatologia_TMAX!A:U,9+$E$2,FALSE),"")</f>
        <v/>
      </c>
      <c r="AS116" s="68">
        <f>IF(OR(AQ116="",AR116=""),"",IFERROR(AQ116-AR116,""))</f>
        <v/>
      </c>
      <c r="AT116" s="74">
        <f>IF(COUNT(K116:AO116)=0,"",MAX(K116:AO116))</f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/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6" s="69">
        <f>IF(OR(AT116="",AU116=""),"NA",IFERROR(AT116-AU116,"NA"))</f>
        <v/>
      </c>
    </row>
    <row r="117" ht="14.25" customHeight="1">
      <c r="A117" s="64" t="n">
        <v>15085020</v>
      </c>
      <c r="B117" s="70" t="inlineStr">
        <is>
          <t>Nazareth</t>
        </is>
      </c>
      <c r="C117" s="70" t="inlineStr">
        <is>
          <t>Area Operativa 05 - Magdalena-Cesar-Guajira-San Andrés</t>
        </is>
      </c>
      <c r="D117" s="99" t="n">
        <v>-71.28388889</v>
      </c>
      <c r="E117" s="99" t="n">
        <v>12.17888889</v>
      </c>
      <c r="F117" s="64" t="n">
        <v>85</v>
      </c>
      <c r="G117" s="62" t="n">
        <v>44</v>
      </c>
      <c r="H117" s="62" t="n">
        <v>44847</v>
      </c>
      <c r="I117" s="72" t="inlineStr">
        <is>
          <t>La Guajira</t>
        </is>
      </c>
      <c r="J117" s="72" t="inlineStr">
        <is>
          <t>Uribia</t>
        </is>
      </c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7">
        <f>COUNTIF(K117:AO117,"&gt;0")</f>
        <v/>
      </c>
      <c r="AQ117" s="68">
        <f>IF(AP117&gt;14,AVERAGE(K117:AO117),"")</f>
        <v/>
      </c>
      <c r="AR117" s="68">
        <f>IFERROR(VLOOKUP(A117,Climatologia_TMAX!A:U,9+$E$2,FALSE),"")</f>
        <v/>
      </c>
      <c r="AS117" s="68">
        <f>IF(OR(AQ117="",AR117=""),"",IFERROR(AQ117-AR117,""))</f>
        <v/>
      </c>
      <c r="AT117" s="74">
        <f>IF(COUNT(K117:AO117)=0,"",MAX(K117:AO117))</f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/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7" s="69">
        <f>IF(OR(AT117="",AU117=""),"NA",IFERROR(AT117-AU117,"NA"))</f>
        <v/>
      </c>
    </row>
    <row r="118" ht="14.25" customHeight="1">
      <c r="A118" s="64" t="n">
        <v>28015070</v>
      </c>
      <c r="B118" s="70" t="inlineStr">
        <is>
          <t>Urumita AUT</t>
        </is>
      </c>
      <c r="C118" s="70" t="inlineStr">
        <is>
          <t>Area Operativa 05 - Magdalena-Cesar-Guajira-San Andrés</t>
        </is>
      </c>
      <c r="D118" s="99" t="n">
        <v>-73.01638889</v>
      </c>
      <c r="E118" s="99" t="n">
        <v>10.56638889</v>
      </c>
      <c r="F118" s="64" t="n">
        <v>255</v>
      </c>
      <c r="G118" s="62" t="n">
        <v>44</v>
      </c>
      <c r="H118" s="62" t="n">
        <v>44855</v>
      </c>
      <c r="I118" s="72" t="inlineStr">
        <is>
          <t>La Guajira</t>
        </is>
      </c>
      <c r="J118" s="72" t="inlineStr">
        <is>
          <t>Urumita</t>
        </is>
      </c>
      <c r="K118" s="66" t="n">
        <v>35.4</v>
      </c>
      <c r="L118" s="66" t="n">
        <v>36</v>
      </c>
      <c r="M118" s="66" t="n">
        <v>35.6</v>
      </c>
      <c r="N118" s="66" t="n">
        <v>38.4</v>
      </c>
      <c r="O118" s="66" t="n">
        <v>37.4</v>
      </c>
      <c r="P118" s="66" t="n">
        <v>38</v>
      </c>
      <c r="Q118" s="66" t="n">
        <v>34.2</v>
      </c>
      <c r="R118" s="66" t="n">
        <v>38</v>
      </c>
      <c r="S118" s="66" t="n">
        <v>38.2</v>
      </c>
      <c r="T118" s="66" t="n">
        <v>36.4</v>
      </c>
      <c r="U118" s="66" t="n">
        <v>37.6</v>
      </c>
      <c r="V118" s="66" t="n">
        <v>37.6</v>
      </c>
      <c r="W118" s="66" t="n">
        <v>36.6</v>
      </c>
      <c r="X118" s="66" t="n">
        <v>34.2</v>
      </c>
      <c r="Y118" s="66" t="n">
        <v>36.4</v>
      </c>
      <c r="Z118" s="66" t="n">
        <v>37.4</v>
      </c>
      <c r="AA118" s="66" t="n">
        <v>40</v>
      </c>
      <c r="AB118" s="66" t="n">
        <v>39</v>
      </c>
      <c r="AC118" s="66" t="n">
        <v/>
      </c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7">
        <f>COUNTIF(K118:AO118,"&gt;0")</f>
        <v/>
      </c>
      <c r="AQ118" s="68">
        <f>IF(AP118&gt;14,AVERAGE(K118:AO118),"")</f>
        <v/>
      </c>
      <c r="AR118" s="68">
        <f>IFERROR(VLOOKUP(A118,Climatologia_TMAX!A:U,9+$E$2,FALSE),"")</f>
        <v/>
      </c>
      <c r="AS118" s="68">
        <f>IF(OR(AQ118="",AR118=""),"",IFERROR(AQ118-AR118,""))</f>
        <v/>
      </c>
      <c r="AT118" s="74">
        <f>IF(COUNT(K118:AO118)=0,"",MAX(K118:AO118))</f>
        <v/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/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8" s="69">
        <f>IF(OR(AT118="",AU118=""),"NA",IFERROR(AT118-AU118,"NA"))</f>
        <v/>
      </c>
    </row>
    <row r="119" ht="14.25" customHeight="1">
      <c r="A119" s="64" t="n">
        <v>28035010</v>
      </c>
      <c r="B119" s="70" t="inlineStr">
        <is>
          <t>Villa Rosa</t>
        </is>
      </c>
      <c r="C119" s="70" t="inlineStr">
        <is>
          <t>Area Operativa 05 - Magdalena-Cesar-Guajira-San Andrés</t>
        </is>
      </c>
      <c r="D119" s="99" t="n">
        <v>-73.54738888999999</v>
      </c>
      <c r="E119" s="99" t="n">
        <v>10.19066667</v>
      </c>
      <c r="F119" s="64" t="n">
        <v>70</v>
      </c>
      <c r="G119" s="62" t="n">
        <v>20</v>
      </c>
      <c r="H119" s="62" t="n">
        <v>20001</v>
      </c>
      <c r="I119" s="72" t="inlineStr">
        <is>
          <t>Cesar</t>
        </is>
      </c>
      <c r="J119" s="72" t="inlineStr">
        <is>
          <t>Valledupar</t>
        </is>
      </c>
      <c r="K119" s="66" t="n">
        <v>34.2</v>
      </c>
      <c r="L119" s="66" t="n">
        <v>36.4</v>
      </c>
      <c r="M119" s="66" t="n">
        <v>36.6</v>
      </c>
      <c r="N119" s="66" t="n">
        <v>36.8</v>
      </c>
      <c r="O119" s="66" t="n">
        <v>37</v>
      </c>
      <c r="P119" s="66" t="n">
        <v>38</v>
      </c>
      <c r="Q119" s="66" t="n">
        <v>32.6</v>
      </c>
      <c r="R119" s="66" t="n">
        <v>39.2</v>
      </c>
      <c r="S119" s="66" t="n">
        <v>40.4</v>
      </c>
      <c r="T119" s="66" t="n">
        <v>39</v>
      </c>
      <c r="U119" s="66" t="n">
        <v>38.2</v>
      </c>
      <c r="V119" s="66" t="n">
        <v>38.6</v>
      </c>
      <c r="W119" s="66" t="n">
        <v>39.6</v>
      </c>
      <c r="X119" s="66" t="n">
        <v>37.8</v>
      </c>
      <c r="Y119" s="66" t="n">
        <v>38.6</v>
      </c>
      <c r="Z119" s="66" t="n">
        <v>32.8</v>
      </c>
      <c r="AA119" s="66" t="n">
        <v>38.6</v>
      </c>
      <c r="AB119" s="66" t="n">
        <v>39.2</v>
      </c>
      <c r="AC119" s="66" t="n">
        <v>28.8</v>
      </c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7">
        <f>COUNTIF(K119:AO119,"&gt;0")</f>
        <v/>
      </c>
      <c r="AQ119" s="68">
        <f>IF(AP119&gt;14,AVERAGE(K119:AO119),"")</f>
        <v/>
      </c>
      <c r="AR119" s="68">
        <f>IFERROR(VLOOKUP(A119,Climatologia_TMAX!A:U,9+$E$2,FALSE),"")</f>
        <v/>
      </c>
      <c r="AS119" s="68">
        <f>IF(OR(AQ119="",AR119=""),"",IFERROR(AQ119-AR119,""))</f>
        <v/>
      </c>
      <c r="AT119" s="74">
        <f>IF(COUNT(K119:AO119)=0,"",MAX(K119:AO119))</f>
        <v/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/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19" s="69">
        <f>IF(OR(AT119="",AU119=""),"NA",IFERROR(AT119-AU119,"NA"))</f>
        <v/>
      </c>
    </row>
    <row r="120" ht="14.25" customHeight="1">
      <c r="A120" s="64" t="n">
        <v>25025330</v>
      </c>
      <c r="B120" s="70" t="inlineStr">
        <is>
          <t>Colegio Agropecuario Pailitas</t>
        </is>
      </c>
      <c r="C120" s="70" t="inlineStr">
        <is>
          <t>Area Operativa 05 - Magdalena-Cesar-Guajira-San Andrés</t>
        </is>
      </c>
      <c r="D120" s="99" t="n">
        <v>-73.63008333000001</v>
      </c>
      <c r="E120" s="99" t="n">
        <v>8.954222222</v>
      </c>
      <c r="F120" s="64" t="n">
        <v>50</v>
      </c>
      <c r="G120" s="62" t="n">
        <v>20</v>
      </c>
      <c r="H120" s="62" t="n">
        <v>20517</v>
      </c>
      <c r="I120" s="72" t="inlineStr">
        <is>
          <t>Cesar</t>
        </is>
      </c>
      <c r="J120" s="72" t="inlineStr">
        <is>
          <t>Pailitas</t>
        </is>
      </c>
      <c r="K120" s="66" t="n">
        <v>34.8</v>
      </c>
      <c r="L120" s="66" t="n">
        <v>36.6</v>
      </c>
      <c r="M120" s="66" t="n">
        <v>37</v>
      </c>
      <c r="N120" s="66" t="n">
        <v>37</v>
      </c>
      <c r="O120" s="66" t="n">
        <v>39.2</v>
      </c>
      <c r="P120" s="66" t="n">
        <v>36.8</v>
      </c>
      <c r="Q120" s="66" t="n">
        <v>35.4</v>
      </c>
      <c r="R120" s="66" t="n">
        <v>39.8</v>
      </c>
      <c r="S120" s="66" t="n">
        <v>42</v>
      </c>
      <c r="T120" s="66" t="n">
        <v>37.4</v>
      </c>
      <c r="U120" s="66" t="n">
        <v>37.4</v>
      </c>
      <c r="V120" s="66" t="n">
        <v>39.6</v>
      </c>
      <c r="W120" s="66" t="n">
        <v>38.8</v>
      </c>
      <c r="X120" s="66" t="n">
        <v>38.2</v>
      </c>
      <c r="Y120" s="66" t="n">
        <v>37.6</v>
      </c>
      <c r="Z120" s="66" t="n">
        <v>33.6</v>
      </c>
      <c r="AA120" s="66" t="n">
        <v>31.8</v>
      </c>
      <c r="AB120" s="66" t="n">
        <v>36.2</v>
      </c>
      <c r="AC120" s="66" t="n">
        <v>35.4</v>
      </c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7">
        <f>COUNTIF(K120:AO120,"&gt;0")</f>
        <v/>
      </c>
      <c r="AQ120" s="68">
        <f>IF(AP120&gt;14,AVERAGE(K120:AO120),"")</f>
        <v/>
      </c>
      <c r="AR120" s="68">
        <f>IFERROR(VLOOKUP(A120,Climatologia_TMAX!A:U,9+$E$2,FALSE),"")</f>
        <v/>
      </c>
      <c r="AS120" s="68">
        <f>IF(OR(AQ120="",AR120=""),"",IFERROR(AQ120-AR120,""))</f>
        <v/>
      </c>
      <c r="AT120" s="74">
        <f>IF(COUNT(K120:AO120)=0,"",MAX(K120:AO120))</f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/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0" s="69">
        <f>IF(OR(AT120="",AU120=""),"NA",IFERROR(AT120-AU120,"NA"))</f>
        <v/>
      </c>
    </row>
    <row r="121" ht="14.25" customHeight="1">
      <c r="A121" s="64" t="n">
        <v>24035340</v>
      </c>
      <c r="B121" s="70" t="inlineStr">
        <is>
          <t xml:space="preserve">Aeropuerto Alberto Lleras Camargo </t>
        </is>
      </c>
      <c r="C121" s="70" t="inlineStr">
        <is>
          <t>Area Operativa 06 - Boyacá-Casanare-Vichada</t>
        </is>
      </c>
      <c r="D121" s="99" t="n">
        <v>-72.96791666999999</v>
      </c>
      <c r="E121" s="99" t="n">
        <v>5.676944444</v>
      </c>
      <c r="F121" s="64" t="n">
        <v>2500</v>
      </c>
      <c r="G121" s="62" t="n">
        <v>15</v>
      </c>
      <c r="H121" s="62" t="n">
        <v>15759</v>
      </c>
      <c r="I121" s="72" t="inlineStr">
        <is>
          <t>Boyacá</t>
        </is>
      </c>
      <c r="J121" s="72" t="inlineStr">
        <is>
          <t>Sogamoso</t>
        </is>
      </c>
      <c r="K121" s="66" t="n">
        <v/>
      </c>
      <c r="L121" s="66" t="n">
        <v/>
      </c>
      <c r="M121" s="66" t="n">
        <v/>
      </c>
      <c r="N121" s="66" t="n">
        <v/>
      </c>
      <c r="O121" s="66" t="n">
        <v/>
      </c>
      <c r="P121" s="66" t="n">
        <v/>
      </c>
      <c r="Q121" s="66" t="n">
        <v/>
      </c>
      <c r="R121" s="66" t="n">
        <v/>
      </c>
      <c r="S121" s="66" t="n">
        <v/>
      </c>
      <c r="T121" s="66" t="n">
        <v/>
      </c>
      <c r="U121" s="66" t="n">
        <v/>
      </c>
      <c r="V121" s="66" t="n">
        <v/>
      </c>
      <c r="W121" s="66" t="n">
        <v/>
      </c>
      <c r="X121" s="66" t="n">
        <v/>
      </c>
      <c r="Y121" s="66" t="n">
        <v/>
      </c>
      <c r="Z121" s="66" t="n">
        <v/>
      </c>
      <c r="AA121" s="66" t="n">
        <v>24</v>
      </c>
      <c r="AB121" s="66" t="n">
        <v/>
      </c>
      <c r="AC121" s="66" t="n">
        <v>22.8</v>
      </c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7">
        <f>COUNTIF(K121:AO121,"&gt;0")</f>
        <v/>
      </c>
      <c r="AQ121" s="68">
        <f>IF(AP121&gt;14,AVERAGE(K121:AO121),"")</f>
        <v/>
      </c>
      <c r="AR121" s="68">
        <f>IFERROR(VLOOKUP(A121,Climatologia_TMAX!A:U,9+$E$2,FALSE),"")</f>
        <v/>
      </c>
      <c r="AS121" s="68">
        <f>IF(OR(AQ121="",AR121=""),"",IFERROR(AQ121-AR121,""))</f>
        <v/>
      </c>
      <c r="AT121" s="74">
        <f>IF(COUNT(K121:AO121)=0,"",MAX(K121:AO121))</f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/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1" s="69">
        <f>IF(OR(AT121="",AU121=""),"NA",IFERROR(AT121-AU121,"NA"))</f>
        <v/>
      </c>
    </row>
    <row r="122" ht="14.25" customHeight="1">
      <c r="A122" s="64" t="n">
        <v>23125140</v>
      </c>
      <c r="B122" s="70" t="inlineStr">
        <is>
          <t>Aeropuerto Furatena  - AUT</t>
        </is>
      </c>
      <c r="C122" s="70" t="inlineStr">
        <is>
          <t>Area Operativa 06 - Boyacá-Casanare-Vichada</t>
        </is>
      </c>
      <c r="D122" s="99" t="n">
        <v>-74.18241666999999</v>
      </c>
      <c r="E122" s="99" t="n">
        <v>5.520833333</v>
      </c>
      <c r="F122" s="64" t="n">
        <v>1250</v>
      </c>
      <c r="G122" s="62" t="n">
        <v>15</v>
      </c>
      <c r="H122" s="62" t="n">
        <v>15580</v>
      </c>
      <c r="I122" s="72" t="inlineStr">
        <is>
          <t>Boyacá</t>
        </is>
      </c>
      <c r="J122" s="72" t="inlineStr">
        <is>
          <t>Quípama</t>
        </is>
      </c>
      <c r="K122" s="66" t="n">
        <v>28.2</v>
      </c>
      <c r="L122" s="66" t="n">
        <v>29.8</v>
      </c>
      <c r="M122" s="66" t="n">
        <v>30.4</v>
      </c>
      <c r="N122" s="66" t="n">
        <v>29.2</v>
      </c>
      <c r="O122" s="66" t="n">
        <v>32.4</v>
      </c>
      <c r="P122" s="66" t="n">
        <v>30.2</v>
      </c>
      <c r="Q122" s="66" t="n">
        <v>27.8</v>
      </c>
      <c r="R122" s="66" t="n">
        <v>29.8</v>
      </c>
      <c r="S122" s="66" t="n">
        <v>30.4</v>
      </c>
      <c r="T122" s="66" t="n">
        <v>31.4</v>
      </c>
      <c r="U122" s="66" t="n">
        <v>32.4</v>
      </c>
      <c r="V122" s="66" t="n">
        <v>31.6</v>
      </c>
      <c r="W122" s="66" t="n">
        <v>30.4</v>
      </c>
      <c r="X122" s="66" t="n">
        <v>32.4</v>
      </c>
      <c r="Y122" s="66" t="n">
        <v>32.6</v>
      </c>
      <c r="Z122" s="66" t="n">
        <v>28.8</v>
      </c>
      <c r="AA122" s="66" t="n">
        <v>32.8</v>
      </c>
      <c r="AB122" s="66" t="n">
        <v>33.6</v>
      </c>
      <c r="AC122" s="66" t="n">
        <v>29.8</v>
      </c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7">
        <f>COUNTIF(K122:AO122,"&gt;0")</f>
        <v/>
      </c>
      <c r="AQ122" s="68">
        <f>IF(AP122&gt;14,AVERAGE(K122:AO122),"")</f>
        <v/>
      </c>
      <c r="AR122" s="68">
        <f>IFERROR(VLOOKUP(A122,Climatologia_TMAX!A:U,9+$E$2,FALSE),"")</f>
        <v/>
      </c>
      <c r="AS122" s="68">
        <f>IF(OR(AQ122="",AR122=""),"",IFERROR(AQ122-AR122,""))</f>
        <v/>
      </c>
      <c r="AT122" s="74">
        <f>IF(COUNT(K122:AO122)=0,"",MAX(K122:AO122))</f>
        <v/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/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2" s="69">
        <f>IF(OR(AT122="",AU122=""),"NA",IFERROR(AT122-AU122,"NA"))</f>
        <v/>
      </c>
    </row>
    <row r="123" ht="14.25" customHeight="1">
      <c r="A123" s="64" t="n">
        <v>35215020</v>
      </c>
      <c r="B123" s="70" t="inlineStr">
        <is>
          <t>Aeropuerto Yopal - AUT</t>
        </is>
      </c>
      <c r="C123" s="70" t="inlineStr">
        <is>
          <t>Area Operativa 06 - Boyacá-Casanare-Vichada</t>
        </is>
      </c>
      <c r="D123" s="99" t="n">
        <v>-72.3875</v>
      </c>
      <c r="E123" s="99" t="n">
        <v>5.320444444</v>
      </c>
      <c r="F123" s="64" t="n">
        <v>325</v>
      </c>
      <c r="G123" s="62" t="n">
        <v>85</v>
      </c>
      <c r="H123" s="62" t="n">
        <v>85001</v>
      </c>
      <c r="I123" s="72" t="inlineStr">
        <is>
          <t>Casanare</t>
        </is>
      </c>
      <c r="J123" s="72" t="inlineStr">
        <is>
          <t>Yopal</t>
        </is>
      </c>
      <c r="K123" s="66" t="n">
        <v>32.6</v>
      </c>
      <c r="L123" s="66" t="n">
        <v>32.4</v>
      </c>
      <c r="M123" s="66" t="n">
        <v>33.2</v>
      </c>
      <c r="N123" s="66" t="n">
        <v>32.2</v>
      </c>
      <c r="O123" s="66" t="n">
        <v>32</v>
      </c>
      <c r="P123" s="66" t="n">
        <v>30.8</v>
      </c>
      <c r="Q123" s="66" t="n">
        <v>32.8</v>
      </c>
      <c r="R123" s="66" t="n">
        <v>31.4</v>
      </c>
      <c r="S123" s="66" t="n">
        <v>32.8</v>
      </c>
      <c r="T123" s="66" t="n">
        <v>29</v>
      </c>
      <c r="U123" s="66" t="n">
        <v>32.2</v>
      </c>
      <c r="V123" s="66" t="n">
        <v>32</v>
      </c>
      <c r="W123" s="66" t="n">
        <v>29.8</v>
      </c>
      <c r="X123" s="66" t="n">
        <v>32.6</v>
      </c>
      <c r="Y123" s="66" t="n">
        <v>32</v>
      </c>
      <c r="Z123" s="66" t="n">
        <v>31.8</v>
      </c>
      <c r="AA123" s="66" t="n">
        <v>32.4</v>
      </c>
      <c r="AB123" s="66" t="n">
        <v>32.2</v>
      </c>
      <c r="AC123" s="66" t="n">
        <v>31.4</v>
      </c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7">
        <f>COUNTIF(K123:AO123,"&gt;0")</f>
        <v/>
      </c>
      <c r="AQ123" s="68">
        <f>IF(AP123&gt;14,AVERAGE(K123:AO123),"")</f>
        <v/>
      </c>
      <c r="AR123" s="68">
        <f>IFERROR(VLOOKUP(A123,Climatologia_TMAX!A:U,9+$E$2,FALSE),"")</f>
        <v/>
      </c>
      <c r="AS123" s="68">
        <f>IF(OR(AQ123="",AR123=""),"",IFERROR(AQ123-AR123,""))</f>
        <v/>
      </c>
      <c r="AT123" s="74">
        <f>IF(COUNT(K123:AO123)=0,"",MAX(K123:AO123))</f>
        <v/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/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3" s="69">
        <f>IF(OR(AT123="",AU123=""),"NA",IFERROR(AT123-AU123,"NA"))</f>
        <v/>
      </c>
    </row>
    <row r="124" ht="14.25" customHeight="1">
      <c r="A124" s="64" t="n">
        <v>35195030</v>
      </c>
      <c r="B124" s="70" t="inlineStr">
        <is>
          <t>Aguazul</t>
        </is>
      </c>
      <c r="C124" s="70" t="inlineStr">
        <is>
          <t>Area Operativa 06 - Boyacá-Casanare-Vichada</t>
        </is>
      </c>
      <c r="D124" s="99" t="n">
        <v>-72.54738888999999</v>
      </c>
      <c r="E124" s="99" t="n">
        <v>5.177083333</v>
      </c>
      <c r="F124" s="64" t="n">
        <v>380</v>
      </c>
      <c r="G124" s="62" t="n">
        <v>85</v>
      </c>
      <c r="H124" s="62" t="n">
        <v>85010</v>
      </c>
      <c r="I124" s="72" t="inlineStr">
        <is>
          <t>Casanare</t>
        </is>
      </c>
      <c r="J124" s="72" t="inlineStr">
        <is>
          <t>Aguazul</t>
        </is>
      </c>
      <c r="K124" s="66" t="n">
        <v>34.2</v>
      </c>
      <c r="L124" s="66" t="n">
        <v>33</v>
      </c>
      <c r="M124" s="66" t="n">
        <v>33</v>
      </c>
      <c r="N124" s="66" t="n">
        <v>32.6</v>
      </c>
      <c r="O124" s="66" t="n">
        <v>33.4</v>
      </c>
      <c r="P124" s="66" t="n">
        <v>31.8</v>
      </c>
      <c r="Q124" s="66" t="n">
        <v>33.6</v>
      </c>
      <c r="R124" s="66" t="n">
        <v>32.4</v>
      </c>
      <c r="S124" s="66" t="n">
        <v>33.8</v>
      </c>
      <c r="T124" s="66" t="n">
        <v>31</v>
      </c>
      <c r="U124" s="66" t="n">
        <v>33</v>
      </c>
      <c r="V124" s="66" t="n">
        <v>33.4</v>
      </c>
      <c r="W124" s="66" t="n">
        <v>30</v>
      </c>
      <c r="X124" s="66" t="n">
        <v>33.6</v>
      </c>
      <c r="Y124" s="66" t="n">
        <v>33.4</v>
      </c>
      <c r="Z124" s="66" t="n">
        <v>33.4</v>
      </c>
      <c r="AA124" s="66" t="n">
        <v>32.6</v>
      </c>
      <c r="AB124" s="66" t="n">
        <v>31.8</v>
      </c>
      <c r="AC124" s="66" t="n">
        <v>30.6</v>
      </c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7">
        <f>COUNTIF(K124:AO124,"&gt;0")</f>
        <v/>
      </c>
      <c r="AQ124" s="68">
        <f>IF(AP124&gt;14,AVERAGE(K124:AO124),"")</f>
        <v/>
      </c>
      <c r="AR124" s="68">
        <f>IFERROR(VLOOKUP(A124,Climatologia_TMAX!A:U,9+$E$2,FALSE),"")</f>
        <v/>
      </c>
      <c r="AS124" s="68">
        <f>IF(OR(AQ124="",AR124=""),"",IFERROR(AQ124-AR124,""))</f>
        <v/>
      </c>
      <c r="AT124" s="74">
        <f>IF(COUNT(K124:AO124)=0,"",MAX(K124:AO124))</f>
        <v/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>
        <f>IF(OR(AT124="",AU124=""),"NA",IFERROR(AT124-AU124,"NA"))</f>
        <v/>
      </c>
    </row>
    <row r="125" ht="14.25" customHeight="1">
      <c r="A125" s="64" t="n">
        <v>35230040</v>
      </c>
      <c r="B125" s="70" t="inlineStr">
        <is>
          <t>El Banco</t>
        </is>
      </c>
      <c r="C125" s="70" t="inlineStr">
        <is>
          <t>Area Operativa 06 - Boyacá-Casanare-Vichada</t>
        </is>
      </c>
      <c r="D125" s="99" t="n">
        <v>-72.00263889</v>
      </c>
      <c r="E125" s="99" t="n">
        <v>5.634388889</v>
      </c>
      <c r="F125" s="64" t="n">
        <v>320</v>
      </c>
      <c r="G125" s="62" t="n">
        <v>85</v>
      </c>
      <c r="H125" s="62" t="n">
        <v>85263</v>
      </c>
      <c r="I125" s="72" t="inlineStr">
        <is>
          <t>Casanare</t>
        </is>
      </c>
      <c r="J125" s="72" t="inlineStr">
        <is>
          <t>Pore</t>
        </is>
      </c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7">
        <f>COUNTIF(K125:AO125,"&gt;0")</f>
        <v/>
      </c>
      <c r="AQ125" s="68">
        <f>IF(AP125&gt;14,AVERAGE(K125:AO125),"")</f>
        <v/>
      </c>
      <c r="AR125" s="68">
        <f>IFERROR(VLOOKUP(A125,Climatologia_TMAX!A:U,9+$E$2,FALSE),"")</f>
        <v/>
      </c>
      <c r="AS125" s="68">
        <f>IF(OR(AQ125="",AR125=""),"",IFERROR(AQ125-AR125,""))</f>
        <v/>
      </c>
      <c r="AT125" s="74">
        <f>IF(COUNT(K125:AO125)=0,"",MAX(K125:AO125))</f>
        <v/>
      </c>
      <c r="AU125" s="74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>
        <f>IF(OR(AT125="",AU125=""),"NA",IFERROR(AT125-AU125,"NA"))</f>
        <v/>
      </c>
    </row>
    <row r="126" ht="14.25" customHeight="1">
      <c r="A126" s="64" t="n">
        <v>24035020</v>
      </c>
      <c r="B126" s="70" t="inlineStr">
        <is>
          <t>Beteitiva</t>
        </is>
      </c>
      <c r="C126" s="70" t="inlineStr">
        <is>
          <t>Area Operativa 06 - Boyacá-Casanare-Vichada</t>
        </is>
      </c>
      <c r="D126" s="99" t="n">
        <v>-72.81061111</v>
      </c>
      <c r="E126" s="99" t="n">
        <v>5.907277778</v>
      </c>
      <c r="F126" s="64" t="n">
        <v>2575</v>
      </c>
      <c r="G126" s="62" t="n">
        <v>15</v>
      </c>
      <c r="H126" s="62" t="n">
        <v>15092</v>
      </c>
      <c r="I126" s="72" t="inlineStr">
        <is>
          <t>Boyacá</t>
        </is>
      </c>
      <c r="J126" s="72" t="inlineStr">
        <is>
          <t>Betéitiva</t>
        </is>
      </c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7">
        <f>COUNTIF(K126:AO126,"&gt;0")</f>
        <v/>
      </c>
      <c r="AQ126" s="68">
        <f>IF(AP126&gt;14,AVERAGE(K126:AO126),"")</f>
        <v/>
      </c>
      <c r="AR126" s="68">
        <f>IFERROR(VLOOKUP(A126,Climatologia_TMAX!A:U,9+$E$2,FALSE),"")</f>
        <v/>
      </c>
      <c r="AS126" s="68">
        <f>IF(OR(AQ126="",AR126=""),"",IFERROR(AQ126-AR126,""))</f>
        <v/>
      </c>
      <c r="AT126" s="74">
        <f>IF(COUNT(K126:AO126)=0,"",MAX(K126:AO126))</f>
        <v/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>
        <f>IF(OR(AT126="",AU126=""),"NA",IFERROR(AT126-AU126,"NA"))</f>
        <v/>
      </c>
    </row>
    <row r="127" ht="14.25" customHeight="1">
      <c r="A127" s="64" t="n">
        <v>24035330</v>
      </c>
      <c r="B127" s="70" t="inlineStr">
        <is>
          <t>Boavita</t>
        </is>
      </c>
      <c r="C127" s="70" t="inlineStr">
        <is>
          <t>Area Operativa 06 - Boyacá-Casanare-Vichada</t>
        </is>
      </c>
      <c r="D127" s="99" t="n">
        <v>-72.58227778</v>
      </c>
      <c r="E127" s="99" t="n">
        <v>6.328972222</v>
      </c>
      <c r="F127" s="64" t="n">
        <v>2150</v>
      </c>
      <c r="G127" s="62" t="n">
        <v>15</v>
      </c>
      <c r="H127" s="62" t="n">
        <v>15097</v>
      </c>
      <c r="I127" s="72" t="inlineStr">
        <is>
          <t>Boyacá</t>
        </is>
      </c>
      <c r="J127" s="72" t="inlineStr">
        <is>
          <t>Boavita</t>
        </is>
      </c>
      <c r="K127" s="66" t="n">
        <v>26.4</v>
      </c>
      <c r="L127" s="66" t="n">
        <v>27</v>
      </c>
      <c r="M127" s="66" t="n">
        <v>27.2</v>
      </c>
      <c r="N127" s="66" t="n">
        <v>27.2</v>
      </c>
      <c r="O127" s="66" t="n">
        <v>27</v>
      </c>
      <c r="P127" s="66" t="n">
        <v>25.4</v>
      </c>
      <c r="Q127" s="66" t="n">
        <v>28.6</v>
      </c>
      <c r="R127" s="66" t="n">
        <v>27</v>
      </c>
      <c r="S127" s="66" t="n">
        <v>29</v>
      </c>
      <c r="T127" s="66" t="n">
        <v>26.4</v>
      </c>
      <c r="U127" s="66" t="n">
        <v>25.2</v>
      </c>
      <c r="V127" s="66" t="n">
        <v>29.2</v>
      </c>
      <c r="W127" s="66" t="n">
        <v>26</v>
      </c>
      <c r="X127" s="66" t="n">
        <v>27.6</v>
      </c>
      <c r="Y127" s="66" t="n">
        <v>28</v>
      </c>
      <c r="Z127" s="66" t="n">
        <v>26</v>
      </c>
      <c r="AA127" s="66" t="n">
        <v>26.6</v>
      </c>
      <c r="AB127" s="66" t="n">
        <v>27.2</v>
      </c>
      <c r="AC127" s="66" t="n">
        <v>26</v>
      </c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7">
        <f>COUNTIF(K127:AO127,"&gt;0")</f>
        <v/>
      </c>
      <c r="AQ127" s="68">
        <f>IF(AP127&gt;14,AVERAGE(K127:AO127),"")</f>
        <v/>
      </c>
      <c r="AR127" s="68">
        <f>IFERROR(VLOOKUP(A127,Climatologia_TMAX!A:U,9+$E$2,FALSE),"")</f>
        <v/>
      </c>
      <c r="AS127" s="68">
        <f>IF(OR(AQ127="",AR127=""),"",IFERROR(AQ127-AR127,""))</f>
        <v/>
      </c>
      <c r="AT127" s="74">
        <f>IF(COUNT(K127:AO127)=0,"",MAX(K127:AO127))</f>
        <v/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/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7" s="69">
        <f>IF(OR(AT127="",AU127=""),"NA",IFERROR(AT127-AU127,"NA"))</f>
        <v/>
      </c>
    </row>
    <row r="128" ht="14.25" customHeight="1">
      <c r="A128" s="64" t="n">
        <v>23125100</v>
      </c>
      <c r="B128" s="70" t="inlineStr">
        <is>
          <t>Buenavista</t>
        </is>
      </c>
      <c r="C128" s="70" t="inlineStr">
        <is>
          <t>Area Operativa 06 - Boyacá-Casanare-Vichada</t>
        </is>
      </c>
      <c r="D128" s="99" t="n">
        <v>-73.94311111</v>
      </c>
      <c r="E128" s="99" t="n">
        <v>5.514916667</v>
      </c>
      <c r="F128" s="64" t="n">
        <v>2200</v>
      </c>
      <c r="G128" s="62" t="n">
        <v>15</v>
      </c>
      <c r="H128" s="62" t="n">
        <v>15109</v>
      </c>
      <c r="I128" s="72" t="inlineStr">
        <is>
          <t>Boyacá</t>
        </is>
      </c>
      <c r="J128" s="72" t="inlineStr">
        <is>
          <t>Buenavista</t>
        </is>
      </c>
      <c r="K128" s="66" t="n">
        <v>21</v>
      </c>
      <c r="L128" s="66" t="n">
        <v>22.4</v>
      </c>
      <c r="M128" s="66" t="n">
        <v>23</v>
      </c>
      <c r="N128" s="66" t="n">
        <v>23</v>
      </c>
      <c r="O128" s="66" t="n">
        <v>23.4</v>
      </c>
      <c r="P128" s="66" t="n">
        <v>23.8</v>
      </c>
      <c r="Q128" s="66" t="n">
        <v>21</v>
      </c>
      <c r="R128" s="66" t="n">
        <v>25.2</v>
      </c>
      <c r="S128" s="66" t="n">
        <v>25.4</v>
      </c>
      <c r="T128" s="66" t="n">
        <v>23</v>
      </c>
      <c r="U128" s="66" t="n">
        <v>24.8</v>
      </c>
      <c r="V128" s="66" t="n">
        <v>22.4</v>
      </c>
      <c r="W128" s="112" t="n">
        <v>23.4</v>
      </c>
      <c r="X128" s="66" t="n">
        <v>26</v>
      </c>
      <c r="Y128" s="66" t="n">
        <v>21</v>
      </c>
      <c r="Z128" s="66" t="n">
        <v>24.4</v>
      </c>
      <c r="AA128" s="66" t="n">
        <v>24.4</v>
      </c>
      <c r="AB128" s="66" t="n">
        <v>25.4</v>
      </c>
      <c r="AC128" s="66" t="n">
        <v>22</v>
      </c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7">
        <f>COUNTIF(K128:AO128,"&gt;0")</f>
        <v/>
      </c>
      <c r="AQ128" s="68">
        <f>IF(AP128&gt;14,AVERAGE(K128:AO128),"")</f>
        <v/>
      </c>
      <c r="AR128" s="68">
        <f>IFERROR(VLOOKUP(A128,Climatologia_TMAX!A:U,9+$E$2,FALSE),"")</f>
        <v/>
      </c>
      <c r="AS128" s="68">
        <f>IF(OR(AQ128="",AR128=""),"",IFERROR(AQ128-AR128,""))</f>
        <v/>
      </c>
      <c r="AT128" s="74">
        <f>IF(COUNT(K128:AO128)=0,"",MAX(K128:AO128))</f>
        <v/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/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8" s="69">
        <f>IF(OR(AT128="",AU128=""),"NA",IFERROR(AT128-AU128,"NA"))</f>
        <v/>
      </c>
    </row>
    <row r="129" ht="14.25" customHeight="1">
      <c r="A129" s="64" t="n">
        <v>35085050</v>
      </c>
      <c r="B129" s="70" t="inlineStr">
        <is>
          <t>Campohermoso</t>
        </is>
      </c>
      <c r="C129" s="70" t="inlineStr">
        <is>
          <t>Area Operativa 06 - Boyacá-Casanare-Vichada</t>
        </is>
      </c>
      <c r="D129" s="99" t="n">
        <v>-73.10366667</v>
      </c>
      <c r="E129" s="99" t="n">
        <v>5.0345</v>
      </c>
      <c r="F129" s="64" t="n">
        <v>1300</v>
      </c>
      <c r="G129" s="62" t="n">
        <v>15</v>
      </c>
      <c r="H129" s="62" t="n">
        <v>15135</v>
      </c>
      <c r="I129" s="72" t="inlineStr">
        <is>
          <t>Boyacá</t>
        </is>
      </c>
      <c r="J129" s="72" t="inlineStr">
        <is>
          <t>Campohermoso</t>
        </is>
      </c>
      <c r="K129" s="66" t="n">
        <v>28.6</v>
      </c>
      <c r="L129" s="66" t="n">
        <v>28.2</v>
      </c>
      <c r="M129" s="66" t="n">
        <v>26.2</v>
      </c>
      <c r="N129" s="66" t="n">
        <v/>
      </c>
      <c r="O129" s="66" t="n">
        <v/>
      </c>
      <c r="P129" s="66" t="n">
        <v/>
      </c>
      <c r="Q129" s="66" t="n">
        <v>27.4</v>
      </c>
      <c r="R129" s="66" t="n">
        <v>25.6</v>
      </c>
      <c r="S129" s="66" t="n">
        <v>27.8</v>
      </c>
      <c r="T129" s="66" t="n">
        <v>24.5</v>
      </c>
      <c r="U129" s="66" t="n">
        <v/>
      </c>
      <c r="V129" s="66" t="n">
        <v>28.4</v>
      </c>
      <c r="W129" s="66" t="n">
        <v>25.4</v>
      </c>
      <c r="X129" s="66" t="n">
        <v>28.8</v>
      </c>
      <c r="Y129" s="66" t="n">
        <v>27.8</v>
      </c>
      <c r="Z129" s="66" t="n">
        <v>28.2</v>
      </c>
      <c r="AA129" s="66" t="n">
        <v>27</v>
      </c>
      <c r="AB129" s="66" t="n">
        <v>25.4</v>
      </c>
      <c r="AC129" s="66" t="n">
        <v>26</v>
      </c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7">
        <f>COUNTIF(K129:AO129,"&gt;0")</f>
        <v/>
      </c>
      <c r="AQ129" s="68">
        <f>IF(AP129&gt;14,AVERAGE(K129:AO129),"")</f>
        <v/>
      </c>
      <c r="AR129" s="68">
        <f>IFERROR(VLOOKUP(A129,Climatologia_TMAX!A:U,9+$E$2,FALSE),"")</f>
        <v/>
      </c>
      <c r="AS129" s="68">
        <f>IF(OR(AQ129="",AR129=""),"",IFERROR(AQ129-AR129,""))</f>
        <v/>
      </c>
      <c r="AT129" s="74">
        <f>IF(COUNT(K129:AO129)=0,"",MAX(K129:AO129))</f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/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9" s="69">
        <f>IF(OR(AT129="",AU129=""),"NA",IFERROR(AT129-AU129,"NA"))</f>
        <v/>
      </c>
    </row>
    <row r="130" ht="14.25" customHeight="1">
      <c r="A130" s="64" t="n">
        <v>24035260</v>
      </c>
      <c r="B130" s="70" t="inlineStr">
        <is>
          <t>Capitanejo</t>
        </is>
      </c>
      <c r="C130" s="70" t="inlineStr">
        <is>
          <t>Area Operativa 06 - Boyacá-Casanare-Vichada</t>
        </is>
      </c>
      <c r="D130" s="99" t="n">
        <v>-72.69661111000001</v>
      </c>
      <c r="E130" s="99" t="n">
        <v>6.520722222</v>
      </c>
      <c r="F130" s="64" t="n">
        <v>1160</v>
      </c>
      <c r="G130" s="62" t="n">
        <v>68</v>
      </c>
      <c r="H130" s="62" t="n">
        <v>68147</v>
      </c>
      <c r="I130" s="72" t="inlineStr">
        <is>
          <t>Santander</t>
        </is>
      </c>
      <c r="J130" s="72" t="inlineStr">
        <is>
          <t>Capitanejo</t>
        </is>
      </c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109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7">
        <f>COUNTIF(K130:AO130,"&gt;0")</f>
        <v/>
      </c>
      <c r="AQ130" s="68">
        <f>IF(AP130&gt;14,AVERAGE(K130:AO130),"")</f>
        <v/>
      </c>
      <c r="AR130" s="68">
        <f>IFERROR(VLOOKUP(A130,Climatologia_TMAX!A:U,9+$E$2,FALSE),"")</f>
        <v/>
      </c>
      <c r="AS130" s="68">
        <f>IF(OR(AQ130="",AR130=""),"",IFERROR(AQ130-AR130,""))</f>
        <v/>
      </c>
      <c r="AT130" s="74">
        <f>IF(COUNT(K130:AO130)=0,"",MAX(K130:AO130))</f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>
        <f>IF(OR(AT130="",AU130=""),"NA",IFERROR(AT130-AU130,"NA"))</f>
        <v/>
      </c>
    </row>
    <row r="131" ht="14.25" customHeight="1">
      <c r="A131" s="64" t="n">
        <v>24035420</v>
      </c>
      <c r="B131" s="70" t="inlineStr">
        <is>
          <t>Cerinza</t>
        </is>
      </c>
      <c r="C131" s="70" t="inlineStr">
        <is>
          <t>Area Operativa 06 - Boyacá-Casanare-Vichada</t>
        </is>
      </c>
      <c r="D131" s="99" t="n">
        <v>-72.9385</v>
      </c>
      <c r="E131" s="99" t="n">
        <v>5.96225</v>
      </c>
      <c r="F131" s="64" t="n">
        <v>2643</v>
      </c>
      <c r="G131" s="62" t="n">
        <v>15</v>
      </c>
      <c r="H131" s="62" t="n">
        <v>15162</v>
      </c>
      <c r="I131" s="72" t="inlineStr">
        <is>
          <t>Boyacá</t>
        </is>
      </c>
      <c r="J131" s="72" t="inlineStr">
        <is>
          <t>Cerinza</t>
        </is>
      </c>
      <c r="K131" s="66" t="n">
        <v>20</v>
      </c>
      <c r="L131" s="66" t="n">
        <v/>
      </c>
      <c r="M131" s="66" t="n">
        <v/>
      </c>
      <c r="N131" s="66" t="n">
        <v/>
      </c>
      <c r="O131" s="66" t="n">
        <v/>
      </c>
      <c r="P131" s="66" t="n">
        <v/>
      </c>
      <c r="Q131" s="66" t="n">
        <v/>
      </c>
      <c r="R131" s="66" t="n">
        <v/>
      </c>
      <c r="S131" s="66" t="n">
        <v/>
      </c>
      <c r="T131" s="66" t="n">
        <v/>
      </c>
      <c r="U131" s="66" t="n">
        <v/>
      </c>
      <c r="V131" s="66" t="n">
        <v/>
      </c>
      <c r="W131" s="66" t="n">
        <v/>
      </c>
      <c r="X131" s="66" t="n">
        <v/>
      </c>
      <c r="Y131" s="66" t="n">
        <v/>
      </c>
      <c r="Z131" s="66" t="n">
        <v>20.4</v>
      </c>
      <c r="AA131" s="66" t="n">
        <v/>
      </c>
      <c r="AB131" s="66" t="n">
        <v/>
      </c>
      <c r="AC131" s="66" t="n">
        <v/>
      </c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7">
        <f>COUNTIF(K131:AO131,"&gt;0")</f>
        <v/>
      </c>
      <c r="AQ131" s="68">
        <f>IF(AP131&gt;14,AVERAGE(K131:AO131),"")</f>
        <v/>
      </c>
      <c r="AR131" s="68">
        <f>IFERROR(VLOOKUP(A131,Climatologia_TMAX!A:U,9+$E$2,FALSE),"")</f>
        <v/>
      </c>
      <c r="AS131" s="68">
        <f>IF(OR(AQ131="",AR131=""),"",IFERROR(AQ131-AR131,""))</f>
        <v/>
      </c>
      <c r="AT131" s="74">
        <f>IF(COUNT(K131:AO131)=0,"",MAX(K131:AO131))</f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>
        <f>IF(OR(AT131="",AU131=""),"NA",IFERROR(AT131-AU131,"NA"))</f>
        <v/>
      </c>
    </row>
    <row r="132" ht="14.25" customHeight="1">
      <c r="A132" s="64" t="n">
        <v>24035310</v>
      </c>
      <c r="B132" s="70" t="inlineStr">
        <is>
          <t>Chiscas</t>
        </is>
      </c>
      <c r="C132" s="70" t="inlineStr">
        <is>
          <t>Area Operativa 06 - Boyacá-Casanare-Vichada</t>
        </is>
      </c>
      <c r="D132" s="99" t="n">
        <v>-72.50472222</v>
      </c>
      <c r="E132" s="99" t="n">
        <v>6.549527778</v>
      </c>
      <c r="F132" s="64" t="n">
        <v>2350</v>
      </c>
      <c r="G132" s="62" t="n">
        <v>15</v>
      </c>
      <c r="H132" s="62" t="n">
        <v>15180</v>
      </c>
      <c r="I132" s="72" t="inlineStr">
        <is>
          <t>Boyacá</t>
        </is>
      </c>
      <c r="J132" s="72" t="inlineStr">
        <is>
          <t>Chiscas</t>
        </is>
      </c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7">
        <f>COUNTIF(K132:AO132,"&gt;0")</f>
        <v/>
      </c>
      <c r="AQ132" s="68">
        <f>IF(AP132&gt;14,AVERAGE(K132:AO132),"")</f>
        <v/>
      </c>
      <c r="AR132" s="68">
        <f>IFERROR(VLOOKUP(A132,Climatologia_TMAX!A:U,9+$E$2,FALSE),"")</f>
        <v/>
      </c>
      <c r="AS132" s="68">
        <f>IF(OR(AQ132="",AR132=""),"",IFERROR(AQ132-AR132,""))</f>
        <v/>
      </c>
      <c r="AT132" s="74">
        <f>IF(COUNT(K132:AO132)=0,"",MAX(K132:AO132))</f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>
        <f>IF(OR(AT132="",AU132=""),"NA",IFERROR(AT132-AU132,"NA"))</f>
        <v/>
      </c>
    </row>
    <row r="133" ht="14.25" customHeight="1">
      <c r="A133" s="64" t="n">
        <v>24035250</v>
      </c>
      <c r="B133" s="70" t="inlineStr">
        <is>
          <t>Chita  - AUT</t>
        </is>
      </c>
      <c r="C133" s="70" t="inlineStr">
        <is>
          <t>Area Operativa 06 - Boyacá-Casanare-Vichada</t>
        </is>
      </c>
      <c r="D133" s="99" t="n">
        <v>-72.46556</v>
      </c>
      <c r="E133" s="99" t="n">
        <v>6.18778</v>
      </c>
      <c r="F133" s="64" t="n">
        <v>2961</v>
      </c>
      <c r="G133" s="62" t="n">
        <v>15</v>
      </c>
      <c r="H133" s="62" t="n">
        <v>15183</v>
      </c>
      <c r="I133" s="72" t="inlineStr">
        <is>
          <t>Boyacá</t>
        </is>
      </c>
      <c r="J133" s="72" t="inlineStr">
        <is>
          <t>Chita</t>
        </is>
      </c>
      <c r="K133" s="66" t="n">
        <v/>
      </c>
      <c r="L133" s="66" t="n">
        <v>19.2</v>
      </c>
      <c r="M133" s="66" t="n">
        <v>19.6</v>
      </c>
      <c r="N133" s="66" t="n">
        <v/>
      </c>
      <c r="O133" s="66" t="n">
        <v>19</v>
      </c>
      <c r="P133" s="66" t="n">
        <v/>
      </c>
      <c r="Q133" s="66" t="n">
        <v>18.4</v>
      </c>
      <c r="R133" s="66" t="n">
        <v>17.8</v>
      </c>
      <c r="S133" s="66" t="n">
        <v>17.8</v>
      </c>
      <c r="T133" s="66" t="n">
        <v>19</v>
      </c>
      <c r="U133" s="66" t="n">
        <v>18.6</v>
      </c>
      <c r="V133" s="66" t="n">
        <v>20</v>
      </c>
      <c r="W133" s="66" t="n">
        <v>16.2</v>
      </c>
      <c r="X133" s="66" t="n">
        <v>18</v>
      </c>
      <c r="Y133" s="66" t="n">
        <v>18.4</v>
      </c>
      <c r="Z133" s="66" t="n">
        <v>17.4</v>
      </c>
      <c r="AA133" s="66" t="n">
        <v>19.4</v>
      </c>
      <c r="AB133" s="66" t="n">
        <v>16.6</v>
      </c>
      <c r="AC133" s="66" t="n">
        <v/>
      </c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7">
        <f>COUNTIF(K133:AO133,"&gt;0")</f>
        <v/>
      </c>
      <c r="AQ133" s="68">
        <f>IF(AP133&gt;14,AVERAGE(K133:AO133),"")</f>
        <v/>
      </c>
      <c r="AR133" s="68">
        <f>IFERROR(VLOOKUP(A133,Climatologia_TMAX!A:U,9+$E$2,FALSE),"")</f>
        <v/>
      </c>
      <c r="AS133" s="68">
        <f>IF(OR(AQ133="",AR133=""),"",IFERROR(AQ133-AR133,""))</f>
        <v/>
      </c>
      <c r="AT133" s="74">
        <f>IF(COUNT(K133:AO133)=0,"",MAX(K133:AO133))</f>
        <v/>
      </c>
      <c r="AU133" s="74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>
        <f>IF(OR(AT133="",AU133=""),"NA",IFERROR(AT133-AU133,"NA"))</f>
        <v/>
      </c>
    </row>
    <row r="134" ht="14.25" customHeight="1">
      <c r="A134" s="64" t="n">
        <v>24037020</v>
      </c>
      <c r="B134" s="70" t="inlineStr">
        <is>
          <t xml:space="preserve">La Copa </t>
        </is>
      </c>
      <c r="C134" s="70" t="inlineStr">
        <is>
          <t>Area Operativa 06 - Boyacá-Casanare-Vichada</t>
        </is>
      </c>
      <c r="D134" s="99" t="n">
        <v>-73.20877778000001</v>
      </c>
      <c r="E134" s="99" t="n">
        <v>5.579194444</v>
      </c>
      <c r="F134" s="64" t="n">
        <v>2700</v>
      </c>
      <c r="G134" s="62" t="n">
        <v>15</v>
      </c>
      <c r="H134" s="62" t="n">
        <v>15814</v>
      </c>
      <c r="I134" s="72" t="inlineStr">
        <is>
          <t>Boyacá</t>
        </is>
      </c>
      <c r="J134" s="72" t="inlineStr">
        <is>
          <t>Toca</t>
        </is>
      </c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7">
        <f>COUNTIF(K134:AO134,"&gt;0")</f>
        <v/>
      </c>
      <c r="AQ134" s="68">
        <f>IF(AP134&gt;14,AVERAGE(K134:AO134),"")</f>
        <v/>
      </c>
      <c r="AR134" s="68">
        <f>IFERROR(VLOOKUP(A134,Climatologia_TMAX!A:U,9+$E$2,FALSE),"")</f>
        <v/>
      </c>
      <c r="AS134" s="68">
        <f>IF(OR(AQ134="",AR134=""),"",IFERROR(AQ134-AR134,""))</f>
        <v/>
      </c>
      <c r="AT134" s="74">
        <f>IF(COUNT(K134:AO134)=0,"",MAX(K134:AO134))</f>
        <v/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>
        <f>IF(OR(AT134="",AU134=""),"NA",IFERROR(AT134-AU134,"NA"))</f>
        <v/>
      </c>
    </row>
    <row r="135" ht="14.25" customHeight="1">
      <c r="A135" s="64" t="n">
        <v>35195050</v>
      </c>
      <c r="B135" s="70" t="inlineStr">
        <is>
          <t>Corinto</t>
        </is>
      </c>
      <c r="C135" s="70" t="inlineStr">
        <is>
          <t>Area Operativa 06 - Boyacá-Casanare-Vichada</t>
        </is>
      </c>
      <c r="D135" s="99" t="n">
        <v>-72.71722222</v>
      </c>
      <c r="E135" s="99" t="n">
        <v>5.407277778</v>
      </c>
      <c r="F135" s="64" t="n">
        <v>1550</v>
      </c>
      <c r="G135" s="62" t="n">
        <v>15</v>
      </c>
      <c r="H135" s="62" t="n">
        <v>15518</v>
      </c>
      <c r="I135" s="72" t="inlineStr">
        <is>
          <t>Boyacá</t>
        </is>
      </c>
      <c r="J135" s="72" t="inlineStr">
        <is>
          <t>Pajarito</t>
        </is>
      </c>
      <c r="K135" s="66" t="n">
        <v>23</v>
      </c>
      <c r="L135" s="66" t="n">
        <v>23.6</v>
      </c>
      <c r="M135" s="66" t="n">
        <v>24.2</v>
      </c>
      <c r="N135" s="66" t="n">
        <v>23.4</v>
      </c>
      <c r="O135" s="66" t="n">
        <v>24.6</v>
      </c>
      <c r="P135" s="66" t="n">
        <v>23.8</v>
      </c>
      <c r="Q135" s="66" t="n">
        <v>24.2</v>
      </c>
      <c r="R135" s="66" t="n">
        <v>23.4</v>
      </c>
      <c r="S135" s="66" t="n">
        <v>22.4</v>
      </c>
      <c r="T135" s="66" t="n">
        <v>23.8</v>
      </c>
      <c r="U135" s="66" t="n">
        <v>24</v>
      </c>
      <c r="V135" s="66" t="n">
        <v>24.4</v>
      </c>
      <c r="W135" s="66" t="n">
        <v>23</v>
      </c>
      <c r="X135" s="66" t="n">
        <v>23.8</v>
      </c>
      <c r="Y135" s="66" t="n">
        <v>24</v>
      </c>
      <c r="Z135" s="66" t="n">
        <v>24.6</v>
      </c>
      <c r="AA135" s="66" t="n">
        <v>24</v>
      </c>
      <c r="AB135" s="66" t="n">
        <v>23.4</v>
      </c>
      <c r="AC135" s="66" t="n">
        <v>24</v>
      </c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7">
        <f>COUNTIF(K135:AO135,"&gt;0")</f>
        <v/>
      </c>
      <c r="AQ135" s="68">
        <f>IF(AP135&gt;14,AVERAGE(K135:AO135),"")</f>
        <v/>
      </c>
      <c r="AR135" s="68">
        <f>IFERROR(VLOOKUP(A135,Climatologia_TMAX!A:U,9+$E$2,FALSE),"")</f>
        <v/>
      </c>
      <c r="AS135" s="68">
        <f>IF(OR(AQ135="",AR135=""),"",IFERROR(AQ135-AR135,""))</f>
        <v/>
      </c>
      <c r="AT135" s="74">
        <f>IF(COUNT(K135:AO135)=0,"",MAX(K135:AO135))</f>
        <v/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>
        <f>IF(OR(AT135="",AU135=""),"NA",IFERROR(AT135-AU135,"NA"))</f>
        <v/>
      </c>
    </row>
    <row r="136" ht="14.25" customHeight="1">
      <c r="A136" s="64" t="n">
        <v>24030350</v>
      </c>
      <c r="B136" s="70" t="inlineStr">
        <is>
          <t>Duitama</t>
        </is>
      </c>
      <c r="C136" s="70" t="inlineStr">
        <is>
          <t>Area Operativa 06 - Boyacá-Casanare-Vichada</t>
        </is>
      </c>
      <c r="D136" s="99" t="n">
        <v>-73.04461111000001</v>
      </c>
      <c r="E136" s="99" t="n">
        <v>5.830083333</v>
      </c>
      <c r="F136" s="64" t="n">
        <v>2540</v>
      </c>
      <c r="G136" s="62" t="n">
        <v>15</v>
      </c>
      <c r="H136" s="62" t="n">
        <v>15238</v>
      </c>
      <c r="I136" s="72" t="inlineStr">
        <is>
          <t>Boyacá</t>
        </is>
      </c>
      <c r="J136" s="72" t="inlineStr">
        <is>
          <t>Duitama</t>
        </is>
      </c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7">
        <f>COUNTIF(K136:AO136,"&gt;0")</f>
        <v/>
      </c>
      <c r="AQ136" s="68">
        <f>IF(AP136&gt;14,AVERAGE(K136:AO136),"")</f>
        <v/>
      </c>
      <c r="AR136" s="68">
        <f>IFERROR(VLOOKUP(A136,Climatologia_TMAX!A:U,9+$E$2,FALSE),"")</f>
        <v/>
      </c>
      <c r="AS136" s="68">
        <f>IF(OR(AQ136="",AR136=""),"",IFERROR(AQ136-AR136,""))</f>
        <v/>
      </c>
      <c r="AT136" s="74">
        <f>IF(COUNT(K136:AO136)=0,"",MAX(K136:AO136))</f>
        <v/>
      </c>
      <c r="AU136" s="74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>
        <f>IF(OR(AT136="",AU136=""),"NA",IFERROR(AT136-AU136,"NA"))</f>
        <v/>
      </c>
    </row>
    <row r="137" ht="14.25" customHeight="1">
      <c r="A137" s="64" t="n">
        <v>24030260</v>
      </c>
      <c r="B137" s="70" t="inlineStr">
        <is>
          <t xml:space="preserve">El Cocuy </t>
        </is>
      </c>
      <c r="C137" s="70" t="inlineStr">
        <is>
          <t>Area Operativa 06 - Boyacá-Casanare-Vichada</t>
        </is>
      </c>
      <c r="D137" s="99" t="n">
        <v>-72.44544444</v>
      </c>
      <c r="E137" s="99" t="n">
        <v>6.408222222</v>
      </c>
      <c r="F137" s="64" t="n">
        <v>2749</v>
      </c>
      <c r="G137" s="62" t="n">
        <v>15</v>
      </c>
      <c r="H137" s="62" t="n">
        <v>15244</v>
      </c>
      <c r="I137" s="72" t="inlineStr">
        <is>
          <t>Boyacá</t>
        </is>
      </c>
      <c r="J137" s="72" t="inlineStr">
        <is>
          <t>El Cocuy</t>
        </is>
      </c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7">
        <f>COUNTIF(K137:AO137,"&gt;0")</f>
        <v/>
      </c>
      <c r="AQ137" s="68">
        <f>IF(AP137&gt;14,AVERAGE(K137:AO137),"")</f>
        <v/>
      </c>
      <c r="AR137" s="68">
        <f>IFERROR(VLOOKUP(A137,Climatologia_TMAX!A:U,9+$E$2,FALSE),"")</f>
        <v/>
      </c>
      <c r="AS137" s="68">
        <f>IF(OR(AQ137="",AR137=""),"",IFERROR(AQ137-AR137,""))</f>
        <v/>
      </c>
      <c r="AT137" s="74">
        <f>IF(COUNT(K137:AO137)=0,"",MAX(K137:AO137))</f>
        <v/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>
        <f>IF(OR(AT137="",AU137=""),"NA",IFERROR(AT137-AU137,"NA"))</f>
        <v/>
      </c>
    </row>
    <row r="138" ht="14.25" customHeight="1">
      <c r="A138" s="64" t="n">
        <v>24035070</v>
      </c>
      <c r="B138" s="70" t="inlineStr">
        <is>
          <t>Guican</t>
        </is>
      </c>
      <c r="C138" s="70" t="inlineStr">
        <is>
          <t>Area Operativa 06 - Boyacá-Casanare-Vichada</t>
        </is>
      </c>
      <c r="D138" s="99" t="n">
        <v>-72.40919443999999</v>
      </c>
      <c r="E138" s="99" t="n">
        <v>6.463472222</v>
      </c>
      <c r="F138" s="64" t="n">
        <v>2963</v>
      </c>
      <c r="G138" s="62" t="n">
        <v>15</v>
      </c>
      <c r="H138" s="62" t="n">
        <v>15332</v>
      </c>
      <c r="I138" s="72" t="inlineStr">
        <is>
          <t>Boyacá</t>
        </is>
      </c>
      <c r="J138" s="72" t="inlineStr">
        <is>
          <t>Güicán De La Sierra</t>
        </is>
      </c>
      <c r="K138" s="66" t="n">
        <v>21.9</v>
      </c>
      <c r="L138" s="66" t="n">
        <v>21</v>
      </c>
      <c r="M138" s="66" t="n">
        <v>22</v>
      </c>
      <c r="N138" s="66" t="n">
        <v>23</v>
      </c>
      <c r="O138" s="66" t="n">
        <v>22.4</v>
      </c>
      <c r="P138" s="66" t="n">
        <v>20.8</v>
      </c>
      <c r="Q138" s="66" t="n">
        <v>19.7</v>
      </c>
      <c r="R138" s="112" t="n">
        <v>23.6</v>
      </c>
      <c r="S138" s="66" t="n">
        <v>24</v>
      </c>
      <c r="T138" s="66" t="n">
        <v>23</v>
      </c>
      <c r="U138" s="66" t="n">
        <v>21.7</v>
      </c>
      <c r="V138" s="66" t="n">
        <v>24.8</v>
      </c>
      <c r="W138" s="66" t="n">
        <v>21.8</v>
      </c>
      <c r="X138" s="66" t="n">
        <v>23.8</v>
      </c>
      <c r="Y138" s="66" t="n">
        <v>23</v>
      </c>
      <c r="Z138" s="66" t="n">
        <v>22</v>
      </c>
      <c r="AA138" s="66" t="n">
        <v/>
      </c>
      <c r="AB138" s="66" t="n">
        <v>24</v>
      </c>
      <c r="AC138" s="66" t="n">
        <v>21.6</v>
      </c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7">
        <f>COUNTIF(K138:AO138,"&gt;0")</f>
        <v/>
      </c>
      <c r="AQ138" s="68">
        <f>IF(AP138&gt;14,AVERAGE(K138:AO138),"")</f>
        <v/>
      </c>
      <c r="AR138" s="68">
        <f>IFERROR(VLOOKUP(A138,Climatologia_TMAX!A:U,9+$E$2,FALSE),"")</f>
        <v/>
      </c>
      <c r="AS138" s="68">
        <f>IF(OR(AQ138="",AR138=""),"",IFERROR(AQ138-AR138,""))</f>
        <v/>
      </c>
      <c r="AT138" s="74">
        <f>IF(COUNT(K138:AO138)=0,"",MAX(K138:AO138))</f>
        <v/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/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8" s="69">
        <f>IF(OR(AT138="",AU138=""),"NA",IFERROR(AT138-AU138,"NA"))</f>
        <v/>
      </c>
    </row>
    <row r="139" ht="14.25" customHeight="1">
      <c r="A139" s="64" t="n">
        <v>35075040</v>
      </c>
      <c r="B139" s="70" t="inlineStr">
        <is>
          <t>Institucion Agricola Macanal</t>
        </is>
      </c>
      <c r="C139" s="70" t="inlineStr">
        <is>
          <t>Area Operativa 06 - Boyacá-Casanare-Vichada</t>
        </is>
      </c>
      <c r="D139" s="99" t="n">
        <v>-73.31675</v>
      </c>
      <c r="E139" s="99" t="n">
        <v>4.974361111</v>
      </c>
      <c r="F139" s="64" t="n">
        <v>1300</v>
      </c>
      <c r="G139" s="62" t="n">
        <v>15</v>
      </c>
      <c r="H139" s="62" t="n">
        <v>15425</v>
      </c>
      <c r="I139" s="72" t="inlineStr">
        <is>
          <t>Boyacá</t>
        </is>
      </c>
      <c r="J139" s="72" t="inlineStr">
        <is>
          <t>Macanal</t>
        </is>
      </c>
      <c r="K139" s="66" t="n">
        <v>23.2</v>
      </c>
      <c r="L139" s="66" t="n">
        <v>23.8</v>
      </c>
      <c r="M139" s="66" t="n">
        <v>21.6</v>
      </c>
      <c r="N139" s="66" t="n">
        <v>21.2</v>
      </c>
      <c r="O139" s="66" t="n">
        <v>23</v>
      </c>
      <c r="P139" s="66" t="n">
        <v>22.8</v>
      </c>
      <c r="Q139" s="66" t="n">
        <v>22.6</v>
      </c>
      <c r="R139" s="66" t="n">
        <v>20.6</v>
      </c>
      <c r="S139" s="66" t="n">
        <v>22.2</v>
      </c>
      <c r="T139" s="66" t="n">
        <v>20.4</v>
      </c>
      <c r="U139" s="66" t="n">
        <v>22.6</v>
      </c>
      <c r="V139" s="66" t="n">
        <v>22.8</v>
      </c>
      <c r="W139" s="66" t="n">
        <v>21.2</v>
      </c>
      <c r="X139" s="66" t="n">
        <v>24.2</v>
      </c>
      <c r="Y139" s="66" t="n">
        <v>22.4</v>
      </c>
      <c r="Z139" s="66" t="n">
        <v>22</v>
      </c>
      <c r="AA139" s="66" t="n">
        <v>22.8</v>
      </c>
      <c r="AB139" s="66" t="n">
        <v>21.8</v>
      </c>
      <c r="AC139" s="66" t="n">
        <v>21.4</v>
      </c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7">
        <f>COUNTIF(K139:AO139,"&gt;0")</f>
        <v/>
      </c>
      <c r="AQ139" s="68">
        <f>IF(AP139&gt;14,AVERAGE(K139:AO139),"")</f>
        <v/>
      </c>
      <c r="AR139" s="68">
        <f>IFERROR(VLOOKUP(A139,Climatologia_TMAX!A:U,9+$E$2,FALSE),"")</f>
        <v/>
      </c>
      <c r="AS139" s="68">
        <f>IF(OR(AQ139="",AR139=""),"",IFERROR(AQ139-AR139,""))</f>
        <v/>
      </c>
      <c r="AT139" s="74">
        <f>IF(COUNT(K139:AO139)=0,"",MAX(K139:AO139))</f>
        <v/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/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9" s="69">
        <f>IF(OR(AT139="",AU139=""),"NA",IFERROR(AT139-AU139,"NA"))</f>
        <v/>
      </c>
    </row>
    <row r="140" ht="14.25" customHeight="1">
      <c r="A140" s="64" t="n">
        <v>24015090</v>
      </c>
      <c r="B140" s="70" t="inlineStr">
        <is>
          <t>Institucion Agricola Santa Sofia</t>
        </is>
      </c>
      <c r="C140" s="70" t="inlineStr">
        <is>
          <t>Area Operativa 06 - Boyacá-Casanare-Vichada</t>
        </is>
      </c>
      <c r="D140" s="99" t="n">
        <v>-73.60227777999999</v>
      </c>
      <c r="E140" s="99" t="n">
        <v>5.710666667</v>
      </c>
      <c r="F140" s="64" t="n">
        <v>2300</v>
      </c>
      <c r="G140" s="62" t="n">
        <v>15</v>
      </c>
      <c r="H140" s="62" t="n">
        <v>15696</v>
      </c>
      <c r="I140" s="72" t="inlineStr">
        <is>
          <t>Boyacá</t>
        </is>
      </c>
      <c r="J140" s="72" t="inlineStr">
        <is>
          <t>Santa Sofía</t>
        </is>
      </c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7">
        <f>COUNTIF(K140:AO140,"&gt;0")</f>
        <v/>
      </c>
      <c r="AQ140" s="68">
        <f>IF(AP140&gt;14,AVERAGE(K140:AO140),"")</f>
        <v/>
      </c>
      <c r="AR140" s="68">
        <f>IFERROR(VLOOKUP(A140,Climatologia_TMAX!A:U,9+$E$2,FALSE),"")</f>
        <v/>
      </c>
      <c r="AS140" s="68">
        <f>IF(OR(AQ140="",AR140=""),"",IFERROR(AQ140-AR140,""))</f>
        <v/>
      </c>
      <c r="AT140" s="74">
        <f>IF(COUNT(K140:AO140)=0,"",MAX(K140:AO140))</f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/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0" s="69">
        <f>IF(OR(AT140="",AU140=""),"NA",IFERROR(AT140-AU140,"NA"))</f>
        <v/>
      </c>
    </row>
    <row r="141" ht="14.25" customHeight="1">
      <c r="A141" s="64" t="n">
        <v>24035040</v>
      </c>
      <c r="B141" s="70" t="inlineStr">
        <is>
          <t>La Copa</t>
        </is>
      </c>
      <c r="C141" s="70" t="inlineStr">
        <is>
          <t>Area Operativa 06 - Boyacá-Casanare-Vichada</t>
        </is>
      </c>
      <c r="D141" s="99" t="n">
        <v>-73.208777778</v>
      </c>
      <c r="E141" s="99" t="n">
        <v>5.579194444</v>
      </c>
      <c r="F141" s="64" t="n">
        <v>2700</v>
      </c>
      <c r="G141" s="62" t="n">
        <v>15</v>
      </c>
      <c r="H141" s="62" t="n">
        <v>15814</v>
      </c>
      <c r="I141" s="72" t="inlineStr">
        <is>
          <t>Boyacá</t>
        </is>
      </c>
      <c r="J141" s="72" t="inlineStr">
        <is>
          <t>Toca</t>
        </is>
      </c>
      <c r="K141" s="66" t="n">
        <v>18.6</v>
      </c>
      <c r="L141" s="66" t="n">
        <v>19</v>
      </c>
      <c r="M141" s="66" t="n">
        <v>18.6</v>
      </c>
      <c r="N141" s="66" t="n">
        <v>19.8</v>
      </c>
      <c r="O141" s="66" t="n">
        <v>17.6</v>
      </c>
      <c r="P141" s="66" t="n">
        <v>17.2</v>
      </c>
      <c r="Q141" s="66" t="n">
        <v>18.6</v>
      </c>
      <c r="R141" s="66" t="n">
        <v>19.6</v>
      </c>
      <c r="S141" s="66" t="n">
        <v>20.6</v>
      </c>
      <c r="T141" s="66" t="n">
        <v>19.8</v>
      </c>
      <c r="U141" s="66" t="n">
        <v>19.4</v>
      </c>
      <c r="V141" s="66" t="n">
        <v>20.4</v>
      </c>
      <c r="W141" s="66" t="n">
        <v>18.8</v>
      </c>
      <c r="X141" s="66" t="n">
        <v>19.6</v>
      </c>
      <c r="Y141" s="66" t="n">
        <v>20.8</v>
      </c>
      <c r="Z141" s="66" t="n">
        <v>20.2</v>
      </c>
      <c r="AA141" s="66" t="n">
        <v>20.4</v>
      </c>
      <c r="AB141" s="66" t="n">
        <v>20.8</v>
      </c>
      <c r="AC141" s="66" t="n">
        <v>17.4</v>
      </c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7">
        <f>COUNTIF(K141:AO141,"&gt;0")</f>
        <v/>
      </c>
      <c r="AQ141" s="68">
        <f>IF(AP141&gt;14,AVERAGE(K141:AO141),"")</f>
        <v/>
      </c>
      <c r="AR141" s="68">
        <f>IFERROR(VLOOKUP(A141,Climatologia_TMAX!A:U,9+$E$2,FALSE),"")</f>
        <v/>
      </c>
      <c r="AS141" s="68">
        <f>IF(OR(AQ141="",AR141=""),"",IFERROR(AQ141-AR141,""))</f>
        <v/>
      </c>
      <c r="AT141" s="74">
        <f>IF(COUNT(K141:AO141)=0,"",MAX(K141:AO141))</f>
        <v/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/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1" s="69">
        <f>IF(OR(AT141="",AU141=""),"NA",IFERROR(AT141-AU141,"NA"))</f>
        <v/>
      </c>
    </row>
    <row r="142" ht="14.25" customHeight="1">
      <c r="A142" s="64" t="n">
        <v>35075010</v>
      </c>
      <c r="B142" s="70" t="inlineStr">
        <is>
          <t>Nuevo Colon</t>
        </is>
      </c>
      <c r="C142" s="70" t="inlineStr">
        <is>
          <t>Area Operativa 06 - Boyacá-Casanare-Vichada</t>
        </is>
      </c>
      <c r="D142" s="99" t="n">
        <v>-73.45377778</v>
      </c>
      <c r="E142" s="99" t="n">
        <v>5.352694444</v>
      </c>
      <c r="F142" s="64" t="n">
        <v>2438</v>
      </c>
      <c r="G142" s="62" t="n">
        <v>15</v>
      </c>
      <c r="H142" s="62" t="n">
        <v>15494</v>
      </c>
      <c r="I142" s="72" t="inlineStr">
        <is>
          <t>Boyacá</t>
        </is>
      </c>
      <c r="J142" s="72" t="inlineStr">
        <is>
          <t>Nuevo Colón</t>
        </is>
      </c>
      <c r="K142" s="66" t="n">
        <v>19</v>
      </c>
      <c r="L142" s="66" t="n">
        <v>17.8</v>
      </c>
      <c r="M142" s="66" t="n">
        <v>17.4</v>
      </c>
      <c r="N142" s="66" t="n">
        <v>16.2</v>
      </c>
      <c r="O142" s="66" t="n">
        <v>17.6</v>
      </c>
      <c r="P142" s="66" t="n">
        <v>17.4</v>
      </c>
      <c r="Q142" s="66" t="n">
        <v>18.2</v>
      </c>
      <c r="R142" s="66" t="n">
        <v>16</v>
      </c>
      <c r="S142" s="66" t="n">
        <v>19.6</v>
      </c>
      <c r="T142" s="66" t="n">
        <v>17.6</v>
      </c>
      <c r="U142" s="66" t="n">
        <v>18.4</v>
      </c>
      <c r="V142" s="66" t="n">
        <v>20.4</v>
      </c>
      <c r="W142" s="66" t="n">
        <v>16</v>
      </c>
      <c r="X142" s="66" t="n">
        <v>20</v>
      </c>
      <c r="Y142" s="66" t="n">
        <v>20.2</v>
      </c>
      <c r="Z142" s="66" t="n">
        <v>19.2</v>
      </c>
      <c r="AA142" s="66" t="n">
        <v>19.2</v>
      </c>
      <c r="AB142" s="66" t="n">
        <v>18.4</v>
      </c>
      <c r="AC142" s="66" t="n">
        <v>17.4</v>
      </c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7">
        <f>COUNTIF(K142:AO142,"&gt;0")</f>
        <v/>
      </c>
      <c r="AQ142" s="68">
        <f>IF(AP142&gt;14,AVERAGE(K142:AO142),"")</f>
        <v/>
      </c>
      <c r="AR142" s="68">
        <f>IFERROR(VLOOKUP(A142,Climatologia_TMAX!A:U,9+$E$2,FALSE),"")</f>
        <v/>
      </c>
      <c r="AS142" s="68">
        <f>IF(OR(AQ142="",AR142=""),"",IFERROR(AQ142-AR142,""))</f>
        <v/>
      </c>
      <c r="AT142" s="74">
        <f>IF(COUNT(K142:AO142)=0,"",MAX(K142:AO142))</f>
        <v/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/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2" s="69">
        <f>IF(OR(AT142="",AU142=""),"NA",IFERROR(AT142-AU142,"NA"))</f>
        <v/>
      </c>
    </row>
    <row r="143" ht="14.25" customHeight="1">
      <c r="A143" s="64" t="n">
        <v>36015010</v>
      </c>
      <c r="B143" s="70" t="inlineStr">
        <is>
          <t>Paz De Ariporo</t>
        </is>
      </c>
      <c r="C143" s="70" t="inlineStr">
        <is>
          <t>Area Operativa 06 - Boyacá-Casanare-Vichada</t>
        </is>
      </c>
      <c r="D143" s="99" t="n">
        <v>-71.88719444</v>
      </c>
      <c r="E143" s="99" t="n">
        <v>5.878527778</v>
      </c>
      <c r="F143" s="64" t="n">
        <v>342</v>
      </c>
      <c r="G143" s="62" t="n">
        <v>85</v>
      </c>
      <c r="H143" s="62" t="n">
        <v>85250</v>
      </c>
      <c r="I143" s="72" t="inlineStr">
        <is>
          <t>Casanare</t>
        </is>
      </c>
      <c r="J143" s="72" t="inlineStr">
        <is>
          <t>Paz De Ariporo</t>
        </is>
      </c>
      <c r="K143" s="66" t="n">
        <v/>
      </c>
      <c r="L143" s="66" t="n">
        <v>34.2</v>
      </c>
      <c r="M143" s="66" t="n">
        <v>33.4</v>
      </c>
      <c r="N143" s="66" t="n">
        <v>34</v>
      </c>
      <c r="O143" s="66" t="n">
        <v>32.2</v>
      </c>
      <c r="P143" s="66" t="n">
        <v/>
      </c>
      <c r="Q143" s="66" t="n">
        <v>33</v>
      </c>
      <c r="R143" s="66" t="n">
        <v>32</v>
      </c>
      <c r="S143" s="66" t="n">
        <v>33</v>
      </c>
      <c r="T143" s="66" t="n">
        <v>29.4</v>
      </c>
      <c r="U143" s="66" t="n">
        <v>32</v>
      </c>
      <c r="V143" s="66" t="n">
        <v>33.2</v>
      </c>
      <c r="W143" s="66" t="n">
        <v/>
      </c>
      <c r="X143" s="66" t="n">
        <v>34</v>
      </c>
      <c r="Y143" s="66" t="n">
        <v>33.6</v>
      </c>
      <c r="Z143" s="66" t="n">
        <v>31</v>
      </c>
      <c r="AA143" s="66" t="n">
        <v>32</v>
      </c>
      <c r="AB143" s="66" t="n">
        <v>34</v>
      </c>
      <c r="AC143" s="66" t="n">
        <v/>
      </c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7">
        <f>COUNTIF(K143:AO143,"&gt;0")</f>
        <v/>
      </c>
      <c r="AQ143" s="68">
        <f>IF(AP143&gt;14,AVERAGE(K143:AO143),"")</f>
        <v/>
      </c>
      <c r="AR143" s="68">
        <f>IFERROR(VLOOKUP(A143,Climatologia_TMAX!A:U,9+$E$2,FALSE),"")</f>
        <v/>
      </c>
      <c r="AS143" s="68">
        <f>IF(OR(AQ143="",AR143=""),"",IFERROR(AQ143-AR143,""))</f>
        <v/>
      </c>
      <c r="AT143" s="74">
        <f>IF(COUNT(K143:AO143)=0,"",MAX(K143:AO143))</f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/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3" s="69">
        <f>IF(OR(AT143="",AU143=""),"NA",IFERROR(AT143-AU143,"NA"))</f>
        <v/>
      </c>
    </row>
    <row r="144" ht="14.25" customHeight="1">
      <c r="A144" s="64" t="n">
        <v>35085020</v>
      </c>
      <c r="B144" s="70" t="inlineStr">
        <is>
          <t>Rondon</t>
        </is>
      </c>
      <c r="C144" s="70" t="inlineStr">
        <is>
          <t>Area Operativa 06 - Boyacá-Casanare-Vichada</t>
        </is>
      </c>
      <c r="D144" s="99" t="n">
        <v>-73.20361111</v>
      </c>
      <c r="E144" s="99" t="n">
        <v>5.358416667</v>
      </c>
      <c r="F144" s="64" t="n">
        <v>2120</v>
      </c>
      <c r="G144" s="62" t="n">
        <v>15</v>
      </c>
      <c r="H144" s="62" t="n">
        <v>15621</v>
      </c>
      <c r="I144" s="72" t="inlineStr">
        <is>
          <t>Boyacá</t>
        </is>
      </c>
      <c r="J144" s="72" t="inlineStr">
        <is>
          <t>Rondón</t>
        </is>
      </c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7">
        <f>COUNTIF(K144:AO144,"&gt;0")</f>
        <v/>
      </c>
      <c r="AQ144" s="68">
        <f>IF(AP144&gt;14,AVERAGE(K144:AO144),"")</f>
        <v/>
      </c>
      <c r="AR144" s="68">
        <f>IFERROR(VLOOKUP(A144,Climatologia_TMAX!A:U,9+$E$2,FALSE),"")</f>
        <v/>
      </c>
      <c r="AS144" s="68">
        <f>IF(OR(AQ144="",AR144=""),"",IFERROR(AQ144-AR144,""))</f>
        <v/>
      </c>
      <c r="AT144" s="74">
        <f>IF(COUNT(K144:AO144)=0,"",MAX(K144:AO144))</f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/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4" s="69">
        <f>IF(OR(AT144="",AU144=""),"NA",IFERROR(AT144-AU144,"NA"))</f>
        <v/>
      </c>
    </row>
    <row r="145" ht="14.25" customHeight="1">
      <c r="A145" s="64" t="n">
        <v>24015360</v>
      </c>
      <c r="B145" s="70" t="inlineStr">
        <is>
          <t>Saboya La Granja</t>
        </is>
      </c>
      <c r="C145" s="70" t="inlineStr">
        <is>
          <t>Area Operativa 06 - Boyacá-Casanare-Vichada</t>
        </is>
      </c>
      <c r="D145" s="99" t="n">
        <v>-73.759</v>
      </c>
      <c r="E145" s="99" t="n">
        <v>5.696222222</v>
      </c>
      <c r="F145" s="64" t="n">
        <v>2550</v>
      </c>
      <c r="G145" s="62" t="n">
        <v>15</v>
      </c>
      <c r="H145" s="62" t="n">
        <v>15632</v>
      </c>
      <c r="I145" s="72" t="inlineStr">
        <is>
          <t>Boyacá</t>
        </is>
      </c>
      <c r="J145" s="72" t="inlineStr">
        <is>
          <t>Saboyá</t>
        </is>
      </c>
      <c r="K145" s="66" t="n">
        <v>22.4</v>
      </c>
      <c r="L145" s="66" t="n">
        <v>22.2</v>
      </c>
      <c r="M145" s="66" t="n">
        <v>23.2</v>
      </c>
      <c r="N145" s="66" t="n">
        <v>22.2</v>
      </c>
      <c r="O145" s="66" t="n">
        <v>22.2</v>
      </c>
      <c r="P145" s="66" t="n">
        <v>21.4</v>
      </c>
      <c r="Q145" s="66" t="n">
        <v>23</v>
      </c>
      <c r="R145" s="66" t="n">
        <v>23.4</v>
      </c>
      <c r="S145" s="66" t="n">
        <v>24.4</v>
      </c>
      <c r="T145" s="66" t="n">
        <v>24.2</v>
      </c>
      <c r="U145" s="66" t="n">
        <v>23.2</v>
      </c>
      <c r="V145" s="66" t="n">
        <v>22.4</v>
      </c>
      <c r="W145" s="66" t="n">
        <v>21.4</v>
      </c>
      <c r="X145" s="66" t="n">
        <v>24.4</v>
      </c>
      <c r="Y145" s="66" t="n">
        <v>24.2</v>
      </c>
      <c r="Z145" s="66" t="n">
        <v>23.2</v>
      </c>
      <c r="AA145" s="66" t="n">
        <v>25</v>
      </c>
      <c r="AB145" s="66" t="n">
        <v>23.4</v>
      </c>
      <c r="AC145" s="66" t="n">
        <v>21.2</v>
      </c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7">
        <f>COUNTIF(K145:AO145,"&gt;0")</f>
        <v/>
      </c>
      <c r="AQ145" s="68">
        <f>IF(AP145&gt;14,AVERAGE(K145:AO145),"")</f>
        <v/>
      </c>
      <c r="AR145" s="68">
        <f>IFERROR(VLOOKUP(A145,Climatologia_TMAX!A:U,9+$E$2,FALSE),"")</f>
        <v/>
      </c>
      <c r="AS145" s="68">
        <f>IF(OR(AQ145="",AR145=""),"",IFERROR(AQ145-AR145,""))</f>
        <v/>
      </c>
      <c r="AT145" s="74">
        <f>IF(COUNT(K145:AO145)=0,"",MAX(K145:AO145))</f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/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5" s="69">
        <f>IF(OR(AT145="",AU145=""),"NA",IFERROR(AT145-AU145,"NA"))</f>
        <v/>
      </c>
    </row>
    <row r="146" ht="14.25" customHeight="1">
      <c r="A146" s="64" t="n">
        <v>24035120</v>
      </c>
      <c r="B146" s="70" t="inlineStr">
        <is>
          <t>Surbata Bonza</t>
        </is>
      </c>
      <c r="C146" s="70" t="inlineStr">
        <is>
          <t>Area Operativa 06 - Boyacá-Casanare-Vichada</t>
        </is>
      </c>
      <c r="D146" s="99" t="n">
        <v>-73.07447222</v>
      </c>
      <c r="E146" s="99" t="n">
        <v>5.802444444</v>
      </c>
      <c r="F146" s="64" t="n">
        <v>2485</v>
      </c>
      <c r="G146" s="62" t="n">
        <v>15</v>
      </c>
      <c r="H146" s="62" t="n">
        <v>15238</v>
      </c>
      <c r="I146" s="72" t="inlineStr">
        <is>
          <t>Boyacá</t>
        </is>
      </c>
      <c r="J146" s="72" t="inlineStr">
        <is>
          <t>Duitama</t>
        </is>
      </c>
      <c r="K146" s="66" t="n">
        <v>20.6</v>
      </c>
      <c r="L146" s="66" t="n">
        <v>21.4</v>
      </c>
      <c r="M146" s="66" t="n">
        <v>21.6</v>
      </c>
      <c r="N146" s="66" t="n">
        <v>21.8</v>
      </c>
      <c r="O146" s="66" t="n">
        <v>21</v>
      </c>
      <c r="P146" s="66" t="n">
        <v>20.6</v>
      </c>
      <c r="Q146" s="66" t="n">
        <v>20.8</v>
      </c>
      <c r="R146" s="66" t="n">
        <v>22.6</v>
      </c>
      <c r="S146" s="66" t="n">
        <v>23</v>
      </c>
      <c r="T146" s="66" t="n">
        <v>22.8</v>
      </c>
      <c r="U146" s="66" t="n">
        <v>21.6</v>
      </c>
      <c r="V146" s="66" t="n">
        <v>24</v>
      </c>
      <c r="W146" s="66" t="n">
        <v>20.6</v>
      </c>
      <c r="X146" s="66" t="n">
        <v>22.4</v>
      </c>
      <c r="Y146" s="66" t="n">
        <v>23</v>
      </c>
      <c r="Z146" s="66" t="n">
        <v>21.8</v>
      </c>
      <c r="AA146" s="66" t="n">
        <v>21.6</v>
      </c>
      <c r="AB146" s="66" t="n">
        <v>21.2</v>
      </c>
      <c r="AC146" s="66" t="n">
        <v>20.6</v>
      </c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7">
        <f>COUNTIF(K146:AO146,"&gt;0")</f>
        <v/>
      </c>
      <c r="AQ146" s="68">
        <f>IF(AP146&gt;14,AVERAGE(K146:AO146),"")</f>
        <v/>
      </c>
      <c r="AR146" s="68">
        <f>IFERROR(VLOOKUP(A146,Climatologia_TMAX!A:U,9+$E$2,FALSE),"")</f>
        <v/>
      </c>
      <c r="AS146" s="68">
        <f>IF(OR(AQ146="",AR146=""),"",IFERROR(AQ146-AR146,""))</f>
        <v/>
      </c>
      <c r="AT146" s="74">
        <f>IF(COUNT(K146:AO146)=0,"",MAX(K146:AO146))</f>
        <v/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/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6" s="69">
        <f>IF(OR(AT146="",AU146=""),"NA",IFERROR(AT146-AU146,"NA"))</f>
        <v/>
      </c>
    </row>
    <row r="147" ht="14.25" customHeight="1">
      <c r="A147" s="64" t="n">
        <v>35075020</v>
      </c>
      <c r="B147" s="70" t="inlineStr">
        <is>
          <t>Sutatenza</t>
        </is>
      </c>
      <c r="C147" s="70" t="inlineStr">
        <is>
          <t>Area Operativa 06 - Boyacá-Casanare-Vichada</t>
        </is>
      </c>
      <c r="D147" s="99" t="n">
        <v>-73.44916667</v>
      </c>
      <c r="E147" s="99" t="n">
        <v>5.022277778</v>
      </c>
      <c r="F147" s="64" t="n">
        <v>1930</v>
      </c>
      <c r="G147" s="62" t="n">
        <v>15</v>
      </c>
      <c r="H147" s="62" t="n">
        <v>15778</v>
      </c>
      <c r="I147" s="72" t="inlineStr">
        <is>
          <t>Boyacá</t>
        </is>
      </c>
      <c r="J147" s="72" t="inlineStr">
        <is>
          <t>Sutatenza</t>
        </is>
      </c>
      <c r="K147" s="66" t="n">
        <v>23.8</v>
      </c>
      <c r="L147" s="66" t="n">
        <v>22</v>
      </c>
      <c r="M147" s="66" t="n">
        <v>21</v>
      </c>
      <c r="N147" s="66" t="n">
        <v>21.6</v>
      </c>
      <c r="O147" s="66" t="n">
        <v>23.6</v>
      </c>
      <c r="P147" s="66" t="n">
        <v/>
      </c>
      <c r="Q147" s="66" t="n">
        <v>21.6</v>
      </c>
      <c r="R147" s="66" t="n">
        <v>21</v>
      </c>
      <c r="S147" s="66" t="n">
        <v>23</v>
      </c>
      <c r="T147" s="66" t="n">
        <v>20.4</v>
      </c>
      <c r="U147" s="66" t="n">
        <v>22.6</v>
      </c>
      <c r="V147" s="66" t="n">
        <v>24.6</v>
      </c>
      <c r="W147" s="66" t="n">
        <v>20.2</v>
      </c>
      <c r="X147" s="66" t="n">
        <v>24.2</v>
      </c>
      <c r="Y147" s="66" t="n">
        <v>22.8</v>
      </c>
      <c r="Z147" s="66" t="n">
        <v>22.6</v>
      </c>
      <c r="AA147" s="66" t="n">
        <v>22.8</v>
      </c>
      <c r="AB147" s="66" t="n">
        <v>21</v>
      </c>
      <c r="AC147" s="66" t="n">
        <v>20.8</v>
      </c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7">
        <f>COUNTIF(K147:AO147,"&gt;0")</f>
        <v/>
      </c>
      <c r="AQ147" s="68">
        <f>IF(AP147&gt;14,AVERAGE(K147:AO147),"")</f>
        <v/>
      </c>
      <c r="AR147" s="68">
        <f>IFERROR(VLOOKUP(A147,Climatologia_TMAX!A:U,9+$E$2,FALSE),"")</f>
        <v/>
      </c>
      <c r="AS147" s="68">
        <f>IF(OR(AQ147="",AR147=""),"",IFERROR(AQ147-AR147,""))</f>
        <v/>
      </c>
      <c r="AT147" s="74">
        <f>IF(COUNT(K147:AO147)=0,"",MAX(K147:AO147))</f>
        <v/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/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7" s="69">
        <f>IF(OR(AT147="",AU147=""),"NA",IFERROR(AT147-AU147,"NA"))</f>
        <v/>
      </c>
    </row>
    <row r="148" ht="14.25" customHeight="1">
      <c r="A148" s="64" t="n">
        <v>35235050</v>
      </c>
      <c r="B148" s="70" t="inlineStr">
        <is>
          <t>Tamara - AUT</t>
        </is>
      </c>
      <c r="C148" s="70" t="inlineStr">
        <is>
          <t>Area Operativa 06 - Boyacá-Casanare-Vichada</t>
        </is>
      </c>
      <c r="D148" s="99" t="n">
        <v>-72.16677778</v>
      </c>
      <c r="E148" s="99" t="n">
        <v>5.818583333</v>
      </c>
      <c r="F148" s="64" t="n">
        <v>117</v>
      </c>
      <c r="G148" s="62" t="n">
        <v>85</v>
      </c>
      <c r="H148" s="62" t="n">
        <v>85400</v>
      </c>
      <c r="I148" s="72" t="inlineStr">
        <is>
          <t>Casanare</t>
        </is>
      </c>
      <c r="J148" s="72" t="inlineStr">
        <is>
          <t>Támara</t>
        </is>
      </c>
      <c r="K148" s="66" t="n">
        <v>27.4</v>
      </c>
      <c r="L148" s="66" t="n">
        <v>27.6</v>
      </c>
      <c r="M148" s="66" t="n">
        <v>28.2</v>
      </c>
      <c r="N148" s="66" t="n">
        <v>27.2</v>
      </c>
      <c r="O148" s="66" t="n">
        <v>26.2</v>
      </c>
      <c r="P148" s="66" t="n">
        <v>26.2</v>
      </c>
      <c r="Q148" s="66" t="n">
        <v>27.6</v>
      </c>
      <c r="R148" s="66" t="n">
        <v>25.2</v>
      </c>
      <c r="S148" s="66" t="n">
        <v>26.2</v>
      </c>
      <c r="T148" s="66" t="n">
        <v/>
      </c>
      <c r="U148" s="66" t="n">
        <v>27.2</v>
      </c>
      <c r="V148" s="66" t="n">
        <v>26.4</v>
      </c>
      <c r="W148" s="66" t="n">
        <v>27.2</v>
      </c>
      <c r="X148" s="66" t="n">
        <v>27.2</v>
      </c>
      <c r="Y148" s="66" t="n">
        <v/>
      </c>
      <c r="Z148" s="66" t="n">
        <v/>
      </c>
      <c r="AA148" s="66" t="n">
        <v/>
      </c>
      <c r="AB148" s="66" t="n">
        <v/>
      </c>
      <c r="AC148" s="66" t="n">
        <v>26.4</v>
      </c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7">
        <f>COUNTIF(K148:AO148,"&gt;0")</f>
        <v/>
      </c>
      <c r="AQ148" s="68">
        <f>IF(AP148&gt;14,AVERAGE(K148:AO148),"")</f>
        <v/>
      </c>
      <c r="AR148" s="68">
        <f>IFERROR(VLOOKUP(A148,Climatologia_TMAX!A:U,9+$E$2,FALSE),"")</f>
        <v/>
      </c>
      <c r="AS148" s="68">
        <f>IF(OR(AQ148="",AR148=""),"",IFERROR(AQ148-AR148,""))</f>
        <v/>
      </c>
      <c r="AT148" s="74">
        <f>IF(COUNT(K148:AO148)=0,"",MAX(K148:AO148))</f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/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8" s="69">
        <f>IF(OR(AT148="",AU148=""),"NA",IFERROR(AT148-AU148,"NA"))</f>
        <v/>
      </c>
    </row>
    <row r="149" ht="14.25" customHeight="1">
      <c r="A149" s="64" t="n">
        <v>36025010</v>
      </c>
      <c r="B149" s="70" t="inlineStr">
        <is>
          <t>Tame</t>
        </is>
      </c>
      <c r="C149" s="70" t="inlineStr">
        <is>
          <t>Area Operativa 06 - Boyacá-Casanare-Vichada</t>
        </is>
      </c>
      <c r="D149" s="99" t="n">
        <v>-71.74502778</v>
      </c>
      <c r="E149" s="99" t="n">
        <v>6.456194444</v>
      </c>
      <c r="F149" s="64" t="n">
        <v>350</v>
      </c>
      <c r="G149" s="62" t="n">
        <v>81</v>
      </c>
      <c r="H149" s="62" t="n">
        <v>81794</v>
      </c>
      <c r="I149" s="72" t="inlineStr">
        <is>
          <t>Arauca</t>
        </is>
      </c>
      <c r="J149" s="72" t="inlineStr">
        <is>
          <t>Tame</t>
        </is>
      </c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7">
        <f>COUNTIF(K149:AO149,"&gt;0")</f>
        <v/>
      </c>
      <c r="AQ149" s="68">
        <f>IF(AP149&gt;14,AVERAGE(K149:AO149),"")</f>
        <v/>
      </c>
      <c r="AR149" s="68">
        <f>IFERROR(VLOOKUP(A149,Climatologia_TMAX!A:U,9+$E$2,FALSE),"")</f>
        <v/>
      </c>
      <c r="AS149" s="68">
        <f>IF(OR(AQ149="",AR149=""),"",IFERROR(AQ149-AR149,""))</f>
        <v/>
      </c>
      <c r="AT149" s="74">
        <f>IF(COUNT(K149:AO149)=0,"",MAX(K149:AO149))</f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/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49" s="69">
        <f>IF(OR(AT149="",AU149=""),"NA",IFERROR(AT149-AU149,"NA"))</f>
        <v/>
      </c>
    </row>
    <row r="150" ht="14.25" customHeight="1">
      <c r="A150" s="64" t="n">
        <v>35195020</v>
      </c>
      <c r="B150" s="70" t="inlineStr">
        <is>
          <t>Tauramena</t>
        </is>
      </c>
      <c r="C150" s="70" t="inlineStr">
        <is>
          <t>Area Operativa 06 - Boyacá-Casanare-Vichada</t>
        </is>
      </c>
      <c r="D150" s="99" t="n">
        <v>-72.869841667</v>
      </c>
      <c r="E150" s="99" t="n">
        <v>5.027257778</v>
      </c>
      <c r="F150" s="64" t="n">
        <v>460</v>
      </c>
      <c r="G150" s="62" t="n">
        <v>85</v>
      </c>
      <c r="H150" s="62" t="n">
        <v>85410</v>
      </c>
      <c r="I150" s="72" t="inlineStr">
        <is>
          <t>Casanare</t>
        </is>
      </c>
      <c r="J150" s="72" t="inlineStr">
        <is>
          <t>Tauramena</t>
        </is>
      </c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7">
        <f>COUNTIF(K150:AO150,"&gt;0")</f>
        <v/>
      </c>
      <c r="AQ150" s="68">
        <f>IF(AP150&gt;14,AVERAGE(K150:AO150),"")</f>
        <v/>
      </c>
      <c r="AR150" s="68">
        <f>IFERROR(VLOOKUP(A150,Climatologia_TMAX!A:U,9+$E$2,FALSE),"")</f>
        <v/>
      </c>
      <c r="AS150" s="68">
        <f>IF(OR(AQ150="",AR150=""),"",IFERROR(AQ150-AR150,""))</f>
        <v/>
      </c>
      <c r="AT150" s="74">
        <f>IF(COUNT(K150:AO150)=0,"",MAX(K150:AO150))</f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>
        <f>IF(OR(AT150="",AU150=""),"NA",IFERROR(AT150-AU150,"NA"))</f>
        <v/>
      </c>
    </row>
    <row r="151" ht="14.25" customHeight="1">
      <c r="A151" s="64" t="n">
        <v>35235040</v>
      </c>
      <c r="B151" s="70" t="inlineStr">
        <is>
          <t>Trinidad - AUT</t>
        </is>
      </c>
      <c r="C151" s="70" t="inlineStr">
        <is>
          <t>Area Operativa 06 - Boyacá-Casanare-Vichada</t>
        </is>
      </c>
      <c r="D151" s="99" t="n">
        <v>-71.66616667</v>
      </c>
      <c r="E151" s="99" t="n">
        <v>5.419027778</v>
      </c>
      <c r="F151" s="64" t="n">
        <v>265</v>
      </c>
      <c r="G151" s="62" t="n">
        <v>85</v>
      </c>
      <c r="H151" s="62" t="n">
        <v>85430</v>
      </c>
      <c r="I151" s="72" t="inlineStr">
        <is>
          <t>Casanare</t>
        </is>
      </c>
      <c r="J151" s="72" t="inlineStr">
        <is>
          <t>Trinidad</t>
        </is>
      </c>
      <c r="K151" s="66" t="n">
        <v>35.2</v>
      </c>
      <c r="L151" s="66" t="n">
        <v/>
      </c>
      <c r="M151" s="66" t="n">
        <v/>
      </c>
      <c r="N151" s="66" t="n">
        <v/>
      </c>
      <c r="O151" s="66" t="n">
        <v>35</v>
      </c>
      <c r="P151" s="66" t="n">
        <v>34</v>
      </c>
      <c r="Q151" s="66" t="n">
        <v>34.6</v>
      </c>
      <c r="R151" s="66" t="n">
        <v>34</v>
      </c>
      <c r="S151" s="66" t="n">
        <v>34.8</v>
      </c>
      <c r="T151" s="66" t="n">
        <v>33</v>
      </c>
      <c r="U151" s="66" t="n">
        <v>34.4</v>
      </c>
      <c r="V151" s="66" t="n">
        <v>34.6</v>
      </c>
      <c r="W151" s="66" t="n">
        <v>34</v>
      </c>
      <c r="X151" s="66" t="n">
        <v>34</v>
      </c>
      <c r="Y151" s="66" t="n">
        <v>35</v>
      </c>
      <c r="Z151" s="66" t="n">
        <v>34.8</v>
      </c>
      <c r="AA151" s="66" t="n">
        <v>35.2</v>
      </c>
      <c r="AB151" s="66" t="n">
        <v>35</v>
      </c>
      <c r="AC151" s="66" t="n">
        <v>32.8</v>
      </c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7">
        <f>COUNTIF(K151:AO151,"&gt;0")</f>
        <v/>
      </c>
      <c r="AQ151" s="68">
        <f>IF(AP151&gt;14,AVERAGE(K151:AO151),"")</f>
        <v/>
      </c>
      <c r="AR151" s="68">
        <f>IFERROR(VLOOKUP(A151,Climatologia_TMAX!A:U,9+$E$2,FALSE),"")</f>
        <v/>
      </c>
      <c r="AS151" s="68">
        <f>IF(OR(AQ151="",AR151=""),"",IFERROR(AQ151-AR151,""))</f>
        <v/>
      </c>
      <c r="AT151" s="74">
        <f>IF(COUNT(K151:AO151)=0,"",MAX(K151:AO151))</f>
        <v/>
      </c>
      <c r="AU151" s="74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>
        <f>IF(OR(AT151="",AU151=""),"NA",IFERROR(AT151-AU151,"NA"))</f>
        <v/>
      </c>
    </row>
    <row r="152" ht="14.25" customHeight="1">
      <c r="A152" s="64" t="n">
        <v>24035430</v>
      </c>
      <c r="B152" s="70" t="inlineStr">
        <is>
          <t>Tunguavita - AUT</t>
        </is>
      </c>
      <c r="C152" s="70" t="inlineStr">
        <is>
          <t>Area Operativa 06 - Boyacá-Casanare-Vichada</t>
        </is>
      </c>
      <c r="D152" s="99" t="n">
        <v>-73.11636</v>
      </c>
      <c r="E152" s="99" t="n">
        <v>5.74583</v>
      </c>
      <c r="F152" s="64" t="n">
        <v>2521</v>
      </c>
      <c r="G152" s="62" t="n">
        <v>15</v>
      </c>
      <c r="H152" s="62" t="n">
        <v>15516</v>
      </c>
      <c r="I152" s="72" t="inlineStr">
        <is>
          <t>Boyacá</t>
        </is>
      </c>
      <c r="J152" s="72" t="inlineStr">
        <is>
          <t>Paipa</t>
        </is>
      </c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7">
        <f>COUNTIF(K152:AO152,"&gt;0")</f>
        <v/>
      </c>
      <c r="AQ152" s="68">
        <f>IF(AP152&gt;14,AVERAGE(K152:AO152),"")</f>
        <v/>
      </c>
      <c r="AR152" s="68">
        <f>IFERROR(VLOOKUP(A152,Climatologia_TMAX!A:U,9+$E$2,FALSE),"")</f>
        <v/>
      </c>
      <c r="AS152" s="68">
        <f>IF(OR(AQ152="",AR152=""),"",IFERROR(AQ152-AR152,""))</f>
        <v/>
      </c>
      <c r="AT152" s="74">
        <f>IF(COUNT(K152:AO152)=0,"",MAX(K152:AO152))</f>
        <v/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>
        <f>IF(OR(AT152="",AU152=""),"NA",IFERROR(AT152-AU152,"NA"))</f>
        <v/>
      </c>
    </row>
    <row r="153" ht="14.25" customHeight="1">
      <c r="A153" s="64" t="n">
        <v>24035130</v>
      </c>
      <c r="B153" s="70" t="inlineStr">
        <is>
          <t>U P T C</t>
        </is>
      </c>
      <c r="C153" s="70" t="inlineStr">
        <is>
          <t>Area Operativa 06 - Boyacá-Casanare-Vichada</t>
        </is>
      </c>
      <c r="D153" s="99" t="n">
        <v>-73.36081306</v>
      </c>
      <c r="E153" s="99" t="n">
        <v>5.5430775</v>
      </c>
      <c r="F153" s="64" t="n">
        <v>2690</v>
      </c>
      <c r="G153" s="62" t="n">
        <v>15</v>
      </c>
      <c r="H153" s="62" t="n">
        <v>15001</v>
      </c>
      <c r="I153" s="72" t="inlineStr">
        <is>
          <t>Boyacá</t>
        </is>
      </c>
      <c r="J153" s="72" t="inlineStr">
        <is>
          <t>Tunja</t>
        </is>
      </c>
      <c r="K153" s="66" t="n">
        <v>19.2</v>
      </c>
      <c r="L153" s="66" t="n">
        <v>19.6</v>
      </c>
      <c r="M153" s="66" t="n">
        <v>19.2</v>
      </c>
      <c r="N153" s="66" t="n">
        <v>20.8</v>
      </c>
      <c r="O153" s="66" t="n">
        <v>19.6</v>
      </c>
      <c r="P153" s="66" t="n">
        <v>20.6</v>
      </c>
      <c r="Q153" s="66" t="n">
        <v>19.8</v>
      </c>
      <c r="R153" s="66" t="n">
        <v>20.6</v>
      </c>
      <c r="S153" s="66" t="n">
        <v>21.8</v>
      </c>
      <c r="T153" s="109" t="n">
        <v>22</v>
      </c>
      <c r="U153" s="66" t="n">
        <v>21</v>
      </c>
      <c r="V153" s="66" t="n">
        <v>23</v>
      </c>
      <c r="W153" s="66" t="n">
        <v>20</v>
      </c>
      <c r="X153" s="66" t="n">
        <v>21.8</v>
      </c>
      <c r="Y153" s="66" t="n">
        <v>21.2</v>
      </c>
      <c r="Z153" s="66" t="n">
        <v>20.8</v>
      </c>
      <c r="AA153" s="66" t="n">
        <v>20.6</v>
      </c>
      <c r="AB153" s="66" t="n">
        <v>21.2</v>
      </c>
      <c r="AC153" s="66" t="n">
        <v>19.2</v>
      </c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7">
        <f>COUNTIF(K153:AO153,"&gt;0")</f>
        <v/>
      </c>
      <c r="AQ153" s="68">
        <f>IF(AP153&gt;14,AVERAGE(K153:AO153),"")</f>
        <v/>
      </c>
      <c r="AR153" s="68">
        <f>IFERROR(VLOOKUP(A153,Climatologia_TMAX!A:U,9+$E$2,FALSE),"")</f>
        <v/>
      </c>
      <c r="AS153" s="68">
        <f>IF(OR(AQ153="",AR153=""),"",IFERROR(AQ153-AR153,""))</f>
        <v/>
      </c>
      <c r="AT153" s="74">
        <f>IF(COUNT(K153:AO153)=0,"",MAX(K153:AO153))</f>
        <v/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/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3" s="69">
        <f>IF(OR(AT153="",AU153=""),"NA",IFERROR(AT153-AU153,"NA"))</f>
        <v/>
      </c>
    </row>
    <row r="154" ht="14.25" customHeight="1">
      <c r="A154" s="64" t="n">
        <v>24015220</v>
      </c>
      <c r="B154" s="70" t="inlineStr">
        <is>
          <t>Villa Carmen</t>
        </is>
      </c>
      <c r="C154" s="70" t="inlineStr">
        <is>
          <t>Area Operativa 06 - Boyacá-Casanare-Vichada</t>
        </is>
      </c>
      <c r="D154" s="99" t="n">
        <v>-73.49577778</v>
      </c>
      <c r="E154" s="99" t="n">
        <v>5.509388889</v>
      </c>
      <c r="F154" s="64" t="n">
        <v>2600</v>
      </c>
      <c r="G154" s="62" t="n">
        <v>15</v>
      </c>
      <c r="H154" s="62" t="n">
        <v>15646</v>
      </c>
      <c r="I154" s="72" t="inlineStr">
        <is>
          <t>Boyacá</t>
        </is>
      </c>
      <c r="J154" s="72" t="inlineStr">
        <is>
          <t>Samacá</t>
        </is>
      </c>
      <c r="K154" s="66" t="n">
        <v>19.6</v>
      </c>
      <c r="L154" s="66" t="n">
        <v>18.2</v>
      </c>
      <c r="M154" s="66" t="n">
        <v>16.8</v>
      </c>
      <c r="N154" s="66" t="n">
        <v>18.4</v>
      </c>
      <c r="O154" s="66" t="n">
        <v>16.8</v>
      </c>
      <c r="P154" s="66" t="n">
        <v>17.8</v>
      </c>
      <c r="Q154" s="66" t="n">
        <v>17.8</v>
      </c>
      <c r="R154" s="66" t="n">
        <v>18.4</v>
      </c>
      <c r="S154" s="66" t="n">
        <v>20.2</v>
      </c>
      <c r="T154" s="66" t="n">
        <v>18</v>
      </c>
      <c r="U154" s="66" t="n">
        <v>19</v>
      </c>
      <c r="V154" s="66" t="n">
        <v>20.2</v>
      </c>
      <c r="W154" s="66" t="n">
        <v>17</v>
      </c>
      <c r="X154" s="66" t="n">
        <v>19.6</v>
      </c>
      <c r="Y154" s="66" t="n">
        <v>20.2</v>
      </c>
      <c r="Z154" s="66" t="n">
        <v>17.2</v>
      </c>
      <c r="AA154" s="66" t="n">
        <v>17.6</v>
      </c>
      <c r="AB154" s="66" t="n">
        <v>19</v>
      </c>
      <c r="AC154" s="66" t="n">
        <v>16.8</v>
      </c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7">
        <f>COUNTIF(K154:AO154,"&gt;0")</f>
        <v/>
      </c>
      <c r="AQ154" s="68">
        <f>IF(AP154&gt;14,AVERAGE(K154:AO154),"")</f>
        <v/>
      </c>
      <c r="AR154" s="68">
        <f>IFERROR(VLOOKUP(A154,Climatologia_TMAX!A:U,9+$E$2,FALSE),"")</f>
        <v/>
      </c>
      <c r="AS154" s="68">
        <f>IF(OR(AQ154="",AR154=""),"",IFERROR(AQ154-AR154,""))</f>
        <v/>
      </c>
      <c r="AT154" s="74">
        <f>IF(COUNT(K154:AO154)=0,"",MAX(K154:AO154))</f>
        <v/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>
        <f>IF(OR(AT154="",AU154=""),"NA",IFERROR(AT154-AU154,"NA"))</f>
        <v/>
      </c>
    </row>
    <row r="155" ht="14.25" customHeight="1">
      <c r="A155" s="64" t="n">
        <v>24015300</v>
      </c>
      <c r="B155" s="70" t="inlineStr">
        <is>
          <t>Villa De Leiva  - AUT</t>
        </is>
      </c>
      <c r="C155" s="70" t="inlineStr">
        <is>
          <t>Area Operativa 06 - Boyacá-Casanare-Vichada</t>
        </is>
      </c>
      <c r="D155" s="99" t="n">
        <v>-73.51774</v>
      </c>
      <c r="E155" s="99" t="n">
        <v>5.64326</v>
      </c>
      <c r="F155" s="64" t="n">
        <v>2174</v>
      </c>
      <c r="G155" s="62" t="n">
        <v>15</v>
      </c>
      <c r="H155" s="62" t="n">
        <v>15407</v>
      </c>
      <c r="I155" s="72" t="inlineStr">
        <is>
          <t>Boyacá</t>
        </is>
      </c>
      <c r="J155" s="72" t="inlineStr">
        <is>
          <t>Villa De Leyva</t>
        </is>
      </c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7">
        <f>COUNTIF(K155:AO155,"&gt;0")</f>
        <v/>
      </c>
      <c r="AQ155" s="68">
        <f>IF(AP155&gt;14,AVERAGE(K155:AO155),"")</f>
        <v/>
      </c>
      <c r="AR155" s="68">
        <f>IFERROR(VLOOKUP(A155,Climatologia_TMAX!A:U,9+$E$2,FALSE),"")</f>
        <v/>
      </c>
      <c r="AS155" s="68">
        <f>IF(OR(AQ155="",AR155=""),"",IFERROR(AQ155-AR155,""))</f>
        <v/>
      </c>
      <c r="AT155" s="74">
        <f>IF(COUNT(K155:AO155)=0,"",MAX(K155:AO155))</f>
        <v/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>
        <f>IF(OR(AT155="",AU155=""),"NA",IFERROR(AT155-AU155,"NA"))</f>
        <v/>
      </c>
    </row>
    <row r="156" ht="14.25" customHeight="1">
      <c r="A156" s="64" t="n">
        <v>35075030</v>
      </c>
      <c r="B156" s="70" t="inlineStr">
        <is>
          <t>Villa Luisa</t>
        </is>
      </c>
      <c r="C156" s="70" t="inlineStr">
        <is>
          <t>Area Operativa 06 - Boyacá-Casanare-Vichada</t>
        </is>
      </c>
      <c r="D156" s="99" t="n">
        <v>-73.34941667</v>
      </c>
      <c r="E156" s="99" t="n">
        <v>5.422222222</v>
      </c>
      <c r="F156" s="64" t="n">
        <v>2200</v>
      </c>
      <c r="G156" s="62" t="n">
        <v>15</v>
      </c>
      <c r="H156" s="62" t="n">
        <v>15599</v>
      </c>
      <c r="I156" s="72" t="inlineStr">
        <is>
          <t>Boyacá</t>
        </is>
      </c>
      <c r="J156" s="72" t="inlineStr">
        <is>
          <t>Ramiriquí</t>
        </is>
      </c>
      <c r="K156" s="66" t="n">
        <v>20.2</v>
      </c>
      <c r="L156" s="66" t="n">
        <v>21</v>
      </c>
      <c r="M156" s="66" t="n">
        <v>18.4</v>
      </c>
      <c r="N156" s="66" t="n">
        <v>21.4</v>
      </c>
      <c r="O156" s="66" t="n">
        <v>19.8</v>
      </c>
      <c r="P156" s="66" t="n">
        <v>20.4</v>
      </c>
      <c r="Q156" s="66" t="n">
        <v>21.8</v>
      </c>
      <c r="R156" s="66" t="n">
        <v>19.6</v>
      </c>
      <c r="S156" s="66" t="n">
        <v>22</v>
      </c>
      <c r="T156" s="66" t="n">
        <v>19.2</v>
      </c>
      <c r="U156" s="66" t="n">
        <v>22</v>
      </c>
      <c r="V156" s="66" t="n">
        <v>23.4</v>
      </c>
      <c r="W156" s="66" t="n">
        <v>21</v>
      </c>
      <c r="X156" s="66" t="n">
        <v>22.4</v>
      </c>
      <c r="Y156" s="66" t="n">
        <v>23</v>
      </c>
      <c r="Z156" s="66" t="n">
        <v>21</v>
      </c>
      <c r="AA156" s="66" t="n">
        <v>20.4</v>
      </c>
      <c r="AB156" s="66" t="n">
        <v>20</v>
      </c>
      <c r="AC156" s="66" t="n">
        <v>19.8</v>
      </c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7">
        <f>COUNTIF(K156:AO156,"&gt;0")</f>
        <v/>
      </c>
      <c r="AQ156" s="68">
        <f>IF(AP156&gt;14,AVERAGE(K156:AO156),"")</f>
        <v/>
      </c>
      <c r="AR156" s="68">
        <f>IFERROR(VLOOKUP(A156,Climatologia_TMAX!A:U,9+$E$2,FALSE),"")</f>
        <v/>
      </c>
      <c r="AS156" s="68">
        <f>IF(OR(AQ156="",AR156=""),"",IFERROR(AQ156-AR156,""))</f>
        <v/>
      </c>
      <c r="AT156" s="74">
        <f>IF(COUNT(K156:AO156)=0,"",MAX(K156:AO156))</f>
        <v/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>
        <f>IF(OR(AT156="",AU156=""),"NA",IFERROR(AT156-AU156,"NA"))</f>
        <v/>
      </c>
    </row>
    <row r="157" ht="14.25" customHeight="1">
      <c r="A157" s="64" t="n">
        <v>35090050</v>
      </c>
      <c r="B157" s="70" t="inlineStr">
        <is>
          <t>Vista Hermosa</t>
        </is>
      </c>
      <c r="C157" s="70" t="inlineStr">
        <is>
          <t>Area Operativa 06 - Boyacá-Casanare-Vichada</t>
        </is>
      </c>
      <c r="D157" s="99" t="n">
        <v>-73.04972222000001</v>
      </c>
      <c r="E157" s="99" t="n">
        <v>5.0035</v>
      </c>
      <c r="F157" s="64" t="n">
        <v>1200</v>
      </c>
      <c r="G157" s="62" t="n">
        <v>15</v>
      </c>
      <c r="H157" s="62" t="n">
        <v>15135</v>
      </c>
      <c r="I157" s="72" t="inlineStr">
        <is>
          <t>Boyacá</t>
        </is>
      </c>
      <c r="J157" s="72" t="inlineStr">
        <is>
          <t>Campohermoso</t>
        </is>
      </c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7">
        <f>COUNTIF(K157:AO157,"&gt;0")</f>
        <v/>
      </c>
      <c r="AQ157" s="68">
        <f>IF(AP157&gt;14,AVERAGE(K157:AO157),"")</f>
        <v/>
      </c>
      <c r="AR157" s="68">
        <f>IFERROR(VLOOKUP(A157,Climatologia_TMAX!A:U,9+$E$2,FALSE),"")</f>
        <v/>
      </c>
      <c r="AS157" s="68">
        <f>IF(OR(AQ157="",AR157=""),"",IFERROR(AQ157-AR157,""))</f>
        <v/>
      </c>
      <c r="AT157" s="74">
        <f>IF(COUNT(K157:AO157)=0,"",MAX(K157:AO157))</f>
        <v/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>
        <f>IF(OR(AT157="",AU157=""),"NA",IFERROR(AT157-AU157,"NA"))</f>
        <v/>
      </c>
    </row>
    <row r="158" ht="14.25" customHeight="1">
      <c r="A158" s="64" t="n">
        <v>35085040</v>
      </c>
      <c r="B158" s="70" t="inlineStr">
        <is>
          <t>El Vivero</t>
        </is>
      </c>
      <c r="C158" s="70" t="inlineStr">
        <is>
          <t>Area Operativa 06 - Boyacá-Casanare-Vichada</t>
        </is>
      </c>
      <c r="D158" s="99" t="n">
        <v>-73.14477778</v>
      </c>
      <c r="E158" s="99" t="n">
        <v>5.192555556</v>
      </c>
      <c r="F158" s="64" t="n">
        <v>1640</v>
      </c>
      <c r="G158" s="62" t="n">
        <v>15</v>
      </c>
      <c r="H158" s="62" t="n">
        <v>15455</v>
      </c>
      <c r="I158" s="72" t="inlineStr">
        <is>
          <t>Boyacá</t>
        </is>
      </c>
      <c r="J158" s="72" t="inlineStr">
        <is>
          <t>Miraflores</t>
        </is>
      </c>
      <c r="K158" s="66" t="n">
        <v>25</v>
      </c>
      <c r="L158" s="66" t="n">
        <v>23</v>
      </c>
      <c r="M158" s="66" t="n">
        <v>22.8</v>
      </c>
      <c r="N158" s="66" t="n">
        <v>21.8</v>
      </c>
      <c r="O158" s="66" t="n">
        <v>23.4</v>
      </c>
      <c r="P158" s="66" t="n">
        <v>24.4</v>
      </c>
      <c r="Q158" s="66" t="n">
        <v>24.4</v>
      </c>
      <c r="R158" s="66" t="n">
        <v>22.6</v>
      </c>
      <c r="S158" s="66" t="n">
        <v>24.2</v>
      </c>
      <c r="T158" s="66" t="n">
        <v>21.8</v>
      </c>
      <c r="U158" s="66" t="n">
        <v>24</v>
      </c>
      <c r="V158" s="66" t="n">
        <v>25.8</v>
      </c>
      <c r="W158" s="66" t="n">
        <v>24.4</v>
      </c>
      <c r="X158" s="66" t="n">
        <v>25</v>
      </c>
      <c r="Y158" s="66" t="n">
        <v>25.2</v>
      </c>
      <c r="Z158" s="66" t="n">
        <v>22</v>
      </c>
      <c r="AA158" s="66" t="n">
        <v>21</v>
      </c>
      <c r="AB158" s="66" t="n">
        <v>22.4</v>
      </c>
      <c r="AC158" s="66" t="n">
        <v/>
      </c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7">
        <f>COUNTIF(K158:AO158,"&gt;0")</f>
        <v/>
      </c>
      <c r="AQ158" s="68">
        <f>IF(AP158&gt;14,AVERAGE(K158:AO158),"")</f>
        <v/>
      </c>
      <c r="AR158" s="68">
        <f>IFERROR(VLOOKUP(A158,Climatologia_TMAX!A:U,9+$E$2,FALSE),"")</f>
        <v/>
      </c>
      <c r="AS158" s="68">
        <f>IF(OR(AQ158="",AR158=""),"",IFERROR(AQ158-AR158,""))</f>
        <v/>
      </c>
      <c r="AT158" s="74">
        <f>IF(COUNT(K158:AO158)=0,"",MAX(K158:AO158))</f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/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8" s="69">
        <f>IF(OR(AT158="",AU158=""),"NA",IFERROR(AT158-AU158,"NA"))</f>
        <v/>
      </c>
    </row>
    <row r="159" ht="14.25" customHeight="1">
      <c r="A159" s="64" t="n">
        <v>44015060</v>
      </c>
      <c r="B159" s="70" t="inlineStr">
        <is>
          <t>Acueducto Mocoa - AUT</t>
        </is>
      </c>
      <c r="C159" s="70" t="inlineStr">
        <is>
          <t>Area Operativa 07 - Nariño-Putumayo</t>
        </is>
      </c>
      <c r="D159" s="99" t="n">
        <v>-76.65183333</v>
      </c>
      <c r="E159" s="99" t="n">
        <v>1.157333333</v>
      </c>
      <c r="F159" s="64" t="n">
        <v>650</v>
      </c>
      <c r="G159" s="62" t="n">
        <v>86</v>
      </c>
      <c r="H159" s="62" t="n">
        <v>86001</v>
      </c>
      <c r="I159" s="72" t="inlineStr">
        <is>
          <t>Putumayo</t>
        </is>
      </c>
      <c r="J159" s="72" t="inlineStr">
        <is>
          <t>Mocoa</t>
        </is>
      </c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7">
        <f>COUNTIF(K159:AO159,"&gt;0")</f>
        <v/>
      </c>
      <c r="AQ159" s="68">
        <f>IF(AP159&gt;14,AVERAGE(K159:AO159),"")</f>
        <v/>
      </c>
      <c r="AR159" s="68">
        <f>IFERROR(VLOOKUP(A159,Climatologia_TMAX!A:U,9+$E$2,FALSE),"")</f>
        <v/>
      </c>
      <c r="AS159" s="68">
        <f>IF(OR(AQ159="",AR159=""),"",IFERROR(AQ159-AR159,""))</f>
        <v/>
      </c>
      <c r="AT159" s="74">
        <f>IF(COUNT(K159:AO159)=0,"",MAX(K159:AO159))</f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>
        <f>IF(OR(AT159="",AU159=""),"NA",IFERROR(AT159-AU159,"NA"))</f>
        <v/>
      </c>
    </row>
    <row r="160" ht="14.25" customHeight="1">
      <c r="A160" s="64" t="n">
        <v>53045040</v>
      </c>
      <c r="B160" s="70" t="inlineStr">
        <is>
          <t>Aeropuerto Guapi - AUT</t>
        </is>
      </c>
      <c r="C160" s="70" t="inlineStr">
        <is>
          <t>Area Operativa 07 - Nariño-Putumayo</t>
        </is>
      </c>
      <c r="D160" s="99" t="n">
        <v>-77.89475</v>
      </c>
      <c r="E160" s="99" t="n">
        <v>2.574416667</v>
      </c>
      <c r="F160" s="64" t="n">
        <v>42</v>
      </c>
      <c r="G160" s="62" t="n">
        <v>19</v>
      </c>
      <c r="H160" s="62" t="n">
        <v>19318</v>
      </c>
      <c r="I160" s="72" t="inlineStr">
        <is>
          <t>Cauca</t>
        </is>
      </c>
      <c r="J160" s="72" t="inlineStr">
        <is>
          <t>Guapi</t>
        </is>
      </c>
      <c r="K160" s="66" t="n">
        <v>31.4</v>
      </c>
      <c r="L160" s="66" t="n">
        <v>32.4</v>
      </c>
      <c r="M160" s="66" t="n">
        <v>30.8</v>
      </c>
      <c r="N160" s="66" t="n">
        <v>29.6</v>
      </c>
      <c r="O160" s="66" t="n">
        <v>32.4</v>
      </c>
      <c r="P160" s="66" t="n">
        <v>31.8</v>
      </c>
      <c r="Q160" s="66" t="n">
        <v>31.4</v>
      </c>
      <c r="R160" s="66" t="n">
        <v>31.6</v>
      </c>
      <c r="S160" s="66" t="n">
        <v>32.4</v>
      </c>
      <c r="T160" s="66" t="n">
        <v>31.2</v>
      </c>
      <c r="U160" s="66" t="n">
        <v>29.2</v>
      </c>
      <c r="V160" s="66" t="n">
        <v>32.2</v>
      </c>
      <c r="W160" s="66" t="n">
        <v>31.8</v>
      </c>
      <c r="X160" s="66" t="n">
        <v>32.4</v>
      </c>
      <c r="Y160" s="66" t="n">
        <v>31.8</v>
      </c>
      <c r="Z160" s="66" t="n">
        <v>32</v>
      </c>
      <c r="AA160" s="66" t="n">
        <v>31.8</v>
      </c>
      <c r="AB160" s="66" t="n">
        <v>31.6</v>
      </c>
      <c r="AC160" s="66" t="n">
        <v>31.8</v>
      </c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7">
        <f>COUNTIF(K160:AO160,"&gt;0")</f>
        <v/>
      </c>
      <c r="AQ160" s="68">
        <f>IF(AP160&gt;14,AVERAGE(K160:AO160),"")</f>
        <v/>
      </c>
      <c r="AR160" s="68">
        <f>IFERROR(VLOOKUP(A160,Climatologia_TMAX!A:U,9+$E$2,FALSE),"")</f>
        <v/>
      </c>
      <c r="AS160" s="68">
        <f>IF(OR(AQ160="",AR160=""),"",IFERROR(AQ160-AR160,""))</f>
        <v/>
      </c>
      <c r="AT160" s="74">
        <f>IF(COUNT(K160:AO160)=0,"",MAX(K160:AO160))</f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>
        <f>IF(OR(AT160="",AU160=""),"NA",IFERROR(AT160-AU160,"NA"))</f>
        <v/>
      </c>
    </row>
    <row r="161" ht="14.25" customHeight="1">
      <c r="A161" s="64" t="n">
        <v>52065020</v>
      </c>
      <c r="B161" s="70" t="inlineStr">
        <is>
          <t>Barbacoas</t>
        </is>
      </c>
      <c r="C161" s="70" t="inlineStr">
        <is>
          <t>Area Operativa 07 - Nariño-Putumayo</t>
        </is>
      </c>
      <c r="D161" s="99" t="n">
        <v>-78.14</v>
      </c>
      <c r="E161" s="99" t="n">
        <v>1.67</v>
      </c>
      <c r="F161" s="64" t="n">
        <v>32</v>
      </c>
      <c r="G161" s="62" t="n">
        <v>52</v>
      </c>
      <c r="H161" s="62" t="n">
        <v>52079</v>
      </c>
      <c r="I161" s="72" t="inlineStr">
        <is>
          <t>Nariño</t>
        </is>
      </c>
      <c r="J161" s="72" t="inlineStr">
        <is>
          <t>Barbacoas</t>
        </is>
      </c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7">
        <f>COUNTIF(K161:AO161,"&gt;0")</f>
        <v/>
      </c>
      <c r="AQ161" s="68">
        <f>IF(AP161&gt;14,AVERAGE(K161:AO161),"")</f>
        <v/>
      </c>
      <c r="AR161" s="68">
        <f>IFERROR(VLOOKUP(A161,Climatologia_TMAX!A:U,9+$E$2,FALSE),"")</f>
        <v/>
      </c>
      <c r="AS161" s="68">
        <f>IF(OR(AQ161="",AR161=""),"",IFERROR(AQ161-AR161,""))</f>
        <v/>
      </c>
      <c r="AT161" s="74">
        <f>IF(COUNT(K161:AO161)=0,"",MAX(K161:AO161))</f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>
        <f>IF(OR(AT161="",AU161=""),"NA",IFERROR(AT161-AU161,"NA"))</f>
        <v/>
      </c>
    </row>
    <row r="162" ht="14.25" customHeight="1">
      <c r="A162" s="64" t="n">
        <v>52025010</v>
      </c>
      <c r="B162" s="70" t="inlineStr">
        <is>
          <t>Bolivar</t>
        </is>
      </c>
      <c r="C162" s="70" t="inlineStr">
        <is>
          <t>Area Operativa 07 - Nariño-Putumayo</t>
        </is>
      </c>
      <c r="D162" s="99" t="n">
        <v>-77.00402778</v>
      </c>
      <c r="E162" s="99" t="n">
        <v>1.829944444</v>
      </c>
      <c r="F162" s="64" t="n">
        <v>1510</v>
      </c>
      <c r="G162" s="62" t="n">
        <v>19</v>
      </c>
      <c r="H162" s="62" t="n">
        <v>19100</v>
      </c>
      <c r="I162" s="72" t="inlineStr">
        <is>
          <t>Cauca</t>
        </is>
      </c>
      <c r="J162" s="72" t="inlineStr">
        <is>
          <t>Bolívar</t>
        </is>
      </c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7">
        <f>COUNTIF(K162:AO162,"&gt;0")</f>
        <v/>
      </c>
      <c r="AQ162" s="68">
        <f>IF(AP162&gt;14,AVERAGE(K162:AO162),"")</f>
        <v/>
      </c>
      <c r="AR162" s="68">
        <f>IFERROR(VLOOKUP(A162,Climatologia_TMAX!A:U,9+$E$2,FALSE),"")</f>
        <v/>
      </c>
      <c r="AS162" s="68">
        <f>IF(OR(AQ162="",AR162=""),"",IFERROR(AQ162-AR162,""))</f>
        <v/>
      </c>
      <c r="AT162" s="74">
        <f>IF(COUNT(K162:AO162)=0,"",MAX(K162:AO162))</f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>
        <f>IF(OR(AT162="",AU162=""),"NA",IFERROR(AT162-AU162,"NA"))</f>
        <v/>
      </c>
    </row>
    <row r="163" ht="14.25" customHeight="1">
      <c r="A163" s="64" t="n">
        <v>52055030</v>
      </c>
      <c r="B163" s="70" t="inlineStr">
        <is>
          <t>Bombona</t>
        </is>
      </c>
      <c r="C163" s="70" t="inlineStr">
        <is>
          <t>Area Operativa 07 - Nariño-Putumayo</t>
        </is>
      </c>
      <c r="D163" s="99" t="n">
        <v>-77.46511111</v>
      </c>
      <c r="E163" s="99" t="n">
        <v>1.184361111</v>
      </c>
      <c r="F163" s="64" t="n">
        <v>1493</v>
      </c>
      <c r="G163" s="62" t="n">
        <v>52</v>
      </c>
      <c r="H163" s="62" t="n">
        <v>52207</v>
      </c>
      <c r="I163" s="72" t="inlineStr">
        <is>
          <t>Nariño</t>
        </is>
      </c>
      <c r="J163" s="72" t="inlineStr">
        <is>
          <t>Consacá</t>
        </is>
      </c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7">
        <f>COUNTIF(K163:AO163,"&gt;0")</f>
        <v/>
      </c>
      <c r="AQ163" s="68">
        <f>IF(AP163&gt;14,AVERAGE(K163:AO163),"")</f>
        <v/>
      </c>
      <c r="AR163" s="68">
        <f>IFERROR(VLOOKUP(A163,Climatologia_TMAX!A:U,9+$E$2,FALSE),"")</f>
        <v/>
      </c>
      <c r="AS163" s="68">
        <f>IF(OR(AQ163="",AR163=""),"",IFERROR(AQ163-AR163,""))</f>
        <v/>
      </c>
      <c r="AT163" s="74">
        <f>IF(COUNT(K163:AO163)=0,"",MAX(K163:AO163))</f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/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3" s="69">
        <f>IF(OR(AT163="",AU163=""),"NA",IFERROR(AT163-AU163,"NA"))</f>
        <v/>
      </c>
    </row>
    <row r="164" ht="14.25" customHeight="1">
      <c r="A164" s="64" t="n">
        <v>52055210</v>
      </c>
      <c r="B164" s="70" t="inlineStr">
        <is>
          <t>Botana - AUT</t>
        </is>
      </c>
      <c r="C164" s="70" t="inlineStr">
        <is>
          <t>Area Operativa 07 - Nariño-Putumayo</t>
        </is>
      </c>
      <c r="D164" s="99" t="n">
        <v>-77.27880556</v>
      </c>
      <c r="E164" s="99" t="n">
        <v>1.16</v>
      </c>
      <c r="F164" s="64" t="n">
        <v>2820</v>
      </c>
      <c r="G164" s="62" t="n">
        <v>52</v>
      </c>
      <c r="H164" s="62" t="n">
        <v>52001</v>
      </c>
      <c r="I164" s="72" t="inlineStr">
        <is>
          <t>Nariño</t>
        </is>
      </c>
      <c r="J164" s="72" t="inlineStr">
        <is>
          <t>Pasto</t>
        </is>
      </c>
      <c r="K164" s="66" t="n">
        <v>21.2</v>
      </c>
      <c r="L164" s="66" t="n">
        <v>17.6</v>
      </c>
      <c r="M164" s="66" t="n">
        <v>16.2</v>
      </c>
      <c r="N164" s="66" t="n">
        <v>17.4</v>
      </c>
      <c r="O164" s="66" t="n">
        <v>17.6</v>
      </c>
      <c r="P164" s="66" t="n">
        <v>18.8</v>
      </c>
      <c r="Q164" s="66" t="n">
        <v>17</v>
      </c>
      <c r="R164" s="66" t="n">
        <v>18</v>
      </c>
      <c r="S164" s="66" t="n">
        <v>18.8</v>
      </c>
      <c r="T164" s="66" t="n">
        <v>21</v>
      </c>
      <c r="U164" s="109" t="n">
        <v>18.2</v>
      </c>
      <c r="V164" s="66" t="n">
        <v>19</v>
      </c>
      <c r="W164" s="66" t="n">
        <v>18</v>
      </c>
      <c r="X164" s="66" t="n">
        <v>17.6</v>
      </c>
      <c r="Y164" s="66" t="n">
        <v>18.4</v>
      </c>
      <c r="Z164" s="66" t="n">
        <v>18.6</v>
      </c>
      <c r="AA164" s="66" t="n">
        <v>19.6</v>
      </c>
      <c r="AB164" s="66" t="n">
        <v>17.2</v>
      </c>
      <c r="AC164" s="66" t="n">
        <v>16.6</v>
      </c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7">
        <f>COUNTIF(K164:AO164,"&gt;0")</f>
        <v/>
      </c>
      <c r="AQ164" s="68">
        <f>IF(AP164&gt;14,AVERAGE(K164:AO164),"")</f>
        <v/>
      </c>
      <c r="AR164" s="68">
        <f>IFERROR(VLOOKUP(A164,Climatologia_TMAX!A:U,9+$E$2,FALSE),"")</f>
        <v/>
      </c>
      <c r="AS164" s="68">
        <f>IF(OR(AQ164="",AR164=""),"",IFERROR(AQ164-AR164,""))</f>
        <v/>
      </c>
      <c r="AT164" s="74">
        <f>IF(COUNT(K164:AO164)=0,"",MAX(K164:AO164))</f>
        <v/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/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4" s="69">
        <f>IF(OR(AT164="",AU164=""),"NA",IFERROR(AT164-AU164,"NA"))</f>
        <v/>
      </c>
    </row>
    <row r="165" ht="14.25" customHeight="1">
      <c r="A165" s="64" t="n">
        <v>52045090</v>
      </c>
      <c r="B165" s="70" t="inlineStr">
        <is>
          <t>El Comun</t>
        </is>
      </c>
      <c r="C165" s="70" t="inlineStr">
        <is>
          <t>Area Operativa 07 - Nariño-Putumayo</t>
        </is>
      </c>
      <c r="D165" s="99" t="n">
        <v>-77.62958333</v>
      </c>
      <c r="E165" s="99" t="n">
        <v>0.932638889</v>
      </c>
      <c r="F165" s="64" t="n">
        <v>3141</v>
      </c>
      <c r="G165" s="62" t="n">
        <v>52</v>
      </c>
      <c r="H165" s="62" t="n">
        <v>52585</v>
      </c>
      <c r="I165" s="72" t="inlineStr">
        <is>
          <t>Nariño</t>
        </is>
      </c>
      <c r="J165" s="72" t="inlineStr">
        <is>
          <t>Pupiales</t>
        </is>
      </c>
      <c r="K165" s="66" t="n">
        <v>15.8</v>
      </c>
      <c r="L165" s="66" t="n">
        <v/>
      </c>
      <c r="M165" s="66" t="n">
        <v>14.8</v>
      </c>
      <c r="N165" s="66" t="n">
        <v>15.2</v>
      </c>
      <c r="O165" s="66" t="n">
        <v>14.6</v>
      </c>
      <c r="P165" s="66" t="n">
        <v>14</v>
      </c>
      <c r="Q165" s="66" t="n">
        <v>14.8</v>
      </c>
      <c r="R165" s="66" t="n">
        <v>14.2</v>
      </c>
      <c r="S165" s="66" t="n">
        <v>14.8</v>
      </c>
      <c r="T165" s="66" t="n">
        <v>15.4</v>
      </c>
      <c r="U165" s="66" t="n">
        <v>15</v>
      </c>
      <c r="V165" s="66" t="n">
        <v>13.6</v>
      </c>
      <c r="W165" s="66" t="n">
        <v>13</v>
      </c>
      <c r="X165" s="66" t="n">
        <v>14</v>
      </c>
      <c r="Y165" s="66" t="n">
        <v>14.6</v>
      </c>
      <c r="Z165" s="66" t="n">
        <v>15</v>
      </c>
      <c r="AA165" s="66" t="n">
        <v>15.2</v>
      </c>
      <c r="AB165" s="66" t="n">
        <v>14.6</v>
      </c>
      <c r="AC165" s="66" t="n">
        <v>12</v>
      </c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7">
        <f>COUNTIF(K165:AO165,"&gt;0")</f>
        <v/>
      </c>
      <c r="AQ165" s="68">
        <f>IF(AP165&gt;14,AVERAGE(K165:AO165),"")</f>
        <v/>
      </c>
      <c r="AR165" s="68">
        <f>IFERROR(VLOOKUP(A165,Climatologia_TMAX!A:U,9+$E$2,FALSE),"")</f>
        <v/>
      </c>
      <c r="AS165" s="68">
        <f>IF(OR(AQ165="",AR165=""),"",IFERROR(AQ165-AR165,""))</f>
        <v/>
      </c>
      <c r="AT165" s="74">
        <f>IF(COUNT(K165:AO165)=0,"",MAX(K165:AO165))</f>
        <v/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/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5" s="69">
        <f>IF(OR(AT165="",AU165=""),"NA",IFERROR(AT165-AU165,"NA"))</f>
        <v/>
      </c>
    </row>
    <row r="166" ht="14.25" customHeight="1">
      <c r="A166" s="64" t="n">
        <v>47015100</v>
      </c>
      <c r="B166" s="70" t="inlineStr">
        <is>
          <t>El Encano - AUT</t>
        </is>
      </c>
      <c r="C166" s="70" t="inlineStr">
        <is>
          <t>Area Operativa 07 - Nariño-Putumayo</t>
        </is>
      </c>
      <c r="D166" s="99" t="n">
        <v>-77.16147221999999</v>
      </c>
      <c r="E166" s="99" t="n">
        <v>1.159944444</v>
      </c>
      <c r="F166" s="64" t="n">
        <v>2830</v>
      </c>
      <c r="G166" s="62" t="n">
        <v>52</v>
      </c>
      <c r="H166" s="62" t="n">
        <v>52001</v>
      </c>
      <c r="I166" s="72" t="inlineStr">
        <is>
          <t>Nariño</t>
        </is>
      </c>
      <c r="J166" s="72" t="inlineStr">
        <is>
          <t>Pasto</t>
        </is>
      </c>
      <c r="K166" s="66" t="n">
        <v>18.4</v>
      </c>
      <c r="L166" s="66" t="n">
        <v>14.4</v>
      </c>
      <c r="M166" s="66" t="n">
        <v>15.2</v>
      </c>
      <c r="N166" s="66" t="n">
        <v>15.6</v>
      </c>
      <c r="O166" s="66" t="n">
        <v>14.8</v>
      </c>
      <c r="P166" s="66" t="n">
        <v>15.2</v>
      </c>
      <c r="Q166" s="66" t="n">
        <v>15</v>
      </c>
      <c r="R166" s="66" t="n">
        <v>14.4</v>
      </c>
      <c r="S166" s="66" t="n">
        <v>16.8</v>
      </c>
      <c r="T166" s="66" t="n">
        <v>17.2</v>
      </c>
      <c r="U166" s="66" t="n">
        <v>16.2</v>
      </c>
      <c r="V166" s="66" t="n">
        <v>15</v>
      </c>
      <c r="W166" s="66" t="n">
        <v>16.4</v>
      </c>
      <c r="X166" s="66" t="n">
        <v>17.2</v>
      </c>
      <c r="Y166" s="66" t="n">
        <v>16.4</v>
      </c>
      <c r="Z166" s="66" t="n">
        <v>14.4</v>
      </c>
      <c r="AA166" s="66" t="n">
        <v>16</v>
      </c>
      <c r="AB166" s="66" t="n">
        <v>15.4</v>
      </c>
      <c r="AC166" s="66" t="n">
        <v>14.6</v>
      </c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7">
        <f>COUNTIF(K166:AO166,"&gt;0")</f>
        <v/>
      </c>
      <c r="AQ166" s="68">
        <f>IF(AP166&gt;14,AVERAGE(K166:AO166),"")</f>
        <v/>
      </c>
      <c r="AR166" s="68">
        <f>IFERROR(VLOOKUP(A166,Climatologia_TMAX!A:U,9+$E$2,FALSE),"")</f>
        <v/>
      </c>
      <c r="AS166" s="68">
        <f>IF(OR(AQ166="",AR166=""),"",IFERROR(AQ166-AR166,""))</f>
        <v/>
      </c>
      <c r="AT166" s="74">
        <f>IF(COUNT(K166:AO166)=0,"",MAX(K166:AO166))</f>
        <v/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/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6" s="69">
        <f>IF(OR(AT166="",AU166=""),"NA",IFERROR(AT166-AU166,"NA"))</f>
        <v/>
      </c>
    </row>
    <row r="167" ht="14.25" customHeight="1">
      <c r="A167" s="64" t="n">
        <v>52055220</v>
      </c>
      <c r="B167" s="70" t="inlineStr">
        <is>
          <t>El Paraiso - AUT</t>
        </is>
      </c>
      <c r="C167" s="70" t="inlineStr">
        <is>
          <t>Area Operativa 07 - Nariño-Putumayo</t>
        </is>
      </c>
      <c r="D167" s="99" t="n">
        <v>-77.636935689</v>
      </c>
      <c r="E167" s="99" t="n">
        <v>1.070707855</v>
      </c>
      <c r="F167" s="64" t="n">
        <v>3033</v>
      </c>
      <c r="G167" s="62" t="n">
        <v>52</v>
      </c>
      <c r="H167" s="62" t="n">
        <v>52838</v>
      </c>
      <c r="I167" s="72" t="inlineStr">
        <is>
          <t>Nariño</t>
        </is>
      </c>
      <c r="J167" s="72" t="inlineStr">
        <is>
          <t>Túquerres</t>
        </is>
      </c>
      <c r="K167" s="66" t="n">
        <v>20.2</v>
      </c>
      <c r="L167" s="66" t="n">
        <v>17.4</v>
      </c>
      <c r="M167" s="66" t="n">
        <v>17.2</v>
      </c>
      <c r="N167" s="66" t="n">
        <v>18.2</v>
      </c>
      <c r="O167" s="66" t="n">
        <v>16.4</v>
      </c>
      <c r="P167" s="66" t="n">
        <v>17.8</v>
      </c>
      <c r="Q167" s="66" t="n">
        <v>16</v>
      </c>
      <c r="R167" s="66" t="n">
        <v>18.8</v>
      </c>
      <c r="S167" s="66" t="n">
        <v>17</v>
      </c>
      <c r="T167" s="66" t="n">
        <v>18.6</v>
      </c>
      <c r="U167" s="109" t="n">
        <v>17.2</v>
      </c>
      <c r="V167" s="66" t="n">
        <v>18.2</v>
      </c>
      <c r="W167" s="66" t="n">
        <v>16.8</v>
      </c>
      <c r="X167" s="66" t="n">
        <v>18.2</v>
      </c>
      <c r="Y167" s="66" t="n">
        <v>16.4</v>
      </c>
      <c r="Z167" s="66" t="n">
        <v>17.8</v>
      </c>
      <c r="AA167" s="66" t="n">
        <v>17</v>
      </c>
      <c r="AB167" s="66" t="n">
        <v>18.2</v>
      </c>
      <c r="AC167" s="66" t="n">
        <v>15.8</v>
      </c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7">
        <f>COUNTIF(K167:AO167,"&gt;0")</f>
        <v/>
      </c>
      <c r="AQ167" s="68">
        <f>IF(AP167&gt;14,AVERAGE(K167:AO167),"")</f>
        <v/>
      </c>
      <c r="AR167" s="68">
        <f>IFERROR(VLOOKUP(A167,Climatologia_TMAX!A:U,9+$E$2,FALSE),"")</f>
        <v/>
      </c>
      <c r="AS167" s="68">
        <f>IF(OR(AQ167="",AR167=""),"",IFERROR(AQ167-AR167,""))</f>
        <v/>
      </c>
      <c r="AT167" s="74">
        <f>IF(COUNT(K167:AO167)=0,"",MAX(K167:AO167))</f>
        <v/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/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7" s="69">
        <f>IF(OR(AT167="",AU167=""),"NA",IFERROR(AT167-AU167,"NA"))</f>
        <v/>
      </c>
    </row>
    <row r="168" ht="14.25" customHeight="1">
      <c r="A168" s="64" t="n">
        <v>52055200</v>
      </c>
      <c r="B168" s="70" t="inlineStr">
        <is>
          <t>Funes</t>
        </is>
      </c>
      <c r="C168" s="70" t="inlineStr">
        <is>
          <t>Area Operativa 07 - Nariño-Putumayo</t>
        </is>
      </c>
      <c r="D168" s="99" t="n">
        <v>-77.44580556</v>
      </c>
      <c r="E168" s="99" t="n">
        <v>1.004222222</v>
      </c>
      <c r="F168" s="64" t="n">
        <v>2181</v>
      </c>
      <c r="G168" s="62" t="n">
        <v>52</v>
      </c>
      <c r="H168" s="62" t="n">
        <v>52287</v>
      </c>
      <c r="I168" s="72" t="inlineStr">
        <is>
          <t>Nariño</t>
        </is>
      </c>
      <c r="J168" s="72" t="inlineStr">
        <is>
          <t>Funes</t>
        </is>
      </c>
      <c r="K168" s="66" t="n">
        <v>25.8</v>
      </c>
      <c r="L168" s="66" t="n">
        <v>22</v>
      </c>
      <c r="M168" s="66" t="n">
        <v>22.8</v>
      </c>
      <c r="N168" s="66" t="n">
        <v>21.2</v>
      </c>
      <c r="O168" s="66" t="n">
        <v>22.6</v>
      </c>
      <c r="P168" s="66" t="n">
        <v>22.2</v>
      </c>
      <c r="Q168" s="66" t="n">
        <v>22.8</v>
      </c>
      <c r="R168" s="66" t="n">
        <v>23.8</v>
      </c>
      <c r="S168" s="66" t="n">
        <v>24.2</v>
      </c>
      <c r="T168" s="66" t="n">
        <v>24.8</v>
      </c>
      <c r="U168" s="109" t="n">
        <v>21.6</v>
      </c>
      <c r="V168" s="66" t="n">
        <v>23.8</v>
      </c>
      <c r="W168" s="66" t="n">
        <v>22.6</v>
      </c>
      <c r="X168" s="66" t="n">
        <v>22.2</v>
      </c>
      <c r="Y168" s="66" t="n">
        <v>23.2</v>
      </c>
      <c r="Z168" s="66" t="n">
        <v>22.6</v>
      </c>
      <c r="AA168" s="66" t="n">
        <v>22.6</v>
      </c>
      <c r="AB168" s="66" t="n">
        <v>21.2</v>
      </c>
      <c r="AC168" s="66" t="n">
        <v>21.4</v>
      </c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7">
        <f>COUNTIF(K168:AO168,"&gt;0")</f>
        <v/>
      </c>
      <c r="AQ168" s="68">
        <f>IF(AP168&gt;14,AVERAGE(K168:AO168),"")</f>
        <v/>
      </c>
      <c r="AR168" s="68">
        <f>IFERROR(VLOOKUP(A168,Climatologia_TMAX!A:U,9+$E$2,FALSE),"")</f>
        <v/>
      </c>
      <c r="AS168" s="68">
        <f>IF(OR(AQ168="",AR168=""),"",IFERROR(AQ168-AR168,""))</f>
        <v/>
      </c>
      <c r="AT168" s="74">
        <f>IF(COUNT(K168:AO168)=0,"",MAX(K168:AO168))</f>
        <v/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>
        <f>IF(OR(AT168="",AU168=""),"NA",IFERROR(AT168-AU168,"NA"))</f>
        <v/>
      </c>
    </row>
    <row r="169" ht="14.25" customHeight="1">
      <c r="A169" s="64" t="n">
        <v>51025090</v>
      </c>
      <c r="B169" s="70" t="inlineStr">
        <is>
          <t>Granja El Mira - - AUT</t>
        </is>
      </c>
      <c r="C169" s="70" t="inlineStr">
        <is>
          <t>Area Operativa 07 - Nariño-Putumayo</t>
        </is>
      </c>
      <c r="D169" s="99" t="n">
        <v>-78.69558333000001</v>
      </c>
      <c r="E169" s="99" t="n">
        <v>1.550194444</v>
      </c>
      <c r="F169" s="64" t="n">
        <v>16</v>
      </c>
      <c r="G169" s="62" t="n">
        <v>52</v>
      </c>
      <c r="H169" s="62" t="n">
        <v>52835</v>
      </c>
      <c r="I169" s="72" t="inlineStr">
        <is>
          <t>Nariño</t>
        </is>
      </c>
      <c r="J169" s="72" t="inlineStr">
        <is>
          <t>San Andrés De Tumaco</t>
        </is>
      </c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7">
        <f>COUNTIF(K169:AO169,"&gt;0")</f>
        <v/>
      </c>
      <c r="AQ169" s="68">
        <f>IF(AP169&gt;14,AVERAGE(K169:AO169),"")</f>
        <v/>
      </c>
      <c r="AR169" s="68">
        <f>IFERROR(VLOOKUP(A169,Climatologia_TMAX!A:U,9+$E$2,FALSE),"")</f>
        <v/>
      </c>
      <c r="AS169" s="68">
        <f>IF(OR(AQ169="",AR169=""),"",IFERROR(AQ169-AR169,""))</f>
        <v/>
      </c>
      <c r="AT169" s="74">
        <f>IF(COUNT(K169:AO169)=0,"",MAX(K169:AO169))</f>
        <v/>
      </c>
      <c r="AU169" s="74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>
        <f>IF(OR(AT169="",AU169=""),"NA",IFERROR(AT169-AU169,"NA"))</f>
        <v/>
      </c>
    </row>
    <row r="170" ht="14.25" customHeight="1">
      <c r="A170" s="64" t="n">
        <v>52025060</v>
      </c>
      <c r="B170" s="70" t="inlineStr">
        <is>
          <t>Granja Experimental Universidad De Nariño</t>
        </is>
      </c>
      <c r="C170" s="70" t="inlineStr">
        <is>
          <t>Area Operativa 07 - Nariño-Putumayo</t>
        </is>
      </c>
      <c r="D170" s="99" t="n">
        <v>-77.19</v>
      </c>
      <c r="E170" s="99" t="n">
        <v>1.91</v>
      </c>
      <c r="F170" s="64" t="n">
        <v>580</v>
      </c>
      <c r="G170" s="62" t="n">
        <v>19</v>
      </c>
      <c r="H170" s="62" t="n">
        <v>19450</v>
      </c>
      <c r="I170" s="72" t="inlineStr">
        <is>
          <t>Cauca</t>
        </is>
      </c>
      <c r="J170" s="72" t="inlineStr">
        <is>
          <t>Mercaderes</t>
        </is>
      </c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7">
        <f>COUNTIF(K170:AO170,"&gt;0")</f>
        <v/>
      </c>
      <c r="AQ170" s="68">
        <f>IF(AP170&gt;14,AVERAGE(K170:AO170),"")</f>
        <v/>
      </c>
      <c r="AR170" s="68">
        <f>IFERROR(VLOOKUP(A170,Climatologia_TMAX!A:U,9+$E$2,FALSE),"")</f>
        <v/>
      </c>
      <c r="AS170" s="68">
        <f>IF(OR(AQ170="",AR170=""),"",IFERROR(AQ170-AR170,""))</f>
        <v/>
      </c>
      <c r="AT170" s="74">
        <f>IF(COUNT(K170:AO170)=0,"",MAX(K170:AO170))</f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>
        <f>IF(OR(AT170="",AU170=""),"NA",IFERROR(AT170-AU170,"NA"))</f>
        <v/>
      </c>
    </row>
    <row r="171" ht="14.25" customHeight="1">
      <c r="A171" s="64" t="n">
        <v>52025090</v>
      </c>
      <c r="B171" s="70" t="inlineStr">
        <is>
          <t>La Sierra - AUT</t>
        </is>
      </c>
      <c r="C171" s="70" t="inlineStr">
        <is>
          <t>Area Operativa 07 - Nariño-Putumayo</t>
        </is>
      </c>
      <c r="D171" s="99" t="n">
        <v>-76.75033333</v>
      </c>
      <c r="E171" s="99" t="n">
        <v>2.193833333</v>
      </c>
      <c r="F171" s="64" t="n">
        <v>1870</v>
      </c>
      <c r="G171" s="62" t="n">
        <v>19</v>
      </c>
      <c r="H171" s="62" t="n">
        <v>19392</v>
      </c>
      <c r="I171" s="72" t="inlineStr">
        <is>
          <t>Cauca</t>
        </is>
      </c>
      <c r="J171" s="72" t="inlineStr">
        <is>
          <t>La Sierra</t>
        </is>
      </c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7">
        <f>COUNTIF(K171:AO171,"&gt;0")</f>
        <v/>
      </c>
      <c r="AQ171" s="68">
        <f>IF(AP171&gt;14,AVERAGE(K171:AO171),"")</f>
        <v/>
      </c>
      <c r="AR171" s="68">
        <f>IFERROR(VLOOKUP(A171,Climatologia_TMAX!A:U,9+$E$2,FALSE),"")</f>
        <v/>
      </c>
      <c r="AS171" s="68">
        <f>IF(OR(AQ171="",AR171=""),"",IFERROR(AQ171-AR171,""))</f>
        <v/>
      </c>
      <c r="AT171" s="74">
        <f>IF(COUNT(K171:AO171)=0,"",MAX(K171:AO171))</f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/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1" s="69">
        <f>IF(OR(AT171="",AU171=""),"NA",IFERROR(AT171-AU171,"NA"))</f>
        <v/>
      </c>
    </row>
    <row r="172" ht="14.25" customHeight="1">
      <c r="A172" s="64" t="n">
        <v>52025020</v>
      </c>
      <c r="B172" s="70" t="inlineStr">
        <is>
          <t>Los Milagros</t>
        </is>
      </c>
      <c r="C172" s="70" t="inlineStr">
        <is>
          <t>Area Operativa 07 - Nariño-Putumayo</t>
        </is>
      </c>
      <c r="D172" s="99" t="n">
        <v>-76.89166667000001</v>
      </c>
      <c r="E172" s="99" t="n">
        <v>1.753333333</v>
      </c>
      <c r="F172" s="64" t="n">
        <v>2300</v>
      </c>
      <c r="G172" s="62" t="n">
        <v>19</v>
      </c>
      <c r="H172" s="62" t="n">
        <v>19100</v>
      </c>
      <c r="I172" s="72" t="inlineStr">
        <is>
          <t>Cauca</t>
        </is>
      </c>
      <c r="J172" s="72" t="inlineStr">
        <is>
          <t>Bolívar</t>
        </is>
      </c>
      <c r="K172" s="66" t="n">
        <v>25.6</v>
      </c>
      <c r="L172" s="66" t="n">
        <v>26.4</v>
      </c>
      <c r="M172" s="66" t="n">
        <v>23.6</v>
      </c>
      <c r="N172" s="66" t="n">
        <v>24.6</v>
      </c>
      <c r="O172" s="66" t="n">
        <v>22.4</v>
      </c>
      <c r="P172" s="66" t="n">
        <v>23.2</v>
      </c>
      <c r="Q172" s="66" t="n">
        <v>22.6</v>
      </c>
      <c r="R172" s="66" t="n">
        <v>23.4</v>
      </c>
      <c r="S172" s="66" t="n">
        <v>23.6</v>
      </c>
      <c r="T172" s="66" t="n">
        <v>25.6</v>
      </c>
      <c r="U172" s="66" t="n">
        <v>24.8</v>
      </c>
      <c r="V172" s="66" t="n">
        <v>25.8</v>
      </c>
      <c r="W172" s="66" t="n">
        <v>26</v>
      </c>
      <c r="X172" s="66" t="n">
        <v>24</v>
      </c>
      <c r="Y172" s="66" t="n">
        <v>24.6</v>
      </c>
      <c r="Z172" s="66" t="n">
        <v>24.4</v>
      </c>
      <c r="AA172" s="66" t="n">
        <v>23.6</v>
      </c>
      <c r="AB172" s="66" t="n">
        <v>24.4</v>
      </c>
      <c r="AC172" s="66" t="n">
        <v>23.6</v>
      </c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7">
        <f>COUNTIF(K172:AO172,"&gt;0")</f>
        <v/>
      </c>
      <c r="AQ172" s="68">
        <f>IF(AP172&gt;14,AVERAGE(K172:AO172),"")</f>
        <v/>
      </c>
      <c r="AR172" s="68">
        <f>IFERROR(VLOOKUP(A172,Climatologia_TMAX!A:U,9+$E$2,FALSE),"")</f>
        <v/>
      </c>
      <c r="AS172" s="68">
        <f>IF(OR(AQ172="",AR172=""),"",IFERROR(AQ172-AR172,""))</f>
        <v/>
      </c>
      <c r="AT172" s="74">
        <f>IF(COUNT(K172:AO172)=0,"",MAX(K172:AO172))</f>
        <v/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/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2" s="69">
        <f>IF(OR(AT172="",AU172=""),"NA",IFERROR(AT172-AU172,"NA"))</f>
        <v/>
      </c>
    </row>
    <row r="173" ht="14.25" customHeight="1">
      <c r="A173" s="64" t="n">
        <v>47015040</v>
      </c>
      <c r="B173" s="70" t="inlineStr">
        <is>
          <t>Michoacan</t>
        </is>
      </c>
      <c r="C173" s="70" t="inlineStr">
        <is>
          <t>Area Operativa 07 - Nariño-Putumayo</t>
        </is>
      </c>
      <c r="D173" s="99" t="n">
        <v>-76.96097222</v>
      </c>
      <c r="E173" s="99" t="n">
        <v>1.198277778</v>
      </c>
      <c r="F173" s="64" t="n">
        <v>2100</v>
      </c>
      <c r="G173" s="62" t="n">
        <v>86</v>
      </c>
      <c r="H173" s="62" t="n">
        <v>86219</v>
      </c>
      <c r="I173" s="72" t="inlineStr">
        <is>
          <t>Putumayo</t>
        </is>
      </c>
      <c r="J173" s="72" t="inlineStr">
        <is>
          <t>Colón</t>
        </is>
      </c>
      <c r="K173" s="66" t="n">
        <v>21.4</v>
      </c>
      <c r="L173" s="66" t="n">
        <v>18.4</v>
      </c>
      <c r="M173" s="66" t="n">
        <v>19.2</v>
      </c>
      <c r="N173" s="66" t="n">
        <v>21</v>
      </c>
      <c r="O173" s="66" t="n">
        <v>18.8</v>
      </c>
      <c r="P173" s="66" t="n">
        <v>19.8</v>
      </c>
      <c r="Q173" s="66" t="n">
        <v>19.4</v>
      </c>
      <c r="R173" s="66" t="n">
        <v>20.6</v>
      </c>
      <c r="S173" s="66" t="n">
        <v>21.6</v>
      </c>
      <c r="T173" s="66" t="n">
        <v>22.2</v>
      </c>
      <c r="U173" s="66" t="n">
        <v>19.6</v>
      </c>
      <c r="V173" s="66" t="n">
        <v>16.6</v>
      </c>
      <c r="W173" s="66" t="n">
        <v>22.6</v>
      </c>
      <c r="X173" s="66" t="n">
        <v>21</v>
      </c>
      <c r="Y173" s="66" t="n">
        <v>20.4</v>
      </c>
      <c r="Z173" s="66" t="n">
        <v>18.2</v>
      </c>
      <c r="AA173" s="66" t="n">
        <v>21.6</v>
      </c>
      <c r="AB173" s="66" t="n">
        <v>19</v>
      </c>
      <c r="AC173" s="66" t="n">
        <v/>
      </c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7">
        <f>COUNTIF(K173:AO173,"&gt;0")</f>
        <v/>
      </c>
      <c r="AQ173" s="68">
        <f>IF(AP173&gt;14,AVERAGE(K173:AO173),"")</f>
        <v/>
      </c>
      <c r="AR173" s="68">
        <f>IFERROR(VLOOKUP(A173,Climatologia_TMAX!A:U,9+$E$2,FALSE),"")</f>
        <v/>
      </c>
      <c r="AS173" s="68">
        <f>IF(OR(AQ173="",AR173=""),"",IFERROR(AQ173-AR173,""))</f>
        <v/>
      </c>
      <c r="AT173" s="74">
        <f>IF(COUNT(K173:AO173)=0,"",MAX(K173:AO173))</f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/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3" s="69">
        <f>IF(OR(AT173="",AU173=""),"NA",IFERROR(AT173-AU173,"NA"))</f>
        <v/>
      </c>
    </row>
    <row r="174" ht="14.25" customHeight="1">
      <c r="A174" s="64" t="n">
        <v>47015080</v>
      </c>
      <c r="B174" s="70" t="inlineStr">
        <is>
          <t>Monopamba</t>
        </is>
      </c>
      <c r="C174" s="70" t="inlineStr">
        <is>
          <t>Area Operativa 07 - Nariño-Putumayo</t>
        </is>
      </c>
      <c r="D174" s="99" t="n">
        <v>-77.30361111000001</v>
      </c>
      <c r="E174" s="99" t="n">
        <v>0.804916667</v>
      </c>
      <c r="F174" s="64" t="n">
        <v>1776</v>
      </c>
      <c r="G174" s="62" t="n">
        <v>52</v>
      </c>
      <c r="H174" s="62" t="n">
        <v>52573</v>
      </c>
      <c r="I174" s="72" t="inlineStr">
        <is>
          <t>Nariño</t>
        </is>
      </c>
      <c r="J174" s="72" t="inlineStr">
        <is>
          <t>Puerres</t>
        </is>
      </c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7">
        <f>COUNTIF(K174:AO174,"&gt;0")</f>
        <v/>
      </c>
      <c r="AQ174" s="68">
        <f>IF(AP174&gt;14,AVERAGE(K174:AO174),"")</f>
        <v/>
      </c>
      <c r="AR174" s="68">
        <f>IFERROR(VLOOKUP(A174,Climatologia_TMAX!A:U,9+$E$2,FALSE),"")</f>
        <v/>
      </c>
      <c r="AS174" s="68">
        <f>IF(OR(AQ174="",AR174=""),"",IFERROR(AQ174-AR174,""))</f>
        <v/>
      </c>
      <c r="AT174" s="74">
        <f>IF(COUNT(K174:AO174)=0,"",MAX(K174:AO174))</f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/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4" s="69">
        <f>IF(OR(AT174="",AU174=""),"NA",IFERROR(AT174-AU174,"NA"))</f>
        <v/>
      </c>
    </row>
    <row r="175" ht="14.25" customHeight="1">
      <c r="A175" s="64" t="n">
        <v>52045010</v>
      </c>
      <c r="B175" s="70" t="inlineStr">
        <is>
          <t>Obonuco</t>
        </is>
      </c>
      <c r="C175" s="70" t="inlineStr">
        <is>
          <t>Area Operativa 07 - Nariño-Putumayo</t>
        </is>
      </c>
      <c r="D175" s="99" t="n">
        <v>-77.30308333000001</v>
      </c>
      <c r="E175" s="99" t="n">
        <v>1.198222222</v>
      </c>
      <c r="F175" s="64" t="n">
        <v>2710</v>
      </c>
      <c r="G175" s="62" t="n">
        <v>52</v>
      </c>
      <c r="H175" s="62" t="n">
        <v>52001</v>
      </c>
      <c r="I175" s="72" t="inlineStr">
        <is>
          <t>Nariño</t>
        </is>
      </c>
      <c r="J175" s="72" t="inlineStr">
        <is>
          <t>Pasto</t>
        </is>
      </c>
      <c r="K175" s="66" t="n">
        <v>22</v>
      </c>
      <c r="L175" s="66" t="n">
        <v>17.8</v>
      </c>
      <c r="M175" s="66" t="n">
        <v>17.6</v>
      </c>
      <c r="N175" s="66" t="n">
        <v>19.4</v>
      </c>
      <c r="O175" s="66" t="n">
        <v>17</v>
      </c>
      <c r="P175" s="66" t="n">
        <v>16.4</v>
      </c>
      <c r="Q175" s="66" t="n">
        <v>19.4</v>
      </c>
      <c r="R175" s="66" t="n">
        <v>19.5</v>
      </c>
      <c r="S175" s="66" t="n">
        <v>19.3</v>
      </c>
      <c r="T175" s="66" t="n">
        <v>21.2</v>
      </c>
      <c r="U175" s="109" t="n">
        <v>18</v>
      </c>
      <c r="V175" s="66" t="n">
        <v>20.4</v>
      </c>
      <c r="W175" s="66" t="n">
        <v>18.6</v>
      </c>
      <c r="X175" s="66" t="n">
        <v>17.8</v>
      </c>
      <c r="Y175" s="66" t="n">
        <v>18.4</v>
      </c>
      <c r="Z175" s="66" t="n">
        <v>19.2</v>
      </c>
      <c r="AA175" s="66" t="n">
        <v>19.2</v>
      </c>
      <c r="AB175" s="66" t="n">
        <v>18.2</v>
      </c>
      <c r="AC175" s="66" t="n">
        <v>19.2</v>
      </c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7">
        <f>COUNTIF(K175:AO175,"&gt;0")</f>
        <v/>
      </c>
      <c r="AQ175" s="68">
        <f>IF(AP175&gt;14,AVERAGE(K175:AO175),"")</f>
        <v/>
      </c>
      <c r="AR175" s="68">
        <f>IFERROR(VLOOKUP(A175,Climatologia_TMAX!A:U,9+$E$2,FALSE),"")</f>
        <v/>
      </c>
      <c r="AS175" s="68">
        <f>IF(OR(AQ175="",AR175=""),"",IFERROR(AQ175-AR175,""))</f>
        <v/>
      </c>
      <c r="AT175" s="74">
        <f>IF(COUNT(K175:AO175)=0,"",MAX(K175:AO175))</f>
        <v/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/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5" s="69">
        <f>IF(OR(AT175="",AU175=""),"NA",IFERROR(AT175-AU175,"NA"))</f>
        <v/>
      </c>
    </row>
    <row r="176" ht="14.25" customHeight="1">
      <c r="A176" s="64" t="n">
        <v>52015010</v>
      </c>
      <c r="B176" s="70" t="inlineStr">
        <is>
          <t>Paispamba</t>
        </is>
      </c>
      <c r="C176" s="70" t="inlineStr">
        <is>
          <t>Area Operativa 07 - Nariño-Putumayo</t>
        </is>
      </c>
      <c r="D176" s="99" t="n">
        <v>-76.61194444</v>
      </c>
      <c r="E176" s="99" t="n">
        <v>2.249722222</v>
      </c>
      <c r="F176" s="64" t="n">
        <v>2450</v>
      </c>
      <c r="G176" s="62" t="n">
        <v>19</v>
      </c>
      <c r="H176" s="62" t="n">
        <v>19760</v>
      </c>
      <c r="I176" s="72" t="inlineStr">
        <is>
          <t>Cauca</t>
        </is>
      </c>
      <c r="J176" s="72" t="inlineStr">
        <is>
          <t>Sotará Paispamba</t>
        </is>
      </c>
      <c r="K176" s="66" t="n">
        <v>22.4</v>
      </c>
      <c r="L176" s="66" t="n">
        <v>20.9</v>
      </c>
      <c r="M176" s="66" t="n">
        <v>19.6</v>
      </c>
      <c r="N176" s="66" t="n">
        <v>20.9</v>
      </c>
      <c r="O176" s="66" t="n">
        <v>20.5</v>
      </c>
      <c r="P176" s="66" t="n">
        <v>19.2</v>
      </c>
      <c r="Q176" s="66" t="n">
        <v>18.9</v>
      </c>
      <c r="R176" s="66" t="n">
        <v>20.5</v>
      </c>
      <c r="S176" s="66" t="n">
        <v>21.9</v>
      </c>
      <c r="T176" s="66" t="n">
        <v>22.5</v>
      </c>
      <c r="U176" s="109" t="n">
        <v>20.6</v>
      </c>
      <c r="V176" s="109" t="n">
        <v>21.9</v>
      </c>
      <c r="W176" s="66" t="n">
        <v>20.7</v>
      </c>
      <c r="X176" s="66" t="n">
        <v>21.2</v>
      </c>
      <c r="Y176" s="66" t="n">
        <v>21.4</v>
      </c>
      <c r="Z176" s="66" t="n">
        <v>19.9</v>
      </c>
      <c r="AA176" s="66" t="n">
        <v>21.8</v>
      </c>
      <c r="AB176" s="66" t="n">
        <v>20.4</v>
      </c>
      <c r="AC176" s="66" t="n">
        <v>21.5</v>
      </c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7">
        <f>COUNTIF(K176:AO176,"&gt;0")</f>
        <v/>
      </c>
      <c r="AQ176" s="68">
        <f>IF(AP176&gt;14,AVERAGE(K176:AO176),"")</f>
        <v/>
      </c>
      <c r="AR176" s="68">
        <f>IFERROR(VLOOKUP(A176,Climatologia_TMAX!A:U,9+$E$2,FALSE),"")</f>
        <v/>
      </c>
      <c r="AS176" s="68">
        <f>IF(OR(AQ176="",AR176=""),"",IFERROR(AQ176-AR176,""))</f>
        <v/>
      </c>
      <c r="AT176" s="74">
        <f>IF(COUNT(K176:AO176)=0,"",MAX(K176:AO176))</f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/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6" s="69">
        <f>IF(OR(AT176="",AU176=""),"NA",IFERROR(AT176-AU176,"NA"))</f>
        <v/>
      </c>
    </row>
    <row r="177" ht="14.25" customHeight="1">
      <c r="A177" s="64" t="n">
        <v>47045010</v>
      </c>
      <c r="B177" s="70" t="inlineStr">
        <is>
          <t>Puerto Leguizamo</t>
        </is>
      </c>
      <c r="C177" s="70" t="inlineStr">
        <is>
          <t>Area Operativa 07 - Nariño-Putumayo</t>
        </is>
      </c>
      <c r="D177" s="99" t="n">
        <v>-74.77627778</v>
      </c>
      <c r="E177" s="99" t="n">
        <v>-0.180611111</v>
      </c>
      <c r="F177" s="64" t="n">
        <v>147</v>
      </c>
      <c r="G177" s="62" t="n">
        <v>86</v>
      </c>
      <c r="H177" s="62" t="n">
        <v>86573</v>
      </c>
      <c r="I177" s="72" t="inlineStr">
        <is>
          <t>Putumayo</t>
        </is>
      </c>
      <c r="J177" s="72" t="inlineStr">
        <is>
          <t>Puerto Leguízamo</t>
        </is>
      </c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7">
        <f>COUNTIF(K177:AO177,"&gt;0")</f>
        <v/>
      </c>
      <c r="AQ177" s="68">
        <f>IF(AP177&gt;14,AVERAGE(K177:AO177),"")</f>
        <v/>
      </c>
      <c r="AR177" s="68">
        <f>IFERROR(VLOOKUP(A177,Climatologia_TMAX!A:U,9+$E$2,FALSE),"")</f>
        <v/>
      </c>
      <c r="AS177" s="68">
        <f>IF(OR(AQ177="",AR177=""),"",IFERROR(AQ177-AR177,""))</f>
        <v/>
      </c>
      <c r="AT177" s="74">
        <f>IF(COUNT(K177:AO177)=0,"",MAX(K177:AO177))</f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/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7" s="69">
        <f>IF(OR(AT177="",AU177=""),"NA",IFERROR(AT177-AU177,"NA"))</f>
        <v/>
      </c>
    </row>
    <row r="178" ht="14.25" customHeight="1">
      <c r="A178" s="64" t="n">
        <v>47035020</v>
      </c>
      <c r="B178" s="70" t="inlineStr">
        <is>
          <t>Puerto Ospina</t>
        </is>
      </c>
      <c r="C178" s="70" t="inlineStr">
        <is>
          <t>Area Operativa 07 - Nariño-Putumayo</t>
        </is>
      </c>
      <c r="D178" s="99" t="n">
        <v>-75.85111111000001</v>
      </c>
      <c r="E178" s="99" t="n">
        <v>0.132861111</v>
      </c>
      <c r="F178" s="64" t="n">
        <v>190</v>
      </c>
      <c r="G178" s="62" t="n">
        <v>86</v>
      </c>
      <c r="H178" s="62" t="n">
        <v>86573</v>
      </c>
      <c r="I178" s="72" t="inlineStr">
        <is>
          <t>Putumayo</t>
        </is>
      </c>
      <c r="J178" s="72" t="inlineStr">
        <is>
          <t>Puerto Leguízamo</t>
        </is>
      </c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7">
        <f>COUNTIF(K178:AO178,"&gt;0")</f>
        <v/>
      </c>
      <c r="AQ178" s="68">
        <f>IF(AP178&gt;14,AVERAGE(K178:AO178),"")</f>
        <v/>
      </c>
      <c r="AR178" s="68">
        <f>IFERROR(VLOOKUP(A178,Climatologia_TMAX!A:U,9+$E$2,FALSE),"")</f>
        <v/>
      </c>
      <c r="AS178" s="68">
        <f>IF(OR(AQ178="",AR178=""),"",IFERROR(AQ178-AR178,""))</f>
        <v/>
      </c>
      <c r="AT178" s="74">
        <f>IF(COUNT(K178:AO178)=0,"",MAX(K178:AO178))</f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/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8" s="69">
        <f>IF(OR(AT178="",AU178=""),"NA",IFERROR(AT178-AU178,"NA"))</f>
        <v/>
      </c>
    </row>
    <row r="179" ht="14.25" customHeight="1">
      <c r="A179" s="64" t="n">
        <v>47015070</v>
      </c>
      <c r="B179" s="70" t="inlineStr">
        <is>
          <t>Puerto Umbria</t>
        </is>
      </c>
      <c r="C179" s="70" t="inlineStr">
        <is>
          <t>Area Operativa 07 - Nariño-Putumayo</t>
        </is>
      </c>
      <c r="D179" s="99" t="n">
        <v>-76.57044444</v>
      </c>
      <c r="E179" s="99" t="n">
        <v>0.838972222</v>
      </c>
      <c r="F179" s="64" t="n">
        <v>362</v>
      </c>
      <c r="G179" s="62" t="n">
        <v>86</v>
      </c>
      <c r="H179" s="62" t="n">
        <v>86885</v>
      </c>
      <c r="I179" s="72" t="inlineStr">
        <is>
          <t>Putumayo</t>
        </is>
      </c>
      <c r="J179" s="72" t="inlineStr">
        <is>
          <t>Villagarzón</t>
        </is>
      </c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7">
        <f>COUNTIF(K179:AO179,"&gt;0")</f>
        <v/>
      </c>
      <c r="AQ179" s="68">
        <f>IF(AP179&gt;14,AVERAGE(K179:AO179),"")</f>
        <v/>
      </c>
      <c r="AR179" s="68">
        <f>IFERROR(VLOOKUP(A179,Climatologia_TMAX!A:U,9+$E$2,FALSE),"")</f>
        <v/>
      </c>
      <c r="AS179" s="68">
        <f>IF(OR(AQ179="",AR179=""),"",IFERROR(AQ179-AR179,""))</f>
        <v/>
      </c>
      <c r="AT179" s="74">
        <f>IF(COUNT(K179:AO179)=0,"",MAX(K179:AO179))</f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/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9" s="69">
        <f>IF(OR(AT179="",AU179=""),"NA",IFERROR(AT179-AU179,"NA"))</f>
        <v/>
      </c>
    </row>
    <row r="180" ht="14.25" customHeight="1">
      <c r="A180" s="64" t="n">
        <v>52045030</v>
      </c>
      <c r="B180" s="70" t="inlineStr">
        <is>
          <t>San Bernardo</t>
        </is>
      </c>
      <c r="C180" s="70" t="inlineStr">
        <is>
          <t>Area Operativa 07 - Nariño-Putumayo</t>
        </is>
      </c>
      <c r="D180" s="99" t="n">
        <v>-77.03261111</v>
      </c>
      <c r="E180" s="99" t="n">
        <v>1.538722222</v>
      </c>
      <c r="F180" s="64" t="n">
        <v>2190</v>
      </c>
      <c r="G180" s="62" t="n">
        <v>52</v>
      </c>
      <c r="H180" s="62" t="n">
        <v>52685</v>
      </c>
      <c r="I180" s="72" t="inlineStr">
        <is>
          <t>Nariño</t>
        </is>
      </c>
      <c r="J180" s="72" t="inlineStr">
        <is>
          <t>San Bernardo</t>
        </is>
      </c>
      <c r="K180" s="66" t="n">
        <v>27.6</v>
      </c>
      <c r="L180" s="66" t="n">
        <v>26</v>
      </c>
      <c r="M180" s="66" t="n">
        <v>24</v>
      </c>
      <c r="N180" s="66" t="n">
        <v>26.4</v>
      </c>
      <c r="O180" s="66" t="n">
        <v>25.4</v>
      </c>
      <c r="P180" s="66" t="n">
        <v>24.4</v>
      </c>
      <c r="Q180" s="66" t="n">
        <v>23</v>
      </c>
      <c r="R180" s="66" t="n">
        <v>27.4</v>
      </c>
      <c r="S180" s="66" t="n">
        <v>26</v>
      </c>
      <c r="T180" s="66" t="n">
        <v>27.2</v>
      </c>
      <c r="U180" s="109" t="n">
        <v>24.8</v>
      </c>
      <c r="V180" s="66" t="n">
        <v>27.2</v>
      </c>
      <c r="W180" s="66" t="n">
        <v>26.4</v>
      </c>
      <c r="X180" s="66" t="n">
        <v>26.4</v>
      </c>
      <c r="Y180" s="66" t="n">
        <v>25.4</v>
      </c>
      <c r="Z180" s="66" t="n">
        <v>24.4</v>
      </c>
      <c r="AA180" s="66" t="n">
        <v>27.2</v>
      </c>
      <c r="AB180" s="66" t="n">
        <v>24.6</v>
      </c>
      <c r="AC180" s="66" t="n">
        <v>24.2</v>
      </c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7">
        <f>COUNTIF(K180:AO180,"&gt;0")</f>
        <v/>
      </c>
      <c r="AQ180" s="68">
        <f>IF(AP180&gt;14,AVERAGE(K180:AO180),"")</f>
        <v/>
      </c>
      <c r="AR180" s="68">
        <f>IFERROR(VLOOKUP(A180,Climatologia_TMAX!A:U,9+$E$2,FALSE),"")</f>
        <v/>
      </c>
      <c r="AS180" s="68">
        <f>IF(OR(AQ180="",AR180=""),"",IFERROR(AQ180-AR180,""))</f>
        <v/>
      </c>
      <c r="AT180" s="74">
        <f>IF(COUNT(K180:AO180)=0,"",MAX(K180:AO180))</f>
        <v/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/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0" s="69">
        <f>IF(OR(AT180="",AU180=""),"NA",IFERROR(AT180-AU180,"NA"))</f>
        <v/>
      </c>
    </row>
    <row r="181" ht="14.25" customHeight="1">
      <c r="A181" s="64" t="n">
        <v>52055090</v>
      </c>
      <c r="B181" s="70" t="inlineStr">
        <is>
          <t>Sindagua</t>
        </is>
      </c>
      <c r="C181" s="70" t="inlineStr">
        <is>
          <t>Area Operativa 07 - Nariño-Putumayo</t>
        </is>
      </c>
      <c r="D181" s="99" t="n">
        <v>-77.38936111</v>
      </c>
      <c r="E181" s="99" t="n">
        <v>1.107583333</v>
      </c>
      <c r="F181" s="64" t="n">
        <v>2800</v>
      </c>
      <c r="G181" s="62" t="n">
        <v>52</v>
      </c>
      <c r="H181" s="62" t="n">
        <v>52788</v>
      </c>
      <c r="I181" s="72" t="inlineStr">
        <is>
          <t>Nariño</t>
        </is>
      </c>
      <c r="J181" s="72" t="inlineStr">
        <is>
          <t>Tangua</t>
        </is>
      </c>
      <c r="K181" s="66" t="n">
        <v>22</v>
      </c>
      <c r="L181" s="66" t="n">
        <v>20</v>
      </c>
      <c r="M181" s="66" t="n">
        <v>18.9</v>
      </c>
      <c r="N181" s="66" t="n">
        <v/>
      </c>
      <c r="O181" s="66" t="n">
        <v/>
      </c>
      <c r="P181" s="66" t="n">
        <v>19.9</v>
      </c>
      <c r="Q181" s="66" t="n">
        <v>18.1</v>
      </c>
      <c r="R181" s="66" t="n">
        <v>18.2</v>
      </c>
      <c r="S181" s="66" t="n">
        <v>19.9</v>
      </c>
      <c r="T181" s="66" t="n">
        <v>21</v>
      </c>
      <c r="U181" s="109" t="n">
        <v>19</v>
      </c>
      <c r="V181" s="66" t="n">
        <v>20.4</v>
      </c>
      <c r="W181" s="66" t="n">
        <v>20</v>
      </c>
      <c r="X181" s="66" t="n">
        <v>19.4</v>
      </c>
      <c r="Y181" s="66" t="n">
        <v>19.2</v>
      </c>
      <c r="Z181" s="66" t="n">
        <v>18</v>
      </c>
      <c r="AA181" s="66" t="n">
        <v>17.2</v>
      </c>
      <c r="AB181" s="66" t="n">
        <v>19</v>
      </c>
      <c r="AC181" s="66" t="n">
        <v>19.1</v>
      </c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7">
        <f>COUNTIF(K181:AO181,"&gt;0")</f>
        <v/>
      </c>
      <c r="AQ181" s="68">
        <f>IF(AP181&gt;14,AVERAGE(K181:AO181),"")</f>
        <v/>
      </c>
      <c r="AR181" s="68">
        <f>IFERROR(VLOOKUP(A181,Climatologia_TMAX!A:U,9+$E$2,FALSE),"")</f>
        <v/>
      </c>
      <c r="AS181" s="68">
        <f>IF(OR(AQ181="",AR181=""),"",IFERROR(AQ181-AR181,""))</f>
        <v/>
      </c>
      <c r="AT181" s="74">
        <f>IF(COUNT(K181:AO181)=0,"",MAX(K181:AO181))</f>
        <v/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/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1" s="69">
        <f>IF(OR(AT181="",AU181=""),"NA",IFERROR(AT181-AU181,"NA"))</f>
        <v/>
      </c>
    </row>
    <row r="182" ht="14.25" customHeight="1">
      <c r="A182" s="64" t="n">
        <v>52045040</v>
      </c>
      <c r="B182" s="70" t="inlineStr">
        <is>
          <t>Taminango</t>
        </is>
      </c>
      <c r="C182" s="70" t="inlineStr">
        <is>
          <t>Area Operativa 07 - Nariño-Putumayo</t>
        </is>
      </c>
      <c r="D182" s="99" t="n">
        <v>-77.2675</v>
      </c>
      <c r="E182" s="99" t="n">
        <v>1.549166667</v>
      </c>
      <c r="F182" s="64" t="n">
        <v>1875</v>
      </c>
      <c r="G182" s="62" t="n">
        <v>52</v>
      </c>
      <c r="H182" s="62" t="n">
        <v>52786</v>
      </c>
      <c r="I182" s="72" t="inlineStr">
        <is>
          <t>Nariño</t>
        </is>
      </c>
      <c r="J182" s="72" t="inlineStr">
        <is>
          <t>Taminango</t>
        </is>
      </c>
      <c r="K182" s="66" t="n">
        <v>30.2</v>
      </c>
      <c r="L182" s="66" t="n">
        <v>25.4</v>
      </c>
      <c r="M182" s="66" t="n">
        <v>28.4</v>
      </c>
      <c r="N182" s="66" t="n">
        <v>29.6</v>
      </c>
      <c r="O182" s="66" t="n">
        <v>28.4</v>
      </c>
      <c r="P182" s="66" t="n">
        <v>28</v>
      </c>
      <c r="Q182" s="66" t="n">
        <v>25.8</v>
      </c>
      <c r="R182" s="66" t="n">
        <v>27</v>
      </c>
      <c r="S182" s="66" t="n">
        <v>30</v>
      </c>
      <c r="T182" s="66" t="n">
        <v>28</v>
      </c>
      <c r="U182" s="66" t="n">
        <v>26.8</v>
      </c>
      <c r="V182" s="66" t="n">
        <v>29</v>
      </c>
      <c r="W182" s="66" t="n">
        <v>29.4</v>
      </c>
      <c r="X182" s="66" t="n">
        <v>28.2</v>
      </c>
      <c r="Y182" s="66" t="n">
        <v>29</v>
      </c>
      <c r="Z182" s="66" t="n">
        <v>29.2</v>
      </c>
      <c r="AA182" s="66" t="n">
        <v>29.6</v>
      </c>
      <c r="AB182" s="66" t="n">
        <v>28.8</v>
      </c>
      <c r="AC182" s="66" t="n">
        <v>26.6</v>
      </c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7">
        <f>COUNTIF(K182:AO182,"&gt;0")</f>
        <v/>
      </c>
      <c r="AQ182" s="68">
        <f>IF(AP182&gt;14,AVERAGE(K182:AO182),"")</f>
        <v/>
      </c>
      <c r="AR182" s="68">
        <f>IFERROR(VLOOKUP(A182,Climatologia_TMAX!A:U,9+$E$2,FALSE),"")</f>
        <v/>
      </c>
      <c r="AS182" s="68">
        <f>IF(OR(AQ182="",AR182=""),"",IFERROR(AQ182-AR182,""))</f>
        <v/>
      </c>
      <c r="AT182" s="74">
        <f>IF(COUNT(K182:AO182)=0,"",MAX(K182:AO182))</f>
        <v/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/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2" s="69">
        <f>IF(OR(AT182="",AU182=""),"NA",IFERROR(AT182-AU182,"NA"))</f>
        <v/>
      </c>
    </row>
    <row r="183" ht="14.25" customHeight="1">
      <c r="A183" s="64" t="n">
        <v>52055060</v>
      </c>
      <c r="B183" s="108" t="inlineStr">
        <is>
          <t>Tanama</t>
        </is>
      </c>
      <c r="C183" s="70" t="inlineStr">
        <is>
          <t>Area Operativa 07 - Nariño-Putumayo</t>
        </is>
      </c>
      <c r="D183" s="99" t="n">
        <v>-77.58305556000001</v>
      </c>
      <c r="E183" s="99" t="n">
        <v>1.373555556</v>
      </c>
      <c r="F183" s="64" t="n">
        <v>1500</v>
      </c>
      <c r="G183" s="62" t="n">
        <v>52</v>
      </c>
      <c r="H183" s="62" t="n">
        <v>52678</v>
      </c>
      <c r="I183" s="72" t="inlineStr">
        <is>
          <t>Nariño</t>
        </is>
      </c>
      <c r="J183" s="72" t="inlineStr">
        <is>
          <t>Samaniego</t>
        </is>
      </c>
      <c r="K183" s="66" t="n">
        <v>31.2</v>
      </c>
      <c r="L183" s="66" t="n">
        <v>30.4</v>
      </c>
      <c r="M183" s="66" t="n">
        <v>29.6</v>
      </c>
      <c r="N183" s="66" t="n">
        <v>31.6</v>
      </c>
      <c r="O183" s="66" t="n">
        <v>28.8</v>
      </c>
      <c r="P183" s="66" t="n">
        <v>31.8</v>
      </c>
      <c r="Q183" s="66" t="n">
        <v>29.8</v>
      </c>
      <c r="R183" s="66" t="n">
        <v>32</v>
      </c>
      <c r="S183" s="66" t="n">
        <v>31.8</v>
      </c>
      <c r="T183" s="66" t="n">
        <v>32</v>
      </c>
      <c r="U183" s="66" t="n">
        <v>29.2</v>
      </c>
      <c r="V183" s="66" t="n">
        <v>33.2</v>
      </c>
      <c r="W183" s="66" t="n">
        <v>31.8</v>
      </c>
      <c r="X183" s="66" t="n">
        <v>29.6</v>
      </c>
      <c r="Y183" s="66" t="n">
        <v>31.4</v>
      </c>
      <c r="Z183" s="66" t="n">
        <v>29.2</v>
      </c>
      <c r="AA183" s="66" t="n">
        <v>31.8</v>
      </c>
      <c r="AB183" s="66" t="n">
        <v>30.4</v>
      </c>
      <c r="AC183" s="109" t="n">
        <v>28.8</v>
      </c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7">
        <f>COUNTIF(K183:AO183,"&gt;0")</f>
        <v/>
      </c>
      <c r="AQ183" s="68">
        <f>IF(AP183&gt;14,AVERAGE(K183:AO183),"")</f>
        <v/>
      </c>
      <c r="AR183" s="68">
        <f>IFERROR(VLOOKUP(A183,Climatologia_TMAX!A:U,9+$E$2,FALSE),"")</f>
        <v/>
      </c>
      <c r="AS183" s="68">
        <f>IF(OR(AQ183="",AR183=""),"",IFERROR(AQ183-AR183,""))</f>
        <v/>
      </c>
      <c r="AT183" s="74">
        <f>IF(COUNT(K183:AO183)=0,"",MAX(K183:AO183))</f>
        <v/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/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3" s="69">
        <f>IF(OR(AT183="",AU183=""),"NA",IFERROR(AT183-AU183,"NA"))</f>
        <v/>
      </c>
    </row>
    <row r="184" ht="14.25" customHeight="1">
      <c r="A184" s="64" t="n">
        <v>44015030</v>
      </c>
      <c r="B184" s="70" t="inlineStr">
        <is>
          <t>Valencia</t>
        </is>
      </c>
      <c r="C184" s="70" t="inlineStr">
        <is>
          <t>Area Operativa 07 - Nariño-Putumayo</t>
        </is>
      </c>
      <c r="D184" s="99" t="n">
        <v>-76.66875</v>
      </c>
      <c r="E184" s="99" t="n">
        <v>1.900416667</v>
      </c>
      <c r="F184" s="64" t="n">
        <v>2900</v>
      </c>
      <c r="G184" s="62" t="n">
        <v>19</v>
      </c>
      <c r="H184" s="62" t="n">
        <v>19693</v>
      </c>
      <c r="I184" s="72" t="inlineStr">
        <is>
          <t>Cauca</t>
        </is>
      </c>
      <c r="J184" s="72" t="inlineStr">
        <is>
          <t>San Sebastián</t>
        </is>
      </c>
      <c r="K184" s="66" t="n">
        <v>17.8</v>
      </c>
      <c r="L184" s="66" t="n">
        <v>16.8</v>
      </c>
      <c r="M184" s="66" t="n">
        <v>14.8</v>
      </c>
      <c r="N184" s="66" t="n">
        <v>17.6</v>
      </c>
      <c r="O184" s="66" t="n">
        <v>16.6</v>
      </c>
      <c r="P184" s="66" t="n">
        <v>15.8</v>
      </c>
      <c r="Q184" s="66" t="n">
        <v>13.8</v>
      </c>
      <c r="R184" s="66" t="n">
        <v>16.4</v>
      </c>
      <c r="S184" s="66" t="n">
        <v>15.6</v>
      </c>
      <c r="T184" s="66" t="n">
        <v>18.8</v>
      </c>
      <c r="U184" s="109" t="n">
        <v>17.2</v>
      </c>
      <c r="V184" s="66" t="n">
        <v>17.8</v>
      </c>
      <c r="W184" s="66" t="n">
        <v>17.6</v>
      </c>
      <c r="X184" s="66" t="n">
        <v>17.4</v>
      </c>
      <c r="Y184" s="66" t="n">
        <v>17</v>
      </c>
      <c r="Z184" s="66" t="n">
        <v>15.8</v>
      </c>
      <c r="AA184" s="66" t="n">
        <v>17.8</v>
      </c>
      <c r="AB184" s="66" t="n">
        <v>17.2</v>
      </c>
      <c r="AC184" s="66" t="n">
        <v>17.4</v>
      </c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7">
        <f>COUNTIF(K184:AO184,"&gt;0")</f>
        <v/>
      </c>
      <c r="AQ184" s="68">
        <f>IF(AP184&gt;14,AVERAGE(K184:AO184),"")</f>
        <v/>
      </c>
      <c r="AR184" s="68">
        <f>IFERROR(VLOOKUP(A184,Climatologia_TMAX!A:U,9+$E$2,FALSE),"")</f>
        <v/>
      </c>
      <c r="AS184" s="68">
        <f>IF(OR(AQ184="",AR184=""),"",IFERROR(AQ184-AR184,""))</f>
        <v/>
      </c>
      <c r="AT184" s="74">
        <f>IF(COUNT(K184:AO184)=0,"",MAX(K184:AO184))</f>
        <v/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/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4" s="69">
        <f>IF(OR(AT184="",AU184=""),"NA",IFERROR(AT184-AU184,"NA"))</f>
        <v/>
      </c>
    </row>
    <row r="185" ht="14.25" customHeight="1">
      <c r="A185" s="64" t="n">
        <v>16055040</v>
      </c>
      <c r="B185" s="70" t="inlineStr">
        <is>
          <t>Abrego Centro Admo</t>
        </is>
      </c>
      <c r="C185" s="70" t="inlineStr">
        <is>
          <t>Area Operativa 08 - Santanderes-Arauca</t>
        </is>
      </c>
      <c r="D185" s="99" t="n">
        <v>-73.22305556000001</v>
      </c>
      <c r="E185" s="99" t="n">
        <v>8.087222221999999</v>
      </c>
      <c r="F185" s="64" t="n">
        <v>1430</v>
      </c>
      <c r="G185" s="62" t="n">
        <v>54</v>
      </c>
      <c r="H185" s="62" t="n">
        <v>54003</v>
      </c>
      <c r="I185" s="72" t="inlineStr">
        <is>
          <t>Norte De Santander</t>
        </is>
      </c>
      <c r="J185" s="72" t="inlineStr">
        <is>
          <t>Ábrego</t>
        </is>
      </c>
      <c r="K185" s="66" t="n">
        <v>29</v>
      </c>
      <c r="L185" s="66" t="n">
        <v>29</v>
      </c>
      <c r="M185" s="66" t="n">
        <v>29.6</v>
      </c>
      <c r="N185" s="66" t="n">
        <v>30.4</v>
      </c>
      <c r="O185" s="66" t="n">
        <v>31.2</v>
      </c>
      <c r="P185" s="66" t="n">
        <v>30</v>
      </c>
      <c r="Q185" s="66" t="n">
        <v>31.4</v>
      </c>
      <c r="R185" s="66" t="n">
        <v>31.8</v>
      </c>
      <c r="S185" s="66" t="n">
        <v>32</v>
      </c>
      <c r="T185" s="66" t="n">
        <v>32</v>
      </c>
      <c r="U185" s="66" t="n">
        <v>32.6</v>
      </c>
      <c r="V185" s="66" t="n">
        <v>25.4</v>
      </c>
      <c r="W185" s="66" t="n">
        <v>31.8</v>
      </c>
      <c r="X185" s="66" t="n">
        <v>33.8</v>
      </c>
      <c r="Y185" s="66" t="n">
        <v>33.4</v>
      </c>
      <c r="Z185" s="66" t="n">
        <v>32.6</v>
      </c>
      <c r="AA185" s="66" t="n">
        <v>33.4</v>
      </c>
      <c r="AB185" s="66" t="n">
        <v/>
      </c>
      <c r="AC185" s="66" t="n">
        <v/>
      </c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7">
        <f>COUNTIF(K185:AO185,"&gt;0")</f>
        <v/>
      </c>
      <c r="AQ185" s="68">
        <f>IF(AP185&gt;14,AVERAGE(K185:AO185),"")</f>
        <v/>
      </c>
      <c r="AR185" s="68">
        <f>IFERROR(VLOOKUP(A185,Climatologia_TMAX!A:U,9+$E$2,FALSE),"")</f>
        <v/>
      </c>
      <c r="AS185" s="68">
        <f>IF(OR(AQ185="",AR185=""),"",IFERROR(AQ185-AR185,""))</f>
        <v/>
      </c>
      <c r="AT185" s="74">
        <f>IF(COUNT(K185:AO185)=0,"",MAX(K185:AO185))</f>
        <v/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/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5" s="69">
        <f>IF(OR(AT185="",AU185=""),"NA",IFERROR(AT185-AU185,"NA"))</f>
        <v/>
      </c>
    </row>
    <row r="186" ht="14.25" customHeight="1">
      <c r="A186" s="64" t="n">
        <v>16055010</v>
      </c>
      <c r="B186" s="70" t="inlineStr">
        <is>
          <t>Aeropuerto Aguas Claras</t>
        </is>
      </c>
      <c r="C186" s="70" t="inlineStr">
        <is>
          <t>Area Operativa 08 - Santanderes-Arauca</t>
        </is>
      </c>
      <c r="D186" s="99" t="n">
        <v>-73.3575</v>
      </c>
      <c r="E186" s="99" t="n">
        <v>8.315277778</v>
      </c>
      <c r="F186" s="64" t="n">
        <v>1435</v>
      </c>
      <c r="G186" s="62" t="n">
        <v>54</v>
      </c>
      <c r="H186" s="62" t="n">
        <v>54498</v>
      </c>
      <c r="I186" s="72" t="inlineStr">
        <is>
          <t>Norte De Santander</t>
        </is>
      </c>
      <c r="J186" s="72" t="inlineStr">
        <is>
          <t>Ocaña</t>
        </is>
      </c>
      <c r="K186" s="66" t="n">
        <v>29.2</v>
      </c>
      <c r="L186" s="66" t="n">
        <v>28.4</v>
      </c>
      <c r="M186" s="66" t="n">
        <v>29.2</v>
      </c>
      <c r="N186" s="66" t="n">
        <v>29.4</v>
      </c>
      <c r="O186" s="66" t="n">
        <v>29.4</v>
      </c>
      <c r="P186" s="66" t="n">
        <v>30.8</v>
      </c>
      <c r="Q186" s="66" t="n">
        <v>32.2</v>
      </c>
      <c r="R186" s="66" t="n">
        <v>31.4</v>
      </c>
      <c r="S186" s="66" t="n">
        <v>32.2</v>
      </c>
      <c r="T186" s="66" t="n">
        <v>30.2</v>
      </c>
      <c r="U186" s="66" t="n">
        <v>28.4</v>
      </c>
      <c r="V186" s="66" t="n">
        <v>28.8</v>
      </c>
      <c r="W186" s="66" t="n">
        <v>28.8</v>
      </c>
      <c r="X186" s="66" t="n">
        <v>31.8</v>
      </c>
      <c r="Y186" s="66" t="n">
        <v>30.4</v>
      </c>
      <c r="Z186" s="66" t="n">
        <v>29.8</v>
      </c>
      <c r="AA186" s="66" t="n">
        <v>30</v>
      </c>
      <c r="AB186" s="66" t="n">
        <v>30.2</v>
      </c>
      <c r="AC186" s="66" t="n">
        <v>27</v>
      </c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7">
        <f>COUNTIF(K186:AO186,"&gt;0")</f>
        <v/>
      </c>
      <c r="AQ186" s="68">
        <f>IF(AP186&gt;14,AVERAGE(K186:AO186),"")</f>
        <v/>
      </c>
      <c r="AR186" s="68">
        <f>IFERROR(VLOOKUP(A186,Climatologia_TMAX!A:U,9+$E$2,FALSE),"")</f>
        <v/>
      </c>
      <c r="AS186" s="68">
        <f>IF(OR(AQ186="",AR186=""),"",IFERROR(AQ186-AR186,""))</f>
        <v/>
      </c>
      <c r="AT186" s="74">
        <f>IF(COUNT(K186:AO186)=0,"",MAX(K186:AO186))</f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/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6" s="69">
        <f>IF(OR(AT186="",AU186=""),"NA",IFERROR(AT186-AU186,"NA"))</f>
        <v/>
      </c>
    </row>
    <row r="187" ht="14.25" customHeight="1">
      <c r="A187" s="64" t="n">
        <v>23125060</v>
      </c>
      <c r="B187" s="70" t="inlineStr">
        <is>
          <t>Albania</t>
        </is>
      </c>
      <c r="C187" s="70" t="inlineStr">
        <is>
          <t>Area Operativa 08 - Santanderes-Arauca</t>
        </is>
      </c>
      <c r="D187" s="99" t="n">
        <v>-73.91333333</v>
      </c>
      <c r="E187" s="99" t="n">
        <v>5.758333333</v>
      </c>
      <c r="F187" s="64" t="n">
        <v>1690</v>
      </c>
      <c r="G187" s="62" t="n">
        <v>68</v>
      </c>
      <c r="H187" s="62" t="n">
        <v>68020</v>
      </c>
      <c r="I187" s="72" t="inlineStr">
        <is>
          <t>Santander</t>
        </is>
      </c>
      <c r="J187" s="72" t="inlineStr">
        <is>
          <t>Albania</t>
        </is>
      </c>
      <c r="K187" s="66" t="n">
        <v>24.8</v>
      </c>
      <c r="L187" s="66" t="n">
        <v>25</v>
      </c>
      <c r="M187" s="66" t="n">
        <v>27.4</v>
      </c>
      <c r="N187" s="66" t="n">
        <v>27.6</v>
      </c>
      <c r="O187" s="66" t="n">
        <v>27.8</v>
      </c>
      <c r="P187" s="66" t="n">
        <v>29</v>
      </c>
      <c r="Q187" s="66" t="n">
        <v>26</v>
      </c>
      <c r="R187" s="66" t="n">
        <v>28.6</v>
      </c>
      <c r="S187" s="66" t="n">
        <v>28.6</v>
      </c>
      <c r="T187" s="66" t="n">
        <v>28</v>
      </c>
      <c r="U187" s="66" t="n">
        <v>29.2</v>
      </c>
      <c r="V187" s="66" t="n">
        <v>27.6</v>
      </c>
      <c r="W187" s="66" t="n">
        <v>25.2</v>
      </c>
      <c r="X187" s="66" t="n">
        <v>28.4</v>
      </c>
      <c r="Y187" s="66" t="n">
        <v>28.2</v>
      </c>
      <c r="Z187" s="66" t="n">
        <v>27.6</v>
      </c>
      <c r="AA187" s="66" t="n">
        <v>30.2</v>
      </c>
      <c r="AB187" s="66" t="n">
        <v>29.8</v>
      </c>
      <c r="AC187" s="66" t="n">
        <v>26</v>
      </c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7">
        <f>COUNTIF(K187:AO187,"&gt;0")</f>
        <v/>
      </c>
      <c r="AQ187" s="68">
        <f>IF(AP187&gt;14,AVERAGE(K187:AO187),"")</f>
        <v/>
      </c>
      <c r="AR187" s="68">
        <f>IFERROR(VLOOKUP(A187,Climatologia_TMAX!A:U,9+$E$2,FALSE),"")</f>
        <v/>
      </c>
      <c r="AS187" s="68">
        <f>IF(OR(AQ187="",AR187=""),"",IFERROR(AQ187-AR187,""))</f>
        <v/>
      </c>
      <c r="AT187" s="74">
        <f>IF(COUNT(K187:AO187)=0,"",MAX(K187:AO187))</f>
        <v/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/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7" s="69">
        <f>IF(OR(AT187="",AU187=""),"NA",IFERROR(AT187-AU187,"NA"))</f>
        <v/>
      </c>
    </row>
    <row r="188" ht="14.25" customHeight="1">
      <c r="A188" s="64" t="n">
        <v>37015020</v>
      </c>
      <c r="B188" s="108" t="inlineStr">
        <is>
          <t>Berlin</t>
        </is>
      </c>
      <c r="C188" s="70" t="inlineStr">
        <is>
          <t>Area Operativa 08 - Santanderes-Arauca</t>
        </is>
      </c>
      <c r="D188" s="101" t="n">
        <v>-72.86861111</v>
      </c>
      <c r="E188" s="101" t="n">
        <v>7.186944444</v>
      </c>
      <c r="F188" s="64" t="n">
        <v>3214</v>
      </c>
      <c r="G188" s="62" t="n">
        <v>68</v>
      </c>
      <c r="H188" s="62" t="n">
        <v>68820</v>
      </c>
      <c r="I188" s="72" t="inlineStr">
        <is>
          <t>Santander</t>
        </is>
      </c>
      <c r="J188" s="72" t="inlineStr">
        <is>
          <t>Tona</t>
        </is>
      </c>
      <c r="K188" s="66" t="n">
        <v>14.8</v>
      </c>
      <c r="L188" s="66" t="n">
        <v>14.6</v>
      </c>
      <c r="M188" s="66" t="n">
        <v>13.2</v>
      </c>
      <c r="N188" s="66" t="n">
        <v>12.8</v>
      </c>
      <c r="O188" s="66" t="n">
        <v>12.4</v>
      </c>
      <c r="P188" s="66" t="n">
        <v>11.4</v>
      </c>
      <c r="Q188" s="66" t="n">
        <v>12.6</v>
      </c>
      <c r="R188" s="66" t="n">
        <v>11</v>
      </c>
      <c r="S188" s="66" t="n">
        <v>11.8</v>
      </c>
      <c r="T188" s="66" t="n">
        <v>12.6</v>
      </c>
      <c r="U188" s="66" t="n">
        <v>11.4</v>
      </c>
      <c r="V188" s="66" t="n">
        <v>14.6</v>
      </c>
      <c r="W188" s="66" t="n">
        <v>12.8</v>
      </c>
      <c r="X188" s="66" t="n">
        <v>13.8</v>
      </c>
      <c r="Y188" s="66" t="n">
        <v>14.6</v>
      </c>
      <c r="Z188" s="66" t="n">
        <v>13</v>
      </c>
      <c r="AA188" s="66" t="n">
        <v>13.2</v>
      </c>
      <c r="AB188" s="66" t="n">
        <v>12.2</v>
      </c>
      <c r="AC188" s="109" t="n">
        <v>13</v>
      </c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7">
        <f>COUNTIF(K188:AO188,"&gt;0")</f>
        <v/>
      </c>
      <c r="AQ188" s="68">
        <f>IF(AP188&gt;14,AVERAGE(K188:AO188),"")</f>
        <v/>
      </c>
      <c r="AR188" s="68">
        <f>IFERROR(VLOOKUP(A188,Climatologia_TMAX!A:U,9+$E$2,FALSE),"")</f>
        <v/>
      </c>
      <c r="AS188" s="68">
        <f>IF(OR(AQ188="",AR188=""),"",IFERROR(AQ188-AR188,""))</f>
        <v/>
      </c>
      <c r="AT188" s="74">
        <f>IF(COUNT(K188:AO188)=0,"",MAX(K188:AO188))</f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/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8" s="69">
        <f>IF(OR(AT188="",AU188=""),"NA",IFERROR(AT188-AU188,"NA"))</f>
        <v/>
      </c>
    </row>
    <row r="189" ht="14.25" customHeight="1">
      <c r="A189" s="64" t="n">
        <v>23125040</v>
      </c>
      <c r="B189" s="70" t="inlineStr">
        <is>
          <t>Campo Capote</t>
        </is>
      </c>
      <c r="C189" s="70" t="inlineStr">
        <is>
          <t>Area Operativa 08 - Santanderes-Arauca</t>
        </is>
      </c>
      <c r="D189" s="99" t="n">
        <v>-73.92055556</v>
      </c>
      <c r="E189" s="99" t="n">
        <v>6.616111111</v>
      </c>
      <c r="F189" s="64" t="n">
        <v>180</v>
      </c>
      <c r="G189" s="62" t="n">
        <v>68</v>
      </c>
      <c r="H189" s="62" t="n">
        <v>68573</v>
      </c>
      <c r="I189" s="72" t="inlineStr">
        <is>
          <t>Santander</t>
        </is>
      </c>
      <c r="J189" s="72" t="inlineStr">
        <is>
          <t>Puerto Parra</t>
        </is>
      </c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7">
        <f>COUNTIF(K189:AO189,"&gt;0")</f>
        <v/>
      </c>
      <c r="AQ189" s="68">
        <f>IF(AP189&gt;14,AVERAGE(K189:AO189),"")</f>
        <v/>
      </c>
      <c r="AR189" s="68">
        <f>IFERROR(VLOOKUP(A189,Climatologia_TMAX!A:U,9+$E$2,FALSE),"")</f>
        <v/>
      </c>
      <c r="AS189" s="68">
        <f>IF(OR(AQ189="",AR189=""),"",IFERROR(AQ189-AR189,""))</f>
        <v/>
      </c>
      <c r="AT189" s="74">
        <f>IF(COUNT(K189:AO189)=0,"",MAX(K189:AO189))</f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/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89" s="69">
        <f>IF(OR(AT189="",AU189=""),"NA",IFERROR(AT189-AU189,"NA"))</f>
        <v/>
      </c>
    </row>
    <row r="190" ht="14.25" customHeight="1">
      <c r="A190" s="64" t="n">
        <v>23125050</v>
      </c>
      <c r="B190" s="70" t="inlineStr">
        <is>
          <t>Carare</t>
        </is>
      </c>
      <c r="C190" s="70" t="inlineStr">
        <is>
          <t>Area Operativa 08 - Santanderes-Arauca</t>
        </is>
      </c>
      <c r="D190" s="99" t="n">
        <v>-74.06138889</v>
      </c>
      <c r="E190" s="99" t="n">
        <v>6.649444444</v>
      </c>
      <c r="F190" s="64" t="n">
        <v>168</v>
      </c>
      <c r="G190" s="62" t="n">
        <v>68</v>
      </c>
      <c r="H190" s="62" t="n">
        <v>68573</v>
      </c>
      <c r="I190" s="72" t="inlineStr">
        <is>
          <t>Santander</t>
        </is>
      </c>
      <c r="J190" s="72" t="inlineStr">
        <is>
          <t>Puerto Parra</t>
        </is>
      </c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7">
        <f>COUNTIF(K190:AO190,"&gt;0")</f>
        <v/>
      </c>
      <c r="AQ190" s="68">
        <f>IF(AP190&gt;14,AVERAGE(K190:AO190),"")</f>
        <v/>
      </c>
      <c r="AR190" s="68">
        <f>IFERROR(VLOOKUP(A190,Climatologia_TMAX!A:U,9+$E$2,FALSE),"")</f>
        <v/>
      </c>
      <c r="AS190" s="68">
        <f>IF(OR(AQ190="",AR190=""),"",IFERROR(AQ190-AR190,""))</f>
        <v/>
      </c>
      <c r="AT190" s="74">
        <f>IF(COUNT(K190:AO190)=0,"",MAX(K190:AO190))</f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/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0" s="69">
        <f>IF(OR(AT190="",AU190=""),"NA",IFERROR(AT190-AU190,"NA"))</f>
        <v/>
      </c>
    </row>
    <row r="191" ht="14.25" customHeight="1">
      <c r="A191" s="64" t="n">
        <v>16025010</v>
      </c>
      <c r="B191" s="70" t="inlineStr">
        <is>
          <t>Carmen De Tonchala</t>
        </is>
      </c>
      <c r="C191" s="70" t="inlineStr">
        <is>
          <t>Area Operativa 08 - Santanderes-Arauca</t>
        </is>
      </c>
      <c r="D191" s="99" t="n">
        <v>-72.56611110999999</v>
      </c>
      <c r="E191" s="99" t="n">
        <v>7.848888889</v>
      </c>
      <c r="F191" s="64" t="n">
        <v>285</v>
      </c>
      <c r="G191" s="62" t="n">
        <v>54</v>
      </c>
      <c r="H191" s="62" t="n">
        <v>54001</v>
      </c>
      <c r="I191" s="72" t="inlineStr">
        <is>
          <t>Norte De Santander</t>
        </is>
      </c>
      <c r="J191" s="72" t="inlineStr">
        <is>
          <t>San José De Cúcuta</t>
        </is>
      </c>
      <c r="K191" s="66" t="n">
        <v>37.6</v>
      </c>
      <c r="L191" s="66" t="n">
        <v>36.4</v>
      </c>
      <c r="M191" s="66" t="n">
        <v>37</v>
      </c>
      <c r="N191" s="66" t="n">
        <v>37</v>
      </c>
      <c r="O191" s="66" t="n">
        <v>37.4</v>
      </c>
      <c r="P191" s="66" t="n">
        <v>35</v>
      </c>
      <c r="Q191" s="66" t="n">
        <v>37.6</v>
      </c>
      <c r="R191" s="66" t="n">
        <v>34.8</v>
      </c>
      <c r="S191" s="66" t="n">
        <v>35.2</v>
      </c>
      <c r="T191" s="66" t="n">
        <v>36.2</v>
      </c>
      <c r="U191" s="66" t="n">
        <v>37.4</v>
      </c>
      <c r="V191" s="66" t="n">
        <v>36.6</v>
      </c>
      <c r="W191" s="66" t="n">
        <v>32.6</v>
      </c>
      <c r="X191" s="66" t="n">
        <v>37</v>
      </c>
      <c r="Y191" s="66" t="n">
        <v>37.8</v>
      </c>
      <c r="Z191" s="66" t="n">
        <v>36.6</v>
      </c>
      <c r="AA191" s="66" t="n">
        <v>35.6</v>
      </c>
      <c r="AB191" s="66" t="n">
        <v>38</v>
      </c>
      <c r="AC191" s="66" t="n">
        <v>36.4</v>
      </c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7">
        <f>COUNTIF(K191:AO191,"&gt;0")</f>
        <v/>
      </c>
      <c r="AQ191" s="68">
        <f>IF(AP191&gt;14,AVERAGE(K191:AO191),"")</f>
        <v/>
      </c>
      <c r="AR191" s="68">
        <f>IFERROR(VLOOKUP(A191,Climatologia_TMAX!A:U,9+$E$2,FALSE),"")</f>
        <v/>
      </c>
      <c r="AS191" s="68">
        <f>IF(OR(AQ191="",AR191=""),"",IFERROR(AQ191-AR191,""))</f>
        <v/>
      </c>
      <c r="AT191" s="74">
        <f>IF(COUNT(K191:AO191)=0,"",MAX(K191:AO191))</f>
        <v/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/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1" s="69">
        <f>IF(OR(AT191="",AU191=""),"NA",IFERROR(AT191-AU191,"NA"))</f>
        <v/>
      </c>
    </row>
    <row r="192" ht="14.25" customHeight="1">
      <c r="A192" s="64" t="n">
        <v>24015260</v>
      </c>
      <c r="B192" s="70" t="inlineStr">
        <is>
          <t>Chima</t>
        </is>
      </c>
      <c r="C192" s="70" t="inlineStr">
        <is>
          <t>Area Operativa 08 - Santanderes-Arauca</t>
        </is>
      </c>
      <c r="D192" s="101" t="n">
        <v>-73.36833333</v>
      </c>
      <c r="E192" s="101" t="n">
        <v>6.355</v>
      </c>
      <c r="F192" s="64" t="n">
        <v>190</v>
      </c>
      <c r="G192" s="62" t="n">
        <v>68</v>
      </c>
      <c r="H192" s="62" t="n">
        <v>68176</v>
      </c>
      <c r="I192" s="72" t="inlineStr">
        <is>
          <t>Santander</t>
        </is>
      </c>
      <c r="J192" s="72" t="inlineStr">
        <is>
          <t>Chima</t>
        </is>
      </c>
      <c r="K192" s="66" t="n">
        <v>30.6</v>
      </c>
      <c r="L192" s="66" t="n">
        <v>32.4</v>
      </c>
      <c r="M192" s="66" t="n">
        <v>31.8</v>
      </c>
      <c r="N192" s="66" t="n">
        <v>31.6</v>
      </c>
      <c r="O192" s="66" t="n">
        <v>33</v>
      </c>
      <c r="P192" s="66" t="n">
        <v>27.6</v>
      </c>
      <c r="Q192" s="66" t="n">
        <v>30</v>
      </c>
      <c r="R192" s="66" t="n">
        <v>32.4</v>
      </c>
      <c r="S192" s="66" t="n">
        <v>33</v>
      </c>
      <c r="T192" s="66" t="n">
        <v>31.8</v>
      </c>
      <c r="U192" s="66" t="n">
        <v>30</v>
      </c>
      <c r="V192" s="66" t="n">
        <v>30.6</v>
      </c>
      <c r="W192" s="66" t="n">
        <v>28</v>
      </c>
      <c r="X192" s="66" t="n">
        <v>33.2</v>
      </c>
      <c r="Y192" s="66" t="n">
        <v>32.8</v>
      </c>
      <c r="Z192" s="66" t="n">
        <v>33</v>
      </c>
      <c r="AA192" s="66" t="n">
        <v>33.6</v>
      </c>
      <c r="AB192" s="66" t="n">
        <v>32.2</v>
      </c>
      <c r="AC192" s="66" t="n">
        <v>30</v>
      </c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7">
        <f>COUNTIF(K192:AO192,"&gt;0")</f>
        <v/>
      </c>
      <c r="AQ192" s="68">
        <f>IF(AP192&gt;14,AVERAGE(K192:AO192),"")</f>
        <v/>
      </c>
      <c r="AR192" s="68">
        <f>IFERROR(VLOOKUP(A192,Climatologia_TMAX!A:U,9+$E$2,FALSE),"")</f>
        <v/>
      </c>
      <c r="AS192" s="68">
        <f>IF(OR(AQ192="",AR192=""),"",IFERROR(AQ192-AR192,""))</f>
        <v/>
      </c>
      <c r="AT192" s="74">
        <f>IF(COUNT(K192:AO192)=0,"",MAX(K192:AO192))</f>
        <v/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/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2" s="69">
        <f>IF(OR(AT192="",AU192=""),"NA",IFERROR(AT192-AU192,"NA"))</f>
        <v/>
      </c>
    </row>
    <row r="193" ht="14.25" customHeight="1">
      <c r="A193" s="64" t="n">
        <v>23125120</v>
      </c>
      <c r="B193" s="70" t="inlineStr">
        <is>
          <t>Cimitarra</t>
        </is>
      </c>
      <c r="C193" s="70" t="inlineStr">
        <is>
          <t>Area Operativa 08 - Santanderes-Arauca</t>
        </is>
      </c>
      <c r="D193" s="99" t="n">
        <v>-73.95222222</v>
      </c>
      <c r="E193" s="99" t="n">
        <v>6.308611111</v>
      </c>
      <c r="F193" s="64" t="n">
        <v>198</v>
      </c>
      <c r="G193" s="62" t="n">
        <v>68</v>
      </c>
      <c r="H193" s="62" t="n">
        <v>68190</v>
      </c>
      <c r="I193" s="72" t="inlineStr">
        <is>
          <t>Santander</t>
        </is>
      </c>
      <c r="J193" s="72" t="inlineStr">
        <is>
          <t>Cimitarra</t>
        </is>
      </c>
      <c r="K193" s="66" t="n">
        <v>33.2</v>
      </c>
      <c r="L193" s="66" t="n">
        <v>34.8</v>
      </c>
      <c r="M193" s="66" t="n">
        <v>35.8</v>
      </c>
      <c r="N193" s="66" t="n">
        <v>35.6</v>
      </c>
      <c r="O193" s="66" t="n">
        <v>35.2</v>
      </c>
      <c r="P193" s="66" t="n">
        <v>33</v>
      </c>
      <c r="Q193" s="66" t="n">
        <v>34.6</v>
      </c>
      <c r="R193" s="66" t="n">
        <v>37</v>
      </c>
      <c r="S193" s="66" t="n">
        <v>38.2</v>
      </c>
      <c r="T193" s="66" t="n">
        <v>35.6</v>
      </c>
      <c r="U193" s="113" t="n">
        <v>34.2</v>
      </c>
      <c r="V193" s="66" t="n">
        <v>36</v>
      </c>
      <c r="W193" s="66" t="n">
        <v>32.4</v>
      </c>
      <c r="X193" s="66" t="n">
        <v>36.6</v>
      </c>
      <c r="Y193" s="66" t="n">
        <v>36.2</v>
      </c>
      <c r="Z193" s="66" t="n">
        <v>33</v>
      </c>
      <c r="AA193" s="66" t="n">
        <v>35.6</v>
      </c>
      <c r="AB193" s="66" t="n">
        <v>34.8</v>
      </c>
      <c r="AC193" s="66" t="n">
        <v>29.4</v>
      </c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7">
        <f>COUNTIF(K193:AO193,"&gt;0")</f>
        <v/>
      </c>
      <c r="AQ193" s="68">
        <f>IF(AP193&gt;14,AVERAGE(K193:AO193),"")</f>
        <v/>
      </c>
      <c r="AR193" s="68">
        <f>IFERROR(VLOOKUP(A193,Climatologia_TMAX!A:U,9+$E$2,FALSE),"")</f>
        <v/>
      </c>
      <c r="AS193" s="68">
        <f>IF(OR(AQ193="",AR193=""),"",IFERROR(AQ193-AR193,""))</f>
        <v/>
      </c>
      <c r="AT193" s="74">
        <f>IF(COUNT(K193:AO193)=0,"",MAX(K193:AO193))</f>
        <v/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/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3" s="69">
        <f>IF(OR(AT193="",AU193=""),"NA",IFERROR(AT193-AU193,"NA"))</f>
        <v/>
      </c>
    </row>
    <row r="194" ht="14.25" customHeight="1">
      <c r="A194" s="64" t="n">
        <v>16025040</v>
      </c>
      <c r="B194" s="70" t="inlineStr">
        <is>
          <t>Cinera-Villa Olga AUT</t>
        </is>
      </c>
      <c r="C194" s="70" t="inlineStr">
        <is>
          <t>Area Operativa 08 - Santanderes-Arauca</t>
        </is>
      </c>
      <c r="D194" s="99" t="n">
        <v>-72.47878</v>
      </c>
      <c r="E194" s="99" t="n">
        <v>8.16728</v>
      </c>
      <c r="F194" s="64" t="n">
        <v>96</v>
      </c>
      <c r="G194" s="62" t="n">
        <v>54</v>
      </c>
      <c r="H194" s="62" t="n">
        <v>54001</v>
      </c>
      <c r="I194" s="72" t="inlineStr">
        <is>
          <t>Norte De Santander</t>
        </is>
      </c>
      <c r="J194" s="72" t="inlineStr">
        <is>
          <t>San José De Cúcuta</t>
        </is>
      </c>
      <c r="K194" s="66" t="n">
        <v>34</v>
      </c>
      <c r="L194" s="66" t="n">
        <v>35.6</v>
      </c>
      <c r="M194" s="66" t="n">
        <v>35.4</v>
      </c>
      <c r="N194" s="66" t="n">
        <v>35.6</v>
      </c>
      <c r="O194" s="66" t="n">
        <v>37.6</v>
      </c>
      <c r="P194" s="66" t="n">
        <v>36.4</v>
      </c>
      <c r="Q194" s="66" t="n">
        <v>37</v>
      </c>
      <c r="R194" s="66" t="n">
        <v>36</v>
      </c>
      <c r="S194" s="66" t="n">
        <v>36.4</v>
      </c>
      <c r="T194" s="66" t="n">
        <v>35.8</v>
      </c>
      <c r="U194" s="66" t="n">
        <v>35.4</v>
      </c>
      <c r="V194" s="66" t="n">
        <v>37</v>
      </c>
      <c r="W194" s="66" t="n">
        <v>33.6</v>
      </c>
      <c r="X194" s="66" t="n">
        <v>37.4</v>
      </c>
      <c r="Y194" s="66" t="n">
        <v>36.6</v>
      </c>
      <c r="Z194" s="66" t="n">
        <v>36</v>
      </c>
      <c r="AA194" s="66" t="n">
        <v>37</v>
      </c>
      <c r="AB194" s="66" t="n">
        <v>39</v>
      </c>
      <c r="AC194" s="66" t="n">
        <v>38.2</v>
      </c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7">
        <f>COUNTIF(K194:AO194,"&gt;0")</f>
        <v/>
      </c>
      <c r="AQ194" s="68">
        <f>IF(AP194&gt;14,AVERAGE(K194:AO194),"")</f>
        <v/>
      </c>
      <c r="AR194" s="68">
        <f>IFERROR(VLOOKUP(A194,Climatologia_TMAX!A:U,9+$E$2,FALSE),"")</f>
        <v/>
      </c>
      <c r="AS194" s="68">
        <f>IF(OR(AQ194="",AR194=""),"",IFERROR(AQ194-AR194,""))</f>
        <v/>
      </c>
      <c r="AT194" s="74">
        <f>IF(COUNT(K194:AO194)=0,"",MAX(K194:AO194))</f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/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4" s="69">
        <f>IF(OR(AT194="",AU194=""),"NA",IFERROR(AT194-AU194,"NA"))</f>
        <v/>
      </c>
    </row>
    <row r="195" ht="14.25" customHeight="1">
      <c r="A195" s="64" t="n">
        <v>23205020</v>
      </c>
      <c r="B195" s="70" t="inlineStr">
        <is>
          <t>Colegio Cooperativo</t>
        </is>
      </c>
      <c r="C195" s="70" t="inlineStr">
        <is>
          <t>Area Operativa 08 - Santanderes-Arauca</t>
        </is>
      </c>
      <c r="D195" s="99" t="n">
        <v>-73.92555556000001</v>
      </c>
      <c r="E195" s="99" t="n">
        <v>7.475</v>
      </c>
      <c r="F195" s="64" t="n">
        <v>165</v>
      </c>
      <c r="G195" s="62" t="n">
        <v>13</v>
      </c>
      <c r="H195" s="62" t="n">
        <v>13670</v>
      </c>
      <c r="I195" s="72" t="inlineStr">
        <is>
          <t>Bolívar</t>
        </is>
      </c>
      <c r="J195" s="72" t="inlineStr">
        <is>
          <t>San Pablo</t>
        </is>
      </c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7">
        <f>COUNTIF(K195:AO195,"&gt;0")</f>
        <v/>
      </c>
      <c r="AQ195" s="68">
        <f>IF(AP195&gt;14,AVERAGE(K195:AO195),"")</f>
        <v/>
      </c>
      <c r="AR195" s="68">
        <f>IFERROR(VLOOKUP(A195,Climatologia_TMAX!A:U,9+$E$2,FALSE),"")</f>
        <v/>
      </c>
      <c r="AS195" s="68">
        <f>IF(OR(AQ195="",AR195=""),"",IFERROR(AQ195-AR195,""))</f>
        <v/>
      </c>
      <c r="AT195" s="74">
        <f>IF(COUNT(K195:AO195)=0,"",MAX(K195:AO195))</f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/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5" s="69">
        <f>IF(OR(AT195="",AU195=""),"NA",IFERROR(AT195-AU195,"NA"))</f>
        <v/>
      </c>
    </row>
    <row r="196" ht="14.25" customHeight="1">
      <c r="A196" s="64" t="n">
        <v>23145020</v>
      </c>
      <c r="B196" s="70" t="inlineStr">
        <is>
          <t>El Carmen</t>
        </is>
      </c>
      <c r="C196" s="70" t="inlineStr">
        <is>
          <t>Area Operativa 08 - Santanderes-Arauca</t>
        </is>
      </c>
      <c r="D196" s="99" t="n">
        <v>-73.51000000000001</v>
      </c>
      <c r="E196" s="99" t="n">
        <v>6.696388889</v>
      </c>
      <c r="F196" s="64" t="n">
        <v>805</v>
      </c>
      <c r="G196" s="62" t="n">
        <v>68</v>
      </c>
      <c r="H196" s="62" t="n">
        <v>68235</v>
      </c>
      <c r="I196" s="72" t="inlineStr">
        <is>
          <t>Santander</t>
        </is>
      </c>
      <c r="J196" s="72" t="inlineStr">
        <is>
          <t>El Carmen De Chucurí</t>
        </is>
      </c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7">
        <f>COUNTIF(K196:AO196,"&gt;0")</f>
        <v/>
      </c>
      <c r="AQ196" s="68">
        <f>IF(AP196&gt;14,AVERAGE(K196:AO196),"")</f>
        <v/>
      </c>
      <c r="AR196" s="68">
        <f>IFERROR(VLOOKUP(A196,Climatologia_TMAX!A:U,9+$E$2,FALSE),"")</f>
        <v/>
      </c>
      <c r="AS196" s="68">
        <f>IF(OR(AQ196="",AR196=""),"",IFERROR(AQ196-AR196,""))</f>
        <v/>
      </c>
      <c r="AT196" s="74">
        <f>IF(COUNT(K196:AO196)=0,"",MAX(K196:AO196))</f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/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6" s="69">
        <f>IF(OR(AT196="",AU196=""),"NA",IFERROR(AT196-AU196,"NA"))</f>
        <v/>
      </c>
    </row>
    <row r="197" ht="14.25" customHeight="1">
      <c r="A197" s="64" t="n">
        <v>23155040</v>
      </c>
      <c r="B197" s="70" t="inlineStr">
        <is>
          <t>El Centro</t>
        </is>
      </c>
      <c r="C197" s="70" t="inlineStr">
        <is>
          <t>Area Operativa 08 - Santanderes-Arauca</t>
        </is>
      </c>
      <c r="D197" s="99" t="n">
        <v>-73.76508333</v>
      </c>
      <c r="E197" s="99" t="n">
        <v>6.859555556</v>
      </c>
      <c r="F197" s="64" t="n">
        <v>114</v>
      </c>
      <c r="G197" s="62" t="n">
        <v>68</v>
      </c>
      <c r="H197" s="62" t="n">
        <v>68081</v>
      </c>
      <c r="I197" s="72" t="inlineStr">
        <is>
          <t>Santander</t>
        </is>
      </c>
      <c r="J197" s="72" t="inlineStr">
        <is>
          <t>Barrancabermeja</t>
        </is>
      </c>
      <c r="K197" s="66" t="n">
        <v>35.2</v>
      </c>
      <c r="L197" s="66" t="n">
        <v>34.2</v>
      </c>
      <c r="M197" s="66" t="n">
        <v>36.8</v>
      </c>
      <c r="N197" s="66" t="n">
        <v>37.4</v>
      </c>
      <c r="O197" s="66" t="n">
        <v/>
      </c>
      <c r="P197" s="66" t="n">
        <v>37.8</v>
      </c>
      <c r="Q197" s="66" t="n">
        <v>35.8</v>
      </c>
      <c r="R197" s="66" t="n">
        <v>37.8</v>
      </c>
      <c r="S197" s="66" t="n">
        <v>39.2</v>
      </c>
      <c r="T197" s="66" t="n">
        <v>38.4</v>
      </c>
      <c r="U197" s="66" t="n">
        <v>35.2</v>
      </c>
      <c r="V197" s="66" t="n">
        <v>36.6</v>
      </c>
      <c r="W197" s="66" t="n">
        <v>34.8</v>
      </c>
      <c r="X197" s="66" t="n">
        <v>37.2</v>
      </c>
      <c r="Y197" s="66" t="n">
        <v>37</v>
      </c>
      <c r="Z197" s="66" t="n">
        <v>33.2</v>
      </c>
      <c r="AA197" s="66" t="n">
        <v/>
      </c>
      <c r="AB197" s="66" t="n">
        <v/>
      </c>
      <c r="AC197" s="66" t="n">
        <v/>
      </c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7">
        <f>COUNTIF(K197:AO197,"&gt;0")</f>
        <v/>
      </c>
      <c r="AQ197" s="68">
        <f>IF(AP197&gt;14,AVERAGE(K197:AO197),"")</f>
        <v/>
      </c>
      <c r="AR197" s="68">
        <f>IFERROR(VLOOKUP(A197,Climatologia_TMAX!A:U,9+$E$2,FALSE),"")</f>
        <v/>
      </c>
      <c r="AS197" s="68">
        <f>IF(OR(AQ197="",AR197=""),"",IFERROR(AQ197-AR197,""))</f>
        <v/>
      </c>
      <c r="AT197" s="74">
        <f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/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7" s="69">
        <f>IF(OR(AT197="",AU197=""),"NA",IFERROR(AT197-AU197,"NA"))</f>
        <v/>
      </c>
    </row>
    <row r="198" ht="14.25" customHeight="1">
      <c r="A198" s="64" t="n">
        <v>24025020</v>
      </c>
      <c r="B198" s="70" t="inlineStr">
        <is>
          <t>El Cucharo</t>
        </is>
      </c>
      <c r="C198" s="70" t="inlineStr">
        <is>
          <t>Area Operativa 08 - Santanderes-Arauca</t>
        </is>
      </c>
      <c r="D198" s="101" t="n">
        <v>-73.19916667</v>
      </c>
      <c r="E198" s="101" t="n">
        <v>6.532222222</v>
      </c>
      <c r="F198" s="64" t="n">
        <v>975</v>
      </c>
      <c r="G198" s="62" t="n">
        <v>68</v>
      </c>
      <c r="H198" s="62" t="n">
        <v>68549</v>
      </c>
      <c r="I198" s="72" t="inlineStr">
        <is>
          <t>Santander</t>
        </is>
      </c>
      <c r="J198" s="72" t="inlineStr">
        <is>
          <t>Pinchote</t>
        </is>
      </c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7">
        <f>COUNTIF(K198:AO198,"&gt;0")</f>
        <v/>
      </c>
      <c r="AQ198" s="68">
        <f>IF(AP198&gt;14,AVERAGE(K198:AO198),"")</f>
        <v/>
      </c>
      <c r="AR198" s="68">
        <f>IFERROR(VLOOKUP(A198,Climatologia_TMAX!A:U,9+$E$2,FALSE),"")</f>
        <v/>
      </c>
      <c r="AS198" s="68">
        <f>IF(OR(AQ198="",AR198=""),"",IFERROR(AQ198-AR198,""))</f>
        <v/>
      </c>
      <c r="AT198" s="74">
        <f>IF(COUNT(K198:AO198)=0,"",MAX(K198:AO198))</f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/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8" s="69">
        <f>IF(OR(AT198="",AU198=""),"NA",IFERROR(AT198-AU198,"NA"))</f>
        <v/>
      </c>
    </row>
    <row r="199" ht="14.25" customHeight="1">
      <c r="A199" s="64" t="n">
        <v>24055040</v>
      </c>
      <c r="B199" s="70" t="inlineStr">
        <is>
          <t>El Palmar</t>
        </is>
      </c>
      <c r="C199" s="70" t="inlineStr">
        <is>
          <t>Area Operativa 08 - Santanderes-Arauca</t>
        </is>
      </c>
      <c r="D199" s="101" t="n">
        <v>-73.292</v>
      </c>
      <c r="E199" s="101" t="n">
        <v>6.549722222</v>
      </c>
      <c r="F199" s="64" t="n">
        <v>940</v>
      </c>
      <c r="G199" s="62" t="n">
        <v>68</v>
      </c>
      <c r="H199" s="62" t="n">
        <v>68522</v>
      </c>
      <c r="I199" s="72" t="inlineStr">
        <is>
          <t>Santander</t>
        </is>
      </c>
      <c r="J199" s="72" t="inlineStr">
        <is>
          <t>Palmar</t>
        </is>
      </c>
      <c r="K199" s="66" t="n">
        <v>35.2</v>
      </c>
      <c r="L199" s="66" t="n">
        <v>34.2</v>
      </c>
      <c r="M199" s="66" t="n">
        <v>35.6</v>
      </c>
      <c r="N199" s="66" t="n">
        <v>36.2</v>
      </c>
      <c r="O199" s="66" t="n">
        <v>36.6</v>
      </c>
      <c r="P199" s="66" t="n">
        <v>33</v>
      </c>
      <c r="Q199" s="66" t="n">
        <v>34.8</v>
      </c>
      <c r="R199" s="66" t="n">
        <v>36.2</v>
      </c>
      <c r="S199" s="66" t="n">
        <v>38</v>
      </c>
      <c r="T199" s="66" t="n">
        <v>37.6</v>
      </c>
      <c r="U199" s="66" t="n">
        <v>34.2</v>
      </c>
      <c r="V199" s="66" t="n">
        <v>36.4</v>
      </c>
      <c r="W199" s="66" t="n">
        <v>33.6</v>
      </c>
      <c r="X199" s="66" t="n">
        <v>36</v>
      </c>
      <c r="Y199" s="66" t="n">
        <v>35.2</v>
      </c>
      <c r="Z199" s="66" t="n">
        <v>34.8</v>
      </c>
      <c r="AA199" s="66" t="n">
        <v>36</v>
      </c>
      <c r="AB199" s="66" t="n">
        <v>37.2</v>
      </c>
      <c r="AC199" s="66" t="n">
        <v>33.2</v>
      </c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7">
        <f>COUNTIF(K199:AO199,"&gt;0")</f>
        <v/>
      </c>
      <c r="AQ199" s="68">
        <f>IF(AP199&gt;14,AVERAGE(K199:AO199),"")</f>
        <v/>
      </c>
      <c r="AR199" s="68">
        <f>IFERROR(VLOOKUP(A199,Climatologia_TMAX!A:U,9+$E$2,FALSE),"")</f>
        <v/>
      </c>
      <c r="AS199" s="68">
        <f>IF(OR(AQ199="",AR199=""),"",IFERROR(AQ199-AR199,""))</f>
        <v/>
      </c>
      <c r="AT199" s="74">
        <f>IF(COUNT(K199:AO199)=0,"",MAX(K199:AO199))</f>
        <v/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/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99" s="69">
        <f>IF(OR(AT199="",AU199=""),"NA",IFERROR(AT199-AU199,"NA"))</f>
        <v/>
      </c>
    </row>
    <row r="200" ht="14.25" customHeight="1">
      <c r="A200" s="64" t="n">
        <v>24035400</v>
      </c>
      <c r="B200" s="70" t="inlineStr">
        <is>
          <t>El Volcan</t>
        </is>
      </c>
      <c r="C200" s="70" t="inlineStr">
        <is>
          <t>Area Operativa 08 - Santanderes-Arauca</t>
        </is>
      </c>
      <c r="D200" s="101" t="n">
        <v>-72.67777778</v>
      </c>
      <c r="E200" s="101" t="n">
        <v>6.845277778</v>
      </c>
      <c r="F200" s="64" t="n">
        <v>2841</v>
      </c>
      <c r="G200" s="62" t="n">
        <v>68</v>
      </c>
      <c r="H200" s="62" t="n">
        <v>68162</v>
      </c>
      <c r="I200" s="72" t="inlineStr">
        <is>
          <t>Santander</t>
        </is>
      </c>
      <c r="J200" s="72" t="inlineStr">
        <is>
          <t>Cerrito</t>
        </is>
      </c>
      <c r="K200" s="66" t="n">
        <v>19.6</v>
      </c>
      <c r="L200" s="66" t="n">
        <v>18</v>
      </c>
      <c r="M200" s="66" t="n">
        <v>19</v>
      </c>
      <c r="N200" s="66" t="n">
        <v>19.2</v>
      </c>
      <c r="O200" s="66" t="n">
        <v>19</v>
      </c>
      <c r="P200" s="66" t="n">
        <v>18.6</v>
      </c>
      <c r="Q200" s="66" t="n">
        <v>17.8</v>
      </c>
      <c r="R200" s="66" t="n">
        <v>18</v>
      </c>
      <c r="S200" s="66" t="n">
        <v>20</v>
      </c>
      <c r="T200" s="66" t="n">
        <v>19</v>
      </c>
      <c r="U200" s="66" t="n">
        <v>19.8</v>
      </c>
      <c r="V200" s="66" t="n">
        <v>19</v>
      </c>
      <c r="W200" s="66" t="n">
        <v>17.8</v>
      </c>
      <c r="X200" s="66" t="n">
        <v>19</v>
      </c>
      <c r="Y200" s="66" t="n">
        <v>19.2</v>
      </c>
      <c r="Z200" s="66" t="n">
        <v>18</v>
      </c>
      <c r="AA200" s="66" t="n">
        <v>19.2</v>
      </c>
      <c r="AB200" s="66" t="n">
        <v>19.4</v>
      </c>
      <c r="AC200" s="66" t="n">
        <v>19</v>
      </c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7">
        <f>COUNTIF(K200:AO200,"&gt;0")</f>
        <v/>
      </c>
      <c r="AQ200" s="68">
        <f>IF(AP200&gt;14,AVERAGE(K200:AO200),"")</f>
        <v/>
      </c>
      <c r="AR200" s="68">
        <f>IFERROR(VLOOKUP(A200,Climatologia_TMAX!A:U,9+$E$2,FALSE),"")</f>
        <v/>
      </c>
      <c r="AS200" s="68">
        <f>IF(OR(AQ200="",AR200=""),"",IFERROR(AQ200-AR200,""))</f>
        <v/>
      </c>
      <c r="AT200" s="74">
        <f>IF(COUNT(K200:AO200)=0,"",MAX(K200:AO200))</f>
        <v/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/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0" s="69">
        <f>IF(OR(AT200="",AU200=""),"NA",IFERROR(AT200-AU200,"NA"))</f>
        <v/>
      </c>
    </row>
    <row r="201" ht="14.25" customHeight="1">
      <c r="A201" s="64" t="n">
        <v>23195180</v>
      </c>
      <c r="B201" s="70" t="inlineStr">
        <is>
          <t>Escuela Agricola Cachira</t>
        </is>
      </c>
      <c r="C201" s="70" t="inlineStr">
        <is>
          <t>Area Operativa 08 - Santanderes-Arauca</t>
        </is>
      </c>
      <c r="D201" s="99" t="n">
        <v>-73.05166667</v>
      </c>
      <c r="E201" s="99" t="n">
        <v>7.735277778</v>
      </c>
      <c r="F201" s="64" t="n">
        <v>1882</v>
      </c>
      <c r="G201" s="62" t="n">
        <v>54</v>
      </c>
      <c r="H201" s="62" t="n">
        <v>54128</v>
      </c>
      <c r="I201" s="72" t="inlineStr">
        <is>
          <t>Norte De Santander</t>
        </is>
      </c>
      <c r="J201" s="72" t="inlineStr">
        <is>
          <t>Cáchira</t>
        </is>
      </c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7">
        <f>COUNTIF(K201:AO201,"&gt;0")</f>
        <v/>
      </c>
      <c r="AQ201" s="68">
        <f>IF(AP201&gt;14,AVERAGE(K201:AO201),"")</f>
        <v/>
      </c>
      <c r="AR201" s="68">
        <f>IFERROR(VLOOKUP(A201,Climatologia_TMAX!A:U,9+$E$2,FALSE),"")</f>
        <v/>
      </c>
      <c r="AS201" s="68">
        <f>IF(OR(AQ201="",AR201=""),"",IFERROR(AQ201-AR201,""))</f>
        <v/>
      </c>
      <c r="AT201" s="74">
        <f>IF(COUNT(K201:AO201)=0,"",MAX(K201:AO201))</f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/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1" s="69">
        <f>IF(OR(AT201="",AU201=""),"NA",IFERROR(AT201-AU201,"NA"))</f>
        <v/>
      </c>
    </row>
    <row r="202" ht="14.25" customHeight="1">
      <c r="A202" s="64" t="n">
        <v>24025040</v>
      </c>
      <c r="B202" s="70" t="inlineStr">
        <is>
          <t>Escuela Agricola Mogotes</t>
        </is>
      </c>
      <c r="C202" s="70" t="inlineStr">
        <is>
          <t>Area Operativa 08 - Santanderes-Arauca</t>
        </is>
      </c>
      <c r="D202" s="101" t="n">
        <v>-72.96888889</v>
      </c>
      <c r="E202" s="101" t="n">
        <v>6.47</v>
      </c>
      <c r="F202" s="64" t="n">
        <v>1673</v>
      </c>
      <c r="G202" s="62" t="n">
        <v>68</v>
      </c>
      <c r="H202" s="62" t="n">
        <v>68464</v>
      </c>
      <c r="I202" s="72" t="inlineStr">
        <is>
          <t>Santander</t>
        </is>
      </c>
      <c r="J202" s="72" t="inlineStr">
        <is>
          <t>Mogotes</t>
        </is>
      </c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7">
        <f>COUNTIF(K202:AO202,"&gt;0")</f>
        <v/>
      </c>
      <c r="AQ202" s="68">
        <f>IF(AP202&gt;14,AVERAGE(K202:AO202),"")</f>
        <v/>
      </c>
      <c r="AR202" s="68">
        <f>IFERROR(VLOOKUP(A202,Climatologia_TMAX!A:U,9+$E$2,FALSE),"")</f>
        <v/>
      </c>
      <c r="AS202" s="68">
        <f>IF(OR(AQ202="",AR202=""),"",IFERROR(AQ202-AR202,""))</f>
        <v/>
      </c>
      <c r="AT202" s="74">
        <f>IF(COUNT(K202:AO202)=0,"",MAX(K202:AO202))</f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/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2" s="69">
        <f>IF(OR(AT202="",AU202=""),"NA",IFERROR(AT202-AU202,"NA"))</f>
        <v/>
      </c>
    </row>
    <row r="203" ht="14.25" customHeight="1">
      <c r="A203" s="64" t="n">
        <v>16015020</v>
      </c>
      <c r="B203" s="70" t="inlineStr">
        <is>
          <t>Iser Pamplona</t>
        </is>
      </c>
      <c r="C203" s="70" t="inlineStr">
        <is>
          <t>Area Operativa 08 - Santanderes-Arauca</t>
        </is>
      </c>
      <c r="D203" s="99" t="n">
        <v>-72.645</v>
      </c>
      <c r="E203" s="99" t="n">
        <v>7.373111111</v>
      </c>
      <c r="F203" s="64" t="n">
        <v>2340</v>
      </c>
      <c r="G203" s="62" t="n">
        <v>54</v>
      </c>
      <c r="H203" s="62" t="n">
        <v>54518</v>
      </c>
      <c r="I203" s="72" t="inlineStr">
        <is>
          <t>Norte De Santander</t>
        </is>
      </c>
      <c r="J203" s="72" t="inlineStr">
        <is>
          <t>Pamplona</t>
        </is>
      </c>
      <c r="K203" s="66" t="n">
        <v>23</v>
      </c>
      <c r="L203" s="66" t="n">
        <v>21.6</v>
      </c>
      <c r="M203" s="66" t="n">
        <v>20.8</v>
      </c>
      <c r="N203" s="66" t="n">
        <v>21.2</v>
      </c>
      <c r="O203" s="66" t="n">
        <v>20</v>
      </c>
      <c r="P203" s="66" t="n">
        <v>19.4</v>
      </c>
      <c r="Q203" s="66" t="n">
        <v>19.6</v>
      </c>
      <c r="R203" s="66" t="n">
        <v>17.2</v>
      </c>
      <c r="S203" s="66" t="n">
        <v>21.4</v>
      </c>
      <c r="T203" s="66" t="n">
        <v>20.2</v>
      </c>
      <c r="U203" s="66" t="n">
        <v>19.2</v>
      </c>
      <c r="V203" s="66" t="n">
        <v>22.2</v>
      </c>
      <c r="W203" s="66" t="n">
        <v>19.2</v>
      </c>
      <c r="X203" s="66" t="n">
        <v>21.8</v>
      </c>
      <c r="Y203" s="66" t="n">
        <v>19.6</v>
      </c>
      <c r="Z203" s="66" t="n">
        <v>20</v>
      </c>
      <c r="AA203" s="66" t="n">
        <v/>
      </c>
      <c r="AB203" s="66" t="n">
        <v/>
      </c>
      <c r="AC203" s="66" t="n">
        <v/>
      </c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7">
        <f>COUNTIF(K203:AO203,"&gt;0")</f>
        <v/>
      </c>
      <c r="AQ203" s="68">
        <f>IF(AP203&gt;14,AVERAGE(K203:AO203),"")</f>
        <v/>
      </c>
      <c r="AR203" s="68">
        <f>IFERROR(VLOOKUP(A203,Climatologia_TMAX!A:U,9+$E$2,FALSE),"")</f>
        <v/>
      </c>
      <c r="AS203" s="68">
        <f>IF(OR(AQ203="",AR203=""),"",IFERROR(AQ203-AR203,""))</f>
        <v/>
      </c>
      <c r="AT203" s="74">
        <f>IF(COUNT(K203:AO203)=0,"",MAX(K203:AO203))</f>
        <v/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>
        <f>IF(OR(AT203="",AU203=""),"NA",IFERROR(AT203-AU203,"NA"))</f>
        <v/>
      </c>
    </row>
    <row r="204" ht="14.25" customHeight="1">
      <c r="A204" s="64" t="n">
        <v>23217060</v>
      </c>
      <c r="B204" s="70" t="inlineStr">
        <is>
          <t>La Gloria</t>
        </is>
      </c>
      <c r="C204" s="70" t="inlineStr">
        <is>
          <t>Area Operativa 08 - Santanderes-Arauca</t>
        </is>
      </c>
      <c r="D204" s="99" t="n">
        <v>-73.80163889000001</v>
      </c>
      <c r="E204" s="99" t="n">
        <v>8.613833333000001</v>
      </c>
      <c r="F204" s="64" t="n">
        <v>36</v>
      </c>
      <c r="G204" s="62" t="n">
        <v>20</v>
      </c>
      <c r="H204" s="62" t="n">
        <v>20383</v>
      </c>
      <c r="I204" s="72" t="inlineStr">
        <is>
          <t>Cesar</t>
        </is>
      </c>
      <c r="J204" s="72" t="inlineStr">
        <is>
          <t>La Gloria</t>
        </is>
      </c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7">
        <f>COUNTIF(K204:AO204,"&gt;0")</f>
        <v/>
      </c>
      <c r="AQ204" s="68">
        <f>IF(AP204&gt;14,AVERAGE(K204:AO204),"")</f>
        <v/>
      </c>
      <c r="AR204" s="68">
        <f>IFERROR(VLOOKUP(A204,Climatologia_TMAX!A:U,9+$E$2,FALSE),"")</f>
        <v/>
      </c>
      <c r="AS204" s="68">
        <f>IF(OR(AQ204="",AR204=""),"",IFERROR(AQ204-AR204,""))</f>
        <v/>
      </c>
      <c r="AT204" s="74">
        <f>IF(COUNT(K204:AO204)=0,"",MAX(K204:AO204))</f>
        <v/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>
        <f>IF(OR(AT204="",AU204=""),"NA",IFERROR(AT204-AU204,"NA"))</f>
        <v/>
      </c>
    </row>
    <row r="205" ht="14.25" customHeight="1">
      <c r="A205" s="64" t="n">
        <v>24015250</v>
      </c>
      <c r="B205" s="70" t="inlineStr">
        <is>
          <t>La Laja</t>
        </is>
      </c>
      <c r="C205" s="70" t="inlineStr">
        <is>
          <t>Area Operativa 08 - Santanderes-Arauca</t>
        </is>
      </c>
      <c r="D205" s="99" t="n">
        <v>-73.41538889</v>
      </c>
      <c r="E205" s="99" t="n">
        <v>6.237166667</v>
      </c>
      <c r="F205" s="64" t="n">
        <v>1400</v>
      </c>
      <c r="G205" s="62" t="n">
        <v>68</v>
      </c>
      <c r="H205" s="62" t="n">
        <v>68320</v>
      </c>
      <c r="I205" s="72" t="inlineStr">
        <is>
          <t>Santander</t>
        </is>
      </c>
      <c r="J205" s="72" t="inlineStr">
        <is>
          <t>Guadalupe</t>
        </is>
      </c>
      <c r="K205" s="66" t="n">
        <v>27.8</v>
      </c>
      <c r="L205" s="66" t="n">
        <v>28</v>
      </c>
      <c r="M205" s="66" t="n">
        <v>28.2</v>
      </c>
      <c r="N205" s="66" t="n">
        <v>28</v>
      </c>
      <c r="O205" s="66" t="n">
        <v>28.2</v>
      </c>
      <c r="P205" s="66" t="n">
        <v>25.4</v>
      </c>
      <c r="Q205" s="66" t="n">
        <v>27.8</v>
      </c>
      <c r="R205" s="66" t="n">
        <v>28.8</v>
      </c>
      <c r="S205" s="66" t="n">
        <v>29</v>
      </c>
      <c r="T205" s="66" t="n">
        <v>27.8</v>
      </c>
      <c r="U205" s="66" t="n">
        <v>28</v>
      </c>
      <c r="V205" s="66" t="n">
        <v>28.6</v>
      </c>
      <c r="W205" s="66" t="n">
        <v>26</v>
      </c>
      <c r="X205" s="66" t="n">
        <v>29</v>
      </c>
      <c r="Y205" s="66" t="n">
        <v>29</v>
      </c>
      <c r="Z205" s="66" t="n">
        <v>28.8</v>
      </c>
      <c r="AA205" s="66" t="n">
        <v>29</v>
      </c>
      <c r="AB205" s="66" t="n">
        <v>29.8</v>
      </c>
      <c r="AC205" s="66" t="n">
        <v>25</v>
      </c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7">
        <f>COUNTIF(K205:AO205,"&gt;0")</f>
        <v/>
      </c>
      <c r="AQ205" s="68">
        <f>IF(AP205&gt;14,AVERAGE(K205:AO205),"")</f>
        <v/>
      </c>
      <c r="AR205" s="68">
        <f>IFERROR(VLOOKUP(A205,Climatologia_TMAX!A:U,9+$E$2,FALSE),"")</f>
        <v/>
      </c>
      <c r="AS205" s="68">
        <f>IF(OR(AQ205="",AR205=""),"",IFERROR(AQ205-AR205,""))</f>
        <v/>
      </c>
      <c r="AT205" s="74">
        <f>IF(COUNT(K205:AO205)=0,"",MAX(K205:AO205))</f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/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5" s="69">
        <f>IF(OR(AT205="",AU205=""),"NA",IFERROR(AT205-AU205,"NA"))</f>
        <v/>
      </c>
    </row>
    <row r="206" ht="14.25" customHeight="1">
      <c r="A206" s="64" t="n">
        <v>23215050</v>
      </c>
      <c r="B206" s="70" t="inlineStr">
        <is>
          <t>La Mata</t>
        </is>
      </c>
      <c r="C206" s="70" t="inlineStr">
        <is>
          <t>Area Operativa 08 - Santanderes-Arauca</t>
        </is>
      </c>
      <c r="D206" s="99" t="n">
        <v>-73.63638889000001</v>
      </c>
      <c r="E206" s="99" t="n">
        <v>8.614444444</v>
      </c>
      <c r="F206" s="64" t="n">
        <v>163</v>
      </c>
      <c r="G206" s="62" t="n">
        <v>20</v>
      </c>
      <c r="H206" s="62" t="n">
        <v>20383</v>
      </c>
      <c r="I206" s="72" t="inlineStr">
        <is>
          <t>Cesar</t>
        </is>
      </c>
      <c r="J206" s="72" t="inlineStr">
        <is>
          <t>La Gloria</t>
        </is>
      </c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7">
        <f>COUNTIF(K206:AO206,"&gt;0")</f>
        <v/>
      </c>
      <c r="AQ206" s="68">
        <f>IF(AP206&gt;14,AVERAGE(K206:AO206),"")</f>
        <v/>
      </c>
      <c r="AR206" s="68">
        <f>IFERROR(VLOOKUP(A206,Climatologia_TMAX!A:U,9+$E$2,FALSE),"")</f>
        <v/>
      </c>
      <c r="AS206" s="68">
        <f>IF(OR(AQ206="",AR206=""),"",IFERROR(AQ206-AR206,""))</f>
        <v/>
      </c>
      <c r="AT206" s="74">
        <f>IF(COUNT(K206:AO206)=0,"",MAX(K206:AO206))</f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/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6" s="69">
        <f>IF(OR(AT206="",AU206=""),"NA",IFERROR(AT206-AU206,"NA"))</f>
        <v/>
      </c>
    </row>
    <row r="207" ht="14.25" customHeight="1">
      <c r="A207" s="64" t="n">
        <v>16055060</v>
      </c>
      <c r="B207" s="70" t="inlineStr">
        <is>
          <t>La Playa</t>
        </is>
      </c>
      <c r="C207" s="70" t="inlineStr">
        <is>
          <t>Area Operativa 08 - Santanderes-Arauca</t>
        </is>
      </c>
      <c r="D207" s="99" t="n">
        <v>-73.235</v>
      </c>
      <c r="E207" s="99" t="n">
        <v>8.217499999999999</v>
      </c>
      <c r="F207" s="64" t="n">
        <v>1500</v>
      </c>
      <c r="G207" s="62" t="n">
        <v>54</v>
      </c>
      <c r="H207" s="62" t="n">
        <v>54398</v>
      </c>
      <c r="I207" s="72" t="inlineStr">
        <is>
          <t>Norte De Santander</t>
        </is>
      </c>
      <c r="J207" s="72" t="inlineStr">
        <is>
          <t>La Playa</t>
        </is>
      </c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7">
        <f>COUNTIF(K207:AO207,"&gt;0")</f>
        <v/>
      </c>
      <c r="AQ207" s="68">
        <f>IF(AP207&gt;14,AVERAGE(K207:AO207),"")</f>
        <v/>
      </c>
      <c r="AR207" s="68">
        <f>IFERROR(VLOOKUP(A207,Climatologia_TMAX!A:U,9+$E$2,FALSE),"")</f>
        <v/>
      </c>
      <c r="AS207" s="68">
        <f>IF(OR(AQ207="",AR207=""),"",IFERROR(AQ207-AR207,""))</f>
        <v/>
      </c>
      <c r="AT207" s="74">
        <f>IF(COUNT(K207:AO207)=0,"",MAX(K207:AO207))</f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/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7" s="69">
        <f>IF(OR(AT207="",AU207=""),"NA",IFERROR(AT207-AU207,"NA"))</f>
        <v/>
      </c>
    </row>
    <row r="208" ht="14.25" customHeight="1">
      <c r="A208" s="64" t="n">
        <v>23195110</v>
      </c>
      <c r="B208" s="70" t="inlineStr">
        <is>
          <t>Llano Grande  - AUT</t>
        </is>
      </c>
      <c r="C208" s="70" t="inlineStr">
        <is>
          <t>Area Operativa 08 - Santanderes-Arauca</t>
        </is>
      </c>
      <c r="D208" s="99" t="n">
        <v>-73.16722222</v>
      </c>
      <c r="E208" s="99" t="n">
        <v>7.025555556</v>
      </c>
      <c r="F208" s="64" t="n">
        <v>777</v>
      </c>
      <c r="G208" s="62" t="n">
        <v>68</v>
      </c>
      <c r="H208" s="62" t="n">
        <v>68307</v>
      </c>
      <c r="I208" s="72" t="inlineStr">
        <is>
          <t>Santander</t>
        </is>
      </c>
      <c r="J208" s="72" t="inlineStr">
        <is>
          <t>Girón</t>
        </is>
      </c>
      <c r="K208" s="66" t="n">
        <v>32.4</v>
      </c>
      <c r="L208" s="66" t="n">
        <v>32.8</v>
      </c>
      <c r="M208" s="66" t="n">
        <v>33.8</v>
      </c>
      <c r="N208" s="66" t="n">
        <v>34</v>
      </c>
      <c r="O208" s="66" t="n">
        <v>35.4</v>
      </c>
      <c r="P208" s="66" t="n">
        <v>31.2</v>
      </c>
      <c r="Q208" s="66" t="n">
        <v>33.8</v>
      </c>
      <c r="R208" s="66" t="n">
        <v>34.3</v>
      </c>
      <c r="S208" s="66" t="n">
        <v>35.2</v>
      </c>
      <c r="T208" s="66" t="n">
        <v>34.8</v>
      </c>
      <c r="U208" s="66" t="n">
        <v>33.2</v>
      </c>
      <c r="V208" s="66" t="n">
        <v>34.2</v>
      </c>
      <c r="W208" s="66" t="n">
        <v>32</v>
      </c>
      <c r="X208" s="66" t="n">
        <v>34.4</v>
      </c>
      <c r="Y208" s="66" t="n">
        <v>34.2</v>
      </c>
      <c r="Z208" s="66" t="n">
        <v>33.8</v>
      </c>
      <c r="AA208" s="66" t="n">
        <v>35.4</v>
      </c>
      <c r="AB208" s="66" t="n">
        <v>35</v>
      </c>
      <c r="AC208" s="66" t="n">
        <v>31.6</v>
      </c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7">
        <f>COUNTIF(K208:AO208,"&gt;0")</f>
        <v/>
      </c>
      <c r="AQ208" s="68">
        <f>IF(AP208&gt;14,AVERAGE(K208:AO208),"")</f>
        <v/>
      </c>
      <c r="AR208" s="68">
        <f>IFERROR(VLOOKUP(A208,Climatologia_TMAX!A:U,9+$E$2,FALSE),"")</f>
        <v/>
      </c>
      <c r="AS208" s="68">
        <f>IF(OR(AQ208="",AR208=""),"",IFERROR(AQ208-AR208,""))</f>
        <v/>
      </c>
      <c r="AT208" s="74">
        <f>IF(COUNT(K208:AO208)=0,"",MAX(K208:AO208))</f>
        <v/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/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8" s="69">
        <f>IF(OR(AT208="",AU208=""),"NA",IFERROR(AT208-AU208,"NA"))</f>
        <v/>
      </c>
    </row>
    <row r="209" ht="14.25" customHeight="1">
      <c r="A209" s="64" t="n">
        <v>16015100</v>
      </c>
      <c r="B209" s="70" t="inlineStr">
        <is>
          <t>Ragonvalia</t>
        </is>
      </c>
      <c r="C209" s="70" t="inlineStr">
        <is>
          <t>Area Operativa 08 - Santanderes-Arauca</t>
        </is>
      </c>
      <c r="D209" s="99" t="n">
        <v>-72.48388889</v>
      </c>
      <c r="E209" s="99" t="n">
        <v>7.576666667</v>
      </c>
      <c r="F209" s="64" t="n">
        <v>1550</v>
      </c>
      <c r="G209" s="62" t="n">
        <v>54</v>
      </c>
      <c r="H209" s="62" t="n">
        <v>54599</v>
      </c>
      <c r="I209" s="72" t="inlineStr">
        <is>
          <t>Norte De Santander</t>
        </is>
      </c>
      <c r="J209" s="72" t="inlineStr">
        <is>
          <t>Ragonvalia</t>
        </is>
      </c>
      <c r="K209" s="66" t="n">
        <v>24.6</v>
      </c>
      <c r="L209" s="66" t="n">
        <v>23.8</v>
      </c>
      <c r="M209" s="66" t="n">
        <v>24.6</v>
      </c>
      <c r="N209" s="66" t="n">
        <v>24.8</v>
      </c>
      <c r="O209" s="66" t="n">
        <v>25.6</v>
      </c>
      <c r="P209" s="66" t="n">
        <v>23.4</v>
      </c>
      <c r="Q209" s="66" t="n">
        <v>25.6</v>
      </c>
      <c r="R209" s="66" t="n">
        <v>22</v>
      </c>
      <c r="S209" s="66" t="n">
        <v>24.2</v>
      </c>
      <c r="T209" s="66" t="n">
        <v>25.6</v>
      </c>
      <c r="U209" s="66" t="n">
        <v>24.6</v>
      </c>
      <c r="V209" s="66" t="n">
        <v>23.8</v>
      </c>
      <c r="W209" s="66" t="n">
        <v>23</v>
      </c>
      <c r="X209" s="66" t="n">
        <v>25</v>
      </c>
      <c r="Y209" s="66" t="n">
        <v>26.8</v>
      </c>
      <c r="Z209" s="66" t="n">
        <v>26</v>
      </c>
      <c r="AA209" s="66" t="n">
        <v>25.2</v>
      </c>
      <c r="AB209" s="66" t="n">
        <v>26.4</v>
      </c>
      <c r="AC209" s="66" t="n">
        <v>25</v>
      </c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7">
        <f>COUNTIF(K209:AO209,"&gt;0")</f>
        <v/>
      </c>
      <c r="AQ209" s="68">
        <f>IF(AP209&gt;14,AVERAGE(K209:AO209),"")</f>
        <v/>
      </c>
      <c r="AR209" s="68">
        <f>IFERROR(VLOOKUP(A209,Climatologia_TMAX!A:U,9+$E$2,FALSE),"")</f>
        <v/>
      </c>
      <c r="AS209" s="68">
        <f>IF(OR(AQ209="",AR209=""),"",IFERROR(AQ209-AR209,""))</f>
        <v/>
      </c>
      <c r="AT209" s="74">
        <f>IF(COUNT(K209:AO209)=0,"",MAX(K209:AO209))</f>
        <v/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/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9" s="69">
        <f>IF(OR(AT209="",AU209=""),"NA",IFERROR(AT209-AU209,"NA"))</f>
        <v/>
      </c>
    </row>
    <row r="210" ht="14.25" customHeight="1">
      <c r="A210" s="64" t="n">
        <v>16025030</v>
      </c>
      <c r="B210" s="70" t="inlineStr">
        <is>
          <t>Salazar</t>
        </is>
      </c>
      <c r="C210" s="70" t="inlineStr">
        <is>
          <t>Area Operativa 08 - Santanderes-Arauca</t>
        </is>
      </c>
      <c r="D210" s="99" t="n">
        <v>-72.83055555999999</v>
      </c>
      <c r="E210" s="99" t="n">
        <v>7.774583333</v>
      </c>
      <c r="F210" s="64" t="n">
        <v>860</v>
      </c>
      <c r="G210" s="62" t="n">
        <v>54</v>
      </c>
      <c r="H210" s="62" t="n">
        <v>54660</v>
      </c>
      <c r="I210" s="72" t="inlineStr">
        <is>
          <t>Norte De Santander</t>
        </is>
      </c>
      <c r="J210" s="72" t="inlineStr">
        <is>
          <t>Salazar</t>
        </is>
      </c>
      <c r="K210" s="66" t="n">
        <v>31.4</v>
      </c>
      <c r="L210" s="66" t="n">
        <v>31.6</v>
      </c>
      <c r="M210" s="66" t="n">
        <v>31.8</v>
      </c>
      <c r="N210" s="66" t="n">
        <v>31.8</v>
      </c>
      <c r="O210" s="66" t="n">
        <v>32</v>
      </c>
      <c r="P210" s="66" t="n">
        <v>30.2</v>
      </c>
      <c r="Q210" s="66" t="n">
        <v>32.4</v>
      </c>
      <c r="R210" s="66" t="n">
        <v>29</v>
      </c>
      <c r="S210" s="66" t="n">
        <v>30.4</v>
      </c>
      <c r="T210" s="66" t="n">
        <v>31</v>
      </c>
      <c r="U210" s="66" t="n">
        <v>31.2</v>
      </c>
      <c r="V210" s="66" t="n">
        <v>31.6</v>
      </c>
      <c r="W210" s="66" t="n">
        <v>28.4</v>
      </c>
      <c r="X210" s="66" t="n">
        <v>33</v>
      </c>
      <c r="Y210" s="66" t="n">
        <v>32.8</v>
      </c>
      <c r="Z210" s="66" t="n">
        <v>32</v>
      </c>
      <c r="AA210" s="66" t="n">
        <v>31.8</v>
      </c>
      <c r="AB210" s="66" t="n">
        <v>32</v>
      </c>
      <c r="AC210" s="66" t="n">
        <v>31.2</v>
      </c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7">
        <f>COUNTIF(K210:AO210,"&gt;0")</f>
        <v/>
      </c>
      <c r="AQ210" s="68">
        <f>IF(AP210&gt;14,AVERAGE(K210:AO210),"")</f>
        <v/>
      </c>
      <c r="AR210" s="68">
        <f>IFERROR(VLOOKUP(A210,Climatologia_TMAX!A:U,9+$E$2,FALSE),"")</f>
        <v/>
      </c>
      <c r="AS210" s="68">
        <f>IF(OR(AQ210="",AR210=""),"",IFERROR(AQ210-AR210,""))</f>
        <v/>
      </c>
      <c r="AT210" s="74">
        <f>IF(COUNT(K210:AO210)=0,"",MAX(K210:AO210))</f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/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0" s="69">
        <f>IF(OR(AT210="",AU210=""),"NA",IFERROR(AT210-AU210,"NA"))</f>
        <v/>
      </c>
    </row>
    <row r="211" ht="14.25" customHeight="1">
      <c r="A211" s="64" t="n">
        <v>23205030</v>
      </c>
      <c r="B211" s="70" t="inlineStr">
        <is>
          <t>Santa Rosa D Simiti</t>
        </is>
      </c>
      <c r="C211" s="70" t="inlineStr">
        <is>
          <t>Area Operativa 08 - Santanderes-Arauca</t>
        </is>
      </c>
      <c r="D211" s="99" t="n">
        <v>-74.05916667</v>
      </c>
      <c r="E211" s="99" t="n">
        <v>7.965277778</v>
      </c>
      <c r="F211" s="64" t="n">
        <v>650</v>
      </c>
      <c r="G211" s="62" t="n">
        <v>13</v>
      </c>
      <c r="H211" s="62" t="n">
        <v>13688</v>
      </c>
      <c r="I211" s="72" t="inlineStr">
        <is>
          <t>Bolívar</t>
        </is>
      </c>
      <c r="J211" s="72" t="inlineStr">
        <is>
          <t>Santa Rosa Del Sur</t>
        </is>
      </c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7">
        <f>COUNTIF(K211:AO211,"&gt;0")</f>
        <v/>
      </c>
      <c r="AQ211" s="68">
        <f>IF(AP211&gt;14,AVERAGE(K211:AO211),"")</f>
        <v/>
      </c>
      <c r="AR211" s="68">
        <f>IFERROR(VLOOKUP(A211,Climatologia_TMAX!A:U,9+$E$2,FALSE),"")</f>
        <v/>
      </c>
      <c r="AS211" s="68">
        <f>IF(OR(AQ211="",AR211=""),"",IFERROR(AQ211-AR211,""))</f>
        <v/>
      </c>
      <c r="AT211" s="74">
        <f>IF(COUNT(K211:AO211)=0,"",MAX(K211:AO211))</f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>
        <f>IF(OR(AT211="",AU211=""),"NA",IFERROR(AT211-AU211,"NA"))</f>
        <v/>
      </c>
    </row>
    <row r="212" ht="14.25" customHeight="1">
      <c r="A212" s="64" t="n">
        <v>16035030</v>
      </c>
      <c r="B212" s="70" t="inlineStr">
        <is>
          <t>Sardinata</t>
        </is>
      </c>
      <c r="C212" s="70" t="inlineStr">
        <is>
          <t>Area Operativa 08 - Santanderes-Arauca</t>
        </is>
      </c>
      <c r="D212" s="99" t="n">
        <v>-72.80305556</v>
      </c>
      <c r="E212" s="99" t="n">
        <v>8.076666667</v>
      </c>
      <c r="F212" s="64" t="n">
        <v>320</v>
      </c>
      <c r="G212" s="62" t="n">
        <v>54</v>
      </c>
      <c r="H212" s="62" t="n">
        <v>54720</v>
      </c>
      <c r="I212" s="72" t="inlineStr">
        <is>
          <t>Norte De Santander</t>
        </is>
      </c>
      <c r="J212" s="72" t="inlineStr">
        <is>
          <t>Sardinata</t>
        </is>
      </c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7">
        <f>COUNTIF(K212:AO212,"&gt;0")</f>
        <v/>
      </c>
      <c r="AQ212" s="68">
        <f>IF(AP212&gt;14,AVERAGE(K212:AO212),"")</f>
        <v/>
      </c>
      <c r="AR212" s="68">
        <f>IFERROR(VLOOKUP(A212,Climatologia_TMAX!A:U,9+$E$2,FALSE),"")</f>
        <v/>
      </c>
      <c r="AS212" s="68">
        <f>IF(OR(AQ212="",AR212=""),"",IFERROR(AQ212-AR212,""))</f>
        <v/>
      </c>
      <c r="AT212" s="74">
        <f>IF(COUNT(K212:AO212)=0,"",MAX(K212:AO212))</f>
        <v/>
      </c>
      <c r="AU212" s="74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>
        <f>IF(OR(AT212="",AU212=""),"NA",IFERROR(AT212-AU212,"NA"))</f>
        <v/>
      </c>
    </row>
    <row r="213" ht="14.25" customHeight="1">
      <c r="A213" s="64" t="n">
        <v>16035010</v>
      </c>
      <c r="B213" s="70" t="inlineStr">
        <is>
          <t>Tibu</t>
        </is>
      </c>
      <c r="C213" s="70" t="inlineStr">
        <is>
          <t>Area Operativa 08 - Santanderes-Arauca</t>
        </is>
      </c>
      <c r="D213" s="99" t="n">
        <v>-72.72666667</v>
      </c>
      <c r="E213" s="99" t="n">
        <v>8.638333333</v>
      </c>
      <c r="F213" s="64" t="n">
        <v>50</v>
      </c>
      <c r="G213" s="62" t="n">
        <v>54</v>
      </c>
      <c r="H213" s="62" t="n">
        <v>54810</v>
      </c>
      <c r="I213" s="72" t="inlineStr">
        <is>
          <t>Norte De Santander</t>
        </is>
      </c>
      <c r="J213" s="72" t="inlineStr">
        <is>
          <t>Tibú</t>
        </is>
      </c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7">
        <f>COUNTIF(K213:AO213,"&gt;0")</f>
        <v/>
      </c>
      <c r="AQ213" s="68">
        <f>IF(AP213&gt;14,AVERAGE(K213:AO213),"")</f>
        <v/>
      </c>
      <c r="AR213" s="68">
        <f>IFERROR(VLOOKUP(A213,Climatologia_TMAX!A:U,9+$E$2,FALSE),"")</f>
        <v/>
      </c>
      <c r="AS213" s="68">
        <f>IF(OR(AQ213="",AR213=""),"",IFERROR(AQ213-AR213,""))</f>
        <v/>
      </c>
      <c r="AT213" s="74">
        <f>IF(COUNT(K213:AO213)=0,"",MAX(K213:AO213))</f>
        <v/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>
        <f>IF(OR(AT213="",AU213=""),"NA",IFERROR(AT213-AU213,"NA"))</f>
        <v/>
      </c>
    </row>
    <row r="214" ht="14.25" customHeight="1">
      <c r="A214" s="64" t="n">
        <v>37035010</v>
      </c>
      <c r="B214" s="70" t="inlineStr">
        <is>
          <t>Tunebia</t>
        </is>
      </c>
      <c r="C214" s="70" t="inlineStr">
        <is>
          <t>Area Operativa 08 - Santanderes-Arauca</t>
        </is>
      </c>
      <c r="D214" s="101" t="n">
        <v>-72.11583333</v>
      </c>
      <c r="E214" s="101" t="n">
        <v>7.006111111</v>
      </c>
      <c r="F214" s="64" t="n">
        <v>370</v>
      </c>
      <c r="G214" s="62" t="n">
        <v>54</v>
      </c>
      <c r="H214" s="62" t="n">
        <v>54820</v>
      </c>
      <c r="I214" s="72" t="inlineStr">
        <is>
          <t>Norte De Santander</t>
        </is>
      </c>
      <c r="J214" s="72" t="inlineStr">
        <is>
          <t>Toledo</t>
        </is>
      </c>
      <c r="K214" s="66" t="n">
        <v>29</v>
      </c>
      <c r="L214" s="66" t="n">
        <v>27</v>
      </c>
      <c r="M214" s="66" t="n">
        <v>32</v>
      </c>
      <c r="N214" s="66" t="n">
        <v>31.6</v>
      </c>
      <c r="O214" s="66" t="n">
        <v>30</v>
      </c>
      <c r="P214" s="66" t="n">
        <v>29.6</v>
      </c>
      <c r="Q214" s="66" t="n">
        <v>33</v>
      </c>
      <c r="R214" s="66" t="n">
        <v>27</v>
      </c>
      <c r="S214" s="66" t="n">
        <v>32</v>
      </c>
      <c r="T214" s="109" t="n">
        <v>31.6</v>
      </c>
      <c r="U214" s="66" t="n">
        <v>28</v>
      </c>
      <c r="V214" s="66" t="n">
        <v>32</v>
      </c>
      <c r="W214" s="66" t="n">
        <v>29.4</v>
      </c>
      <c r="X214" s="66" t="n">
        <v>31.4</v>
      </c>
      <c r="Y214" s="66" t="n">
        <v>30.6</v>
      </c>
      <c r="Z214" s="66" t="n">
        <v>30.2</v>
      </c>
      <c r="AA214" s="66" t="n">
        <v>30</v>
      </c>
      <c r="AB214" s="66" t="n">
        <v>31.2</v>
      </c>
      <c r="AC214" s="66" t="n">
        <v/>
      </c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7">
        <f>COUNTIF(K214:AO214,"&gt;0")</f>
        <v/>
      </c>
      <c r="AQ214" s="68">
        <f>IF(AP214&gt;14,AVERAGE(K214:AO214),"")</f>
        <v/>
      </c>
      <c r="AR214" s="68">
        <f>IFERROR(VLOOKUP(A214,Climatologia_TMAX!A:U,9+$E$2,FALSE),"")</f>
        <v/>
      </c>
      <c r="AS214" s="68">
        <f>IF(OR(AQ214="",AR214=""),"",IFERROR(AQ214-AR214,""))</f>
        <v/>
      </c>
      <c r="AT214" s="74">
        <f>IF(COUNT(K214:AO214)=0,"",MAX(K214:AO214))</f>
        <v/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/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4" s="69">
        <f>IF(OR(AT214="",AU214=""),"NA",IFERROR(AT214-AU214,"NA"))</f>
        <v/>
      </c>
    </row>
    <row r="215" ht="14.25" customHeight="1">
      <c r="A215" s="64" t="n">
        <v>23185010</v>
      </c>
      <c r="B215" s="70" t="inlineStr">
        <is>
          <t>Villa Leiva</t>
        </is>
      </c>
      <c r="C215" s="70" t="inlineStr">
        <is>
          <t>Area Operativa 08 - Santanderes-Arauca</t>
        </is>
      </c>
      <c r="D215" s="99" t="n">
        <v>-73.53722222</v>
      </c>
      <c r="E215" s="99" t="n">
        <v>7.456111111</v>
      </c>
      <c r="F215" s="64" t="n">
        <v>328</v>
      </c>
      <c r="G215" s="62" t="n">
        <v>68</v>
      </c>
      <c r="H215" s="62" t="n">
        <v>68655</v>
      </c>
      <c r="I215" s="72" t="inlineStr">
        <is>
          <t>Santander</t>
        </is>
      </c>
      <c r="J215" s="72" t="inlineStr">
        <is>
          <t>Sabana De Torres</t>
        </is>
      </c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7">
        <f>COUNTIF(K215:AO215,"&gt;0")</f>
        <v/>
      </c>
      <c r="AQ215" s="68">
        <f>IF(AP215&gt;14,AVERAGE(K215:AO215),"")</f>
        <v/>
      </c>
      <c r="AR215" s="68">
        <f>IFERROR(VLOOKUP(A215,Climatologia_TMAX!A:U,9+$E$2,FALSE),"")</f>
        <v/>
      </c>
      <c r="AS215" s="68">
        <f>IF(OR(AQ215="",AR215=""),"",IFERROR(AQ215-AR215,""))</f>
        <v/>
      </c>
      <c r="AT215" s="74">
        <f>IF(COUNT(K215:AO215)=0,"",MAX(K215:AO215))</f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/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5" s="69">
        <f>IF(OR(AT215="",AU215=""),"NA",IFERROR(AT215-AU215,"NA"))</f>
        <v/>
      </c>
    </row>
    <row r="216" ht="14.25" customHeight="1">
      <c r="A216" s="64" t="n">
        <v>23195090</v>
      </c>
      <c r="B216" s="70" t="inlineStr">
        <is>
          <t>Vivero Surata  - AUT</t>
        </is>
      </c>
      <c r="C216" s="70" t="inlineStr">
        <is>
          <t>Area Operativa 08 - Santanderes-Arauca</t>
        </is>
      </c>
      <c r="D216" s="99" t="n">
        <v>-72.9875</v>
      </c>
      <c r="E216" s="99" t="n">
        <v>7.36583</v>
      </c>
      <c r="F216" s="64" t="n">
        <v>1791</v>
      </c>
      <c r="G216" s="62" t="n">
        <v>68</v>
      </c>
      <c r="H216" s="62" t="n">
        <v>68780</v>
      </c>
      <c r="I216" s="72" t="inlineStr">
        <is>
          <t>Santander</t>
        </is>
      </c>
      <c r="J216" s="72" t="inlineStr">
        <is>
          <t>Suratá</t>
        </is>
      </c>
      <c r="K216" s="66" t="n">
        <v>27.4</v>
      </c>
      <c r="L216" s="66" t="n">
        <v>27</v>
      </c>
      <c r="M216" s="66" t="n">
        <v>27.8</v>
      </c>
      <c r="N216" s="66" t="n">
        <v>27.4</v>
      </c>
      <c r="O216" s="66" t="n">
        <v>27.4</v>
      </c>
      <c r="P216" s="66" t="n">
        <v>25.2</v>
      </c>
      <c r="Q216" s="66" t="n">
        <v>27.4</v>
      </c>
      <c r="R216" s="66" t="n">
        <v>27.4</v>
      </c>
      <c r="S216" s="66" t="n">
        <v>28.8</v>
      </c>
      <c r="T216" s="66" t="n">
        <v>28.8</v>
      </c>
      <c r="U216" s="66" t="n">
        <v>27</v>
      </c>
      <c r="V216" s="66" t="n">
        <v>28</v>
      </c>
      <c r="W216" s="66" t="n">
        <v>27.8</v>
      </c>
      <c r="X216" s="66" t="n">
        <v>28.8</v>
      </c>
      <c r="Y216" s="66" t="n">
        <v>28.2</v>
      </c>
      <c r="Z216" s="66" t="n">
        <v>27.6</v>
      </c>
      <c r="AA216" s="66" t="n">
        <v>30.2</v>
      </c>
      <c r="AB216" s="66" t="n">
        <v/>
      </c>
      <c r="AC216" s="66" t="n">
        <v>29.4</v>
      </c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7">
        <f>COUNTIF(K216:AO216,"&gt;0")</f>
        <v/>
      </c>
      <c r="AQ216" s="68">
        <f>IF(AP216&gt;14,AVERAGE(K216:AO216),"")</f>
        <v/>
      </c>
      <c r="AR216" s="68">
        <f>IFERROR(VLOOKUP(A216,Climatologia_TMAX!A:U,9+$E$2,FALSE),"")</f>
        <v/>
      </c>
      <c r="AS216" s="68">
        <f>IF(OR(AQ216="",AR216=""),"",IFERROR(AQ216-AR216,""))</f>
        <v/>
      </c>
      <c r="AT216" s="74">
        <f>IF(COUNT(K216:AO216)=0,"",MAX(K216:AO216))</f>
        <v/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/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6" s="69">
        <f>IF(OR(AT216="",AU216=""),"NA",IFERROR(AT216-AU216,"NA"))</f>
        <v/>
      </c>
    </row>
    <row r="217" ht="14.25" customHeight="1">
      <c r="A217" s="64" t="n">
        <v>24055030</v>
      </c>
      <c r="B217" s="70" t="inlineStr">
        <is>
          <t>Zapatoca</t>
        </is>
      </c>
      <c r="C217" s="70" t="inlineStr">
        <is>
          <t>Area Operativa 08 - Santanderes-Arauca</t>
        </is>
      </c>
      <c r="D217" s="101" t="n">
        <v>-73.28274999999999</v>
      </c>
      <c r="E217" s="101" t="n">
        <v>6.792777778</v>
      </c>
      <c r="F217" s="64" t="n">
        <v>1810</v>
      </c>
      <c r="G217" s="62" t="n">
        <v>68</v>
      </c>
      <c r="H217" s="62" t="n">
        <v>68895</v>
      </c>
      <c r="I217" s="72" t="inlineStr">
        <is>
          <t>Santander</t>
        </is>
      </c>
      <c r="J217" s="72" t="inlineStr">
        <is>
          <t>Zapatoca</t>
        </is>
      </c>
      <c r="K217" s="66" t="n">
        <v>25.4</v>
      </c>
      <c r="L217" s="66" t="n">
        <v>25.8</v>
      </c>
      <c r="M217" s="66" t="n">
        <v>25.6</v>
      </c>
      <c r="N217" s="66" t="n">
        <v>26.6</v>
      </c>
      <c r="O217" s="66" t="n">
        <v>26.6</v>
      </c>
      <c r="P217" s="66" t="n">
        <v>27</v>
      </c>
      <c r="Q217" s="66" t="n">
        <v>24.2</v>
      </c>
      <c r="R217" s="66" t="n">
        <v>27.6</v>
      </c>
      <c r="S217" s="66" t="n">
        <v>28</v>
      </c>
      <c r="T217" s="66" t="n">
        <v>27.8</v>
      </c>
      <c r="U217" s="66" t="n">
        <v>27.6</v>
      </c>
      <c r="V217" s="66" t="n">
        <v>27.4</v>
      </c>
      <c r="W217" s="66" t="n">
        <v>27.2</v>
      </c>
      <c r="X217" s="66" t="n">
        <v>27.2</v>
      </c>
      <c r="Y217" s="66" t="n">
        <v>27.6</v>
      </c>
      <c r="Z217" s="66" t="n">
        <v>27.6</v>
      </c>
      <c r="AA217" s="66" t="n">
        <v>28.4</v>
      </c>
      <c r="AB217" s="66" t="n">
        <v>28.4</v>
      </c>
      <c r="AC217" s="66" t="n">
        <v>28.4</v>
      </c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7">
        <f>COUNTIF(K217:AO217,"&gt;0")</f>
        <v/>
      </c>
      <c r="AQ217" s="68">
        <f>IF(AP217&gt;14,AVERAGE(K217:AO217),"")</f>
        <v/>
      </c>
      <c r="AR217" s="68">
        <f>IFERROR(VLOOKUP(A217,Climatologia_TMAX!A:U,9+$E$2,FALSE),"")</f>
        <v/>
      </c>
      <c r="AS217" s="68">
        <f>IF(OR(AQ217="",AR217=""),"",IFERROR(AQ217-AR217,""))</f>
        <v/>
      </c>
      <c r="AT217" s="74">
        <f>IF(COUNT(K217:AO217)=0,"",MAX(K217:AO217))</f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/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7" s="69">
        <f>IF(OR(AT217="",AU217=""),"NA",IFERROR(AT217-AU217,"NA"))</f>
        <v/>
      </c>
    </row>
    <row r="218" ht="14.25" customHeight="1">
      <c r="A218" s="64" t="n">
        <v>53115010</v>
      </c>
      <c r="B218" s="70" t="inlineStr">
        <is>
          <t>Aeropuerto Buenaventura</t>
        </is>
      </c>
      <c r="C218" s="70" t="inlineStr">
        <is>
          <t>Area Operativa 09 - Cauca-Valle-Caldas</t>
        </is>
      </c>
      <c r="D218" s="101" t="n">
        <v>-76.992388889</v>
      </c>
      <c r="E218" s="101" t="n">
        <v>3.820111111</v>
      </c>
      <c r="F218" s="64" t="n">
        <v>28</v>
      </c>
      <c r="G218" s="62" t="n">
        <v>76</v>
      </c>
      <c r="H218" s="62" t="n">
        <v>76109</v>
      </c>
      <c r="I218" s="72" t="inlineStr">
        <is>
          <t>Valle Del Cauca</t>
        </is>
      </c>
      <c r="J218" s="72" t="inlineStr">
        <is>
          <t>Buenaventura</t>
        </is>
      </c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7">
        <f>COUNTIF(K218:AO218,"&gt;0")</f>
        <v/>
      </c>
      <c r="AQ218" s="68">
        <f>IF(AP218&gt;14,AVERAGE(K218:AO218),"")</f>
        <v/>
      </c>
      <c r="AR218" s="68">
        <f>IFERROR(VLOOKUP(A218,Climatologia_TMAX!A:U,9+$E$2,FALSE),"")</f>
        <v/>
      </c>
      <c r="AS218" s="68">
        <f>IF(OR(AQ218="",AR218=""),"",IFERROR(AQ218-AR218,""))</f>
        <v/>
      </c>
      <c r="AT218" s="74">
        <f>IF(COUNT(K218:AO218)=0,"",MAX(K218:AO218))</f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>
        <f>IF(OR(AT218="",AU218=""),"NA",IFERROR(AT218-AU218,"NA"))</f>
        <v/>
      </c>
    </row>
    <row r="219" ht="14.25" customHeight="1">
      <c r="A219" s="64" t="n">
        <v>26105160</v>
      </c>
      <c r="B219" s="70" t="inlineStr">
        <is>
          <t>Aeropuerto Farfan</t>
        </is>
      </c>
      <c r="C219" s="70" t="inlineStr">
        <is>
          <t>Area Operativa 09 - Cauca-Valle-Caldas</t>
        </is>
      </c>
      <c r="D219" s="101" t="n">
        <v>-76.22358333</v>
      </c>
      <c r="E219" s="101" t="n">
        <v>4.090083333</v>
      </c>
      <c r="F219" s="64" t="n">
        <v>980</v>
      </c>
      <c r="G219" s="62" t="n">
        <v>76</v>
      </c>
      <c r="H219" s="62" t="n">
        <v>76834</v>
      </c>
      <c r="I219" s="72" t="inlineStr">
        <is>
          <t>Valle Del Cauca</t>
        </is>
      </c>
      <c r="J219" s="72" t="inlineStr">
        <is>
          <t>Tuluá</t>
        </is>
      </c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7">
        <f>COUNTIF(K219:AO219,"&gt;0")</f>
        <v/>
      </c>
      <c r="AQ219" s="68">
        <f>IF(AP219&gt;14,AVERAGE(K219:AO219),"")</f>
        <v/>
      </c>
      <c r="AR219" s="68">
        <f>IFERROR(VLOOKUP(A219,Climatologia_TMAX!A:U,9+$E$2,FALSE),"")</f>
        <v/>
      </c>
      <c r="AS219" s="68">
        <f>IF(OR(AQ219="",AR219=""),"",IFERROR(AQ219-AR219,""))</f>
        <v/>
      </c>
      <c r="AT219" s="74">
        <f>IF(COUNT(K219:AO219)=0,"",MAX(K219:AO219))</f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>
        <f>IF(OR(AT219="",AU219=""),"NA",IFERROR(AT219-AU219,"NA"))</f>
        <v/>
      </c>
    </row>
    <row r="220" ht="14.25" customHeight="1">
      <c r="A220" s="64" t="n">
        <v>26155110</v>
      </c>
      <c r="B220" s="70" t="inlineStr">
        <is>
          <t>Aeropuerto La Nubia AUT</t>
        </is>
      </c>
      <c r="C220" s="70" t="inlineStr">
        <is>
          <t>Area Operativa 09 - Cauca-Valle-Caldas</t>
        </is>
      </c>
      <c r="D220" s="101" t="n">
        <v>-75.46991666700001</v>
      </c>
      <c r="E220" s="101" t="n">
        <v>5.029777778</v>
      </c>
      <c r="F220" s="64" t="n">
        <v>2104</v>
      </c>
      <c r="G220" s="62" t="n">
        <v>17</v>
      </c>
      <c r="H220" s="62" t="n">
        <v>17001</v>
      </c>
      <c r="I220" s="72" t="inlineStr">
        <is>
          <t>Caldas</t>
        </is>
      </c>
      <c r="J220" s="72" t="inlineStr">
        <is>
          <t>Manizales</t>
        </is>
      </c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7">
        <f>COUNTIF(K220:AO220,"&gt;0")</f>
        <v/>
      </c>
      <c r="AQ220" s="68">
        <f>IF(AP220&gt;14,AVERAGE(K220:AO220),"")</f>
        <v/>
      </c>
      <c r="AR220" s="68">
        <f>IFERROR(VLOOKUP(A220,Climatologia_TMAX!A:U,9+$E$2,FALSE),"")</f>
        <v/>
      </c>
      <c r="AS220" s="68">
        <f>IF(OR(AQ220="",AR220=""),"",IFERROR(AQ220-AR220,""))</f>
        <v/>
      </c>
      <c r="AT220" s="74">
        <f>IF(COUNT(K220:AO220)=0,"",MAX(K220:AO220))</f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/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0" s="69">
        <f>IF(OR(AT220="",AU220=""),"NA",IFERROR(AT220-AU220,"NA"))</f>
        <v/>
      </c>
    </row>
    <row r="221" ht="14.25" customHeight="1">
      <c r="A221" s="64" t="n">
        <v>26105140</v>
      </c>
      <c r="B221" s="70" t="inlineStr">
        <is>
          <t>Barragan</t>
        </is>
      </c>
      <c r="C221" s="70" t="inlineStr">
        <is>
          <t>Area Operativa 09 - Cauca-Valle-Caldas</t>
        </is>
      </c>
      <c r="D221" s="101" t="n">
        <v>-75.88802777799999</v>
      </c>
      <c r="E221" s="101" t="n">
        <v>4.033055556</v>
      </c>
      <c r="F221" s="64" t="n">
        <v>2902</v>
      </c>
      <c r="G221" s="62" t="n">
        <v>76</v>
      </c>
      <c r="H221" s="62" t="n">
        <v>76834</v>
      </c>
      <c r="I221" s="72" t="inlineStr">
        <is>
          <t>Valle Del Cauca</t>
        </is>
      </c>
      <c r="J221" s="72" t="inlineStr">
        <is>
          <t>Tuluá</t>
        </is>
      </c>
      <c r="K221" s="66" t="n">
        <v>16.6</v>
      </c>
      <c r="L221" s="66" t="n">
        <v>16.6</v>
      </c>
      <c r="M221" s="109" t="n">
        <v>16</v>
      </c>
      <c r="N221" s="66" t="n">
        <v>15.2</v>
      </c>
      <c r="O221" s="66" t="n">
        <v>18</v>
      </c>
      <c r="P221" s="66" t="n">
        <v>16</v>
      </c>
      <c r="Q221" s="66" t="n">
        <v>14.8</v>
      </c>
      <c r="R221" s="66" t="n">
        <v/>
      </c>
      <c r="S221" s="66" t="n">
        <v/>
      </c>
      <c r="T221" s="66" t="n">
        <v/>
      </c>
      <c r="U221" s="66" t="n">
        <v/>
      </c>
      <c r="V221" s="66" t="n">
        <v/>
      </c>
      <c r="W221" s="66" t="n">
        <v/>
      </c>
      <c r="X221" s="66" t="n">
        <v/>
      </c>
      <c r="Y221" s="66" t="n">
        <v/>
      </c>
      <c r="Z221" s="66" t="n">
        <v/>
      </c>
      <c r="AA221" s="66" t="n">
        <v/>
      </c>
      <c r="AB221" s="66" t="n">
        <v/>
      </c>
      <c r="AC221" s="66" t="n">
        <v/>
      </c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7">
        <f>COUNTIF(K221:AO221,"&gt;0")</f>
        <v/>
      </c>
      <c r="AQ221" s="68">
        <f>IF(AP221&gt;14,AVERAGE(K221:AO221),"")</f>
        <v/>
      </c>
      <c r="AR221" s="68">
        <f>IFERROR(VLOOKUP(A221,Climatologia_TMAX!A:U,9+$E$2,FALSE),"")</f>
        <v/>
      </c>
      <c r="AS221" s="68">
        <f>IF(OR(AQ221="",AR221=""),"",IFERROR(AQ221-AR221,""))</f>
        <v/>
      </c>
      <c r="AT221" s="74">
        <f>IF(COUNT(K221:AO221)=0,"",MAX(K221:AO221))</f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/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1" s="69">
        <f>IF(OR(AT221="",AU221=""),"NA",IFERROR(AT221-AU221,"NA"))</f>
        <v/>
      </c>
    </row>
    <row r="222" ht="14.25" customHeight="1">
      <c r="A222" s="64" t="n">
        <v>26145020</v>
      </c>
      <c r="B222" s="70" t="inlineStr">
        <is>
          <t>Bellavista</t>
        </is>
      </c>
      <c r="C222" s="70" t="inlineStr">
        <is>
          <t>Area Operativa 09 - Cauca-Valle-Caldas</t>
        </is>
      </c>
      <c r="D222" s="101" t="n">
        <v>-75.800138889</v>
      </c>
      <c r="E222" s="101" t="n">
        <v>5.275944444</v>
      </c>
      <c r="F222" s="64" t="n">
        <v>1984</v>
      </c>
      <c r="G222" s="62" t="n">
        <v>17</v>
      </c>
      <c r="H222" s="62" t="n">
        <v>17042</v>
      </c>
      <c r="I222" s="72" t="inlineStr">
        <is>
          <t>Caldas</t>
        </is>
      </c>
      <c r="J222" s="72" t="inlineStr">
        <is>
          <t>Anserma</t>
        </is>
      </c>
      <c r="K222" s="66" t="n">
        <v>22</v>
      </c>
      <c r="L222" s="66" t="n">
        <v>24.2</v>
      </c>
      <c r="M222" s="66" t="n">
        <v>23.8</v>
      </c>
      <c r="N222" s="66" t="n">
        <v>24</v>
      </c>
      <c r="O222" s="66" t="n">
        <v>23.4</v>
      </c>
      <c r="P222" s="66" t="n">
        <v>24</v>
      </c>
      <c r="Q222" s="66" t="n">
        <v>24</v>
      </c>
      <c r="R222" s="66" t="n">
        <v>27.4</v>
      </c>
      <c r="S222" s="66" t="n">
        <v>25</v>
      </c>
      <c r="T222" s="66" t="n">
        <v>25</v>
      </c>
      <c r="U222" s="66" t="n">
        <v>22</v>
      </c>
      <c r="V222" s="66" t="n">
        <v>24.2</v>
      </c>
      <c r="W222" s="66" t="n">
        <v>24.4</v>
      </c>
      <c r="X222" s="66" t="n">
        <v>24</v>
      </c>
      <c r="Y222" s="66" t="n">
        <v>24</v>
      </c>
      <c r="Z222" s="66" t="n">
        <v>24</v>
      </c>
      <c r="AA222" s="109" t="n">
        <v>28.6</v>
      </c>
      <c r="AB222" s="66" t="n">
        <v>25</v>
      </c>
      <c r="AC222" s="66" t="n">
        <v>24.4</v>
      </c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7">
        <f>COUNTIF(K222:AO222,"&gt;0")</f>
        <v/>
      </c>
      <c r="AQ222" s="68">
        <f>IF(AP222&gt;14,AVERAGE(K222:AO222),"")</f>
        <v/>
      </c>
      <c r="AR222" s="68">
        <f>IFERROR(VLOOKUP(A222,Climatologia_TMAX!A:U,9+$E$2,FALSE),"")</f>
        <v/>
      </c>
      <c r="AS222" s="68">
        <f>IF(OR(AQ222="",AR222=""),"",IFERROR(AQ222-AR222,""))</f>
        <v/>
      </c>
      <c r="AT222" s="74">
        <f>IF(COUNT(K222:AO222)=0,"",MAX(K222:AO222))</f>
        <v/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>
        <f>IF(OR(AT222="",AU222=""),"NA",IFERROR(AT222-AU222,"NA"))</f>
        <v/>
      </c>
    </row>
    <row r="223" ht="14.25" customHeight="1">
      <c r="A223" s="64" t="n">
        <v>26080310</v>
      </c>
      <c r="B223" s="70" t="inlineStr">
        <is>
          <t>Cali Sede Ideam</t>
        </is>
      </c>
      <c r="C223" s="70" t="inlineStr">
        <is>
          <t>Area Operativa 09 - Cauca-Valle-Caldas</t>
        </is>
      </c>
      <c r="D223" s="101" t="n">
        <v>-76.52302778000001</v>
      </c>
      <c r="E223" s="101" t="n">
        <v>3.475972222</v>
      </c>
      <c r="F223" s="64" t="n">
        <v>983</v>
      </c>
      <c r="G223" s="62" t="n">
        <v>76</v>
      </c>
      <c r="H223" s="62" t="n">
        <v>76001</v>
      </c>
      <c r="I223" s="72" t="inlineStr">
        <is>
          <t>Valle Del Cauca</t>
        </is>
      </c>
      <c r="J223" s="72" t="inlineStr">
        <is>
          <t>Santiago De Cali</t>
        </is>
      </c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7">
        <f>COUNTIF(K223:AO223,"&gt;0")</f>
        <v/>
      </c>
      <c r="AQ223" s="68">
        <f>IF(AP223&gt;14,AVERAGE(K223:AO223),"")</f>
        <v/>
      </c>
      <c r="AR223" s="68">
        <f>IFERROR(VLOOKUP(A223,Climatologia_TMAX!A:U,9+$E$2,FALSE),"")</f>
        <v/>
      </c>
      <c r="AS223" s="68">
        <f>IF(OR(AQ223="",AR223=""),"",IFERROR(AQ223-AR223,""))</f>
        <v/>
      </c>
      <c r="AT223" s="74">
        <f>IF(COUNT(K223:AO223)=0,"",MAX(K223:AO223))</f>
        <v/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>
        <f>IF(OR(AT223="",AU223=""),"NA",IFERROR(AT223-AU223,"NA"))</f>
        <v/>
      </c>
    </row>
    <row r="224" ht="14.25" customHeight="1">
      <c r="A224" s="64" t="n">
        <v>26075080</v>
      </c>
      <c r="B224" s="70" t="inlineStr">
        <is>
          <t>Cenicana</t>
        </is>
      </c>
      <c r="C224" s="70" t="inlineStr">
        <is>
          <t>Area Operativa 09 - Cauca-Valle-Caldas</t>
        </is>
      </c>
      <c r="D224" s="101" t="n">
        <v>-76.299722222</v>
      </c>
      <c r="E224" s="101" t="n">
        <v>3.360416667</v>
      </c>
      <c r="F224" s="64" t="n">
        <v>128</v>
      </c>
      <c r="G224" s="62" t="n">
        <v>76</v>
      </c>
      <c r="H224" s="62" t="n">
        <v>76275</v>
      </c>
      <c r="I224" s="72" t="inlineStr">
        <is>
          <t>Valle Del Cauca</t>
        </is>
      </c>
      <c r="J224" s="72" t="inlineStr">
        <is>
          <t>Florida</t>
        </is>
      </c>
      <c r="K224" s="66" t="n">
        <v>34</v>
      </c>
      <c r="L224" s="66" t="n">
        <v>31.8</v>
      </c>
      <c r="M224" s="66" t="n">
        <v>30.8</v>
      </c>
      <c r="N224" s="66" t="n">
        <v>33.4</v>
      </c>
      <c r="O224" s="66" t="n">
        <v>34.2</v>
      </c>
      <c r="P224" s="66" t="n">
        <v>33.4</v>
      </c>
      <c r="Q224" s="66" t="n">
        <v>35.3</v>
      </c>
      <c r="R224" s="66" t="n">
        <v>34.4</v>
      </c>
      <c r="S224" s="66" t="n">
        <v>33.8</v>
      </c>
      <c r="T224" s="66" t="n">
        <v>36</v>
      </c>
      <c r="U224" s="66" t="n">
        <v>30</v>
      </c>
      <c r="V224" s="66" t="n">
        <v>34.2</v>
      </c>
      <c r="W224" s="66" t="n">
        <v>33.2</v>
      </c>
      <c r="X224" s="66" t="n">
        <v>32.4</v>
      </c>
      <c r="Y224" s="66" t="n">
        <v>34</v>
      </c>
      <c r="Z224" s="66" t="n">
        <v>33</v>
      </c>
      <c r="AA224" s="66" t="n">
        <v>35</v>
      </c>
      <c r="AB224" s="66" t="n">
        <v/>
      </c>
      <c r="AC224" s="66" t="n">
        <v/>
      </c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7">
        <f>COUNTIF(K224:AO224,"&gt;0")</f>
        <v/>
      </c>
      <c r="AQ224" s="68">
        <f>IF(AP224&gt;14,AVERAGE(K224:AO224),"")</f>
        <v/>
      </c>
      <c r="AR224" s="68">
        <f>IFERROR(VLOOKUP(A224,Climatologia_TMAX!A:U,9+$E$2,FALSE),"")</f>
        <v/>
      </c>
      <c r="AS224" s="68">
        <f>IF(OR(AQ224="",AR224=""),"",IFERROR(AQ224-AR224,""))</f>
        <v/>
      </c>
      <c r="AT224" s="74">
        <f>IF(COUNT(K224:AO224)=0,"",MAX(K224:AO224))</f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/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4" s="69">
        <f>IF(OR(AT224="",AU224=""),"NA",IFERROR(AT224-AU224,"NA"))</f>
        <v/>
      </c>
    </row>
    <row r="225" ht="14.25" customHeight="1">
      <c r="A225" s="64" t="n">
        <v>26125130</v>
      </c>
      <c r="B225" s="70" t="inlineStr">
        <is>
          <t>Cumbarco</t>
        </is>
      </c>
      <c r="C225" s="70" t="inlineStr">
        <is>
          <t>Area Operativa 09 - Cauca-Valle-Caldas</t>
        </is>
      </c>
      <c r="D225" s="101" t="n">
        <v>-75.83236110999999</v>
      </c>
      <c r="E225" s="101" t="n">
        <v>4.185055556</v>
      </c>
      <c r="F225" s="64" t="n">
        <v>1749</v>
      </c>
      <c r="G225" s="62" t="n">
        <v>76</v>
      </c>
      <c r="H225" s="62" t="n">
        <v>76736</v>
      </c>
      <c r="I225" s="72" t="inlineStr">
        <is>
          <t>Valle Del Cauca</t>
        </is>
      </c>
      <c r="J225" s="72" t="inlineStr">
        <is>
          <t>Sevilla</t>
        </is>
      </c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7">
        <f>COUNTIF(K225:AO225,"&gt;0")</f>
        <v/>
      </c>
      <c r="AQ225" s="68">
        <f>IF(AP225&gt;14,AVERAGE(K225:AO225),"")</f>
        <v/>
      </c>
      <c r="AR225" s="68">
        <f>IFERROR(VLOOKUP(A225,Climatologia_TMAX!A:U,9+$E$2,FALSE),"")</f>
        <v/>
      </c>
      <c r="AS225" s="68">
        <f>IF(OR(AQ225="",AR225=""),"",IFERROR(AQ225-AR225,""))</f>
        <v/>
      </c>
      <c r="AT225" s="74">
        <f>IF(COUNT(K225:AO225)=0,"",MAX(K225:AO225))</f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/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5" s="69">
        <f>IF(OR(AT225="",AU225=""),"NA",IFERROR(AT225-AU225,"NA"))</f>
        <v/>
      </c>
    </row>
    <row r="226" ht="14.25" customHeight="1">
      <c r="A226" s="64" t="n">
        <v>26095320</v>
      </c>
      <c r="B226" s="70" t="inlineStr">
        <is>
          <t>El Vinculo - AUT</t>
        </is>
      </c>
      <c r="C226" s="70" t="inlineStr">
        <is>
          <t>Area Operativa 09 - Cauca-Valle-Caldas</t>
        </is>
      </c>
      <c r="D226" s="101" t="n">
        <v>-76.300005556</v>
      </c>
      <c r="E226" s="101" t="n">
        <v>3.360416667</v>
      </c>
      <c r="F226" s="64" t="n">
        <v>980</v>
      </c>
      <c r="G226" s="62" t="n">
        <v>76</v>
      </c>
      <c r="H226" s="62" t="n">
        <v>76275</v>
      </c>
      <c r="I226" s="72" t="inlineStr">
        <is>
          <t>Valle Del Cauca</t>
        </is>
      </c>
      <c r="J226" s="72" t="inlineStr">
        <is>
          <t>Florida</t>
        </is>
      </c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7">
        <f>COUNTIF(K226:AO226,"&gt;0")</f>
        <v/>
      </c>
      <c r="AQ226" s="68">
        <f>IF(AP226&gt;14,AVERAGE(K226:AO226),"")</f>
        <v/>
      </c>
      <c r="AR226" s="68">
        <f>IFERROR(VLOOKUP(A226,Climatologia_TMAX!A:U,9+$E$2,FALSE),"")</f>
        <v/>
      </c>
      <c r="AS226" s="68">
        <f>IF(OR(AQ226="",AR226=""),"",IFERROR(AQ226-AR226,""))</f>
        <v/>
      </c>
      <c r="AT226" s="74">
        <f>IF(COUNT(K226:AO226)=0,"",MAX(K226:AO226))</f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>
        <f>IF(OR(AT226="",AU226=""),"NA",IFERROR(AT226-AU226,"NA"))</f>
        <v/>
      </c>
    </row>
    <row r="227" ht="14.25" customHeight="1">
      <c r="A227" s="64" t="n">
        <v>26070760</v>
      </c>
      <c r="B227" s="70" t="inlineStr">
        <is>
          <t>Florida</t>
        </is>
      </c>
      <c r="C227" s="70" t="inlineStr">
        <is>
          <t>Area Operativa 09 - Cauca-Valle-Caldas</t>
        </is>
      </c>
      <c r="D227" s="101" t="n">
        <v>-76.239138889</v>
      </c>
      <c r="E227" s="101" t="n">
        <v>3.327777778</v>
      </c>
      <c r="F227" s="64" t="n">
        <v>1059</v>
      </c>
      <c r="G227" s="62" t="n">
        <v>76</v>
      </c>
      <c r="H227" s="62" t="n">
        <v>76275</v>
      </c>
      <c r="I227" s="72" t="inlineStr">
        <is>
          <t>Valle Del Cauca</t>
        </is>
      </c>
      <c r="J227" s="72" t="inlineStr">
        <is>
          <t>Florida</t>
        </is>
      </c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7">
        <f>COUNTIF(K227:AO227,"&gt;0")</f>
        <v/>
      </c>
      <c r="AQ227" s="68">
        <f>IF(AP227&gt;14,AVERAGE(K227:AO227),"")</f>
        <v/>
      </c>
      <c r="AR227" s="68">
        <f>IFERROR(VLOOKUP(A227,Climatologia_TMAX!A:U,9+$E$2,FALSE),"")</f>
        <v/>
      </c>
      <c r="AS227" s="68">
        <f>IF(OR(AQ227="",AR227=""),"",IFERROR(AQ227-AR227,""))</f>
        <v/>
      </c>
      <c r="AT227" s="74">
        <f>IF(COUNT(K227:AO227)=0,"",MAX(K227:AO227))</f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>
        <f>IF(OR(AT227="",AU227=""),"NA",IFERROR(AT227-AU227,"NA"))</f>
        <v/>
      </c>
    </row>
    <row r="228" ht="14.25" customHeight="1">
      <c r="A228" s="64" t="n">
        <v>26105110</v>
      </c>
      <c r="B228" s="70" t="inlineStr">
        <is>
          <t>Ingenio Riopaila</t>
        </is>
      </c>
      <c r="C228" s="70" t="inlineStr">
        <is>
          <t>Area Operativa 09 - Cauca-Valle-Caldas</t>
        </is>
      </c>
      <c r="D228" s="101" t="n">
        <v>-76.08452778</v>
      </c>
      <c r="E228" s="101" t="n">
        <v>4.3245</v>
      </c>
      <c r="F228" s="64" t="n">
        <v>954</v>
      </c>
      <c r="G228" s="62" t="n">
        <v>76</v>
      </c>
      <c r="H228" s="62" t="n">
        <v>76895</v>
      </c>
      <c r="I228" s="72" t="inlineStr">
        <is>
          <t>Valle Del Cauca</t>
        </is>
      </c>
      <c r="J228" s="72" t="inlineStr">
        <is>
          <t>Zarzal</t>
        </is>
      </c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7">
        <f>COUNTIF(K228:AO228,"&gt;0")</f>
        <v/>
      </c>
      <c r="AQ228" s="68">
        <f>IF(AP228&gt;14,AVERAGE(K228:AO228),"")</f>
        <v/>
      </c>
      <c r="AR228" s="68">
        <f>IFERROR(VLOOKUP(A228,Climatologia_TMAX!A:U,9+$E$2,FALSE),"")</f>
        <v/>
      </c>
      <c r="AS228" s="68">
        <f>IF(OR(AQ228="",AR228=""),"",IFERROR(AQ228-AR228,""))</f>
        <v/>
      </c>
      <c r="AT228" s="74">
        <f>IF(COUNT(K228:AO228)=0,"",MAX(K228:AO228))</f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/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8" s="69">
        <f>IF(OR(AT228="",AU228=""),"NA",IFERROR(AT228-AU228,"NA"))</f>
        <v/>
      </c>
    </row>
    <row r="229" ht="14.25" customHeight="1">
      <c r="A229" s="64" t="n">
        <v>26135100</v>
      </c>
      <c r="B229" s="108" t="inlineStr">
        <is>
          <t>La Bohemia</t>
        </is>
      </c>
      <c r="C229" s="70" t="inlineStr">
        <is>
          <t>Area Operativa 09 - Cauca-Valle-Caldas</t>
        </is>
      </c>
      <c r="D229" s="101" t="n">
        <v>-75.87755556</v>
      </c>
      <c r="E229" s="101" t="n">
        <v>4.878027778</v>
      </c>
      <c r="F229" s="64" t="n">
        <v>995</v>
      </c>
      <c r="G229" s="62" t="n">
        <v>66</v>
      </c>
      <c r="H229" s="62" t="n">
        <v>66001</v>
      </c>
      <c r="I229" s="72" t="inlineStr">
        <is>
          <t>Risaralda</t>
        </is>
      </c>
      <c r="J229" s="72" t="inlineStr">
        <is>
          <t>Pereira</t>
        </is>
      </c>
      <c r="K229" s="66" t="n">
        <v/>
      </c>
      <c r="L229" s="66" t="n">
        <v/>
      </c>
      <c r="M229" s="66" t="n">
        <v/>
      </c>
      <c r="N229" s="66" t="n">
        <v/>
      </c>
      <c r="O229" s="66" t="n">
        <v/>
      </c>
      <c r="P229" s="66" t="n">
        <v/>
      </c>
      <c r="Q229" s="66" t="n">
        <v/>
      </c>
      <c r="R229" s="66" t="n">
        <v/>
      </c>
      <c r="S229" s="66" t="n">
        <v/>
      </c>
      <c r="T229" s="66" t="n">
        <v/>
      </c>
      <c r="U229" s="66" t="n">
        <v>29.4</v>
      </c>
      <c r="V229" s="66" t="n">
        <v/>
      </c>
      <c r="W229" s="66" t="n">
        <v/>
      </c>
      <c r="X229" s="66" t="n">
        <v>31.8</v>
      </c>
      <c r="Y229" s="66" t="n">
        <v/>
      </c>
      <c r="Z229" s="66" t="n">
        <v>34.4</v>
      </c>
      <c r="AA229" s="66" t="n">
        <v>35.2</v>
      </c>
      <c r="AB229" s="66" t="n">
        <v>33.4</v>
      </c>
      <c r="AC229" s="109" t="n">
        <v>31.2</v>
      </c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7">
        <f>COUNTIF(K229:AO229,"&gt;0")</f>
        <v/>
      </c>
      <c r="AQ229" s="68">
        <f>IF(AP229&gt;14,AVERAGE(K229:AO229),"")</f>
        <v/>
      </c>
      <c r="AR229" s="68">
        <f>IFERROR(VLOOKUP(A229,Climatologia_TMAX!A:U,9+$E$2,FALSE),"")</f>
        <v/>
      </c>
      <c r="AS229" s="68">
        <f>IF(OR(AQ229="",AR229=""),"",IFERROR(AQ229-AR229,""))</f>
        <v/>
      </c>
      <c r="AT229" s="74">
        <f>IF(COUNT(K229:AO229)=0,"",MAX(K229:AO229))</f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/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9" s="69">
        <f>IF(OR(AT229="",AU229=""),"NA",IFERROR(AT229-AU229,"NA"))</f>
        <v/>
      </c>
    </row>
    <row r="230" ht="14.25" customHeight="1">
      <c r="A230" s="64" t="n">
        <v>26145030</v>
      </c>
      <c r="B230" s="70" t="inlineStr">
        <is>
          <t>La Camelia</t>
        </is>
      </c>
      <c r="C230" s="70" t="inlineStr">
        <is>
          <t>Area Operativa 09 - Cauca-Valle-Caldas</t>
        </is>
      </c>
      <c r="D230" s="101" t="n">
        <v>-75.97</v>
      </c>
      <c r="E230" s="101" t="n">
        <v>5.08</v>
      </c>
      <c r="F230" s="64" t="n">
        <v>1763</v>
      </c>
      <c r="G230" s="62" t="n">
        <v>66</v>
      </c>
      <c r="H230" s="62" t="n">
        <v>66687</v>
      </c>
      <c r="I230" s="72" t="inlineStr">
        <is>
          <t>Risaralda</t>
        </is>
      </c>
      <c r="J230" s="72" t="inlineStr">
        <is>
          <t>Santuario</t>
        </is>
      </c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7">
        <f>COUNTIF(K230:AO230,"&gt;0")</f>
        <v/>
      </c>
      <c r="AQ230" s="68">
        <f>IF(AP230&gt;14,AVERAGE(K230:AO230),"")</f>
        <v/>
      </c>
      <c r="AR230" s="68">
        <f>IFERROR(VLOOKUP(A230,Climatologia_TMAX!A:U,9+$E$2,FALSE),"")</f>
        <v/>
      </c>
      <c r="AS230" s="68">
        <f>IF(OR(AQ230="",AR230=""),"",IFERROR(AQ230-AR230,""))</f>
        <v/>
      </c>
      <c r="AT230" s="74">
        <f>IF(COUNT(K230:AO230)=0,"",MAX(K230:AO230))</f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/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0" s="69">
        <f>IF(OR(AT230="",AU230=""),"NA",IFERROR(AT230-AU230,"NA"))</f>
        <v/>
      </c>
    </row>
    <row r="231" ht="14.25" customHeight="1">
      <c r="A231" s="64" t="n">
        <v>26025110</v>
      </c>
      <c r="B231" s="70" t="inlineStr">
        <is>
          <t>Lomitas</t>
        </is>
      </c>
      <c r="C231" s="70" t="inlineStr">
        <is>
          <t>Area Operativa 09 - Cauca-Valle-Caldas</t>
        </is>
      </c>
      <c r="D231" s="101" t="n">
        <v>-76.55625000000001</v>
      </c>
      <c r="E231" s="101" t="n">
        <v>3.075388889</v>
      </c>
      <c r="F231" s="64" t="n">
        <v>1009</v>
      </c>
      <c r="G231" s="62" t="n">
        <v>19</v>
      </c>
      <c r="H231" s="62" t="n">
        <v>19698</v>
      </c>
      <c r="I231" s="72" t="inlineStr">
        <is>
          <t>Cauca</t>
        </is>
      </c>
      <c r="J231" s="72" t="inlineStr">
        <is>
          <t>Santander De Quilichao</t>
        </is>
      </c>
      <c r="K231" s="66" t="n">
        <v>33.8</v>
      </c>
      <c r="L231" s="66" t="n">
        <v>32.8</v>
      </c>
      <c r="M231" s="66" t="n">
        <v>33.6</v>
      </c>
      <c r="N231" s="66" t="n">
        <v>31.2</v>
      </c>
      <c r="O231" s="66" t="n">
        <v>34.2</v>
      </c>
      <c r="P231" s="66" t="n">
        <v>33.6</v>
      </c>
      <c r="Q231" s="66" t="n">
        <v>31.2</v>
      </c>
      <c r="R231" s="66" t="n">
        <v>34.6</v>
      </c>
      <c r="S231" s="66" t="n">
        <v>33.8</v>
      </c>
      <c r="T231" s="66" t="n">
        <v>32.6</v>
      </c>
      <c r="U231" s="66" t="n">
        <v>30.2</v>
      </c>
      <c r="V231" s="66" t="n">
        <v>32.6</v>
      </c>
      <c r="W231" s="66" t="n">
        <v>33.6</v>
      </c>
      <c r="X231" s="66" t="n">
        <v>32.6</v>
      </c>
      <c r="Y231" s="66" t="n">
        <v>34</v>
      </c>
      <c r="Z231" s="66" t="n">
        <v>33.4</v>
      </c>
      <c r="AA231" s="109" t="n">
        <v>34.8</v>
      </c>
      <c r="AB231" s="66" t="n">
        <v>33.6</v>
      </c>
      <c r="AC231" s="66" t="n">
        <v>32.8</v>
      </c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7">
        <f>COUNTIF(K231:AO231,"&gt;0")</f>
        <v/>
      </c>
      <c r="AQ231" s="68">
        <f>IF(AP231&gt;14,AVERAGE(K231:AO231),"")</f>
        <v/>
      </c>
      <c r="AR231" s="68">
        <f>IFERROR(VLOOKUP(A231,Climatologia_TMAX!A:U,9+$E$2,FALSE),"")</f>
        <v/>
      </c>
      <c r="AS231" s="68">
        <f>IF(OR(AQ231="",AR231=""),"",IFERROR(AQ231-AR231,""))</f>
        <v/>
      </c>
      <c r="AT231" s="74">
        <f>IF(COUNT(K231:AO231)=0,"",MAX(K231:AO231))</f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/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1" s="69">
        <f>IF(OR(AT231="",AU231=""),"NA",IFERROR(AT231-AU231,"NA"))</f>
        <v/>
      </c>
    </row>
    <row r="232" ht="14.25" customHeight="1">
      <c r="A232" s="64" t="n">
        <v>26105230</v>
      </c>
      <c r="B232" s="70" t="inlineStr">
        <is>
          <t>Mateguadua</t>
        </is>
      </c>
      <c r="C232" s="70" t="inlineStr">
        <is>
          <t>Area Operativa 09 - Cauca-Valle-Caldas</t>
        </is>
      </c>
      <c r="D232" s="101" t="n">
        <v>-76.16852778000001</v>
      </c>
      <c r="E232" s="101" t="n">
        <v>4.028333333</v>
      </c>
      <c r="F232" s="64" t="n">
        <v>1119</v>
      </c>
      <c r="G232" s="62" t="n">
        <v>76</v>
      </c>
      <c r="H232" s="62" t="n">
        <v>76834</v>
      </c>
      <c r="I232" s="72" t="inlineStr">
        <is>
          <t>Valle Del Cauca</t>
        </is>
      </c>
      <c r="J232" s="72" t="inlineStr">
        <is>
          <t>Tuluá</t>
        </is>
      </c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7">
        <f>COUNTIF(K232:AO232,"&gt;0")</f>
        <v/>
      </c>
      <c r="AQ232" s="68">
        <f>IF(AP232&gt;14,AVERAGE(K232:AO232),"")</f>
        <v/>
      </c>
      <c r="AR232" s="68">
        <f>IFERROR(VLOOKUP(A232,Climatologia_TMAX!A:U,9+$E$2,FALSE),"")</f>
        <v/>
      </c>
      <c r="AS232" s="68">
        <f>IF(OR(AQ232="",AR232=""),"",IFERROR(AQ232-AR232,""))</f>
        <v/>
      </c>
      <c r="AT232" s="74">
        <f>IF(COUNT(K232:AO232)=0,"",MAX(K232:AO232))</f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>
        <f>IF(OR(AT232="",AU232=""),"NA",IFERROR(AT232-AU232,"NA"))</f>
        <v/>
      </c>
    </row>
    <row r="233" ht="14.25" customHeight="1">
      <c r="A233" s="64" t="n">
        <v>26020250</v>
      </c>
      <c r="B233" s="70" t="inlineStr">
        <is>
          <t>Mondomo</t>
        </is>
      </c>
      <c r="C233" s="70" t="inlineStr">
        <is>
          <t>Area Operativa 09 - Cauca-Valle-Caldas</t>
        </is>
      </c>
      <c r="D233" s="101" t="n">
        <v>-76.54697222</v>
      </c>
      <c r="E233" s="101" t="n">
        <v>2.903694444</v>
      </c>
      <c r="F233" s="64" t="n">
        <v>1397</v>
      </c>
      <c r="G233" s="62" t="n">
        <v>19</v>
      </c>
      <c r="H233" s="62" t="n">
        <v>19698</v>
      </c>
      <c r="I233" s="72" t="inlineStr">
        <is>
          <t>Cauca</t>
        </is>
      </c>
      <c r="J233" s="72" t="inlineStr">
        <is>
          <t>Santander De Quilichao</t>
        </is>
      </c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7">
        <f>COUNTIF(K233:AO233,"&gt;0")</f>
        <v/>
      </c>
      <c r="AQ233" s="68">
        <f>IF(AP233&gt;14,AVERAGE(K233:AO233),"")</f>
        <v/>
      </c>
      <c r="AR233" s="68">
        <f>IFERROR(VLOOKUP(A233,Climatologia_TMAX!A:U,9+$E$2,FALSE),"")</f>
        <v/>
      </c>
      <c r="AS233" s="68">
        <f>IF(OR(AQ233="",AR233=""),"",IFERROR(AQ233-AR233,""))</f>
        <v/>
      </c>
      <c r="AT233" s="74">
        <f>IF(COUNT(K233:AO233)=0,"",MAX(K233:AO233))</f>
        <v/>
      </c>
      <c r="AU233" s="74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>
        <f>IF(OR(AT233="",AU233=""),"NA",IFERROR(AT233-AU233,"NA"))</f>
        <v/>
      </c>
    </row>
    <row r="234" ht="14.25" customHeight="1">
      <c r="A234" s="64" t="n">
        <v>54020060</v>
      </c>
      <c r="B234" s="70" t="inlineStr">
        <is>
          <t>Opogodo</t>
        </is>
      </c>
      <c r="C234" s="70" t="inlineStr">
        <is>
          <t>Area Operativa 09 - Cauca-Valle-Caldas</t>
        </is>
      </c>
      <c r="D234" s="101" t="n">
        <v>-76.65000000000001</v>
      </c>
      <c r="E234" s="101" t="n">
        <v>5.06</v>
      </c>
      <c r="F234" s="64" t="n">
        <v>61</v>
      </c>
      <c r="G234" s="62" t="n">
        <v>27</v>
      </c>
      <c r="H234" s="62" t="n">
        <v>27205</v>
      </c>
      <c r="I234" s="72" t="inlineStr">
        <is>
          <t>Chocó</t>
        </is>
      </c>
      <c r="J234" s="72" t="inlineStr">
        <is>
          <t>Condoto</t>
        </is>
      </c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7">
        <f>COUNTIF(K234:AO234,"&gt;0")</f>
        <v/>
      </c>
      <c r="AQ234" s="68">
        <f>IF(AP234&gt;14,AVERAGE(K234:AO234),"")</f>
        <v/>
      </c>
      <c r="AR234" s="68">
        <f>IFERROR(VLOOKUP(A234,Climatologia_TMAX!A:U,9+$E$2,FALSE),"")</f>
        <v/>
      </c>
      <c r="AS234" s="68">
        <f>IF(OR(AQ234="",AR234=""),"",IFERROR(AQ234-AR234,""))</f>
        <v/>
      </c>
      <c r="AT234" s="74">
        <f>IF(COUNT(K234:AO234)=0,"",MAX(K234:AO234))</f>
        <v/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>
        <f>IF(OR(AT234="",AU234=""),"NA",IFERROR(AT234-AU234,"NA"))</f>
        <v/>
      </c>
    </row>
    <row r="235" ht="14.25" customHeight="1">
      <c r="A235" s="64" t="n">
        <v>26075010</v>
      </c>
      <c r="B235" s="70" t="inlineStr">
        <is>
          <t>Palmira Ica</t>
        </is>
      </c>
      <c r="C235" s="70" t="inlineStr">
        <is>
          <t>Area Operativa 09 - Cauca-Valle-Caldas</t>
        </is>
      </c>
      <c r="D235" s="101" t="n">
        <v>-76.314888889</v>
      </c>
      <c r="E235" s="101" t="n">
        <v>3.513472222</v>
      </c>
      <c r="F235" s="64" t="n">
        <v>1018</v>
      </c>
      <c r="G235" s="62" t="n">
        <v>76</v>
      </c>
      <c r="H235" s="62" t="n">
        <v>76520</v>
      </c>
      <c r="I235" s="72" t="inlineStr">
        <is>
          <t>Valle Del Cauca</t>
        </is>
      </c>
      <c r="J235" s="72" t="inlineStr">
        <is>
          <t>Palmira</t>
        </is>
      </c>
      <c r="K235" s="66" t="n">
        <v>33</v>
      </c>
      <c r="L235" s="66" t="n">
        <v>32</v>
      </c>
      <c r="M235" s="66" t="n">
        <v>31.6</v>
      </c>
      <c r="N235" s="66" t="n">
        <v>32.2</v>
      </c>
      <c r="O235" s="66" t="n">
        <v>33.2</v>
      </c>
      <c r="P235" s="66" t="n">
        <v>33.6</v>
      </c>
      <c r="Q235" s="66" t="n">
        <v>30</v>
      </c>
      <c r="R235" s="66" t="n">
        <v>34.4</v>
      </c>
      <c r="S235" s="66" t="n">
        <v>34.8</v>
      </c>
      <c r="T235" s="66" t="n">
        <v>33.2</v>
      </c>
      <c r="U235" s="66" t="n">
        <v>29.8</v>
      </c>
      <c r="V235" s="66" t="n">
        <v>34.2</v>
      </c>
      <c r="W235" s="66" t="n">
        <v>33.2</v>
      </c>
      <c r="X235" s="66" t="n">
        <v>34</v>
      </c>
      <c r="Y235" s="66" t="n">
        <v>34</v>
      </c>
      <c r="Z235" s="66" t="n">
        <v>33</v>
      </c>
      <c r="AA235" s="109" t="n">
        <v>36.2</v>
      </c>
      <c r="AB235" s="66" t="n">
        <v>35</v>
      </c>
      <c r="AC235" s="66" t="n">
        <v>34.8</v>
      </c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7">
        <f>COUNTIF(K235:AO235,"&gt;0")</f>
        <v/>
      </c>
      <c r="AQ235" s="68">
        <f>IF(AP235&gt;14,AVERAGE(K235:AO235),"")</f>
        <v/>
      </c>
      <c r="AR235" s="68">
        <f>IFERROR(VLOOKUP(A235,Climatologia_TMAX!A:U,9+$E$2,FALSE),"")</f>
        <v/>
      </c>
      <c r="AS235" s="68">
        <f>IF(OR(AQ235="",AR235=""),"",IFERROR(AQ235-AR235,""))</f>
        <v/>
      </c>
      <c r="AT235" s="74">
        <f>IF(COUNT(K235:AO235)=0,"",MAX(K235:AO235))</f>
        <v/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>
        <f>IF(OR(AT235="",AU235=""),"NA",IFERROR(AT235-AU235,"NA"))</f>
        <v/>
      </c>
    </row>
    <row r="236" ht="14.25" customHeight="1">
      <c r="A236" s="64" t="n">
        <v>54015010</v>
      </c>
      <c r="B236" s="70" t="inlineStr">
        <is>
          <t>Pueblo Rico  - AUT</t>
        </is>
      </c>
      <c r="C236" s="70" t="inlineStr">
        <is>
          <t>Area Operativa 09 - Cauca-Valle-Caldas</t>
        </is>
      </c>
      <c r="D236" s="101" t="n">
        <v>-76.03163889</v>
      </c>
      <c r="E236" s="101" t="n">
        <v>5.233444444</v>
      </c>
      <c r="F236" s="64" t="n">
        <v>1505</v>
      </c>
      <c r="G236" s="62" t="n">
        <v>66</v>
      </c>
      <c r="H236" s="62" t="n">
        <v>66572</v>
      </c>
      <c r="I236" s="72" t="inlineStr">
        <is>
          <t>Risaralda</t>
        </is>
      </c>
      <c r="J236" s="72" t="inlineStr">
        <is>
          <t>Pueblo Rico</t>
        </is>
      </c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7">
        <f>COUNTIF(K236:AO236,"&gt;0")</f>
        <v/>
      </c>
      <c r="AQ236" s="68">
        <f>IF(AP236&gt;14,AVERAGE(K236:AO236),"")</f>
        <v/>
      </c>
      <c r="AR236" s="68">
        <f>IFERROR(VLOOKUP(A236,Climatologia_TMAX!A:U,9+$E$2,FALSE),"")</f>
        <v/>
      </c>
      <c r="AS236" s="68">
        <f>IF(OR(AQ236="",AR236=""),"",IFERROR(AQ236-AR236,""))</f>
        <v/>
      </c>
      <c r="AT236" s="74">
        <f>IF(COUNT(K236:AO236)=0,"",MAX(K236:AO236))</f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>
        <f>IF(OR(AT236="",AU236=""),"NA",IFERROR(AT236-AU236,"NA"))</f>
        <v/>
      </c>
    </row>
    <row r="237" ht="14.25" customHeight="1">
      <c r="A237" s="64" t="n">
        <v>54025010</v>
      </c>
      <c r="B237" s="70" t="inlineStr">
        <is>
          <t>San Jose Palmar</t>
        </is>
      </c>
      <c r="C237" s="70" t="inlineStr">
        <is>
          <t>Area Operativa 09 - Cauca-Valle-Caldas</t>
        </is>
      </c>
      <c r="D237" s="101" t="n">
        <v>-76.67666666700001</v>
      </c>
      <c r="E237" s="101" t="n">
        <v>4.898083333</v>
      </c>
      <c r="F237" s="64" t="n">
        <v>1115</v>
      </c>
      <c r="G237" s="62" t="n">
        <v>27</v>
      </c>
      <c r="H237" s="62" t="n">
        <v>27491</v>
      </c>
      <c r="I237" s="72" t="inlineStr">
        <is>
          <t>Chocó</t>
        </is>
      </c>
      <c r="J237" s="72" t="inlineStr">
        <is>
          <t>Nóvita</t>
        </is>
      </c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7">
        <f>COUNTIF(K237:AO237,"&gt;0")</f>
        <v/>
      </c>
      <c r="AQ237" s="68">
        <f>IF(AP237&gt;14,AVERAGE(K237:AO237),"")</f>
        <v/>
      </c>
      <c r="AR237" s="68">
        <f>IFERROR(VLOOKUP(A237,Climatologia_TMAX!A:U,9+$E$2,FALSE),"")</f>
        <v/>
      </c>
      <c r="AS237" s="68">
        <f>IF(OR(AQ237="",AR237=""),"",IFERROR(AQ237-AR237,""))</f>
        <v/>
      </c>
      <c r="AT237" s="74">
        <f>IF(COUNT(K237:AO237)=0,"",MAX(K237:AO237))</f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/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7" s="69">
        <f>IF(OR(AT237="",AU237=""),"NA",IFERROR(AT237-AU237,"NA"))</f>
        <v/>
      </c>
    </row>
    <row r="238" ht="14.25" customHeight="1">
      <c r="A238" s="64" t="n">
        <v>26105150</v>
      </c>
      <c r="B238" s="70" t="inlineStr">
        <is>
          <t>San Marcos</t>
        </is>
      </c>
      <c r="C238" s="70" t="inlineStr">
        <is>
          <t>Area Operativa 09 - Cauca-Valle-Caldas</t>
        </is>
      </c>
      <c r="D238" s="101" t="n">
        <v>-76.03305555599999</v>
      </c>
      <c r="E238" s="101" t="n">
        <v>4.238916667</v>
      </c>
      <c r="F238" s="64" t="n">
        <v>1011</v>
      </c>
      <c r="G238" s="62" t="n">
        <v>76</v>
      </c>
      <c r="H238" s="62" t="n">
        <v>76113</v>
      </c>
      <c r="I238" s="72" t="inlineStr">
        <is>
          <t>Valle Del Cauca</t>
        </is>
      </c>
      <c r="J238" s="72" t="inlineStr">
        <is>
          <t>Bugalagrande</t>
        </is>
      </c>
      <c r="K238" s="66" t="n">
        <v>29.4</v>
      </c>
      <c r="L238" s="66" t="n">
        <v>30.2</v>
      </c>
      <c r="M238" s="66" t="n">
        <v>31</v>
      </c>
      <c r="N238" s="66" t="n">
        <v>33.6</v>
      </c>
      <c r="O238" s="66" t="n">
        <v>32.4</v>
      </c>
      <c r="P238" s="66" t="n">
        <v>31.6</v>
      </c>
      <c r="Q238" s="66" t="n">
        <v>30.4</v>
      </c>
      <c r="R238" s="66" t="n">
        <v>31.4</v>
      </c>
      <c r="S238" s="66" t="n">
        <v>32.4</v>
      </c>
      <c r="T238" s="66" t="n">
        <v>32.4</v>
      </c>
      <c r="U238" s="66" t="n">
        <v>30.2</v>
      </c>
      <c r="V238" s="66" t="n">
        <v>31.2</v>
      </c>
      <c r="W238" s="66" t="n">
        <v>32.4</v>
      </c>
      <c r="X238" s="66" t="n">
        <v>31.2</v>
      </c>
      <c r="Y238" s="66" t="n">
        <v>31.2</v>
      </c>
      <c r="Z238" s="66" t="n">
        <v>30.6</v>
      </c>
      <c r="AA238" s="66" t="n">
        <v>31.6</v>
      </c>
      <c r="AB238" s="66" t="n">
        <v/>
      </c>
      <c r="AC238" s="66" t="n">
        <v/>
      </c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7">
        <f>COUNTIF(K238:AO238,"&gt;0")</f>
        <v/>
      </c>
      <c r="AQ238" s="68">
        <f>IF(AP238&gt;14,AVERAGE(K238:AO238),"")</f>
        <v/>
      </c>
      <c r="AR238" s="68">
        <f>IFERROR(VLOOKUP(A238,Climatologia_TMAX!A:U,9+$E$2,FALSE),"")</f>
        <v/>
      </c>
      <c r="AS238" s="68">
        <f>IF(OR(AQ238="",AR238=""),"",IFERROR(AQ238-AR238,""))</f>
        <v/>
      </c>
      <c r="AT238" s="74">
        <f>IF(COUNT(K238:AO238)=0,"",MAX(K238:AO238))</f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/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8" s="69">
        <f>IF(OR(AT238="",AU238=""),"NA",IFERROR(AT238-AU238,"NA"))</f>
        <v/>
      </c>
    </row>
    <row r="239" ht="14.25" customHeight="1">
      <c r="A239" s="64" t="n">
        <v>26135160</v>
      </c>
      <c r="B239" s="70" t="inlineStr">
        <is>
          <t>San Remo</t>
        </is>
      </c>
      <c r="C239" s="70" t="inlineStr">
        <is>
          <t>Area Operativa 09 - Cauca-Valle-Caldas</t>
        </is>
      </c>
      <c r="D239" s="101" t="n">
        <v>-75.57997222</v>
      </c>
      <c r="E239" s="101" t="n">
        <v>4.841666667</v>
      </c>
      <c r="F239" s="64" t="n">
        <v>1947</v>
      </c>
      <c r="G239" s="62" t="n">
        <v>66</v>
      </c>
      <c r="H239" s="62" t="n">
        <v>66682</v>
      </c>
      <c r="I239" s="72" t="inlineStr">
        <is>
          <t>Risaralda</t>
        </is>
      </c>
      <c r="J239" s="72" t="inlineStr">
        <is>
          <t>Santa Rosa De Cabal</t>
        </is>
      </c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7">
        <f>COUNTIF(K239:AO239,"&gt;0")</f>
        <v/>
      </c>
      <c r="AQ239" s="68">
        <f>IF(AP239&gt;14,AVERAGE(K239:AO239),"")</f>
        <v/>
      </c>
      <c r="AR239" s="68">
        <f>IFERROR(VLOOKUP(A239,Climatologia_TMAX!A:U,9+$E$2,FALSE),"")</f>
        <v/>
      </c>
      <c r="AS239" s="68">
        <f>IF(OR(AQ239="",AR239=""),"",IFERROR(AQ239-AR239,""))</f>
        <v/>
      </c>
      <c r="AT239" s="74">
        <f>IF(COUNT(K239:AO239)=0,"",MAX(K239:AO239))</f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>
        <f>IF(OR(AT239="",AU239=""),"NA",IFERROR(AT239-AU239,"NA"))</f>
        <v/>
      </c>
    </row>
    <row r="240" ht="14.25" customHeight="1">
      <c r="A240" s="64" t="n">
        <v>26140090</v>
      </c>
      <c r="B240" s="70" t="inlineStr">
        <is>
          <t>Taparcal</t>
        </is>
      </c>
      <c r="C240" s="70" t="inlineStr">
        <is>
          <t>Area Operativa 09 - Cauca-Valle-Caldas</t>
        </is>
      </c>
      <c r="D240" s="101" t="n">
        <v>-75.86277778</v>
      </c>
      <c r="E240" s="101" t="n">
        <v>5.167055556</v>
      </c>
      <c r="F240" s="64" t="n">
        <v>1609</v>
      </c>
      <c r="G240" s="62" t="n">
        <v>18</v>
      </c>
      <c r="H240" s="62" t="n">
        <v>18094</v>
      </c>
      <c r="I240" s="72" t="inlineStr">
        <is>
          <t>Caquetá</t>
        </is>
      </c>
      <c r="J240" s="72" t="inlineStr">
        <is>
          <t>Belén De Los Andaquíes</t>
        </is>
      </c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7">
        <f>COUNTIF(K240:AO240,"&gt;0")</f>
        <v/>
      </c>
      <c r="AQ240" s="68">
        <f>IF(AP240&gt;14,AVERAGE(K240:AO240),"")</f>
        <v/>
      </c>
      <c r="AR240" s="68">
        <f>IFERROR(VLOOKUP(A240,Climatologia_TMAX!A:U,9+$E$2,FALSE),"")</f>
        <v/>
      </c>
      <c r="AS240" s="68">
        <f>IF(OR(AQ240="",AR240=""),"",IFERROR(AQ240-AR240,""))</f>
        <v/>
      </c>
      <c r="AT240" s="74">
        <f>IF(COUNT(K240:AO240)=0,"",MAX(K240:AO240))</f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>
        <f>IF(OR(AT240="",AU240=""),"NA",IFERROR(AT240-AU240,"NA"))</f>
        <v/>
      </c>
    </row>
    <row r="241" ht="14.25" customHeight="1">
      <c r="A241" s="64" t="n">
        <v>26155170</v>
      </c>
      <c r="B241" s="70" t="inlineStr">
        <is>
          <t>Tesorito Finca  - AUT</t>
        </is>
      </c>
      <c r="C241" s="70" t="inlineStr">
        <is>
          <t>Area Operativa 09 - Cauca-Valle-Caldas</t>
        </is>
      </c>
      <c r="D241" s="101" t="n">
        <v>-75.43833333000001</v>
      </c>
      <c r="E241" s="101" t="n">
        <v>5.032222222</v>
      </c>
      <c r="F241" s="64" t="n">
        <v>2325</v>
      </c>
      <c r="G241" s="62" t="n">
        <v>17</v>
      </c>
      <c r="H241" s="62" t="n">
        <v>17001</v>
      </c>
      <c r="I241" s="72" t="inlineStr">
        <is>
          <t>Caldas</t>
        </is>
      </c>
      <c r="J241" s="72" t="inlineStr">
        <is>
          <t>Manizales</t>
        </is>
      </c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7">
        <f>COUNTIF(K241:AO241,"&gt;0")</f>
        <v/>
      </c>
      <c r="AQ241" s="68">
        <f>IF(AP241&gt;14,AVERAGE(K241:AO241),"")</f>
        <v/>
      </c>
      <c r="AR241" s="68">
        <f>IFERROR(VLOOKUP(A241,Climatologia_TMAX!A:U,9+$E$2,FALSE),"")</f>
        <v/>
      </c>
      <c r="AS241" s="68">
        <f>IF(OR(AQ241="",AR241=""),"",IFERROR(AQ241-AR241,""))</f>
        <v/>
      </c>
      <c r="AT241" s="74">
        <f>IF(COUNT(K241:AO241)=0,"",MAX(K241:AO241))</f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/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1" s="69">
        <f>IF(OR(AT241="",AU241=""),"NA",IFERROR(AT241-AU241,"NA"))</f>
        <v/>
      </c>
    </row>
    <row r="242" ht="14.25" customHeight="1">
      <c r="A242" s="64" t="n">
        <v>26025100</v>
      </c>
      <c r="B242" s="70" t="inlineStr">
        <is>
          <t>Tunia</t>
        </is>
      </c>
      <c r="C242" s="70" t="inlineStr">
        <is>
          <t>Area Operativa 09 - Cauca-Valle-Caldas</t>
        </is>
      </c>
      <c r="D242" s="101" t="n">
        <v>-76.52633333</v>
      </c>
      <c r="E242" s="101" t="n">
        <v>2.674472222</v>
      </c>
      <c r="F242" s="64" t="n">
        <v>1822</v>
      </c>
      <c r="G242" s="62" t="n">
        <v>19</v>
      </c>
      <c r="H242" s="62" t="n">
        <v>19548</v>
      </c>
      <c r="I242" s="72" t="inlineStr">
        <is>
          <t>Cauca</t>
        </is>
      </c>
      <c r="J242" s="72" t="inlineStr">
        <is>
          <t>Piendamó - Tunía</t>
        </is>
      </c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7">
        <f>COUNTIF(K242:AO242,"&gt;0")</f>
        <v/>
      </c>
      <c r="AQ242" s="68">
        <f>IF(AP242&gt;14,AVERAGE(K242:AO242),"")</f>
        <v/>
      </c>
      <c r="AR242" s="68">
        <f>IFERROR(VLOOKUP(A242,Climatologia_TMAX!A:U,9+$E$2,FALSE),"")</f>
        <v/>
      </c>
      <c r="AS242" s="68">
        <f>IF(OR(AQ242="",AR242=""),"",IFERROR(AQ242-AR242,""))</f>
        <v/>
      </c>
      <c r="AT242" s="74">
        <f>IF(COUNT(K242:AO242)=0,"",MAX(K242:AO242))</f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/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2" s="69">
        <f>IF(OR(AT242="",AU242=""),"NA",IFERROR(AT242-AU242,"NA"))</f>
        <v/>
      </c>
    </row>
    <row r="243" ht="14.25" customHeight="1">
      <c r="A243" s="64" t="n">
        <v>26055120</v>
      </c>
      <c r="B243" s="70" t="inlineStr">
        <is>
          <t>Universidad Del Valle  - AUT</t>
        </is>
      </c>
      <c r="C243" s="70" t="inlineStr">
        <is>
          <t>Area Operativa 09 - Cauca-Valle-Caldas</t>
        </is>
      </c>
      <c r="D243" s="101" t="n">
        <v>-76.53388889</v>
      </c>
      <c r="E243" s="101" t="n">
        <v>3.378</v>
      </c>
      <c r="F243" s="64" t="n">
        <v>996</v>
      </c>
      <c r="G243" s="62" t="n">
        <v>76</v>
      </c>
      <c r="H243" s="62" t="n">
        <v>76001</v>
      </c>
      <c r="I243" s="72" t="inlineStr">
        <is>
          <t>Valle Del Cauca</t>
        </is>
      </c>
      <c r="J243" s="72" t="inlineStr">
        <is>
          <t>Santiago De Cali</t>
        </is>
      </c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7">
        <f>COUNTIF(K243:AO243,"&gt;0")</f>
        <v/>
      </c>
      <c r="AQ243" s="68">
        <f>IF(AP243&gt;14,AVERAGE(K243:AO243),"")</f>
        <v/>
      </c>
      <c r="AR243" s="68">
        <f>IFERROR(VLOOKUP(A243,Climatologia_TMAX!A:U,9+$E$2,FALSE),"")</f>
        <v/>
      </c>
      <c r="AS243" s="68">
        <f>IF(OR(AQ243="",AR243=""),"",IFERROR(AQ243-AR243,""))</f>
        <v/>
      </c>
      <c r="AT243" s="74">
        <f>IF(COUNT(K243:AO243)=0,"",MAX(K243:AO243))</f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/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3" s="69">
        <f>IF(OR(AT243="",AU243=""),"NA",IFERROR(AT243-AU243,"NA"))</f>
        <v/>
      </c>
    </row>
    <row r="244" ht="14.25" customHeight="1">
      <c r="A244" s="64" t="n">
        <v>26025090</v>
      </c>
      <c r="B244" s="70" t="inlineStr">
        <is>
          <t>Venta De Cajibio</t>
        </is>
      </c>
      <c r="C244" s="70" t="inlineStr">
        <is>
          <t>Area Operativa 09 - Cauca-Valle-Caldas</t>
        </is>
      </c>
      <c r="D244" s="101" t="n">
        <v>-76.561833333</v>
      </c>
      <c r="E244" s="101" t="n">
        <v>2.58475</v>
      </c>
      <c r="F244" s="64" t="n">
        <v>1850</v>
      </c>
      <c r="G244" s="62" t="n">
        <v>19</v>
      </c>
      <c r="H244" s="62" t="n">
        <v>19130</v>
      </c>
      <c r="I244" s="72" t="inlineStr">
        <is>
          <t>Cauca</t>
        </is>
      </c>
      <c r="J244" s="72" t="inlineStr">
        <is>
          <t>Cajibío</t>
        </is>
      </c>
      <c r="K244" s="66" t="n">
        <v>30</v>
      </c>
      <c r="L244" s="66" t="n">
        <v>28.2</v>
      </c>
      <c r="M244" s="66" t="n">
        <v>28.8</v>
      </c>
      <c r="N244" s="66" t="n">
        <v>29</v>
      </c>
      <c r="O244" s="66" t="n">
        <v/>
      </c>
      <c r="P244" s="66" t="n">
        <v>29.2</v>
      </c>
      <c r="Q244" s="66" t="n">
        <v>29.2</v>
      </c>
      <c r="R244" s="66" t="n">
        <v>30</v>
      </c>
      <c r="S244" s="66" t="n">
        <v>30</v>
      </c>
      <c r="T244" s="66" t="n">
        <v>30.2</v>
      </c>
      <c r="U244" s="66" t="n">
        <v>27</v>
      </c>
      <c r="V244" s="66" t="n">
        <v>30</v>
      </c>
      <c r="W244" s="66" t="n">
        <v>30</v>
      </c>
      <c r="X244" s="66" t="n">
        <v>32</v>
      </c>
      <c r="Y244" s="66" t="n">
        <v>32</v>
      </c>
      <c r="Z244" s="66" t="n">
        <v>28.2</v>
      </c>
      <c r="AA244" s="66" t="n">
        <v>30</v>
      </c>
      <c r="AB244" s="66" t="n">
        <v>30.2</v>
      </c>
      <c r="AC244" s="66" t="n">
        <v>31</v>
      </c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7">
        <f>COUNTIF(K244:AO244,"&gt;0")</f>
        <v/>
      </c>
      <c r="AQ244" s="68">
        <f>IF(AP244&gt;14,AVERAGE(K244:AO244),"")</f>
        <v/>
      </c>
      <c r="AR244" s="68">
        <f>IFERROR(VLOOKUP(A244,Climatologia_TMAX!A:U,9+$E$2,FALSE),"")</f>
        <v/>
      </c>
      <c r="AS244" s="68">
        <f>IF(OR(AQ244="",AR244=""),"",IFERROR(AQ244-AR244,""))</f>
        <v/>
      </c>
      <c r="AT244" s="74">
        <f>IF(COUNT(K244:AO244)=0,"",MAX(K244:AO244))</f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/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4" s="69">
        <f>IF(OR(AT244="",AU244=""),"NA",IFERROR(AT244-AU244,"NA"))</f>
        <v/>
      </c>
    </row>
    <row r="245" ht="14.25" customHeight="1">
      <c r="A245" s="64" t="n">
        <v>23035020</v>
      </c>
      <c r="B245" s="70" t="inlineStr">
        <is>
          <t>Aeropuerto Palanquero</t>
        </is>
      </c>
      <c r="C245" s="70" t="inlineStr">
        <is>
          <t>Area Operativa 10 - Tolima</t>
        </is>
      </c>
      <c r="D245" s="101" t="n">
        <v>-74.65472222</v>
      </c>
      <c r="E245" s="101" t="n">
        <v>5.471388889</v>
      </c>
      <c r="F245" s="64" t="n">
        <v>172</v>
      </c>
      <c r="G245" s="62" t="n">
        <v>25</v>
      </c>
      <c r="H245" s="62" t="n">
        <v>25572</v>
      </c>
      <c r="I245" s="72" t="inlineStr">
        <is>
          <t>Cundinamarca</t>
        </is>
      </c>
      <c r="J245" s="72" t="inlineStr">
        <is>
          <t>Puerto Salgar</t>
        </is>
      </c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7">
        <f>COUNTIF(K245:AO245,"&gt;0")</f>
        <v/>
      </c>
      <c r="AQ245" s="68">
        <f>IF(AP245&gt;14,AVERAGE(K245:AO245),"")</f>
        <v/>
      </c>
      <c r="AR245" s="68">
        <f>IFERROR(VLOOKUP(A245,Climatologia_TMAX!A:U,9+$E$2,FALSE),"")</f>
        <v/>
      </c>
      <c r="AS245" s="68">
        <f>IF(OR(AQ245="",AR245=""),"",IFERROR(AQ245-AR245,""))</f>
        <v/>
      </c>
      <c r="AT245" s="74">
        <f>IF(COUNT(K245:AO245)=0,"",MAX(K245:AO245))</f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/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5" s="69">
        <f>IF(OR(AT245="",AU245=""),"NA",IFERROR(AT245-AU245,"NA"))</f>
        <v/>
      </c>
    </row>
    <row r="246" ht="14.25" customHeight="1">
      <c r="A246" s="64" t="n">
        <v>23025040</v>
      </c>
      <c r="B246" s="70" t="inlineStr">
        <is>
          <t>Albania</t>
        </is>
      </c>
      <c r="C246" s="70" t="inlineStr">
        <is>
          <t>Area Operativa 10 - Tolima</t>
        </is>
      </c>
      <c r="D246" s="101" t="n">
        <v>-74.914580556</v>
      </c>
      <c r="E246" s="101" t="n">
        <v>5.301108889</v>
      </c>
      <c r="F246" s="64" t="n">
        <v>788</v>
      </c>
      <c r="G246" s="62" t="n">
        <v>73</v>
      </c>
      <c r="H246" s="62" t="n">
        <v>73443</v>
      </c>
      <c r="I246" s="72" t="inlineStr">
        <is>
          <t>Tolima</t>
        </is>
      </c>
      <c r="J246" s="72" t="inlineStr">
        <is>
          <t>San Sebastián De Mariquita</t>
        </is>
      </c>
      <c r="K246" s="66" t="n">
        <v>31.6</v>
      </c>
      <c r="L246" s="66" t="n">
        <v>32.2</v>
      </c>
      <c r="M246" s="66" t="n">
        <v>33</v>
      </c>
      <c r="N246" s="66" t="n">
        <v/>
      </c>
      <c r="O246" s="66" t="n">
        <v>35.4</v>
      </c>
      <c r="P246" s="66" t="n">
        <v>34</v>
      </c>
      <c r="Q246" s="66" t="n">
        <v>33.6</v>
      </c>
      <c r="R246" s="66" t="n">
        <v>35</v>
      </c>
      <c r="S246" s="66" t="n">
        <v>34.4</v>
      </c>
      <c r="T246" s="66" t="n">
        <v>35.6</v>
      </c>
      <c r="U246" s="66" t="n">
        <v>33</v>
      </c>
      <c r="V246" s="66" t="n">
        <v>34.6</v>
      </c>
      <c r="W246" s="66" t="n">
        <v>34.2</v>
      </c>
      <c r="X246" s="66" t="n">
        <v>35.4</v>
      </c>
      <c r="Y246" s="66" t="n">
        <v>35.2</v>
      </c>
      <c r="Z246" s="66" t="n">
        <v>31.6</v>
      </c>
      <c r="AA246" s="66" t="n">
        <v>35.6</v>
      </c>
      <c r="AB246" s="66" t="n">
        <v/>
      </c>
      <c r="AC246" s="66" t="n">
        <v>32.4</v>
      </c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7">
        <f>COUNTIF(K246:AO246,"&gt;0")</f>
        <v/>
      </c>
      <c r="AQ246" s="68">
        <f>IF(AP246&gt;14,AVERAGE(K246:AO246),"")</f>
        <v/>
      </c>
      <c r="AR246" s="68">
        <f>IFERROR(VLOOKUP(A246,Climatologia_TMAX!A:U,9+$E$2,FALSE),"")</f>
        <v/>
      </c>
      <c r="AS246" s="68">
        <f>IF(OR(AQ246="",AR246=""),"",IFERROR(AQ246-AR246,""))</f>
        <v/>
      </c>
      <c r="AT246" s="74">
        <f>IF(COUNT(K246:AO246)=0,"",MAX(K246:AO246))</f>
        <v/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/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6" s="69">
        <f>IF(OR(AT246="",AU246=""),"NA",IFERROR(AT246-AU246,"NA"))</f>
        <v/>
      </c>
    </row>
    <row r="247" ht="14.25" customHeight="1">
      <c r="A247" s="64" t="n">
        <v>21255090</v>
      </c>
      <c r="B247" s="70" t="inlineStr">
        <is>
          <t>Armero Granja</t>
        </is>
      </c>
      <c r="C247" s="70" t="inlineStr">
        <is>
          <t>Area Operativa 10 - Tolima</t>
        </is>
      </c>
      <c r="D247" s="101" t="n">
        <v>-74.89999166699999</v>
      </c>
      <c r="E247" s="101" t="n">
        <v>5</v>
      </c>
      <c r="F247" s="64" t="n">
        <v>321</v>
      </c>
      <c r="G247" s="62" t="n">
        <v>73</v>
      </c>
      <c r="H247" s="62" t="n">
        <v>73055</v>
      </c>
      <c r="I247" s="72" t="inlineStr">
        <is>
          <t>Tolima</t>
        </is>
      </c>
      <c r="J247" s="72" t="inlineStr">
        <is>
          <t>Armero</t>
        </is>
      </c>
      <c r="K247" s="66" t="n">
        <v>36.8</v>
      </c>
      <c r="L247" s="66" t="n">
        <v>35.6</v>
      </c>
      <c r="M247" s="66" t="n">
        <v>36.8</v>
      </c>
      <c r="N247" s="66" t="n">
        <v>37.4</v>
      </c>
      <c r="O247" s="66" t="n">
        <v>38.8</v>
      </c>
      <c r="P247" s="66" t="n">
        <v>38.4</v>
      </c>
      <c r="Q247" s="66" t="n">
        <v>33.8</v>
      </c>
      <c r="R247" s="66" t="n">
        <v>39</v>
      </c>
      <c r="S247" s="66" t="n">
        <v>38.4</v>
      </c>
      <c r="T247" s="66" t="n">
        <v>40.8</v>
      </c>
      <c r="U247" s="66" t="n">
        <v>37.2</v>
      </c>
      <c r="V247" s="66" t="n">
        <v>39.2</v>
      </c>
      <c r="W247" s="66" t="n">
        <v>38.2</v>
      </c>
      <c r="X247" s="66" t="n">
        <v>39.2</v>
      </c>
      <c r="Y247" s="66" t="n">
        <v>39.6</v>
      </c>
      <c r="Z247" s="66" t="n">
        <v>36.4</v>
      </c>
      <c r="AA247" s="66" t="n">
        <v>39.2</v>
      </c>
      <c r="AB247" s="66" t="n">
        <v>41</v>
      </c>
      <c r="AC247" s="66" t="n">
        <v>39.2</v>
      </c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7">
        <f>COUNTIF(K247:AO247,"&gt;0")</f>
        <v/>
      </c>
      <c r="AQ247" s="68">
        <f>IF(AP247&gt;14,AVERAGE(K247:AO247),"")</f>
        <v/>
      </c>
      <c r="AR247" s="68">
        <f>IFERROR(VLOOKUP(A247,Climatologia_TMAX!A:U,9+$E$2,FALSE),"")</f>
        <v/>
      </c>
      <c r="AS247" s="68">
        <f>IF(OR(AQ247="",AR247=""),"",IFERROR(AQ247-AR247,""))</f>
        <v/>
      </c>
      <c r="AT247" s="74">
        <f>IF(COUNT(K247:AO247)=0,"",MAX(K247:AO247))</f>
        <v/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/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7" s="69">
        <f>IF(OR(AT247="",AU247=""),"NA",IFERROR(AT247-AU247,"NA"))</f>
        <v/>
      </c>
    </row>
    <row r="248" ht="14.25" customHeight="1">
      <c r="A248" s="64" t="n">
        <v>21215080</v>
      </c>
      <c r="B248" s="70" t="inlineStr">
        <is>
          <t>Chicoral</t>
        </is>
      </c>
      <c r="C248" s="70" t="inlineStr">
        <is>
          <t>Area Operativa 10 - Tolima</t>
        </is>
      </c>
      <c r="D248" s="101" t="n">
        <v>-74.99536111</v>
      </c>
      <c r="E248" s="101" t="n">
        <v>4.231527778</v>
      </c>
      <c r="F248" s="64" t="n">
        <v>432</v>
      </c>
      <c r="G248" s="62" t="n">
        <v>73</v>
      </c>
      <c r="H248" s="62" t="n">
        <v>73268</v>
      </c>
      <c r="I248" s="72" t="inlineStr">
        <is>
          <t>Tolima</t>
        </is>
      </c>
      <c r="J248" s="72" t="inlineStr">
        <is>
          <t>Espinal</t>
        </is>
      </c>
      <c r="K248" s="66" t="n">
        <v>33.8</v>
      </c>
      <c r="L248" s="66" t="n">
        <v>37.2</v>
      </c>
      <c r="M248" s="66" t="n">
        <v>37.2</v>
      </c>
      <c r="N248" s="66" t="n">
        <v>38</v>
      </c>
      <c r="O248" s="66" t="n">
        <v>39.6</v>
      </c>
      <c r="P248" s="66" t="n">
        <v>39.4</v>
      </c>
      <c r="Q248" s="66" t="n">
        <v>35.4</v>
      </c>
      <c r="R248" s="66" t="n">
        <v>38.8</v>
      </c>
      <c r="S248" s="66" t="n">
        <v>37.8</v>
      </c>
      <c r="T248" s="66" t="n">
        <v>39</v>
      </c>
      <c r="U248" s="66" t="n">
        <v>36</v>
      </c>
      <c r="V248" s="66" t="n">
        <v>38.6</v>
      </c>
      <c r="W248" s="66" t="n">
        <v>37.6</v>
      </c>
      <c r="X248" s="66" t="n">
        <v>39</v>
      </c>
      <c r="Y248" s="66" t="n">
        <v>37.6</v>
      </c>
      <c r="Z248" s="66" t="n">
        <v>36.4</v>
      </c>
      <c r="AA248" s="66" t="n">
        <v>39.2</v>
      </c>
      <c r="AB248" s="66" t="n">
        <v>39.6</v>
      </c>
      <c r="AC248" s="66" t="n">
        <v/>
      </c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7">
        <f>COUNTIF(K248:AO248,"&gt;0")</f>
        <v/>
      </c>
      <c r="AQ248" s="68">
        <f>IF(AP248&gt;14,AVERAGE(K248:AO248),"")</f>
        <v/>
      </c>
      <c r="AR248" s="68">
        <f>IFERROR(VLOOKUP(A248,Climatologia_TMAX!A:U,9+$E$2,FALSE),"")</f>
        <v/>
      </c>
      <c r="AS248" s="68">
        <f>IF(OR(AQ248="",AR248=""),"",IFERROR(AQ248-AR248,""))</f>
        <v/>
      </c>
      <c r="AT248" s="74">
        <f>IF(COUNT(K248:AO248)=0,"",MAX(K248:AO248))</f>
        <v/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/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8" s="69">
        <f>IF(OR(AT248="",AU248=""),"NA",IFERROR(AT248-AU248,"NA"))</f>
        <v/>
      </c>
    </row>
    <row r="249" ht="14.25" customHeight="1">
      <c r="A249" s="64" t="n">
        <v>22045010</v>
      </c>
      <c r="B249" s="70" t="inlineStr">
        <is>
          <t>Demostracion Granja  - AUT</t>
        </is>
      </c>
      <c r="C249" s="70" t="inlineStr">
        <is>
          <t>Area Operativa 10 - Tolima</t>
        </is>
      </c>
      <c r="D249" s="101" t="n">
        <v>-75.50344444</v>
      </c>
      <c r="E249" s="101" t="n">
        <v>3.722444444</v>
      </c>
      <c r="F249" s="64" t="n">
        <v>895</v>
      </c>
      <c r="G249" s="62" t="n">
        <v>73</v>
      </c>
      <c r="H249" s="62" t="n">
        <v>73168</v>
      </c>
      <c r="I249" s="72" t="inlineStr">
        <is>
          <t>Tolima</t>
        </is>
      </c>
      <c r="J249" s="72" t="inlineStr">
        <is>
          <t>Chaparral</t>
        </is>
      </c>
      <c r="K249" s="66" t="n">
        <v>32.2</v>
      </c>
      <c r="L249" s="66" t="n">
        <v>32.6</v>
      </c>
      <c r="M249" s="66" t="n">
        <v>32.6</v>
      </c>
      <c r="N249" s="66" t="n">
        <v>30.6</v>
      </c>
      <c r="O249" s="66" t="n">
        <v>30.2</v>
      </c>
      <c r="P249" s="66" t="n">
        <v>31.2</v>
      </c>
      <c r="Q249" s="66" t="n">
        <v>30.2</v>
      </c>
      <c r="R249" s="66" t="n">
        <v>32.6</v>
      </c>
      <c r="S249" s="66" t="n">
        <v>32.8</v>
      </c>
      <c r="T249" s="66" t="n">
        <v>33.8</v>
      </c>
      <c r="U249" s="66" t="n">
        <v>33.2</v>
      </c>
      <c r="V249" s="66" t="n">
        <v>32.6</v>
      </c>
      <c r="W249" s="106" t="n">
        <v>31.4</v>
      </c>
      <c r="X249" s="66" t="n">
        <v>31</v>
      </c>
      <c r="Y249" s="106" t="n">
        <v>31.8</v>
      </c>
      <c r="Z249" s="66" t="n">
        <v>30.4</v>
      </c>
      <c r="AA249" s="66" t="n">
        <v>35.6</v>
      </c>
      <c r="AB249" s="66" t="n">
        <v>33.4</v>
      </c>
      <c r="AC249" s="66" t="n">
        <v>32.8</v>
      </c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7">
        <f>COUNTIF(K249:AO249,"&gt;0")</f>
        <v/>
      </c>
      <c r="AQ249" s="68">
        <f>IF(AP249&gt;14,AVERAGE(K249:AO249),"")</f>
        <v/>
      </c>
      <c r="AR249" s="68">
        <f>IFERROR(VLOOKUP(A249,Climatologia_TMAX!A:U,9+$E$2,FALSE),"")</f>
        <v/>
      </c>
      <c r="AS249" s="68">
        <f>IF(OR(AQ249="",AR249=""),"",IFERROR(AQ249-AR249,""))</f>
        <v/>
      </c>
      <c r="AT249" s="74">
        <f>IF(COUNT(K249:AO249)=0,"",MAX(K249:AO249))</f>
        <v/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/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9" s="69">
        <f>IF(OR(AT249="",AU249=""),"NA",IFERROR(AT249-AU249,"NA"))</f>
        <v/>
      </c>
    </row>
    <row r="250" ht="14.25" customHeight="1">
      <c r="A250" s="64" t="n">
        <v>21255080</v>
      </c>
      <c r="B250" s="70" t="inlineStr">
        <is>
          <t>El Salto</t>
        </is>
      </c>
      <c r="C250" s="70" t="inlineStr">
        <is>
          <t>Area Operativa 10 - Tolima</t>
        </is>
      </c>
      <c r="D250" s="101" t="n">
        <v>-74.76794443999999</v>
      </c>
      <c r="E250" s="101" t="n">
        <v>4.783778</v>
      </c>
      <c r="F250" s="64" t="n">
        <v>308</v>
      </c>
      <c r="G250" s="62" t="n">
        <v>73</v>
      </c>
      <c r="H250" s="62" t="n">
        <v>73030</v>
      </c>
      <c r="I250" s="72" t="inlineStr">
        <is>
          <t>Tolima</t>
        </is>
      </c>
      <c r="J250" s="72" t="inlineStr">
        <is>
          <t>Ambalema</t>
        </is>
      </c>
      <c r="K250" s="66" t="n">
        <v>37.4</v>
      </c>
      <c r="L250" s="66" t="n">
        <v>38</v>
      </c>
      <c r="M250" s="66" t="n">
        <v/>
      </c>
      <c r="N250" s="66" t="n">
        <v>38.6</v>
      </c>
      <c r="O250" s="66" t="n">
        <v/>
      </c>
      <c r="P250" s="66" t="n">
        <v>39.6</v>
      </c>
      <c r="Q250" s="66" t="n">
        <v>36.4</v>
      </c>
      <c r="R250" s="66" t="n">
        <v>39.6</v>
      </c>
      <c r="S250" s="66" t="n">
        <v>39.2</v>
      </c>
      <c r="T250" s="66" t="n">
        <v>40</v>
      </c>
      <c r="U250" s="66" t="n">
        <v>38</v>
      </c>
      <c r="V250" s="66" t="n">
        <v>39.6</v>
      </c>
      <c r="W250" s="66" t="n">
        <v>38.4</v>
      </c>
      <c r="X250" s="66" t="n">
        <v>40.4</v>
      </c>
      <c r="Y250" s="66" t="n">
        <v>40</v>
      </c>
      <c r="Z250" s="66" t="n">
        <v>38</v>
      </c>
      <c r="AA250" s="66" t="n">
        <v>41.4</v>
      </c>
      <c r="AB250" s="66" t="n">
        <v>41.4</v>
      </c>
      <c r="AC250" s="66" t="n">
        <v>39.6</v>
      </c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7">
        <f>COUNTIF(K250:AO250,"&gt;0")</f>
        <v/>
      </c>
      <c r="AQ250" s="68">
        <f>IF(AP250&gt;14,AVERAGE(K250:AO250),"")</f>
        <v/>
      </c>
      <c r="AR250" s="68">
        <f>IFERROR(VLOOKUP(A250,Climatologia_TMAX!A:U,9+$E$2,FALSE),"")</f>
        <v/>
      </c>
      <c r="AS250" s="68">
        <f>IF(OR(AQ250="",AR250=""),"",IFERROR(AQ250-AR250,""))</f>
        <v/>
      </c>
      <c r="AT250" s="74">
        <f>IF(COUNT(K250:AO250)=0,"",MAX(K250:AO250))</f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/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0" s="69">
        <f>IF(OR(AT250="",AU250=""),"NA",IFERROR(AT250-AU250,"NA"))</f>
        <v/>
      </c>
    </row>
    <row r="251" ht="14.25" customHeight="1">
      <c r="A251" s="64" t="n">
        <v>21185030</v>
      </c>
      <c r="B251" s="70" t="inlineStr">
        <is>
          <t>Guamo</t>
        </is>
      </c>
      <c r="C251" s="70" t="inlineStr">
        <is>
          <t>Area Operativa 10 - Tolima</t>
        </is>
      </c>
      <c r="D251" s="101" t="n">
        <v>-74.98138889000001</v>
      </c>
      <c r="E251" s="101" t="n">
        <v>4.008833333</v>
      </c>
      <c r="F251" s="64" t="n">
        <v>332</v>
      </c>
      <c r="G251" s="62" t="n">
        <v>73</v>
      </c>
      <c r="H251" s="62" t="n">
        <v>73319</v>
      </c>
      <c r="I251" s="72" t="inlineStr">
        <is>
          <t>Tolima</t>
        </is>
      </c>
      <c r="J251" s="72" t="inlineStr">
        <is>
          <t>Guamo</t>
        </is>
      </c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7">
        <f>COUNTIF(K251:AO251,"&gt;0")</f>
        <v/>
      </c>
      <c r="AQ251" s="68">
        <f>IF(AP251&gt;14,AVERAGE(K251:AO251),"")</f>
        <v/>
      </c>
      <c r="AR251" s="68">
        <f>IFERROR(VLOOKUP(A251,Climatologia_TMAX!A:U,9+$E$2,FALSE),"")</f>
        <v/>
      </c>
      <c r="AS251" s="68">
        <f>IF(OR(AQ251="",AR251=""),"",IFERROR(AQ251-AR251,""))</f>
        <v/>
      </c>
      <c r="AT251" s="74">
        <f>IF(COUNT(K251:AO251)=0,"",MAX(K251:AO251))</f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/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1" s="69">
        <f>IF(OR(AT251="",AU251=""),"NA",IFERROR(AT251-AU251,"NA"))</f>
        <v/>
      </c>
    </row>
    <row r="252" ht="14.25" customHeight="1">
      <c r="A252" s="64" t="n">
        <v>21135020</v>
      </c>
      <c r="B252" s="70" t="inlineStr">
        <is>
          <t>Jabalcon</t>
        </is>
      </c>
      <c r="C252" s="70" t="inlineStr">
        <is>
          <t>Area Operativa 10 - Tolima</t>
        </is>
      </c>
      <c r="D252" s="101" t="n">
        <v>-75.01575</v>
      </c>
      <c r="E252" s="101" t="n">
        <v>3.85575</v>
      </c>
      <c r="F252" s="64" t="n">
        <v>313</v>
      </c>
      <c r="G252" s="62" t="n">
        <v>73</v>
      </c>
      <c r="H252" s="62" t="n">
        <v>73671</v>
      </c>
      <c r="I252" s="72" t="inlineStr">
        <is>
          <t>Tolima</t>
        </is>
      </c>
      <c r="J252" s="72" t="inlineStr">
        <is>
          <t>Saldaña</t>
        </is>
      </c>
      <c r="K252" s="66" t="n">
        <v>35.2</v>
      </c>
      <c r="L252" s="66" t="n">
        <v>38</v>
      </c>
      <c r="M252" s="66" t="n">
        <v>37.2</v>
      </c>
      <c r="N252" s="66" t="n">
        <v>39.6</v>
      </c>
      <c r="O252" s="66" t="n">
        <v>40</v>
      </c>
      <c r="P252" s="66" t="n">
        <v>38.4</v>
      </c>
      <c r="Q252" s="66" t="n">
        <v>39</v>
      </c>
      <c r="R252" s="66" t="n">
        <v>41</v>
      </c>
      <c r="S252" s="66" t="n">
        <v>39.2</v>
      </c>
      <c r="T252" s="66" t="n">
        <v>41.4</v>
      </c>
      <c r="U252" s="66" t="n">
        <v>38.4</v>
      </c>
      <c r="V252" s="66" t="n">
        <v>40</v>
      </c>
      <c r="W252" s="66" t="n">
        <v>39.8</v>
      </c>
      <c r="X252" s="66" t="n">
        <v>40.2</v>
      </c>
      <c r="Y252" s="66" t="n">
        <v>41</v>
      </c>
      <c r="Z252" s="66" t="n">
        <v>40.6</v>
      </c>
      <c r="AA252" s="66" t="n">
        <v>41.4</v>
      </c>
      <c r="AB252" s="66" t="n">
        <v>41.4</v>
      </c>
      <c r="AC252" s="66" t="n">
        <v/>
      </c>
      <c r="AD252" s="66" t="n"/>
      <c r="AE252" s="66" t="n"/>
      <c r="AF252" s="10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7">
        <f>COUNTIF(K252:AO252,"&gt;0")</f>
        <v/>
      </c>
      <c r="AQ252" s="68">
        <f>IF(AP252&gt;14,AVERAGE(K252:AO252),"")</f>
        <v/>
      </c>
      <c r="AR252" s="68">
        <f>IFERROR(VLOOKUP(A252,Climatologia_TMAX!A:U,9+$E$2,FALSE),"")</f>
        <v/>
      </c>
      <c r="AS252" s="68">
        <f>IF(OR(AQ252="",AR252=""),"",IFERROR(AQ252-AR252,""))</f>
        <v/>
      </c>
      <c r="AT252" s="74">
        <f>IF(COUNT(K252:AO252)=0,"",MAX(K252:AO252))</f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/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2" s="69">
        <f>IF(OR(AT252="",AU252=""),"NA",IFERROR(AT252-AU252,"NA"))</f>
        <v/>
      </c>
    </row>
    <row r="253" ht="14.25" customHeight="1">
      <c r="A253" s="64" t="n">
        <v>21235010</v>
      </c>
      <c r="B253" s="70" t="inlineStr">
        <is>
          <t>Jerusalen</t>
        </is>
      </c>
      <c r="C253" s="70" t="inlineStr">
        <is>
          <t>Area Operativa 10 - Tolima</t>
        </is>
      </c>
      <c r="D253" s="101" t="n">
        <v>-74.70238888999999</v>
      </c>
      <c r="E253" s="101" t="n">
        <v>4.561805556</v>
      </c>
      <c r="F253" s="64" t="n">
        <v>297</v>
      </c>
      <c r="G253" s="62" t="n">
        <v>25</v>
      </c>
      <c r="H253" s="62" t="n">
        <v>25368</v>
      </c>
      <c r="I253" s="72" t="inlineStr">
        <is>
          <t>Cundinamarca</t>
        </is>
      </c>
      <c r="J253" s="72" t="inlineStr">
        <is>
          <t>Jerusalén</t>
        </is>
      </c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7">
        <f>COUNTIF(K253:AO253,"&gt;0")</f>
        <v/>
      </c>
      <c r="AQ253" s="68">
        <f>IF(AP253&gt;14,AVERAGE(K253:AO253),"")</f>
        <v/>
      </c>
      <c r="AR253" s="68">
        <f>IFERROR(VLOOKUP(A253,Climatologia_TMAX!A:U,9+$E$2,FALSE),"")</f>
        <v/>
      </c>
      <c r="AS253" s="68">
        <f>IF(OR(AQ253="",AR253=""),"",IFERROR(AQ253-AR253,""))</f>
        <v/>
      </c>
      <c r="AT253" s="74">
        <f>IF(COUNT(K253:AO253)=0,"",MAX(K253:AO253))</f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/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3" s="69">
        <f>IF(OR(AT253="",AU253=""),"NA",IFERROR(AT253-AU253,"NA"))</f>
        <v/>
      </c>
    </row>
    <row r="254" ht="14.25" customHeight="1">
      <c r="A254" s="64" t="n">
        <v>2125500032</v>
      </c>
      <c r="B254" s="70" t="inlineStr">
        <is>
          <t>Mariquita</t>
        </is>
      </c>
      <c r="C254" s="70" t="inlineStr">
        <is>
          <t>Area Operativa 10 - Tolima</t>
        </is>
      </c>
      <c r="D254" s="101" t="n">
        <v>-74.890866</v>
      </c>
      <c r="E254" s="101" t="n">
        <v>5.170052</v>
      </c>
      <c r="F254" s="64" t="n">
        <v>437</v>
      </c>
      <c r="G254" s="62" t="n">
        <v>73</v>
      </c>
      <c r="H254" s="62" t="n">
        <v>73443</v>
      </c>
      <c r="I254" s="72" t="inlineStr">
        <is>
          <t>Tolima</t>
        </is>
      </c>
      <c r="J254" s="72" t="inlineStr">
        <is>
          <t>San Sebastián De Mariquita</t>
        </is>
      </c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7">
        <f>COUNTIF(K254:AO254,"&gt;0")</f>
        <v/>
      </c>
      <c r="AQ254" s="68">
        <f>IF(AP254&gt;14,AVERAGE(K254:AO254),"")</f>
        <v/>
      </c>
      <c r="AR254" s="68">
        <f>IFERROR(VLOOKUP(A254,Climatologia_TMAX!A:U,9+$E$2,FALSE),"")</f>
        <v/>
      </c>
      <c r="AS254" s="68">
        <f>IF(OR(AQ254="",AR254=""),"",IFERROR(AQ254-AR254,""))</f>
        <v/>
      </c>
      <c r="AT254" s="74">
        <f>IF(COUNT(K254:AO254)=0,"",MAX(K254:AO254))</f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/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4" s="69">
        <f>IF(OR(AT254="",AU254=""),"NA",IFERROR(AT254-AU254,"NA"))</f>
        <v/>
      </c>
    </row>
    <row r="255" ht="14.25" customHeight="1">
      <c r="A255" s="64" t="n">
        <v>22055020</v>
      </c>
      <c r="B255" s="70" t="inlineStr">
        <is>
          <t>Mesa De Pole</t>
        </is>
      </c>
      <c r="C255" s="70" t="inlineStr">
        <is>
          <t>Area Operativa 10 - Tolima</t>
        </is>
      </c>
      <c r="D255" s="101" t="n">
        <v>-75.53636111</v>
      </c>
      <c r="E255" s="101" t="n">
        <v>3.455777778</v>
      </c>
      <c r="F255" s="64" t="n">
        <v>699</v>
      </c>
      <c r="G255" s="62" t="n">
        <v>73</v>
      </c>
      <c r="H255" s="62" t="n">
        <v>73067</v>
      </c>
      <c r="I255" s="72" t="inlineStr">
        <is>
          <t>Tolima</t>
        </is>
      </c>
      <c r="J255" s="72" t="inlineStr">
        <is>
          <t>Ataco</t>
        </is>
      </c>
      <c r="K255" s="66" t="n">
        <v>35.8</v>
      </c>
      <c r="L255" s="66" t="n">
        <v>37</v>
      </c>
      <c r="M255" s="66" t="n">
        <v>37.2</v>
      </c>
      <c r="N255" s="66" t="n">
        <v>36</v>
      </c>
      <c r="O255" s="66" t="n">
        <v>37.2</v>
      </c>
      <c r="P255" s="66" t="n">
        <v>36.8</v>
      </c>
      <c r="Q255" s="66" t="n">
        <v>36.2</v>
      </c>
      <c r="R255" s="66" t="n">
        <v>38.2</v>
      </c>
      <c r="S255" s="66" t="n">
        <v>38</v>
      </c>
      <c r="T255" s="66" t="n">
        <v>38.2</v>
      </c>
      <c r="U255" s="66" t="n">
        <v>37.6</v>
      </c>
      <c r="V255" s="66" t="n">
        <v>37.8</v>
      </c>
      <c r="W255" s="66" t="n">
        <v>35</v>
      </c>
      <c r="X255" s="66" t="n">
        <v>38.2</v>
      </c>
      <c r="Y255" s="66" t="n">
        <v>37.2</v>
      </c>
      <c r="Z255" s="66" t="n">
        <v/>
      </c>
      <c r="AA255" s="66" t="n">
        <v/>
      </c>
      <c r="AB255" s="66" t="n">
        <v>37.2</v>
      </c>
      <c r="AC255" s="66" t="n">
        <v/>
      </c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7">
        <f>COUNTIF(K255:AO255,"&gt;0")</f>
        <v/>
      </c>
      <c r="AQ255" s="68">
        <f>IF(AP255&gt;14,AVERAGE(K255:AO255),"")</f>
        <v/>
      </c>
      <c r="AR255" s="68">
        <f>IFERROR(VLOOKUP(A255,Climatologia_TMAX!A:U,9+$E$2,FALSE),"")</f>
        <v/>
      </c>
      <c r="AS255" s="68">
        <f>IF(OR(AQ255="",AR255=""),"",IFERROR(AQ255-AR255,""))</f>
        <v/>
      </c>
      <c r="AT255" s="74">
        <f>IF(COUNT(K255:AO255)=0,"",MAX(K255:AO255))</f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/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5" s="69">
        <f>IF(OR(AT255="",AU255=""),"NA",IFERROR(AT255-AU255,"NA"))</f>
        <v/>
      </c>
    </row>
    <row r="256" ht="14.25" customHeight="1">
      <c r="A256" s="64" t="n">
        <v>21245010</v>
      </c>
      <c r="B256" s="108" t="inlineStr">
        <is>
          <t>Perales Hato Opia</t>
        </is>
      </c>
      <c r="C256" s="70" t="inlineStr">
        <is>
          <t>Area Operativa 10 - Tolima</t>
        </is>
      </c>
      <c r="D256" s="101" t="n">
        <v>-75.20052222</v>
      </c>
      <c r="E256" s="101" t="n">
        <v>4.429666667</v>
      </c>
      <c r="F256" s="64" t="n">
        <v>826</v>
      </c>
      <c r="G256" s="62" t="n">
        <v>73</v>
      </c>
      <c r="H256" s="62" t="n">
        <v>73001</v>
      </c>
      <c r="I256" s="72" t="inlineStr">
        <is>
          <t>Tolima</t>
        </is>
      </c>
      <c r="J256" s="72" t="inlineStr">
        <is>
          <t>Ibagué</t>
        </is>
      </c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109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7">
        <f>COUNTIF(K256:AO256,"&gt;0")</f>
        <v/>
      </c>
      <c r="AQ256" s="68">
        <f>IF(AP256&gt;14,AVERAGE(K256:AO256),"")</f>
        <v/>
      </c>
      <c r="AR256" s="68">
        <f>IFERROR(VLOOKUP(A256,Climatologia_TMAX!A:U,9+$E$2,FALSE),"")</f>
        <v/>
      </c>
      <c r="AS256" s="68">
        <f>IF(OR(AQ256="",AR256=""),"",IFERROR(AQ256-AR256,""))</f>
        <v/>
      </c>
      <c r="AT256" s="74">
        <f>IF(COUNT(K256:AO256)=0,"",MAX(K256:AO256))</f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/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6" s="69">
        <f>IF(OR(AT256="",AU256=""),"NA",IFERROR(AT256-AU256,"NA"))</f>
        <v/>
      </c>
    </row>
    <row r="257" ht="14.25" customHeight="1">
      <c r="A257" s="64" t="n">
        <v>21165010</v>
      </c>
      <c r="B257" s="70" t="inlineStr">
        <is>
          <t>Pst De Monta</t>
        </is>
      </c>
      <c r="C257" s="70" t="inlineStr">
        <is>
          <t>Area Operativa 10 - Tolima</t>
        </is>
      </c>
      <c r="D257" s="101" t="n">
        <v>-74.91702778</v>
      </c>
      <c r="E257" s="101" t="n">
        <v>3.787611111</v>
      </c>
      <c r="F257" s="64" t="n">
        <v>311</v>
      </c>
      <c r="G257" s="62" t="n">
        <v>73</v>
      </c>
      <c r="H257" s="62" t="n">
        <v>73563</v>
      </c>
      <c r="I257" s="72" t="inlineStr">
        <is>
          <t>Tolima</t>
        </is>
      </c>
      <c r="J257" s="72" t="inlineStr">
        <is>
          <t>Prado</t>
        </is>
      </c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7">
        <f>COUNTIF(K257:AO257,"&gt;0")</f>
        <v/>
      </c>
      <c r="AQ257" s="68">
        <f>IF(AP257&gt;14,AVERAGE(K257:AO257),"")</f>
        <v/>
      </c>
      <c r="AR257" s="68">
        <f>IFERROR(VLOOKUP(A257,Climatologia_TMAX!A:U,9+$E$2,FALSE),"")</f>
        <v/>
      </c>
      <c r="AS257" s="68">
        <f>IF(OR(AQ257="",AR257=""),"",IFERROR(AQ257-AR257,""))</f>
        <v/>
      </c>
      <c r="AT257" s="74">
        <f>IF(COUNT(K257:AO257)=0,"",MAX(K257:AO257))</f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/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7" s="69">
        <f>IF(OR(AT257="",AU257=""),"NA",IFERROR(AT257-AU257,"NA"))</f>
        <v/>
      </c>
    </row>
    <row r="258" ht="14.25" customHeight="1">
      <c r="A258" s="64" t="n">
        <v>23055040</v>
      </c>
      <c r="B258" s="70" t="inlineStr">
        <is>
          <t>Samana</t>
        </is>
      </c>
      <c r="C258" s="70" t="inlineStr">
        <is>
          <t>Area Operativa 10 - Tolima</t>
        </is>
      </c>
      <c r="D258" s="101" t="n">
        <v>-74.99292777799999</v>
      </c>
      <c r="E258" s="101" t="n">
        <v>5.418288056</v>
      </c>
      <c r="F258" s="64" t="n">
        <v>1532</v>
      </c>
      <c r="G258" s="62" t="n">
        <v>17</v>
      </c>
      <c r="H258" s="62" t="n">
        <v>17662</v>
      </c>
      <c r="I258" s="72" t="inlineStr">
        <is>
          <t>Caldas</t>
        </is>
      </c>
      <c r="J258" s="72" t="inlineStr">
        <is>
          <t>Samaná</t>
        </is>
      </c>
      <c r="K258" s="66" t="n">
        <v>22.6</v>
      </c>
      <c r="L258" s="66" t="n">
        <v>24.4</v>
      </c>
      <c r="M258" s="66" t="n">
        <v>25.6</v>
      </c>
      <c r="N258" s="66" t="n">
        <v>25.2</v>
      </c>
      <c r="O258" s="66" t="n">
        <v>27.2</v>
      </c>
      <c r="P258" s="66" t="n">
        <v>27.2</v>
      </c>
      <c r="Q258" s="66" t="n">
        <v>24.6</v>
      </c>
      <c r="R258" s="66" t="n">
        <v>27.8</v>
      </c>
      <c r="S258" s="66" t="n">
        <v>27.2</v>
      </c>
      <c r="T258" s="66" t="n">
        <v>26.6</v>
      </c>
      <c r="U258" s="66" t="n">
        <v>26.2</v>
      </c>
      <c r="V258" s="66" t="n">
        <v>26.4</v>
      </c>
      <c r="W258" s="66" t="n">
        <v>26.8</v>
      </c>
      <c r="X258" s="66" t="n">
        <v>27.4</v>
      </c>
      <c r="Y258" s="66" t="n">
        <v>26.2</v>
      </c>
      <c r="Z258" s="66" t="n">
        <v>23.6</v>
      </c>
      <c r="AA258" s="66" t="n">
        <v>27.8</v>
      </c>
      <c r="AB258" s="66" t="n">
        <v>27.6</v>
      </c>
      <c r="AC258" s="66" t="n">
        <v>25.4</v>
      </c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7">
        <f>COUNTIF(K258:AO258,"&gt;0")</f>
        <v/>
      </c>
      <c r="AQ258" s="68">
        <f>IF(AP258&gt;14,AVERAGE(K258:AO258),"")</f>
        <v/>
      </c>
      <c r="AR258" s="68">
        <f>IFERROR(VLOOKUP(A258,Climatologia_TMAX!A:U,9+$E$2,FALSE),"")</f>
        <v/>
      </c>
      <c r="AS258" s="68">
        <f>IF(OR(AQ258="",AR258=""),"",IFERROR(AQ258-AR258,""))</f>
        <v/>
      </c>
      <c r="AT258" s="74">
        <f>IF(COUNT(K258:AO258)=0,"",MAX(K258:AO258))</f>
        <v/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/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8" s="69">
        <f>IF(OR(AT258="",AU258=""),"NA",IFERROR(AT258-AU258,"NA"))</f>
        <v/>
      </c>
    </row>
    <row r="259" ht="14.25" customHeight="1">
      <c r="A259" s="64" t="n">
        <v>22065040</v>
      </c>
      <c r="B259" s="70" t="inlineStr">
        <is>
          <t>San Antonio Quinta</t>
        </is>
      </c>
      <c r="C259" s="70" t="inlineStr">
        <is>
          <t>Area Operativa 10 - Tolima</t>
        </is>
      </c>
      <c r="D259" s="101" t="n">
        <v>-75.46775</v>
      </c>
      <c r="E259" s="101" t="n">
        <v>3.9212</v>
      </c>
      <c r="F259" s="64" t="n">
        <v>1566</v>
      </c>
      <c r="G259" s="62" t="n">
        <v>73</v>
      </c>
      <c r="H259" s="62" t="n">
        <v>73675</v>
      </c>
      <c r="I259" s="72" t="inlineStr">
        <is>
          <t>Tolima</t>
        </is>
      </c>
      <c r="J259" s="72" t="inlineStr">
        <is>
          <t>San Antonio</t>
        </is>
      </c>
      <c r="K259" s="66" t="n">
        <v>27</v>
      </c>
      <c r="L259" s="66" t="n">
        <v>27.6</v>
      </c>
      <c r="M259" s="66" t="n">
        <v>26.8</v>
      </c>
      <c r="N259" s="66" t="n">
        <v>26.8</v>
      </c>
      <c r="O259" s="66" t="n">
        <v>27.8</v>
      </c>
      <c r="P259" s="66" t="n">
        <v>27</v>
      </c>
      <c r="Q259" s="66" t="n">
        <v>25.2</v>
      </c>
      <c r="R259" s="66" t="n">
        <v>29.2</v>
      </c>
      <c r="S259" s="66" t="n">
        <v>29</v>
      </c>
      <c r="T259" s="66" t="n">
        <v>28.4</v>
      </c>
      <c r="U259" s="66" t="n">
        <v>28</v>
      </c>
      <c r="V259" s="66" t="n">
        <v>28.4</v>
      </c>
      <c r="W259" s="66" t="n">
        <v>27.6</v>
      </c>
      <c r="X259" s="66" t="n">
        <v>29.8</v>
      </c>
      <c r="Y259" s="66" t="n">
        <v>28.6</v>
      </c>
      <c r="Z259" s="66" t="n">
        <v>27.8</v>
      </c>
      <c r="AA259" s="66" t="n">
        <v>29.4</v>
      </c>
      <c r="AB259" s="66" t="n">
        <v>28.4</v>
      </c>
      <c r="AC259" s="66" t="n">
        <v>28.8</v>
      </c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7">
        <f>COUNTIF(K259:AO259,"&gt;0")</f>
        <v/>
      </c>
      <c r="AQ259" s="68">
        <f>IF(AP259&gt;14,AVERAGE(K259:AO259),"")</f>
        <v/>
      </c>
      <c r="AR259" s="68">
        <f>IFERROR(VLOOKUP(A259,Climatologia_TMAX!A:U,9+$E$2,FALSE),"")</f>
        <v/>
      </c>
      <c r="AS259" s="68">
        <f>IF(OR(AQ259="",AR259=""),"",IFERROR(AQ259-AR259,""))</f>
        <v/>
      </c>
      <c r="AT259" s="74">
        <f>IF(COUNT(K259:AO259)=0,"",MAX(K259:AO259))</f>
        <v/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/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59" s="69">
        <f>IF(OR(AT259="",AU259=""),"NA",IFERROR(AT259-AU259,"NA"))</f>
        <v/>
      </c>
    </row>
    <row r="260" ht="14.25" customHeight="1">
      <c r="A260" s="64" t="n">
        <v>21245140</v>
      </c>
      <c r="B260" s="70" t="inlineStr">
        <is>
          <t>Santa Isabel</t>
        </is>
      </c>
      <c r="C260" s="70" t="inlineStr">
        <is>
          <t>Area Operativa 10 - Tolima</t>
        </is>
      </c>
      <c r="D260" s="101" t="n">
        <v>-75.09445556</v>
      </c>
      <c r="E260" s="101" t="n">
        <v>4.711861111</v>
      </c>
      <c r="F260" s="64" t="n">
        <v>2288</v>
      </c>
      <c r="G260" s="62" t="n">
        <v>73</v>
      </c>
      <c r="H260" s="62" t="n">
        <v>73686</v>
      </c>
      <c r="I260" s="72" t="inlineStr">
        <is>
          <t>Tolima</t>
        </is>
      </c>
      <c r="J260" s="72" t="inlineStr">
        <is>
          <t>Santa Isabel</t>
        </is>
      </c>
      <c r="K260" s="66" t="n">
        <v>21.2</v>
      </c>
      <c r="L260" s="66" t="n">
        <v>20.8</v>
      </c>
      <c r="M260" s="66" t="n">
        <v>21.2</v>
      </c>
      <c r="N260" s="66" t="n">
        <v>22.2</v>
      </c>
      <c r="O260" s="66" t="n">
        <v>22.8</v>
      </c>
      <c r="P260" s="66" t="n">
        <v>22</v>
      </c>
      <c r="Q260" s="66" t="n">
        <v>20.8</v>
      </c>
      <c r="R260" s="66" t="n">
        <v>24</v>
      </c>
      <c r="S260" s="66" t="n">
        <v>23</v>
      </c>
      <c r="T260" s="66" t="n">
        <v>23.4</v>
      </c>
      <c r="U260" s="66" t="n">
        <v>22.8</v>
      </c>
      <c r="V260" s="66" t="n">
        <v>22.6</v>
      </c>
      <c r="W260" s="109" t="n">
        <v>21</v>
      </c>
      <c r="X260" s="66" t="n">
        <v>24</v>
      </c>
      <c r="Y260" s="66" t="n">
        <v>22</v>
      </c>
      <c r="Z260" s="66" t="n">
        <v>22</v>
      </c>
      <c r="AA260" s="66" t="n">
        <v>23.4</v>
      </c>
      <c r="AB260" s="66" t="n">
        <v>24</v>
      </c>
      <c r="AC260" s="66" t="n">
        <v>22</v>
      </c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7">
        <f>COUNTIF(K260:AO260,"&gt;0")</f>
        <v/>
      </c>
      <c r="AQ260" s="68">
        <f>IF(AP260&gt;14,AVERAGE(K260:AO260),"")</f>
        <v/>
      </c>
      <c r="AR260" s="68">
        <f>IFERROR(VLOOKUP(A260,Climatologia_TMAX!A:U,9+$E$2,FALSE),"")</f>
        <v/>
      </c>
      <c r="AS260" s="68">
        <f>IF(OR(AQ260="",AR260=""),"",IFERROR(AQ260-AR260,""))</f>
        <v/>
      </c>
      <c r="AT260" s="74">
        <f>IF(COUNT(K260:AO260)=0,"",MAX(K260:AO260))</f>
        <v/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/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0" s="69">
        <f>IF(OR(AT260="",AU260=""),"NA",IFERROR(AT260-AU260,"NA"))</f>
        <v/>
      </c>
    </row>
    <row r="261" ht="14.25" customHeight="1">
      <c r="A261" s="64" t="n">
        <v>21185080</v>
      </c>
      <c r="B261" s="70" t="inlineStr">
        <is>
          <t>Valle De San Juan</t>
        </is>
      </c>
      <c r="C261" s="70" t="inlineStr">
        <is>
          <t>Area Operativa 10 - Tolima</t>
        </is>
      </c>
      <c r="D261" s="101" t="n">
        <v>-75.104611111</v>
      </c>
      <c r="E261" s="101" t="n">
        <v>4.216458333</v>
      </c>
      <c r="F261" s="64" t="n">
        <v>591</v>
      </c>
      <c r="G261" s="62" t="n">
        <v>73</v>
      </c>
      <c r="H261" s="62" t="n">
        <v>73854</v>
      </c>
      <c r="I261" s="72" t="inlineStr">
        <is>
          <t>Tolima</t>
        </is>
      </c>
      <c r="J261" s="72" t="inlineStr">
        <is>
          <t>Valle De San Juan</t>
        </is>
      </c>
      <c r="K261" s="66" t="n">
        <v>33.6</v>
      </c>
      <c r="L261" s="66" t="n">
        <v>36</v>
      </c>
      <c r="M261" s="66" t="n">
        <v>35.6</v>
      </c>
      <c r="N261" s="66" t="n">
        <v>36.4</v>
      </c>
      <c r="O261" s="66" t="n">
        <v>37.6</v>
      </c>
      <c r="P261" s="66" t="n">
        <v>37.8</v>
      </c>
      <c r="Q261" s="66" t="n">
        <v>35.2</v>
      </c>
      <c r="R261" s="66" t="n">
        <v>38.2</v>
      </c>
      <c r="S261" s="66" t="n">
        <v>37.2</v>
      </c>
      <c r="T261" s="66" t="n">
        <v>37.8</v>
      </c>
      <c r="U261" s="66" t="n">
        <v>35.8</v>
      </c>
      <c r="V261" s="66" t="n">
        <v>37.6</v>
      </c>
      <c r="W261" s="66" t="n">
        <v>36.2</v>
      </c>
      <c r="X261" s="66" t="n">
        <v>38.4</v>
      </c>
      <c r="Y261" s="66" t="n">
        <v>37.6</v>
      </c>
      <c r="Z261" s="66" t="n">
        <v>36.4</v>
      </c>
      <c r="AA261" s="66" t="n">
        <v>37.4</v>
      </c>
      <c r="AB261" s="66" t="n">
        <v>38.6</v>
      </c>
      <c r="AC261" s="66" t="n">
        <v>37.4</v>
      </c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7">
        <f>COUNTIF(K261:AO261,"&gt;0")</f>
        <v/>
      </c>
      <c r="AQ261" s="68">
        <f>IF(AP261&gt;14,AVERAGE(K261:AO261),"")</f>
        <v/>
      </c>
      <c r="AR261" s="68">
        <f>IFERROR(VLOOKUP(A261,Climatologia_TMAX!A:U,9+$E$2,FALSE),"")</f>
        <v/>
      </c>
      <c r="AS261" s="68">
        <f>IF(OR(AQ261="",AR261=""),"",IFERROR(AQ261-AR261,""))</f>
        <v/>
      </c>
      <c r="AT261" s="74">
        <f>IF(COUNT(K261:AO261)=0,"",MAX(K261:AO261))</f>
        <v/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/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1" s="69">
        <f>IF(OR(AT261="",AU261=""),"NA",IFERROR(AT261-AU261,"NA"))</f>
        <v/>
      </c>
    </row>
    <row r="262" ht="14.25" customHeight="1">
      <c r="A262" s="64" t="n">
        <v>21255120</v>
      </c>
      <c r="B262" s="70" t="inlineStr">
        <is>
          <t>Villahermosa</t>
        </is>
      </c>
      <c r="C262" s="70" t="inlineStr">
        <is>
          <t>Area Operativa 10 - Tolima</t>
        </is>
      </c>
      <c r="D262" s="101" t="n">
        <v>-75.117336111</v>
      </c>
      <c r="E262" s="101" t="n">
        <v>5.026761944</v>
      </c>
      <c r="F262" s="64" t="n">
        <v>2069</v>
      </c>
      <c r="G262" s="62" t="n">
        <v>73</v>
      </c>
      <c r="H262" s="62" t="n">
        <v>73870</v>
      </c>
      <c r="I262" s="72" t="inlineStr">
        <is>
          <t>Tolima</t>
        </is>
      </c>
      <c r="J262" s="72" t="inlineStr">
        <is>
          <t>Villahermosa</t>
        </is>
      </c>
      <c r="K262" s="66" t="n">
        <v>21.6</v>
      </c>
      <c r="L262" s="66" t="n">
        <v>22.6</v>
      </c>
      <c r="M262" s="66" t="n">
        <v>23</v>
      </c>
      <c r="N262" s="66" t="n">
        <v>22.8</v>
      </c>
      <c r="O262" s="66" t="n">
        <v>23.4</v>
      </c>
      <c r="P262" s="66" t="n">
        <v>23.4</v>
      </c>
      <c r="Q262" s="66" t="n">
        <v>22</v>
      </c>
      <c r="R262" s="66" t="n">
        <v>24.4</v>
      </c>
      <c r="S262" s="66" t="n">
        <v>24</v>
      </c>
      <c r="T262" s="66" t="n">
        <v>24</v>
      </c>
      <c r="U262" s="66" t="n">
        <v>23.6</v>
      </c>
      <c r="V262" s="66" t="n">
        <v>23.6</v>
      </c>
      <c r="W262" s="66" t="n">
        <v>22.2</v>
      </c>
      <c r="X262" s="66" t="n">
        <v>23.2</v>
      </c>
      <c r="Y262" s="66" t="n">
        <v>24.6</v>
      </c>
      <c r="Z262" s="66" t="n">
        <v>20.4</v>
      </c>
      <c r="AA262" s="66" t="n">
        <v>23.6</v>
      </c>
      <c r="AB262" s="66" t="n">
        <v>24.2</v>
      </c>
      <c r="AC262" s="66" t="n">
        <v>22.6</v>
      </c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7">
        <f>COUNTIF(K262:AO262,"&gt;0")</f>
        <v/>
      </c>
      <c r="AQ262" s="68">
        <f>IF(AP262&gt;14,AVERAGE(K262:AO262),"")</f>
        <v/>
      </c>
      <c r="AR262" s="68">
        <f>IFERROR(VLOOKUP(A262,Climatologia_TMAX!A:U,9+$E$2,FALSE),"")</f>
        <v/>
      </c>
      <c r="AS262" s="68">
        <f>IF(OR(AQ262="",AR262=""),"",IFERROR(AQ262-AR262,""))</f>
        <v/>
      </c>
      <c r="AT262" s="74">
        <f>IF(COUNT(K262:AO262)=0,"",MAX(K262:AO262))</f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/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2" s="69">
        <f>IF(OR(AT262="",AU262=""),"NA",IFERROR(AT262-AU262,"NA"))</f>
        <v/>
      </c>
    </row>
    <row r="263" ht="14.25" customHeight="1">
      <c r="A263" s="64" t="n">
        <v>21206280</v>
      </c>
      <c r="B263" s="70" t="inlineStr">
        <is>
          <t>Acapulco</t>
        </is>
      </c>
      <c r="C263" s="70" t="inlineStr">
        <is>
          <t>Area Operativa 11 - Cundinamarca-Amazonas</t>
        </is>
      </c>
      <c r="D263" s="101" t="n">
        <v>-74.32035</v>
      </c>
      <c r="E263" s="101" t="n">
        <v>4.64823</v>
      </c>
      <c r="F263" s="64" t="n">
        <v>2680</v>
      </c>
      <c r="G263" s="62" t="n">
        <v>25</v>
      </c>
      <c r="H263" s="62" t="n">
        <v>25099</v>
      </c>
      <c r="I263" s="72" t="inlineStr">
        <is>
          <t>Cundinamarca</t>
        </is>
      </c>
      <c r="J263" s="72" t="inlineStr">
        <is>
          <t>Bojacá</t>
        </is>
      </c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7">
        <f>COUNTIF(K263:AO263,"&gt;0")</f>
        <v/>
      </c>
      <c r="AQ263" s="68">
        <f>IF(AP263&gt;14,AVERAGE(K263:AO263),"")</f>
        <v/>
      </c>
      <c r="AR263" s="68">
        <f>IFERROR(VLOOKUP(A263,Climatologia_TMAX!A:U,9+$E$2,FALSE),"")</f>
        <v/>
      </c>
      <c r="AS263" s="68">
        <f>IF(OR(AQ263="",AR263=""),"",IFERROR(AQ263-AR263,""))</f>
        <v/>
      </c>
      <c r="AT263" s="74">
        <f>IF(COUNT(K263:AO263)=0,"",MAX(K263:AO263))</f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>
        <f>IF(OR(AT263="",AU263=""),"NA",IFERROR(AT263-AU263,"NA"))</f>
        <v/>
      </c>
    </row>
    <row r="264" ht="14.25" customHeight="1">
      <c r="A264" s="64" t="n">
        <v>21206570</v>
      </c>
      <c r="B264" s="70" t="inlineStr">
        <is>
          <t>Aeropuerto Catam</t>
        </is>
      </c>
      <c r="C264" s="70" t="inlineStr">
        <is>
          <t>Area Operativa 11 - Cundinamarca-Amazonas</t>
        </is>
      </c>
      <c r="D264" s="101" t="n">
        <v>-74.15066667000001</v>
      </c>
      <c r="E264" s="101" t="n">
        <v>4.705583333</v>
      </c>
      <c r="F264" s="64" t="n">
        <v>2546</v>
      </c>
      <c r="G264" s="62" t="n">
        <v>11</v>
      </c>
      <c r="H264" s="62" t="n">
        <v>11001</v>
      </c>
      <c r="I264" s="72" t="inlineStr">
        <is>
          <t>Bogotá, D.C.</t>
        </is>
      </c>
      <c r="J264" s="72" t="inlineStr">
        <is>
          <t>Bogotá, D.C</t>
        </is>
      </c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7">
        <f>COUNTIF(K264:AO264,"&gt;0")</f>
        <v/>
      </c>
      <c r="AQ264" s="68">
        <f>IF(AP264&gt;14,AVERAGE(K264:AO264),"")</f>
        <v/>
      </c>
      <c r="AR264" s="68">
        <f>IFERROR(VLOOKUP(A264,Climatologia_TMAX!A:U,9+$E$2,FALSE),"")</f>
        <v/>
      </c>
      <c r="AS264" s="68">
        <f>IF(OR(AQ264="",AR264=""),"",IFERROR(AQ264-AR264,""))</f>
        <v/>
      </c>
      <c r="AT264" s="74">
        <f>IF(COUNT(K264:AO264)=0,"",MAX(K264:AO264))</f>
        <v/>
      </c>
      <c r="AU264" s="74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>
        <f>IF(OR(AT264="",AU264=""),"NA",IFERROR(AT264-AU264,"NA"))</f>
        <v/>
      </c>
    </row>
    <row r="265" ht="14.25" customHeight="1">
      <c r="A265" s="64" t="n">
        <v>21206630</v>
      </c>
      <c r="B265" s="70" t="inlineStr">
        <is>
          <t>Bilbao Maximo Poti</t>
        </is>
      </c>
      <c r="C265" s="70" t="inlineStr">
        <is>
          <t>Area Operativa 11 - Cundinamarca-Amazonas</t>
        </is>
      </c>
      <c r="D265" s="101" t="n">
        <v>-74.09158333000001</v>
      </c>
      <c r="E265" s="101" t="n">
        <v>4.751138889</v>
      </c>
      <c r="F265" s="64" t="n">
        <v>2600</v>
      </c>
      <c r="G265" s="62" t="n">
        <v>11</v>
      </c>
      <c r="H265" s="62" t="n">
        <v>11001</v>
      </c>
      <c r="I265" s="72" t="inlineStr">
        <is>
          <t>Bogotá, D.C.</t>
        </is>
      </c>
      <c r="J265" s="72" t="inlineStr">
        <is>
          <t>Bogotá, D.C</t>
        </is>
      </c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7">
        <f>COUNTIF(K265:AO265,"&gt;0")</f>
        <v/>
      </c>
      <c r="AQ265" s="68">
        <f>IF(AP265&gt;14,AVERAGE(K265:AO265),"")</f>
        <v/>
      </c>
      <c r="AR265" s="68">
        <f>IFERROR(VLOOKUP(A265,Climatologia_TMAX!A:U,9+$E$2,FALSE),"")</f>
        <v/>
      </c>
      <c r="AS265" s="68">
        <f>IF(OR(AQ265="",AR265=""),"",IFERROR(AQ265-AR265,""))</f>
        <v/>
      </c>
      <c r="AT265" s="74">
        <f>IF(COUNT(K265:AO265)=0,"",MAX(K265:AO265))</f>
        <v/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>
        <f>IF(OR(AT265="",AU265=""),"NA",IFERROR(AT265-AU265,"NA"))</f>
        <v/>
      </c>
    </row>
    <row r="266" ht="14.25" customHeight="1">
      <c r="A266" s="64" t="n">
        <v>21206260</v>
      </c>
      <c r="B266" s="70" t="inlineStr">
        <is>
          <t>C.Univ.Agrop-Udca</t>
        </is>
      </c>
      <c r="C266" s="70" t="inlineStr">
        <is>
          <t>Area Operativa 11 - Cundinamarca-Amazonas</t>
        </is>
      </c>
      <c r="D266" s="101" t="n">
        <v>-74.04972222000001</v>
      </c>
      <c r="E266" s="101" t="n">
        <v>4.798638889</v>
      </c>
      <c r="F266" s="64" t="n">
        <v>2570</v>
      </c>
      <c r="G266" s="62" t="n">
        <v>11</v>
      </c>
      <c r="H266" s="62" t="n">
        <v>11001</v>
      </c>
      <c r="I266" s="72" t="inlineStr">
        <is>
          <t>Bogotá, D.C.</t>
        </is>
      </c>
      <c r="J266" s="72" t="inlineStr">
        <is>
          <t>Bogotá, D.C</t>
        </is>
      </c>
      <c r="K266" s="66" t="n">
        <v>19</v>
      </c>
      <c r="L266" s="66" t="n">
        <v>18.4</v>
      </c>
      <c r="M266" s="66" t="n">
        <v>18</v>
      </c>
      <c r="N266" s="66" t="n">
        <v>17.4</v>
      </c>
      <c r="O266" s="66" t="n">
        <v>17.4</v>
      </c>
      <c r="P266" s="66" t="n">
        <v>19</v>
      </c>
      <c r="Q266" s="66" t="n">
        <v>17.2</v>
      </c>
      <c r="R266" s="66" t="n">
        <v>19.2</v>
      </c>
      <c r="S266" s="66" t="n">
        <v>20.2</v>
      </c>
      <c r="T266" s="66" t="n">
        <v>19.8</v>
      </c>
      <c r="U266" s="66" t="n">
        <v>19.4</v>
      </c>
      <c r="V266" s="66" t="n">
        <v/>
      </c>
      <c r="W266" s="66" t="n">
        <v>20.2</v>
      </c>
      <c r="X266" s="66" t="n">
        <v>19.6</v>
      </c>
      <c r="Y266" s="66" t="n">
        <v>19.2</v>
      </c>
      <c r="Z266" s="66" t="n">
        <v>18.6</v>
      </c>
      <c r="AA266" s="66" t="n">
        <v>19.4</v>
      </c>
      <c r="AB266" s="66" t="n">
        <v/>
      </c>
      <c r="AC266" s="66" t="n">
        <v/>
      </c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7">
        <f>COUNTIF(K266:AO266,"&gt;0")</f>
        <v/>
      </c>
      <c r="AQ266" s="68">
        <f>IF(AP266&gt;14,AVERAGE(K266:AO266),"")</f>
        <v/>
      </c>
      <c r="AR266" s="68">
        <f>IFERROR(VLOOKUP(A266,Climatologia_TMAX!A:U,9+$E$2,FALSE),"")</f>
        <v/>
      </c>
      <c r="AS266" s="68">
        <f>IF(OR(AQ266="",AR266=""),"",IFERROR(AQ266-AR266,""))</f>
        <v/>
      </c>
      <c r="AT266" s="74">
        <f>IF(COUNT(K266:AO266)=0,"",MAX(K266:AO266))</f>
        <v/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>
        <f>IF(OR(AT266="",AU266=""),"NA",IFERROR(AT266-AU266,"NA"))</f>
        <v/>
      </c>
    </row>
    <row r="267" ht="14.25" customHeight="1">
      <c r="A267" s="64" t="n">
        <v>21206660</v>
      </c>
      <c r="B267" s="70" t="inlineStr">
        <is>
          <t>Col Santiago Perez</t>
        </is>
      </c>
      <c r="C267" s="70" t="inlineStr">
        <is>
          <t>Area Operativa 11 - Cundinamarca-Amazonas</t>
        </is>
      </c>
      <c r="D267" s="101" t="n">
        <v>-74.13091667</v>
      </c>
      <c r="E267" s="101" t="n">
        <v>4.576222222</v>
      </c>
      <c r="F267" s="64" t="n">
        <v>2565</v>
      </c>
      <c r="G267" s="62" t="n">
        <v>11</v>
      </c>
      <c r="H267" s="62" t="n">
        <v>11001</v>
      </c>
      <c r="I267" s="72" t="inlineStr">
        <is>
          <t>Bogotá, D.C.</t>
        </is>
      </c>
      <c r="J267" s="72" t="inlineStr">
        <is>
          <t>Bogotá, D.C</t>
        </is>
      </c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7">
        <f>COUNTIF(K267:AO267,"&gt;0")</f>
        <v/>
      </c>
      <c r="AQ267" s="68">
        <f>IF(AP267&gt;14,AVERAGE(K267:AO267),"")</f>
        <v/>
      </c>
      <c r="AR267" s="68">
        <f>IFERROR(VLOOKUP(A267,Climatologia_TMAX!A:U,9+$E$2,FALSE),"")</f>
        <v/>
      </c>
      <c r="AS267" s="68">
        <f>IF(OR(AQ267="",AR267=""),"",IFERROR(AQ267-AR267,""))</f>
        <v/>
      </c>
      <c r="AT267" s="74">
        <f>IF(COUNT(K267:AO267)=0,"",MAX(K267:AO267))</f>
        <v/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>
        <f>IF(OR(AT267="",AU267=""),"NA",IFERROR(AT267-AU267,"NA"))</f>
        <v/>
      </c>
    </row>
    <row r="268" ht="14.25" customHeight="1">
      <c r="A268" s="64" t="n">
        <v>21206650</v>
      </c>
      <c r="B268" s="70" t="inlineStr">
        <is>
          <t>Colegio San Cayetano</t>
        </is>
      </c>
      <c r="C268" s="70" t="inlineStr">
        <is>
          <t>Area Operativa 11 - Cundinamarca-Amazonas</t>
        </is>
      </c>
      <c r="D268" s="101" t="n">
        <v>-74.088222222</v>
      </c>
      <c r="E268" s="101" t="n">
        <v>4.516752778</v>
      </c>
      <c r="F268" s="64" t="n">
        <v>3100</v>
      </c>
      <c r="G268" s="62" t="n">
        <v>11</v>
      </c>
      <c r="H268" s="62" t="n">
        <v>11001</v>
      </c>
      <c r="I268" s="72" t="inlineStr">
        <is>
          <t>Bogotá, D.C.</t>
        </is>
      </c>
      <c r="J268" s="72" t="inlineStr">
        <is>
          <t>Bogotá, D.C</t>
        </is>
      </c>
      <c r="K268" s="66" t="n">
        <v>15.6</v>
      </c>
      <c r="L268" s="66" t="n">
        <v>15.8</v>
      </c>
      <c r="M268" s="66" t="n">
        <v>15.4</v>
      </c>
      <c r="N268" s="66" t="n">
        <v>15.8</v>
      </c>
      <c r="O268" s="66" t="n">
        <v>15</v>
      </c>
      <c r="P268" s="66" t="n">
        <v>15.2</v>
      </c>
      <c r="Q268" s="66" t="n">
        <v>15.4</v>
      </c>
      <c r="R268" s="66" t="n">
        <v>15.8</v>
      </c>
      <c r="S268" s="66" t="n">
        <v>16.2</v>
      </c>
      <c r="T268" s="66" t="n">
        <v>15.2</v>
      </c>
      <c r="U268" s="66" t="n">
        <v>15.6</v>
      </c>
      <c r="V268" s="66" t="n">
        <v>15</v>
      </c>
      <c r="W268" s="66" t="n">
        <v>15.6</v>
      </c>
      <c r="X268" s="66" t="n">
        <v>15.8</v>
      </c>
      <c r="Y268" s="66" t="n">
        <v>15.4</v>
      </c>
      <c r="Z268" s="66" t="n">
        <v>14.8</v>
      </c>
      <c r="AA268" s="66" t="n">
        <v>15.4</v>
      </c>
      <c r="AB268" s="66" t="n">
        <v>15.8</v>
      </c>
      <c r="AC268" s="66" t="n">
        <v>15.4</v>
      </c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7">
        <f>COUNTIF(K268:AO268,"&gt;0")</f>
        <v/>
      </c>
      <c r="AQ268" s="68">
        <f>IF(AP268&gt;14,AVERAGE(K268:AO268),"")</f>
        <v/>
      </c>
      <c r="AR268" s="68">
        <f>IFERROR(VLOOKUP(A268,Climatologia_TMAX!A:U,9+$E$2,FALSE),"")</f>
        <v/>
      </c>
      <c r="AS268" s="68">
        <f>IF(OR(AQ268="",AR268=""),"",IFERROR(AQ268-AR268,""))</f>
        <v/>
      </c>
      <c r="AT268" s="74">
        <f>IF(COUNT(K268:AO268)=0,"",MAX(K268:AO268))</f>
        <v/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/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8" s="69">
        <f>IF(OR(AT268="",AU268=""),"NA",IFERROR(AT268-AU268,"NA"))</f>
        <v/>
      </c>
    </row>
    <row r="269" ht="14.25" customHeight="1">
      <c r="A269" s="64" t="n">
        <v>21205980</v>
      </c>
      <c r="B269" s="70" t="inlineStr">
        <is>
          <t>Granja Providencia</t>
        </is>
      </c>
      <c r="C269" s="70" t="inlineStr">
        <is>
          <t>Area Operativa 11 - Cundinamarca-Amazonas</t>
        </is>
      </c>
      <c r="D269" s="101" t="n">
        <v>-74.20091667</v>
      </c>
      <c r="E269" s="101" t="n">
        <v>4.792388889</v>
      </c>
      <c r="F269" s="64" t="n">
        <v>2560</v>
      </c>
      <c r="G269" s="62" t="n">
        <v>47</v>
      </c>
      <c r="H269" s="62" t="n">
        <v>47798</v>
      </c>
      <c r="I269" s="72" t="inlineStr">
        <is>
          <t>Magdalena</t>
        </is>
      </c>
      <c r="J269" s="72" t="inlineStr">
        <is>
          <t>Tenerife</t>
        </is>
      </c>
      <c r="K269" s="66" t="n">
        <v>20.2</v>
      </c>
      <c r="L269" s="66" t="n">
        <v>20</v>
      </c>
      <c r="M269" s="66" t="n">
        <v>19.6</v>
      </c>
      <c r="N269" s="66" t="n">
        <v>20.4</v>
      </c>
      <c r="O269" s="66" t="n">
        <v>21.4</v>
      </c>
      <c r="P269" s="66" t="n">
        <v>20.6</v>
      </c>
      <c r="Q269" s="66" t="n">
        <v>19.6</v>
      </c>
      <c r="R269" s="66" t="n">
        <v>20.8</v>
      </c>
      <c r="S269" s="66" t="n">
        <v>22</v>
      </c>
      <c r="T269" s="66" t="n">
        <v>21.8</v>
      </c>
      <c r="U269" s="109" t="n">
        <v>20.8</v>
      </c>
      <c r="V269" s="66" t="n">
        <v>22.6</v>
      </c>
      <c r="W269" s="66" t="n">
        <v>20.4</v>
      </c>
      <c r="X269" s="66" t="n">
        <v>21.2</v>
      </c>
      <c r="Y269" s="66" t="n">
        <v>21</v>
      </c>
      <c r="Z269" s="66" t="n">
        <v>21.6</v>
      </c>
      <c r="AA269" s="66" t="n">
        <v>21</v>
      </c>
      <c r="AB269" s="66" t="n">
        <v>20.8</v>
      </c>
      <c r="AC269" s="66" t="n">
        <v>20</v>
      </c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7">
        <f>COUNTIF(K269:AO269,"&gt;0")</f>
        <v/>
      </c>
      <c r="AQ269" s="68">
        <f>IF(AP269&gt;14,AVERAGE(K269:AO269),"")</f>
        <v/>
      </c>
      <c r="AR269" s="68">
        <f>IFERROR(VLOOKUP(A269,Climatologia_TMAX!A:U,9+$E$2,FALSE),"")</f>
        <v/>
      </c>
      <c r="AS269" s="68">
        <f>IF(OR(AQ269="",AR269=""),"",IFERROR(AQ269-AR269,""))</f>
        <v/>
      </c>
      <c r="AT269" s="74">
        <f>IF(COUNT(K269:AO269)=0,"",MAX(K269:AO269))</f>
        <v/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/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9" s="69">
        <f>IF(OR(AT269="",AU269=""),"NA",IFERROR(AT269-AU269,"NA"))</f>
        <v/>
      </c>
    </row>
    <row r="270" ht="14.25" customHeight="1">
      <c r="A270" s="64" t="n">
        <v>21205720</v>
      </c>
      <c r="B270" s="70" t="inlineStr">
        <is>
          <t>Granja San Jorge</t>
        </is>
      </c>
      <c r="C270" s="70" t="inlineStr">
        <is>
          <t>Area Operativa 11 - Cundinamarca-Amazonas</t>
        </is>
      </c>
      <c r="D270" s="101" t="n">
        <v>-74.18927778</v>
      </c>
      <c r="E270" s="101" t="n">
        <v>4.50575</v>
      </c>
      <c r="F270" s="64" t="n">
        <v>2900</v>
      </c>
      <c r="G270" s="62" t="n">
        <v>25</v>
      </c>
      <c r="H270" s="62" t="n">
        <v>25754</v>
      </c>
      <c r="I270" s="72" t="inlineStr">
        <is>
          <t>Cundinamarca</t>
        </is>
      </c>
      <c r="J270" s="72" t="inlineStr">
        <is>
          <t>Soacha</t>
        </is>
      </c>
      <c r="K270" s="66" t="n">
        <v>19.8</v>
      </c>
      <c r="L270" s="66" t="n">
        <v>19</v>
      </c>
      <c r="M270" s="66" t="n">
        <v>18.2</v>
      </c>
      <c r="N270" s="66" t="n">
        <v>18.2</v>
      </c>
      <c r="O270" s="66" t="n">
        <v>18</v>
      </c>
      <c r="P270" s="66" t="n">
        <v>17.8</v>
      </c>
      <c r="Q270" s="66" t="n">
        <v>17.2</v>
      </c>
      <c r="R270" s="66" t="n">
        <v>19</v>
      </c>
      <c r="S270" s="66" t="n">
        <v>18.6</v>
      </c>
      <c r="T270" s="66" t="n">
        <v>19</v>
      </c>
      <c r="U270" s="66" t="n">
        <v>19</v>
      </c>
      <c r="V270" s="66" t="n">
        <v>20.6</v>
      </c>
      <c r="W270" s="66" t="n">
        <v>16.4</v>
      </c>
      <c r="X270" s="66" t="n">
        <v>19.6</v>
      </c>
      <c r="Y270" s="66" t="n">
        <v>19</v>
      </c>
      <c r="Z270" s="66" t="n">
        <v>18.4</v>
      </c>
      <c r="AA270" s="66" t="n">
        <v>18</v>
      </c>
      <c r="AB270" s="66" t="n">
        <v>18.2</v>
      </c>
      <c r="AC270" s="66" t="n">
        <v/>
      </c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7">
        <f>COUNTIF(K270:AO270,"&gt;0")</f>
        <v/>
      </c>
      <c r="AQ270" s="68">
        <f>IF(AP270&gt;14,AVERAGE(K270:AO270),"")</f>
        <v/>
      </c>
      <c r="AR270" s="68">
        <f>IFERROR(VLOOKUP(A270,Climatologia_TMAX!A:U,9+$E$2,FALSE),"")</f>
        <v/>
      </c>
      <c r="AS270" s="68">
        <f>IF(OR(AQ270="",AR270=""),"",IFERROR(AQ270-AR270,""))</f>
        <v/>
      </c>
      <c r="AT270" s="74">
        <f>IF(COUNT(K270:AO270)=0,"",MAX(K270:AO270))</f>
        <v/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/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0" s="69">
        <f>IF(OR(AT270="",AU270=""),"NA",IFERROR(AT270-AU270,"NA"))</f>
        <v/>
      </c>
    </row>
    <row r="271" ht="14.25" customHeight="1">
      <c r="A271" s="64" t="n">
        <v>21205700</v>
      </c>
      <c r="B271" s="70" t="inlineStr">
        <is>
          <t>Guasca</t>
        </is>
      </c>
      <c r="C271" s="70" t="inlineStr">
        <is>
          <t>Area Operativa 11 - Cundinamarca-Amazonas</t>
        </is>
      </c>
      <c r="D271" s="101" t="n">
        <v>-73.864453</v>
      </c>
      <c r="E271" s="101" t="n">
        <v>4.877953</v>
      </c>
      <c r="F271" s="64" t="n">
        <v>2750</v>
      </c>
      <c r="G271" s="62" t="n">
        <v>25</v>
      </c>
      <c r="H271" s="62" t="n">
        <v>25322</v>
      </c>
      <c r="I271" s="72" t="inlineStr">
        <is>
          <t>Cundinamarca</t>
        </is>
      </c>
      <c r="J271" s="72" t="inlineStr">
        <is>
          <t>Guasca</t>
        </is>
      </c>
      <c r="K271" s="66" t="n">
        <v>19.2</v>
      </c>
      <c r="L271" s="66" t="n">
        <v>19.8</v>
      </c>
      <c r="M271" s="66" t="n">
        <v>16.8</v>
      </c>
      <c r="N271" s="66" t="n">
        <v>16.4</v>
      </c>
      <c r="O271" s="66" t="n">
        <v>15.4</v>
      </c>
      <c r="P271" s="66" t="n">
        <v>16.8</v>
      </c>
      <c r="Q271" s="66" t="n">
        <v>16.2</v>
      </c>
      <c r="R271" s="66" t="n">
        <v>17.4</v>
      </c>
      <c r="S271" s="66" t="n">
        <v>16.4</v>
      </c>
      <c r="T271" s="66" t="n">
        <v>18.2</v>
      </c>
      <c r="U271" s="66" t="n">
        <v>17.4</v>
      </c>
      <c r="V271" s="66" t="n">
        <v>18.8</v>
      </c>
      <c r="W271" s="66" t="n">
        <v>16.8</v>
      </c>
      <c r="X271" s="66" t="n">
        <v>18.6</v>
      </c>
      <c r="Y271" s="66" t="n">
        <v>18.2</v>
      </c>
      <c r="Z271" s="66" t="n">
        <v>17.6</v>
      </c>
      <c r="AA271" s="66" t="n">
        <v>15.4</v>
      </c>
      <c r="AB271" s="66" t="n">
        <v>15.1</v>
      </c>
      <c r="AC271" s="66" t="n">
        <v>17.4</v>
      </c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7">
        <f>COUNTIF(K271:AO271,"&gt;0")</f>
        <v/>
      </c>
      <c r="AQ271" s="68">
        <f>IF(AP271&gt;14,AVERAGE(K271:AO271),"")</f>
        <v/>
      </c>
      <c r="AR271" s="68">
        <f>IFERROR(VLOOKUP(A271,Climatologia_TMAX!A:U,9+$E$2,FALSE),"")</f>
        <v/>
      </c>
      <c r="AS271" s="68">
        <f>IF(OR(AQ271="",AR271=""),"",IFERROR(AQ271-AR271,""))</f>
        <v/>
      </c>
      <c r="AT271" s="74">
        <f>IF(COUNT(K271:AO271)=0,"",MAX(K271:AO271))</f>
        <v/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>
        <f>IF(OR(AT271="",AU271=""),"NA",IFERROR(AT271-AU271,"NA"))</f>
        <v/>
      </c>
    </row>
    <row r="272" ht="14.25" customHeight="1">
      <c r="A272" s="64" t="n">
        <v>24015120</v>
      </c>
      <c r="B272" s="70" t="inlineStr">
        <is>
          <t>Isla Del Santuario</t>
        </is>
      </c>
      <c r="C272" s="70" t="inlineStr">
        <is>
          <t>Area Operativa 11 - Cundinamarca-Amazonas</t>
        </is>
      </c>
      <c r="D272" s="101" t="n">
        <v>-73.73480556</v>
      </c>
      <c r="E272" s="101" t="n">
        <v>5.467277778</v>
      </c>
      <c r="F272" s="64" t="n">
        <v>2580</v>
      </c>
      <c r="G272" s="62" t="n">
        <v>25</v>
      </c>
      <c r="H272" s="62" t="n">
        <v>25288</v>
      </c>
      <c r="I272" s="72" t="inlineStr">
        <is>
          <t>Cundinamarca</t>
        </is>
      </c>
      <c r="J272" s="72" t="inlineStr">
        <is>
          <t>Fúquene</t>
        </is>
      </c>
      <c r="K272" s="66" t="n">
        <v>22</v>
      </c>
      <c r="L272" s="66" t="n">
        <v>21.2</v>
      </c>
      <c r="M272" s="66" t="n">
        <v>20</v>
      </c>
      <c r="N272" s="66" t="n">
        <v>20.4</v>
      </c>
      <c r="O272" s="66" t="n">
        <v>18.8</v>
      </c>
      <c r="P272" s="66" t="n">
        <v>21</v>
      </c>
      <c r="Q272" s="66" t="n">
        <v>21.4</v>
      </c>
      <c r="R272" s="66" t="n">
        <v/>
      </c>
      <c r="S272" s="66" t="n">
        <v>24.6</v>
      </c>
      <c r="T272" s="66" t="n">
        <v>23.4</v>
      </c>
      <c r="U272" s="66" t="n">
        <v>23.2</v>
      </c>
      <c r="V272" s="66" t="n">
        <v>24</v>
      </c>
      <c r="W272" s="66" t="n">
        <v>19</v>
      </c>
      <c r="X272" s="66" t="n">
        <v>25.4</v>
      </c>
      <c r="Y272" s="66" t="n">
        <v>24.8</v>
      </c>
      <c r="Z272" s="66" t="n">
        <v>23.2</v>
      </c>
      <c r="AA272" s="66" t="n">
        <v>22</v>
      </c>
      <c r="AB272" s="66" t="n">
        <v/>
      </c>
      <c r="AC272" s="66" t="n">
        <v/>
      </c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7">
        <f>COUNTIF(K272:AO272,"&gt;0")</f>
        <v/>
      </c>
      <c r="AQ272" s="68">
        <f>IF(AP272&gt;14,AVERAGE(K272:AO272),"")</f>
        <v/>
      </c>
      <c r="AR272" s="68">
        <f>IFERROR(VLOOKUP(A272,Climatologia_TMAX!A:U,9+$E$2,FALSE),"")</f>
        <v/>
      </c>
      <c r="AS272" s="68">
        <f>IF(OR(AQ272="",AR272=""),"",IFERROR(AQ272-AR272,""))</f>
        <v/>
      </c>
      <c r="AT272" s="74">
        <f>IF(COUNT(K272:AO272)=0,"",MAX(K272:AO272))</f>
        <v/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>
        <f>IF(OR(AT272="",AU272=""),"NA",IFERROR(AT272-AU272,"NA"))</f>
        <v/>
      </c>
    </row>
    <row r="273" ht="14.25" customHeight="1">
      <c r="A273" s="64" t="n">
        <v>21195120</v>
      </c>
      <c r="B273" s="70" t="inlineStr">
        <is>
          <t>Ita Valsalice</t>
        </is>
      </c>
      <c r="C273" s="70" t="inlineStr">
        <is>
          <t>Area Operativa 11 - Cundinamarca-Amazonas</t>
        </is>
      </c>
      <c r="D273" s="101" t="n">
        <v>-74.39272</v>
      </c>
      <c r="E273" s="101" t="n">
        <v>4.39292</v>
      </c>
      <c r="F273" s="64" t="n">
        <v>1421</v>
      </c>
      <c r="G273" s="62" t="n">
        <v>25</v>
      </c>
      <c r="H273" s="62" t="n">
        <v>25743</v>
      </c>
      <c r="I273" s="72" t="inlineStr">
        <is>
          <t>Cundinamarca</t>
        </is>
      </c>
      <c r="J273" s="72" t="inlineStr">
        <is>
          <t>Silvania</t>
        </is>
      </c>
      <c r="K273" s="66" t="n">
        <v>25</v>
      </c>
      <c r="L273" s="66" t="n">
        <v>26</v>
      </c>
      <c r="M273" s="66" t="n">
        <v>27.2</v>
      </c>
      <c r="N273" s="66" t="n">
        <v>27</v>
      </c>
      <c r="O273" s="66" t="n">
        <v>28.8</v>
      </c>
      <c r="P273" s="66" t="n">
        <v>27.6</v>
      </c>
      <c r="Q273" s="66" t="n">
        <v>25.8</v>
      </c>
      <c r="R273" s="66" t="n">
        <v>28</v>
      </c>
      <c r="S273" s="66" t="n">
        <v>29.4</v>
      </c>
      <c r="T273" s="66" t="n">
        <v>28.6</v>
      </c>
      <c r="U273" s="66" t="n">
        <v>27.4</v>
      </c>
      <c r="V273" s="66" t="n">
        <v>28.4</v>
      </c>
      <c r="W273" s="66" t="n">
        <v>28</v>
      </c>
      <c r="X273" s="66" t="n">
        <v>29.2</v>
      </c>
      <c r="Y273" s="66" t="n">
        <v>28.2</v>
      </c>
      <c r="Z273" s="66" t="n">
        <v>26.2</v>
      </c>
      <c r="AA273" s="66" t="n">
        <v>27.6</v>
      </c>
      <c r="AB273" s="66" t="n">
        <v>29</v>
      </c>
      <c r="AC273" s="66" t="n">
        <v>28.8</v>
      </c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7">
        <f>COUNTIF(K273:AO273,"&gt;0")</f>
        <v/>
      </c>
      <c r="AQ273" s="68">
        <f>IF(AP273&gt;14,AVERAGE(K273:AO273),"")</f>
        <v/>
      </c>
      <c r="AR273" s="68">
        <f>IFERROR(VLOOKUP(A273,Climatologia_TMAX!A:U,9+$E$2,FALSE),"")</f>
        <v/>
      </c>
      <c r="AS273" s="68">
        <f>IF(OR(AQ273="",AR273=""),"",IFERROR(AQ273-AR273,""))</f>
        <v/>
      </c>
      <c r="AT273" s="74">
        <f>IF(COUNT(K273:AO273)=0,"",MAX(K273:AO273))</f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/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3" s="69">
        <f>IF(OR(AT273="",AU273=""),"NA",IFERROR(AT273-AU273,"NA"))</f>
        <v/>
      </c>
    </row>
    <row r="274" ht="14.25" customHeight="1">
      <c r="A274" s="64" t="n">
        <v>21205710</v>
      </c>
      <c r="B274" s="70" t="inlineStr">
        <is>
          <t>Jardin Botanico</t>
        </is>
      </c>
      <c r="C274" s="70" t="inlineStr">
        <is>
          <t>Area Operativa 11 - Cundinamarca-Amazonas</t>
        </is>
      </c>
      <c r="D274" s="101" t="n">
        <v>-74.101034</v>
      </c>
      <c r="E274" s="101" t="n">
        <v>4.667867</v>
      </c>
      <c r="F274" s="64" t="n">
        <v>2552</v>
      </c>
      <c r="G274" s="62" t="n">
        <v>11</v>
      </c>
      <c r="H274" s="62" t="n">
        <v>11001</v>
      </c>
      <c r="I274" s="72" t="inlineStr">
        <is>
          <t>Bogotá, D.C.</t>
        </is>
      </c>
      <c r="J274" s="72" t="inlineStr">
        <is>
          <t>Bogotá, D.C</t>
        </is>
      </c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7">
        <f>COUNTIF(K274:AO274,"&gt;0")</f>
        <v/>
      </c>
      <c r="AQ274" s="68">
        <f>IF(AP274&gt;14,AVERAGE(K274:AO274),"")</f>
        <v/>
      </c>
      <c r="AR274" s="68">
        <f>IFERROR(VLOOKUP(A274,Climatologia_TMAX!A:U,9+$E$2,FALSE),"")</f>
        <v/>
      </c>
      <c r="AS274" s="68">
        <f>IF(OR(AQ274="",AR274=""),"",IFERROR(AQ274-AR274,""))</f>
        <v/>
      </c>
      <c r="AT274" s="74">
        <f>IF(COUNT(K274:AO274)=0,"",MAX(K274:AO274))</f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/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4" s="69">
        <f>IF(OR(AT274="",AU274=""),"NA",IFERROR(AT274-AU274,"NA"))</f>
        <v/>
      </c>
    </row>
    <row r="275" ht="14.25" customHeight="1">
      <c r="A275" s="64" t="n">
        <v>35025060</v>
      </c>
      <c r="B275" s="70" t="inlineStr">
        <is>
          <t>La Bolsa</t>
        </is>
      </c>
      <c r="C275" s="70" t="inlineStr">
        <is>
          <t>Area Operativa 11 - Cundinamarca-Amazonas</t>
        </is>
      </c>
      <c r="D275" s="101" t="n">
        <v>-73.995885</v>
      </c>
      <c r="E275" s="101" t="n">
        <v>4.587059</v>
      </c>
      <c r="F275" s="64" t="n">
        <v>3195</v>
      </c>
      <c r="G275" s="62" t="n">
        <v>25</v>
      </c>
      <c r="H275" s="62" t="n">
        <v>25181</v>
      </c>
      <c r="I275" s="72" t="inlineStr">
        <is>
          <t>Cundinamarca</t>
        </is>
      </c>
      <c r="J275" s="72" t="inlineStr">
        <is>
          <t>Choachí</t>
        </is>
      </c>
      <c r="K275" s="66" t="n">
        <v>12.6</v>
      </c>
      <c r="L275" s="66" t="n">
        <v>11.4</v>
      </c>
      <c r="M275" s="66" t="n">
        <v>10</v>
      </c>
      <c r="N275" s="66" t="n">
        <v>10.2</v>
      </c>
      <c r="O275" s="66" t="n">
        <v>12.2</v>
      </c>
      <c r="P275" s="66" t="n">
        <v>12.2</v>
      </c>
      <c r="Q275" s="66" t="n">
        <v>11.2</v>
      </c>
      <c r="R275" s="66" t="n">
        <v>12</v>
      </c>
      <c r="S275" s="66" t="n">
        <v>10.8</v>
      </c>
      <c r="T275" s="66" t="n">
        <v>12</v>
      </c>
      <c r="U275" s="109" t="n">
        <v>11.8</v>
      </c>
      <c r="V275" s="66" t="n">
        <v>14.8</v>
      </c>
      <c r="W275" s="66" t="n">
        <v>12</v>
      </c>
      <c r="X275" s="66" t="n">
        <v>13.4</v>
      </c>
      <c r="Y275" s="66" t="n">
        <v>13.6</v>
      </c>
      <c r="Z275" s="66" t="n">
        <v>13</v>
      </c>
      <c r="AA275" s="66" t="n">
        <v>12.4</v>
      </c>
      <c r="AB275" s="66" t="n">
        <v>10</v>
      </c>
      <c r="AC275" s="66" t="n">
        <v>11.6</v>
      </c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7">
        <f>COUNTIF(K275:AO275,"&gt;0")</f>
        <v/>
      </c>
      <c r="AQ275" s="68">
        <f>IF(AP275&gt;14,AVERAGE(K275:AO275),"")</f>
        <v/>
      </c>
      <c r="AR275" s="68">
        <f>IFERROR(VLOOKUP(A275,Climatologia_TMAX!A:U,9+$E$2,FALSE),"")</f>
        <v/>
      </c>
      <c r="AS275" s="68">
        <f>IF(OR(AQ275="",AR275=""),"",IFERROR(AQ275-AR275,""))</f>
        <v/>
      </c>
      <c r="AT275" s="74">
        <f>IF(COUNT(K275:AO275)=0,"",MAX(K275:AO275))</f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/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5" s="69">
        <f>IF(OR(AT275="",AU275=""),"NA",IFERROR(AT275-AU275,"NA"))</f>
        <v/>
      </c>
    </row>
    <row r="276" ht="14.25" customHeight="1">
      <c r="A276" s="64" t="n">
        <v>47075010</v>
      </c>
      <c r="B276" s="70" t="inlineStr">
        <is>
          <t>La Chorrera</t>
        </is>
      </c>
      <c r="C276" s="70" t="inlineStr">
        <is>
          <t>Area Operativa 11 - Cundinamarca-Amazonas</t>
        </is>
      </c>
      <c r="D276" s="101" t="n">
        <v>-72.789583333</v>
      </c>
      <c r="E276" s="101" t="n">
        <v>-1.444611111</v>
      </c>
      <c r="F276" s="64" t="n">
        <v>160</v>
      </c>
      <c r="G276" s="62" t="n">
        <v>91</v>
      </c>
      <c r="H276" s="62" t="n">
        <v>91405</v>
      </c>
      <c r="I276" s="72" t="inlineStr">
        <is>
          <t>Amazonas</t>
        </is>
      </c>
      <c r="J276" s="72" t="inlineStr">
        <is>
          <t>La Chorrera</t>
        </is>
      </c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7">
        <f>COUNTIF(K276:AO276,"&gt;0")</f>
        <v/>
      </c>
      <c r="AQ276" s="68">
        <f>IF(AP276&gt;14,AVERAGE(K276:AO276),"")</f>
        <v/>
      </c>
      <c r="AR276" s="68">
        <f>IFERROR(VLOOKUP(A276,Climatologia_TMAX!A:U,9+$E$2,FALSE),"")</f>
        <v/>
      </c>
      <c r="AS276" s="68">
        <f>IF(OR(AQ276="",AR276=""),"",IFERROR(AQ276-AR276,""))</f>
        <v/>
      </c>
      <c r="AT276" s="74">
        <f>IF(COUNT(K276:AO276)=0,"",MAX(K276:AO276))</f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/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6" s="69">
        <f>IF(OR(AT276="",AU276=""),"NA",IFERROR(AT276-AU276,"NA"))</f>
        <v/>
      </c>
    </row>
    <row r="277" ht="14.25" customHeight="1">
      <c r="A277" s="64" t="n">
        <v>21205670</v>
      </c>
      <c r="B277" s="70" t="inlineStr">
        <is>
          <t>La Florida</t>
        </is>
      </c>
      <c r="C277" s="70" t="inlineStr">
        <is>
          <t>Area Operativa 11 - Cundinamarca-Amazonas</t>
        </is>
      </c>
      <c r="D277" s="101" t="n">
        <v>-74.434235</v>
      </c>
      <c r="E277" s="101" t="n">
        <v>4.767988</v>
      </c>
      <c r="F277" s="64" t="n">
        <v>1915</v>
      </c>
      <c r="G277" s="62" t="n">
        <v>25</v>
      </c>
      <c r="H277" s="62" t="n">
        <v>25040</v>
      </c>
      <c r="I277" s="72" t="inlineStr">
        <is>
          <t>Cundinamarca</t>
        </is>
      </c>
      <c r="J277" s="72" t="inlineStr">
        <is>
          <t>Anolaima</t>
        </is>
      </c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7">
        <f>COUNTIF(K277:AO277,"&gt;0")</f>
        <v/>
      </c>
      <c r="AQ277" s="68">
        <f>IF(AP277&gt;14,AVERAGE(K277:AO277),"")</f>
        <v/>
      </c>
      <c r="AR277" s="68">
        <f>IFERROR(VLOOKUP(A277,Climatologia_TMAX!A:U,9+$E$2,FALSE),"")</f>
        <v/>
      </c>
      <c r="AS277" s="68">
        <f>IF(OR(AQ277="",AR277=""),"",IFERROR(AQ277-AR277,""))</f>
        <v/>
      </c>
      <c r="AT277" s="74">
        <f>IF(COUNT(K277:AO277)=0,"",MAX(K277:AO277))</f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/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7" s="69">
        <f>IF(OR(AT277="",AU277=""),"NA",IFERROR(AT277-AU277,"NA"))</f>
        <v/>
      </c>
    </row>
    <row r="278" ht="14.25" customHeight="1">
      <c r="A278" s="64" t="n">
        <v>21205660</v>
      </c>
      <c r="B278" s="70" t="inlineStr">
        <is>
          <t>Mercedes</t>
        </is>
      </c>
      <c r="C278" s="70" t="inlineStr">
        <is>
          <t>Area Operativa 11 - Cundinamarca-Amazonas</t>
        </is>
      </c>
      <c r="D278" s="101" t="n">
        <v>-74.52318</v>
      </c>
      <c r="E278" s="101" t="n">
        <v>4.5791</v>
      </c>
      <c r="F278" s="64" t="n">
        <v>765</v>
      </c>
      <c r="G278" s="62" t="n">
        <v>25</v>
      </c>
      <c r="H278" s="62" t="n">
        <v>25035</v>
      </c>
      <c r="I278" s="72" t="inlineStr">
        <is>
          <t>Cundinamarca</t>
        </is>
      </c>
      <c r="J278" s="72" t="inlineStr">
        <is>
          <t>Anapoima</t>
        </is>
      </c>
      <c r="K278" s="66" t="n">
        <v>31.4</v>
      </c>
      <c r="L278" s="66" t="n">
        <v>33.2</v>
      </c>
      <c r="M278" s="66" t="n">
        <v>32.6</v>
      </c>
      <c r="N278" s="66" t="n">
        <v>33.6</v>
      </c>
      <c r="O278" s="66" t="n">
        <v>35.2</v>
      </c>
      <c r="P278" s="66" t="n">
        <v>33.8</v>
      </c>
      <c r="Q278" s="66" t="n">
        <v>33</v>
      </c>
      <c r="R278" s="66" t="n">
        <v>34.4</v>
      </c>
      <c r="S278" s="66" t="n">
        <v>34.6</v>
      </c>
      <c r="T278" s="66" t="n">
        <v>35.2</v>
      </c>
      <c r="U278" s="66" t="n">
        <v>33.8</v>
      </c>
      <c r="V278" s="66" t="n">
        <v>34.8</v>
      </c>
      <c r="W278" s="66" t="n">
        <v>33.6</v>
      </c>
      <c r="X278" s="66" t="n">
        <v>35</v>
      </c>
      <c r="Y278" s="66" t="n">
        <v>34.2</v>
      </c>
      <c r="Z278" s="66" t="n">
        <v>31.8</v>
      </c>
      <c r="AA278" s="66" t="n">
        <v>35.4</v>
      </c>
      <c r="AB278" s="66" t="n">
        <v>34.8</v>
      </c>
      <c r="AC278" s="66" t="n">
        <v>34</v>
      </c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7">
        <f>COUNTIF(K278:AO278,"&gt;0")</f>
        <v/>
      </c>
      <c r="AQ278" s="68">
        <f>IF(AP278&gt;14,AVERAGE(K278:AO278),"")</f>
        <v/>
      </c>
      <c r="AR278" s="68">
        <f>IFERROR(VLOOKUP(A278,Climatologia_TMAX!A:U,9+$E$2,FALSE),"")</f>
        <v/>
      </c>
      <c r="AS278" s="68">
        <f>IF(OR(AQ278="",AR278=""),"",IFERROR(AQ278-AR278,""))</f>
        <v/>
      </c>
      <c r="AT278" s="74">
        <f>IF(COUNT(K278:AO278)=0,"",MAX(K278:AO278))</f>
        <v/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/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8" s="69">
        <f>IF(OR(AT278="",AU278=""),"NA",IFERROR(AT278-AU278,"NA"))</f>
        <v/>
      </c>
    </row>
    <row r="279" ht="14.25" customHeight="1">
      <c r="A279" s="64" t="n">
        <v>21206600</v>
      </c>
      <c r="B279" s="70" t="inlineStr">
        <is>
          <t>Nueva Generacion</t>
        </is>
      </c>
      <c r="C279" s="70" t="inlineStr">
        <is>
          <t>Area Operativa 11 - Cundinamarca-Amazonas</t>
        </is>
      </c>
      <c r="D279" s="101" t="n">
        <v>-74.10224700000001</v>
      </c>
      <c r="E279" s="101" t="n">
        <v>4.786594</v>
      </c>
      <c r="F279" s="64" t="n">
        <v>2590</v>
      </c>
      <c r="G279" s="62" t="n">
        <v>11</v>
      </c>
      <c r="H279" s="62" t="n">
        <v>11001</v>
      </c>
      <c r="I279" s="72" t="inlineStr">
        <is>
          <t>Bogotá, D.C.</t>
        </is>
      </c>
      <c r="J279" s="72" t="inlineStr">
        <is>
          <t>Bogotá, D.C</t>
        </is>
      </c>
      <c r="K279" s="66" t="n">
        <v>21.8</v>
      </c>
      <c r="L279" s="66" t="n">
        <v>22.6</v>
      </c>
      <c r="M279" s="66" t="n">
        <v>21.4</v>
      </c>
      <c r="N279" s="66" t="n">
        <v>20.8</v>
      </c>
      <c r="O279" s="66" t="n">
        <v>21.2</v>
      </c>
      <c r="P279" s="66" t="n">
        <v>20.8</v>
      </c>
      <c r="Q279" s="66" t="n">
        <v>18.8</v>
      </c>
      <c r="R279" s="66" t="n">
        <v>20.6</v>
      </c>
      <c r="S279" s="66" t="n">
        <v>21.8</v>
      </c>
      <c r="T279" s="66" t="n">
        <v>22</v>
      </c>
      <c r="U279" s="66" t="n">
        <v>20.8</v>
      </c>
      <c r="V279" s="66" t="n">
        <v>22.8</v>
      </c>
      <c r="W279" s="66" t="n">
        <v>23.2</v>
      </c>
      <c r="X279" s="66" t="n">
        <v>22.4</v>
      </c>
      <c r="Y279" s="66" t="n">
        <v>20.6</v>
      </c>
      <c r="Z279" s="66" t="n">
        <v>19.8</v>
      </c>
      <c r="AA279" s="66" t="n">
        <v>19.2</v>
      </c>
      <c r="AB279" s="66" t="n">
        <v>19.8</v>
      </c>
      <c r="AC279" s="66" t="n">
        <v>20.8</v>
      </c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7">
        <f>COUNTIF(K279:AO279,"&gt;0")</f>
        <v/>
      </c>
      <c r="AQ279" s="68">
        <f>IF(AP279&gt;14,AVERAGE(K279:AO279),"")</f>
        <v/>
      </c>
      <c r="AR279" s="68">
        <f>IFERROR(VLOOKUP(A279,Climatologia_TMAX!A:U,9+$E$2,FALSE),"")</f>
        <v/>
      </c>
      <c r="AS279" s="68">
        <f>IF(OR(AQ279="",AR279=""),"",IFERROR(AQ279-AR279,""))</f>
        <v/>
      </c>
      <c r="AT279" s="74">
        <f>IF(COUNT(K279:AO279)=0,"",MAX(K279:AO279))</f>
        <v/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/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9" s="69">
        <f>IF(OR(AT279="",AU279=""),"NA",IFERROR(AT279-AU279,"NA"))</f>
        <v/>
      </c>
    </row>
    <row r="280" ht="14.25" customHeight="1">
      <c r="A280" s="64" t="n">
        <v>21195060</v>
      </c>
      <c r="B280" s="70" t="inlineStr">
        <is>
          <t>Pandi</t>
        </is>
      </c>
      <c r="C280" s="70" t="inlineStr">
        <is>
          <t>Area Operativa 11 - Cundinamarca-Amazonas</t>
        </is>
      </c>
      <c r="D280" s="101" t="n">
        <v>-74.48741667</v>
      </c>
      <c r="E280" s="101" t="n">
        <v>4.192722222</v>
      </c>
      <c r="F280" s="64" t="n">
        <v>950</v>
      </c>
      <c r="G280" s="62" t="n">
        <v>25</v>
      </c>
      <c r="H280" s="62" t="n">
        <v>25524</v>
      </c>
      <c r="I280" s="72" t="inlineStr">
        <is>
          <t>Cundinamarca</t>
        </is>
      </c>
      <c r="J280" s="72" t="inlineStr">
        <is>
          <t>Pandi</t>
        </is>
      </c>
      <c r="K280" s="66" t="n">
        <v>32.8</v>
      </c>
      <c r="L280" s="66" t="n">
        <v>32.2</v>
      </c>
      <c r="M280" s="66" t="n">
        <v>31.8</v>
      </c>
      <c r="N280" s="66" t="n">
        <v>32.6</v>
      </c>
      <c r="O280" s="66" t="n">
        <v>33.8</v>
      </c>
      <c r="P280" s="66" t="n">
        <v>33.4</v>
      </c>
      <c r="Q280" s="66" t="n">
        <v>31.2</v>
      </c>
      <c r="R280" s="66" t="n">
        <v>34.4</v>
      </c>
      <c r="S280" s="66" t="n">
        <v>33.4</v>
      </c>
      <c r="T280" s="66" t="n">
        <v>34.8</v>
      </c>
      <c r="U280" s="66" t="n">
        <v>33.6</v>
      </c>
      <c r="V280" s="66" t="n">
        <v>34.4</v>
      </c>
      <c r="W280" s="66" t="n">
        <v>33.8</v>
      </c>
      <c r="X280" s="66" t="n">
        <v>34.8</v>
      </c>
      <c r="Y280" s="66" t="n">
        <v>33.4</v>
      </c>
      <c r="Z280" s="66" t="n">
        <v>31.4</v>
      </c>
      <c r="AA280" s="66" t="n">
        <v>33.6</v>
      </c>
      <c r="AB280" s="66" t="n">
        <v>34.6</v>
      </c>
      <c r="AC280" s="66" t="n">
        <v>34.2</v>
      </c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7">
        <f>COUNTIF(K280:AO280,"&gt;0")</f>
        <v/>
      </c>
      <c r="AQ280" s="68">
        <f>IF(AP280&gt;14,AVERAGE(K280:AO280),"")</f>
        <v/>
      </c>
      <c r="AR280" s="68">
        <f>IFERROR(VLOOKUP(A280,Climatologia_TMAX!A:U,9+$E$2,FALSE),"")</f>
        <v/>
      </c>
      <c r="AS280" s="68">
        <f>IF(OR(AQ280="",AR280=""),"",IFERROR(AQ280-AR280,""))</f>
        <v/>
      </c>
      <c r="AT280" s="74">
        <f>IF(COUNT(K280:AO280)=0,"",MAX(K280:AO280))</f>
        <v/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>
        <f>IF(OR(AT280="",AU280=""),"NA",IFERROR(AT280-AU280,"NA"))</f>
        <v/>
      </c>
    </row>
    <row r="281" ht="14.25" customHeight="1">
      <c r="A281" s="64" t="n">
        <v>21195190</v>
      </c>
      <c r="B281" s="70" t="inlineStr">
        <is>
          <t>Pasca</t>
        </is>
      </c>
      <c r="C281" s="70" t="inlineStr">
        <is>
          <t>Area Operativa 11 - Cundinamarca-Amazonas</t>
        </is>
      </c>
      <c r="D281" s="101" t="n">
        <v>-74.30839899999999</v>
      </c>
      <c r="E281" s="101" t="n">
        <v>4.307189</v>
      </c>
      <c r="F281" s="64" t="n">
        <v>2187</v>
      </c>
      <c r="G281" s="62" t="n">
        <v>25</v>
      </c>
      <c r="H281" s="62" t="n">
        <v>25535</v>
      </c>
      <c r="I281" s="72" t="inlineStr">
        <is>
          <t>Cundinamarca</t>
        </is>
      </c>
      <c r="J281" s="72" t="inlineStr">
        <is>
          <t>Pasca</t>
        </is>
      </c>
      <c r="K281" s="66" t="n">
        <v>20</v>
      </c>
      <c r="L281" s="66" t="n">
        <v>21.4</v>
      </c>
      <c r="M281" s="66" t="n">
        <v>21.2</v>
      </c>
      <c r="N281" s="66" t="n">
        <v>21</v>
      </c>
      <c r="O281" s="66" t="n">
        <v>24.8</v>
      </c>
      <c r="P281" s="66" t="n">
        <v>21.4</v>
      </c>
      <c r="Q281" s="66" t="n">
        <v>21</v>
      </c>
      <c r="R281" s="66" t="n">
        <v>22</v>
      </c>
      <c r="S281" s="66" t="n">
        <v>22.6</v>
      </c>
      <c r="T281" s="66" t="n">
        <v>22.4</v>
      </c>
      <c r="U281" s="66" t="n">
        <v>21.8</v>
      </c>
      <c r="V281" s="66" t="n">
        <v>22</v>
      </c>
      <c r="W281" s="66" t="n">
        <v>22.2</v>
      </c>
      <c r="X281" s="66" t="n">
        <v>23</v>
      </c>
      <c r="Y281" s="66" t="n">
        <v>21.6</v>
      </c>
      <c r="Z281" s="66" t="n">
        <v>21.8</v>
      </c>
      <c r="AA281" s="66" t="n">
        <v>23</v>
      </c>
      <c r="AB281" s="66" t="n">
        <v>23.2</v>
      </c>
      <c r="AC281" s="66" t="n">
        <v>23</v>
      </c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7">
        <f>COUNTIF(K281:AO281,"&gt;0")</f>
        <v/>
      </c>
      <c r="AQ281" s="68">
        <f>IF(AP281&gt;14,AVERAGE(K281:AO281),"")</f>
        <v/>
      </c>
      <c r="AR281" s="68">
        <f>IFERROR(VLOOKUP(A281,Climatologia_TMAX!A:U,9+$E$2,FALSE),"")</f>
        <v/>
      </c>
      <c r="AS281" s="68">
        <f>IF(OR(AQ281="",AR281=""),"",IFERROR(AQ281-AR281,""))</f>
        <v/>
      </c>
      <c r="AT281" s="74">
        <f>IF(COUNT(K281:AO281)=0,"",MAX(K281:AO281))</f>
        <v/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>
        <f>IF(OR(AT281="",AU281=""),"NA",IFERROR(AT281-AU281,"NA"))</f>
        <v/>
      </c>
    </row>
    <row r="282" ht="14.25" customHeight="1">
      <c r="A282" s="64" t="n">
        <v>21205740</v>
      </c>
      <c r="B282" s="70" t="inlineStr">
        <is>
          <t>Silos</t>
        </is>
      </c>
      <c r="C282" s="70" t="inlineStr">
        <is>
          <t>Area Operativa 11 - Cundinamarca-Amazonas</t>
        </is>
      </c>
      <c r="D282" s="101" t="n">
        <v>-73.70141667</v>
      </c>
      <c r="E282" s="101" t="n">
        <v>5.117722222</v>
      </c>
      <c r="F282" s="64" t="n">
        <v>2709</v>
      </c>
      <c r="G282" s="62" t="n">
        <v>25</v>
      </c>
      <c r="H282" s="62" t="n">
        <v>25183</v>
      </c>
      <c r="I282" s="72" t="inlineStr">
        <is>
          <t>Cundinamarca</t>
        </is>
      </c>
      <c r="J282" s="72" t="inlineStr">
        <is>
          <t>Chocontá</t>
        </is>
      </c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110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7">
        <f>COUNTIF(K282:AO282,"&gt;0")</f>
        <v/>
      </c>
      <c r="AQ282" s="68">
        <f>IF(AP282&gt;14,AVERAGE(K282:AO282),"")</f>
        <v/>
      </c>
      <c r="AR282" s="68">
        <f>IFERROR(VLOOKUP(A282,Climatologia_TMAX!A:U,9+$E$2,FALSE),"")</f>
        <v/>
      </c>
      <c r="AS282" s="68">
        <f>IF(OR(AQ282="",AR282=""),"",IFERROR(AQ282-AR282,""))</f>
        <v/>
      </c>
      <c r="AT282" s="74">
        <f>IF(COUNT(K282:AO282)=0,"",MAX(K282:AO282))</f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/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2" s="69">
        <f>IF(OR(AT282="",AU282=""),"NA",IFERROR(AT282-AU282,"NA"))</f>
        <v/>
      </c>
    </row>
    <row r="283" ht="14.25" customHeight="1">
      <c r="A283" s="64" t="n">
        <v>21205920</v>
      </c>
      <c r="B283" s="70" t="inlineStr">
        <is>
          <t>Suasuque</t>
        </is>
      </c>
      <c r="C283" s="70" t="inlineStr">
        <is>
          <t>Area Operativa 11 - Cundinamarca-Amazonas</t>
        </is>
      </c>
      <c r="D283" s="101" t="n">
        <v>-73.96388889000001</v>
      </c>
      <c r="E283" s="101" t="n">
        <v>4.820833333</v>
      </c>
      <c r="F283" s="64" t="n">
        <v>2650</v>
      </c>
      <c r="G283" s="62" t="n">
        <v>25</v>
      </c>
      <c r="H283" s="62" t="n">
        <v>25758</v>
      </c>
      <c r="I283" s="72" t="inlineStr">
        <is>
          <t>Cundinamarca</t>
        </is>
      </c>
      <c r="J283" s="72" t="inlineStr">
        <is>
          <t>Sopó</t>
        </is>
      </c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7">
        <f>COUNTIF(K283:AO283,"&gt;0")</f>
        <v/>
      </c>
      <c r="AQ283" s="68">
        <f>IF(AP283&gt;14,AVERAGE(K283:AO283),"")</f>
        <v/>
      </c>
      <c r="AR283" s="68">
        <f>IFERROR(VLOOKUP(A283,Climatologia_TMAX!A:U,9+$E$2,FALSE),"")</f>
        <v/>
      </c>
      <c r="AS283" s="68">
        <f>IF(OR(AQ283="",AR283=""),"",IFERROR(AQ283-AR283,""))</f>
        <v/>
      </c>
      <c r="AT283" s="74">
        <f>IF(COUNT(K283:AO283)=0,"",MAX(K283:AO283))</f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/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3" s="69">
        <f>IF(OR(AT283="",AU283=""),"NA",IFERROR(AT283-AU283,"NA"))</f>
        <v/>
      </c>
    </row>
    <row r="284" ht="14.25" customHeight="1">
      <c r="A284" s="64" t="n">
        <v>21205960</v>
      </c>
      <c r="B284" s="70" t="inlineStr">
        <is>
          <t>Tachi</t>
        </is>
      </c>
      <c r="C284" s="70" t="inlineStr">
        <is>
          <t>Area Operativa 11 - Cundinamarca-Amazonas</t>
        </is>
      </c>
      <c r="D284" s="101" t="n">
        <v>-74.15258333</v>
      </c>
      <c r="E284" s="101" t="n">
        <v>4.939055556</v>
      </c>
      <c r="F284" s="64" t="n">
        <v>2650</v>
      </c>
      <c r="G284" s="62" t="n">
        <v>25</v>
      </c>
      <c r="H284" s="62" t="n">
        <v>25769</v>
      </c>
      <c r="I284" s="72" t="inlineStr">
        <is>
          <t>Cundinamarca</t>
        </is>
      </c>
      <c r="J284" s="72" t="inlineStr">
        <is>
          <t>Subachoque</t>
        </is>
      </c>
      <c r="K284" s="66" t="n">
        <v>20.2</v>
      </c>
      <c r="L284" s="66" t="n">
        <v>18.8</v>
      </c>
      <c r="M284" s="66" t="n">
        <v>19.6</v>
      </c>
      <c r="N284" s="66" t="n">
        <v>18.6</v>
      </c>
      <c r="O284" s="66" t="n">
        <v>19.2</v>
      </c>
      <c r="P284" s="66" t="n">
        <v>19.8</v>
      </c>
      <c r="Q284" s="66" t="n">
        <v>19.4</v>
      </c>
      <c r="R284" s="66" t="n">
        <v>20.2</v>
      </c>
      <c r="S284" s="66" t="n">
        <v>19.8</v>
      </c>
      <c r="T284" s="66" t="n">
        <v>20.4</v>
      </c>
      <c r="U284" s="66" t="n">
        <v>19.4</v>
      </c>
      <c r="V284" s="66" t="n">
        <v>21.2</v>
      </c>
      <c r="W284" s="66" t="n">
        <v>17.8</v>
      </c>
      <c r="X284" s="66" t="n">
        <v>20.8</v>
      </c>
      <c r="Y284" s="66" t="n">
        <v>18.8</v>
      </c>
      <c r="Z284" s="66" t="n">
        <v>18.6</v>
      </c>
      <c r="AA284" s="66" t="n">
        <v>18.4</v>
      </c>
      <c r="AB284" s="66" t="n">
        <v>19.6</v>
      </c>
      <c r="AC284" s="66" t="n">
        <v/>
      </c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7">
        <f>COUNTIF(K284:AO284,"&gt;0")</f>
        <v/>
      </c>
      <c r="AQ284" s="68">
        <f>IF(AP284&gt;14,AVERAGE(K284:AO284),"")</f>
        <v/>
      </c>
      <c r="AR284" s="68">
        <f>IFERROR(VLOOKUP(A284,Climatologia_TMAX!A:U,9+$E$2,FALSE),"")</f>
        <v/>
      </c>
      <c r="AS284" s="68">
        <f>IF(OR(AQ284="",AR284=""),"",IFERROR(AQ284-AR284,""))</f>
        <v/>
      </c>
      <c r="AT284" s="74">
        <f>IF(COUNT(K284:AO284)=0,"",MAX(K284:AO284))</f>
        <v/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/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4" s="69">
        <f>IF(OR(AT284="",AU284=""),"NA",IFERROR(AT284-AU284,"NA"))</f>
        <v/>
      </c>
    </row>
    <row r="285" ht="14.25" customHeight="1">
      <c r="A285" s="64" t="n">
        <v>21205420</v>
      </c>
      <c r="B285" s="70" t="inlineStr">
        <is>
          <t>Tibaitata</t>
        </is>
      </c>
      <c r="C285" s="70" t="inlineStr">
        <is>
          <t>Area Operativa 11 - Cundinamarca-Amazonas</t>
        </is>
      </c>
      <c r="D285" s="101" t="n">
        <v>-74.205626</v>
      </c>
      <c r="E285" s="101" t="n">
        <v>4.688662</v>
      </c>
      <c r="F285" s="64" t="n">
        <v>2543</v>
      </c>
      <c r="G285" s="62" t="n">
        <v>25</v>
      </c>
      <c r="H285" s="62" t="n">
        <v>25473</v>
      </c>
      <c r="I285" s="72" t="inlineStr">
        <is>
          <t>Cundinamarca</t>
        </is>
      </c>
      <c r="J285" s="72" t="inlineStr">
        <is>
          <t>Mosquera</t>
        </is>
      </c>
      <c r="K285" s="66" t="n">
        <v>20.2</v>
      </c>
      <c r="L285" s="66" t="n">
        <v>20</v>
      </c>
      <c r="M285" s="66" t="n">
        <v>20.2</v>
      </c>
      <c r="N285" s="66" t="n">
        <v>20.2</v>
      </c>
      <c r="O285" s="66" t="n">
        <v>21.6</v>
      </c>
      <c r="P285" s="66" t="n">
        <v>22</v>
      </c>
      <c r="Q285" s="66" t="n">
        <v>18.8</v>
      </c>
      <c r="R285" s="66" t="n">
        <v>20.6</v>
      </c>
      <c r="S285" s="66" t="n">
        <v>22.8</v>
      </c>
      <c r="T285" s="66" t="n">
        <v>22</v>
      </c>
      <c r="U285" s="109" t="n">
        <v>21</v>
      </c>
      <c r="V285" s="66" t="n">
        <v>21.8</v>
      </c>
      <c r="W285" s="66" t="n">
        <v>21.2</v>
      </c>
      <c r="X285" s="66" t="n">
        <v>21.8</v>
      </c>
      <c r="Y285" s="66" t="n">
        <v>20</v>
      </c>
      <c r="Z285" s="66" t="n">
        <v>22</v>
      </c>
      <c r="AA285" s="66" t="n">
        <v>22</v>
      </c>
      <c r="AB285" s="66" t="n">
        <v>22.4</v>
      </c>
      <c r="AC285" s="66" t="n">
        <v>20.4</v>
      </c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7">
        <f>COUNTIF(K285:AO285,"&gt;0")</f>
        <v/>
      </c>
      <c r="AQ285" s="68">
        <f>IF(AP285&gt;14,AVERAGE(K285:AO285),"")</f>
        <v/>
      </c>
      <c r="AR285" s="68">
        <f>IFERROR(VLOOKUP(A285,Climatologia_TMAX!A:U,9+$E$2,FALSE),"")</f>
        <v/>
      </c>
      <c r="AS285" s="68">
        <f>IF(OR(AQ285="",AR285=""),"",IFERROR(AQ285-AR285,""))</f>
        <v/>
      </c>
      <c r="AT285" s="74">
        <f>IF(COUNT(K285:AO285)=0,"",MAX(K285:AO285))</f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/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5" s="69">
        <f>IF(OR(AT285="",AU285=""),"NA",IFERROR(AT285-AU285,"NA"))</f>
        <v/>
      </c>
    </row>
    <row r="286" ht="14.25" customHeight="1">
      <c r="A286" s="64" t="n">
        <v>44055010</v>
      </c>
      <c r="B286" s="70" t="inlineStr">
        <is>
          <t>Tres Esquinas</t>
        </is>
      </c>
      <c r="C286" s="70" t="inlineStr">
        <is>
          <t>Area Operativa 11 - Cundinamarca-Amazonas</t>
        </is>
      </c>
      <c r="D286" s="101" t="n">
        <v>-75.23611111</v>
      </c>
      <c r="E286" s="101" t="n">
        <v>0.7375</v>
      </c>
      <c r="F286" s="64" t="n">
        <v>219</v>
      </c>
      <c r="G286" s="62" t="n">
        <v>18</v>
      </c>
      <c r="H286" s="62" t="n">
        <v>18756</v>
      </c>
      <c r="I286" s="72" t="inlineStr">
        <is>
          <t>Caquetá</t>
        </is>
      </c>
      <c r="J286" s="72" t="inlineStr">
        <is>
          <t>Solano</t>
        </is>
      </c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7">
        <f>COUNTIF(K286:AO286,"&gt;0")</f>
        <v/>
      </c>
      <c r="AQ286" s="68">
        <f>IF(AP286&gt;14,AVERAGE(K286:AO286),"")</f>
        <v/>
      </c>
      <c r="AR286" s="68">
        <f>IFERROR(VLOOKUP(A286,Climatologia_TMAX!A:U,9+$E$2,FALSE),"")</f>
        <v/>
      </c>
      <c r="AS286" s="68">
        <f>IF(OR(AQ286="",AR286=""),"",IFERROR(AQ286-AR286,""))</f>
        <v/>
      </c>
      <c r="AT286" s="74">
        <f>IF(COUNT(K286:AO286)=0,"",MAX(K286:AO286))</f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/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6" s="69">
        <f>IF(OR(AT286="",AU286=""),"NA",IFERROR(AT286-AU286,"NA"))</f>
        <v/>
      </c>
    </row>
    <row r="287" ht="14.25" customHeight="1">
      <c r="A287" s="64" t="n">
        <v>21205940</v>
      </c>
      <c r="B287" s="70" t="inlineStr">
        <is>
          <t>Villa Ines</t>
        </is>
      </c>
      <c r="C287" s="70" t="inlineStr">
        <is>
          <t>Area Operativa 11 - Cundinamarca-Amazonas</t>
        </is>
      </c>
      <c r="D287" s="101" t="n">
        <v>-74.38056</v>
      </c>
      <c r="E287" s="101" t="n">
        <v>4.83211</v>
      </c>
      <c r="F287" s="64" t="n">
        <v>2590</v>
      </c>
      <c r="G287" s="62" t="n">
        <v>25</v>
      </c>
      <c r="H287" s="62" t="n">
        <v>25269</v>
      </c>
      <c r="I287" s="72" t="inlineStr">
        <is>
          <t>Cundinamarca</t>
        </is>
      </c>
      <c r="J287" s="72" t="inlineStr">
        <is>
          <t>Facatativá</t>
        </is>
      </c>
      <c r="K287" s="66" t="n">
        <v>18.6</v>
      </c>
      <c r="L287" s="66" t="n">
        <v>19</v>
      </c>
      <c r="M287" s="66" t="n">
        <v>19</v>
      </c>
      <c r="N287" s="66" t="n">
        <v>19</v>
      </c>
      <c r="O287" s="66" t="n">
        <v>19.8</v>
      </c>
      <c r="P287" s="66" t="n">
        <v>18.4</v>
      </c>
      <c r="Q287" s="66" t="n">
        <v>17</v>
      </c>
      <c r="R287" s="66" t="n">
        <v>19.8</v>
      </c>
      <c r="S287" s="66" t="n">
        <v>20</v>
      </c>
      <c r="T287" s="66" t="n">
        <v>19.8</v>
      </c>
      <c r="U287" s="66" t="n">
        <v>19.8</v>
      </c>
      <c r="V287" s="66" t="n">
        <v>20</v>
      </c>
      <c r="W287" s="66" t="n">
        <v>19.6</v>
      </c>
      <c r="X287" s="66" t="n">
        <v>20</v>
      </c>
      <c r="Y287" s="66" t="n">
        <v>19</v>
      </c>
      <c r="Z287" s="66" t="n">
        <v>20.2</v>
      </c>
      <c r="AA287" s="66" t="n">
        <v>19.6</v>
      </c>
      <c r="AB287" s="66" t="n">
        <v>19.2</v>
      </c>
      <c r="AC287" s="66" t="n">
        <v>19.2</v>
      </c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7">
        <f>COUNTIF(K287:AO287,"&gt;0")</f>
        <v/>
      </c>
      <c r="AQ287" s="68">
        <f>IF(AP287&gt;14,AVERAGE(K287:AO287),"")</f>
        <v/>
      </c>
      <c r="AR287" s="68">
        <f>IFERROR(VLOOKUP(A287,Climatologia_TMAX!A:U,9+$E$2,FALSE),"")</f>
        <v/>
      </c>
      <c r="AS287" s="68">
        <f>IF(OR(AQ287="",AR287=""),"",IFERROR(AQ287-AR287,""))</f>
        <v/>
      </c>
      <c r="AT287" s="74">
        <f>IF(COUNT(K287:AO287)=0,"",MAX(K287:AO287))</f>
        <v/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>
        <f>IF(OR(AT287="",AU287=""),"NA",IFERROR(AT287-AU287,"NA"))</f>
        <v/>
      </c>
    </row>
    <row r="288" ht="14.25" customHeight="1">
      <c r="A288" s="64" t="n">
        <v>23065110</v>
      </c>
      <c r="B288" s="70" t="inlineStr">
        <is>
          <t>Yacopi</t>
        </is>
      </c>
      <c r="C288" s="70" t="inlineStr">
        <is>
          <t>Area Operativa 11 - Cundinamarca-Amazonas</t>
        </is>
      </c>
      <c r="D288" s="101" t="n">
        <v>-74.35124999999999</v>
      </c>
      <c r="E288" s="101" t="n">
        <v>5.48121</v>
      </c>
      <c r="F288" s="64" t="n">
        <v>1347</v>
      </c>
      <c r="G288" s="62" t="n">
        <v>25</v>
      </c>
      <c r="H288" s="62" t="n">
        <v>25885</v>
      </c>
      <c r="I288" s="72" t="inlineStr">
        <is>
          <t>Cundinamarca</t>
        </is>
      </c>
      <c r="J288" s="72" t="inlineStr">
        <is>
          <t>Yacopí</t>
        </is>
      </c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7">
        <f>COUNTIF(K288:AO288,"&gt;0")</f>
        <v/>
      </c>
      <c r="AQ288" s="68">
        <f>IF(AP288&gt;14,AVERAGE(K288:AO288),"")</f>
        <v/>
      </c>
      <c r="AR288" s="68">
        <f>IFERROR(VLOOKUP(A288,Climatologia_TMAX!A:U,9+$E$2,FALSE),"")</f>
        <v/>
      </c>
      <c r="AS288" s="68">
        <f>IF(OR(AQ288="",AR288=""),"",IFERROR(AQ288-AR288,""))</f>
        <v/>
      </c>
      <c r="AT288" s="74">
        <f>IF(COUNT(K288:AO288)=0,"",MAX(K288:AO288))</f>
        <v/>
      </c>
      <c r="AU288" s="74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>
        <f>IF(OR(AT288="",AU288=""),"NA",IFERROR(AT288-AU288,"NA"))</f>
        <v/>
      </c>
    </row>
    <row r="289"/>
    <row r="290">
      <c r="P290" s="55" t="n"/>
    </row>
    <row r="291">
      <c r="P291" s="55" t="n"/>
    </row>
    <row r="292">
      <c r="P292" s="55" t="n"/>
    </row>
    <row r="293">
      <c r="P293" s="55" t="n"/>
    </row>
    <row r="294">
      <c r="P294" s="55" t="n"/>
    </row>
    <row r="295">
      <c r="P295" s="55" t="n"/>
    </row>
    <row r="296">
      <c r="P296" s="55" t="n"/>
    </row>
    <row r="297">
      <c r="P297" s="55" t="n"/>
    </row>
    <row r="298">
      <c r="P298" s="55" t="n"/>
    </row>
    <row r="299">
      <c r="P299" s="55" t="n"/>
    </row>
    <row r="300">
      <c r="P300" s="55" t="n"/>
    </row>
    <row r="301">
      <c r="P301" s="55" t="n"/>
    </row>
    <row r="302">
      <c r="P302" s="55" t="n"/>
    </row>
    <row r="303">
      <c r="P303" s="55" t="n"/>
    </row>
    <row r="304">
      <c r="P304" s="55" t="n"/>
    </row>
    <row r="305">
      <c r="P305" s="55" t="n"/>
    </row>
    <row r="306">
      <c r="P306" s="55" t="n"/>
    </row>
    <row r="307">
      <c r="P307" s="55" t="n"/>
    </row>
    <row r="308">
      <c r="P308" s="55" t="n"/>
    </row>
    <row r="309">
      <c r="P309" s="55" t="n"/>
    </row>
    <row r="310">
      <c r="P310" s="55" t="n"/>
    </row>
    <row r="311">
      <c r="P311" s="55" t="n"/>
    </row>
    <row r="312">
      <c r="P312" s="55" t="n"/>
    </row>
    <row r="313">
      <c r="P313" s="55" t="n"/>
    </row>
    <row r="314">
      <c r="P314" s="55" t="n"/>
    </row>
    <row r="315">
      <c r="P315" s="55" t="n"/>
    </row>
    <row r="316">
      <c r="P316" s="55" t="n"/>
    </row>
    <row r="317">
      <c r="P317" s="55" t="n"/>
    </row>
    <row r="318">
      <c r="P318" s="55" t="n"/>
    </row>
    <row r="319">
      <c r="P319" s="55" t="n"/>
    </row>
    <row r="320">
      <c r="P320" s="55" t="n"/>
    </row>
    <row r="321">
      <c r="P321" s="55" t="n"/>
    </row>
    <row r="322">
      <c r="P322" s="55" t="n"/>
    </row>
    <row r="323">
      <c r="P323" s="55" t="n"/>
    </row>
    <row r="324">
      <c r="P324" s="55" t="n"/>
    </row>
    <row r="325">
      <c r="P325" s="55" t="n"/>
    </row>
    <row r="326">
      <c r="P326" s="55" t="n"/>
    </row>
    <row r="327">
      <c r="P327" s="55" t="n"/>
    </row>
    <row r="328">
      <c r="P328" s="55" t="n"/>
    </row>
    <row r="329">
      <c r="P329" s="55" t="n"/>
    </row>
    <row r="330">
      <c r="P330" s="55" t="n"/>
    </row>
    <row r="331">
      <c r="P331" s="55" t="n"/>
    </row>
    <row r="332">
      <c r="P332" s="55" t="n"/>
    </row>
    <row r="333">
      <c r="P333" s="55" t="n"/>
    </row>
    <row r="334">
      <c r="P334" s="55" t="n"/>
    </row>
    <row r="335">
      <c r="P335" s="55" t="n"/>
    </row>
    <row r="336">
      <c r="P336" s="55" t="n"/>
    </row>
    <row r="337">
      <c r="P337" s="55" t="n"/>
    </row>
    <row r="338">
      <c r="P338" s="55" t="n"/>
    </row>
    <row r="339">
      <c r="P339" s="55" t="n"/>
    </row>
    <row r="340">
      <c r="P340" s="55" t="n"/>
    </row>
    <row r="341">
      <c r="P341" s="55" t="n"/>
    </row>
    <row r="342">
      <c r="P342" s="55" t="n"/>
    </row>
    <row r="343">
      <c r="P343" s="55" t="n"/>
    </row>
    <row r="344">
      <c r="P344" s="55" t="n"/>
    </row>
    <row r="345">
      <c r="P345" s="55" t="n"/>
    </row>
    <row r="346">
      <c r="P346" s="55" t="n"/>
    </row>
    <row r="347">
      <c r="P347" s="55" t="n"/>
    </row>
    <row r="348">
      <c r="P348" s="55" t="n"/>
    </row>
    <row r="349">
      <c r="P349" s="55" t="n"/>
    </row>
    <row r="350">
      <c r="P350" s="55" t="n"/>
    </row>
    <row r="351">
      <c r="P351" s="55" t="n"/>
    </row>
    <row r="352">
      <c r="P352" s="55" t="n"/>
    </row>
    <row r="353">
      <c r="P353" s="55" t="n"/>
    </row>
    <row r="354">
      <c r="P354" s="55" t="n"/>
    </row>
    <row r="355">
      <c r="P355" s="55" t="n"/>
    </row>
    <row r="356">
      <c r="P356" s="55" t="n"/>
    </row>
    <row r="357">
      <c r="P357" s="55" t="n"/>
    </row>
    <row r="358">
      <c r="P358" s="55" t="n"/>
    </row>
    <row r="359">
      <c r="P359" s="55" t="n"/>
    </row>
    <row r="360">
      <c r="P360" s="55" t="n"/>
    </row>
    <row r="361">
      <c r="P361" s="55" t="n"/>
    </row>
    <row r="362">
      <c r="P362" s="55" t="n"/>
    </row>
    <row r="363">
      <c r="P363" s="55" t="n"/>
    </row>
    <row r="364">
      <c r="P364" s="55" t="n"/>
    </row>
    <row r="365">
      <c r="P365" s="55" t="n"/>
    </row>
    <row r="366">
      <c r="P366" s="55" t="n"/>
    </row>
    <row r="367">
      <c r="P367" s="55" t="n"/>
    </row>
    <row r="368">
      <c r="P368" s="55" t="n"/>
    </row>
    <row r="369">
      <c r="P369" s="55" t="n"/>
    </row>
    <row r="370">
      <c r="P370" s="55" t="n"/>
    </row>
    <row r="371">
      <c r="P371" s="55" t="n"/>
    </row>
    <row r="372">
      <c r="P372" s="55" t="n"/>
    </row>
    <row r="373">
      <c r="P373" s="55" t="n"/>
    </row>
    <row r="374">
      <c r="P374" s="55" t="n"/>
    </row>
    <row r="375">
      <c r="P375" s="55" t="n"/>
    </row>
    <row r="376">
      <c r="P376" s="55" t="n"/>
    </row>
    <row r="377">
      <c r="P377" s="55" t="n"/>
    </row>
    <row r="378">
      <c r="P378" s="55" t="n"/>
    </row>
    <row r="379">
      <c r="P379" s="55" t="n"/>
    </row>
    <row r="380">
      <c r="P380" s="55" t="n"/>
    </row>
    <row r="381">
      <c r="P381" s="55" t="n"/>
    </row>
    <row r="382">
      <c r="P382" s="55" t="n"/>
    </row>
    <row r="383">
      <c r="P383" s="55" t="n"/>
    </row>
    <row r="384">
      <c r="P384" s="55" t="n"/>
    </row>
    <row r="385">
      <c r="P385" s="55" t="n"/>
    </row>
    <row r="386">
      <c r="P386" s="55" t="n"/>
    </row>
    <row r="387">
      <c r="P387" s="55" t="n"/>
    </row>
    <row r="388">
      <c r="P388" s="55" t="n"/>
    </row>
    <row r="389">
      <c r="P389" s="55" t="n"/>
    </row>
    <row r="390">
      <c r="P390" s="55" t="n"/>
    </row>
    <row r="391">
      <c r="P391" s="55" t="n"/>
    </row>
    <row r="392">
      <c r="P392" s="55" t="n"/>
    </row>
    <row r="393">
      <c r="P393" s="55" t="n"/>
    </row>
    <row r="394">
      <c r="P394" s="55" t="n"/>
    </row>
    <row r="395">
      <c r="P395" s="55" t="n"/>
    </row>
    <row r="396">
      <c r="P396" s="55" t="n"/>
    </row>
    <row r="397">
      <c r="P397" s="55" t="n"/>
    </row>
    <row r="398">
      <c r="P398" s="55" t="n"/>
    </row>
    <row r="399">
      <c r="P399" s="55" t="n"/>
    </row>
    <row r="400">
      <c r="P400" s="55" t="n"/>
    </row>
    <row r="401">
      <c r="P401" s="55" t="n"/>
    </row>
    <row r="402">
      <c r="P402" s="55" t="n"/>
    </row>
    <row r="403">
      <c r="P403" s="55" t="n"/>
    </row>
    <row r="404">
      <c r="P404" s="55" t="n"/>
    </row>
    <row r="405">
      <c r="P405" s="55" t="n"/>
    </row>
    <row r="406">
      <c r="P406" s="55" t="n"/>
    </row>
    <row r="407">
      <c r="P407" s="55" t="n"/>
    </row>
    <row r="408">
      <c r="P408" s="55" t="n"/>
    </row>
    <row r="409">
      <c r="P409" s="55" t="n"/>
    </row>
    <row r="410">
      <c r="P410" s="55" t="n"/>
    </row>
    <row r="411">
      <c r="P411" s="55" t="n"/>
    </row>
    <row r="412">
      <c r="P412" s="55" t="n"/>
    </row>
    <row r="413">
      <c r="P413" s="55" t="n"/>
    </row>
    <row r="414">
      <c r="P414" s="55" t="n"/>
    </row>
    <row r="415">
      <c r="P415" s="55" t="n"/>
    </row>
    <row r="416">
      <c r="P416" s="55" t="n"/>
    </row>
    <row r="417">
      <c r="P417" s="55" t="n"/>
    </row>
    <row r="418">
      <c r="P418" s="55" t="n"/>
    </row>
    <row r="419">
      <c r="P419" s="55" t="n"/>
    </row>
    <row r="420">
      <c r="P420" s="55" t="n"/>
    </row>
    <row r="421">
      <c r="P421" s="55" t="n"/>
    </row>
    <row r="422">
      <c r="P422" s="55" t="n"/>
    </row>
    <row r="423">
      <c r="P423" s="55" t="n"/>
    </row>
    <row r="424">
      <c r="P424" s="55" t="n"/>
    </row>
    <row r="425">
      <c r="P425" s="55" t="n"/>
    </row>
    <row r="426">
      <c r="P426" s="55" t="n"/>
    </row>
    <row r="427">
      <c r="P427" s="55" t="n"/>
    </row>
    <row r="428">
      <c r="P428" s="55" t="n"/>
    </row>
    <row r="429">
      <c r="P429" s="55" t="n"/>
    </row>
    <row r="430">
      <c r="P430" s="55" t="n"/>
    </row>
    <row r="431">
      <c r="P431" s="55" t="n"/>
    </row>
    <row r="432">
      <c r="P432" s="55" t="n"/>
    </row>
    <row r="433">
      <c r="P433" s="55" t="n"/>
    </row>
    <row r="434">
      <c r="P434" s="55" t="n"/>
    </row>
    <row r="435">
      <c r="P435" s="55" t="n"/>
    </row>
    <row r="436">
      <c r="P436" s="55" t="n"/>
    </row>
    <row r="437">
      <c r="P437" s="55" t="n"/>
    </row>
    <row r="438">
      <c r="P438" s="55" t="n"/>
    </row>
    <row r="439">
      <c r="P439" s="55" t="n"/>
    </row>
    <row r="440">
      <c r="P440" s="55" t="n"/>
    </row>
    <row r="441">
      <c r="P441" s="55" t="n"/>
    </row>
    <row r="442">
      <c r="P442" s="55" t="n"/>
    </row>
    <row r="443">
      <c r="P443" s="55" t="n"/>
    </row>
    <row r="444">
      <c r="P444" s="55" t="n"/>
    </row>
    <row r="445">
      <c r="P445" s="55" t="n"/>
    </row>
    <row r="446">
      <c r="P446" s="55" t="n"/>
    </row>
    <row r="447">
      <c r="P447" s="55" t="n"/>
    </row>
    <row r="448">
      <c r="P448" s="55" t="n"/>
    </row>
    <row r="449">
      <c r="P449" s="55" t="n"/>
    </row>
    <row r="450">
      <c r="P450" s="55" t="n"/>
    </row>
    <row r="451">
      <c r="P451" s="55" t="n"/>
    </row>
    <row r="452">
      <c r="P452" s="55" t="n"/>
    </row>
    <row r="453">
      <c r="P453" s="55" t="n"/>
    </row>
    <row r="454">
      <c r="P454" s="55" t="n"/>
    </row>
    <row r="455">
      <c r="P455" s="55" t="n"/>
    </row>
    <row r="456">
      <c r="P456" s="55" t="n"/>
    </row>
    <row r="457">
      <c r="P457" s="55" t="n"/>
    </row>
    <row r="458">
      <c r="P458" s="55" t="n"/>
    </row>
    <row r="459">
      <c r="P459" s="55" t="n"/>
    </row>
    <row r="460">
      <c r="P460" s="55" t="n"/>
    </row>
    <row r="461">
      <c r="P461" s="55" t="n"/>
    </row>
    <row r="462">
      <c r="P462" s="55" t="n"/>
    </row>
    <row r="463">
      <c r="P463" s="55" t="n"/>
    </row>
    <row r="464">
      <c r="P464" s="55" t="n"/>
    </row>
    <row r="465">
      <c r="P465" s="55" t="n"/>
    </row>
    <row r="466">
      <c r="P466" s="55" t="n"/>
    </row>
    <row r="467">
      <c r="P467" s="55" t="n"/>
    </row>
    <row r="468">
      <c r="P468" s="55" t="n"/>
    </row>
    <row r="469">
      <c r="P469" s="55" t="n"/>
    </row>
    <row r="470">
      <c r="P470" s="55" t="n"/>
    </row>
    <row r="471">
      <c r="P471" s="55" t="n"/>
    </row>
    <row r="472">
      <c r="P472" s="55" t="n"/>
    </row>
  </sheetData>
  <autoFilter ref="AW1:AW472"/>
  <conditionalFormatting sqref="K5:AO288">
    <cfRule type="cellIs" priority="1" operator="equal" dxfId="15">
      <formula>""</formula>
    </cfRule>
    <cfRule type="cellIs" priority="2" operator="between" dxfId="14" stopIfTrue="1">
      <formula>40</formula>
      <formula>500</formula>
    </cfRule>
    <cfRule type="cellIs" priority="3" operator="between" dxfId="6" stopIfTrue="1">
      <formula>-9.9</formula>
      <formula>-500</formula>
    </cfRule>
  </conditionalFormatting>
  <conditionalFormatting sqref="U3:U4 W4 Y4 AA4 AC4">
    <cfRule type="cellIs" priority="9" operator="equal" dxfId="12" stopIfTrue="1">
      <formula>1</formula>
    </cfRule>
  </conditionalFormatting>
  <conditionalFormatting sqref="AP5:AP288">
    <cfRule type="cellIs" priority="6" operator="lessThan" dxfId="11">
      <formula>14</formula>
    </cfRule>
  </conditionalFormatting>
  <conditionalFormatting sqref="AR1">
    <cfRule type="cellIs" priority="12" operator="between" dxfId="3" stopIfTrue="1">
      <formula>0.1</formula>
      <formula>10</formula>
    </cfRule>
    <cfRule type="cellIs" priority="13" operator="greaterThan" dxfId="9" stopIfTrue="1">
      <formula>"0.1"</formula>
    </cfRule>
  </conditionalFormatting>
  <conditionalFormatting sqref="AT5:AT288">
    <cfRule type="cellIs" priority="14" operator="equal" dxfId="3" stopIfTrue="1">
      <formula>"40.0"</formula>
    </cfRule>
    <cfRule type="cellIs" priority="15" operator="between" dxfId="6" stopIfTrue="1">
      <formula>-8.1</formula>
      <formula>-10</formula>
    </cfRule>
    <cfRule type="cellIs" priority="16" operator="between" dxfId="6" stopIfTrue="1">
      <formula>-9.9</formula>
      <formula>-10</formula>
    </cfRule>
    <cfRule type="cellIs" priority="17" operator="between" dxfId="3" stopIfTrue="1">
      <formula>-9.9</formula>
      <formula>-10</formula>
    </cfRule>
    <cfRule type="cellIs" priority="18" operator="between" dxfId="3" stopIfTrue="1">
      <formula>0</formula>
      <formula>-8</formula>
    </cfRule>
    <cfRule type="cellIs" priority="19" operator="lessThan" dxfId="3" stopIfTrue="1">
      <formula>-8</formula>
    </cfRule>
  </conditionalFormatting>
  <conditionalFormatting sqref="AW5:AW288">
    <cfRule type="cellIs" priority="4" operator="equal" dxfId="2" stopIfTrue="1">
      <formula>"NA"</formula>
    </cfRule>
    <cfRule type="cellIs" priority="10" operator="lessThan" dxfId="1" stopIfTrue="1">
      <formula>0</formula>
    </cfRule>
    <cfRule type="cellIs" priority="11" operator="greaterThan" dxfId="0" stopIfTrue="1">
      <formula>0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345"/>
  <sheetViews>
    <sheetView topLeftCell="A23" workbookViewId="0">
      <selection activeCell="A43" sqref="A43:XFD43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115" t="inlineStr">
        <is>
          <t>INFORMACIÓN GENERAL ESTACIONES</t>
        </is>
      </c>
      <c r="B1" s="116" t="n"/>
      <c r="C1" s="116" t="n"/>
      <c r="D1" s="116" t="n"/>
      <c r="E1" s="116" t="n"/>
      <c r="F1" s="116" t="n"/>
      <c r="G1" s="116" t="n"/>
      <c r="H1" s="116" t="n"/>
      <c r="I1" s="117" t="n"/>
      <c r="J1" s="118" t="inlineStr">
        <is>
          <t>NORMAL CLIMATOLÓGICA ESTÁNDAR DE LA TEMPERATURA MÁXIMA PARA EL PERIODO 1991-2020 (°C)</t>
        </is>
      </c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7" t="n"/>
      <c r="W1" s="119" t="inlineStr">
        <is>
          <t>Cumplen la directriz No 1203 del 2017 de la OMM</t>
        </is>
      </c>
      <c r="X1" s="117" t="n"/>
    </row>
    <row r="2" ht="24.6" customHeight="1" thickBot="1">
      <c r="A2" s="2" t="inlineStr">
        <is>
          <t>CÓDIGO</t>
        </is>
      </c>
      <c r="B2" s="3" t="inlineStr">
        <is>
          <t>CATEGORÍA</t>
        </is>
      </c>
      <c r="C2" s="3" t="inlineStr">
        <is>
          <t>NOMBRE</t>
        </is>
      </c>
      <c r="D2" s="3" t="inlineStr">
        <is>
          <t>MUNICIPIO</t>
        </is>
      </c>
      <c r="E2" s="3" t="inlineStr">
        <is>
          <t>DEPARTAMENTO</t>
        </is>
      </c>
      <c r="F2" s="4" t="inlineStr">
        <is>
          <t>AO</t>
        </is>
      </c>
      <c r="G2" s="3" t="inlineStr">
        <is>
          <t>ELEVACIÓN (m)</t>
        </is>
      </c>
      <c r="H2" s="5" t="inlineStr">
        <is>
          <t>LONGITUD</t>
        </is>
      </c>
      <c r="I2" s="6" t="inlineStr">
        <is>
          <t>LATITUD</t>
        </is>
      </c>
      <c r="J2" s="7" t="inlineStr">
        <is>
          <t>ENE</t>
        </is>
      </c>
      <c r="K2" s="3" t="inlineStr">
        <is>
          <t>FEB</t>
        </is>
      </c>
      <c r="L2" s="3" t="inlineStr">
        <is>
          <t>MAR</t>
        </is>
      </c>
      <c r="M2" s="3" t="inlineStr">
        <is>
          <t>ABR</t>
        </is>
      </c>
      <c r="N2" s="3" t="inlineStr">
        <is>
          <t>MAY</t>
        </is>
      </c>
      <c r="O2" s="3" t="inlineStr">
        <is>
          <t>JUN</t>
        </is>
      </c>
      <c r="P2" s="3" t="inlineStr">
        <is>
          <t>JUL</t>
        </is>
      </c>
      <c r="Q2" s="3" t="inlineStr">
        <is>
          <t>AGO</t>
        </is>
      </c>
      <c r="R2" s="3" t="inlineStr">
        <is>
          <t>SEP</t>
        </is>
      </c>
      <c r="S2" s="3" t="inlineStr">
        <is>
          <t>OCT</t>
        </is>
      </c>
      <c r="T2" s="3" t="inlineStr">
        <is>
          <t>NOV</t>
        </is>
      </c>
      <c r="U2" s="3" t="inlineStr">
        <is>
          <t>DIC</t>
        </is>
      </c>
      <c r="V2" s="8" t="inlineStr">
        <is>
          <t>ANUAL</t>
        </is>
      </c>
      <c r="W2" s="9" t="inlineStr">
        <is>
          <t>Número de meses</t>
        </is>
      </c>
      <c r="X2" s="10" t="inlineStr">
        <is>
          <t>% de cumplimiento</t>
        </is>
      </c>
    </row>
    <row r="3" ht="13.9" customHeight="1">
      <c r="A3" s="11" t="n">
        <v>48015050</v>
      </c>
      <c r="B3" s="12" t="inlineStr">
        <is>
          <t>SP</t>
        </is>
      </c>
      <c r="C3" s="12" t="inlineStr">
        <is>
          <t>Aeropuerto Vásquez Cobo</t>
        </is>
      </c>
      <c r="D3" s="12" t="inlineStr">
        <is>
          <t>Leticia</t>
        </is>
      </c>
      <c r="E3" s="12" t="inlineStr">
        <is>
          <t>Amazonas</t>
        </is>
      </c>
      <c r="F3" s="12" t="n">
        <v>11</v>
      </c>
      <c r="G3" s="12" t="n">
        <v>84</v>
      </c>
      <c r="H3" s="13" t="n">
        <v>-69.94091666999999</v>
      </c>
      <c r="I3" s="14" t="n">
        <v>-4.19386111</v>
      </c>
      <c r="J3" s="15" t="n">
        <v>30.86252887295898</v>
      </c>
      <c r="K3" s="16" t="n">
        <v>30.89462385209512</v>
      </c>
      <c r="L3" s="16" t="n">
        <v>30.90477189256161</v>
      </c>
      <c r="M3" s="16" t="n">
        <v>30.71713920817369</v>
      </c>
      <c r="N3" s="16" t="n">
        <v>30.27711331679074</v>
      </c>
      <c r="O3" s="16" t="n">
        <v>29.88790008841733</v>
      </c>
      <c r="P3" s="16" t="n">
        <v>30.34253285543608</v>
      </c>
      <c r="Q3" s="16" t="n">
        <v>31.3900041356493</v>
      </c>
      <c r="R3" s="16" t="n">
        <v>31.98844385499557</v>
      </c>
      <c r="S3" s="16" t="n">
        <v>31.99218924731183</v>
      </c>
      <c r="T3" s="16" t="n">
        <v>31.76238568902362</v>
      </c>
      <c r="U3" s="16" t="n">
        <v>31.11272401433692</v>
      </c>
      <c r="V3" s="17">
        <f>AVERAGE(J3:U3)</f>
        <v/>
      </c>
      <c r="W3" s="18" t="n">
        <v>314</v>
      </c>
      <c r="X3" s="19" t="n">
        <v>0.8722222222222222</v>
      </c>
    </row>
    <row r="4" ht="13.9" customHeight="1">
      <c r="A4" s="11" t="n">
        <v>23085030</v>
      </c>
      <c r="B4" s="12" t="inlineStr">
        <is>
          <t>CO</t>
        </is>
      </c>
      <c r="C4" s="12" t="inlineStr">
        <is>
          <t>Alejandría</t>
        </is>
      </c>
      <c r="D4" s="12" t="inlineStr">
        <is>
          <t>Alejandría</t>
        </is>
      </c>
      <c r="E4" s="12" t="inlineStr">
        <is>
          <t>Antioquia</t>
        </is>
      </c>
      <c r="F4" s="12" t="n">
        <v>1</v>
      </c>
      <c r="G4" s="12" t="n">
        <v>1712</v>
      </c>
      <c r="H4" s="13" t="n">
        <v>-75.14338889</v>
      </c>
      <c r="I4" s="14" t="n">
        <v>6.37625</v>
      </c>
      <c r="J4" s="15" t="n">
        <v>24.50254972865473</v>
      </c>
      <c r="K4" s="16" t="n">
        <v>24.61037650512961</v>
      </c>
      <c r="L4" s="16" t="n">
        <v>24.59376468080348</v>
      </c>
      <c r="M4" s="16" t="n">
        <v>24.65803347355072</v>
      </c>
      <c r="N4" s="16" t="n">
        <v>24.91102009216591</v>
      </c>
      <c r="O4" s="16" t="n">
        <v>24.92364657290584</v>
      </c>
      <c r="P4" s="16" t="n">
        <v>25.09283673385123</v>
      </c>
      <c r="Q4" s="16" t="n">
        <v>25.29931745331762</v>
      </c>
      <c r="R4" s="16" t="n">
        <v>25.0148327836082</v>
      </c>
      <c r="S4" s="16" t="n">
        <v>24.45326922746811</v>
      </c>
      <c r="T4" s="16" t="n">
        <v>24.18922191631457</v>
      </c>
      <c r="U4" s="16" t="n">
        <v>24.25707067689449</v>
      </c>
      <c r="V4" s="17">
        <f>AVERAGE(J4:U4)</f>
        <v/>
      </c>
      <c r="W4" s="18" t="n">
        <v>305</v>
      </c>
      <c r="X4" s="19" t="n">
        <v>0.8472222222222222</v>
      </c>
    </row>
    <row r="5" ht="13.9" customHeight="1">
      <c r="A5" s="11" t="n">
        <v>26195020</v>
      </c>
      <c r="B5" s="12" t="inlineStr">
        <is>
          <t>PM</t>
        </is>
      </c>
      <c r="C5" s="12" t="inlineStr">
        <is>
          <t>Ita Andes</t>
        </is>
      </c>
      <c r="D5" s="12" t="inlineStr">
        <is>
          <t>Andes</t>
        </is>
      </c>
      <c r="E5" s="12" t="inlineStr">
        <is>
          <t>Antioquia</t>
        </is>
      </c>
      <c r="F5" s="12" t="n">
        <v>1</v>
      </c>
      <c r="G5" s="12" t="n">
        <v>1180</v>
      </c>
      <c r="H5" s="13" t="n">
        <v>-75.88022222000001</v>
      </c>
      <c r="I5" s="14" t="n">
        <v>5.691</v>
      </c>
      <c r="J5" s="15" t="n">
        <v>29.05636565161037</v>
      </c>
      <c r="K5" s="16" t="n">
        <v>29.58805284572813</v>
      </c>
      <c r="L5" s="16" t="n">
        <v>29.39201779755284</v>
      </c>
      <c r="M5" s="16" t="n">
        <v>28.72931146758733</v>
      </c>
      <c r="N5" s="16" t="n">
        <v>28.25245472177062</v>
      </c>
      <c r="O5" s="16" t="n">
        <v>28.24210444160635</v>
      </c>
      <c r="P5" s="16" t="n">
        <v>28.56794733939894</v>
      </c>
      <c r="Q5" s="16" t="n">
        <v>28.7634553948832</v>
      </c>
      <c r="R5" s="16" t="n">
        <v>28.49385360653007</v>
      </c>
      <c r="S5" s="16" t="n">
        <v>28.03509247311828</v>
      </c>
      <c r="T5" s="16" t="n">
        <v>27.79911814264825</v>
      </c>
      <c r="U5" s="16" t="n">
        <v>28.12298497788208</v>
      </c>
      <c r="V5" s="17">
        <f>AVERAGE(J5:U5)</f>
        <v/>
      </c>
      <c r="W5" s="18" t="n">
        <v>306</v>
      </c>
      <c r="X5" s="19" t="n">
        <v>0.85</v>
      </c>
    </row>
    <row r="6" ht="13.9" customHeight="1">
      <c r="A6" s="11" t="n">
        <v>27025030</v>
      </c>
      <c r="B6" s="12" t="inlineStr">
        <is>
          <t>CO</t>
        </is>
      </c>
      <c r="C6" s="12" t="inlineStr">
        <is>
          <t>Anorí</t>
        </is>
      </c>
      <c r="D6" s="12" t="inlineStr">
        <is>
          <t>Anorí</t>
        </is>
      </c>
      <c r="E6" s="12" t="inlineStr">
        <is>
          <t>Antioquia</t>
        </is>
      </c>
      <c r="F6" s="12" t="n">
        <v>1</v>
      </c>
      <c r="G6" s="12" t="n">
        <v>1601</v>
      </c>
      <c r="H6" s="13" t="n">
        <v>-75.15052777999999</v>
      </c>
      <c r="I6" s="14" t="n">
        <v>7.07191667</v>
      </c>
      <c r="J6" s="15" t="n">
        <v>22.91212177551777</v>
      </c>
      <c r="K6" s="16" t="n">
        <v>22.88895218446942</v>
      </c>
      <c r="L6" s="16" t="n">
        <v>23.1348327241909</v>
      </c>
      <c r="M6" s="16" t="n">
        <v>23.43174806687565</v>
      </c>
      <c r="N6" s="16" t="n">
        <v>24.06542457757296</v>
      </c>
      <c r="O6" s="16" t="n">
        <v>24.32501306330962</v>
      </c>
      <c r="P6" s="16" t="n">
        <v>24.64753675466414</v>
      </c>
      <c r="Q6" s="16" t="n">
        <v>24.56276929415083</v>
      </c>
      <c r="R6" s="16" t="n">
        <v>24.03822020380641</v>
      </c>
      <c r="S6" s="16" t="n">
        <v>23.3393673762837</v>
      </c>
      <c r="T6" s="16" t="n">
        <v>22.61224553001277</v>
      </c>
      <c r="U6" s="16" t="n">
        <v>22.87521437693851</v>
      </c>
      <c r="V6" s="17">
        <f>AVERAGE(J6:U6)</f>
        <v/>
      </c>
      <c r="W6" s="18" t="n">
        <v>115</v>
      </c>
      <c r="X6" s="19" t="n">
        <v>0.9583333333333334</v>
      </c>
    </row>
    <row r="7" ht="13.9" customHeight="1">
      <c r="A7" s="11" t="n">
        <v>12015020</v>
      </c>
      <c r="B7" s="12" t="inlineStr">
        <is>
          <t>AM</t>
        </is>
      </c>
      <c r="C7" s="12" t="inlineStr">
        <is>
          <t>Uniban</t>
        </is>
      </c>
      <c r="D7" s="12" t="inlineStr">
        <is>
          <t>Apartadó</t>
        </is>
      </c>
      <c r="E7" s="12" t="inlineStr">
        <is>
          <t>Antioquia</t>
        </is>
      </c>
      <c r="F7" s="12" t="n">
        <v>1</v>
      </c>
      <c r="G7" s="12" t="n">
        <v>43</v>
      </c>
      <c r="H7" s="13" t="n">
        <v>-76.65133333</v>
      </c>
      <c r="I7" s="14" t="n">
        <v>7.82591667</v>
      </c>
      <c r="J7" s="15" t="n">
        <v>31.22188031037246</v>
      </c>
      <c r="K7" s="16" t="n">
        <v>31.42422681271514</v>
      </c>
      <c r="L7" s="16" t="n">
        <v>31.60636247234411</v>
      </c>
      <c r="M7" s="16" t="n">
        <v>31.62689353530979</v>
      </c>
      <c r="N7" s="16" t="n">
        <v>31.71982501585672</v>
      </c>
      <c r="O7" s="16" t="n">
        <v>31.7214685593485</v>
      </c>
      <c r="P7" s="16" t="n">
        <v>31.60886672633503</v>
      </c>
      <c r="Q7" s="16" t="n">
        <v>31.77345687210618</v>
      </c>
      <c r="R7" s="16" t="n">
        <v>31.71882681551944</v>
      </c>
      <c r="S7" s="16" t="n">
        <v>31.54853288090581</v>
      </c>
      <c r="T7" s="16" t="n">
        <v>31.185084609303</v>
      </c>
      <c r="U7" s="16" t="n">
        <v>31.00127339290298</v>
      </c>
      <c r="V7" s="17">
        <f>AVERAGE(J7:U7)</f>
        <v/>
      </c>
      <c r="W7" s="18" t="n">
        <v>327</v>
      </c>
      <c r="X7" s="19" t="n">
        <v>0.9083333333333333</v>
      </c>
    </row>
    <row r="8" ht="13.9" customHeight="1">
      <c r="A8" s="11" t="n">
        <v>26225040</v>
      </c>
      <c r="B8" s="12" t="inlineStr">
        <is>
          <t>CO</t>
        </is>
      </c>
      <c r="C8" s="20" t="inlineStr">
        <is>
          <t>Hacienda Piunti</t>
        </is>
      </c>
      <c r="D8" s="12" t="inlineStr">
        <is>
          <t>Buriticá</t>
        </is>
      </c>
      <c r="E8" s="12" t="inlineStr">
        <is>
          <t>Antioquia</t>
        </is>
      </c>
      <c r="F8" s="12" t="n">
        <v>1</v>
      </c>
      <c r="G8" s="12" t="n">
        <v>1650</v>
      </c>
      <c r="H8" s="13" t="n">
        <v>-75.91297222</v>
      </c>
      <c r="I8" s="14" t="n">
        <v>6.7295</v>
      </c>
      <c r="J8" s="15" t="n">
        <v>26.28663226630412</v>
      </c>
      <c r="K8" s="16" t="n">
        <v>26.56362739970403</v>
      </c>
      <c r="L8" s="16" t="n">
        <v>27.01375623120339</v>
      </c>
      <c r="M8" s="16" t="n">
        <v>26.07503291089498</v>
      </c>
      <c r="N8" s="16" t="n">
        <v>25.15051312157541</v>
      </c>
      <c r="O8" s="16" t="n">
        <v>25.34161904761905</v>
      </c>
      <c r="P8" s="16" t="n">
        <v>25.56649091583241</v>
      </c>
      <c r="Q8" s="16" t="n">
        <v>25.64865735590986</v>
      </c>
      <c r="R8" s="16" t="n">
        <v>25.39419740361809</v>
      </c>
      <c r="S8" s="16" t="n">
        <v>24.76425651206939</v>
      </c>
      <c r="T8" s="16" t="n">
        <v>24.72583318597112</v>
      </c>
      <c r="U8" s="16" t="n">
        <v>25.1445106202659</v>
      </c>
      <c r="V8" s="17">
        <f>AVERAGE(J8:U8)</f>
        <v/>
      </c>
      <c r="W8" s="18" t="n">
        <v>109</v>
      </c>
      <c r="X8" s="19" t="n">
        <v>0.9083333333333333</v>
      </c>
    </row>
    <row r="9" ht="13.9" customHeight="1">
      <c r="A9" s="11" t="n">
        <v>27015260</v>
      </c>
      <c r="B9" s="12" t="inlineStr">
        <is>
          <t>AM</t>
        </is>
      </c>
      <c r="C9" s="12" t="inlineStr">
        <is>
          <t>La Salada</t>
        </is>
      </c>
      <c r="D9" s="12" t="inlineStr">
        <is>
          <t>Caldas</t>
        </is>
      </c>
      <c r="E9" s="12" t="inlineStr">
        <is>
          <t>Antioquia</t>
        </is>
      </c>
      <c r="F9" s="12" t="n">
        <v>1</v>
      </c>
      <c r="G9" s="12" t="n">
        <v>1923</v>
      </c>
      <c r="H9" s="13" t="n">
        <v>-75.62466667</v>
      </c>
      <c r="I9" s="14" t="n">
        <v>6.04836111</v>
      </c>
      <c r="J9" s="15" t="n">
        <v>23.66396657250703</v>
      </c>
      <c r="K9" s="16" t="n">
        <v>24.0414917851977</v>
      </c>
      <c r="L9" s="16" t="n">
        <v>23.85700301922771</v>
      </c>
      <c r="M9" s="16" t="n">
        <v>23.27583920209208</v>
      </c>
      <c r="N9" s="16" t="n">
        <v>23.28932700060619</v>
      </c>
      <c r="O9" s="16" t="n">
        <v>23.44270130186896</v>
      </c>
      <c r="P9" s="16" t="n">
        <v>23.75246670315635</v>
      </c>
      <c r="Q9" s="16" t="n">
        <v>23.76982812009986</v>
      </c>
      <c r="R9" s="16" t="n">
        <v>23.44713423821341</v>
      </c>
      <c r="S9" s="16" t="n">
        <v>22.97584961067853</v>
      </c>
      <c r="T9" s="16" t="n">
        <v>22.71186850069471</v>
      </c>
      <c r="U9" s="16" t="n">
        <v>23.11648929794686</v>
      </c>
      <c r="V9" s="17">
        <f>AVERAGE(J9:U9)</f>
        <v/>
      </c>
      <c r="W9" s="18" t="n">
        <v>328</v>
      </c>
      <c r="X9" s="19" t="n">
        <v>0.9111111111111111</v>
      </c>
    </row>
    <row r="10" ht="13.9" customHeight="1">
      <c r="A10" s="11" t="n">
        <v>11115020</v>
      </c>
      <c r="B10" s="12" t="inlineStr">
        <is>
          <t>CO</t>
        </is>
      </c>
      <c r="C10" s="12" t="inlineStr">
        <is>
          <t>Cañasgordas - Aut</t>
        </is>
      </c>
      <c r="D10" s="12" t="inlineStr">
        <is>
          <t>Cañasgordas</t>
        </is>
      </c>
      <c r="E10" s="12" t="inlineStr">
        <is>
          <t>Antioquia</t>
        </is>
      </c>
      <c r="F10" s="12" t="n">
        <v>1</v>
      </c>
      <c r="G10" s="12" t="n">
        <v>1294</v>
      </c>
      <c r="H10" s="13" t="n">
        <v>-76.02966667</v>
      </c>
      <c r="I10" s="14" t="n">
        <v>6.75802778</v>
      </c>
      <c r="J10" s="15" t="n">
        <v>27.66375132863676</v>
      </c>
      <c r="K10" s="16" t="n">
        <v>27.93271407519683</v>
      </c>
      <c r="L10" s="16" t="n">
        <v>27.857243343574</v>
      </c>
      <c r="M10" s="16" t="n">
        <v>27.16662564207823</v>
      </c>
      <c r="N10" s="16" t="n">
        <v>26.7347163898963</v>
      </c>
      <c r="O10" s="16" t="n">
        <v>26.99409292708143</v>
      </c>
      <c r="P10" s="16" t="n">
        <v>27.37872824188953</v>
      </c>
      <c r="Q10" s="16" t="n">
        <v>27.6153854235</v>
      </c>
      <c r="R10" s="16" t="n">
        <v>27.14516416712279</v>
      </c>
      <c r="S10" s="16" t="n">
        <v>26.49506797676431</v>
      </c>
      <c r="T10" s="16" t="n">
        <v>26.22665815240528</v>
      </c>
      <c r="U10" s="16" t="n">
        <v>26.60445878896779</v>
      </c>
      <c r="V10" s="17">
        <f>AVERAGE(J10:U10)</f>
        <v/>
      </c>
      <c r="W10" s="18" t="n">
        <v>304</v>
      </c>
      <c r="X10" s="19" t="n">
        <v>0.8444444444444444</v>
      </c>
    </row>
    <row r="11" ht="13.9" customHeight="1">
      <c r="A11" s="11" t="n">
        <v>12015070</v>
      </c>
      <c r="B11" s="12" t="inlineStr">
        <is>
          <t>SP</t>
        </is>
      </c>
      <c r="C11" s="12" t="inlineStr">
        <is>
          <t>Aeropuerto Los Cedros</t>
        </is>
      </c>
      <c r="D11" s="12" t="inlineStr">
        <is>
          <t>Carepa</t>
        </is>
      </c>
      <c r="E11" s="12" t="inlineStr">
        <is>
          <t>Antioquia</t>
        </is>
      </c>
      <c r="F11" s="12" t="n">
        <v>1</v>
      </c>
      <c r="G11" s="12" t="n">
        <v>41</v>
      </c>
      <c r="H11" s="13" t="n">
        <v>-76.71788889</v>
      </c>
      <c r="I11" s="14" t="n">
        <v>7.81638889</v>
      </c>
      <c r="J11" s="15" t="n">
        <v>30.98071322633615</v>
      </c>
      <c r="K11" s="16" t="n">
        <v>31.06111771700356</v>
      </c>
      <c r="L11" s="16" t="n">
        <v>31.12028179458657</v>
      </c>
      <c r="M11" s="16" t="n">
        <v>31.4012326595323</v>
      </c>
      <c r="N11" s="16" t="n">
        <v>31.70282536151279</v>
      </c>
      <c r="O11" s="16" t="n">
        <v>31.76807471264368</v>
      </c>
      <c r="P11" s="16" t="n">
        <v>31.73533745607995</v>
      </c>
      <c r="Q11" s="16" t="n">
        <v>31.9191679467486</v>
      </c>
      <c r="R11" s="16" t="n">
        <v>31.91844417077176</v>
      </c>
      <c r="S11" s="16" t="n">
        <v>31.74499904108013</v>
      </c>
      <c r="T11" s="16" t="n">
        <v>31.4524058660325</v>
      </c>
      <c r="U11" s="16" t="n">
        <v>31.10212547786174</v>
      </c>
      <c r="V11" s="17">
        <f>AVERAGE(J11:U11)</f>
        <v/>
      </c>
      <c r="W11" s="18" t="n">
        <v>343</v>
      </c>
      <c r="X11" s="19" t="n">
        <v>0.9527777777777777</v>
      </c>
    </row>
    <row r="12" ht="13.9" customHeight="1">
      <c r="A12" s="11" t="n">
        <v>12015060</v>
      </c>
      <c r="B12" s="12" t="inlineStr">
        <is>
          <t>CO</t>
        </is>
      </c>
      <c r="C12" s="12" t="inlineStr">
        <is>
          <t>Tulenapa</t>
        </is>
      </c>
      <c r="D12" s="12" t="inlineStr">
        <is>
          <t>Carepa</t>
        </is>
      </c>
      <c r="E12" s="12" t="inlineStr">
        <is>
          <t>Antioquia</t>
        </is>
      </c>
      <c r="F12" s="12" t="n">
        <v>1</v>
      </c>
      <c r="G12" s="12" t="n">
        <v>39</v>
      </c>
      <c r="H12" s="13" t="n">
        <v>-76.67</v>
      </c>
      <c r="I12" s="14" t="n">
        <v>7.77</v>
      </c>
      <c r="J12" s="15" t="n">
        <v>30.72558215010142</v>
      </c>
      <c r="K12" s="16" t="n">
        <v>30.68145990344266</v>
      </c>
      <c r="L12" s="16" t="n">
        <v>30.93043010752689</v>
      </c>
      <c r="M12" s="16" t="n">
        <v>31.14534180278282</v>
      </c>
      <c r="N12" s="16" t="n">
        <v>31.26996539364727</v>
      </c>
      <c r="O12" s="16" t="n">
        <v>31.24165359119382</v>
      </c>
      <c r="P12" s="16" t="n">
        <v>31.30352790578598</v>
      </c>
      <c r="Q12" s="16" t="n">
        <v>31.44976796830786</v>
      </c>
      <c r="R12" s="16" t="n">
        <v>31.35949183303085</v>
      </c>
      <c r="S12" s="16" t="n">
        <v>31.14138750658627</v>
      </c>
      <c r="T12" s="16" t="n">
        <v>30.87483795696137</v>
      </c>
      <c r="U12" s="16" t="n">
        <v>30.65242081965787</v>
      </c>
      <c r="V12" s="17">
        <f>AVERAGE(J12:U12)</f>
        <v/>
      </c>
      <c r="W12" s="18" t="n">
        <v>220</v>
      </c>
      <c r="X12" s="19" t="n">
        <v>0.9166666666666666</v>
      </c>
    </row>
    <row r="13" ht="13.9" customHeight="1">
      <c r="A13" s="11" t="n">
        <v>11025010</v>
      </c>
      <c r="B13" s="12" t="inlineStr">
        <is>
          <t>CO</t>
        </is>
      </c>
      <c r="C13" s="12" t="inlineStr">
        <is>
          <t xml:space="preserve">La Mansa </t>
        </is>
      </c>
      <c r="D13" s="12" t="inlineStr">
        <is>
          <t>Ciudad Bolívar</t>
        </is>
      </c>
      <c r="E13" s="12" t="inlineStr">
        <is>
          <t>Antioquia</t>
        </is>
      </c>
      <c r="F13" s="12" t="n">
        <v>1</v>
      </c>
      <c r="G13" s="12" t="n">
        <v>2018</v>
      </c>
      <c r="H13" s="13" t="n">
        <v>-76.08433332999999</v>
      </c>
      <c r="I13" s="14" t="n">
        <v>5.87830556</v>
      </c>
      <c r="J13" s="15" t="n">
        <v>21.40273076447715</v>
      </c>
      <c r="K13" s="16" t="n">
        <v>21.63123596043519</v>
      </c>
      <c r="L13" s="16" t="n">
        <v>21.45951854441443</v>
      </c>
      <c r="M13" s="16" t="n">
        <v>21.38108462801567</v>
      </c>
      <c r="N13" s="16" t="n">
        <v>21.28821756582909</v>
      </c>
      <c r="O13" s="16" t="n">
        <v>21.4425273602515</v>
      </c>
      <c r="P13" s="16" t="n">
        <v>21.76705712463259</v>
      </c>
      <c r="Q13" s="16" t="n">
        <v>21.90112937277246</v>
      </c>
      <c r="R13" s="16" t="n">
        <v>21.36301404853129</v>
      </c>
      <c r="S13" s="16" t="n">
        <v>20.86471766990359</v>
      </c>
      <c r="T13" s="16" t="n">
        <v>20.63257988411377</v>
      </c>
      <c r="U13" s="16" t="n">
        <v>20.87718187967314</v>
      </c>
      <c r="V13" s="17">
        <f>AVERAGE(J13:U13)</f>
        <v/>
      </c>
      <c r="W13" s="18" t="n">
        <v>328</v>
      </c>
      <c r="X13" s="19" t="n">
        <v>0.9111111111111111</v>
      </c>
    </row>
    <row r="14" ht="13.9" customHeight="1">
      <c r="A14" s="11" t="n">
        <v>26215010</v>
      </c>
      <c r="B14" s="12" t="inlineStr">
        <is>
          <t>CO</t>
        </is>
      </c>
      <c r="C14" s="12" t="inlineStr">
        <is>
          <t>Concordia</t>
        </is>
      </c>
      <c r="D14" s="12" t="inlineStr">
        <is>
          <t xml:space="preserve">Concordia </t>
        </is>
      </c>
      <c r="E14" s="12" t="inlineStr">
        <is>
          <t>Antioquia</t>
        </is>
      </c>
      <c r="F14" s="12" t="n">
        <v>1</v>
      </c>
      <c r="G14" s="12" t="n">
        <v>2032</v>
      </c>
      <c r="H14" s="13" t="n">
        <v>-75.91952778</v>
      </c>
      <c r="I14" s="14" t="n">
        <v>6.03955556</v>
      </c>
      <c r="J14" s="15" t="n">
        <v>23.87953390522314</v>
      </c>
      <c r="K14" s="16" t="n">
        <v>24.46359535323444</v>
      </c>
      <c r="L14" s="16" t="n">
        <v>24.29285454541887</v>
      </c>
      <c r="M14" s="16" t="n">
        <v>23.51112814908472</v>
      </c>
      <c r="N14" s="16" t="n">
        <v>23.48091481202472</v>
      </c>
      <c r="O14" s="16" t="n">
        <v>23.87987918709664</v>
      </c>
      <c r="P14" s="16" t="n">
        <v>24.094778369943</v>
      </c>
      <c r="Q14" s="16" t="n">
        <v>24.1187159018545</v>
      </c>
      <c r="R14" s="16" t="n">
        <v>23.72980592018257</v>
      </c>
      <c r="S14" s="16" t="n">
        <v>23.04285714510564</v>
      </c>
      <c r="T14" s="16" t="n">
        <v>22.61066431106663</v>
      </c>
      <c r="U14" s="16" t="n">
        <v>23.38784365567423</v>
      </c>
      <c r="V14" s="17">
        <f>AVERAGE(J14:U14)</f>
        <v/>
      </c>
      <c r="W14" s="18" t="n">
        <v>314</v>
      </c>
      <c r="X14" s="19" t="n">
        <v>0.8722222222222222</v>
      </c>
    </row>
    <row r="15" ht="13.9" customHeight="1">
      <c r="A15" s="11" t="n">
        <v>26175040</v>
      </c>
      <c r="B15" s="12" t="inlineStr">
        <is>
          <t>CO</t>
        </is>
      </c>
      <c r="C15" s="12" t="inlineStr">
        <is>
          <t>Hacienda Tunez</t>
        </is>
      </c>
      <c r="D15" s="12" t="inlineStr">
        <is>
          <t>Fredonia</t>
        </is>
      </c>
      <c r="E15" s="12" t="inlineStr">
        <is>
          <t>Antioquia</t>
        </is>
      </c>
      <c r="F15" s="12" t="n">
        <v>1</v>
      </c>
      <c r="G15" s="12" t="n">
        <v>604</v>
      </c>
      <c r="H15" s="13" t="n">
        <v>-75.65097222000001</v>
      </c>
      <c r="I15" s="14" t="n">
        <v>5.80025</v>
      </c>
      <c r="J15" s="15" t="n">
        <v>34.25108704459002</v>
      </c>
      <c r="K15" s="16" t="n">
        <v>34.87134200265079</v>
      </c>
      <c r="L15" s="16" t="n">
        <v>34.66842265817237</v>
      </c>
      <c r="M15" s="16" t="n">
        <v>33.35741483424954</v>
      </c>
      <c r="N15" s="16" t="n">
        <v>32.71837486610637</v>
      </c>
      <c r="O15" s="16" t="n">
        <v>33.12923681016635</v>
      </c>
      <c r="P15" s="16" t="n">
        <v>33.66952990943675</v>
      </c>
      <c r="Q15" s="16" t="n">
        <v>34.16273657398132</v>
      </c>
      <c r="R15" s="16" t="n">
        <v>33.45400949146639</v>
      </c>
      <c r="S15" s="16" t="n">
        <v>32.53774289978961</v>
      </c>
      <c r="T15" s="16" t="n">
        <v>32.45885376756066</v>
      </c>
      <c r="U15" s="16" t="n">
        <v>33.064939117538</v>
      </c>
      <c r="V15" s="17">
        <f>AVERAGE(J15:U15)</f>
        <v/>
      </c>
      <c r="W15" s="18" t="n">
        <v>284</v>
      </c>
      <c r="X15" s="19" t="n">
        <v>0.7888888888888889</v>
      </c>
    </row>
    <row r="16" ht="13.9" customHeight="1">
      <c r="A16" s="11" t="n">
        <v>11115040</v>
      </c>
      <c r="B16" s="12" t="inlineStr">
        <is>
          <t>CO</t>
        </is>
      </c>
      <c r="C16" s="12" t="inlineStr">
        <is>
          <t>Musinga</t>
        </is>
      </c>
      <c r="D16" s="12" t="inlineStr">
        <is>
          <t>Frontino</t>
        </is>
      </c>
      <c r="E16" s="12" t="inlineStr">
        <is>
          <t>Antioquia</t>
        </is>
      </c>
      <c r="F16" s="12" t="n">
        <v>1</v>
      </c>
      <c r="G16" s="12" t="n">
        <v>1396</v>
      </c>
      <c r="H16" s="13" t="n">
        <v>-76.20333332999999</v>
      </c>
      <c r="I16" s="14" t="n">
        <v>6.77797222</v>
      </c>
      <c r="J16" s="15" t="n">
        <v>25.84648424459133</v>
      </c>
      <c r="K16" s="16" t="n">
        <v>26.20541213469374</v>
      </c>
      <c r="L16" s="16" t="n">
        <v>26.2705903188532</v>
      </c>
      <c r="M16" s="16" t="n">
        <v>25.86498261125847</v>
      </c>
      <c r="N16" s="16" t="n">
        <v>25.58320715382927</v>
      </c>
      <c r="O16" s="16" t="n">
        <v>25.5943080712391</v>
      </c>
      <c r="P16" s="16" t="n">
        <v>25.68758096297473</v>
      </c>
      <c r="Q16" s="16" t="n">
        <v>25.73828044486035</v>
      </c>
      <c r="R16" s="16" t="n">
        <v>25.54013147031768</v>
      </c>
      <c r="S16" s="16" t="n">
        <v>25.31026632482442</v>
      </c>
      <c r="T16" s="16" t="n">
        <v>25.11612826919873</v>
      </c>
      <c r="U16" s="16" t="n">
        <v>25.24530153412973</v>
      </c>
      <c r="V16" s="17">
        <f>AVERAGE(J16:U16)</f>
        <v/>
      </c>
      <c r="W16" s="18" t="n">
        <v>353</v>
      </c>
      <c r="X16" s="19" t="n">
        <v>0.9805555555555555</v>
      </c>
    </row>
    <row r="17" ht="13.9" customHeight="1">
      <c r="A17" s="11" t="n">
        <v>26195030</v>
      </c>
      <c r="B17" s="12" t="inlineStr">
        <is>
          <t>CO</t>
        </is>
      </c>
      <c r="C17" s="12" t="inlineStr">
        <is>
          <t xml:space="preserve">El Jardín </t>
        </is>
      </c>
      <c r="D17" s="12" t="inlineStr">
        <is>
          <t>Jardín</t>
        </is>
      </c>
      <c r="E17" s="12" t="inlineStr">
        <is>
          <t>Antioquia</t>
        </is>
      </c>
      <c r="F17" s="12" t="n">
        <v>1</v>
      </c>
      <c r="G17" s="12" t="n">
        <v>2161</v>
      </c>
      <c r="H17" s="13" t="n">
        <v>-75.80055556000001</v>
      </c>
      <c r="I17" s="14" t="n">
        <v>5.58772222</v>
      </c>
      <c r="J17" s="15" t="n">
        <v>22.15651138301817</v>
      </c>
      <c r="K17" s="16" t="n">
        <v>22.43310325179291</v>
      </c>
      <c r="L17" s="16" t="n">
        <v>22.40260645161291</v>
      </c>
      <c r="M17" s="16" t="n">
        <v>21.99977437792093</v>
      </c>
      <c r="N17" s="16" t="n">
        <v>21.6974270935158</v>
      </c>
      <c r="O17" s="16" t="n">
        <v>21.81058442802408</v>
      </c>
      <c r="P17" s="16" t="n">
        <v>22.05081456967369</v>
      </c>
      <c r="Q17" s="16" t="n">
        <v>21.92750092695588</v>
      </c>
      <c r="R17" s="16" t="n">
        <v>21.68734674329501</v>
      </c>
      <c r="S17" s="16" t="n">
        <v>21.40854812737001</v>
      </c>
      <c r="T17" s="16" t="n">
        <v>21.42263845350052</v>
      </c>
      <c r="U17" s="16" t="n">
        <v>21.70130477963783</v>
      </c>
      <c r="V17" s="17">
        <f>AVERAGE(J17:U17)</f>
        <v/>
      </c>
      <c r="W17" s="18" t="n">
        <v>287</v>
      </c>
      <c r="X17" s="19" t="n">
        <v>0.7972222222222223</v>
      </c>
    </row>
    <row r="18" ht="13.9" customHeight="1">
      <c r="A18" s="11" t="n">
        <v>26185020</v>
      </c>
      <c r="B18" s="12" t="inlineStr">
        <is>
          <t>CO</t>
        </is>
      </c>
      <c r="C18" s="12" t="inlineStr">
        <is>
          <t>Mesopotamia</t>
        </is>
      </c>
      <c r="D18" s="12" t="inlineStr">
        <is>
          <t xml:space="preserve">La Unión </t>
        </is>
      </c>
      <c r="E18" s="12" t="inlineStr">
        <is>
          <t>Antioquia</t>
        </is>
      </c>
      <c r="F18" s="12" t="n">
        <v>1</v>
      </c>
      <c r="G18" s="12" t="n">
        <v>2408</v>
      </c>
      <c r="H18" s="13" t="n">
        <v>-75.31863889</v>
      </c>
      <c r="I18" s="14" t="n">
        <v>5.88636111</v>
      </c>
      <c r="J18" s="15" t="n">
        <v>20.097264420785</v>
      </c>
      <c r="K18" s="16" t="n">
        <v>20.24906864740198</v>
      </c>
      <c r="L18" s="16" t="n">
        <v>20.40916406236206</v>
      </c>
      <c r="M18" s="16" t="n">
        <v>20.57881472359058</v>
      </c>
      <c r="N18" s="16" t="n">
        <v>20.80526706923036</v>
      </c>
      <c r="O18" s="16" t="n">
        <v>20.54620142309797</v>
      </c>
      <c r="P18" s="16" t="n">
        <v>20.41298232604128</v>
      </c>
      <c r="Q18" s="16" t="n">
        <v>20.64473934000741</v>
      </c>
      <c r="R18" s="16" t="n">
        <v>20.70240886699507</v>
      </c>
      <c r="S18" s="16" t="n">
        <v>20.43536786906086</v>
      </c>
      <c r="T18" s="16" t="n">
        <v>20.25169074986317</v>
      </c>
      <c r="U18" s="16" t="n">
        <v>20.22430266433603</v>
      </c>
      <c r="V18" s="17">
        <f>AVERAGE(J18:U18)</f>
        <v/>
      </c>
      <c r="W18" s="18" t="n">
        <v>360</v>
      </c>
      <c r="X18" s="19" t="n">
        <v>1</v>
      </c>
    </row>
    <row r="19" ht="13.9" customHeight="1">
      <c r="A19" s="11" t="n">
        <v>27015330</v>
      </c>
      <c r="B19" s="12" t="inlineStr">
        <is>
          <t>SP</t>
        </is>
      </c>
      <c r="C19" s="12" t="inlineStr">
        <is>
          <t xml:space="preserve">Aeropuerto Olaya Herrera - AUT </t>
        </is>
      </c>
      <c r="D19" s="12" t="inlineStr">
        <is>
          <t>Medellín</t>
        </is>
      </c>
      <c r="E19" s="12" t="inlineStr">
        <is>
          <t>Antioquia</t>
        </is>
      </c>
      <c r="F19" s="12" t="n">
        <v>1</v>
      </c>
      <c r="G19" s="12" t="n">
        <v>1490</v>
      </c>
      <c r="H19" s="13" t="n">
        <v>-75.59</v>
      </c>
      <c r="I19" s="14" t="n">
        <v>6.22</v>
      </c>
      <c r="J19" s="15" t="n">
        <v>27.82075268817204</v>
      </c>
      <c r="K19" s="16" t="n">
        <v>28.30330042969758</v>
      </c>
      <c r="L19" s="16" t="n">
        <v>28.14480444427397</v>
      </c>
      <c r="M19" s="16" t="n">
        <v>27.71959175584621</v>
      </c>
      <c r="N19" s="16" t="n">
        <v>27.85002304147465</v>
      </c>
      <c r="O19" s="16" t="n">
        <v>28.3521306205135</v>
      </c>
      <c r="P19" s="16" t="n">
        <v>28.64080459770115</v>
      </c>
      <c r="Q19" s="16" t="n">
        <v>28.69969918074757</v>
      </c>
      <c r="R19" s="16" t="n">
        <v>28.14021756978653</v>
      </c>
      <c r="S19" s="16" t="n">
        <v>27.29223556186312</v>
      </c>
      <c r="T19" s="16" t="n">
        <v>27.07569163694016</v>
      </c>
      <c r="U19" s="16" t="n">
        <v>27.3434149054505</v>
      </c>
      <c r="V19" s="17">
        <f>AVERAGE(J19:U19)</f>
        <v/>
      </c>
      <c r="W19" s="18" t="n">
        <v>345</v>
      </c>
      <c r="X19" s="19" t="n">
        <v>0.9583333333333334</v>
      </c>
    </row>
    <row r="20" ht="13.9" customHeight="1">
      <c r="A20" s="21" t="n">
        <v>23085110</v>
      </c>
      <c r="B20" s="12" t="inlineStr">
        <is>
          <t>CO</t>
        </is>
      </c>
      <c r="C20" s="12" t="inlineStr">
        <is>
          <t>El Peñol</t>
        </is>
      </c>
      <c r="D20" s="12" t="inlineStr">
        <is>
          <t>Peñol</t>
        </is>
      </c>
      <c r="E20" s="12" t="inlineStr">
        <is>
          <t>Antioquia</t>
        </is>
      </c>
      <c r="F20" s="12" t="n">
        <v>1</v>
      </c>
      <c r="G20" s="12" t="n">
        <v>2022</v>
      </c>
      <c r="H20" s="13" t="n">
        <v>-75.24138889</v>
      </c>
      <c r="I20" s="14" t="n">
        <v>6.2138889</v>
      </c>
      <c r="J20" s="15" t="n">
        <v>22.99150772070868</v>
      </c>
      <c r="K20" s="16" t="n">
        <v>23.2692692472445</v>
      </c>
      <c r="L20" s="16" t="n">
        <v>23.57019643315528</v>
      </c>
      <c r="M20" s="16" t="n">
        <v>23.85047984445768</v>
      </c>
      <c r="N20" s="16" t="n">
        <v>24.27180369156228</v>
      </c>
      <c r="O20" s="16" t="n">
        <v>24.46998263090677</v>
      </c>
      <c r="P20" s="16" t="n">
        <v>24.63366101619717</v>
      </c>
      <c r="Q20" s="16" t="n">
        <v>24.65905872628246</v>
      </c>
      <c r="R20" s="16" t="n">
        <v>24.23233678727139</v>
      </c>
      <c r="S20" s="16" t="n">
        <v>23.4139779147994</v>
      </c>
      <c r="T20" s="16" t="n">
        <v>22.87773135116116</v>
      </c>
      <c r="U20" s="16" t="n">
        <v>23.03202351034757</v>
      </c>
      <c r="V20" s="17">
        <f>AVERAGE(J20:U20)</f>
        <v/>
      </c>
      <c r="W20" s="18" t="n">
        <v>325</v>
      </c>
      <c r="X20" s="19" t="n">
        <v>0.9027777777777778</v>
      </c>
    </row>
    <row r="21" ht="13.9" customHeight="1">
      <c r="A21" s="11" t="n">
        <v>23095010</v>
      </c>
      <c r="B21" s="12" t="inlineStr">
        <is>
          <t>CP</t>
        </is>
      </c>
      <c r="C21" s="12" t="inlineStr">
        <is>
          <t>Aeropuerto Puerto Berrío</t>
        </is>
      </c>
      <c r="D21" s="12" t="inlineStr">
        <is>
          <t>Puerto Berrío</t>
        </is>
      </c>
      <c r="E21" s="12" t="inlineStr">
        <is>
          <t>Antioquia</t>
        </is>
      </c>
      <c r="F21" s="12" t="n">
        <v>8</v>
      </c>
      <c r="G21" s="12" t="n">
        <v>150</v>
      </c>
      <c r="H21" s="13" t="n">
        <v>-74.41222222</v>
      </c>
      <c r="I21" s="14" t="n">
        <v>6.465</v>
      </c>
      <c r="J21" s="15" t="n">
        <v>33.30567564783917</v>
      </c>
      <c r="K21" s="16" t="n">
        <v>33.58506294471812</v>
      </c>
      <c r="L21" s="16" t="n">
        <v>32.91712459464073</v>
      </c>
      <c r="M21" s="16" t="n">
        <v>32.518106162843</v>
      </c>
      <c r="N21" s="16" t="n">
        <v>32.4340380421384</v>
      </c>
      <c r="O21" s="16" t="n">
        <v>32.47078615013481</v>
      </c>
      <c r="P21" s="16" t="n">
        <v>32.96598704442845</v>
      </c>
      <c r="Q21" s="16" t="n">
        <v>32.99788136219303</v>
      </c>
      <c r="R21" s="16" t="n">
        <v>32.24468239564429</v>
      </c>
      <c r="S21" s="16" t="n">
        <v>31.88499509743336</v>
      </c>
      <c r="T21" s="16" t="n">
        <v>31.94859833971903</v>
      </c>
      <c r="U21" s="16" t="n">
        <v>32.41406488691138</v>
      </c>
      <c r="V21" s="17">
        <f>AVERAGE(J21:U21)</f>
        <v/>
      </c>
      <c r="W21" s="18" t="n">
        <v>230</v>
      </c>
      <c r="X21" s="19" t="n">
        <v>0.9583333333333334</v>
      </c>
    </row>
    <row r="22" ht="13.9" customHeight="1">
      <c r="A22" s="11" t="n">
        <v>23175020</v>
      </c>
      <c r="B22" s="12" t="inlineStr">
        <is>
          <t>CO</t>
        </is>
      </c>
      <c r="C22" s="12" t="inlineStr">
        <is>
          <t>Aeropuerto Otú</t>
        </is>
      </c>
      <c r="D22" s="12" t="inlineStr">
        <is>
          <t>Remedios</t>
        </is>
      </c>
      <c r="E22" s="12" t="inlineStr">
        <is>
          <t>Antioquia</t>
        </is>
      </c>
      <c r="F22" s="12" t="n">
        <v>1</v>
      </c>
      <c r="G22" s="12" t="n">
        <v>643</v>
      </c>
      <c r="H22" s="13" t="n">
        <v>-74.71630556000001</v>
      </c>
      <c r="I22" s="14" t="n">
        <v>7.01175</v>
      </c>
      <c r="J22" s="15" t="n">
        <v>29.42192353643966</v>
      </c>
      <c r="K22" s="16" t="n">
        <v>29.85877212187557</v>
      </c>
      <c r="L22" s="16" t="n">
        <v>29.74737634408602</v>
      </c>
      <c r="M22" s="16" t="n">
        <v>29.69891461412151</v>
      </c>
      <c r="N22" s="16" t="n">
        <v>29.80290322580645</v>
      </c>
      <c r="O22" s="16" t="n">
        <v>30.31795402298851</v>
      </c>
      <c r="P22" s="16" t="n">
        <v>30.57393548387096</v>
      </c>
      <c r="Q22" s="16" t="n">
        <v>30.54421505376344</v>
      </c>
      <c r="R22" s="16" t="n">
        <v>29.95533333333333</v>
      </c>
      <c r="S22" s="16" t="n">
        <v>29.24232109751576</v>
      </c>
      <c r="T22" s="16" t="n">
        <v>28.85728571428572</v>
      </c>
      <c r="U22" s="16" t="n">
        <v>29.24630107526881</v>
      </c>
      <c r="V22" s="17">
        <f>AVERAGE(J22:U22)</f>
        <v/>
      </c>
      <c r="W22" s="18" t="n">
        <v>119</v>
      </c>
      <c r="X22" s="19" t="n">
        <v>0.9916666666666667</v>
      </c>
    </row>
    <row r="23" ht="13.9" customHeight="1">
      <c r="A23" s="11" t="n">
        <v>23085270</v>
      </c>
      <c r="B23" s="12" t="inlineStr">
        <is>
          <t>SP</t>
        </is>
      </c>
      <c r="C23" s="12" t="inlineStr">
        <is>
          <t xml:space="preserve">Aeropuerto José María Córdova - AUT </t>
        </is>
      </c>
      <c r="D23" s="12" t="inlineStr">
        <is>
          <t xml:space="preserve">Rionegro </t>
        </is>
      </c>
      <c r="E23" s="12" t="inlineStr">
        <is>
          <t>Antioquia</t>
        </is>
      </c>
      <c r="F23" s="12" t="n">
        <v>1</v>
      </c>
      <c r="G23" s="12" t="n">
        <v>2157</v>
      </c>
      <c r="H23" s="13" t="n">
        <v>-75.43000000000001</v>
      </c>
      <c r="I23" s="14" t="n">
        <v>6.17</v>
      </c>
      <c r="J23" s="15" t="n">
        <v>21.89545161290323</v>
      </c>
      <c r="K23" s="16" t="n">
        <v>22.25713175819498</v>
      </c>
      <c r="L23" s="16" t="n">
        <v>22.30655913978494</v>
      </c>
      <c r="M23" s="16" t="n">
        <v>22.29831417624521</v>
      </c>
      <c r="N23" s="16" t="n">
        <v>22.54994982078853</v>
      </c>
      <c r="O23" s="16" t="n">
        <v>22.6407356321839</v>
      </c>
      <c r="P23" s="16" t="n">
        <v>22.60950315164997</v>
      </c>
      <c r="Q23" s="16" t="n">
        <v>22.70234743584826</v>
      </c>
      <c r="R23" s="16" t="n">
        <v>22.564435196195</v>
      </c>
      <c r="S23" s="16" t="n">
        <v>21.94322580645161</v>
      </c>
      <c r="T23" s="16" t="n">
        <v>21.61270114942529</v>
      </c>
      <c r="U23" s="16" t="n">
        <v>21.71647670250896</v>
      </c>
      <c r="V23" s="17">
        <f>AVERAGE(J23:U23)</f>
        <v/>
      </c>
      <c r="W23" s="18" t="n">
        <v>355</v>
      </c>
      <c r="X23" s="19" t="n">
        <v>0.9861111111111112</v>
      </c>
    </row>
    <row r="24" ht="13.9" customHeight="1">
      <c r="A24" s="11" t="n">
        <v>23085260</v>
      </c>
      <c r="B24" s="12" t="inlineStr">
        <is>
          <t>AM</t>
        </is>
      </c>
      <c r="C24" s="12" t="inlineStr">
        <is>
          <t xml:space="preserve">La Selva - AUT </t>
        </is>
      </c>
      <c r="D24" s="12" t="inlineStr">
        <is>
          <t xml:space="preserve">Rionegro </t>
        </is>
      </c>
      <c r="E24" s="12" t="inlineStr">
        <is>
          <t>Antioquia</t>
        </is>
      </c>
      <c r="F24" s="12" t="n">
        <v>1</v>
      </c>
      <c r="G24" s="12" t="n">
        <v>2125</v>
      </c>
      <c r="H24" s="13" t="n">
        <v>-75.41455556000001</v>
      </c>
      <c r="I24" s="14" t="n">
        <v>6.13191667</v>
      </c>
      <c r="J24" s="15" t="n">
        <v>22.78807971201309</v>
      </c>
      <c r="K24" s="16" t="n">
        <v>22.8418054029304</v>
      </c>
      <c r="L24" s="16" t="n">
        <v>23.03766630403338</v>
      </c>
      <c r="M24" s="16" t="n">
        <v>22.86084280936455</v>
      </c>
      <c r="N24" s="16" t="n">
        <v>23.17023481297675</v>
      </c>
      <c r="O24" s="16" t="n">
        <v>22.85697598697599</v>
      </c>
      <c r="P24" s="16" t="n">
        <v>23.18526317207697</v>
      </c>
      <c r="Q24" s="16" t="n">
        <v>23.27427641348887</v>
      </c>
      <c r="R24" s="16" t="n">
        <v>22.97802417021038</v>
      </c>
      <c r="S24" s="16" t="n">
        <v>22.77923860817632</v>
      </c>
      <c r="T24" s="16" t="n">
        <v>22.39166575167295</v>
      </c>
      <c r="U24" s="16" t="n">
        <v>22.50889842100396</v>
      </c>
      <c r="V24" s="17">
        <f>AVERAGE(J24:U24)</f>
        <v/>
      </c>
      <c r="W24" s="18" t="n">
        <v>111</v>
      </c>
      <c r="X24" s="19" t="n">
        <v>0.925</v>
      </c>
    </row>
    <row r="25" ht="13.9" customHeight="1">
      <c r="A25" s="11" t="n">
        <v>23085220</v>
      </c>
      <c r="B25" s="12" t="inlineStr">
        <is>
          <t>CP</t>
        </is>
      </c>
      <c r="C25" s="12" t="inlineStr">
        <is>
          <t>San Carlos</t>
        </is>
      </c>
      <c r="D25" s="12" t="inlineStr">
        <is>
          <t xml:space="preserve">San Carlos </t>
        </is>
      </c>
      <c r="E25" s="12" t="inlineStr">
        <is>
          <t>Antioquia</t>
        </is>
      </c>
      <c r="F25" s="12" t="n">
        <v>1</v>
      </c>
      <c r="G25" s="12" t="n">
        <v>1113</v>
      </c>
      <c r="H25" s="13" t="n">
        <v>-75.03891666999999</v>
      </c>
      <c r="I25" s="14" t="n">
        <v>6.15766667</v>
      </c>
      <c r="J25" s="15" t="n">
        <v>27.00182933671485</v>
      </c>
      <c r="K25" s="16" t="n">
        <v>27.32564165800698</v>
      </c>
      <c r="L25" s="16" t="n">
        <v>27.53904119723316</v>
      </c>
      <c r="M25" s="16" t="n">
        <v>27.77257781543701</v>
      </c>
      <c r="N25" s="16" t="n">
        <v>28.22803630209555</v>
      </c>
      <c r="O25" s="16" t="n">
        <v>28.81402144872096</v>
      </c>
      <c r="P25" s="16" t="n">
        <v>29.17336059489902</v>
      </c>
      <c r="Q25" s="16" t="n">
        <v>29.14853429148201</v>
      </c>
      <c r="R25" s="16" t="n">
        <v>28.61805308626382</v>
      </c>
      <c r="S25" s="16" t="n">
        <v>27.51558074068642</v>
      </c>
      <c r="T25" s="16" t="n">
        <v>26.57062451077138</v>
      </c>
      <c r="U25" s="16" t="n">
        <v>26.65001719303726</v>
      </c>
      <c r="V25" s="17">
        <f>AVERAGE(J25:U25)</f>
        <v/>
      </c>
      <c r="W25" s="18" t="n">
        <v>311</v>
      </c>
      <c r="X25" s="19" t="n">
        <v>0.8638888888888889</v>
      </c>
    </row>
    <row r="26" ht="13.9" customHeight="1">
      <c r="A26" s="11" t="n">
        <v>23085140</v>
      </c>
      <c r="B26" s="12" t="inlineStr">
        <is>
          <t>CO</t>
        </is>
      </c>
      <c r="C26" s="12" t="inlineStr">
        <is>
          <t>San Francisco</t>
        </is>
      </c>
      <c r="D26" s="12" t="inlineStr">
        <is>
          <t xml:space="preserve">San Francisco </t>
        </is>
      </c>
      <c r="E26" s="12" t="inlineStr">
        <is>
          <t>Antioquia</t>
        </is>
      </c>
      <c r="F26" s="12" t="n">
        <v>1</v>
      </c>
      <c r="G26" s="12" t="n">
        <v>1325</v>
      </c>
      <c r="H26" s="13" t="n">
        <v>-75.10069444</v>
      </c>
      <c r="I26" s="14" t="n">
        <v>5.96380556</v>
      </c>
      <c r="J26" s="15" t="n">
        <v>25.61218765280566</v>
      </c>
      <c r="K26" s="16" t="n">
        <v>25.67410539439275</v>
      </c>
      <c r="L26" s="16" t="n">
        <v>25.47083773216031</v>
      </c>
      <c r="M26" s="16" t="n">
        <v>25.57624653190646</v>
      </c>
      <c r="N26" s="16" t="n">
        <v>25.74019267896642</v>
      </c>
      <c r="O26" s="16" t="n">
        <v>26.07747044334976</v>
      </c>
      <c r="P26" s="16" t="n">
        <v>26.30913978494623</v>
      </c>
      <c r="Q26" s="16" t="n">
        <v>26.36958024880775</v>
      </c>
      <c r="R26" s="16" t="n">
        <v>25.96535467980295</v>
      </c>
      <c r="S26" s="16" t="n">
        <v>25.5166581563289</v>
      </c>
      <c r="T26" s="16" t="n">
        <v>25.11506458046292</v>
      </c>
      <c r="U26" s="16" t="n">
        <v>25.57481075839251</v>
      </c>
      <c r="V26" s="17">
        <f>AVERAGE(J26:U26)</f>
        <v/>
      </c>
      <c r="W26" s="18" t="n">
        <v>350</v>
      </c>
      <c r="X26" s="19" t="n">
        <v>0.9722222222222222</v>
      </c>
    </row>
    <row r="27" ht="13.9" customHeight="1">
      <c r="A27" s="11" t="n">
        <v>23085080</v>
      </c>
      <c r="B27" s="12" t="inlineStr">
        <is>
          <t>CP</t>
        </is>
      </c>
      <c r="C27" s="12" t="inlineStr">
        <is>
          <t>Granja Experiomental El Nus - AUT</t>
        </is>
      </c>
      <c r="D27" s="12" t="inlineStr">
        <is>
          <t>San Roque</t>
        </is>
      </c>
      <c r="E27" s="12" t="inlineStr">
        <is>
          <t>Antioquia</t>
        </is>
      </c>
      <c r="F27" s="12" t="n">
        <v>1</v>
      </c>
      <c r="G27" s="12" t="n">
        <v>859</v>
      </c>
      <c r="H27" s="13" t="n">
        <v>-74.83669444</v>
      </c>
      <c r="I27" s="14" t="n">
        <v>6.48358333</v>
      </c>
      <c r="J27" s="15" t="n">
        <v>28.13594395889613</v>
      </c>
      <c r="K27" s="16" t="n">
        <v>28.45571298752334</v>
      </c>
      <c r="L27" s="16" t="n">
        <v>28.2635752688172</v>
      </c>
      <c r="M27" s="16" t="n">
        <v>28.22586670034946</v>
      </c>
      <c r="N27" s="16" t="n">
        <v>27.81229709445171</v>
      </c>
      <c r="O27" s="16" t="n">
        <v>27.87980504488817</v>
      </c>
      <c r="P27" s="16" t="n">
        <v>28.17907971820541</v>
      </c>
      <c r="Q27" s="16" t="n">
        <v>28.48576978535822</v>
      </c>
      <c r="R27" s="16" t="n">
        <v>28.04537448559671</v>
      </c>
      <c r="S27" s="16" t="n">
        <v>27.45272827991849</v>
      </c>
      <c r="T27" s="16" t="n">
        <v>27.16350133187374</v>
      </c>
      <c r="U27" s="16" t="n">
        <v>27.54778494623656</v>
      </c>
      <c r="V27" s="17">
        <f>AVERAGE(J27:U27)</f>
        <v/>
      </c>
      <c r="W27" s="18" t="n">
        <v>112</v>
      </c>
      <c r="X27" s="19" t="n">
        <v>0.9333333333333333</v>
      </c>
    </row>
    <row r="28" ht="13.9" customHeight="1">
      <c r="A28" s="11" t="n">
        <v>23085160</v>
      </c>
      <c r="B28" s="12" t="inlineStr">
        <is>
          <t>CO</t>
        </is>
      </c>
      <c r="C28" s="12" t="inlineStr">
        <is>
          <t>Corrientes</t>
        </is>
      </c>
      <c r="D28" s="12" t="inlineStr">
        <is>
          <t>San Vicente</t>
        </is>
      </c>
      <c r="E28" s="12" t="inlineStr">
        <is>
          <t>Antioquia</t>
        </is>
      </c>
      <c r="F28" s="12" t="n">
        <v>1</v>
      </c>
      <c r="G28" s="12" t="n">
        <v>1965</v>
      </c>
      <c r="H28" s="13" t="n">
        <v>-75.25355556000001</v>
      </c>
      <c r="I28" s="14" t="n">
        <v>6.31194444</v>
      </c>
      <c r="J28" s="15" t="n">
        <v>22.92043010752688</v>
      </c>
      <c r="K28" s="16" t="n">
        <v>22.86928297755884</v>
      </c>
      <c r="L28" s="16" t="n">
        <v>23.07841246208988</v>
      </c>
      <c r="M28" s="16" t="n">
        <v>23.18273107097245</v>
      </c>
      <c r="N28" s="16" t="n">
        <v>23.33693387714745</v>
      </c>
      <c r="O28" s="16" t="n">
        <v>23.47647126436782</v>
      </c>
      <c r="P28" s="16" t="n">
        <v>23.491140378198</v>
      </c>
      <c r="Q28" s="16" t="n">
        <v>23.7633199851687</v>
      </c>
      <c r="R28" s="16" t="n">
        <v>23.66360262725781</v>
      </c>
      <c r="S28" s="16" t="n">
        <v>22.97195698924731</v>
      </c>
      <c r="T28" s="16" t="n">
        <v>22.64627011494253</v>
      </c>
      <c r="U28" s="16" t="n">
        <v>22.87008602150538</v>
      </c>
      <c r="V28" s="17">
        <f>AVERAGE(J28:U28)</f>
        <v/>
      </c>
      <c r="W28" s="18" t="n">
        <v>120</v>
      </c>
      <c r="X28" s="19" t="n">
        <v>1</v>
      </c>
    </row>
    <row r="29" ht="13.9" customHeight="1">
      <c r="A29" s="11" t="n">
        <v>26225030</v>
      </c>
      <c r="B29" s="12" t="inlineStr">
        <is>
          <t>AM</t>
        </is>
      </c>
      <c r="C29" s="12" t="inlineStr">
        <is>
          <t xml:space="preserve">Hacienda Cotove </t>
        </is>
      </c>
      <c r="D29" s="12" t="inlineStr">
        <is>
          <t>Santa Fe de Antioquia</t>
        </is>
      </c>
      <c r="E29" s="12" t="inlineStr">
        <is>
          <t>Antioquia</t>
        </is>
      </c>
      <c r="F29" s="12" t="n">
        <v>1</v>
      </c>
      <c r="G29" s="12" t="n">
        <v>534</v>
      </c>
      <c r="H29" s="13" t="n">
        <v>-75.82733332999999</v>
      </c>
      <c r="I29" s="14" t="n">
        <v>6.53391667</v>
      </c>
      <c r="J29" s="15" t="n">
        <v>35.50711464530037</v>
      </c>
      <c r="K29" s="16" t="n">
        <v>36.28629803258322</v>
      </c>
      <c r="L29" s="16" t="n">
        <v>35.93297149573977</v>
      </c>
      <c r="M29" s="16" t="n">
        <v>34.76856408969915</v>
      </c>
      <c r="N29" s="16" t="n">
        <v>33.49539271912953</v>
      </c>
      <c r="O29" s="16" t="n">
        <v>33.37038354075505</v>
      </c>
      <c r="P29" s="16" t="n">
        <v>34.13153797906742</v>
      </c>
      <c r="Q29" s="16" t="n">
        <v>34.64379249505717</v>
      </c>
      <c r="R29" s="16" t="n">
        <v>33.98184779754675</v>
      </c>
      <c r="S29" s="16" t="n">
        <v>32.99459369811882</v>
      </c>
      <c r="T29" s="16" t="n">
        <v>32.90440512866444</v>
      </c>
      <c r="U29" s="16" t="n">
        <v>33.62225514706918</v>
      </c>
      <c r="V29" s="17">
        <f>AVERAGE(J29:U29)</f>
        <v/>
      </c>
      <c r="W29" s="18" t="n">
        <v>296</v>
      </c>
      <c r="X29" s="19" t="n">
        <v>0.8222222222222222</v>
      </c>
    </row>
    <row r="30" ht="13.9" customHeight="1">
      <c r="A30" s="11" t="n">
        <v>27015110</v>
      </c>
      <c r="B30" s="12" t="inlineStr">
        <is>
          <t>CO</t>
        </is>
      </c>
      <c r="C30" s="12" t="inlineStr">
        <is>
          <t>Aragón</t>
        </is>
      </c>
      <c r="D30" s="12" t="inlineStr">
        <is>
          <t>Santa Rosa de Osos</t>
        </is>
      </c>
      <c r="E30" s="12" t="inlineStr">
        <is>
          <t>Antioquia</t>
        </is>
      </c>
      <c r="F30" s="12" t="n">
        <v>1</v>
      </c>
      <c r="G30" s="12" t="n">
        <v>2652</v>
      </c>
      <c r="H30" s="13" t="n">
        <v>-75.55571917</v>
      </c>
      <c r="I30" s="14" t="n">
        <v>6.78006389</v>
      </c>
      <c r="J30" s="15" t="n">
        <v>18.51853257432006</v>
      </c>
      <c r="K30" s="16" t="n">
        <v>18.7000518863602</v>
      </c>
      <c r="L30" s="16" t="n">
        <v>18.60905193618666</v>
      </c>
      <c r="M30" s="16" t="n">
        <v>18.39659615570366</v>
      </c>
      <c r="N30" s="16" t="n">
        <v>18.5734724857685</v>
      </c>
      <c r="O30" s="16" t="n">
        <v>18.43543605181537</v>
      </c>
      <c r="P30" s="16" t="n">
        <v>18.34457958235196</v>
      </c>
      <c r="Q30" s="16" t="n">
        <v>18.39329790301981</v>
      </c>
      <c r="R30" s="16" t="n">
        <v>18.30904085772241</v>
      </c>
      <c r="S30" s="16" t="n">
        <v>18.09559681937291</v>
      </c>
      <c r="T30" s="16" t="n">
        <v>18.05670626871438</v>
      </c>
      <c r="U30" s="16" t="n">
        <v>18.12955091714105</v>
      </c>
      <c r="V30" s="17">
        <f>AVERAGE(J30:U30)</f>
        <v/>
      </c>
      <c r="W30" s="18" t="n">
        <v>208</v>
      </c>
      <c r="X30" s="19" t="n">
        <v>0.8666666666666667</v>
      </c>
    </row>
    <row r="31" ht="13.9" customHeight="1">
      <c r="A31" s="11" t="n">
        <v>27015190</v>
      </c>
      <c r="B31" s="12" t="inlineStr">
        <is>
          <t>CO</t>
        </is>
      </c>
      <c r="C31" s="12" t="inlineStr">
        <is>
          <t>Guayabito</t>
        </is>
      </c>
      <c r="D31" s="12" t="inlineStr">
        <is>
          <t>Santo Domingo</t>
        </is>
      </c>
      <c r="E31" s="12" t="inlineStr">
        <is>
          <t>Antioquia</t>
        </is>
      </c>
      <c r="F31" s="12" t="n">
        <v>1</v>
      </c>
      <c r="G31" s="12" t="n">
        <v>1440</v>
      </c>
      <c r="H31" s="13" t="n">
        <v>-75.14675</v>
      </c>
      <c r="I31" s="14" t="n">
        <v>6.54038889</v>
      </c>
      <c r="J31" s="15" t="n">
        <v>27.09419127922527</v>
      </c>
      <c r="K31" s="16" t="n">
        <v>27.58970071449765</v>
      </c>
      <c r="L31" s="16" t="n">
        <v>27.37680151177185</v>
      </c>
      <c r="M31" s="16" t="n">
        <v>27.05678250848278</v>
      </c>
      <c r="N31" s="16" t="n">
        <v>27.03174003029363</v>
      </c>
      <c r="O31" s="16" t="n">
        <v>27.54900748038679</v>
      </c>
      <c r="P31" s="16" t="n">
        <v>28.04967305236271</v>
      </c>
      <c r="Q31" s="16" t="n">
        <v>28.20782676420792</v>
      </c>
      <c r="R31" s="16" t="n">
        <v>27.5848056923919</v>
      </c>
      <c r="S31" s="16" t="n">
        <v>26.65295860447367</v>
      </c>
      <c r="T31" s="16" t="n">
        <v>26.35831495094944</v>
      </c>
      <c r="U31" s="16" t="n">
        <v>26.53249052541517</v>
      </c>
      <c r="V31" s="17">
        <f>AVERAGE(J31:U31)</f>
        <v/>
      </c>
      <c r="W31" s="18" t="n">
        <v>319</v>
      </c>
      <c r="X31" s="19" t="n">
        <v>0.8861111111111111</v>
      </c>
    </row>
    <row r="32" ht="13.9" customHeight="1">
      <c r="A32" s="11" t="n">
        <v>23070020</v>
      </c>
      <c r="B32" s="12" t="inlineStr">
        <is>
          <t>PG</t>
        </is>
      </c>
      <c r="C32" s="12" t="inlineStr">
        <is>
          <t>Rio Claro</t>
        </is>
      </c>
      <c r="D32" s="12" t="inlineStr">
        <is>
          <t>Sonsón</t>
        </is>
      </c>
      <c r="E32" s="12" t="inlineStr">
        <is>
          <t>Antioquia</t>
        </is>
      </c>
      <c r="F32" s="12" t="n">
        <v>1</v>
      </c>
      <c r="G32" s="12" t="n">
        <v>449</v>
      </c>
      <c r="H32" s="13" t="n">
        <v>-74.84836111</v>
      </c>
      <c r="I32" s="14" t="n">
        <v>5.85552778</v>
      </c>
      <c r="J32" s="15" t="n">
        <v>31.32921861311349</v>
      </c>
      <c r="K32" s="16" t="n">
        <v>31.67562853493888</v>
      </c>
      <c r="L32" s="16" t="n">
        <v>31.14481402254484</v>
      </c>
      <c r="M32" s="16" t="n">
        <v>31.13333043002309</v>
      </c>
      <c r="N32" s="16" t="n">
        <v>31.29284113565337</v>
      </c>
      <c r="O32" s="16" t="n">
        <v>31.19618643694026</v>
      </c>
      <c r="P32" s="16" t="n">
        <v>31.94793360143749</v>
      </c>
      <c r="Q32" s="16" t="n">
        <v>32.64431525916508</v>
      </c>
      <c r="R32" s="16" t="n">
        <v>31.39646802801285</v>
      </c>
      <c r="S32" s="16" t="n">
        <v>30.6913387841508</v>
      </c>
      <c r="T32" s="16" t="n">
        <v>30.47607589221263</v>
      </c>
      <c r="U32" s="16" t="n">
        <v>30.61771615003873</v>
      </c>
      <c r="V32" s="17">
        <f>AVERAGE(J32:U32)</f>
        <v/>
      </c>
      <c r="W32" s="18" t="n">
        <v>118</v>
      </c>
      <c r="X32" s="19" t="n">
        <v>0.9833333333333333</v>
      </c>
    </row>
    <row r="33" ht="13.9" customHeight="1">
      <c r="A33" s="11" t="n">
        <v>26175030</v>
      </c>
      <c r="B33" s="12" t="inlineStr">
        <is>
          <t>CP</t>
        </is>
      </c>
      <c r="C33" s="12" t="inlineStr">
        <is>
          <t xml:space="preserve">La Granja Nacional </t>
        </is>
      </c>
      <c r="D33" s="12" t="inlineStr">
        <is>
          <t>Támesis</t>
        </is>
      </c>
      <c r="E33" s="12" t="inlineStr">
        <is>
          <t>Antioquia</t>
        </is>
      </c>
      <c r="F33" s="12" t="n">
        <v>1</v>
      </c>
      <c r="G33" s="12" t="n">
        <v>1153</v>
      </c>
      <c r="H33" s="13" t="n">
        <v>-75.69091666999999</v>
      </c>
      <c r="I33" s="14" t="n">
        <v>5.71733333</v>
      </c>
      <c r="J33" s="15" t="n">
        <v>28.22902004971231</v>
      </c>
      <c r="K33" s="16" t="n">
        <v>29.03317709066817</v>
      </c>
      <c r="L33" s="16" t="n">
        <v>28.87192433293509</v>
      </c>
      <c r="M33" s="16" t="n">
        <v>27.77608402695205</v>
      </c>
      <c r="N33" s="16" t="n">
        <v>27.16293237636174</v>
      </c>
      <c r="O33" s="16" t="n">
        <v>27.38758790974883</v>
      </c>
      <c r="P33" s="16" t="n">
        <v>27.9566968766001</v>
      </c>
      <c r="Q33" s="16" t="n">
        <v>28.49720336605891</v>
      </c>
      <c r="R33" s="16" t="n">
        <v>27.84318050234142</v>
      </c>
      <c r="S33" s="16" t="n">
        <v>26.74952255592634</v>
      </c>
      <c r="T33" s="16" t="n">
        <v>26.56644590403211</v>
      </c>
      <c r="U33" s="16" t="n">
        <v>26.98543844556348</v>
      </c>
      <c r="V33" s="17">
        <f>AVERAGE(J33:U33)</f>
        <v/>
      </c>
      <c r="W33" s="18" t="n">
        <v>356</v>
      </c>
      <c r="X33" s="19" t="n">
        <v>0.9888888888888889</v>
      </c>
    </row>
    <row r="34" ht="13.9" customHeight="1">
      <c r="A34" s="11" t="n">
        <v>26235030</v>
      </c>
      <c r="B34" s="22" t="inlineStr">
        <is>
          <t>CO</t>
        </is>
      </c>
      <c r="C34" s="22" t="inlineStr">
        <is>
          <t>Matanzas</t>
        </is>
      </c>
      <c r="D34" s="22" t="inlineStr">
        <is>
          <t>Toledo</t>
        </is>
      </c>
      <c r="E34" s="22" t="inlineStr">
        <is>
          <t>Antioquia</t>
        </is>
      </c>
      <c r="F34" s="22" t="n">
        <v>1</v>
      </c>
      <c r="G34" s="22" t="n">
        <v>569</v>
      </c>
      <c r="H34" s="23" t="n">
        <v>-75.66594443999999</v>
      </c>
      <c r="I34" s="24" t="n">
        <v>7.03583333</v>
      </c>
      <c r="J34" s="25" t="n">
        <v>32.09163091409737</v>
      </c>
      <c r="K34" s="26" t="n">
        <v>32.02986132536358</v>
      </c>
      <c r="L34" s="26" t="n">
        <v>31.84278524572155</v>
      </c>
      <c r="M34" s="26" t="n">
        <v>31.61324577815298</v>
      </c>
      <c r="N34" s="26" t="n">
        <v>31.46145227635434</v>
      </c>
      <c r="O34" s="26" t="n">
        <v>31.38681223925197</v>
      </c>
      <c r="P34" s="26" t="n">
        <v>31.36686333647692</v>
      </c>
      <c r="Q34" s="26" t="n">
        <v>31.35599899682775</v>
      </c>
      <c r="R34" s="26" t="n">
        <v>31.2858080005856</v>
      </c>
      <c r="S34" s="26" t="n">
        <v>31.34524584163897</v>
      </c>
      <c r="T34" s="26" t="n">
        <v>31.49274934626409</v>
      </c>
      <c r="U34" s="26" t="n">
        <v>31.71549962582221</v>
      </c>
      <c r="V34" s="27">
        <f>AVERAGE(J34:U34)</f>
        <v/>
      </c>
      <c r="W34" s="28" t="n">
        <v>120</v>
      </c>
      <c r="X34" s="29" t="n">
        <v>1</v>
      </c>
    </row>
    <row r="35" ht="13.9" customHeight="1">
      <c r="A35" s="11" t="n">
        <v>11075010</v>
      </c>
      <c r="B35" s="22" t="inlineStr">
        <is>
          <t>CO</t>
        </is>
      </c>
      <c r="C35" s="22" t="inlineStr">
        <is>
          <t xml:space="preserve">La Honda </t>
        </is>
      </c>
      <c r="D35" s="22" t="inlineStr">
        <is>
          <t>Urrao</t>
        </is>
      </c>
      <c r="E35" s="22" t="inlineStr">
        <is>
          <t>Antioquia</t>
        </is>
      </c>
      <c r="F35" s="22" t="n">
        <v>1</v>
      </c>
      <c r="G35" s="22" t="n">
        <v>1850</v>
      </c>
      <c r="H35" s="23" t="n">
        <v>-76.15805556000001</v>
      </c>
      <c r="I35" s="24" t="n">
        <v>6.35638889</v>
      </c>
      <c r="J35" s="25" t="n">
        <v>21.68246149374886</v>
      </c>
      <c r="K35" s="26" t="n">
        <v>21.76765247252747</v>
      </c>
      <c r="L35" s="26" t="n">
        <v>21.71505863389484</v>
      </c>
      <c r="M35" s="26" t="n">
        <v>21.56260561660562</v>
      </c>
      <c r="N35" s="26" t="n">
        <v>21.88997654110733</v>
      </c>
      <c r="O35" s="26" t="n">
        <v>21.48061085466258</v>
      </c>
      <c r="P35" s="26" t="n">
        <v>21.66037974238406</v>
      </c>
      <c r="Q35" s="26" t="n">
        <v>21.94005733342798</v>
      </c>
      <c r="R35" s="26" t="n">
        <v>21.24778077765147</v>
      </c>
      <c r="S35" s="26" t="n">
        <v>21.30755254677856</v>
      </c>
      <c r="T35" s="26" t="n">
        <v>20.96686976816287</v>
      </c>
      <c r="U35" s="26" t="n">
        <v>21.14742696112262</v>
      </c>
      <c r="V35" s="27">
        <f>AVERAGE(J35:U35)</f>
        <v/>
      </c>
      <c r="W35" s="28" t="n">
        <v>101</v>
      </c>
      <c r="X35" s="29" t="n">
        <v>0.84</v>
      </c>
    </row>
    <row r="36" ht="13.9" customHeight="1">
      <c r="A36" s="11" t="n">
        <v>11075020</v>
      </c>
      <c r="B36" s="22" t="inlineStr">
        <is>
          <t>CO</t>
        </is>
      </c>
      <c r="C36" s="22" t="inlineStr">
        <is>
          <t>Urrao</t>
        </is>
      </c>
      <c r="D36" s="22" t="inlineStr">
        <is>
          <t>Urrao</t>
        </is>
      </c>
      <c r="E36" s="22" t="inlineStr">
        <is>
          <t>Antioquia</t>
        </is>
      </c>
      <c r="F36" s="22" t="n">
        <v>1</v>
      </c>
      <c r="G36" s="22" t="n">
        <v>1833</v>
      </c>
      <c r="H36" s="23" t="n">
        <v>-76.14330556</v>
      </c>
      <c r="I36" s="24" t="n">
        <v>6.29830556</v>
      </c>
      <c r="J36" s="25" t="n">
        <v>22.73414575866189</v>
      </c>
      <c r="K36" s="26" t="n">
        <v>23.08326198686371</v>
      </c>
      <c r="L36" s="26" t="n">
        <v>22.97631617977089</v>
      </c>
      <c r="M36" s="26" t="n">
        <v>22.73592939244663</v>
      </c>
      <c r="N36" s="26" t="n">
        <v>22.63177088299168</v>
      </c>
      <c r="O36" s="26" t="n">
        <v>22.72612319832147</v>
      </c>
      <c r="P36" s="26" t="n">
        <v>22.96179749103943</v>
      </c>
      <c r="Q36" s="26" t="n">
        <v>23.00482202447163</v>
      </c>
      <c r="R36" s="26" t="n">
        <v>22.45126348364279</v>
      </c>
      <c r="S36" s="26" t="n">
        <v>21.96811131415859</v>
      </c>
      <c r="T36" s="26" t="n">
        <v>21.63016112023353</v>
      </c>
      <c r="U36" s="26" t="n">
        <v>21.87816425658139</v>
      </c>
      <c r="V36" s="27">
        <f>AVERAGE(J36:U36)</f>
        <v/>
      </c>
      <c r="W36" s="28" t="n">
        <v>238</v>
      </c>
      <c r="X36" s="29" t="n">
        <v>0.9916666666666667</v>
      </c>
    </row>
    <row r="37" ht="13.9" customHeight="1">
      <c r="A37" s="11" t="n">
        <v>26255020</v>
      </c>
      <c r="B37" s="22" t="inlineStr">
        <is>
          <t>CO</t>
        </is>
      </c>
      <c r="C37" s="22" t="inlineStr">
        <is>
          <t>Santa Isabel</t>
        </is>
      </c>
      <c r="D37" s="22" t="inlineStr">
        <is>
          <t>Valdivia</t>
        </is>
      </c>
      <c r="E37" s="22" t="inlineStr">
        <is>
          <t>Antioquia</t>
        </is>
      </c>
      <c r="F37" s="22" t="n">
        <v>1</v>
      </c>
      <c r="G37" s="22" t="n">
        <v>1131</v>
      </c>
      <c r="H37" s="23" t="n">
        <v>-75.442275</v>
      </c>
      <c r="I37" s="24" t="n">
        <v>7.15722222</v>
      </c>
      <c r="J37" s="25" t="n">
        <v>25.10411064803739</v>
      </c>
      <c r="K37" s="26" t="n">
        <v>25.45536875840817</v>
      </c>
      <c r="L37" s="26" t="n">
        <v>25.65230080369244</v>
      </c>
      <c r="M37" s="26" t="n">
        <v>25.87612167922801</v>
      </c>
      <c r="N37" s="26" t="n">
        <v>26.05268344113961</v>
      </c>
      <c r="O37" s="26" t="n">
        <v>25.95239036635816</v>
      </c>
      <c r="P37" s="26" t="n">
        <v>26.1510908653639</v>
      </c>
      <c r="Q37" s="26" t="n">
        <v>26.09054834373353</v>
      </c>
      <c r="R37" s="26" t="n">
        <v>25.82536947395248</v>
      </c>
      <c r="S37" s="26" t="n">
        <v>25.62075560372229</v>
      </c>
      <c r="T37" s="26" t="n">
        <v>25.29864262576303</v>
      </c>
      <c r="U37" s="26" t="n">
        <v>25.04196805131886</v>
      </c>
      <c r="V37" s="27">
        <f>AVERAGE(J37:U37)</f>
        <v/>
      </c>
      <c r="W37" s="28" t="n">
        <v>337</v>
      </c>
      <c r="X37" s="29" t="n">
        <v>0.9361111111111111</v>
      </c>
    </row>
    <row r="38" ht="13.9" customHeight="1">
      <c r="A38" s="11" t="n">
        <v>23105030</v>
      </c>
      <c r="B38" s="22" t="inlineStr">
        <is>
          <t>CO</t>
        </is>
      </c>
      <c r="C38" s="22" t="inlineStr">
        <is>
          <t>Vegachí</t>
        </is>
      </c>
      <c r="D38" s="22" t="inlineStr">
        <is>
          <t>Vegachí</t>
        </is>
      </c>
      <c r="E38" s="22" t="inlineStr">
        <is>
          <t>Antioquia</t>
        </is>
      </c>
      <c r="F38" s="22" t="n">
        <v>1</v>
      </c>
      <c r="G38" s="22" t="n">
        <v>990</v>
      </c>
      <c r="H38" s="23" t="n">
        <v>-74.79652777999999</v>
      </c>
      <c r="I38" s="24" t="n">
        <v>6.77411111</v>
      </c>
      <c r="J38" s="25" t="n">
        <v>27.29433273437723</v>
      </c>
      <c r="K38" s="26" t="n">
        <v>27.80102373233408</v>
      </c>
      <c r="L38" s="26" t="n">
        <v>27.62544290599196</v>
      </c>
      <c r="M38" s="26" t="n">
        <v>27.35254170624733</v>
      </c>
      <c r="N38" s="26" t="n">
        <v>27.19516228594186</v>
      </c>
      <c r="O38" s="26" t="n">
        <v>27.41091748768473</v>
      </c>
      <c r="P38" s="26" t="n">
        <v>27.68690238060001</v>
      </c>
      <c r="Q38" s="26" t="n">
        <v>27.88060337126722</v>
      </c>
      <c r="R38" s="26" t="n">
        <v>27.42542928397669</v>
      </c>
      <c r="S38" s="26" t="n">
        <v>26.81077078235076</v>
      </c>
      <c r="T38" s="26" t="n">
        <v>26.53686781609196</v>
      </c>
      <c r="U38" s="26" t="n">
        <v>26.71413210445468</v>
      </c>
      <c r="V38" s="27">
        <f>AVERAGE(J38:U38)</f>
        <v/>
      </c>
      <c r="W38" s="28" t="n">
        <v>295</v>
      </c>
      <c r="X38" s="29" t="n">
        <v>0.8194444444444444</v>
      </c>
    </row>
    <row r="39" ht="13.9" customHeight="1">
      <c r="A39" s="11" t="n">
        <v>37055010</v>
      </c>
      <c r="B39" s="22" t="inlineStr">
        <is>
          <t>SP</t>
        </is>
      </c>
      <c r="C39" s="22" t="inlineStr">
        <is>
          <t>Aeropuerto Santiago Pérez</t>
        </is>
      </c>
      <c r="D39" s="22" t="inlineStr">
        <is>
          <t>Arauca</t>
        </is>
      </c>
      <c r="E39" s="22" t="inlineStr">
        <is>
          <t>Arauca</t>
        </is>
      </c>
      <c r="F39" s="22" t="n">
        <v>8</v>
      </c>
      <c r="G39" s="22" t="n">
        <v>128</v>
      </c>
      <c r="H39" s="23" t="n">
        <v>-70.73805556000001</v>
      </c>
      <c r="I39" s="24" t="n">
        <v>7.06944444</v>
      </c>
      <c r="J39" s="25" t="n">
        <v>33.21028801843318</v>
      </c>
      <c r="K39" s="26" t="n">
        <v>34.35315789961725</v>
      </c>
      <c r="L39" s="26" t="n">
        <v>34.61655584814572</v>
      </c>
      <c r="M39" s="26" t="n">
        <v>33.02434729064039</v>
      </c>
      <c r="N39" s="26" t="n">
        <v>31.34613565337148</v>
      </c>
      <c r="O39" s="26" t="n">
        <v>30.14402943936195</v>
      </c>
      <c r="P39" s="26" t="n">
        <v>30.02902622339258</v>
      </c>
      <c r="Q39" s="26" t="n">
        <v>30.80035842293907</v>
      </c>
      <c r="R39" s="26" t="n">
        <v>31.67147144681628</v>
      </c>
      <c r="S39" s="26" t="n">
        <v>31.93698646644419</v>
      </c>
      <c r="T39" s="26" t="n">
        <v>31.676026272578</v>
      </c>
      <c r="U39" s="26" t="n">
        <v>32.050120160947</v>
      </c>
      <c r="V39" s="27">
        <f>AVERAGE(J39:U39)</f>
        <v/>
      </c>
      <c r="W39" s="28" t="n">
        <v>333</v>
      </c>
      <c r="X39" s="29" t="n">
        <v>0.925</v>
      </c>
    </row>
    <row r="40" ht="13.9" customHeight="1">
      <c r="A40" s="11" t="n">
        <v>37045010</v>
      </c>
      <c r="B40" s="22" t="inlineStr">
        <is>
          <t>CO</t>
        </is>
      </c>
      <c r="C40" s="22" t="inlineStr">
        <is>
          <t>Saravena</t>
        </is>
      </c>
      <c r="D40" s="22" t="inlineStr">
        <is>
          <t>Saravena</t>
        </is>
      </c>
      <c r="E40" s="22" t="inlineStr">
        <is>
          <t>Arauca</t>
        </is>
      </c>
      <c r="F40" s="22" t="n">
        <v>8</v>
      </c>
      <c r="G40" s="22" t="n">
        <v>148</v>
      </c>
      <c r="H40" s="23" t="n">
        <v>-71.89055556000001</v>
      </c>
      <c r="I40" s="24" t="n">
        <v>6.94638889</v>
      </c>
      <c r="J40" s="25" t="n">
        <v>30.87120998640465</v>
      </c>
      <c r="K40" s="26" t="n">
        <v>31.98471564355185</v>
      </c>
      <c r="L40" s="26" t="n">
        <v>31.88003925584571</v>
      </c>
      <c r="M40" s="26" t="n">
        <v>30.99167649861137</v>
      </c>
      <c r="N40" s="26" t="n">
        <v>30.59917596270989</v>
      </c>
      <c r="O40" s="26" t="n">
        <v>29.85219303046889</v>
      </c>
      <c r="P40" s="26" t="n">
        <v>29.44364610658159</v>
      </c>
      <c r="Q40" s="26" t="n">
        <v>30.17493333333334</v>
      </c>
      <c r="R40" s="26" t="n">
        <v>30.81788505747127</v>
      </c>
      <c r="S40" s="26" t="n">
        <v>31.29679900744417</v>
      </c>
      <c r="T40" s="26" t="n">
        <v>31.1181846939778</v>
      </c>
      <c r="U40" s="26" t="n">
        <v>30.70607508342603</v>
      </c>
      <c r="V40" s="27">
        <f>AVERAGE(J40:U40)</f>
        <v/>
      </c>
      <c r="W40" s="28" t="n">
        <v>111</v>
      </c>
      <c r="X40" s="29" t="n">
        <v>0.925</v>
      </c>
    </row>
    <row r="41" ht="13.9" customHeight="1">
      <c r="A41" s="11" t="n">
        <v>36025010</v>
      </c>
      <c r="B41" s="22" t="inlineStr">
        <is>
          <t>CO</t>
        </is>
      </c>
      <c r="C41" s="22" t="inlineStr">
        <is>
          <t>Tame</t>
        </is>
      </c>
      <c r="D41" s="22" t="inlineStr">
        <is>
          <t>Tame</t>
        </is>
      </c>
      <c r="E41" s="22" t="inlineStr">
        <is>
          <t>Arauca</t>
        </is>
      </c>
      <c r="F41" s="22" t="n">
        <v>6</v>
      </c>
      <c r="G41" s="22" t="n">
        <v>350</v>
      </c>
      <c r="H41" s="23" t="n">
        <v>-71.74502778</v>
      </c>
      <c r="I41" s="24" t="n">
        <v>6.45619444</v>
      </c>
      <c r="J41" s="25" t="n">
        <v>33.44030107526883</v>
      </c>
      <c r="K41" s="26" t="n">
        <v>33.54273399014779</v>
      </c>
      <c r="L41" s="26" t="n">
        <v>33.53942083796812</v>
      </c>
      <c r="M41" s="26" t="n">
        <v>33.39208195902049</v>
      </c>
      <c r="N41" s="26" t="n">
        <v>33.3752927120669</v>
      </c>
      <c r="O41" s="26" t="n">
        <v>33.49473818646232</v>
      </c>
      <c r="P41" s="26" t="n">
        <v>33.45548387096775</v>
      </c>
      <c r="Q41" s="26" t="n">
        <v>33.51202150537635</v>
      </c>
      <c r="R41" s="26" t="n">
        <v>33.50352873563219</v>
      </c>
      <c r="S41" s="26" t="n">
        <v>33.58248053392659</v>
      </c>
      <c r="T41" s="26" t="n">
        <v>33.60115942028986</v>
      </c>
      <c r="U41" s="26" t="n">
        <v>33.68612578791249</v>
      </c>
      <c r="V41" s="27">
        <f>AVERAGE(J41:U41)</f>
        <v/>
      </c>
      <c r="W41" s="28" t="n">
        <v>112</v>
      </c>
      <c r="X41" s="29" t="n">
        <v>0.9333333333333333</v>
      </c>
    </row>
    <row r="42" ht="13.9" customHeight="1">
      <c r="A42" s="11" t="n">
        <v>17025020</v>
      </c>
      <c r="B42" s="22" t="inlineStr">
        <is>
          <t>SP</t>
        </is>
      </c>
      <c r="C42" s="22" t="inlineStr">
        <is>
          <t>Aeropuerto El Embrujo</t>
        </is>
      </c>
      <c r="D42" s="22" t="inlineStr">
        <is>
          <t>Isla de Providencia</t>
        </is>
      </c>
      <c r="E42" s="22" t="inlineStr">
        <is>
          <t>Archipiélago de San Andres, Providencia y Santa Catalina</t>
        </is>
      </c>
      <c r="F42" s="22" t="n">
        <v>11</v>
      </c>
      <c r="G42" s="22" t="n">
        <v>7</v>
      </c>
      <c r="H42" s="23" t="n">
        <v>-81.35772222</v>
      </c>
      <c r="I42" s="24" t="n">
        <v>13.3595</v>
      </c>
      <c r="J42" s="25" t="n">
        <v>29.21450565813867</v>
      </c>
      <c r="K42" s="26" t="n">
        <v>29.34120368096782</v>
      </c>
      <c r="L42" s="26" t="n">
        <v>29.82041527623285</v>
      </c>
      <c r="M42" s="26" t="n">
        <v>30.50286570390018</v>
      </c>
      <c r="N42" s="26" t="n">
        <v>30.71051039616668</v>
      </c>
      <c r="O42" s="26" t="n">
        <v>30.64257745612791</v>
      </c>
      <c r="P42" s="26" t="n">
        <v>30.65428039702234</v>
      </c>
      <c r="Q42" s="26" t="n">
        <v>31.04642430448881</v>
      </c>
      <c r="R42" s="26" t="n">
        <v>31.21372484526968</v>
      </c>
      <c r="S42" s="26" t="n">
        <v>30.71784854333242</v>
      </c>
      <c r="T42" s="26" t="n">
        <v>30.043388383647</v>
      </c>
      <c r="U42" s="26" t="n">
        <v>29.60446556780261</v>
      </c>
      <c r="V42" s="27">
        <f>AVERAGE(J42:U42)</f>
        <v/>
      </c>
      <c r="W42" s="28" t="n">
        <v>304</v>
      </c>
      <c r="X42" s="29" t="n">
        <v>0.8444444444444444</v>
      </c>
    </row>
    <row r="43" ht="13.9" customHeight="1">
      <c r="A43" s="11" t="n">
        <v>17015010</v>
      </c>
      <c r="B43" s="22" t="inlineStr">
        <is>
          <t>SP</t>
        </is>
      </c>
      <c r="C43" s="22" t="inlineStr">
        <is>
          <t>Aeropuerto Sesquicentenario</t>
        </is>
      </c>
      <c r="D43" s="22" t="inlineStr">
        <is>
          <t>Isla de San Andrés</t>
        </is>
      </c>
      <c r="E43" s="22" t="inlineStr">
        <is>
          <t>Archipiélago de San Andres, Providencia y Santa Catalina</t>
        </is>
      </c>
      <c r="F43" s="22" t="n">
        <v>11</v>
      </c>
      <c r="G43" s="22" t="n">
        <v>1</v>
      </c>
      <c r="H43" s="23" t="n">
        <v>-81.7038888888889</v>
      </c>
      <c r="I43" s="24" t="n">
        <v>12.58694444444444</v>
      </c>
      <c r="J43" s="25" t="n">
        <v>28.8303112076096</v>
      </c>
      <c r="K43" s="26" t="n">
        <v>28.94506602847982</v>
      </c>
      <c r="L43" s="26" t="n">
        <v>29.39282929852869</v>
      </c>
      <c r="M43" s="26" t="n">
        <v>30.01194239447002</v>
      </c>
      <c r="N43" s="26" t="n">
        <v>30.34710670452606</v>
      </c>
      <c r="O43" s="26" t="n">
        <v>30.35098157270572</v>
      </c>
      <c r="P43" s="26" t="n">
        <v>30.19737177600823</v>
      </c>
      <c r="Q43" s="26" t="n">
        <v>30.51594346942419</v>
      </c>
      <c r="R43" s="26" t="n">
        <v>30.83714412024756</v>
      </c>
      <c r="S43" s="26" t="n">
        <v>30.44335943070648</v>
      </c>
      <c r="T43" s="26" t="n">
        <v>29.63562379829621</v>
      </c>
      <c r="U43" s="26" t="n">
        <v>29.26003451128034</v>
      </c>
      <c r="V43" s="27">
        <f>AVERAGE(J43:U43)</f>
        <v/>
      </c>
      <c r="W43" s="28" t="n">
        <v>317</v>
      </c>
      <c r="X43" s="29" t="n">
        <v>0.8805555555555555</v>
      </c>
    </row>
    <row r="44" ht="13.9" customHeight="1">
      <c r="A44" s="11" t="n">
        <v>29045110</v>
      </c>
      <c r="B44" s="22" t="inlineStr">
        <is>
          <t>CO</t>
        </is>
      </c>
      <c r="C44" s="22" t="inlineStr">
        <is>
          <t>Juan de Acosta</t>
        </is>
      </c>
      <c r="D44" s="22" t="inlineStr">
        <is>
          <t>Juan de Acosta</t>
        </is>
      </c>
      <c r="E44" s="22" t="inlineStr">
        <is>
          <t>Atlántico</t>
        </is>
      </c>
      <c r="F44" s="22" t="n">
        <v>2</v>
      </c>
      <c r="G44" s="22" t="n">
        <v>20</v>
      </c>
      <c r="H44" s="23" t="n">
        <v>-75.04611111</v>
      </c>
      <c r="I44" s="24" t="n">
        <v>10.83388889</v>
      </c>
      <c r="J44" s="25" t="n">
        <v>32.51504802863594</v>
      </c>
      <c r="K44" s="26" t="n">
        <v>32.99248542514297</v>
      </c>
      <c r="L44" s="26" t="n">
        <v>33.33601762145683</v>
      </c>
      <c r="M44" s="26" t="n">
        <v>33.74429841284727</v>
      </c>
      <c r="N44" s="26" t="n">
        <v>33.06789267758052</v>
      </c>
      <c r="O44" s="26" t="n">
        <v>32.96514467600955</v>
      </c>
      <c r="P44" s="26" t="n">
        <v>33.12867101158066</v>
      </c>
      <c r="Q44" s="26" t="n">
        <v>33.09544053316601</v>
      </c>
      <c r="R44" s="26" t="n">
        <v>32.55990361900886</v>
      </c>
      <c r="S44" s="26" t="n">
        <v>31.84932196233425</v>
      </c>
      <c r="T44" s="26" t="n">
        <v>31.84106811006147</v>
      </c>
      <c r="U44" s="26" t="n">
        <v>32.22970967927422</v>
      </c>
      <c r="V44" s="27">
        <f>AVERAGE(J44:U44)</f>
        <v/>
      </c>
      <c r="W44" s="28" t="n">
        <v>291</v>
      </c>
      <c r="X44" s="29" t="n">
        <v>0.8083333333333333</v>
      </c>
    </row>
    <row r="45" ht="13.9" customHeight="1">
      <c r="A45" s="11" t="n">
        <v>29035080</v>
      </c>
      <c r="B45" s="22" t="inlineStr">
        <is>
          <t>CP</t>
        </is>
      </c>
      <c r="C45" s="22" t="inlineStr">
        <is>
          <t>Normal Manatí</t>
        </is>
      </c>
      <c r="D45" s="22" t="inlineStr">
        <is>
          <t>Manatí</t>
        </is>
      </c>
      <c r="E45" s="22" t="inlineStr">
        <is>
          <t>Atlántico</t>
        </is>
      </c>
      <c r="F45" s="22" t="n">
        <v>2</v>
      </c>
      <c r="G45" s="22" t="n">
        <v>10</v>
      </c>
      <c r="H45" s="23" t="n">
        <v>-74.95463889</v>
      </c>
      <c r="I45" s="24" t="n">
        <v>10.45358333</v>
      </c>
      <c r="J45" s="25" t="n">
        <v>35.50387253511605</v>
      </c>
      <c r="K45" s="26" t="n">
        <v>35.96265139713415</v>
      </c>
      <c r="L45" s="26" t="n">
        <v>36.1644879672299</v>
      </c>
      <c r="M45" s="26" t="n">
        <v>35.69232827389724</v>
      </c>
      <c r="N45" s="26" t="n">
        <v>34.54421749474727</v>
      </c>
      <c r="O45" s="26" t="n">
        <v>34.46225925727612</v>
      </c>
      <c r="P45" s="26" t="n">
        <v>34.59148161134487</v>
      </c>
      <c r="Q45" s="26" t="n">
        <v>34.51170989522008</v>
      </c>
      <c r="R45" s="26" t="n">
        <v>33.71220107797711</v>
      </c>
      <c r="S45" s="26" t="n">
        <v>33.22041529271208</v>
      </c>
      <c r="T45" s="26" t="n">
        <v>33.22617922520222</v>
      </c>
      <c r="U45" s="26" t="n">
        <v>34.22031357102641</v>
      </c>
      <c r="V45" s="27">
        <f>AVERAGE(J45:U45)</f>
        <v/>
      </c>
      <c r="W45" s="28" t="n">
        <v>290</v>
      </c>
      <c r="X45" s="29" t="n">
        <v>0.8055555555555556</v>
      </c>
    </row>
    <row r="46" ht="13.9" customHeight="1">
      <c r="A46" s="11" t="n">
        <v>29045190</v>
      </c>
      <c r="B46" s="22" t="inlineStr">
        <is>
          <t>SP</t>
        </is>
      </c>
      <c r="C46" s="22" t="inlineStr">
        <is>
          <t xml:space="preserve">Aeropuerto Ernesto Cortissoz - AUT </t>
        </is>
      </c>
      <c r="D46" s="22" t="inlineStr">
        <is>
          <t>Soledad</t>
        </is>
      </c>
      <c r="E46" s="22" t="inlineStr">
        <is>
          <t>Atlántico</t>
        </is>
      </c>
      <c r="F46" s="22" t="n">
        <v>2</v>
      </c>
      <c r="G46" s="22" t="n">
        <v>14</v>
      </c>
      <c r="H46" s="23" t="n">
        <v>-74.77972222000001</v>
      </c>
      <c r="I46" s="24" t="n">
        <v>10.91777778</v>
      </c>
      <c r="J46" s="25" t="n">
        <v>31.62534816462737</v>
      </c>
      <c r="K46" s="26" t="n">
        <v>31.79931985319916</v>
      </c>
      <c r="L46" s="26" t="n">
        <v>32.39624896608767</v>
      </c>
      <c r="M46" s="26" t="n">
        <v>33.35385134099617</v>
      </c>
      <c r="N46" s="26" t="n">
        <v>33.54893185020393</v>
      </c>
      <c r="O46" s="26" t="n">
        <v>33.3369437243668</v>
      </c>
      <c r="P46" s="26" t="n">
        <v>33.09124613768385</v>
      </c>
      <c r="Q46" s="26" t="n">
        <v>33.50716069707082</v>
      </c>
      <c r="R46" s="26" t="n">
        <v>33.30899770114942</v>
      </c>
      <c r="S46" s="26" t="n">
        <v>32.76176385743513</v>
      </c>
      <c r="T46" s="26" t="n">
        <v>32.3908504378763</v>
      </c>
      <c r="U46" s="26" t="n">
        <v>32.10245007680491</v>
      </c>
      <c r="V46" s="27">
        <f>AVERAGE(J46:U46)</f>
        <v/>
      </c>
      <c r="W46" s="28" t="n">
        <v>299</v>
      </c>
      <c r="X46" s="29" t="n">
        <v>0.8305555555555556</v>
      </c>
    </row>
    <row r="47" ht="13.9" customHeight="1">
      <c r="A47" s="11" t="n">
        <v>14015080</v>
      </c>
      <c r="B47" s="22" t="inlineStr">
        <is>
          <t>SP</t>
        </is>
      </c>
      <c r="C47" s="22" t="inlineStr">
        <is>
          <t>Aeropuerto Rafael Nuñez</t>
        </is>
      </c>
      <c r="D47" s="22" t="inlineStr">
        <is>
          <t>Cartagena de Indias</t>
        </is>
      </c>
      <c r="E47" s="22" t="inlineStr">
        <is>
          <t>Bolívar</t>
        </is>
      </c>
      <c r="F47" s="22" t="n">
        <v>2</v>
      </c>
      <c r="G47" s="22" t="n">
        <v>2</v>
      </c>
      <c r="H47" s="23" t="n">
        <v>-75.51602778</v>
      </c>
      <c r="I47" s="24" t="n">
        <v>10.44725</v>
      </c>
      <c r="J47" s="25" t="n">
        <v>31.05777419354838</v>
      </c>
      <c r="K47" s="26" t="n">
        <v>31.08212856534696</v>
      </c>
      <c r="L47" s="26" t="n">
        <v>31.20645161290323</v>
      </c>
      <c r="M47" s="26" t="n">
        <v>31.68983360700603</v>
      </c>
      <c r="N47" s="26" t="n">
        <v>31.96842652329749</v>
      </c>
      <c r="O47" s="26" t="n">
        <v>32.3273644103874</v>
      </c>
      <c r="P47" s="26" t="n">
        <v>32.24904301075269</v>
      </c>
      <c r="Q47" s="26" t="n">
        <v>32.24380588904658</v>
      </c>
      <c r="R47" s="26" t="n">
        <v>32.06653111375346</v>
      </c>
      <c r="S47" s="26" t="n">
        <v>31.66957730812013</v>
      </c>
      <c r="T47" s="26" t="n">
        <v>31.53188267934998</v>
      </c>
      <c r="U47" s="26" t="n">
        <v>31.40173756280925</v>
      </c>
      <c r="V47" s="27">
        <f>AVERAGE(J47:U47)</f>
        <v/>
      </c>
      <c r="W47" s="28" t="n">
        <v>355</v>
      </c>
      <c r="X47" s="29" t="n">
        <v>0.9861111111111112</v>
      </c>
    </row>
    <row r="48" ht="13.9" customHeight="1">
      <c r="A48" s="11" t="n">
        <v>29015020</v>
      </c>
      <c r="B48" s="22" t="inlineStr">
        <is>
          <t>AM</t>
        </is>
      </c>
      <c r="C48" s="22" t="inlineStr">
        <is>
          <t>Carmen de Bolívar</t>
        </is>
      </c>
      <c r="D48" s="22" t="inlineStr">
        <is>
          <t>El Carmén de Bolívar</t>
        </is>
      </c>
      <c r="E48" s="22" t="inlineStr">
        <is>
          <t>Bolívar</t>
        </is>
      </c>
      <c r="F48" s="22" t="n">
        <v>2</v>
      </c>
      <c r="G48" s="22" t="n">
        <v>152</v>
      </c>
      <c r="H48" s="23" t="n">
        <v>-75.11</v>
      </c>
      <c r="I48" s="24" t="n">
        <v>9.720000000000001</v>
      </c>
      <c r="J48" s="25" t="n">
        <v>34.09735207373272</v>
      </c>
      <c r="K48" s="26" t="n">
        <v>34.78474778832633</v>
      </c>
      <c r="L48" s="26" t="n">
        <v>34.63677970774745</v>
      </c>
      <c r="M48" s="26" t="n">
        <v>34.14333048433048</v>
      </c>
      <c r="N48" s="26" t="n">
        <v>32.64647474972192</v>
      </c>
      <c r="O48" s="26" t="n">
        <v>32.96258073344281</v>
      </c>
      <c r="P48" s="26" t="n">
        <v>33.75518427882833</v>
      </c>
      <c r="Q48" s="26" t="n">
        <v>33.48930088987764</v>
      </c>
      <c r="R48" s="26" t="n">
        <v>32.15386731786732</v>
      </c>
      <c r="S48" s="26" t="n">
        <v>31.81402799112477</v>
      </c>
      <c r="T48" s="26" t="n">
        <v>32.03613111026904</v>
      </c>
      <c r="U48" s="26" t="n">
        <v>32.94022963832196</v>
      </c>
      <c r="V48" s="27">
        <f>AVERAGE(J48:U48)</f>
        <v/>
      </c>
      <c r="W48" s="28" t="n">
        <v>112</v>
      </c>
      <c r="X48" s="29" t="n">
        <v>0.9333333333333333</v>
      </c>
    </row>
    <row r="49" ht="13.9" customHeight="1">
      <c r="A49" s="11" t="n">
        <v>29035110</v>
      </c>
      <c r="B49" s="22" t="inlineStr">
        <is>
          <t>CO</t>
        </is>
      </c>
      <c r="C49" s="22" t="inlineStr">
        <is>
          <t>San Pablo</t>
        </is>
      </c>
      <c r="D49" s="22" t="inlineStr">
        <is>
          <t>María La Baja</t>
        </is>
      </c>
      <c r="E49" s="22" t="inlineStr">
        <is>
          <t>Bolívar</t>
        </is>
      </c>
      <c r="F49" s="22" t="n">
        <v>2</v>
      </c>
      <c r="G49" s="22" t="n">
        <v>20</v>
      </c>
      <c r="H49" s="23" t="n">
        <v>-75.25861111</v>
      </c>
      <c r="I49" s="24" t="n">
        <v>10.04316667</v>
      </c>
      <c r="J49" s="25" t="n">
        <v>33.87254838709677</v>
      </c>
      <c r="K49" s="26" t="n">
        <v>34.69290619342343</v>
      </c>
      <c r="L49" s="26" t="n">
        <v>34.5021724137931</v>
      </c>
      <c r="M49" s="26" t="n">
        <v>34.05637931034484</v>
      </c>
      <c r="N49" s="26" t="n">
        <v>33.24099888765295</v>
      </c>
      <c r="O49" s="26" t="n">
        <v>33.57764285714286</v>
      </c>
      <c r="P49" s="26" t="n">
        <v>33.77075507765831</v>
      </c>
      <c r="Q49" s="26" t="n">
        <v>33.15956989247312</v>
      </c>
      <c r="R49" s="26" t="n">
        <v>32.96905400474365</v>
      </c>
      <c r="S49" s="26" t="n">
        <v>32.02263975846178</v>
      </c>
      <c r="T49" s="26" t="n">
        <v>32.22819193577814</v>
      </c>
      <c r="U49" s="26" t="n">
        <v>32.57631303299963</v>
      </c>
      <c r="V49" s="27">
        <f>AVERAGE(J49:U49)</f>
        <v/>
      </c>
      <c r="W49" s="28" t="n">
        <v>117</v>
      </c>
      <c r="X49" s="29" t="n">
        <v>0.975</v>
      </c>
    </row>
    <row r="50" ht="13.9" customHeight="1">
      <c r="A50" s="11" t="n">
        <v>23205020</v>
      </c>
      <c r="B50" s="22" t="inlineStr">
        <is>
          <t>CO</t>
        </is>
      </c>
      <c r="C50" s="22" t="inlineStr">
        <is>
          <t>Colegio Cooperativo</t>
        </is>
      </c>
      <c r="D50" s="22" t="inlineStr">
        <is>
          <t xml:space="preserve">San Pablo </t>
        </is>
      </c>
      <c r="E50" s="22" t="inlineStr">
        <is>
          <t>Bolívar</t>
        </is>
      </c>
      <c r="F50" s="22" t="n">
        <v>8</v>
      </c>
      <c r="G50" s="22" t="n">
        <v>165</v>
      </c>
      <c r="H50" s="23" t="n">
        <v>-73.92555556000001</v>
      </c>
      <c r="I50" s="24" t="n">
        <v>7.475</v>
      </c>
      <c r="J50" s="25" t="n">
        <v>33.79464111640308</v>
      </c>
      <c r="K50" s="26" t="n">
        <v>34.21853816213586</v>
      </c>
      <c r="L50" s="26" t="n">
        <v>33.76212467468262</v>
      </c>
      <c r="M50" s="26" t="n">
        <v>32.93778830926416</v>
      </c>
      <c r="N50" s="26" t="n">
        <v>32.55642119373354</v>
      </c>
      <c r="O50" s="26" t="n">
        <v>32.91789325244785</v>
      </c>
      <c r="P50" s="26" t="n">
        <v>33.17339268227756</v>
      </c>
      <c r="Q50" s="26" t="n">
        <v>33.19279488232075</v>
      </c>
      <c r="R50" s="26" t="n">
        <v>32.6905230039437</v>
      </c>
      <c r="S50" s="26" t="n">
        <v>32.25190628844461</v>
      </c>
      <c r="T50" s="26" t="n">
        <v>32.16663532354194</v>
      </c>
      <c r="U50" s="26" t="n">
        <v>33.0668647136821</v>
      </c>
      <c r="V50" s="27">
        <f>AVERAGE(J50:U50)</f>
        <v/>
      </c>
      <c r="W50" s="28" t="n">
        <v>291</v>
      </c>
      <c r="X50" s="29" t="n">
        <v>0.8083333333333333</v>
      </c>
    </row>
    <row r="51" ht="13.9" customHeight="1">
      <c r="A51" s="11" t="n">
        <v>23205030</v>
      </c>
      <c r="B51" s="22" t="inlineStr">
        <is>
          <t>CO</t>
        </is>
      </c>
      <c r="C51" s="22" t="inlineStr">
        <is>
          <t>Santa Rosa de Simití</t>
        </is>
      </c>
      <c r="D51" s="22" t="inlineStr">
        <is>
          <t>Santa Rosa del Sur</t>
        </is>
      </c>
      <c r="E51" s="22" t="inlineStr">
        <is>
          <t>Bolívar</t>
        </is>
      </c>
      <c r="F51" s="22" t="n">
        <v>8</v>
      </c>
      <c r="G51" s="22" t="n">
        <v>650</v>
      </c>
      <c r="H51" s="23" t="n">
        <v>-74.05916667</v>
      </c>
      <c r="I51" s="24" t="n">
        <v>7.96527778</v>
      </c>
      <c r="J51" s="25" t="n">
        <v>30.67802145985841</v>
      </c>
      <c r="K51" s="26" t="n">
        <v>31.61813605694433</v>
      </c>
      <c r="L51" s="26" t="n">
        <v>30.86568828755514</v>
      </c>
      <c r="M51" s="26" t="n">
        <v>29.58435029606799</v>
      </c>
      <c r="N51" s="26" t="n">
        <v>28.90745703071965</v>
      </c>
      <c r="O51" s="26" t="n">
        <v>29.19587196420104</v>
      </c>
      <c r="P51" s="26" t="n">
        <v>29.6168515265586</v>
      </c>
      <c r="Q51" s="26" t="n">
        <v>29.45020593624505</v>
      </c>
      <c r="R51" s="26" t="n">
        <v>28.95274807402521</v>
      </c>
      <c r="S51" s="26" t="n">
        <v>28.45155036007539</v>
      </c>
      <c r="T51" s="26" t="n">
        <v>28.38437913800985</v>
      </c>
      <c r="U51" s="26" t="n">
        <v>29.34749086286351</v>
      </c>
      <c r="V51" s="27">
        <f>AVERAGE(J51:U51)</f>
        <v/>
      </c>
      <c r="W51" s="28" t="n">
        <v>310</v>
      </c>
      <c r="X51" s="29" t="n">
        <v>0.8611111111111112</v>
      </c>
    </row>
    <row r="52" ht="13.9" customHeight="1">
      <c r="A52" s="11" t="n">
        <v>24035330</v>
      </c>
      <c r="B52" s="22" t="inlineStr">
        <is>
          <t>AM</t>
        </is>
      </c>
      <c r="C52" s="22" t="inlineStr">
        <is>
          <t>Boavita</t>
        </is>
      </c>
      <c r="D52" s="22" t="inlineStr">
        <is>
          <t>Boavita</t>
        </is>
      </c>
      <c r="E52" s="22" t="inlineStr">
        <is>
          <t>Boyacá</t>
        </is>
      </c>
      <c r="F52" s="22" t="n">
        <v>6</v>
      </c>
      <c r="G52" s="22" t="n">
        <v>2150</v>
      </c>
      <c r="H52" s="23" t="n">
        <v>-72.58227778</v>
      </c>
      <c r="I52" s="24" t="n">
        <v>6.32897222</v>
      </c>
      <c r="J52" s="25" t="n">
        <v>25.58832532914291</v>
      </c>
      <c r="K52" s="26" t="n">
        <v>25.88556163200872</v>
      </c>
      <c r="L52" s="26" t="n">
        <v>25.19895707481247</v>
      </c>
      <c r="M52" s="26" t="n">
        <v>23.92580380286048</v>
      </c>
      <c r="N52" s="26" t="n">
        <v>23.44219836223627</v>
      </c>
      <c r="O52" s="26" t="n">
        <v>23.29341338008826</v>
      </c>
      <c r="P52" s="26" t="n">
        <v>23.53408247806814</v>
      </c>
      <c r="Q52" s="26" t="n">
        <v>23.87319354615469</v>
      </c>
      <c r="R52" s="26" t="n">
        <v>24.09794521944821</v>
      </c>
      <c r="S52" s="26" t="n">
        <v>23.50285964206472</v>
      </c>
      <c r="T52" s="26" t="n">
        <v>23.22287714702739</v>
      </c>
      <c r="U52" s="26" t="n">
        <v>24.30808652821472</v>
      </c>
      <c r="V52" s="27">
        <f>AVERAGE(J52:U52)</f>
        <v/>
      </c>
      <c r="W52" s="28" t="n">
        <v>342</v>
      </c>
      <c r="X52" s="29" t="n">
        <v>0.95</v>
      </c>
    </row>
    <row r="53" ht="13.9" customHeight="1">
      <c r="A53" s="11" t="n">
        <v>23125100</v>
      </c>
      <c r="B53" s="22" t="inlineStr">
        <is>
          <t>CP</t>
        </is>
      </c>
      <c r="C53" s="22" t="inlineStr">
        <is>
          <t>Buenavista</t>
        </is>
      </c>
      <c r="D53" s="22" t="inlineStr">
        <is>
          <t xml:space="preserve">Buenavista </t>
        </is>
      </c>
      <c r="E53" s="22" t="inlineStr">
        <is>
          <t>Boyacá</t>
        </is>
      </c>
      <c r="F53" s="22" t="n">
        <v>6</v>
      </c>
      <c r="G53" s="22" t="n">
        <v>2200</v>
      </c>
      <c r="H53" s="23" t="n">
        <v>-73.94311111</v>
      </c>
      <c r="I53" s="24" t="n">
        <v>5.51491667</v>
      </c>
      <c r="J53" s="25" t="n">
        <v>19.0717780609085</v>
      </c>
      <c r="K53" s="26" t="n">
        <v>19.08811592372312</v>
      </c>
      <c r="L53" s="26" t="n">
        <v>18.99569076751947</v>
      </c>
      <c r="M53" s="26" t="n">
        <v>19.18380700428319</v>
      </c>
      <c r="N53" s="26" t="n">
        <v>19.40785045798486</v>
      </c>
      <c r="O53" s="26" t="n">
        <v>19.39245065330582</v>
      </c>
      <c r="P53" s="26" t="n">
        <v>19.63102417057256</v>
      </c>
      <c r="Q53" s="26" t="n">
        <v>19.94524110725702</v>
      </c>
      <c r="R53" s="26" t="n">
        <v>19.96733839136598</v>
      </c>
      <c r="S53" s="26" t="n">
        <v>19.30171663498341</v>
      </c>
      <c r="T53" s="26" t="n">
        <v>18.73649947753396</v>
      </c>
      <c r="U53" s="26" t="n">
        <v>18.68793313490366</v>
      </c>
      <c r="V53" s="27">
        <f>AVERAGE(J53:U53)</f>
        <v/>
      </c>
      <c r="W53" s="28" t="n">
        <v>281</v>
      </c>
      <c r="X53" s="29" t="n">
        <v>0.7805555555555556</v>
      </c>
    </row>
    <row r="54" ht="13.9" customHeight="1">
      <c r="A54" s="11" t="n">
        <v>35085050</v>
      </c>
      <c r="B54" s="22" t="inlineStr">
        <is>
          <t>CO</t>
        </is>
      </c>
      <c r="C54" s="22" t="inlineStr">
        <is>
          <t>Campohermoso</t>
        </is>
      </c>
      <c r="D54" s="22" t="inlineStr">
        <is>
          <t>Campohermoso</t>
        </is>
      </c>
      <c r="E54" s="22" t="inlineStr">
        <is>
          <t>Boyacá</t>
        </is>
      </c>
      <c r="F54" s="22" t="n">
        <v>6</v>
      </c>
      <c r="G54" s="22" t="n">
        <v>1300</v>
      </c>
      <c r="H54" s="23" t="n">
        <v>-73.10366667</v>
      </c>
      <c r="I54" s="24" t="n">
        <v>5.0345</v>
      </c>
      <c r="J54" s="25" t="n">
        <v>27.22859308696906</v>
      </c>
      <c r="K54" s="26" t="n">
        <v>27.69025877273004</v>
      </c>
      <c r="L54" s="26" t="n">
        <v>26.92020477048938</v>
      </c>
      <c r="M54" s="26" t="n">
        <v>26.1221909857879</v>
      </c>
      <c r="N54" s="26" t="n">
        <v>25.45859984912994</v>
      </c>
      <c r="O54" s="26" t="n">
        <v>24.50072626649638</v>
      </c>
      <c r="P54" s="26" t="n">
        <v>24.04433896373199</v>
      </c>
      <c r="Q54" s="26" t="n">
        <v>24.69799283154122</v>
      </c>
      <c r="R54" s="26" t="n">
        <v>26.02358363374416</v>
      </c>
      <c r="S54" s="26" t="n">
        <v>26.47612810776095</v>
      </c>
      <c r="T54" s="26" t="n">
        <v>26.423973727422</v>
      </c>
      <c r="U54" s="26" t="n">
        <v>26.54433521078683</v>
      </c>
      <c r="V54" s="27">
        <f>AVERAGE(J54:U54)</f>
        <v/>
      </c>
      <c r="W54" s="28" t="n">
        <v>349</v>
      </c>
      <c r="X54" s="29" t="n">
        <v>0.9694444444444444</v>
      </c>
    </row>
    <row r="55" ht="13.9" customHeight="1">
      <c r="A55" s="11" t="n">
        <v>24035420</v>
      </c>
      <c r="B55" s="22" t="inlineStr">
        <is>
          <t>CO</t>
        </is>
      </c>
      <c r="C55" s="22" t="inlineStr">
        <is>
          <t>Cerinza</t>
        </is>
      </c>
      <c r="D55" s="22" t="inlineStr">
        <is>
          <t>Cerinza</t>
        </is>
      </c>
      <c r="E55" s="22" t="inlineStr">
        <is>
          <t>Boyacá</t>
        </is>
      </c>
      <c r="F55" s="22" t="n">
        <v>6</v>
      </c>
      <c r="G55" s="22" t="n">
        <v>2643</v>
      </c>
      <c r="H55" s="23" t="n">
        <v>-72.9385</v>
      </c>
      <c r="I55" s="24" t="n">
        <v>5.96225</v>
      </c>
      <c r="J55" s="25" t="n">
        <v>22.14505760368663</v>
      </c>
      <c r="K55" s="26" t="n">
        <v>22.20843621399177</v>
      </c>
      <c r="L55" s="26" t="n">
        <v>21.72341273779984</v>
      </c>
      <c r="M55" s="26" t="n">
        <v>20.96326309067688</v>
      </c>
      <c r="N55" s="26" t="n">
        <v>20.3236559139785</v>
      </c>
      <c r="O55" s="26" t="n">
        <v>19.69962962962963</v>
      </c>
      <c r="P55" s="26" t="n">
        <v>20.1562724014337</v>
      </c>
      <c r="Q55" s="26" t="n">
        <v>20.4752688172043</v>
      </c>
      <c r="R55" s="26" t="n">
        <v>20.62</v>
      </c>
      <c r="S55" s="26" t="n">
        <v>20.53346774193549</v>
      </c>
      <c r="T55" s="26" t="n">
        <v>20.79375</v>
      </c>
      <c r="U55" s="26" t="n">
        <v>21.18562788018433</v>
      </c>
      <c r="V55" s="27">
        <f>AVERAGE(J55:U55)</f>
        <v/>
      </c>
      <c r="W55" s="28" t="n">
        <v>107</v>
      </c>
      <c r="X55" s="29" t="n">
        <v>0.8916666666666667</v>
      </c>
    </row>
    <row r="56" ht="13.9" customHeight="1">
      <c r="A56" s="11" t="n">
        <v>24035310</v>
      </c>
      <c r="B56" s="22" t="inlineStr">
        <is>
          <t>CO</t>
        </is>
      </c>
      <c r="C56" s="22" t="inlineStr">
        <is>
          <t>Chiscas</t>
        </is>
      </c>
      <c r="D56" s="22" t="inlineStr">
        <is>
          <t>Chiscas</t>
        </is>
      </c>
      <c r="E56" s="22" t="inlineStr">
        <is>
          <t>Boyacá</t>
        </is>
      </c>
      <c r="F56" s="22" t="n">
        <v>6</v>
      </c>
      <c r="G56" s="22" t="n">
        <v>2350</v>
      </c>
      <c r="H56" s="23" t="n">
        <v>-72.50472222</v>
      </c>
      <c r="I56" s="24" t="n">
        <v>6.54952778</v>
      </c>
      <c r="J56" s="25" t="n">
        <v>23.23867977976218</v>
      </c>
      <c r="K56" s="26" t="n">
        <v>23.42149578107432</v>
      </c>
      <c r="L56" s="26" t="n">
        <v>22.90918823187826</v>
      </c>
      <c r="M56" s="26" t="n">
        <v>22.09492451329984</v>
      </c>
      <c r="N56" s="26" t="n">
        <v>21.50361129420383</v>
      </c>
      <c r="O56" s="26" t="n">
        <v>21.31715492109234</v>
      </c>
      <c r="P56" s="26" t="n">
        <v>21.27413975278654</v>
      </c>
      <c r="Q56" s="26" t="n">
        <v>21.61711590356042</v>
      </c>
      <c r="R56" s="26" t="n">
        <v>21.76246536196923</v>
      </c>
      <c r="S56" s="26" t="n">
        <v>21.57550455283604</v>
      </c>
      <c r="T56" s="26" t="n">
        <v>21.5833327995343</v>
      </c>
      <c r="U56" s="26" t="n">
        <v>22.28599491294764</v>
      </c>
      <c r="V56" s="27">
        <f>AVERAGE(J56:U56)</f>
        <v/>
      </c>
      <c r="W56" s="28" t="n">
        <v>318</v>
      </c>
      <c r="X56" s="29" t="n">
        <v>0.8833333333333333</v>
      </c>
    </row>
    <row r="57" ht="13.9" customHeight="1">
      <c r="A57" s="11" t="n">
        <v>24035250</v>
      </c>
      <c r="B57" s="22" t="inlineStr">
        <is>
          <t>CO</t>
        </is>
      </c>
      <c r="C57" s="22" t="inlineStr">
        <is>
          <t>Chita - AUT</t>
        </is>
      </c>
      <c r="D57" s="22" t="inlineStr">
        <is>
          <t>Chita</t>
        </is>
      </c>
      <c r="E57" s="22" t="inlineStr">
        <is>
          <t>Boyacá</t>
        </is>
      </c>
      <c r="F57" s="22" t="n">
        <v>6</v>
      </c>
      <c r="G57" s="22" t="n">
        <v>2888</v>
      </c>
      <c r="H57" s="23" t="n">
        <v>-72.46633333</v>
      </c>
      <c r="I57" s="24" t="n">
        <v>6.18833333</v>
      </c>
      <c r="J57" s="25" t="n">
        <v>18.87633465121785</v>
      </c>
      <c r="K57" s="26" t="n">
        <v>19.19108487840384</v>
      </c>
      <c r="L57" s="26" t="n">
        <v>18.80495605617964</v>
      </c>
      <c r="M57" s="26" t="n">
        <v>18.20410463419084</v>
      </c>
      <c r="N57" s="26" t="n">
        <v>17.53531331108639</v>
      </c>
      <c r="O57" s="26" t="n">
        <v>16.57410819193578</v>
      </c>
      <c r="P57" s="26" t="n">
        <v>15.83566774324839</v>
      </c>
      <c r="Q57" s="26" t="n">
        <v>16.1701535466171</v>
      </c>
      <c r="R57" s="26" t="n">
        <v>16.79442268577645</v>
      </c>
      <c r="S57" s="26" t="n">
        <v>17.187530713792</v>
      </c>
      <c r="T57" s="26" t="n">
        <v>17.69892788724685</v>
      </c>
      <c r="U57" s="26" t="n">
        <v>18.30516785031802</v>
      </c>
      <c r="V57" s="27">
        <f>AVERAGE(J57:U57)</f>
        <v/>
      </c>
      <c r="W57" s="28" t="n">
        <v>316</v>
      </c>
      <c r="X57" s="29" t="n">
        <v>0.8777777777777778</v>
      </c>
    </row>
    <row r="58" ht="13.9" customHeight="1">
      <c r="A58" s="11" t="n">
        <v>24035350</v>
      </c>
      <c r="B58" s="22" t="inlineStr">
        <is>
          <t>CP</t>
        </is>
      </c>
      <c r="C58" s="22" t="inlineStr">
        <is>
          <t>Andalucia</t>
        </is>
      </c>
      <c r="D58" s="22" t="inlineStr">
        <is>
          <t>Duitama</t>
        </is>
      </c>
      <c r="E58" s="22" t="inlineStr">
        <is>
          <t>Boyacá</t>
        </is>
      </c>
      <c r="F58" s="22" t="n">
        <v>6</v>
      </c>
      <c r="G58" s="22" t="n">
        <v>3265</v>
      </c>
      <c r="H58" s="23" t="n">
        <v>-73.05833333</v>
      </c>
      <c r="I58" s="24" t="n">
        <v>5.901138889999999</v>
      </c>
      <c r="J58" s="25" t="n">
        <v>17.58306451612903</v>
      </c>
      <c r="K58" s="26" t="n">
        <v>18.25271101337849</v>
      </c>
      <c r="L58" s="26" t="n">
        <v>17.02587972526793</v>
      </c>
      <c r="M58" s="26" t="n">
        <v>15.54</v>
      </c>
      <c r="N58" s="26" t="n">
        <v>14.91722084367246</v>
      </c>
      <c r="O58" s="26" t="n">
        <v>14.35848275862069</v>
      </c>
      <c r="P58" s="26" t="n">
        <v>14.06329749103942</v>
      </c>
      <c r="Q58" s="26" t="n">
        <v>14.13793433032588</v>
      </c>
      <c r="R58" s="26" t="n">
        <v>14.79833627278072</v>
      </c>
      <c r="S58" s="26" t="n">
        <v>15.08177777777778</v>
      </c>
      <c r="T58" s="26" t="n">
        <v>15.64066666666667</v>
      </c>
      <c r="U58" s="26" t="n">
        <v>16.90226177233964</v>
      </c>
      <c r="V58" s="27">
        <f>AVERAGE(J58:U58)</f>
        <v/>
      </c>
      <c r="W58" s="28" t="n">
        <v>110</v>
      </c>
      <c r="X58" s="29" t="n">
        <v>0.9166666666666666</v>
      </c>
    </row>
    <row r="59" ht="13.9" customHeight="1">
      <c r="A59" s="11" t="n">
        <v>24035120</v>
      </c>
      <c r="B59" s="22" t="inlineStr">
        <is>
          <t>AM</t>
        </is>
      </c>
      <c r="C59" s="22" t="inlineStr">
        <is>
          <t>Surbata Bonza</t>
        </is>
      </c>
      <c r="D59" s="22" t="inlineStr">
        <is>
          <t>Duitama</t>
        </is>
      </c>
      <c r="E59" s="22" t="inlineStr">
        <is>
          <t>Boyacá</t>
        </is>
      </c>
      <c r="F59" s="22" t="n">
        <v>6</v>
      </c>
      <c r="G59" s="22" t="n">
        <v>2485</v>
      </c>
      <c r="H59" s="23" t="n">
        <v>-73.07447222</v>
      </c>
      <c r="I59" s="24" t="n">
        <v>5.80244444</v>
      </c>
      <c r="J59" s="25" t="n">
        <v>22.82603743201506</v>
      </c>
      <c r="K59" s="26" t="n">
        <v>23.29967151480561</v>
      </c>
      <c r="L59" s="26" t="n">
        <v>22.87106228833733</v>
      </c>
      <c r="M59" s="26" t="n">
        <v>22.11670728545502</v>
      </c>
      <c r="N59" s="26" t="n">
        <v>21.73930279836667</v>
      </c>
      <c r="O59" s="26" t="n">
        <v>21.14773322194375</v>
      </c>
      <c r="P59" s="26" t="n">
        <v>20.927355094854</v>
      </c>
      <c r="Q59" s="26" t="n">
        <v>21.06563623014402</v>
      </c>
      <c r="R59" s="26" t="n">
        <v>21.55397335070656</v>
      </c>
      <c r="S59" s="26" t="n">
        <v>21.68827968450356</v>
      </c>
      <c r="T59" s="26" t="n">
        <v>22.02206994793202</v>
      </c>
      <c r="U59" s="26" t="n">
        <v>22.32714218710882</v>
      </c>
      <c r="V59" s="27">
        <f>AVERAGE(J59:U59)</f>
        <v/>
      </c>
      <c r="W59" s="28" t="n">
        <v>222</v>
      </c>
      <c r="X59" s="29" t="n">
        <v>0.925</v>
      </c>
    </row>
    <row r="60" ht="13.9" customHeight="1">
      <c r="A60" s="11" t="n">
        <v>24035240</v>
      </c>
      <c r="B60" s="22" t="inlineStr">
        <is>
          <t>CO</t>
        </is>
      </c>
      <c r="C60" s="22" t="inlineStr">
        <is>
          <t>Sierra Nevada del Cocuy</t>
        </is>
      </c>
      <c r="D60" s="22" t="inlineStr">
        <is>
          <t>Guicán</t>
        </is>
      </c>
      <c r="E60" s="22" t="inlineStr">
        <is>
          <t>Boyacá</t>
        </is>
      </c>
      <c r="F60" s="22" t="n">
        <v>6</v>
      </c>
      <c r="G60" s="22" t="n">
        <v>3716</v>
      </c>
      <c r="H60" s="23" t="n">
        <v>-72.37519444</v>
      </c>
      <c r="I60" s="24" t="n">
        <v>6.41008333</v>
      </c>
      <c r="J60" s="25" t="n">
        <v>13.61820173432175</v>
      </c>
      <c r="K60" s="26" t="n">
        <v>13.17694816535813</v>
      </c>
      <c r="L60" s="26" t="n">
        <v>12.47258239306874</v>
      </c>
      <c r="M60" s="26" t="n">
        <v>11.8990751497508</v>
      </c>
      <c r="N60" s="26" t="n">
        <v>11.39629843158142</v>
      </c>
      <c r="O60" s="26" t="n">
        <v>11.53717056276462</v>
      </c>
      <c r="P60" s="26" t="n">
        <v>11.70396220173131</v>
      </c>
      <c r="Q60" s="26" t="n">
        <v>11.73738422983162</v>
      </c>
      <c r="R60" s="26" t="n">
        <v>11.811240508002</v>
      </c>
      <c r="S60" s="26" t="n">
        <v>11.49609303707492</v>
      </c>
      <c r="T60" s="26" t="n">
        <v>12.00317371052925</v>
      </c>
      <c r="U60" s="26" t="n">
        <v>12.70026158453968</v>
      </c>
      <c r="V60" s="27">
        <f>AVERAGE(J60:U60)</f>
        <v/>
      </c>
      <c r="W60" s="28" t="n">
        <v>296</v>
      </c>
      <c r="X60" s="29" t="n">
        <v>0.8222222222222222</v>
      </c>
    </row>
    <row r="61" ht="13.9" customHeight="1">
      <c r="A61" s="11" t="n">
        <v>35075040</v>
      </c>
      <c r="B61" s="22" t="inlineStr">
        <is>
          <t>CP</t>
        </is>
      </c>
      <c r="C61" s="22" t="inlineStr">
        <is>
          <t>Institución Agrícola Macanal</t>
        </is>
      </c>
      <c r="D61" s="22" t="inlineStr">
        <is>
          <t>Macanal</t>
        </is>
      </c>
      <c r="E61" s="22" t="inlineStr">
        <is>
          <t>Boyacá</t>
        </is>
      </c>
      <c r="F61" s="22" t="n">
        <v>6</v>
      </c>
      <c r="G61" s="22" t="n">
        <v>1700</v>
      </c>
      <c r="H61" s="23" t="n">
        <v>-73.31675</v>
      </c>
      <c r="I61" s="24" t="n">
        <v>4.97436111</v>
      </c>
      <c r="J61" s="25" t="n">
        <v>22.81774770320933</v>
      </c>
      <c r="K61" s="26" t="n">
        <v>23.56113445378152</v>
      </c>
      <c r="L61" s="26" t="n">
        <v>22.45221774193548</v>
      </c>
      <c r="M61" s="26" t="n">
        <v>21.95084130203806</v>
      </c>
      <c r="N61" s="26" t="n">
        <v>21.41215671734025</v>
      </c>
      <c r="O61" s="26" t="n">
        <v>20.39794486215539</v>
      </c>
      <c r="P61" s="26" t="n">
        <v>20.14919071873231</v>
      </c>
      <c r="Q61" s="26" t="n">
        <v>20.71432663973616</v>
      </c>
      <c r="R61" s="26" t="n">
        <v>21.86080459770115</v>
      </c>
      <c r="S61" s="26" t="n">
        <v>22.41093328098759</v>
      </c>
      <c r="T61" s="26" t="n">
        <v>22.30277665089024</v>
      </c>
      <c r="U61" s="26" t="n">
        <v>22.21302231237323</v>
      </c>
      <c r="V61" s="27">
        <f>AVERAGE(J61:U61)</f>
        <v/>
      </c>
      <c r="W61" s="28" t="n">
        <v>212</v>
      </c>
      <c r="X61" s="29" t="n">
        <v>0.8833333333333333</v>
      </c>
    </row>
    <row r="62" ht="13.9" customHeight="1">
      <c r="A62" s="11" t="n">
        <v>35085040</v>
      </c>
      <c r="B62" s="22" t="inlineStr">
        <is>
          <t>CO</t>
        </is>
      </c>
      <c r="C62" s="22" t="inlineStr">
        <is>
          <t>El Vivero</t>
        </is>
      </c>
      <c r="D62" s="22" t="inlineStr">
        <is>
          <t xml:space="preserve">Miraflores </t>
        </is>
      </c>
      <c r="E62" s="22" t="inlineStr">
        <is>
          <t>Boyacá</t>
        </is>
      </c>
      <c r="F62" s="22" t="n">
        <v>6</v>
      </c>
      <c r="G62" s="22" t="n">
        <v>1640</v>
      </c>
      <c r="H62" s="23" t="n">
        <v>-73.14477778</v>
      </c>
      <c r="I62" s="24" t="n">
        <v>5.19255556</v>
      </c>
      <c r="J62" s="25" t="n">
        <v>25.16174426611579</v>
      </c>
      <c r="K62" s="26" t="n">
        <v>26.00215894719307</v>
      </c>
      <c r="L62" s="26" t="n">
        <v>25.71901992322694</v>
      </c>
      <c r="M62" s="26" t="n">
        <v>24.67289203522952</v>
      </c>
      <c r="N62" s="26" t="n">
        <v>23.89621854879012</v>
      </c>
      <c r="O62" s="26" t="n">
        <v>22.88953721246825</v>
      </c>
      <c r="P62" s="26" t="n">
        <v>22.23524577165512</v>
      </c>
      <c r="Q62" s="26" t="n">
        <v>22.27920250896057</v>
      </c>
      <c r="R62" s="26" t="n">
        <v>23.69400067733557</v>
      </c>
      <c r="S62" s="26" t="n">
        <v>24.24933458828898</v>
      </c>
      <c r="T62" s="26" t="n">
        <v>24.37070203359859</v>
      </c>
      <c r="U62" s="26" t="n">
        <v>24.5936254789272</v>
      </c>
      <c r="V62" s="27">
        <f>AVERAGE(J62:U62)</f>
        <v/>
      </c>
      <c r="W62" s="28" t="n">
        <v>299</v>
      </c>
      <c r="X62" s="29" t="n">
        <v>0.8305555555555556</v>
      </c>
    </row>
    <row r="63" ht="13.9" customHeight="1">
      <c r="A63" s="11" t="n">
        <v>35075010</v>
      </c>
      <c r="B63" s="22" t="inlineStr">
        <is>
          <t>AM</t>
        </is>
      </c>
      <c r="C63" s="22" t="inlineStr">
        <is>
          <t>Nuevo Colón</t>
        </is>
      </c>
      <c r="D63" s="22" t="inlineStr">
        <is>
          <t>Nuevo Colón</t>
        </is>
      </c>
      <c r="E63" s="22" t="inlineStr">
        <is>
          <t>Boyacá</t>
        </is>
      </c>
      <c r="F63" s="22" t="n">
        <v>6</v>
      </c>
      <c r="G63" s="22" t="n">
        <v>2438</v>
      </c>
      <c r="H63" s="23" t="n">
        <v>-73.45377778</v>
      </c>
      <c r="I63" s="24" t="n">
        <v>5.35269444</v>
      </c>
      <c r="J63" s="25" t="n">
        <v>21.50510956765991</v>
      </c>
      <c r="K63" s="26" t="n">
        <v>21.83200415370981</v>
      </c>
      <c r="L63" s="26" t="n">
        <v>21.41425480314484</v>
      </c>
      <c r="M63" s="26" t="n">
        <v>20.26554158881151</v>
      </c>
      <c r="N63" s="26" t="n">
        <v>19.31396775472108</v>
      </c>
      <c r="O63" s="26" t="n">
        <v>18.0147061321556</v>
      </c>
      <c r="P63" s="26" t="n">
        <v>17.29455567914967</v>
      </c>
      <c r="Q63" s="26" t="n">
        <v>17.50295058731559</v>
      </c>
      <c r="R63" s="26" t="n">
        <v>18.7853109443011</v>
      </c>
      <c r="S63" s="26" t="n">
        <v>19.70914152232639</v>
      </c>
      <c r="T63" s="26" t="n">
        <v>20.46080197044335</v>
      </c>
      <c r="U63" s="26" t="n">
        <v>20.77202378500117</v>
      </c>
      <c r="V63" s="27">
        <f>AVERAGE(J63:U63)</f>
        <v/>
      </c>
      <c r="W63" s="28" t="n">
        <v>334</v>
      </c>
      <c r="X63" s="29" t="n">
        <v>0.9277777777777778</v>
      </c>
    </row>
    <row r="64" ht="13.9" customHeight="1">
      <c r="A64" s="11" t="n">
        <v>23125080</v>
      </c>
      <c r="B64" s="22" t="inlineStr">
        <is>
          <t>CO</t>
        </is>
      </c>
      <c r="C64" s="22" t="inlineStr">
        <is>
          <t>Otanche</t>
        </is>
      </c>
      <c r="D64" s="22" t="inlineStr">
        <is>
          <t>Otanche</t>
        </is>
      </c>
      <c r="E64" s="22" t="inlineStr">
        <is>
          <t>Boyacá</t>
        </is>
      </c>
      <c r="F64" s="22" t="n">
        <v>6</v>
      </c>
      <c r="G64" s="22" t="n">
        <v>1100</v>
      </c>
      <c r="H64" s="23" t="n">
        <v>-74.18461111000001</v>
      </c>
      <c r="I64" s="24" t="n">
        <v>5.66172222</v>
      </c>
      <c r="J64" s="25" t="n">
        <v>26.16752583026569</v>
      </c>
      <c r="K64" s="26" t="n">
        <v>26.34652906919499</v>
      </c>
      <c r="L64" s="26" t="n">
        <v>26.24684637157739</v>
      </c>
      <c r="M64" s="26" t="n">
        <v>26.52518742719606</v>
      </c>
      <c r="N64" s="26" t="n">
        <v>26.66551705405952</v>
      </c>
      <c r="O64" s="26" t="n">
        <v>26.88002562940752</v>
      </c>
      <c r="P64" s="26" t="n">
        <v>26.99145323506666</v>
      </c>
      <c r="Q64" s="26" t="n">
        <v>27.29294865469059</v>
      </c>
      <c r="R64" s="26" t="n">
        <v>27.08358285769683</v>
      </c>
      <c r="S64" s="26" t="n">
        <v>26.34484244870101</v>
      </c>
      <c r="T64" s="26" t="n">
        <v>25.92285868286437</v>
      </c>
      <c r="U64" s="26" t="n">
        <v>25.96044310505104</v>
      </c>
      <c r="V64" s="27">
        <f>AVERAGE(J64:U64)</f>
        <v/>
      </c>
      <c r="W64" s="28" t="n">
        <v>320</v>
      </c>
      <c r="X64" s="29" t="n">
        <v>0.8888888888888888</v>
      </c>
    </row>
    <row r="65" ht="13.9" customHeight="1">
      <c r="A65" s="11" t="n">
        <v>24025030</v>
      </c>
      <c r="B65" s="22" t="inlineStr">
        <is>
          <t>CP</t>
        </is>
      </c>
      <c r="C65" s="22" t="inlineStr">
        <is>
          <t>La Sierra - AUT</t>
        </is>
      </c>
      <c r="D65" s="22" t="inlineStr">
        <is>
          <t>Paipa</t>
        </is>
      </c>
      <c r="E65" s="22" t="inlineStr">
        <is>
          <t>Boyacá</t>
        </is>
      </c>
      <c r="F65" s="22" t="n">
        <v>6</v>
      </c>
      <c r="G65" s="22" t="n">
        <v>2700</v>
      </c>
      <c r="H65" s="23" t="n">
        <v>-73.16389138999999</v>
      </c>
      <c r="I65" s="24" t="n">
        <v>5.96638889</v>
      </c>
      <c r="J65" s="25" t="n">
        <v>17.28318095238095</v>
      </c>
      <c r="K65" s="26" t="n">
        <v>17.42932166480862</v>
      </c>
      <c r="L65" s="26" t="n">
        <v>17.08711854441442</v>
      </c>
      <c r="M65" s="26" t="n">
        <v>17.02217180725876</v>
      </c>
      <c r="N65" s="26" t="n">
        <v>17.02323415435139</v>
      </c>
      <c r="O65" s="26" t="n">
        <v>17.10919698819699</v>
      </c>
      <c r="P65" s="26" t="n">
        <v>17.14571083615701</v>
      </c>
      <c r="Q65" s="26" t="n">
        <v>17.05315587119592</v>
      </c>
      <c r="R65" s="26" t="n">
        <v>17.27197521507866</v>
      </c>
      <c r="S65" s="26" t="n">
        <v>16.85480819017014</v>
      </c>
      <c r="T65" s="26" t="n">
        <v>16.4851934318555</v>
      </c>
      <c r="U65" s="26" t="n">
        <v>16.72642656449553</v>
      </c>
      <c r="V65" s="27">
        <f>AVERAGE(J65:U65)</f>
        <v/>
      </c>
      <c r="W65" s="28" t="n">
        <v>118</v>
      </c>
      <c r="X65" s="29" t="n">
        <v>0.9833333333333333</v>
      </c>
    </row>
    <row r="66" ht="13.9" customHeight="1">
      <c r="A66" s="11" t="n">
        <v>24035430</v>
      </c>
      <c r="B66" s="22" t="inlineStr">
        <is>
          <t>AM</t>
        </is>
      </c>
      <c r="C66" s="22" t="inlineStr">
        <is>
          <t xml:space="preserve">Tunguavita - AUT </t>
        </is>
      </c>
      <c r="D66" s="22" t="inlineStr">
        <is>
          <t>Paipa</t>
        </is>
      </c>
      <c r="E66" s="22" t="inlineStr">
        <is>
          <t>Boyacá</t>
        </is>
      </c>
      <c r="F66" s="22" t="n">
        <v>6</v>
      </c>
      <c r="G66" s="22" t="n">
        <v>2470</v>
      </c>
      <c r="H66" s="23" t="n">
        <v>-73.11636111</v>
      </c>
      <c r="I66" s="24" t="n">
        <v>5.74591667</v>
      </c>
      <c r="J66" s="25" t="n">
        <v>23.26523183705979</v>
      </c>
      <c r="K66" s="26" t="n">
        <v>23.6760109887585</v>
      </c>
      <c r="L66" s="26" t="n">
        <v>23.16399795458528</v>
      </c>
      <c r="M66" s="26" t="n">
        <v>22.0764690246557</v>
      </c>
      <c r="N66" s="26" t="n">
        <v>21.57989384638625</v>
      </c>
      <c r="O66" s="26" t="n">
        <v>21.03093185550082</v>
      </c>
      <c r="P66" s="26" t="n">
        <v>20.82635023731491</v>
      </c>
      <c r="Q66" s="26" t="n">
        <v>20.99750847959145</v>
      </c>
      <c r="R66" s="26" t="n">
        <v>21.3755612244898</v>
      </c>
      <c r="S66" s="26" t="n">
        <v>21.71629309380834</v>
      </c>
      <c r="T66" s="26" t="n">
        <v>22.02621210936482</v>
      </c>
      <c r="U66" s="26" t="n">
        <v>22.43770951655082</v>
      </c>
      <c r="V66" s="27">
        <f>AVERAGE(J66:U66)</f>
        <v/>
      </c>
      <c r="W66" s="28" t="n">
        <v>340</v>
      </c>
      <c r="X66" s="29" t="n">
        <v>0.9444444444444444</v>
      </c>
    </row>
    <row r="67" ht="13.9" customHeight="1">
      <c r="A67" s="11" t="n">
        <v>35195050</v>
      </c>
      <c r="B67" s="22" t="inlineStr">
        <is>
          <t>CO</t>
        </is>
      </c>
      <c r="C67" s="22" t="inlineStr">
        <is>
          <t>Corinto</t>
        </is>
      </c>
      <c r="D67" s="22" t="inlineStr">
        <is>
          <t>Pajarito</t>
        </is>
      </c>
      <c r="E67" s="22" t="inlineStr">
        <is>
          <t>Boyacá</t>
        </is>
      </c>
      <c r="F67" s="22" t="n">
        <v>6</v>
      </c>
      <c r="G67" s="22" t="n">
        <v>1550</v>
      </c>
      <c r="H67" s="23" t="n">
        <v>-72.71722222000001</v>
      </c>
      <c r="I67" s="24" t="n">
        <v>5.407277779999999</v>
      </c>
      <c r="J67" s="25" t="n">
        <v>24.89581675112264</v>
      </c>
      <c r="K67" s="26" t="n">
        <v>25.28171663727219</v>
      </c>
      <c r="L67" s="26" t="n">
        <v>24.75571293206443</v>
      </c>
      <c r="M67" s="26" t="n">
        <v>24.1860249393008</v>
      </c>
      <c r="N67" s="26" t="n">
        <v>23.83228243021346</v>
      </c>
      <c r="O67" s="26" t="n">
        <v>23.25777777777778</v>
      </c>
      <c r="P67" s="26" t="n">
        <v>23.06227011494253</v>
      </c>
      <c r="Q67" s="26" t="n">
        <v>23.50300143016049</v>
      </c>
      <c r="R67" s="26" t="n">
        <v>24.41442328042328</v>
      </c>
      <c r="S67" s="26" t="n">
        <v>24.00298685782557</v>
      </c>
      <c r="T67" s="26" t="n">
        <v>24.27777777777778</v>
      </c>
      <c r="U67" s="26" t="n">
        <v>24.46838709677419</v>
      </c>
      <c r="V67" s="27">
        <f>AVERAGE(J67:U67)</f>
        <v/>
      </c>
      <c r="W67" s="28" t="n">
        <v>107</v>
      </c>
      <c r="X67" s="29" t="n">
        <v>0.8916666666666667</v>
      </c>
    </row>
    <row r="68" ht="13.9" customHeight="1">
      <c r="A68" s="11" t="n">
        <v>23115010</v>
      </c>
      <c r="B68" s="22" t="inlineStr">
        <is>
          <t>CO</t>
        </is>
      </c>
      <c r="C68" s="22" t="inlineStr">
        <is>
          <t>Puerto Boyacá</t>
        </is>
      </c>
      <c r="D68" s="22" t="inlineStr">
        <is>
          <t>Puerto Boyacá</t>
        </is>
      </c>
      <c r="E68" s="22" t="inlineStr">
        <is>
          <t>Boyacá</t>
        </is>
      </c>
      <c r="F68" s="22" t="n">
        <v>10</v>
      </c>
      <c r="G68" s="22" t="n">
        <v>350</v>
      </c>
      <c r="H68" s="23" t="n">
        <v>-74.56666666999999</v>
      </c>
      <c r="I68" s="24" t="n">
        <v>5.97833333</v>
      </c>
      <c r="J68" s="25" t="n">
        <v>32.5775482017056</v>
      </c>
      <c r="K68" s="26" t="n">
        <v>33.41223088852399</v>
      </c>
      <c r="L68" s="26" t="n">
        <v>32.54072580645161</v>
      </c>
      <c r="M68" s="26" t="n">
        <v>31.71541290893015</v>
      </c>
      <c r="N68" s="26" t="n">
        <v>31.92130737856878</v>
      </c>
      <c r="O68" s="26" t="n">
        <v>32.38673563218391</v>
      </c>
      <c r="P68" s="26" t="n">
        <v>32.88998220244716</v>
      </c>
      <c r="Q68" s="26" t="n">
        <v>33.05703225806452</v>
      </c>
      <c r="R68" s="26" t="n">
        <v>32.43645977011495</v>
      </c>
      <c r="S68" s="26" t="n">
        <v>31.23910138248848</v>
      </c>
      <c r="T68" s="26" t="n">
        <v>31.05362068965518</v>
      </c>
      <c r="U68" s="26" t="n">
        <v>31.17580645161291</v>
      </c>
      <c r="V68" s="27">
        <f>AVERAGE(J68:U68)</f>
        <v/>
      </c>
      <c r="W68" s="28" t="n">
        <v>110</v>
      </c>
      <c r="X68" s="29" t="n">
        <v>0.9166666666666666</v>
      </c>
    </row>
    <row r="69" ht="13.9" customHeight="1">
      <c r="A69" s="11" t="n">
        <v>23125140</v>
      </c>
      <c r="B69" s="22" t="inlineStr">
        <is>
          <t>CO</t>
        </is>
      </c>
      <c r="C69" s="22" t="inlineStr">
        <is>
          <t>Aeropuerto Furatena - AUT</t>
        </is>
      </c>
      <c r="D69" s="22" t="inlineStr">
        <is>
          <t>Quípama</t>
        </is>
      </c>
      <c r="E69" s="22" t="inlineStr">
        <is>
          <t>Boyacá</t>
        </is>
      </c>
      <c r="F69" s="22" t="n">
        <v>6</v>
      </c>
      <c r="G69" s="22" t="n">
        <v>1250</v>
      </c>
      <c r="H69" s="23" t="n">
        <v>-74.18241666999999</v>
      </c>
      <c r="I69" s="24" t="n">
        <v>5.52083333</v>
      </c>
      <c r="J69" s="25" t="n">
        <v>27.44387096774194</v>
      </c>
      <c r="K69" s="26" t="n">
        <v>27.39450738916256</v>
      </c>
      <c r="L69" s="26" t="n">
        <v>26.93354838709678</v>
      </c>
      <c r="M69" s="26" t="n">
        <v>27.016</v>
      </c>
      <c r="N69" s="26" t="n">
        <v>26.91645161290322</v>
      </c>
      <c r="O69" s="26" t="n">
        <v>27.29199999999999</v>
      </c>
      <c r="P69" s="26" t="n">
        <v>27.69548387096774</v>
      </c>
      <c r="Q69" s="26" t="n">
        <v>28.13354838709677</v>
      </c>
      <c r="R69" s="26" t="n">
        <v>28.13066666666667</v>
      </c>
      <c r="S69" s="26" t="n">
        <v>27.10387096774193</v>
      </c>
      <c r="T69" s="26" t="n">
        <v>26.61266666666667</v>
      </c>
      <c r="U69" s="26" t="n">
        <v>27.07483870967742</v>
      </c>
      <c r="V69" s="27">
        <f>AVERAGE(J69:U69)</f>
        <v/>
      </c>
      <c r="W69" s="28" t="n">
        <v>120</v>
      </c>
      <c r="X69" s="29" t="n">
        <v>1</v>
      </c>
    </row>
    <row r="70" ht="13.9" customHeight="1">
      <c r="A70" s="11" t="n">
        <v>35075030</v>
      </c>
      <c r="B70" s="22" t="inlineStr">
        <is>
          <t>CO</t>
        </is>
      </c>
      <c r="C70" s="22" t="inlineStr">
        <is>
          <t>Villa Luisa</t>
        </is>
      </c>
      <c r="D70" s="22" t="inlineStr">
        <is>
          <t>Ramiriquí</t>
        </is>
      </c>
      <c r="E70" s="22" t="inlineStr">
        <is>
          <t>Boyacá</t>
        </is>
      </c>
      <c r="F70" s="22" t="n">
        <v>6</v>
      </c>
      <c r="G70" s="22" t="n">
        <v>2200</v>
      </c>
      <c r="H70" s="23" t="n">
        <v>-73.34941667</v>
      </c>
      <c r="I70" s="24" t="n">
        <v>5.42222222</v>
      </c>
      <c r="J70" s="25" t="n">
        <v>23.16849141557194</v>
      </c>
      <c r="K70" s="26" t="n">
        <v>23.54583665132228</v>
      </c>
      <c r="L70" s="26" t="n">
        <v>23.1742035513615</v>
      </c>
      <c r="M70" s="26" t="n">
        <v>22.27450574712643</v>
      </c>
      <c r="N70" s="26" t="n">
        <v>21.46783571163726</v>
      </c>
      <c r="O70" s="26" t="n">
        <v>20.48949359605911</v>
      </c>
      <c r="P70" s="26" t="n">
        <v>19.97973168840799</v>
      </c>
      <c r="Q70" s="26" t="n">
        <v>19.9787274899533</v>
      </c>
      <c r="R70" s="26" t="n">
        <v>21.04055862068966</v>
      </c>
      <c r="S70" s="26" t="n">
        <v>21.83673587937214</v>
      </c>
      <c r="T70" s="26" t="n">
        <v>22.41340446909412</v>
      </c>
      <c r="U70" s="26" t="n">
        <v>22.49249126330844</v>
      </c>
      <c r="V70" s="27">
        <f>AVERAGE(J70:U70)</f>
        <v/>
      </c>
      <c r="W70" s="28" t="n">
        <v>291</v>
      </c>
      <c r="X70" s="29" t="n">
        <v>0.8083333333333333</v>
      </c>
    </row>
    <row r="71" ht="13.9" customHeight="1">
      <c r="A71" s="11" t="n">
        <v>24015360</v>
      </c>
      <c r="B71" s="22" t="inlineStr">
        <is>
          <t>CO</t>
        </is>
      </c>
      <c r="C71" s="22" t="inlineStr">
        <is>
          <t>La Granja Saboya</t>
        </is>
      </c>
      <c r="D71" s="22" t="inlineStr">
        <is>
          <t>Saboyá</t>
        </is>
      </c>
      <c r="E71" s="22" t="inlineStr">
        <is>
          <t>Boyacá</t>
        </is>
      </c>
      <c r="F71" s="22" t="n">
        <v>6</v>
      </c>
      <c r="G71" s="22" t="n">
        <v>2550</v>
      </c>
      <c r="H71" s="23" t="n">
        <v>-73.759</v>
      </c>
      <c r="I71" s="24" t="n">
        <v>5.69622222</v>
      </c>
      <c r="J71" s="25" t="n">
        <v>21.82704406032178</v>
      </c>
      <c r="K71" s="26" t="n">
        <v>22.0645794563036</v>
      </c>
      <c r="L71" s="26" t="n">
        <v>21.71642365591398</v>
      </c>
      <c r="M71" s="26" t="n">
        <v>21.31876543209877</v>
      </c>
      <c r="N71" s="26" t="n">
        <v>21.41135925006893</v>
      </c>
      <c r="O71" s="26" t="n">
        <v>21.38873563218391</v>
      </c>
      <c r="P71" s="26" t="n">
        <v>21.33583817410291</v>
      </c>
      <c r="Q71" s="26" t="n">
        <v>21.27991716987129</v>
      </c>
      <c r="R71" s="26" t="n">
        <v>21.46727171136654</v>
      </c>
      <c r="S71" s="26" t="n">
        <v>21.09590629800307</v>
      </c>
      <c r="T71" s="26" t="n">
        <v>20.74941160372195</v>
      </c>
      <c r="U71" s="26" t="n">
        <v>21.2374059139785</v>
      </c>
      <c r="V71" s="27">
        <f>AVERAGE(J71:U71)</f>
        <v/>
      </c>
      <c r="W71" s="28" t="n">
        <v>106</v>
      </c>
      <c r="X71" s="29" t="n">
        <v>0.8833333333333333</v>
      </c>
    </row>
    <row r="72" ht="13.9" customHeight="1">
      <c r="A72" s="11" t="n">
        <v>24015220</v>
      </c>
      <c r="B72" s="22" t="inlineStr">
        <is>
          <t>CP</t>
        </is>
      </c>
      <c r="C72" s="22" t="inlineStr">
        <is>
          <t>Villa Carmen</t>
        </is>
      </c>
      <c r="D72" s="22" t="inlineStr">
        <is>
          <t>Samacá</t>
        </is>
      </c>
      <c r="E72" s="22" t="inlineStr">
        <is>
          <t>Boyacá</t>
        </is>
      </c>
      <c r="F72" s="22" t="n">
        <v>6</v>
      </c>
      <c r="G72" s="22" t="n">
        <v>2600</v>
      </c>
      <c r="H72" s="23" t="n">
        <v>-73.49577778</v>
      </c>
      <c r="I72" s="24" t="n">
        <v>5.509388889999999</v>
      </c>
      <c r="J72" s="25" t="n">
        <v>19.79427179974858</v>
      </c>
      <c r="K72" s="26" t="n">
        <v>20.09393717691419</v>
      </c>
      <c r="L72" s="26" t="n">
        <v>19.91973881107478</v>
      </c>
      <c r="M72" s="26" t="n">
        <v>19.446397489016</v>
      </c>
      <c r="N72" s="26" t="n">
        <v>19.12923170231405</v>
      </c>
      <c r="O72" s="26" t="n">
        <v>18.34770416205761</v>
      </c>
      <c r="P72" s="26" t="n">
        <v>17.74207636891661</v>
      </c>
      <c r="Q72" s="26" t="n">
        <v>17.89482270865335</v>
      </c>
      <c r="R72" s="26" t="n">
        <v>18.64260102992246</v>
      </c>
      <c r="S72" s="26" t="n">
        <v>19.14998458604799</v>
      </c>
      <c r="T72" s="26" t="n">
        <v>19.3544885361552</v>
      </c>
      <c r="U72" s="26" t="n">
        <v>19.51101201398198</v>
      </c>
      <c r="V72" s="27">
        <f>AVERAGE(J72:U72)</f>
        <v/>
      </c>
      <c r="W72" s="28" t="n">
        <v>334</v>
      </c>
      <c r="X72" s="29" t="n">
        <v>0.9277777777777778</v>
      </c>
    </row>
    <row r="73" ht="13.9" customHeight="1">
      <c r="A73" s="11" t="n">
        <v>24015090</v>
      </c>
      <c r="B73" s="22" t="inlineStr">
        <is>
          <t>CO</t>
        </is>
      </c>
      <c r="C73" s="22" t="inlineStr">
        <is>
          <t>Institución Agrícola Santa Sofía</t>
        </is>
      </c>
      <c r="D73" s="22" t="inlineStr">
        <is>
          <t>Santa Sofía</t>
        </is>
      </c>
      <c r="E73" s="22" t="inlineStr">
        <is>
          <t>Boyacá</t>
        </is>
      </c>
      <c r="F73" s="22" t="n">
        <v>6</v>
      </c>
      <c r="G73" s="22" t="n">
        <v>2300</v>
      </c>
      <c r="H73" s="23" t="n">
        <v>-73.60227777999999</v>
      </c>
      <c r="I73" s="24" t="n">
        <v>5.71066667</v>
      </c>
      <c r="J73" s="25" t="n">
        <v>22.06883511356398</v>
      </c>
      <c r="K73" s="26" t="n">
        <v>22.54123095590057</v>
      </c>
      <c r="L73" s="26" t="n">
        <v>22.38302321135688</v>
      </c>
      <c r="M73" s="26" t="n">
        <v>22.05265764866041</v>
      </c>
      <c r="N73" s="26" t="n">
        <v>21.82575363376513</v>
      </c>
      <c r="O73" s="26" t="n">
        <v>21.47017199227426</v>
      </c>
      <c r="P73" s="26" t="n">
        <v>21.34563346802684</v>
      </c>
      <c r="Q73" s="26" t="n">
        <v>21.64713643827437</v>
      </c>
      <c r="R73" s="26" t="n">
        <v>21.97407966683922</v>
      </c>
      <c r="S73" s="26" t="n">
        <v>21.71438920572142</v>
      </c>
      <c r="T73" s="26" t="n">
        <v>21.25853073367259</v>
      </c>
      <c r="U73" s="26" t="n">
        <v>21.56950141380063</v>
      </c>
      <c r="V73" s="27">
        <f>AVERAGE(J73:U73)</f>
        <v/>
      </c>
      <c r="W73" s="28" t="n">
        <v>327</v>
      </c>
      <c r="X73" s="29" t="n">
        <v>0.9083333333333333</v>
      </c>
    </row>
    <row r="74" ht="13.9" customHeight="1">
      <c r="A74" s="11" t="n">
        <v>24035320</v>
      </c>
      <c r="B74" s="22" t="inlineStr">
        <is>
          <t>CO</t>
        </is>
      </c>
      <c r="C74" s="22" t="inlineStr">
        <is>
          <t>Sativanorte</t>
        </is>
      </c>
      <c r="D74" s="22" t="inlineStr">
        <is>
          <t>Sativanorte</t>
        </is>
      </c>
      <c r="E74" s="22" t="inlineStr">
        <is>
          <t>Boyacá</t>
        </is>
      </c>
      <c r="F74" s="22" t="n">
        <v>6</v>
      </c>
      <c r="G74" s="22" t="n">
        <v>2594</v>
      </c>
      <c r="H74" s="23" t="n">
        <v>-72.70483333</v>
      </c>
      <c r="I74" s="24" t="n">
        <v>6.116861109999999</v>
      </c>
      <c r="J74" s="25" t="n">
        <v>21.51738474848597</v>
      </c>
      <c r="K74" s="26" t="n">
        <v>21.82741046380893</v>
      </c>
      <c r="L74" s="26" t="n">
        <v>21.45485683681456</v>
      </c>
      <c r="M74" s="26" t="n">
        <v>20.9289417989418</v>
      </c>
      <c r="N74" s="26" t="n">
        <v>20.86612984073086</v>
      </c>
      <c r="O74" s="26" t="n">
        <v>20.58448146596967</v>
      </c>
      <c r="P74" s="26" t="n">
        <v>20.63221279003961</v>
      </c>
      <c r="Q74" s="26" t="n">
        <v>20.5524294049919</v>
      </c>
      <c r="R74" s="26" t="n">
        <v>20.77221674876848</v>
      </c>
      <c r="S74" s="26" t="n">
        <v>20.74388228636106</v>
      </c>
      <c r="T74" s="26" t="n">
        <v>20.68467029643073</v>
      </c>
      <c r="U74" s="26" t="n">
        <v>21.1927221279004</v>
      </c>
      <c r="V74" s="27">
        <f>AVERAGE(J74:U74)</f>
        <v/>
      </c>
      <c r="W74" s="28" t="n">
        <v>222</v>
      </c>
      <c r="X74" s="29" t="n">
        <v>0.925</v>
      </c>
    </row>
    <row r="75" ht="13.9" customHeight="1">
      <c r="A75" s="11" t="n">
        <v>35235010</v>
      </c>
      <c r="B75" s="22" t="inlineStr">
        <is>
          <t>CO</t>
        </is>
      </c>
      <c r="C75" s="22" t="inlineStr">
        <is>
          <t>El Cardón</t>
        </is>
      </c>
      <c r="D75" s="22" t="inlineStr">
        <is>
          <t>Socotá</t>
        </is>
      </c>
      <c r="E75" s="22" t="inlineStr">
        <is>
          <t>Boyacá</t>
        </is>
      </c>
      <c r="F75" s="22" t="n">
        <v>6</v>
      </c>
      <c r="G75" s="22" t="n">
        <v>3590</v>
      </c>
      <c r="H75" s="23" t="n">
        <v>-72.52927778</v>
      </c>
      <c r="I75" s="24" t="n">
        <v>6.011666669999999</v>
      </c>
      <c r="J75" s="25" t="n">
        <v>11.55450873817541</v>
      </c>
      <c r="K75" s="26" t="n">
        <v>11.83686471446816</v>
      </c>
      <c r="L75" s="26" t="n">
        <v>11.46276930079081</v>
      </c>
      <c r="M75" s="26" t="n">
        <v>11.1278597153804</v>
      </c>
      <c r="N75" s="26" t="n">
        <v>10.8378263919988</v>
      </c>
      <c r="O75" s="26" t="n">
        <v>10.1299593027662</v>
      </c>
      <c r="P75" s="26" t="n">
        <v>9.267094760067197</v>
      </c>
      <c r="Q75" s="26" t="n">
        <v>9.224807563959954</v>
      </c>
      <c r="R75" s="26" t="n">
        <v>9.117296029640857</v>
      </c>
      <c r="S75" s="26" t="n">
        <v>9.795797481081745</v>
      </c>
      <c r="T75" s="26" t="n">
        <v>11.00359029619805</v>
      </c>
      <c r="U75" s="26" t="n">
        <v>11.59176784237268</v>
      </c>
      <c r="V75" s="27">
        <f>AVERAGE(J75:U75)</f>
        <v/>
      </c>
      <c r="W75" s="28" t="n">
        <v>111</v>
      </c>
      <c r="X75" s="29" t="n">
        <v>0.925</v>
      </c>
    </row>
    <row r="76" ht="13.9" customHeight="1">
      <c r="A76" s="11" t="n">
        <v>24035340</v>
      </c>
      <c r="B76" s="22" t="inlineStr">
        <is>
          <t>CP</t>
        </is>
      </c>
      <c r="C76" s="22" t="inlineStr">
        <is>
          <t>Aeropuerto Alberto Lleras Camargo</t>
        </is>
      </c>
      <c r="D76" s="22" t="inlineStr">
        <is>
          <t>Sogamoso</t>
        </is>
      </c>
      <c r="E76" s="22" t="inlineStr">
        <is>
          <t>Boyacá</t>
        </is>
      </c>
      <c r="F76" s="22" t="n">
        <v>6</v>
      </c>
      <c r="G76" s="22" t="n">
        <v>2500</v>
      </c>
      <c r="H76" s="23" t="n">
        <v>-72.96791666999999</v>
      </c>
      <c r="I76" s="24" t="n">
        <v>5.67694444</v>
      </c>
      <c r="J76" s="25" t="n">
        <v>22.82210566465782</v>
      </c>
      <c r="K76" s="26" t="n">
        <v>23.11191096047418</v>
      </c>
      <c r="L76" s="26" t="n">
        <v>22.58684348864994</v>
      </c>
      <c r="M76" s="26" t="n">
        <v>21.86856471115092</v>
      </c>
      <c r="N76" s="26" t="n">
        <v>21.33036971882722</v>
      </c>
      <c r="O76" s="26" t="n">
        <v>20.66733911363222</v>
      </c>
      <c r="P76" s="26" t="n">
        <v>20.30434571800163</v>
      </c>
      <c r="Q76" s="26" t="n">
        <v>20.41286501843993</v>
      </c>
      <c r="R76" s="26" t="n">
        <v>20.83033951131431</v>
      </c>
      <c r="S76" s="26" t="n">
        <v>21.34200472034455</v>
      </c>
      <c r="T76" s="26" t="n">
        <v>21.64825393214723</v>
      </c>
      <c r="U76" s="26" t="n">
        <v>22.17546175219837</v>
      </c>
      <c r="V76" s="27">
        <f>AVERAGE(J76:U76)</f>
        <v/>
      </c>
      <c r="W76" s="28" t="n">
        <v>327</v>
      </c>
      <c r="X76" s="29" t="n">
        <v>0.9083333333333333</v>
      </c>
    </row>
    <row r="77" ht="13.9" customHeight="1">
      <c r="A77" s="11" t="n">
        <v>35075020</v>
      </c>
      <c r="B77" s="22" t="inlineStr">
        <is>
          <t>CP</t>
        </is>
      </c>
      <c r="C77" s="22" t="inlineStr">
        <is>
          <t>Sutatenza</t>
        </is>
      </c>
      <c r="D77" s="22" t="inlineStr">
        <is>
          <t>Sutatenza</t>
        </is>
      </c>
      <c r="E77" s="22" t="inlineStr">
        <is>
          <t>Boyacá</t>
        </is>
      </c>
      <c r="F77" s="22" t="n">
        <v>6</v>
      </c>
      <c r="G77" s="22" t="n">
        <v>1930</v>
      </c>
      <c r="H77" s="23" t="n">
        <v>-73.44916667</v>
      </c>
      <c r="I77" s="24" t="n">
        <v>5.02227778</v>
      </c>
      <c r="J77" s="25" t="n">
        <v>24.69852007070369</v>
      </c>
      <c r="K77" s="26" t="n">
        <v>24.91246815016137</v>
      </c>
      <c r="L77" s="26" t="n">
        <v>24.34877271041898</v>
      </c>
      <c r="M77" s="26" t="n">
        <v>23.46932110299529</v>
      </c>
      <c r="N77" s="26" t="n">
        <v>22.89736472623903</v>
      </c>
      <c r="O77" s="26" t="n">
        <v>21.76113026819923</v>
      </c>
      <c r="P77" s="26" t="n">
        <v>21.25714695340502</v>
      </c>
      <c r="Q77" s="26" t="n">
        <v>21.75379211469534</v>
      </c>
      <c r="R77" s="26" t="n">
        <v>23.05814951651158</v>
      </c>
      <c r="S77" s="26" t="n">
        <v>23.70033370411568</v>
      </c>
      <c r="T77" s="26" t="n">
        <v>24.06688409489836</v>
      </c>
      <c r="U77" s="26" t="n">
        <v>24.31946326198829</v>
      </c>
      <c r="V77" s="27">
        <f>AVERAGE(J77:U77)</f>
        <v/>
      </c>
      <c r="W77" s="28" t="n">
        <v>351</v>
      </c>
      <c r="X77" s="29" t="n">
        <v>0.975</v>
      </c>
    </row>
    <row r="78" ht="13.9" customHeight="1">
      <c r="A78" s="11" t="n">
        <v>24035040</v>
      </c>
      <c r="B78" s="22" t="inlineStr">
        <is>
          <t>CO</t>
        </is>
      </c>
      <c r="C78" s="22" t="inlineStr">
        <is>
          <t xml:space="preserve">La Copa </t>
        </is>
      </c>
      <c r="D78" s="22" t="inlineStr">
        <is>
          <t>Toca</t>
        </is>
      </c>
      <c r="E78" s="22" t="inlineStr">
        <is>
          <t>Boyacá</t>
        </is>
      </c>
      <c r="F78" s="22" t="n">
        <v>6</v>
      </c>
      <c r="G78" s="22" t="n">
        <v>2700</v>
      </c>
      <c r="H78" s="23" t="n">
        <v>-73.20877777999999</v>
      </c>
      <c r="I78" s="24" t="n">
        <v>5.57919444</v>
      </c>
      <c r="J78" s="25" t="n">
        <v>20.26322580645161</v>
      </c>
      <c r="K78" s="26" t="n">
        <v>20.67431034482759</v>
      </c>
      <c r="L78" s="26" t="n">
        <v>20.26483870967742</v>
      </c>
      <c r="M78" s="26" t="n">
        <v>19.23833333333334</v>
      </c>
      <c r="N78" s="26" t="n">
        <v>18.72516129032258</v>
      </c>
      <c r="O78" s="26" t="n">
        <v>18.21333333333333</v>
      </c>
      <c r="P78" s="26" t="n">
        <v>17.92427419354838</v>
      </c>
      <c r="Q78" s="26" t="n">
        <v>18.07258064516129</v>
      </c>
      <c r="R78" s="26" t="n">
        <v>18.58166666666667</v>
      </c>
      <c r="S78" s="26" t="n">
        <v>18.95376344086021</v>
      </c>
      <c r="T78" s="26" t="n">
        <v>19.38416666666667</v>
      </c>
      <c r="U78" s="26" t="n">
        <v>19.39516129032258</v>
      </c>
      <c r="V78" s="27">
        <f>AVERAGE(J78:U78)</f>
        <v/>
      </c>
      <c r="W78" s="28" t="n">
        <v>107</v>
      </c>
      <c r="X78" s="29" t="n">
        <v>0.8916666666666667</v>
      </c>
    </row>
    <row r="79" ht="13.9" customHeight="1">
      <c r="A79" s="11" t="n">
        <v>24035130</v>
      </c>
      <c r="B79" s="22" t="inlineStr">
        <is>
          <t>CP</t>
        </is>
      </c>
      <c r="C79" s="22" t="inlineStr">
        <is>
          <t>U P T C</t>
        </is>
      </c>
      <c r="D79" s="22" t="inlineStr">
        <is>
          <t>Tunja</t>
        </is>
      </c>
      <c r="E79" s="22" t="inlineStr">
        <is>
          <t>Boyacá</t>
        </is>
      </c>
      <c r="F79" s="22" t="n">
        <v>6</v>
      </c>
      <c r="G79" s="22" t="n">
        <v>2690</v>
      </c>
      <c r="H79" s="23" t="n">
        <v>-73.36081306</v>
      </c>
      <c r="I79" s="24" t="n">
        <v>5.5430775</v>
      </c>
      <c r="J79" s="25" t="n">
        <v>19.74745949605842</v>
      </c>
      <c r="K79" s="26" t="n">
        <v>20.13305907990807</v>
      </c>
      <c r="L79" s="26" t="n">
        <v>19.73764676801384</v>
      </c>
      <c r="M79" s="26" t="n">
        <v>18.87442178115186</v>
      </c>
      <c r="N79" s="26" t="n">
        <v>18.091866359447</v>
      </c>
      <c r="O79" s="26" t="n">
        <v>17.12380001132439</v>
      </c>
      <c r="P79" s="26" t="n">
        <v>16.68205054410839</v>
      </c>
      <c r="Q79" s="26" t="n">
        <v>17.08731867015145</v>
      </c>
      <c r="R79" s="26" t="n">
        <v>18.09399014778325</v>
      </c>
      <c r="S79" s="26" t="n">
        <v>18.65466834241028</v>
      </c>
      <c r="T79" s="26" t="n">
        <v>19.0166789819376</v>
      </c>
      <c r="U79" s="26" t="n">
        <v>18.97387576223835</v>
      </c>
      <c r="V79" s="27">
        <f>AVERAGE(J79:U79)</f>
        <v/>
      </c>
      <c r="W79" s="28" t="n">
        <v>337</v>
      </c>
      <c r="X79" s="29" t="n">
        <v>0.9361111111111111</v>
      </c>
    </row>
    <row r="80" ht="13.9" customHeight="1">
      <c r="A80" s="11" t="n">
        <v>24015300</v>
      </c>
      <c r="B80" s="22" t="inlineStr">
        <is>
          <t>CP</t>
        </is>
      </c>
      <c r="C80" s="22" t="inlineStr">
        <is>
          <t>Villa de Leyva</t>
        </is>
      </c>
      <c r="D80" s="22" t="inlineStr">
        <is>
          <t>Villa de Leiva</t>
        </is>
      </c>
      <c r="E80" s="22" t="inlineStr">
        <is>
          <t>Boyacá</t>
        </is>
      </c>
      <c r="F80" s="22" t="n">
        <v>6</v>
      </c>
      <c r="G80" s="22" t="n">
        <v>2215</v>
      </c>
      <c r="H80" s="23" t="n">
        <v>-73.54394443999999</v>
      </c>
      <c r="I80" s="24" t="n">
        <v>5.65583333</v>
      </c>
      <c r="J80" s="25" t="n">
        <v>24.23924155145929</v>
      </c>
      <c r="K80" s="26" t="n">
        <v>24.81876967022442</v>
      </c>
      <c r="L80" s="26" t="n">
        <v>24.44363078317473</v>
      </c>
      <c r="M80" s="26" t="n">
        <v>23.98291187739464</v>
      </c>
      <c r="N80" s="26" t="n">
        <v>23.66834177893132</v>
      </c>
      <c r="O80" s="26" t="n">
        <v>23.39927426057695</v>
      </c>
      <c r="P80" s="26" t="n">
        <v>23.21386231615375</v>
      </c>
      <c r="Q80" s="26" t="n">
        <v>23.53720164609054</v>
      </c>
      <c r="R80" s="26" t="n">
        <v>24.02406032026722</v>
      </c>
      <c r="S80" s="26" t="n">
        <v>23.54812528323652</v>
      </c>
      <c r="T80" s="26" t="n">
        <v>23.18258620689656</v>
      </c>
      <c r="U80" s="26" t="n">
        <v>23.33872012406495</v>
      </c>
      <c r="V80" s="27">
        <f>AVERAGE(J80:U80)</f>
        <v/>
      </c>
      <c r="W80" s="28" t="n">
        <v>103</v>
      </c>
      <c r="X80" s="29" t="n">
        <v>0.8583333333333333</v>
      </c>
    </row>
    <row r="81" ht="13.9" customHeight="1">
      <c r="A81" s="11" t="n">
        <v>26185010</v>
      </c>
      <c r="B81" s="22" t="inlineStr">
        <is>
          <t>CO</t>
        </is>
      </c>
      <c r="C81" s="22" t="inlineStr">
        <is>
          <t>La Pelada</t>
        </is>
      </c>
      <c r="D81" s="22" t="inlineStr">
        <is>
          <t>Aguadas</t>
        </is>
      </c>
      <c r="E81" s="22" t="inlineStr">
        <is>
          <t>Caldas</t>
        </is>
      </c>
      <c r="F81" s="22" t="n">
        <v>1</v>
      </c>
      <c r="G81" s="22" t="n">
        <v>2180</v>
      </c>
      <c r="H81" s="23" t="n">
        <v>-75.34477778</v>
      </c>
      <c r="I81" s="24" t="n">
        <v>5.578749999999999</v>
      </c>
      <c r="J81" s="25" t="n">
        <v>21.57193638761208</v>
      </c>
      <c r="K81" s="26" t="n">
        <v>21.89913356084812</v>
      </c>
      <c r="L81" s="26" t="n">
        <v>21.86692204810651</v>
      </c>
      <c r="M81" s="26" t="n">
        <v>21.65473694580638</v>
      </c>
      <c r="N81" s="26" t="n">
        <v>21.52054209185148</v>
      </c>
      <c r="O81" s="26" t="n">
        <v>21.85398689645135</v>
      </c>
      <c r="P81" s="26" t="n">
        <v>22.24997862546357</v>
      </c>
      <c r="Q81" s="26" t="n">
        <v>22.05670371177507</v>
      </c>
      <c r="R81" s="26" t="n">
        <v>21.71600784239623</v>
      </c>
      <c r="S81" s="26" t="n">
        <v>20.6839143021421</v>
      </c>
      <c r="T81" s="26" t="n">
        <v>20.42242369329722</v>
      </c>
      <c r="U81" s="26" t="n">
        <v>20.7841897793972</v>
      </c>
      <c r="V81" s="27">
        <f>AVERAGE(J81:U81)</f>
        <v/>
      </c>
      <c r="W81" s="28" t="n">
        <v>219</v>
      </c>
      <c r="X81" s="29" t="n">
        <v>0.9125</v>
      </c>
    </row>
    <row r="82" ht="13.9" customHeight="1">
      <c r="A82" s="11" t="n">
        <v>26145020</v>
      </c>
      <c r="B82" s="22" t="inlineStr">
        <is>
          <t>CO</t>
        </is>
      </c>
      <c r="C82" s="22" t="inlineStr">
        <is>
          <t>Bellavista</t>
        </is>
      </c>
      <c r="D82" s="22" t="inlineStr">
        <is>
          <t>Anserma</t>
        </is>
      </c>
      <c r="E82" s="22" t="inlineStr">
        <is>
          <t>Caldas</t>
        </is>
      </c>
      <c r="F82" s="22" t="n">
        <v>9</v>
      </c>
      <c r="G82" s="22" t="n">
        <v>1984</v>
      </c>
      <c r="H82" s="23" t="n">
        <v>-75.80013889</v>
      </c>
      <c r="I82" s="24" t="n">
        <v>5.27594444</v>
      </c>
      <c r="J82" s="25" t="n">
        <v>22.18027874357751</v>
      </c>
      <c r="K82" s="26" t="n">
        <v>22.38365032403494</v>
      </c>
      <c r="L82" s="26" t="n">
        <v>22.22821882418657</v>
      </c>
      <c r="M82" s="26" t="n">
        <v>22.09187640812784</v>
      </c>
      <c r="N82" s="26" t="n">
        <v>21.95958080099735</v>
      </c>
      <c r="O82" s="26" t="n">
        <v>22.18983563163474</v>
      </c>
      <c r="P82" s="26" t="n">
        <v>22.57740165840833</v>
      </c>
      <c r="Q82" s="26" t="n">
        <v>22.71125914315569</v>
      </c>
      <c r="R82" s="26" t="n">
        <v>22.36422233327781</v>
      </c>
      <c r="S82" s="26" t="n">
        <v>21.53160734149055</v>
      </c>
      <c r="T82" s="26" t="n">
        <v>21.23145054126377</v>
      </c>
      <c r="U82" s="26" t="n">
        <v>21.72425565443085</v>
      </c>
      <c r="V82" s="27">
        <f>AVERAGE(J82:U82)</f>
        <v/>
      </c>
      <c r="W82" s="28" t="n">
        <v>280</v>
      </c>
      <c r="X82" s="29" t="n">
        <v>0.7777777777777778</v>
      </c>
    </row>
    <row r="83" ht="13.9" customHeight="1">
      <c r="A83" s="11" t="n">
        <v>26155110</v>
      </c>
      <c r="B83" s="22" t="inlineStr">
        <is>
          <t>CP</t>
        </is>
      </c>
      <c r="C83" s="22" t="inlineStr">
        <is>
          <t>Aeropuerto La Nubia</t>
        </is>
      </c>
      <c r="D83" s="22" t="inlineStr">
        <is>
          <t>Manizales</t>
        </is>
      </c>
      <c r="E83" s="22" t="inlineStr">
        <is>
          <t>Caldas</t>
        </is>
      </c>
      <c r="F83" s="22" t="n">
        <v>9</v>
      </c>
      <c r="G83" s="22" t="n">
        <v>2104</v>
      </c>
      <c r="H83" s="23" t="n">
        <v>-75.46991666999999</v>
      </c>
      <c r="I83" s="24" t="n">
        <v>5.02977778</v>
      </c>
      <c r="J83" s="25" t="n">
        <v>21.43694911012236</v>
      </c>
      <c r="K83" s="26" t="n">
        <v>21.90559380657657</v>
      </c>
      <c r="L83" s="26" t="n">
        <v>21.58399517982944</v>
      </c>
      <c r="M83" s="26" t="n">
        <v>21.33928054491273</v>
      </c>
      <c r="N83" s="26" t="n">
        <v>21.0436535965888</v>
      </c>
      <c r="O83" s="26" t="n">
        <v>21.05895114942529</v>
      </c>
      <c r="P83" s="26" t="n">
        <v>21.40990730441231</v>
      </c>
      <c r="Q83" s="26" t="n">
        <v>21.52285773875735</v>
      </c>
      <c r="R83" s="26" t="n">
        <v>21.06377668308703</v>
      </c>
      <c r="S83" s="26" t="n">
        <v>20.6131553512656</v>
      </c>
      <c r="T83" s="26" t="n">
        <v>20.75732142857143</v>
      </c>
      <c r="U83" s="26" t="n">
        <v>20.87467829028591</v>
      </c>
      <c r="V83" s="27">
        <f>AVERAGE(J83:U83)</f>
        <v/>
      </c>
      <c r="W83" s="28" t="n">
        <v>98</v>
      </c>
      <c r="X83" s="29" t="n">
        <v>0.8166666666666667</v>
      </c>
    </row>
    <row r="84" ht="13.9" customHeight="1">
      <c r="A84" s="11" t="n">
        <v>26185040</v>
      </c>
      <c r="B84" s="22" t="inlineStr">
        <is>
          <t>CO</t>
        </is>
      </c>
      <c r="C84" s="22" t="inlineStr">
        <is>
          <t>San Felix</t>
        </is>
      </c>
      <c r="D84" s="22" t="inlineStr">
        <is>
          <t xml:space="preserve">Salamina </t>
        </is>
      </c>
      <c r="E84" s="22" t="inlineStr">
        <is>
          <t>Caldas</t>
        </is>
      </c>
      <c r="F84" s="22" t="n">
        <v>1</v>
      </c>
      <c r="G84" s="22" t="n">
        <v>2690</v>
      </c>
      <c r="H84" s="23" t="n">
        <v>-75.37533332999999</v>
      </c>
      <c r="I84" s="24" t="n">
        <v>5.372944439999999</v>
      </c>
      <c r="J84" s="25" t="n">
        <v>16.9404654903042</v>
      </c>
      <c r="K84" s="26" t="n">
        <v>17.04235577179476</v>
      </c>
      <c r="L84" s="26" t="n">
        <v>16.81456057182878</v>
      </c>
      <c r="M84" s="26" t="n">
        <v>16.74646108374384</v>
      </c>
      <c r="N84" s="26" t="n">
        <v>17.09460194574815</v>
      </c>
      <c r="O84" s="26" t="n">
        <v>17.26449458398373</v>
      </c>
      <c r="P84" s="26" t="n">
        <v>17.37442075832955</v>
      </c>
      <c r="Q84" s="26" t="n">
        <v>17.35322857996245</v>
      </c>
      <c r="R84" s="26" t="n">
        <v>17.22962117941072</v>
      </c>
      <c r="S84" s="26" t="n">
        <v>16.48302780000102</v>
      </c>
      <c r="T84" s="26" t="n">
        <v>16.00867082555588</v>
      </c>
      <c r="U84" s="26" t="n">
        <v>16.60133850991968</v>
      </c>
      <c r="V84" s="27">
        <f>AVERAGE(J84:U84)</f>
        <v/>
      </c>
      <c r="W84" s="28" t="n">
        <v>317</v>
      </c>
      <c r="X84" s="29" t="n">
        <v>0.8805555555555555</v>
      </c>
    </row>
    <row r="85" ht="13.9" customHeight="1">
      <c r="A85" s="11" t="n">
        <v>23055040</v>
      </c>
      <c r="B85" s="22" t="inlineStr">
        <is>
          <t>CO</t>
        </is>
      </c>
      <c r="C85" s="22" t="inlineStr">
        <is>
          <t>Samaná</t>
        </is>
      </c>
      <c r="D85" s="22" t="inlineStr">
        <is>
          <t>Samaná</t>
        </is>
      </c>
      <c r="E85" s="22" t="inlineStr">
        <is>
          <t>Caldas</t>
        </is>
      </c>
      <c r="F85" s="22" t="n">
        <v>10</v>
      </c>
      <c r="G85" s="22" t="n">
        <v>1532</v>
      </c>
      <c r="H85" s="23" t="n">
        <v>-74.99292778</v>
      </c>
      <c r="I85" s="24" t="n">
        <v>5.41828806</v>
      </c>
      <c r="J85" s="25" t="n">
        <v>21.65069797307769</v>
      </c>
      <c r="K85" s="26" t="n">
        <v>21.99678979924574</v>
      </c>
      <c r="L85" s="26" t="n">
        <v>21.99613676157747</v>
      </c>
      <c r="M85" s="26" t="n">
        <v>22.0865476997455</v>
      </c>
      <c r="N85" s="26" t="n">
        <v>22.2429513305233</v>
      </c>
      <c r="O85" s="26" t="n">
        <v>22.5084430805733</v>
      </c>
      <c r="P85" s="26" t="n">
        <v>23.03167223161785</v>
      </c>
      <c r="Q85" s="26" t="n">
        <v>23.45063682240932</v>
      </c>
      <c r="R85" s="26" t="n">
        <v>22.81963167527619</v>
      </c>
      <c r="S85" s="26" t="n">
        <v>21.80883242807033</v>
      </c>
      <c r="T85" s="26" t="n">
        <v>21.40593724126526</v>
      </c>
      <c r="U85" s="26" t="n">
        <v>21.38094413104067</v>
      </c>
      <c r="V85" s="27">
        <f>AVERAGE(J85:U85)</f>
        <v/>
      </c>
      <c r="W85" s="28" t="n">
        <v>338</v>
      </c>
      <c r="X85" s="29" t="n">
        <v>0.9388888888888889</v>
      </c>
    </row>
    <row r="86" ht="13.9" customHeight="1">
      <c r="A86" s="11" t="n">
        <v>44045030</v>
      </c>
      <c r="B86" s="22" t="inlineStr">
        <is>
          <t>CO</t>
        </is>
      </c>
      <c r="C86" s="22" t="inlineStr">
        <is>
          <t>La Mono</t>
        </is>
      </c>
      <c r="D86" s="22" t="inlineStr">
        <is>
          <t>Belén de Los Andaquíes</t>
        </is>
      </c>
      <c r="E86" s="22" t="inlineStr">
        <is>
          <t>Caquetá</t>
        </is>
      </c>
      <c r="F86" s="22" t="n">
        <v>4</v>
      </c>
      <c r="G86" s="22" t="n">
        <v>300</v>
      </c>
      <c r="H86" s="23" t="n">
        <v>-75.80772222</v>
      </c>
      <c r="I86" s="24" t="n">
        <v>1.30336111</v>
      </c>
      <c r="J86" s="25" t="n">
        <v>31.93868920181682</v>
      </c>
      <c r="K86" s="26" t="n">
        <v>31.59519253165358</v>
      </c>
      <c r="L86" s="26" t="n">
        <v>30.49101206095228</v>
      </c>
      <c r="M86" s="26" t="n">
        <v>30.18695144927771</v>
      </c>
      <c r="N86" s="26" t="n">
        <v>29.80147755669789</v>
      </c>
      <c r="O86" s="26" t="n">
        <v>29.17116554156784</v>
      </c>
      <c r="P86" s="26" t="n">
        <v>29.00978705684378</v>
      </c>
      <c r="Q86" s="26" t="n">
        <v>30.1044711998544</v>
      </c>
      <c r="R86" s="26" t="n">
        <v>31.23284842743463</v>
      </c>
      <c r="S86" s="26" t="n">
        <v>31.24344888379038</v>
      </c>
      <c r="T86" s="26" t="n">
        <v>31.2249999181321</v>
      </c>
      <c r="U86" s="26" t="n">
        <v>31.4934296757104</v>
      </c>
      <c r="V86" s="27">
        <f>AVERAGE(J86:U86)</f>
        <v/>
      </c>
      <c r="W86" s="28" t="n">
        <v>317</v>
      </c>
      <c r="X86" s="29" t="n">
        <v>0.8805555555555555</v>
      </c>
    </row>
    <row r="87" ht="13.9" customHeight="1">
      <c r="A87" s="11" t="n">
        <v>44035020</v>
      </c>
      <c r="B87" s="22" t="inlineStr">
        <is>
          <t>CO</t>
        </is>
      </c>
      <c r="C87" s="22" t="inlineStr">
        <is>
          <t>Aeropuerto Gustavo Artunduaga</t>
        </is>
      </c>
      <c r="D87" s="22" t="inlineStr">
        <is>
          <t xml:space="preserve">Florencia </t>
        </is>
      </c>
      <c r="E87" s="22" t="inlineStr">
        <is>
          <t>Caquetá</t>
        </is>
      </c>
      <c r="F87" s="22" t="n">
        <v>4</v>
      </c>
      <c r="G87" s="22" t="n">
        <v>244</v>
      </c>
      <c r="H87" s="23" t="n">
        <v>-75.55955556000001</v>
      </c>
      <c r="I87" s="24" t="n">
        <v>1.58905556</v>
      </c>
      <c r="J87" s="25" t="n">
        <v>32.74508589112036</v>
      </c>
      <c r="K87" s="26" t="n">
        <v>32.10321671775945</v>
      </c>
      <c r="L87" s="26" t="n">
        <v>30.82642633678273</v>
      </c>
      <c r="M87" s="26" t="n">
        <v>30.32002755864826</v>
      </c>
      <c r="N87" s="26" t="n">
        <v>29.80722777207344</v>
      </c>
      <c r="O87" s="26" t="n">
        <v>29.11443268785444</v>
      </c>
      <c r="P87" s="26" t="n">
        <v>29.02991574765613</v>
      </c>
      <c r="Q87" s="26" t="n">
        <v>30.20336791881952</v>
      </c>
      <c r="R87" s="26" t="n">
        <v>31.10932524478502</v>
      </c>
      <c r="S87" s="26" t="n">
        <v>31.36388742106161</v>
      </c>
      <c r="T87" s="26" t="n">
        <v>31.48965248831628</v>
      </c>
      <c r="U87" s="26" t="n">
        <v>31.99946958729072</v>
      </c>
      <c r="V87" s="27">
        <f>AVERAGE(J87:U87)</f>
        <v/>
      </c>
      <c r="W87" s="28" t="n">
        <v>300</v>
      </c>
      <c r="X87" s="29" t="n">
        <v>0.8333333333333334</v>
      </c>
    </row>
    <row r="88" ht="13.9" customHeight="1">
      <c r="A88" s="11" t="n">
        <v>44035030</v>
      </c>
      <c r="B88" s="22" t="inlineStr">
        <is>
          <t>AM</t>
        </is>
      </c>
      <c r="C88" s="22" t="inlineStr">
        <is>
          <t>Macagual</t>
        </is>
      </c>
      <c r="D88" s="22" t="inlineStr">
        <is>
          <t xml:space="preserve">Florencia </t>
        </is>
      </c>
      <c r="E88" s="22" t="inlineStr">
        <is>
          <t>Caquetá</t>
        </is>
      </c>
      <c r="F88" s="22" t="n">
        <v>4</v>
      </c>
      <c r="G88" s="22" t="n">
        <v>280</v>
      </c>
      <c r="H88" s="23" t="n">
        <v>-75.66</v>
      </c>
      <c r="I88" s="24" t="n">
        <v>1.5</v>
      </c>
      <c r="J88" s="25" t="n">
        <v>32.22750437287757</v>
      </c>
      <c r="K88" s="26" t="n">
        <v>31.90025262094228</v>
      </c>
      <c r="L88" s="26" t="n">
        <v>30.66068101309147</v>
      </c>
      <c r="M88" s="26" t="n">
        <v>30.05780687830688</v>
      </c>
      <c r="N88" s="26" t="n">
        <v>29.56672747497219</v>
      </c>
      <c r="O88" s="26" t="n">
        <v>28.90501825186308</v>
      </c>
      <c r="P88" s="26" t="n">
        <v>29.09722588884769</v>
      </c>
      <c r="Q88" s="26" t="n">
        <v>30.0738845630948</v>
      </c>
      <c r="R88" s="26" t="n">
        <v>30.99635714285714</v>
      </c>
      <c r="S88" s="26" t="n">
        <v>31.17091033933451</v>
      </c>
      <c r="T88" s="26" t="n">
        <v>31.51867907316183</v>
      </c>
      <c r="U88" s="26" t="n">
        <v>31.64598854694517</v>
      </c>
      <c r="V88" s="27">
        <f>AVERAGE(J88:U88)</f>
        <v/>
      </c>
      <c r="W88" s="28" t="n">
        <v>116</v>
      </c>
      <c r="X88" s="29" t="n">
        <v>0.9666666666666667</v>
      </c>
    </row>
    <row r="89" ht="13.9" customHeight="1">
      <c r="A89" s="11" t="n">
        <v>46035020</v>
      </c>
      <c r="B89" s="22" t="inlineStr">
        <is>
          <t>CO</t>
        </is>
      </c>
      <c r="C89" s="22" t="inlineStr">
        <is>
          <t>Puerto Rico</t>
        </is>
      </c>
      <c r="D89" s="22" t="inlineStr">
        <is>
          <t xml:space="preserve">Puerto Rico </t>
        </is>
      </c>
      <c r="E89" s="22" t="inlineStr">
        <is>
          <t>Caquetá</t>
        </is>
      </c>
      <c r="F89" s="22" t="n">
        <v>4</v>
      </c>
      <c r="G89" s="22" t="n">
        <v>285</v>
      </c>
      <c r="H89" s="23" t="n">
        <v>-75.15066666999999</v>
      </c>
      <c r="I89" s="24" t="n">
        <v>1.91752778</v>
      </c>
      <c r="J89" s="25" t="n">
        <v>32.67263791043545</v>
      </c>
      <c r="K89" s="26" t="n">
        <v>32.38694703100221</v>
      </c>
      <c r="L89" s="26" t="n">
        <v>31.22215186185709</v>
      </c>
      <c r="M89" s="26" t="n">
        <v>30.19482235601776</v>
      </c>
      <c r="N89" s="26" t="n">
        <v>30.08339032787753</v>
      </c>
      <c r="O89" s="26" t="n">
        <v>29.27089805185591</v>
      </c>
      <c r="P89" s="26" t="n">
        <v>29.20373827248021</v>
      </c>
      <c r="Q89" s="26" t="n">
        <v>30.17961273843365</v>
      </c>
      <c r="R89" s="26" t="n">
        <v>31.1848315018315</v>
      </c>
      <c r="S89" s="26" t="n">
        <v>31.3134511597248</v>
      </c>
      <c r="T89" s="26" t="n">
        <v>31.57182051282052</v>
      </c>
      <c r="U89" s="26" t="n">
        <v>31.97216990071272</v>
      </c>
      <c r="V89" s="27">
        <f>AVERAGE(J89:U89)</f>
        <v/>
      </c>
      <c r="W89" s="28" t="n">
        <v>114</v>
      </c>
      <c r="X89" s="29" t="n">
        <v>0.95</v>
      </c>
    </row>
    <row r="90" ht="13.9" customHeight="1">
      <c r="A90" s="11" t="n">
        <v>44045010</v>
      </c>
      <c r="B90" s="22" t="inlineStr">
        <is>
          <t>CO</t>
        </is>
      </c>
      <c r="C90" s="22" t="inlineStr">
        <is>
          <t>San José del Fragüa</t>
        </is>
      </c>
      <c r="D90" s="22" t="inlineStr">
        <is>
          <t>San José del Fragua</t>
        </is>
      </c>
      <c r="E90" s="22" t="inlineStr">
        <is>
          <t>Caquetá</t>
        </is>
      </c>
      <c r="F90" s="22" t="n">
        <v>4</v>
      </c>
      <c r="G90" s="22" t="n">
        <v>320</v>
      </c>
      <c r="H90" s="23" t="n">
        <v>-75.9615</v>
      </c>
      <c r="I90" s="24" t="n">
        <v>1.32513889</v>
      </c>
      <c r="J90" s="25" t="n">
        <v>31.6330273009054</v>
      </c>
      <c r="K90" s="26" t="n">
        <v>31.3440042280447</v>
      </c>
      <c r="L90" s="26" t="n">
        <v>30.3996026885475</v>
      </c>
      <c r="M90" s="26" t="n">
        <v>30.14198183065008</v>
      </c>
      <c r="N90" s="26" t="n">
        <v>29.7342198247486</v>
      </c>
      <c r="O90" s="26" t="n">
        <v>29.00008015149513</v>
      </c>
      <c r="P90" s="26" t="n">
        <v>28.80830593663741</v>
      </c>
      <c r="Q90" s="26" t="n">
        <v>30.03066836951894</v>
      </c>
      <c r="R90" s="26" t="n">
        <v>31.33337821662198</v>
      </c>
      <c r="S90" s="26" t="n">
        <v>31.46119106137748</v>
      </c>
      <c r="T90" s="26" t="n">
        <v>31.21624879888099</v>
      </c>
      <c r="U90" s="26" t="n">
        <v>31.33372209560734</v>
      </c>
      <c r="V90" s="27">
        <f>AVERAGE(J90:U90)</f>
        <v/>
      </c>
      <c r="W90" s="28" t="n">
        <v>347</v>
      </c>
      <c r="X90" s="29" t="n">
        <v>0.9638888888888889</v>
      </c>
    </row>
    <row r="91" ht="13.9" customHeight="1">
      <c r="A91" s="11" t="n">
        <v>44135010</v>
      </c>
      <c r="B91" s="22" t="inlineStr">
        <is>
          <t>CP</t>
        </is>
      </c>
      <c r="C91" s="22" t="inlineStr">
        <is>
          <t>Araracuara</t>
        </is>
      </c>
      <c r="D91" s="22" t="inlineStr">
        <is>
          <t>Solano</t>
        </is>
      </c>
      <c r="E91" s="22" t="inlineStr">
        <is>
          <t>Caquetá</t>
        </is>
      </c>
      <c r="F91" s="22" t="n">
        <v>4</v>
      </c>
      <c r="G91" s="22" t="n">
        <v>150</v>
      </c>
      <c r="H91" s="23" t="n">
        <v>-72.38191667</v>
      </c>
      <c r="I91" s="24" t="n">
        <v>-0.61636111</v>
      </c>
      <c r="J91" s="25" t="n">
        <v>32.2617551909529</v>
      </c>
      <c r="K91" s="26" t="n">
        <v>31.91725042376384</v>
      </c>
      <c r="L91" s="26" t="n">
        <v>31.52439665471924</v>
      </c>
      <c r="M91" s="26" t="n">
        <v>30.88891899288451</v>
      </c>
      <c r="N91" s="26" t="n">
        <v>30.25885020393029</v>
      </c>
      <c r="O91" s="26" t="n">
        <v>29.718258178603</v>
      </c>
      <c r="P91" s="26" t="n">
        <v>29.78941009557945</v>
      </c>
      <c r="Q91" s="26" t="n">
        <v>30.49059139784946</v>
      </c>
      <c r="R91" s="26" t="n">
        <v>31.23544312169312</v>
      </c>
      <c r="S91" s="26" t="n">
        <v>31.7004008569192</v>
      </c>
      <c r="T91" s="26" t="n">
        <v>31.64066666666667</v>
      </c>
      <c r="U91" s="26" t="n">
        <v>31.87370104871897</v>
      </c>
      <c r="V91" s="27">
        <f>AVERAGE(J91:U91)</f>
        <v/>
      </c>
      <c r="W91" s="28" t="n">
        <v>108</v>
      </c>
      <c r="X91" s="29" t="n">
        <v>0.9</v>
      </c>
    </row>
    <row r="92" ht="13.9" customHeight="1">
      <c r="A92" s="11" t="n">
        <v>44055010</v>
      </c>
      <c r="B92" s="22" t="inlineStr">
        <is>
          <t>CP</t>
        </is>
      </c>
      <c r="C92" s="22" t="inlineStr">
        <is>
          <t>Tres Esquinas</t>
        </is>
      </c>
      <c r="D92" s="22" t="inlineStr">
        <is>
          <t>Solano</t>
        </is>
      </c>
      <c r="E92" s="22" t="inlineStr">
        <is>
          <t>Caquetá</t>
        </is>
      </c>
      <c r="F92" s="22" t="n">
        <v>11</v>
      </c>
      <c r="G92" s="22" t="n">
        <v>219</v>
      </c>
      <c r="H92" s="23" t="n">
        <v>-75.23611111</v>
      </c>
      <c r="I92" s="24" t="n">
        <v>0.7375</v>
      </c>
      <c r="J92" s="25" t="n">
        <v>32.38987117033669</v>
      </c>
      <c r="K92" s="26" t="n">
        <v>31.7270884004884</v>
      </c>
      <c r="L92" s="26" t="n">
        <v>30.4805515046447</v>
      </c>
      <c r="M92" s="26" t="n">
        <v>29.83366758241759</v>
      </c>
      <c r="N92" s="26" t="n">
        <v>29.52527625403888</v>
      </c>
      <c r="O92" s="26" t="n">
        <v>29.17650505744256</v>
      </c>
      <c r="P92" s="26" t="n">
        <v>28.98179370212772</v>
      </c>
      <c r="Q92" s="26" t="n">
        <v>29.88523778448717</v>
      </c>
      <c r="R92" s="26" t="n">
        <v>30.74639003270038</v>
      </c>
      <c r="S92" s="26" t="n">
        <v>31.32230141073856</v>
      </c>
      <c r="T92" s="26" t="n">
        <v>31.60002719622332</v>
      </c>
      <c r="U92" s="26" t="n">
        <v>31.65125797759279</v>
      </c>
      <c r="V92" s="27">
        <f>AVERAGE(J92:U92)</f>
        <v/>
      </c>
      <c r="W92" s="28" t="n">
        <v>114</v>
      </c>
      <c r="X92" s="29" t="n">
        <v>0.95</v>
      </c>
    </row>
    <row r="93" ht="13.9" customHeight="1">
      <c r="A93" s="11" t="n">
        <v>44045020</v>
      </c>
      <c r="B93" s="22" t="inlineStr">
        <is>
          <t>CO</t>
        </is>
      </c>
      <c r="C93" s="22" t="inlineStr">
        <is>
          <t>Valparaiso</t>
        </is>
      </c>
      <c r="D93" s="22" t="inlineStr">
        <is>
          <t>Valparaíso</t>
        </is>
      </c>
      <c r="E93" s="22" t="inlineStr">
        <is>
          <t>Caquetá</t>
        </is>
      </c>
      <c r="F93" s="22" t="n">
        <v>4</v>
      </c>
      <c r="G93" s="22" t="n">
        <v>270</v>
      </c>
      <c r="H93" s="23" t="n">
        <v>-75.70447222000001</v>
      </c>
      <c r="I93" s="24" t="n">
        <v>1.19525</v>
      </c>
      <c r="J93" s="25" t="n">
        <v>32.55585324571884</v>
      </c>
      <c r="K93" s="26" t="n">
        <v>32.12195536455881</v>
      </c>
      <c r="L93" s="26" t="n">
        <v>31.12280168916651</v>
      </c>
      <c r="M93" s="26" t="n">
        <v>30.70856209990243</v>
      </c>
      <c r="N93" s="26" t="n">
        <v>30.22424564215588</v>
      </c>
      <c r="O93" s="26" t="n">
        <v>29.56482648028855</v>
      </c>
      <c r="P93" s="26" t="n">
        <v>29.3784472432702</v>
      </c>
      <c r="Q93" s="26" t="n">
        <v>30.57120711902113</v>
      </c>
      <c r="R93" s="26" t="n">
        <v>31.57003010399562</v>
      </c>
      <c r="S93" s="26" t="n">
        <v>31.76613503829833</v>
      </c>
      <c r="T93" s="26" t="n">
        <v>31.94340140319451</v>
      </c>
      <c r="U93" s="26" t="n">
        <v>32.3524673377597</v>
      </c>
      <c r="V93" s="27">
        <f>AVERAGE(J93:U93)</f>
        <v/>
      </c>
      <c r="W93" s="28" t="n">
        <v>287</v>
      </c>
      <c r="X93" s="29" t="n">
        <v>0.7972222222222223</v>
      </c>
    </row>
    <row r="94" ht="13.9" customHeight="1">
      <c r="A94" s="11" t="n">
        <v>35225030</v>
      </c>
      <c r="B94" s="22" t="inlineStr">
        <is>
          <t>CO</t>
        </is>
      </c>
      <c r="C94" s="22" t="inlineStr">
        <is>
          <t xml:space="preserve">Módulos - AUT </t>
        </is>
      </c>
      <c r="D94" s="22" t="inlineStr">
        <is>
          <t>Orocué</t>
        </is>
      </c>
      <c r="E94" s="22" t="inlineStr">
        <is>
          <t>Casanare</t>
        </is>
      </c>
      <c r="F94" s="22" t="n">
        <v>3</v>
      </c>
      <c r="G94" s="22" t="n">
        <v>130</v>
      </c>
      <c r="H94" s="23" t="n">
        <v>-71.43305556000001</v>
      </c>
      <c r="I94" s="24" t="n">
        <v>4.91047222</v>
      </c>
      <c r="J94" s="25" t="n">
        <v>33.3083007676417</v>
      </c>
      <c r="K94" s="26" t="n">
        <v>34.43371692313749</v>
      </c>
      <c r="L94" s="26" t="n">
        <v>34.32538786193092</v>
      </c>
      <c r="M94" s="26" t="n">
        <v>32.44543955318033</v>
      </c>
      <c r="N94" s="26" t="n">
        <v>31.23199793988786</v>
      </c>
      <c r="O94" s="26" t="n">
        <v>30.31073667315642</v>
      </c>
      <c r="P94" s="26" t="n">
        <v>30.16893351745688</v>
      </c>
      <c r="Q94" s="26" t="n">
        <v>30.94848045979695</v>
      </c>
      <c r="R94" s="26" t="n">
        <v>31.92355343062879</v>
      </c>
      <c r="S94" s="26" t="n">
        <v>32.11002572659081</v>
      </c>
      <c r="T94" s="26" t="n">
        <v>31.94818128078818</v>
      </c>
      <c r="U94" s="26" t="n">
        <v>32.22977289051327</v>
      </c>
      <c r="V94" s="27">
        <f>AVERAGE(J94:U94)</f>
        <v/>
      </c>
      <c r="W94" s="28" t="n">
        <v>326</v>
      </c>
      <c r="X94" s="29" t="n">
        <v>0.9055555555555556</v>
      </c>
    </row>
    <row r="95" ht="13.9" customHeight="1">
      <c r="A95" s="11" t="n">
        <v>36015010</v>
      </c>
      <c r="B95" s="22" t="inlineStr">
        <is>
          <t>CP</t>
        </is>
      </c>
      <c r="C95" s="22" t="inlineStr">
        <is>
          <t>Paz de Ariporo</t>
        </is>
      </c>
      <c r="D95" s="22" t="inlineStr">
        <is>
          <t>Paz de Ariporo</t>
        </is>
      </c>
      <c r="E95" s="22" t="inlineStr">
        <is>
          <t>Casanare</t>
        </is>
      </c>
      <c r="F95" s="22" t="n">
        <v>6</v>
      </c>
      <c r="G95" s="22" t="n">
        <v>342</v>
      </c>
      <c r="H95" s="23" t="n">
        <v>-71.88719444</v>
      </c>
      <c r="I95" s="24" t="n">
        <v>5.87852778</v>
      </c>
      <c r="J95" s="25" t="n">
        <v>32.46721624850657</v>
      </c>
      <c r="K95" s="26" t="n">
        <v>33.33239068296539</v>
      </c>
      <c r="L95" s="26" t="n">
        <v>33.13967741935484</v>
      </c>
      <c r="M95" s="26" t="n">
        <v>32.12567816091954</v>
      </c>
      <c r="N95" s="26" t="n">
        <v>31.0250752688172</v>
      </c>
      <c r="O95" s="26" t="n">
        <v>30.03429064039408</v>
      </c>
      <c r="P95" s="26" t="n">
        <v>30.08607341490545</v>
      </c>
      <c r="Q95" s="26" t="n">
        <v>30.58714794215795</v>
      </c>
      <c r="R95" s="26" t="n">
        <v>31.48152052545156</v>
      </c>
      <c r="S95" s="26" t="n">
        <v>31.89481481481481</v>
      </c>
      <c r="T95" s="26" t="n">
        <v>31.64612068965517</v>
      </c>
      <c r="U95" s="26" t="n">
        <v>32.0308064516129</v>
      </c>
      <c r="V95" s="27">
        <f>AVERAGE(J95:U95)</f>
        <v/>
      </c>
      <c r="W95" s="28" t="n">
        <v>113</v>
      </c>
      <c r="X95" s="29" t="n">
        <v>0.9416666666666667</v>
      </c>
    </row>
    <row r="96" ht="13.9" customHeight="1">
      <c r="A96" s="11" t="n">
        <v>35235050</v>
      </c>
      <c r="B96" s="22" t="inlineStr">
        <is>
          <t>CO</t>
        </is>
      </c>
      <c r="C96" s="22" t="inlineStr">
        <is>
          <t xml:space="preserve">Tamara - AUT </t>
        </is>
      </c>
      <c r="D96" s="22" t="inlineStr">
        <is>
          <t>Támara</t>
        </is>
      </c>
      <c r="E96" s="22" t="inlineStr">
        <is>
          <t>Casanare</t>
        </is>
      </c>
      <c r="F96" s="22" t="n">
        <v>6</v>
      </c>
      <c r="G96" s="22" t="n">
        <v>1017</v>
      </c>
      <c r="H96" s="23" t="n">
        <v>-72.16677778</v>
      </c>
      <c r="I96" s="24" t="n">
        <v>5.81858333</v>
      </c>
      <c r="J96" s="25" t="n">
        <v>26.97974527252503</v>
      </c>
      <c r="K96" s="26" t="n">
        <v>27.82766009852217</v>
      </c>
      <c r="L96" s="26" t="n">
        <v>27.53405376344086</v>
      </c>
      <c r="M96" s="26" t="n">
        <v>26.52298850574713</v>
      </c>
      <c r="N96" s="26" t="n">
        <v>25.85677419354839</v>
      </c>
      <c r="O96" s="26" t="n">
        <v>25.07951851851852</v>
      </c>
      <c r="P96" s="26" t="n">
        <v>24.95889247311828</v>
      </c>
      <c r="Q96" s="26" t="n">
        <v>25.41895161290322</v>
      </c>
      <c r="R96" s="26" t="n">
        <v>26.45273307790549</v>
      </c>
      <c r="S96" s="26" t="n">
        <v>26.28722036831047</v>
      </c>
      <c r="T96" s="26" t="n">
        <v>26.00791666666667</v>
      </c>
      <c r="U96" s="26" t="n">
        <v>26.19444892473118</v>
      </c>
      <c r="V96" s="27">
        <f>AVERAGE(J96:U96)</f>
        <v/>
      </c>
      <c r="W96" s="28" t="n">
        <v>112</v>
      </c>
      <c r="X96" s="29" t="n">
        <v>0.9333333333333333</v>
      </c>
    </row>
    <row r="97" ht="13.9" customHeight="1">
      <c r="A97" s="11" t="n">
        <v>35195020</v>
      </c>
      <c r="B97" s="22" t="inlineStr">
        <is>
          <t>ME</t>
        </is>
      </c>
      <c r="C97" s="22" t="inlineStr">
        <is>
          <t>Tauramena</t>
        </is>
      </c>
      <c r="D97" s="22" t="inlineStr">
        <is>
          <t>Tauramena</t>
        </is>
      </c>
      <c r="E97" s="22" t="inlineStr">
        <is>
          <t>Casanare</t>
        </is>
      </c>
      <c r="F97" s="22" t="n">
        <v>6</v>
      </c>
      <c r="G97" s="22" t="n">
        <v>460</v>
      </c>
      <c r="H97" s="23" t="n">
        <v>-72.86984167</v>
      </c>
      <c r="I97" s="24" t="n">
        <v>5.027257779999999</v>
      </c>
      <c r="J97" s="25" t="n">
        <v>31.51947829549981</v>
      </c>
      <c r="K97" s="26" t="n">
        <v>32.30580072067141</v>
      </c>
      <c r="L97" s="26" t="n">
        <v>31.47752380952381</v>
      </c>
      <c r="M97" s="26" t="n">
        <v>30.31841338259442</v>
      </c>
      <c r="N97" s="26" t="n">
        <v>29.38491954022988</v>
      </c>
      <c r="O97" s="26" t="n">
        <v>28.79714778325123</v>
      </c>
      <c r="P97" s="26" t="n">
        <v>28.67109677419355</v>
      </c>
      <c r="Q97" s="26" t="n">
        <v>29.42508342602892</v>
      </c>
      <c r="R97" s="26" t="n">
        <v>30.147</v>
      </c>
      <c r="S97" s="26" t="n">
        <v>30.5102525439789</v>
      </c>
      <c r="T97" s="26" t="n">
        <v>30.05291666666666</v>
      </c>
      <c r="U97" s="26" t="n">
        <v>30.74207919768403</v>
      </c>
      <c r="V97" s="27">
        <f>AVERAGE(J97:U97)</f>
        <v/>
      </c>
      <c r="W97" s="28" t="n">
        <v>110</v>
      </c>
      <c r="X97" s="29" t="n">
        <v>0.9166666666666666</v>
      </c>
    </row>
    <row r="98" ht="13.9" customHeight="1">
      <c r="A98" s="11" t="n">
        <v>35095110</v>
      </c>
      <c r="B98" s="22" t="inlineStr">
        <is>
          <t>CP</t>
        </is>
      </c>
      <c r="C98" s="22" t="inlineStr">
        <is>
          <t>La Huerta Grande</t>
        </is>
      </c>
      <c r="D98" s="22" t="inlineStr">
        <is>
          <t>Villanueva</t>
        </is>
      </c>
      <c r="E98" s="22" t="inlineStr">
        <is>
          <t>Casanare</t>
        </is>
      </c>
      <c r="F98" s="22" t="n">
        <v>3</v>
      </c>
      <c r="G98" s="22" t="n">
        <v>352</v>
      </c>
      <c r="H98" s="23" t="n">
        <v>-72.91547</v>
      </c>
      <c r="I98" s="24" t="n">
        <v>4.65147</v>
      </c>
      <c r="J98" s="25" t="n">
        <v>32.9075205856435</v>
      </c>
      <c r="K98" s="26" t="n">
        <v>33.53173709294111</v>
      </c>
      <c r="L98" s="26" t="n">
        <v>33.01946922851938</v>
      </c>
      <c r="M98" s="26" t="n">
        <v>31.29710337529648</v>
      </c>
      <c r="N98" s="26" t="n">
        <v>30.28575403204302</v>
      </c>
      <c r="O98" s="26" t="n">
        <v>29.49827627340731</v>
      </c>
      <c r="P98" s="26" t="n">
        <v>29.28396868311449</v>
      </c>
      <c r="Q98" s="26" t="n">
        <v>30.10074099816452</v>
      </c>
      <c r="R98" s="26" t="n">
        <v>31.06755703317173</v>
      </c>
      <c r="S98" s="26" t="n">
        <v>31.31605406550732</v>
      </c>
      <c r="T98" s="26" t="n">
        <v>31.24978700035597</v>
      </c>
      <c r="U98" s="26" t="n">
        <v>31.84011054380644</v>
      </c>
      <c r="V98" s="27">
        <f>AVERAGE(J98:U98)</f>
        <v/>
      </c>
      <c r="W98" s="28" t="n">
        <v>282</v>
      </c>
      <c r="X98" s="29" t="n">
        <v>0.7833333333333333</v>
      </c>
    </row>
    <row r="99" ht="13.9" customHeight="1">
      <c r="A99" s="11" t="n">
        <v>35215020</v>
      </c>
      <c r="B99" s="22" t="inlineStr">
        <is>
          <t>CP</t>
        </is>
      </c>
      <c r="C99" s="22" t="inlineStr">
        <is>
          <t xml:space="preserve">Aeropuerto Yopal - AUT </t>
        </is>
      </c>
      <c r="D99" s="22" t="inlineStr">
        <is>
          <t>Yopal</t>
        </is>
      </c>
      <c r="E99" s="22" t="inlineStr">
        <is>
          <t>Casanare</t>
        </is>
      </c>
      <c r="F99" s="22" t="n">
        <v>6</v>
      </c>
      <c r="G99" s="22" t="n">
        <v>325</v>
      </c>
      <c r="H99" s="23" t="n">
        <v>-72.3875</v>
      </c>
      <c r="I99" s="24" t="n">
        <v>5.32044444</v>
      </c>
      <c r="J99" s="25" t="n">
        <v>32.66589467427065</v>
      </c>
      <c r="K99" s="26" t="n">
        <v>33.54144215370269</v>
      </c>
      <c r="L99" s="26" t="n">
        <v>33.29350537634409</v>
      </c>
      <c r="M99" s="26" t="n">
        <v>31.14266666666667</v>
      </c>
      <c r="N99" s="26" t="n">
        <v>30.08793548387097</v>
      </c>
      <c r="O99" s="26" t="n">
        <v>29.39521839080459</v>
      </c>
      <c r="P99" s="26" t="n">
        <v>29.36630824372759</v>
      </c>
      <c r="Q99" s="26" t="n">
        <v>29.85137395459977</v>
      </c>
      <c r="R99" s="26" t="n">
        <v>30.61551559934319</v>
      </c>
      <c r="S99" s="26" t="n">
        <v>31.00819058212829</v>
      </c>
      <c r="T99" s="26" t="n">
        <v>31.29018390804598</v>
      </c>
      <c r="U99" s="26" t="n">
        <v>31.74432497013142</v>
      </c>
      <c r="V99" s="27">
        <f>AVERAGE(J99:U99)</f>
        <v/>
      </c>
      <c r="W99" s="28" t="n">
        <v>115</v>
      </c>
      <c r="X99" s="29" t="n">
        <v>0.9583333333333334</v>
      </c>
    </row>
    <row r="100" ht="13.9" customHeight="1">
      <c r="A100" s="11" t="n">
        <v>52025010</v>
      </c>
      <c r="B100" s="22" t="inlineStr">
        <is>
          <t>CO</t>
        </is>
      </c>
      <c r="C100" s="22" t="inlineStr">
        <is>
          <t>Bolívar</t>
        </is>
      </c>
      <c r="D100" s="22" t="inlineStr">
        <is>
          <t>Bolívar</t>
        </is>
      </c>
      <c r="E100" s="22" t="inlineStr">
        <is>
          <t>Cauca</t>
        </is>
      </c>
      <c r="F100" s="22" t="n">
        <v>7</v>
      </c>
      <c r="G100" s="22" t="n">
        <v>1510</v>
      </c>
      <c r="H100" s="23" t="n">
        <v>-77.00402778</v>
      </c>
      <c r="I100" s="24" t="n">
        <v>1.82994444</v>
      </c>
      <c r="J100" s="25" t="n">
        <v>25.66880282407275</v>
      </c>
      <c r="K100" s="26" t="n">
        <v>25.95012196726219</v>
      </c>
      <c r="L100" s="26" t="n">
        <v>25.8020828698554</v>
      </c>
      <c r="M100" s="26" t="n">
        <v>25.75230883611919</v>
      </c>
      <c r="N100" s="26" t="n">
        <v>25.67807462771078</v>
      </c>
      <c r="O100" s="26" t="n">
        <v>26.28457763181902</v>
      </c>
      <c r="P100" s="26" t="n">
        <v>27.43639016897081</v>
      </c>
      <c r="Q100" s="26" t="n">
        <v>28.55769115698847</v>
      </c>
      <c r="R100" s="26" t="n">
        <v>28.35426777352065</v>
      </c>
      <c r="S100" s="26" t="n">
        <v>26.64066471662616</v>
      </c>
      <c r="T100" s="26" t="n">
        <v>25.00973804050356</v>
      </c>
      <c r="U100" s="26" t="n">
        <v>25.10021377520361</v>
      </c>
      <c r="V100" s="27">
        <f>AVERAGE(J100:U100)</f>
        <v/>
      </c>
      <c r="W100" s="28" t="n">
        <v>353</v>
      </c>
      <c r="X100" s="29" t="n">
        <v>0.9805555555555555</v>
      </c>
    </row>
    <row r="101" ht="13.9" customHeight="1">
      <c r="A101" s="11" t="n">
        <v>52025020</v>
      </c>
      <c r="B101" s="22" t="inlineStr">
        <is>
          <t>CO</t>
        </is>
      </c>
      <c r="C101" s="22" t="inlineStr">
        <is>
          <t xml:space="preserve">Los Milagros </t>
        </is>
      </c>
      <c r="D101" s="22" t="inlineStr">
        <is>
          <t>Bolívar</t>
        </is>
      </c>
      <c r="E101" s="22" t="inlineStr">
        <is>
          <t>Cauca</t>
        </is>
      </c>
      <c r="F101" s="22" t="n">
        <v>7</v>
      </c>
      <c r="G101" s="22" t="n">
        <v>2300</v>
      </c>
      <c r="H101" s="23" t="n">
        <v>-76.89166666999999</v>
      </c>
      <c r="I101" s="24" t="n">
        <v>1.75333333</v>
      </c>
      <c r="J101" s="25" t="n">
        <v>20.01704864311316</v>
      </c>
      <c r="K101" s="26" t="n">
        <v>20.07061750616348</v>
      </c>
      <c r="L101" s="26" t="n">
        <v>20.21575071262798</v>
      </c>
      <c r="M101" s="26" t="n">
        <v>20.69997395390975</v>
      </c>
      <c r="N101" s="26" t="n">
        <v>20.84395537907371</v>
      </c>
      <c r="O101" s="26" t="n">
        <v>21.23362989680486</v>
      </c>
      <c r="P101" s="26" t="n">
        <v>21.37397849462366</v>
      </c>
      <c r="Q101" s="26" t="n">
        <v>21.60631295410437</v>
      </c>
      <c r="R101" s="26" t="n">
        <v>21.81599450138095</v>
      </c>
      <c r="S101" s="26" t="n">
        <v>20.92513602442134</v>
      </c>
      <c r="T101" s="26" t="n">
        <v>19.48849994599769</v>
      </c>
      <c r="U101" s="26" t="n">
        <v>19.57902762967793</v>
      </c>
      <c r="V101" s="27">
        <f>AVERAGE(J101:U101)</f>
        <v/>
      </c>
      <c r="W101" s="28" t="n">
        <v>345</v>
      </c>
      <c r="X101" s="29" t="n">
        <v>0.9583333333333334</v>
      </c>
    </row>
    <row r="102" ht="13.9" customHeight="1">
      <c r="A102" s="11" t="n">
        <v>26025090</v>
      </c>
      <c r="B102" s="22" t="inlineStr">
        <is>
          <t>CO</t>
        </is>
      </c>
      <c r="C102" s="22" t="inlineStr">
        <is>
          <t>Venta De Cajibío</t>
        </is>
      </c>
      <c r="D102" s="22" t="inlineStr">
        <is>
          <t>Cajibío</t>
        </is>
      </c>
      <c r="E102" s="22" t="inlineStr">
        <is>
          <t>Cauca</t>
        </is>
      </c>
      <c r="F102" s="22" t="n">
        <v>9</v>
      </c>
      <c r="G102" s="22" t="n">
        <v>1850</v>
      </c>
      <c r="H102" s="23" t="n">
        <v>-76.56183333</v>
      </c>
      <c r="I102" s="24" t="n">
        <v>2.58475</v>
      </c>
      <c r="J102" s="25" t="n">
        <v>24.51452807646356</v>
      </c>
      <c r="K102" s="26" t="n">
        <v>24.15720260901296</v>
      </c>
      <c r="L102" s="26" t="n">
        <v>24.13010752688172</v>
      </c>
      <c r="M102" s="26" t="n">
        <v>24.11342857142857</v>
      </c>
      <c r="N102" s="26" t="n">
        <v>24.04010752688172</v>
      </c>
      <c r="O102" s="26" t="n">
        <v>24.73</v>
      </c>
      <c r="P102" s="26" t="n">
        <v>25.18593696700037</v>
      </c>
      <c r="Q102" s="26" t="n">
        <v>25.7720908004779</v>
      </c>
      <c r="R102" s="26" t="n">
        <v>25.89190804597701</v>
      </c>
      <c r="S102" s="26" t="n">
        <v>24.32544086021506</v>
      </c>
      <c r="T102" s="26" t="n">
        <v>23.68340996168583</v>
      </c>
      <c r="U102" s="26" t="n">
        <v>24.13074074074074</v>
      </c>
      <c r="V102" s="27">
        <f>AVERAGE(J102:U102)</f>
        <v/>
      </c>
      <c r="W102" s="28" t="n">
        <v>117</v>
      </c>
      <c r="X102" s="29" t="n">
        <v>0.975</v>
      </c>
    </row>
    <row r="103" ht="13.9" customHeight="1">
      <c r="A103" s="11" t="n">
        <v>53045040</v>
      </c>
      <c r="B103" s="22" t="inlineStr">
        <is>
          <t>CP</t>
        </is>
      </c>
      <c r="C103" s="22" t="inlineStr">
        <is>
          <t xml:space="preserve">Aeropuerto Guapi - AUT </t>
        </is>
      </c>
      <c r="D103" s="22" t="inlineStr">
        <is>
          <t>Guapi</t>
        </is>
      </c>
      <c r="E103" s="22" t="inlineStr">
        <is>
          <t>Cauca</t>
        </is>
      </c>
      <c r="F103" s="22" t="n">
        <v>7</v>
      </c>
      <c r="G103" s="22" t="n">
        <v>42</v>
      </c>
      <c r="H103" s="23" t="n">
        <v>-77.89475</v>
      </c>
      <c r="I103" s="24" t="n">
        <v>2.57441667</v>
      </c>
      <c r="J103" s="25" t="n">
        <v>29.98835840158948</v>
      </c>
      <c r="K103" s="26" t="n">
        <v>30.35993979200876</v>
      </c>
      <c r="L103" s="26" t="n">
        <v>30.8034752605776</v>
      </c>
      <c r="M103" s="26" t="n">
        <v>30.90522406812788</v>
      </c>
      <c r="N103" s="26" t="n">
        <v>30.37883826107655</v>
      </c>
      <c r="O103" s="26" t="n">
        <v>30.04300579033791</v>
      </c>
      <c r="P103" s="26" t="n">
        <v>29.86924798865289</v>
      </c>
      <c r="Q103" s="26" t="n">
        <v>29.89958217463849</v>
      </c>
      <c r="R103" s="26" t="n">
        <v>29.81055619818778</v>
      </c>
      <c r="S103" s="26" t="n">
        <v>29.71458941824261</v>
      </c>
      <c r="T103" s="26" t="n">
        <v>29.29698264459041</v>
      </c>
      <c r="U103" s="26" t="n">
        <v>29.55807317507401</v>
      </c>
      <c r="V103" s="27">
        <f>AVERAGE(J103:U103)</f>
        <v/>
      </c>
      <c r="W103" s="28" t="n">
        <v>216</v>
      </c>
      <c r="X103" s="29" t="n">
        <v>0.9</v>
      </c>
    </row>
    <row r="104" ht="13.9" customHeight="1">
      <c r="A104" s="11" t="n">
        <v>21055030</v>
      </c>
      <c r="B104" s="22" t="inlineStr">
        <is>
          <t>CO</t>
        </is>
      </c>
      <c r="C104" s="22" t="inlineStr">
        <is>
          <t>Santa Leticia</t>
        </is>
      </c>
      <c r="D104" s="22" t="inlineStr">
        <is>
          <t>Inzá</t>
        </is>
      </c>
      <c r="E104" s="22" t="inlineStr">
        <is>
          <t>Cauca</t>
        </is>
      </c>
      <c r="F104" s="22" t="n">
        <v>4</v>
      </c>
      <c r="G104" s="22" t="n">
        <v>2085</v>
      </c>
      <c r="H104" s="23" t="n">
        <v>-76.16</v>
      </c>
      <c r="I104" s="24" t="n">
        <v>2.24</v>
      </c>
      <c r="J104" s="25" t="n">
        <v>19.78104194463615</v>
      </c>
      <c r="K104" s="26" t="n">
        <v>20.02597477383951</v>
      </c>
      <c r="L104" s="26" t="n">
        <v>19.75043502928023</v>
      </c>
      <c r="M104" s="26" t="n">
        <v>19.80223616159632</v>
      </c>
      <c r="N104" s="26" t="n">
        <v>19.5972912541461</v>
      </c>
      <c r="O104" s="26" t="n">
        <v>19.23867275125896</v>
      </c>
      <c r="P104" s="26" t="n">
        <v>18.61822059059756</v>
      </c>
      <c r="Q104" s="26" t="n">
        <v>18.89117050759153</v>
      </c>
      <c r="R104" s="26" t="n">
        <v>19.61230481123144</v>
      </c>
      <c r="S104" s="26" t="n">
        <v>19.74901900259548</v>
      </c>
      <c r="T104" s="26" t="n">
        <v>19.55595621350411</v>
      </c>
      <c r="U104" s="26" t="n">
        <v>19.7436517417282</v>
      </c>
      <c r="V104" s="27">
        <f>AVERAGE(J104:U104)</f>
        <v/>
      </c>
      <c r="W104" s="28" t="n">
        <v>104</v>
      </c>
      <c r="X104" s="29" t="n">
        <v>0.8666666666666667</v>
      </c>
    </row>
    <row r="105" ht="13.9" customHeight="1">
      <c r="A105" s="11" t="n">
        <v>52025090</v>
      </c>
      <c r="B105" s="22" t="inlineStr">
        <is>
          <t>CP</t>
        </is>
      </c>
      <c r="C105" s="22" t="inlineStr">
        <is>
          <t>La Sierra</t>
        </is>
      </c>
      <c r="D105" s="22" t="inlineStr">
        <is>
          <t>La Sierra</t>
        </is>
      </c>
      <c r="E105" s="22" t="inlineStr">
        <is>
          <t>Cauca</t>
        </is>
      </c>
      <c r="F105" s="22" t="n">
        <v>7</v>
      </c>
      <c r="G105" s="22" t="n">
        <v>1870</v>
      </c>
      <c r="H105" s="23" t="n">
        <v>-76.75033332999999</v>
      </c>
      <c r="I105" s="24" t="n">
        <v>2.19383333</v>
      </c>
      <c r="J105" s="25" t="n">
        <v>21.82964696779792</v>
      </c>
      <c r="K105" s="26" t="n">
        <v>22.05985996182617</v>
      </c>
      <c r="L105" s="26" t="n">
        <v>22.22757347908059</v>
      </c>
      <c r="M105" s="26" t="n">
        <v>22.12534360980122</v>
      </c>
      <c r="N105" s="26" t="n">
        <v>22.11951983205786</v>
      </c>
      <c r="O105" s="26" t="n">
        <v>22.3604748271586</v>
      </c>
      <c r="P105" s="26" t="n">
        <v>22.9777598029211</v>
      </c>
      <c r="Q105" s="26" t="n">
        <v>23.74084660498732</v>
      </c>
      <c r="R105" s="26" t="n">
        <v>23.91352050886534</v>
      </c>
      <c r="S105" s="26" t="n">
        <v>22.69299064261245</v>
      </c>
      <c r="T105" s="26" t="n">
        <v>21.40617565074954</v>
      </c>
      <c r="U105" s="26" t="n">
        <v>21.41819933595703</v>
      </c>
      <c r="V105" s="27">
        <f>AVERAGE(J105:U105)</f>
        <v/>
      </c>
      <c r="W105" s="28" t="n">
        <v>311</v>
      </c>
      <c r="X105" s="29" t="n">
        <v>0.8638888888888889</v>
      </c>
    </row>
    <row r="106" ht="13.9" customHeight="1">
      <c r="A106" s="11" t="n">
        <v>52025060</v>
      </c>
      <c r="B106" s="22" t="inlineStr">
        <is>
          <t>CP</t>
        </is>
      </c>
      <c r="C106" s="22" t="inlineStr">
        <is>
          <t>Granja Experimental Universidad de Nariño</t>
        </is>
      </c>
      <c r="D106" s="22" t="inlineStr">
        <is>
          <t>Mercaderes</t>
        </is>
      </c>
      <c r="E106" s="22" t="inlineStr">
        <is>
          <t>Cauca</t>
        </is>
      </c>
      <c r="F106" s="22" t="n">
        <v>7</v>
      </c>
      <c r="G106" s="22" t="n">
        <v>580</v>
      </c>
      <c r="H106" s="23" t="n">
        <v>-77.19</v>
      </c>
      <c r="I106" s="24" t="n">
        <v>1.91</v>
      </c>
      <c r="J106" s="25" t="n">
        <v>32.99255324846538</v>
      </c>
      <c r="K106" s="26" t="n">
        <v>33.50495499604695</v>
      </c>
      <c r="L106" s="26" t="n">
        <v>32.95554948332286</v>
      </c>
      <c r="M106" s="26" t="n">
        <v>32.46939469215332</v>
      </c>
      <c r="N106" s="26" t="n">
        <v>32.73748554857237</v>
      </c>
      <c r="O106" s="26" t="n">
        <v>33.07529508792613</v>
      </c>
      <c r="P106" s="26" t="n">
        <v>34.39621992147021</v>
      </c>
      <c r="Q106" s="26" t="n">
        <v>35.7144404894327</v>
      </c>
      <c r="R106" s="26" t="n">
        <v>35.20318452380953</v>
      </c>
      <c r="S106" s="26" t="n">
        <v>33.1315770609319</v>
      </c>
      <c r="T106" s="26" t="n">
        <v>31.65008243933589</v>
      </c>
      <c r="U106" s="26" t="n">
        <v>31.82335631441438</v>
      </c>
      <c r="V106" s="27">
        <f>AVERAGE(J106:U106)</f>
        <v/>
      </c>
      <c r="W106" s="28" t="n">
        <v>107</v>
      </c>
      <c r="X106" s="29" t="n">
        <v>0.8916666666666667</v>
      </c>
    </row>
    <row r="107" ht="13.9" customHeight="1">
      <c r="A107" s="11" t="n">
        <v>26065010</v>
      </c>
      <c r="B107" s="22" t="inlineStr">
        <is>
          <t>CO</t>
        </is>
      </c>
      <c r="C107" s="22" t="inlineStr">
        <is>
          <t>Ingenio Cauca</t>
        </is>
      </c>
      <c r="D107" s="22" t="inlineStr">
        <is>
          <t>Miranda</t>
        </is>
      </c>
      <c r="E107" s="22" t="inlineStr">
        <is>
          <t>Cauca</t>
        </is>
      </c>
      <c r="F107" s="22" t="n">
        <v>9</v>
      </c>
      <c r="G107" s="22" t="n">
        <v>1003</v>
      </c>
      <c r="H107" s="23" t="n">
        <v>-76.34733333</v>
      </c>
      <c r="I107" s="24" t="n">
        <v>3.26916667</v>
      </c>
      <c r="J107" s="25" t="n">
        <v>29.97355265403652</v>
      </c>
      <c r="K107" s="26" t="n">
        <v>30.02408109132247</v>
      </c>
      <c r="L107" s="26" t="n">
        <v>30.14896896917644</v>
      </c>
      <c r="M107" s="26" t="n">
        <v>29.32795893719807</v>
      </c>
      <c r="N107" s="26" t="n">
        <v>29.1016455453149</v>
      </c>
      <c r="O107" s="26" t="n">
        <v>29.65497658578118</v>
      </c>
      <c r="P107" s="26" t="n">
        <v>29.85380386309195</v>
      </c>
      <c r="Q107" s="26" t="n">
        <v>30.35615053763441</v>
      </c>
      <c r="R107" s="26" t="n">
        <v>30.13250661375662</v>
      </c>
      <c r="S107" s="26" t="n">
        <v>29.75839964157706</v>
      </c>
      <c r="T107" s="26" t="n">
        <v>28.80253529485257</v>
      </c>
      <c r="U107" s="26" t="n">
        <v>29.38475232691572</v>
      </c>
      <c r="V107" s="27">
        <f>AVERAGE(J107:U107)</f>
        <v/>
      </c>
      <c r="W107" s="28" t="n">
        <v>100</v>
      </c>
      <c r="X107" s="29" t="n">
        <v>0.8333333333333334</v>
      </c>
    </row>
    <row r="108" ht="13.9" customHeight="1">
      <c r="A108" s="11" t="n">
        <v>26065020</v>
      </c>
      <c r="B108" s="22" t="inlineStr">
        <is>
          <t>CO</t>
        </is>
      </c>
      <c r="C108" s="22" t="inlineStr">
        <is>
          <t>Miranda</t>
        </is>
      </c>
      <c r="D108" s="22" t="inlineStr">
        <is>
          <t>Miranda</t>
        </is>
      </c>
      <c r="E108" s="22" t="inlineStr">
        <is>
          <t>Cauca</t>
        </is>
      </c>
      <c r="F108" s="22" t="n">
        <v>9</v>
      </c>
      <c r="G108" s="22" t="n">
        <v>1133</v>
      </c>
      <c r="H108" s="23" t="n">
        <v>-76.22305556000001</v>
      </c>
      <c r="I108" s="24" t="n">
        <v>3.24566667</v>
      </c>
      <c r="J108" s="25" t="n">
        <v>28.72827956989247</v>
      </c>
      <c r="K108" s="26" t="n">
        <v>28.81676108374384</v>
      </c>
      <c r="L108" s="26" t="n">
        <v>28.74709677419354</v>
      </c>
      <c r="M108" s="26" t="n">
        <v>28.74925925925926</v>
      </c>
      <c r="N108" s="26" t="n">
        <v>28.76344086021506</v>
      </c>
      <c r="O108" s="26" t="n">
        <v>28.82296296296296</v>
      </c>
      <c r="P108" s="26" t="n">
        <v>28.91971326164874</v>
      </c>
      <c r="Q108" s="26" t="n">
        <v>28.94193548387096</v>
      </c>
      <c r="R108" s="26" t="n">
        <v>28.93937931034483</v>
      </c>
      <c r="S108" s="26" t="n">
        <v>28.80729032258064</v>
      </c>
      <c r="T108" s="26" t="n">
        <v>28.786</v>
      </c>
      <c r="U108" s="26" t="n">
        <v>28.73832258064516</v>
      </c>
      <c r="V108" s="27">
        <f>AVERAGE(J108:U108)</f>
        <v/>
      </c>
      <c r="W108" s="28" t="n">
        <v>115</v>
      </c>
      <c r="X108" s="29" t="n">
        <v>0.9583333333333334</v>
      </c>
    </row>
    <row r="109" ht="13.9" customHeight="1">
      <c r="A109" s="11" t="n">
        <v>52015020</v>
      </c>
      <c r="B109" s="22" t="inlineStr">
        <is>
          <t>CO</t>
        </is>
      </c>
      <c r="C109" s="22" t="inlineStr">
        <is>
          <t>La Fonda Citec</t>
        </is>
      </c>
      <c r="D109" s="22" t="inlineStr">
        <is>
          <t>Patía (El Bordo)</t>
        </is>
      </c>
      <c r="E109" s="22" t="inlineStr">
        <is>
          <t>Cauca</t>
        </is>
      </c>
      <c r="F109" s="22" t="n">
        <v>7</v>
      </c>
      <c r="G109" s="22" t="n">
        <v>580</v>
      </c>
      <c r="H109" s="23" t="n">
        <v>-77.04999721999999</v>
      </c>
      <c r="I109" s="24" t="n">
        <v>2.14999722</v>
      </c>
      <c r="J109" s="25" t="n">
        <v>32.09032258064515</v>
      </c>
      <c r="K109" s="26" t="n">
        <v>32.63861061352441</v>
      </c>
      <c r="L109" s="26" t="n">
        <v>32.6891285555379</v>
      </c>
      <c r="M109" s="26" t="n">
        <v>32.48793103448276</v>
      </c>
      <c r="N109" s="26" t="n">
        <v>32.24670118146821</v>
      </c>
      <c r="O109" s="26" t="n">
        <v>32.85289655172413</v>
      </c>
      <c r="P109" s="26" t="n">
        <v>34.26126683969843</v>
      </c>
      <c r="Q109" s="26" t="n">
        <v>35.25264784946236</v>
      </c>
      <c r="R109" s="26" t="n">
        <v>35.05965517241379</v>
      </c>
      <c r="S109" s="26" t="n">
        <v>33.0885675441849</v>
      </c>
      <c r="T109" s="26" t="n">
        <v>31.32993614303959</v>
      </c>
      <c r="U109" s="26" t="n">
        <v>31.54442054958184</v>
      </c>
      <c r="V109" s="27">
        <f>AVERAGE(J109:U109)</f>
        <v/>
      </c>
      <c r="W109" s="28" t="n">
        <v>112</v>
      </c>
      <c r="X109" s="29" t="n">
        <v>0.9333333333333333</v>
      </c>
    </row>
    <row r="110" ht="13.9" customHeight="1">
      <c r="A110" s="11" t="n">
        <v>26025100</v>
      </c>
      <c r="B110" s="22" t="inlineStr">
        <is>
          <t>CO</t>
        </is>
      </c>
      <c r="C110" s="22" t="inlineStr">
        <is>
          <t>Tunia</t>
        </is>
      </c>
      <c r="D110" s="22" t="inlineStr">
        <is>
          <t>Piendamó</t>
        </is>
      </c>
      <c r="E110" s="22" t="inlineStr">
        <is>
          <t>Cauca</t>
        </is>
      </c>
      <c r="F110" s="22" t="n">
        <v>9</v>
      </c>
      <c r="G110" s="22" t="n">
        <v>1822</v>
      </c>
      <c r="H110" s="23" t="n">
        <v>-76.52633333</v>
      </c>
      <c r="I110" s="24" t="n">
        <v>2.67447222</v>
      </c>
      <c r="J110" s="25" t="n">
        <v>23.83623713801427</v>
      </c>
      <c r="K110" s="26" t="n">
        <v>23.98148628943566</v>
      </c>
      <c r="L110" s="26" t="n">
        <v>23.87053087327361</v>
      </c>
      <c r="M110" s="26" t="n">
        <v>23.72512831038694</v>
      </c>
      <c r="N110" s="26" t="n">
        <v>23.62312011763625</v>
      </c>
      <c r="O110" s="26" t="n">
        <v>24.04099540229885</v>
      </c>
      <c r="P110" s="26" t="n">
        <v>24.69766598508066</v>
      </c>
      <c r="Q110" s="26" t="n">
        <v>25.30215176230153</v>
      </c>
      <c r="R110" s="26" t="n">
        <v>24.77055580115926</v>
      </c>
      <c r="S110" s="26" t="n">
        <v>23.64972527055013</v>
      </c>
      <c r="T110" s="26" t="n">
        <v>23.11039285062684</v>
      </c>
      <c r="U110" s="26" t="n">
        <v>23.38344562883733</v>
      </c>
      <c r="V110" s="27">
        <f>AVERAGE(J110:U110)</f>
        <v/>
      </c>
      <c r="W110" s="28" t="n">
        <v>329</v>
      </c>
      <c r="X110" s="29" t="n">
        <v>0.9138888888888889</v>
      </c>
    </row>
    <row r="111" ht="13.9" customHeight="1">
      <c r="A111" s="11" t="n">
        <v>26035030</v>
      </c>
      <c r="B111" s="22" t="inlineStr">
        <is>
          <t>CP</t>
        </is>
      </c>
      <c r="C111" s="22" t="inlineStr">
        <is>
          <t>Aeropuerto Guillermo León Valencia</t>
        </is>
      </c>
      <c r="D111" s="22" t="inlineStr">
        <is>
          <t>Popayán</t>
        </is>
      </c>
      <c r="E111" s="22" t="inlineStr">
        <is>
          <t>Cauca</t>
        </is>
      </c>
      <c r="F111" s="22" t="n">
        <v>9</v>
      </c>
      <c r="G111" s="22" t="n">
        <v>1752</v>
      </c>
      <c r="H111" s="23" t="n">
        <v>-76.60875</v>
      </c>
      <c r="I111" s="24" t="n">
        <v>2.45288889</v>
      </c>
      <c r="J111" s="25" t="n">
        <v>25.19543888002236</v>
      </c>
      <c r="K111" s="26" t="n">
        <v>25.26495627502401</v>
      </c>
      <c r="L111" s="26" t="n">
        <v>24.99769969278034</v>
      </c>
      <c r="M111" s="26" t="n">
        <v>25.07645867542419</v>
      </c>
      <c r="N111" s="26" t="n">
        <v>24.93457269647266</v>
      </c>
      <c r="O111" s="26" t="n">
        <v>25.45265763472169</v>
      </c>
      <c r="P111" s="26" t="n">
        <v>25.76029536764958</v>
      </c>
      <c r="Q111" s="26" t="n">
        <v>26.36368286968503</v>
      </c>
      <c r="R111" s="26" t="n">
        <v>26.19598660437816</v>
      </c>
      <c r="S111" s="26" t="n">
        <v>25.09499898530756</v>
      </c>
      <c r="T111" s="26" t="n">
        <v>24.41771956320488</v>
      </c>
      <c r="U111" s="26" t="n">
        <v>24.66169701196509</v>
      </c>
      <c r="V111" s="27">
        <f>AVERAGE(J111:U111)</f>
        <v/>
      </c>
      <c r="W111" s="28" t="n">
        <v>312</v>
      </c>
      <c r="X111" s="29" t="n">
        <v>0.8666666666666667</v>
      </c>
    </row>
    <row r="112" ht="13.9" customHeight="1">
      <c r="A112" s="11" t="n">
        <v>26045010</v>
      </c>
      <c r="B112" s="22" t="inlineStr">
        <is>
          <t>CO</t>
        </is>
      </c>
      <c r="C112" s="22" t="inlineStr">
        <is>
          <t>Ingenio Bengala</t>
        </is>
      </c>
      <c r="D112" s="22" t="inlineStr">
        <is>
          <t>Puerto Tejada</t>
        </is>
      </c>
      <c r="E112" s="22" t="inlineStr">
        <is>
          <t>Cauca</t>
        </is>
      </c>
      <c r="F112" s="22" t="n">
        <v>9</v>
      </c>
      <c r="G112" s="22" t="n">
        <v>983</v>
      </c>
      <c r="H112" s="23" t="n">
        <v>-76.41447222000001</v>
      </c>
      <c r="I112" s="24" t="n">
        <v>3.26280556</v>
      </c>
      <c r="J112" s="25" t="n">
        <v>31.25645161290323</v>
      </c>
      <c r="K112" s="26" t="n">
        <v>31.1318657635468</v>
      </c>
      <c r="L112" s="26" t="n">
        <v>30.82096774193548</v>
      </c>
      <c r="M112" s="26" t="n">
        <v>30.90166666666667</v>
      </c>
      <c r="N112" s="26" t="n">
        <v>30.88629032258065</v>
      </c>
      <c r="O112" s="26" t="n">
        <v>31.27227011494254</v>
      </c>
      <c r="P112" s="26" t="n">
        <v>31.52896588344618</v>
      </c>
      <c r="Q112" s="26" t="n">
        <v>31.47620967741936</v>
      </c>
      <c r="R112" s="26" t="n">
        <v>31.14333333333334</v>
      </c>
      <c r="S112" s="26" t="n">
        <v>30.73333333333334</v>
      </c>
      <c r="T112" s="26" t="n">
        <v>30.8539208173691</v>
      </c>
      <c r="U112" s="26" t="n">
        <v>31.15810159436411</v>
      </c>
      <c r="V112" s="27">
        <f>AVERAGE(J112:U112)</f>
        <v/>
      </c>
      <c r="W112" s="28" t="n">
        <v>100</v>
      </c>
      <c r="X112" s="29" t="n">
        <v>0.8333333333333334</v>
      </c>
    </row>
    <row r="113" ht="13.9" customHeight="1">
      <c r="A113" s="11" t="n">
        <v>44015030</v>
      </c>
      <c r="B113" s="22" t="inlineStr">
        <is>
          <t>CP</t>
        </is>
      </c>
      <c r="C113" s="22" t="inlineStr">
        <is>
          <t>Valencia</t>
        </is>
      </c>
      <c r="D113" s="22" t="inlineStr">
        <is>
          <t>San Sebastián</t>
        </is>
      </c>
      <c r="E113" s="22" t="inlineStr">
        <is>
          <t>Cauca</t>
        </is>
      </c>
      <c r="F113" s="22" t="n">
        <v>7</v>
      </c>
      <c r="G113" s="22" t="n">
        <v>2900</v>
      </c>
      <c r="H113" s="23" t="n">
        <v>-76.66875</v>
      </c>
      <c r="I113" s="24" t="n">
        <v>1.90041667</v>
      </c>
      <c r="J113" s="25" t="n">
        <v>16.75129032258064</v>
      </c>
      <c r="K113" s="26" t="n">
        <v>16.70908866995074</v>
      </c>
      <c r="L113" s="26" t="n">
        <v>16.56774193548387</v>
      </c>
      <c r="M113" s="26" t="n">
        <v>16.37333333333333</v>
      </c>
      <c r="N113" s="26" t="n">
        <v>16.03290322580646</v>
      </c>
      <c r="O113" s="26" t="n">
        <v>15.26702387267905</v>
      </c>
      <c r="P113" s="26" t="n">
        <v>14.41329032258064</v>
      </c>
      <c r="Q113" s="26" t="n">
        <v>14.56273340748981</v>
      </c>
      <c r="R113" s="26" t="n">
        <v>15.3996091954023</v>
      </c>
      <c r="S113" s="26" t="n">
        <v>16.32516129032258</v>
      </c>
      <c r="T113" s="26" t="n">
        <v>16.66371264367816</v>
      </c>
      <c r="U113" s="26" t="n">
        <v>16.56356989247312</v>
      </c>
      <c r="V113" s="27">
        <f>AVERAGE(J113:U113)</f>
        <v/>
      </c>
      <c r="W113" s="28" t="n">
        <v>120</v>
      </c>
      <c r="X113" s="29" t="n">
        <v>1</v>
      </c>
    </row>
    <row r="114" ht="13.9" customHeight="1">
      <c r="A114" s="11" t="n">
        <v>26025030</v>
      </c>
      <c r="B114" s="22" t="inlineStr">
        <is>
          <t>CO</t>
        </is>
      </c>
      <c r="C114" s="22" t="inlineStr">
        <is>
          <t>Japio 1</t>
        </is>
      </c>
      <c r="D114" s="22" t="inlineStr">
        <is>
          <t>Santander de Quilichao</t>
        </is>
      </c>
      <c r="E114" s="22" t="inlineStr">
        <is>
          <t>Cauca</t>
        </is>
      </c>
      <c r="F114" s="22" t="n">
        <v>9</v>
      </c>
      <c r="G114" s="22" t="n">
        <v>1040</v>
      </c>
      <c r="H114" s="23" t="n">
        <v>-76.44141667</v>
      </c>
      <c r="I114" s="24" t="n">
        <v>3.04836111</v>
      </c>
      <c r="J114" s="25" t="n">
        <v>29.19768433179723</v>
      </c>
      <c r="K114" s="26" t="n">
        <v>29.46583270567946</v>
      </c>
      <c r="L114" s="26" t="n">
        <v>29.38286122627836</v>
      </c>
      <c r="M114" s="26" t="n">
        <v>28.84999517915035</v>
      </c>
      <c r="N114" s="26" t="n">
        <v>28.59064760193458</v>
      </c>
      <c r="O114" s="26" t="n">
        <v>28.82155291145636</v>
      </c>
      <c r="P114" s="26" t="n">
        <v>29.3119561417448</v>
      </c>
      <c r="Q114" s="26" t="n">
        <v>30.10457955929869</v>
      </c>
      <c r="R114" s="26" t="n">
        <v>29.57469768290458</v>
      </c>
      <c r="S114" s="26" t="n">
        <v>28.7809765377168</v>
      </c>
      <c r="T114" s="26" t="n">
        <v>28.02872066949653</v>
      </c>
      <c r="U114" s="26" t="n">
        <v>28.57029218237783</v>
      </c>
      <c r="V114" s="27">
        <f>AVERAGE(J114:U114)</f>
        <v/>
      </c>
      <c r="W114" s="28" t="n">
        <v>118</v>
      </c>
      <c r="X114" s="29" t="n">
        <v>0.9833333333333333</v>
      </c>
    </row>
    <row r="115" ht="13.9" customHeight="1">
      <c r="A115" s="11" t="n">
        <v>26025110</v>
      </c>
      <c r="B115" s="22" t="inlineStr">
        <is>
          <t>CO</t>
        </is>
      </c>
      <c r="C115" s="22" t="inlineStr">
        <is>
          <t>Lomitas</t>
        </is>
      </c>
      <c r="D115" s="22" t="inlineStr">
        <is>
          <t>Santander de Quilichao</t>
        </is>
      </c>
      <c r="E115" s="22" t="inlineStr">
        <is>
          <t>Cauca</t>
        </is>
      </c>
      <c r="F115" s="22" t="n">
        <v>9</v>
      </c>
      <c r="G115" s="22" t="n">
        <v>1009</v>
      </c>
      <c r="H115" s="23" t="n">
        <v>-76.55625000000001</v>
      </c>
      <c r="I115" s="24" t="n">
        <v>3.07538889</v>
      </c>
      <c r="J115" s="25" t="n">
        <v>29.89286290322581</v>
      </c>
      <c r="K115" s="26" t="n">
        <v>29.88164910600255</v>
      </c>
      <c r="L115" s="26" t="n">
        <v>29.60931739631337</v>
      </c>
      <c r="M115" s="26" t="n">
        <v>29.58992816091954</v>
      </c>
      <c r="N115" s="26" t="n">
        <v>29.43846103513708</v>
      </c>
      <c r="O115" s="26" t="n">
        <v>29.72588235294118</v>
      </c>
      <c r="P115" s="26" t="n">
        <v>30.05920303605313</v>
      </c>
      <c r="Q115" s="26" t="n">
        <v>30.33315223542728</v>
      </c>
      <c r="R115" s="26" t="n">
        <v>30.22229805282438</v>
      </c>
      <c r="S115" s="26" t="n">
        <v>29.56950764006791</v>
      </c>
      <c r="T115" s="26" t="n">
        <v>29.33583787053843</v>
      </c>
      <c r="U115" s="26" t="n">
        <v>29.59633640552995</v>
      </c>
      <c r="V115" s="27">
        <f>AVERAGE(J115:U115)</f>
        <v/>
      </c>
      <c r="W115" s="28" t="n">
        <v>209</v>
      </c>
      <c r="X115" s="29" t="n">
        <v>0.8708333333333333</v>
      </c>
    </row>
    <row r="116" ht="13.9" customHeight="1">
      <c r="A116" s="11" t="n">
        <v>52015010</v>
      </c>
      <c r="B116" s="22" t="inlineStr">
        <is>
          <t>CO</t>
        </is>
      </c>
      <c r="C116" s="22" t="inlineStr">
        <is>
          <t>Paispamba</t>
        </is>
      </c>
      <c r="D116" s="22" t="inlineStr">
        <is>
          <t xml:space="preserve">Sotará </t>
        </is>
      </c>
      <c r="E116" s="22" t="inlineStr">
        <is>
          <t>Cauca</t>
        </is>
      </c>
      <c r="F116" s="22" t="n">
        <v>7</v>
      </c>
      <c r="G116" s="22" t="n">
        <v>2450</v>
      </c>
      <c r="H116" s="23" t="n">
        <v>-76.61194444</v>
      </c>
      <c r="I116" s="24" t="n">
        <v>2.24972222</v>
      </c>
      <c r="J116" s="25" t="n">
        <v>18.43723809523809</v>
      </c>
      <c r="K116" s="26" t="n">
        <v>18.39669038496625</v>
      </c>
      <c r="L116" s="26" t="n">
        <v>18.44093548387097</v>
      </c>
      <c r="M116" s="26" t="n">
        <v>18.61779310344827</v>
      </c>
      <c r="N116" s="26" t="n">
        <v>18.57013348164627</v>
      </c>
      <c r="O116" s="26" t="n">
        <v>18.80777777777778</v>
      </c>
      <c r="P116" s="26" t="n">
        <v>18.84544086021505</v>
      </c>
      <c r="Q116" s="26" t="n">
        <v>18.92941045606229</v>
      </c>
      <c r="R116" s="26" t="n">
        <v>19.33588095238095</v>
      </c>
      <c r="S116" s="26" t="n">
        <v>18.32083870967742</v>
      </c>
      <c r="T116" s="26" t="n">
        <v>17.57095402298851</v>
      </c>
      <c r="U116" s="26" t="n">
        <v>17.98508083055247</v>
      </c>
      <c r="V116" s="27">
        <f>AVERAGE(J116:U116)</f>
        <v/>
      </c>
      <c r="W116" s="28" t="n">
        <v>119</v>
      </c>
      <c r="X116" s="29" t="n">
        <v>0.9916666666666667</v>
      </c>
    </row>
    <row r="117" ht="13.9" customHeight="1">
      <c r="A117" s="11" t="n">
        <v>26025070</v>
      </c>
      <c r="B117" s="22" t="inlineStr">
        <is>
          <t>CO</t>
        </is>
      </c>
      <c r="C117" s="22" t="inlineStr">
        <is>
          <t>Gabriel López</t>
        </is>
      </c>
      <c r="D117" s="22" t="inlineStr">
        <is>
          <t>Totoró</t>
        </is>
      </c>
      <c r="E117" s="22" t="inlineStr">
        <is>
          <t>Cauca</t>
        </is>
      </c>
      <c r="F117" s="22" t="n">
        <v>9</v>
      </c>
      <c r="G117" s="22" t="n">
        <v>3071</v>
      </c>
      <c r="H117" s="23" t="n">
        <v>-76.28905556000001</v>
      </c>
      <c r="I117" s="24" t="n">
        <v>2.50975</v>
      </c>
      <c r="J117" s="25" t="n">
        <v>16.05631643625192</v>
      </c>
      <c r="K117" s="26" t="n">
        <v>15.9660261914898</v>
      </c>
      <c r="L117" s="26" t="n">
        <v>16.34472211922713</v>
      </c>
      <c r="M117" s="26" t="n">
        <v>15.8973492484527</v>
      </c>
      <c r="N117" s="26" t="n">
        <v>15.65247084061656</v>
      </c>
      <c r="O117" s="26" t="n">
        <v>15.1732293377121</v>
      </c>
      <c r="P117" s="26" t="n">
        <v>14.2731182795699</v>
      </c>
      <c r="Q117" s="26" t="n">
        <v>14.7115531660693</v>
      </c>
      <c r="R117" s="26" t="n">
        <v>15.44660673936536</v>
      </c>
      <c r="S117" s="26" t="n">
        <v>15.82700376079241</v>
      </c>
      <c r="T117" s="26" t="n">
        <v>15.7798716931217</v>
      </c>
      <c r="U117" s="26" t="n">
        <v>16.09803605951993</v>
      </c>
      <c r="V117" s="27">
        <f>AVERAGE(J117:U117)</f>
        <v/>
      </c>
      <c r="W117" s="28" t="n">
        <v>115</v>
      </c>
      <c r="X117" s="29" t="n">
        <v>0.9583333333333334</v>
      </c>
    </row>
    <row r="118" ht="13.9" customHeight="1">
      <c r="A118" s="11" t="n">
        <v>23215030</v>
      </c>
      <c r="B118" s="22" t="inlineStr">
        <is>
          <t>PM</t>
        </is>
      </c>
      <c r="C118" s="22" t="inlineStr">
        <is>
          <t>Aguas Claras</t>
        </is>
      </c>
      <c r="D118" s="22" t="inlineStr">
        <is>
          <t>Aguachica</t>
        </is>
      </c>
      <c r="E118" s="22" t="inlineStr">
        <is>
          <t>Cesar</t>
        </is>
      </c>
      <c r="F118" s="22" t="n">
        <v>8</v>
      </c>
      <c r="G118" s="22" t="n">
        <v>208</v>
      </c>
      <c r="H118" s="23" t="n">
        <v>-73.60277778</v>
      </c>
      <c r="I118" s="24" t="n">
        <v>8.22888889</v>
      </c>
      <c r="J118" s="25" t="n">
        <v>34.44130060590545</v>
      </c>
      <c r="K118" s="26" t="n">
        <v>35.24858513045065</v>
      </c>
      <c r="L118" s="26" t="n">
        <v>34.75701114995497</v>
      </c>
      <c r="M118" s="26" t="n">
        <v>33.32956489366652</v>
      </c>
      <c r="N118" s="26" t="n">
        <v>32.2594658218126</v>
      </c>
      <c r="O118" s="26" t="n">
        <v>32.34334245575625</v>
      </c>
      <c r="P118" s="26" t="n">
        <v>32.64332888394513</v>
      </c>
      <c r="Q118" s="26" t="n">
        <v>32.82670775729647</v>
      </c>
      <c r="R118" s="26" t="n">
        <v>32.20937725779967</v>
      </c>
      <c r="S118" s="26" t="n">
        <v>31.82320689655172</v>
      </c>
      <c r="T118" s="26" t="n">
        <v>31.78257060755337</v>
      </c>
      <c r="U118" s="26" t="n">
        <v>32.77459162602322</v>
      </c>
      <c r="V118" s="27">
        <f>AVERAGE(J118:U118)</f>
        <v/>
      </c>
      <c r="W118" s="28" t="n">
        <v>239</v>
      </c>
      <c r="X118" s="29" t="n">
        <v>0.9958333333333333</v>
      </c>
    </row>
    <row r="119" ht="13.9" customHeight="1">
      <c r="A119" s="11" t="n">
        <v>28025090</v>
      </c>
      <c r="B119" s="22" t="inlineStr">
        <is>
          <t>CO</t>
        </is>
      </c>
      <c r="C119" s="22" t="inlineStr">
        <is>
          <t>Hacienda Centenario</t>
        </is>
      </c>
      <c r="D119" s="22" t="inlineStr">
        <is>
          <t>Agustín Codazzi</t>
        </is>
      </c>
      <c r="E119" s="22" t="inlineStr">
        <is>
          <t>Cesar</t>
        </is>
      </c>
      <c r="F119" s="22" t="n">
        <v>5</v>
      </c>
      <c r="G119" s="22" t="n">
        <v>100</v>
      </c>
      <c r="H119" s="23" t="n">
        <v>-73.26547222000001</v>
      </c>
      <c r="I119" s="24" t="n">
        <v>9.850250000000001</v>
      </c>
      <c r="J119" s="25" t="n">
        <v>35.27462077205125</v>
      </c>
      <c r="K119" s="26" t="n">
        <v>36.08320798448512</v>
      </c>
      <c r="L119" s="26" t="n">
        <v>35.98489489746442</v>
      </c>
      <c r="M119" s="26" t="n">
        <v>35.03090223569534</v>
      </c>
      <c r="N119" s="26" t="n">
        <v>33.86116420928773</v>
      </c>
      <c r="O119" s="26" t="n">
        <v>34.33166813277034</v>
      </c>
      <c r="P119" s="26" t="n">
        <v>34.95765294183425</v>
      </c>
      <c r="Q119" s="26" t="n">
        <v>34.57455521767813</v>
      </c>
      <c r="R119" s="26" t="n">
        <v>33.61554756040347</v>
      </c>
      <c r="S119" s="26" t="n">
        <v>33.10705151317556</v>
      </c>
      <c r="T119" s="26" t="n">
        <v>33.01188060321235</v>
      </c>
      <c r="U119" s="26" t="n">
        <v>34.09484406542248</v>
      </c>
      <c r="V119" s="27">
        <f>AVERAGE(J119:U119)</f>
        <v/>
      </c>
      <c r="W119" s="28" t="n">
        <v>333</v>
      </c>
      <c r="X119" s="29" t="n">
        <v>0.925</v>
      </c>
    </row>
    <row r="120" ht="13.9" customHeight="1">
      <c r="A120" s="11" t="n">
        <v>28025070</v>
      </c>
      <c r="B120" s="22" t="inlineStr">
        <is>
          <t>AM</t>
        </is>
      </c>
      <c r="C120" s="22" t="inlineStr">
        <is>
          <t>Motilonia Codazzi</t>
        </is>
      </c>
      <c r="D120" s="22" t="inlineStr">
        <is>
          <t>Agustín Codazzi</t>
        </is>
      </c>
      <c r="E120" s="22" t="inlineStr">
        <is>
          <t>Cesar</t>
        </is>
      </c>
      <c r="F120" s="22" t="n">
        <v>5</v>
      </c>
      <c r="G120" s="22" t="n">
        <v>180</v>
      </c>
      <c r="H120" s="23" t="n">
        <v>-73.24938889000001</v>
      </c>
      <c r="I120" s="24" t="n">
        <v>10.00180556</v>
      </c>
      <c r="J120" s="25" t="n">
        <v>35.89222568701788</v>
      </c>
      <c r="K120" s="26" t="n">
        <v>36.68401056246254</v>
      </c>
      <c r="L120" s="26" t="n">
        <v>36.26451887556819</v>
      </c>
      <c r="M120" s="26" t="n">
        <v>35.14619169251353</v>
      </c>
      <c r="N120" s="26" t="n">
        <v>33.68885759309285</v>
      </c>
      <c r="O120" s="26" t="n">
        <v>34.1920708204099</v>
      </c>
      <c r="P120" s="26" t="n">
        <v>35.0040084485407</v>
      </c>
      <c r="Q120" s="26" t="n">
        <v>34.41642778866582</v>
      </c>
      <c r="R120" s="26" t="n">
        <v>33.35797318007663</v>
      </c>
      <c r="S120" s="26" t="n">
        <v>32.74517764005862</v>
      </c>
      <c r="T120" s="26" t="n">
        <v>32.92431446080673</v>
      </c>
      <c r="U120" s="26" t="n">
        <v>34.46669282108326</v>
      </c>
      <c r="V120" s="27">
        <f>AVERAGE(J120:U120)</f>
        <v/>
      </c>
      <c r="W120" s="28" t="n">
        <v>348</v>
      </c>
      <c r="X120" s="29" t="n">
        <v>0.9666666666666667</v>
      </c>
    </row>
    <row r="121" ht="13.9" customHeight="1">
      <c r="A121" s="11" t="n">
        <v>28025080</v>
      </c>
      <c r="B121" s="22" t="inlineStr">
        <is>
          <t>CP</t>
        </is>
      </c>
      <c r="C121" s="22" t="inlineStr">
        <is>
          <t>Socomba</t>
        </is>
      </c>
      <c r="D121" s="22" t="inlineStr">
        <is>
          <t>Becerrill</t>
        </is>
      </c>
      <c r="E121" s="22" t="inlineStr">
        <is>
          <t>Cesar</t>
        </is>
      </c>
      <c r="F121" s="22" t="n">
        <v>5</v>
      </c>
      <c r="G121" s="22" t="n">
        <v>170</v>
      </c>
      <c r="H121" s="23" t="n">
        <v>-73.24055556</v>
      </c>
      <c r="I121" s="24" t="n">
        <v>9.686666670000001</v>
      </c>
      <c r="J121" s="25" t="n">
        <v>34.14967927326659</v>
      </c>
      <c r="K121" s="26" t="n">
        <v>34.19325845929295</v>
      </c>
      <c r="L121" s="26" t="n">
        <v>34.19030255839822</v>
      </c>
      <c r="M121" s="26" t="n">
        <v>33.98199872286079</v>
      </c>
      <c r="N121" s="26" t="n">
        <v>32.80776924389828</v>
      </c>
      <c r="O121" s="26" t="n">
        <v>32.8370617816092</v>
      </c>
      <c r="P121" s="26" t="n">
        <v>33.395787677078</v>
      </c>
      <c r="Q121" s="26" t="n">
        <v>33.07635752688172</v>
      </c>
      <c r="R121" s="26" t="n">
        <v>32.41932129173509</v>
      </c>
      <c r="S121" s="26" t="n">
        <v>31.96431169520775</v>
      </c>
      <c r="T121" s="26" t="n">
        <v>32.2827640941434</v>
      </c>
      <c r="U121" s="26" t="n">
        <v>33.32089046029981</v>
      </c>
      <c r="V121" s="27">
        <f>AVERAGE(J121:U121)</f>
        <v/>
      </c>
      <c r="W121" s="28" t="n">
        <v>109</v>
      </c>
      <c r="X121" s="29" t="n">
        <v>0.9083333333333333</v>
      </c>
    </row>
    <row r="122" ht="13.9" customHeight="1">
      <c r="A122" s="11" t="n">
        <v>25025250</v>
      </c>
      <c r="B122" s="22" t="inlineStr">
        <is>
          <t>CO</t>
        </is>
      </c>
      <c r="C122" s="22" t="inlineStr">
        <is>
          <t>Chiriguaná</t>
        </is>
      </c>
      <c r="D122" s="22" t="inlineStr">
        <is>
          <t>Chiriguaná</t>
        </is>
      </c>
      <c r="E122" s="22" t="inlineStr">
        <is>
          <t>Cesar</t>
        </is>
      </c>
      <c r="F122" s="22" t="n">
        <v>5</v>
      </c>
      <c r="G122" s="22" t="n">
        <v>40</v>
      </c>
      <c r="H122" s="23" t="n">
        <v>-73.59338889</v>
      </c>
      <c r="I122" s="24" t="n">
        <v>9.361027780000001</v>
      </c>
      <c r="J122" s="25" t="n">
        <v>34.8527971250107</v>
      </c>
      <c r="K122" s="26" t="n">
        <v>35.68461172207104</v>
      </c>
      <c r="L122" s="26" t="n">
        <v>35.28801396026552</v>
      </c>
      <c r="M122" s="26" t="n">
        <v>34.2788139709907</v>
      </c>
      <c r="N122" s="26" t="n">
        <v>33.13199974212412</v>
      </c>
      <c r="O122" s="26" t="n">
        <v>33.23524192782526</v>
      </c>
      <c r="P122" s="26" t="n">
        <v>33.8894048301223</v>
      </c>
      <c r="Q122" s="26" t="n">
        <v>34.11574187368682</v>
      </c>
      <c r="R122" s="26" t="n">
        <v>33.09321360153256</v>
      </c>
      <c r="S122" s="26" t="n">
        <v>32.59364218613285</v>
      </c>
      <c r="T122" s="26" t="n">
        <v>32.64300558292283</v>
      </c>
      <c r="U122" s="26" t="n">
        <v>33.54567940093524</v>
      </c>
      <c r="V122" s="27">
        <f>AVERAGE(J122:U122)</f>
        <v/>
      </c>
      <c r="W122" s="28" t="n">
        <v>295</v>
      </c>
      <c r="X122" s="29" t="n">
        <v>0.8194444444444444</v>
      </c>
    </row>
    <row r="123" ht="13.9" customHeight="1">
      <c r="A123" s="11" t="n">
        <v>23215050</v>
      </c>
      <c r="B123" s="22" t="inlineStr">
        <is>
          <t>PM</t>
        </is>
      </c>
      <c r="C123" s="22" t="inlineStr">
        <is>
          <t>La Mata</t>
        </is>
      </c>
      <c r="D123" s="22" t="inlineStr">
        <is>
          <t>La Gloria</t>
        </is>
      </c>
      <c r="E123" s="22" t="inlineStr">
        <is>
          <t>Cesar</t>
        </is>
      </c>
      <c r="F123" s="22" t="n">
        <v>8</v>
      </c>
      <c r="G123" s="22" t="n">
        <v>163</v>
      </c>
      <c r="H123" s="23" t="n">
        <v>-73.63638889000001</v>
      </c>
      <c r="I123" s="24" t="n">
        <v>8.61444444</v>
      </c>
      <c r="J123" s="25" t="n">
        <v>34.76991430807894</v>
      </c>
      <c r="K123" s="26" t="n">
        <v>34.98299745480273</v>
      </c>
      <c r="L123" s="26" t="n">
        <v>34.7763430885953</v>
      </c>
      <c r="M123" s="26" t="n">
        <v>34.28741625615763</v>
      </c>
      <c r="N123" s="26" t="n">
        <v>34.03296755793823</v>
      </c>
      <c r="O123" s="26" t="n">
        <v>34.05344080950978</v>
      </c>
      <c r="P123" s="26" t="n">
        <v>34.33029505888376</v>
      </c>
      <c r="Q123" s="26" t="n">
        <v>34.21276809623861</v>
      </c>
      <c r="R123" s="26" t="n">
        <v>33.96491561362176</v>
      </c>
      <c r="S123" s="26" t="n">
        <v>33.84546868327797</v>
      </c>
      <c r="T123" s="26" t="n">
        <v>33.89408939974457</v>
      </c>
      <c r="U123" s="26" t="n">
        <v>34.32066144040115</v>
      </c>
      <c r="V123" s="27">
        <f>AVERAGE(J123:U123)</f>
        <v/>
      </c>
      <c r="W123" s="28" t="n">
        <v>216</v>
      </c>
      <c r="X123" s="29" t="n">
        <v>0.9</v>
      </c>
    </row>
    <row r="124" ht="13.9" customHeight="1">
      <c r="A124" s="11" t="n">
        <v>28025020</v>
      </c>
      <c r="B124" s="22" t="inlineStr">
        <is>
          <t>CO</t>
        </is>
      </c>
      <c r="C124" s="22" t="inlineStr">
        <is>
          <t xml:space="preserve">El Rincón </t>
        </is>
      </c>
      <c r="D124" s="22" t="inlineStr">
        <is>
          <t>San Diego</t>
        </is>
      </c>
      <c r="E124" s="22" t="inlineStr">
        <is>
          <t>Cesar</t>
        </is>
      </c>
      <c r="F124" s="22" t="n">
        <v>5</v>
      </c>
      <c r="G124" s="22" t="n">
        <v>350</v>
      </c>
      <c r="H124" s="23" t="n">
        <v>-73.13138889</v>
      </c>
      <c r="I124" s="24" t="n">
        <v>10.27138889</v>
      </c>
      <c r="J124" s="25" t="n">
        <v>33.50071583931798</v>
      </c>
      <c r="K124" s="26" t="n">
        <v>34.41844882320745</v>
      </c>
      <c r="L124" s="26" t="n">
        <v>34.58880602378711</v>
      </c>
      <c r="M124" s="26" t="n">
        <v>33.55406285687256</v>
      </c>
      <c r="N124" s="26" t="n">
        <v>32.14555307386416</v>
      </c>
      <c r="O124" s="26" t="n">
        <v>32.16223373068393</v>
      </c>
      <c r="P124" s="26" t="n">
        <v>32.82896707579153</v>
      </c>
      <c r="Q124" s="26" t="n">
        <v>32.67009980564485</v>
      </c>
      <c r="R124" s="26" t="n">
        <v>31.76196195247919</v>
      </c>
      <c r="S124" s="26" t="n">
        <v>31.08941891780094</v>
      </c>
      <c r="T124" s="26" t="n">
        <v>31.16268793645611</v>
      </c>
      <c r="U124" s="26" t="n">
        <v>32.55001806583054</v>
      </c>
      <c r="V124" s="27">
        <f>AVERAGE(J124:U124)</f>
        <v/>
      </c>
      <c r="W124" s="28" t="n">
        <v>312</v>
      </c>
      <c r="X124" s="29" t="n">
        <v>0.8666666666666667</v>
      </c>
    </row>
    <row r="125" ht="13.9" customHeight="1">
      <c r="A125" s="11" t="n">
        <v>28025502</v>
      </c>
      <c r="B125" s="22" t="inlineStr">
        <is>
          <t>SP</t>
        </is>
      </c>
      <c r="C125" s="12" t="inlineStr">
        <is>
          <t>Aeropuerto Alfonso López</t>
        </is>
      </c>
      <c r="D125" s="22" t="inlineStr">
        <is>
          <t>Valledupar</t>
        </is>
      </c>
      <c r="E125" s="22" t="inlineStr">
        <is>
          <t>Cesar</t>
        </is>
      </c>
      <c r="F125" s="22" t="n">
        <v>5</v>
      </c>
      <c r="G125" s="22" t="n">
        <v>138</v>
      </c>
      <c r="H125" s="23" t="n">
        <v>-73.24766667</v>
      </c>
      <c r="I125" s="24" t="n">
        <v>10.43616667</v>
      </c>
      <c r="J125" s="25" t="n">
        <v>34.93545420837968</v>
      </c>
      <c r="K125" s="26" t="n">
        <v>35.86189328023455</v>
      </c>
      <c r="L125" s="26" t="n">
        <v>36.22943164362518</v>
      </c>
      <c r="M125" s="26" t="n">
        <v>35.76317733990147</v>
      </c>
      <c r="N125" s="26" t="n">
        <v>34.19832035595106</v>
      </c>
      <c r="O125" s="26" t="n">
        <v>34.42320512820511</v>
      </c>
      <c r="P125" s="26" t="n">
        <v>35.5372840928486</v>
      </c>
      <c r="Q125" s="26" t="n">
        <v>35.1794623655914</v>
      </c>
      <c r="R125" s="26" t="n">
        <v>34.01216496147531</v>
      </c>
      <c r="S125" s="26" t="n">
        <v>33.03744723217842</v>
      </c>
      <c r="T125" s="26" t="n">
        <v>33.11157389162561</v>
      </c>
      <c r="U125" s="26" t="n">
        <v>34.03564870613257</v>
      </c>
      <c r="V125" s="27">
        <f>AVERAGE(J125:U125)</f>
        <v/>
      </c>
      <c r="W125" s="28" t="n">
        <v>338</v>
      </c>
      <c r="X125" s="29" t="n">
        <v>0.9388888888888889</v>
      </c>
    </row>
    <row r="126" ht="13.9" customHeight="1">
      <c r="A126" s="11" t="n">
        <v>28035020</v>
      </c>
      <c r="B126" s="22" t="inlineStr">
        <is>
          <t>CO</t>
        </is>
      </c>
      <c r="C126" s="22" t="inlineStr">
        <is>
          <t>El Callao</t>
        </is>
      </c>
      <c r="D126" s="22" t="inlineStr">
        <is>
          <t>Valledupar</t>
        </is>
      </c>
      <c r="E126" s="22" t="inlineStr">
        <is>
          <t>Cesar</t>
        </is>
      </c>
      <c r="F126" s="22" t="n">
        <v>5</v>
      </c>
      <c r="G126" s="22" t="n">
        <v>110</v>
      </c>
      <c r="H126" s="23" t="n">
        <v>-73.31944444</v>
      </c>
      <c r="I126" s="24" t="n">
        <v>10.36305556</v>
      </c>
      <c r="J126" s="25" t="n">
        <v>35.16256542597189</v>
      </c>
      <c r="K126" s="26" t="n">
        <v>36.32373714062242</v>
      </c>
      <c r="L126" s="26" t="n">
        <v>36.74721939857201</v>
      </c>
      <c r="M126" s="26" t="n">
        <v>35.97521563394127</v>
      </c>
      <c r="N126" s="26" t="n">
        <v>34.46881521306253</v>
      </c>
      <c r="O126" s="26" t="n">
        <v>34.3921927188638</v>
      </c>
      <c r="P126" s="26" t="n">
        <v>35.37491103398634</v>
      </c>
      <c r="Q126" s="26" t="n">
        <v>35.40048379681127</v>
      </c>
      <c r="R126" s="26" t="n">
        <v>33.95672250319284</v>
      </c>
      <c r="S126" s="26" t="n">
        <v>33.22522663276656</v>
      </c>
      <c r="T126" s="26" t="n">
        <v>33.00030476190476</v>
      </c>
      <c r="U126" s="26" t="n">
        <v>34.04511578425556</v>
      </c>
      <c r="V126" s="27">
        <f>AVERAGE(J126:U126)</f>
        <v/>
      </c>
      <c r="W126" s="28" t="n">
        <v>310</v>
      </c>
      <c r="X126" s="29" t="n">
        <v>0.8611111111111112</v>
      </c>
    </row>
    <row r="127" ht="13.9" customHeight="1">
      <c r="A127" s="11" t="n">
        <v>28035040</v>
      </c>
      <c r="B127" s="22" t="inlineStr">
        <is>
          <t>CO</t>
        </is>
      </c>
      <c r="C127" s="22" t="inlineStr">
        <is>
          <t>Guaymaral</t>
        </is>
      </c>
      <c r="D127" s="22" t="inlineStr">
        <is>
          <t>Valledupar</t>
        </is>
      </c>
      <c r="E127" s="22" t="inlineStr">
        <is>
          <t>Cesar</t>
        </is>
      </c>
      <c r="F127" s="22" t="n">
        <v>5</v>
      </c>
      <c r="G127" s="22" t="n">
        <v>50</v>
      </c>
      <c r="H127" s="23" t="n">
        <v>-73.64752777999999</v>
      </c>
      <c r="I127" s="24" t="n">
        <v>9.90491667</v>
      </c>
      <c r="J127" s="25" t="n">
        <v>37.31003164735072</v>
      </c>
      <c r="K127" s="26" t="n">
        <v>37.28128221802476</v>
      </c>
      <c r="L127" s="26" t="n">
        <v>37.16224507811128</v>
      </c>
      <c r="M127" s="26" t="n">
        <v>37.00606215937601</v>
      </c>
      <c r="N127" s="26" t="n">
        <v>36.9051898238327</v>
      </c>
      <c r="O127" s="26" t="n">
        <v>36.90631549210001</v>
      </c>
      <c r="P127" s="26" t="n">
        <v>36.83946659344873</v>
      </c>
      <c r="Q127" s="26" t="n">
        <v>36.63984696977369</v>
      </c>
      <c r="R127" s="26" t="n">
        <v>36.5162109877407</v>
      </c>
      <c r="S127" s="26" t="n">
        <v>36.45004694332735</v>
      </c>
      <c r="T127" s="26" t="n">
        <v>36.53221716615328</v>
      </c>
      <c r="U127" s="26" t="n">
        <v>36.86767538005191</v>
      </c>
      <c r="V127" s="27">
        <f>AVERAGE(J127:U127)</f>
        <v/>
      </c>
      <c r="W127" s="28" t="n">
        <v>103</v>
      </c>
      <c r="X127" s="29" t="n">
        <v>0.8583333333333333</v>
      </c>
    </row>
    <row r="128" ht="13.9" customHeight="1">
      <c r="A128" s="11" t="n">
        <v>56015010</v>
      </c>
      <c r="B128" s="22" t="inlineStr">
        <is>
          <t>CO</t>
        </is>
      </c>
      <c r="C128" s="22" t="inlineStr">
        <is>
          <t>Panamericana</t>
        </is>
      </c>
      <c r="D128" s="22" t="inlineStr">
        <is>
          <t>Bahía Solano</t>
        </is>
      </c>
      <c r="E128" s="22" t="inlineStr">
        <is>
          <t>Chocó</t>
        </is>
      </c>
      <c r="F128" s="22" t="n">
        <v>1</v>
      </c>
      <c r="G128" s="22" t="n">
        <v>4</v>
      </c>
      <c r="H128" s="23" t="n">
        <v>-77.40444443999999</v>
      </c>
      <c r="I128" s="24" t="n">
        <v>6.22333333</v>
      </c>
      <c r="J128" s="25" t="n">
        <v>30.07917761097765</v>
      </c>
      <c r="K128" s="26" t="n">
        <v>30.32000289771081</v>
      </c>
      <c r="L128" s="26" t="n">
        <v>30.2800632511069</v>
      </c>
      <c r="M128" s="26" t="n">
        <v>29.83981481481482</v>
      </c>
      <c r="N128" s="26" t="n">
        <v>29.85708764724338</v>
      </c>
      <c r="O128" s="26" t="n">
        <v>29.59139917695473</v>
      </c>
      <c r="P128" s="26" t="n">
        <v>29.64125636672326</v>
      </c>
      <c r="Q128" s="26" t="n">
        <v>29.73490033327046</v>
      </c>
      <c r="R128" s="26" t="n">
        <v>29.49333333333333</v>
      </c>
      <c r="S128" s="26" t="n">
        <v>29.0631421744325</v>
      </c>
      <c r="T128" s="26" t="n">
        <v>28.92992337164751</v>
      </c>
      <c r="U128" s="26" t="n">
        <v>29.19889943074003</v>
      </c>
      <c r="V128" s="27">
        <f>AVERAGE(J128:U128)</f>
        <v/>
      </c>
      <c r="W128" s="28" t="n">
        <v>215</v>
      </c>
      <c r="X128" s="29" t="n">
        <v>0.8958333333333334</v>
      </c>
    </row>
    <row r="129" ht="13.9" customHeight="1">
      <c r="A129" s="11" t="n">
        <v>54085010</v>
      </c>
      <c r="B129" s="22" t="inlineStr">
        <is>
          <t>CO</t>
        </is>
      </c>
      <c r="C129" s="22" t="inlineStr">
        <is>
          <t>Noanama</t>
        </is>
      </c>
      <c r="D129" s="22" t="inlineStr">
        <is>
          <t>Medio San Juan</t>
        </is>
      </c>
      <c r="E129" s="22" t="inlineStr">
        <is>
          <t>Chocó</t>
        </is>
      </c>
      <c r="F129" s="22" t="n">
        <v>9</v>
      </c>
      <c r="G129" s="22" t="n">
        <v>40</v>
      </c>
      <c r="H129" s="23" t="n">
        <v>-76.93425000000001</v>
      </c>
      <c r="I129" s="24" t="n">
        <v>4.68819444</v>
      </c>
      <c r="J129" s="25" t="n">
        <v>28.17830216407413</v>
      </c>
      <c r="K129" s="26" t="n">
        <v>28.46173311390703</v>
      </c>
      <c r="L129" s="26" t="n">
        <v>28.45537271449351</v>
      </c>
      <c r="M129" s="26" t="n">
        <v>28.58090041399053</v>
      </c>
      <c r="N129" s="26" t="n">
        <v>28.56263538422603</v>
      </c>
      <c r="O129" s="26" t="n">
        <v>28.59805131012027</v>
      </c>
      <c r="P129" s="26" t="n">
        <v>28.54929127602098</v>
      </c>
      <c r="Q129" s="26" t="n">
        <v>28.60761021946784</v>
      </c>
      <c r="R129" s="26" t="n">
        <v>28.45210727969349</v>
      </c>
      <c r="S129" s="26" t="n">
        <v>28.20297169106179</v>
      </c>
      <c r="T129" s="26" t="n">
        <v>28.0461746031746</v>
      </c>
      <c r="U129" s="26" t="n">
        <v>27.91323665319354</v>
      </c>
      <c r="V129" s="27">
        <f>AVERAGE(J129:U129)</f>
        <v/>
      </c>
      <c r="W129" s="28" t="n">
        <v>110</v>
      </c>
      <c r="X129" s="29" t="n">
        <v>0.9166666666666666</v>
      </c>
    </row>
    <row r="130" ht="13.9" customHeight="1">
      <c r="A130" s="11" t="n">
        <v>54025010</v>
      </c>
      <c r="B130" s="22" t="inlineStr">
        <is>
          <t>CO</t>
        </is>
      </c>
      <c r="C130" s="22" t="inlineStr">
        <is>
          <t>San José Palmar</t>
        </is>
      </c>
      <c r="D130" s="22" t="inlineStr">
        <is>
          <t>Nóvita</t>
        </is>
      </c>
      <c r="E130" s="22" t="inlineStr">
        <is>
          <t>Chocó</t>
        </is>
      </c>
      <c r="F130" s="22" t="n">
        <v>9</v>
      </c>
      <c r="G130" s="22" t="n">
        <v>1115</v>
      </c>
      <c r="H130" s="23" t="n">
        <v>-76.67666666999999</v>
      </c>
      <c r="I130" s="24" t="n">
        <v>4.89808333</v>
      </c>
      <c r="J130" s="25" t="n">
        <v>23.45631859473489</v>
      </c>
      <c r="K130" s="26" t="n">
        <v>23.75887839810254</v>
      </c>
      <c r="L130" s="26" t="n">
        <v>24.15837041156841</v>
      </c>
      <c r="M130" s="26" t="n">
        <v>24.77505952380952</v>
      </c>
      <c r="N130" s="26" t="n">
        <v>24.78026778725332</v>
      </c>
      <c r="O130" s="26" t="n">
        <v>24.66739463601533</v>
      </c>
      <c r="P130" s="26" t="n">
        <v>24.80013440860215</v>
      </c>
      <c r="Q130" s="26" t="n">
        <v>24.76608546533185</v>
      </c>
      <c r="R130" s="26" t="n">
        <v>24.80701149425288</v>
      </c>
      <c r="S130" s="26" t="n">
        <v>24.09951679277844</v>
      </c>
      <c r="T130" s="26" t="n">
        <v>23.66945083014049</v>
      </c>
      <c r="U130" s="26" t="n">
        <v>23.26238343377053</v>
      </c>
      <c r="V130" s="27">
        <f>AVERAGE(J130:U130)</f>
        <v/>
      </c>
      <c r="W130" s="28" t="n">
        <v>102</v>
      </c>
      <c r="X130" s="29" t="n">
        <v>0.85</v>
      </c>
    </row>
    <row r="131" ht="13.9" customHeight="1">
      <c r="A131" s="11" t="n">
        <v>56015030</v>
      </c>
      <c r="B131" s="22" t="inlineStr">
        <is>
          <t>CO</t>
        </is>
      </c>
      <c r="C131" s="22" t="inlineStr">
        <is>
          <t>Amargal</t>
        </is>
      </c>
      <c r="D131" s="22" t="inlineStr">
        <is>
          <t>Nuquí</t>
        </is>
      </c>
      <c r="E131" s="22" t="inlineStr">
        <is>
          <t>Chocó</t>
        </is>
      </c>
      <c r="F131" s="22" t="n">
        <v>1</v>
      </c>
      <c r="G131" s="22" t="n">
        <v>30</v>
      </c>
      <c r="H131" s="23" t="n">
        <v>-77.50277778</v>
      </c>
      <c r="I131" s="24" t="n">
        <v>5.57083333</v>
      </c>
      <c r="J131" s="25" t="n">
        <v>29.04271198156682</v>
      </c>
      <c r="K131" s="26" t="n">
        <v>29.74191676139952</v>
      </c>
      <c r="L131" s="26" t="n">
        <v>29.38630632115245</v>
      </c>
      <c r="M131" s="26" t="n">
        <v>29.44447427476737</v>
      </c>
      <c r="N131" s="26" t="n">
        <v>29.03860428400751</v>
      </c>
      <c r="O131" s="26" t="n">
        <v>28.60225050173326</v>
      </c>
      <c r="P131" s="26" t="n">
        <v>28.5377847814444</v>
      </c>
      <c r="Q131" s="26" t="n">
        <v>28.79004506431647</v>
      </c>
      <c r="R131" s="26" t="n">
        <v>28.67784277504105</v>
      </c>
      <c r="S131" s="26" t="n">
        <v>28.43651705598814</v>
      </c>
      <c r="T131" s="26" t="n">
        <v>28.00631764069264</v>
      </c>
      <c r="U131" s="26" t="n">
        <v>28.01893088146147</v>
      </c>
      <c r="V131" s="27">
        <f>AVERAGE(J131:U131)</f>
        <v/>
      </c>
      <c r="W131" s="28" t="n">
        <v>113</v>
      </c>
      <c r="X131" s="29" t="n">
        <v>0.9416666666666667</v>
      </c>
    </row>
    <row r="132" ht="13.9" customHeight="1">
      <c r="A132" s="11" t="n">
        <v>11045010</v>
      </c>
      <c r="B132" s="22" t="inlineStr">
        <is>
          <t>SP</t>
        </is>
      </c>
      <c r="C132" s="22" t="inlineStr">
        <is>
          <t>Aeropuerto El Caraño</t>
        </is>
      </c>
      <c r="D132" s="22" t="inlineStr">
        <is>
          <t>Quibdó</t>
        </is>
      </c>
      <c r="E132" s="22" t="inlineStr">
        <is>
          <t>Chocó</t>
        </is>
      </c>
      <c r="F132" s="22" t="n">
        <v>1</v>
      </c>
      <c r="G132" s="22" t="n">
        <v>75</v>
      </c>
      <c r="H132" s="23" t="n">
        <v>-76.64377777999999</v>
      </c>
      <c r="I132" s="24" t="n">
        <v>5.69055556</v>
      </c>
      <c r="J132" s="25" t="n">
        <v>30.00709677419355</v>
      </c>
      <c r="K132" s="26" t="n">
        <v>30.27322477650064</v>
      </c>
      <c r="L132" s="26" t="n">
        <v>30.54781720430107</v>
      </c>
      <c r="M132" s="26" t="n">
        <v>30.85667432950191</v>
      </c>
      <c r="N132" s="26" t="n">
        <v>31.05474601408973</v>
      </c>
      <c r="O132" s="26" t="n">
        <v>31.00361474435196</v>
      </c>
      <c r="P132" s="26" t="n">
        <v>31.07269585253456</v>
      </c>
      <c r="Q132" s="26" t="n">
        <v>31.22969966629588</v>
      </c>
      <c r="R132" s="26" t="n">
        <v>30.94711384783798</v>
      </c>
      <c r="S132" s="26" t="n">
        <v>30.5543681996599</v>
      </c>
      <c r="T132" s="26" t="n">
        <v>30.24787903667213</v>
      </c>
      <c r="U132" s="26" t="n">
        <v>29.8433795300677</v>
      </c>
      <c r="V132" s="27">
        <f>AVERAGE(J132:U132)</f>
        <v/>
      </c>
      <c r="W132" s="28" t="n">
        <v>354</v>
      </c>
      <c r="X132" s="29" t="n">
        <v>0.9833333333333333</v>
      </c>
    </row>
    <row r="133" ht="13.9" customHeight="1">
      <c r="A133" s="11" t="n">
        <v>11035020</v>
      </c>
      <c r="B133" s="22" t="inlineStr">
        <is>
          <t>PM</t>
        </is>
      </c>
      <c r="C133" s="22" t="inlineStr">
        <is>
          <t>San Isidro</t>
        </is>
      </c>
      <c r="D133" s="22" t="inlineStr">
        <is>
          <t xml:space="preserve">Rio Quito </t>
        </is>
      </c>
      <c r="E133" s="22" t="inlineStr">
        <is>
          <t>Chocó</t>
        </is>
      </c>
      <c r="F133" s="22" t="n">
        <v>1</v>
      </c>
      <c r="G133" s="22" t="n">
        <v>53</v>
      </c>
      <c r="H133" s="23" t="n">
        <v>-76.74972222000001</v>
      </c>
      <c r="I133" s="24" t="n">
        <v>5.62616667</v>
      </c>
      <c r="J133" s="25" t="n">
        <v>29.99946452587281</v>
      </c>
      <c r="K133" s="26" t="n">
        <v>30.38120357895262</v>
      </c>
      <c r="L133" s="26" t="n">
        <v>30.59694349812197</v>
      </c>
      <c r="M133" s="26" t="n">
        <v>30.89907832078522</v>
      </c>
      <c r="N133" s="26" t="n">
        <v>30.97857497789462</v>
      </c>
      <c r="O133" s="26" t="n">
        <v>30.90521289205874</v>
      </c>
      <c r="P133" s="26" t="n">
        <v>30.91192748788403</v>
      </c>
      <c r="Q133" s="26" t="n">
        <v>31.03862689723195</v>
      </c>
      <c r="R133" s="26" t="n">
        <v>30.85973156529862</v>
      </c>
      <c r="S133" s="26" t="n">
        <v>30.54766224491223</v>
      </c>
      <c r="T133" s="26" t="n">
        <v>30.09818770788598</v>
      </c>
      <c r="U133" s="26" t="n">
        <v>29.95036184004118</v>
      </c>
      <c r="V133" s="27">
        <f>AVERAGE(J133:U133)</f>
        <v/>
      </c>
      <c r="W133" s="28" t="n">
        <v>213</v>
      </c>
      <c r="X133" s="29" t="n">
        <v>0.8875</v>
      </c>
    </row>
    <row r="134" ht="13.9" customHeight="1">
      <c r="A134" s="11" t="n">
        <v>13075030</v>
      </c>
      <c r="B134" s="22" t="inlineStr">
        <is>
          <t>AM</t>
        </is>
      </c>
      <c r="C134" s="22" t="inlineStr">
        <is>
          <t>Turipaná</t>
        </is>
      </c>
      <c r="D134" s="22" t="inlineStr">
        <is>
          <t>Cereté</t>
        </is>
      </c>
      <c r="E134" s="22" t="inlineStr">
        <is>
          <t>Córdoba</t>
        </is>
      </c>
      <c r="F134" s="22" t="n">
        <v>2</v>
      </c>
      <c r="G134" s="22" t="n">
        <v>20</v>
      </c>
      <c r="H134" s="23" t="n">
        <v>-75.80188889</v>
      </c>
      <c r="I134" s="24" t="n">
        <v>8.839527779999999</v>
      </c>
      <c r="J134" s="25" t="n">
        <v>33.76361063950198</v>
      </c>
      <c r="K134" s="26" t="n">
        <v>34.48077322670234</v>
      </c>
      <c r="L134" s="26" t="n">
        <v>34.61079696394687</v>
      </c>
      <c r="M134" s="26" t="n">
        <v>34.01540045409395</v>
      </c>
      <c r="N134" s="26" t="n">
        <v>32.84676152515141</v>
      </c>
      <c r="O134" s="26" t="n">
        <v>32.78426096211154</v>
      </c>
      <c r="P134" s="26" t="n">
        <v>32.78232720451918</v>
      </c>
      <c r="Q134" s="26" t="n">
        <v>32.89321571293206</v>
      </c>
      <c r="R134" s="26" t="n">
        <v>32.35798202402557</v>
      </c>
      <c r="S134" s="26" t="n">
        <v>32.34639400921659</v>
      </c>
      <c r="T134" s="26" t="n">
        <v>32.33514448514449</v>
      </c>
      <c r="U134" s="26" t="n">
        <v>32.93858317520557</v>
      </c>
      <c r="V134" s="27">
        <f>AVERAGE(J134:U134)</f>
        <v/>
      </c>
      <c r="W134" s="28" t="n">
        <v>215</v>
      </c>
      <c r="X134" s="29" t="n">
        <v>0.8958333333333334</v>
      </c>
    </row>
    <row r="135" ht="13.9" customHeight="1">
      <c r="A135" s="11" t="n">
        <v>13075010</v>
      </c>
      <c r="B135" s="22" t="inlineStr">
        <is>
          <t>CO</t>
        </is>
      </c>
      <c r="C135" s="22" t="inlineStr">
        <is>
          <t>Chima</t>
        </is>
      </c>
      <c r="D135" s="22" t="inlineStr">
        <is>
          <t xml:space="preserve">Chima </t>
        </is>
      </c>
      <c r="E135" s="22" t="inlineStr">
        <is>
          <t>Córdoba</t>
        </is>
      </c>
      <c r="F135" s="22" t="n">
        <v>2</v>
      </c>
      <c r="G135" s="22" t="n">
        <v>20</v>
      </c>
      <c r="H135" s="23" t="n">
        <v>-75.62208333</v>
      </c>
      <c r="I135" s="24" t="n">
        <v>9.15075</v>
      </c>
      <c r="J135" s="25" t="n">
        <v>33.31162513511975</v>
      </c>
      <c r="K135" s="26" t="n">
        <v>33.85481403289284</v>
      </c>
      <c r="L135" s="26" t="n">
        <v>34.11423327506754</v>
      </c>
      <c r="M135" s="26" t="n">
        <v>33.76835400033973</v>
      </c>
      <c r="N135" s="26" t="n">
        <v>32.77427294695254</v>
      </c>
      <c r="O135" s="26" t="n">
        <v>32.6250594530321</v>
      </c>
      <c r="P135" s="26" t="n">
        <v>32.8234456183622</v>
      </c>
      <c r="Q135" s="26" t="n">
        <v>32.53533646461066</v>
      </c>
      <c r="R135" s="26" t="n">
        <v>32.00644120247569</v>
      </c>
      <c r="S135" s="26" t="n">
        <v>31.94134529819458</v>
      </c>
      <c r="T135" s="26" t="n">
        <v>32.05322922824303</v>
      </c>
      <c r="U135" s="26" t="n">
        <v>32.54094649895895</v>
      </c>
      <c r="V135" s="27">
        <f>AVERAGE(J135:U135)</f>
        <v/>
      </c>
      <c r="W135" s="28" t="n">
        <v>328</v>
      </c>
      <c r="X135" s="29" t="n">
        <v>0.9111111111111111</v>
      </c>
    </row>
    <row r="136" ht="13.9" customHeight="1">
      <c r="A136" s="11" t="n">
        <v>13075020</v>
      </c>
      <c r="B136" s="22" t="inlineStr">
        <is>
          <t>CO</t>
        </is>
      </c>
      <c r="C136" s="22" t="inlineStr">
        <is>
          <t>El Salado</t>
        </is>
      </c>
      <c r="D136" s="22" t="inlineStr">
        <is>
          <t>Ciénaga de Oro</t>
        </is>
      </c>
      <c r="E136" s="22" t="inlineStr">
        <is>
          <t>Córdoba</t>
        </is>
      </c>
      <c r="F136" s="22" t="n">
        <v>2</v>
      </c>
      <c r="G136" s="22" t="n">
        <v>40</v>
      </c>
      <c r="H136" s="23" t="n">
        <v>-75.58222222000001</v>
      </c>
      <c r="I136" s="24" t="n">
        <v>8.913888890000001</v>
      </c>
      <c r="J136" s="25" t="n">
        <v>34.66477155461027</v>
      </c>
      <c r="K136" s="26" t="n">
        <v>35.31994818239725</v>
      </c>
      <c r="L136" s="26" t="n">
        <v>35.25684367493672</v>
      </c>
      <c r="M136" s="26" t="n">
        <v>34.4147284525218</v>
      </c>
      <c r="N136" s="26" t="n">
        <v>32.85476024238577</v>
      </c>
      <c r="O136" s="26" t="n">
        <v>32.7930227649256</v>
      </c>
      <c r="P136" s="26" t="n">
        <v>33.028858295247</v>
      </c>
      <c r="Q136" s="26" t="n">
        <v>32.91662554065147</v>
      </c>
      <c r="R136" s="26" t="n">
        <v>32.47634846306795</v>
      </c>
      <c r="S136" s="26" t="n">
        <v>32.42413504277385</v>
      </c>
      <c r="T136" s="26" t="n">
        <v>32.71765781557736</v>
      </c>
      <c r="U136" s="26" t="n">
        <v>33.56244287232728</v>
      </c>
      <c r="V136" s="27">
        <f>AVERAGE(J136:U136)</f>
        <v/>
      </c>
      <c r="W136" s="28" t="n">
        <v>343</v>
      </c>
      <c r="X136" s="29" t="n">
        <v>0.9527777777777777</v>
      </c>
    </row>
    <row r="137" ht="13.9" customHeight="1">
      <c r="A137" s="11" t="n">
        <v>13085010</v>
      </c>
      <c r="B137" s="22" t="inlineStr">
        <is>
          <t>CP</t>
        </is>
      </c>
      <c r="C137" s="22" t="inlineStr">
        <is>
          <t xml:space="preserve">La Doctrina </t>
        </is>
      </c>
      <c r="D137" s="22" t="inlineStr">
        <is>
          <t>Lorica</t>
        </is>
      </c>
      <c r="E137" s="22" t="inlineStr">
        <is>
          <t>Córdoba</t>
        </is>
      </c>
      <c r="F137" s="22" t="n">
        <v>2</v>
      </c>
      <c r="G137" s="22" t="n">
        <v>20</v>
      </c>
      <c r="H137" s="23" t="n">
        <v>-75.89277778</v>
      </c>
      <c r="I137" s="24" t="n">
        <v>9.29722222</v>
      </c>
      <c r="J137" s="25" t="n">
        <v>32.63110856349153</v>
      </c>
      <c r="K137" s="26" t="n">
        <v>32.71730860760097</v>
      </c>
      <c r="L137" s="26" t="n">
        <v>32.67632299303619</v>
      </c>
      <c r="M137" s="26" t="n">
        <v>32.71909383226782</v>
      </c>
      <c r="N137" s="26" t="n">
        <v>32.20522061040554</v>
      </c>
      <c r="O137" s="26" t="n">
        <v>32.45861164032859</v>
      </c>
      <c r="P137" s="26" t="n">
        <v>32.58874627123793</v>
      </c>
      <c r="Q137" s="26" t="n">
        <v>32.22981061325968</v>
      </c>
      <c r="R137" s="26" t="n">
        <v>31.82020058542157</v>
      </c>
      <c r="S137" s="26" t="n">
        <v>31.57291095698359</v>
      </c>
      <c r="T137" s="26" t="n">
        <v>31.77274230231822</v>
      </c>
      <c r="U137" s="26" t="n">
        <v>32.61360026239981</v>
      </c>
      <c r="V137" s="27">
        <f>AVERAGE(J137:U137)</f>
        <v/>
      </c>
      <c r="W137" s="28" t="n">
        <v>280</v>
      </c>
      <c r="X137" s="29" t="n">
        <v>0.7777777777777778</v>
      </c>
    </row>
    <row r="138" ht="13.9" customHeight="1">
      <c r="A138" s="11" t="n">
        <v>25025160</v>
      </c>
      <c r="B138" s="22" t="inlineStr">
        <is>
          <t>CO</t>
        </is>
      </c>
      <c r="C138" s="22" t="inlineStr">
        <is>
          <t>Hacienda Cuba</t>
        </is>
      </c>
      <c r="D138" s="22" t="inlineStr">
        <is>
          <t>Montelíbano</t>
        </is>
      </c>
      <c r="E138" s="22" t="inlineStr">
        <is>
          <t>Córdoba</t>
        </is>
      </c>
      <c r="F138" s="22" t="n">
        <v>2</v>
      </c>
      <c r="G138" s="22" t="n">
        <v>50</v>
      </c>
      <c r="H138" s="23" t="n">
        <v>-75.40277777999999</v>
      </c>
      <c r="I138" s="24" t="n">
        <v>8.003888890000001</v>
      </c>
      <c r="J138" s="25" t="n">
        <v>33.3131490015361</v>
      </c>
      <c r="K138" s="26" t="n">
        <v>33.46453576783038</v>
      </c>
      <c r="L138" s="26" t="n">
        <v>32.91995698924732</v>
      </c>
      <c r="M138" s="26" t="n">
        <v>32.97497126436782</v>
      </c>
      <c r="N138" s="26" t="n">
        <v>32.41832735961768</v>
      </c>
      <c r="O138" s="26" t="n">
        <v>32.54454342273308</v>
      </c>
      <c r="P138" s="26" t="n">
        <v>32.40692899517983</v>
      </c>
      <c r="Q138" s="26" t="n">
        <v>32.39758736559141</v>
      </c>
      <c r="R138" s="26" t="n">
        <v>32.42531654807517</v>
      </c>
      <c r="S138" s="26" t="n">
        <v>32.5711800148313</v>
      </c>
      <c r="T138" s="26" t="n">
        <v>32.48502645502646</v>
      </c>
      <c r="U138" s="26" t="n">
        <v>32.82564260112648</v>
      </c>
      <c r="V138" s="27">
        <f>AVERAGE(J138:U138)</f>
        <v/>
      </c>
      <c r="W138" s="28" t="n">
        <v>106</v>
      </c>
      <c r="X138" s="29" t="n">
        <v>0.8833333333333333</v>
      </c>
    </row>
    <row r="139" ht="13.9" customHeight="1">
      <c r="A139" s="11" t="n">
        <v>13035501</v>
      </c>
      <c r="B139" s="22" t="inlineStr">
        <is>
          <t>SP</t>
        </is>
      </c>
      <c r="C139" s="22" t="inlineStr">
        <is>
          <t>Aeropuerto Los Garzones</t>
        </is>
      </c>
      <c r="D139" s="22" t="inlineStr">
        <is>
          <t>Montería</t>
        </is>
      </c>
      <c r="E139" s="22" t="inlineStr">
        <is>
          <t>Córdoba</t>
        </is>
      </c>
      <c r="F139" s="22" t="n">
        <v>2</v>
      </c>
      <c r="G139" s="22" t="n">
        <v>20</v>
      </c>
      <c r="H139" s="23" t="n">
        <v>-75.82513889000001</v>
      </c>
      <c r="I139" s="24" t="n">
        <v>8.825833330000002</v>
      </c>
      <c r="J139" s="25" t="n">
        <v>33.84376600040671</v>
      </c>
      <c r="K139" s="26" t="n">
        <v>34.56374631958369</v>
      </c>
      <c r="L139" s="26" t="n">
        <v>34.47513620635898</v>
      </c>
      <c r="M139" s="26" t="n">
        <v>34.12101046608564</v>
      </c>
      <c r="N139" s="26" t="n">
        <v>33.02571448667157</v>
      </c>
      <c r="O139" s="26" t="n">
        <v>33.01750663379136</v>
      </c>
      <c r="P139" s="26" t="n">
        <v>33.22493659921423</v>
      </c>
      <c r="Q139" s="26" t="n">
        <v>33.06508428087472</v>
      </c>
      <c r="R139" s="26" t="n">
        <v>32.56123788100796</v>
      </c>
      <c r="S139" s="26" t="n">
        <v>32.44322583107333</v>
      </c>
      <c r="T139" s="26" t="n">
        <v>32.54802849521408</v>
      </c>
      <c r="U139" s="26" t="n">
        <v>33.20317700466973</v>
      </c>
      <c r="V139" s="27">
        <f>AVERAGE(J139:U139)</f>
        <v/>
      </c>
      <c r="W139" s="28" t="n">
        <v>311</v>
      </c>
      <c r="X139" s="29" t="n">
        <v>0.8638888888888889</v>
      </c>
    </row>
    <row r="140" ht="13.9" customHeight="1">
      <c r="A140" s="11" t="n">
        <v>13055030</v>
      </c>
      <c r="B140" s="22" t="inlineStr">
        <is>
          <t>CO</t>
        </is>
      </c>
      <c r="C140" s="22" t="inlineStr">
        <is>
          <t>Galán</t>
        </is>
      </c>
      <c r="D140" s="22" t="inlineStr">
        <is>
          <t>Montería</t>
        </is>
      </c>
      <c r="E140" s="22" t="inlineStr">
        <is>
          <t>Córdoba</t>
        </is>
      </c>
      <c r="F140" s="22" t="n">
        <v>2</v>
      </c>
      <c r="G140" s="22" t="n">
        <v>30</v>
      </c>
      <c r="H140" s="23" t="n">
        <v>-75.9725</v>
      </c>
      <c r="I140" s="24" t="n">
        <v>8.659166670000001</v>
      </c>
      <c r="J140" s="25" t="n">
        <v>34.22774193548388</v>
      </c>
      <c r="K140" s="26" t="n">
        <v>34.98097974822113</v>
      </c>
      <c r="L140" s="26" t="n">
        <v>34.64216248506572</v>
      </c>
      <c r="M140" s="26" t="n">
        <v>34.37378033205619</v>
      </c>
      <c r="N140" s="26" t="n">
        <v>33.40070967741936</v>
      </c>
      <c r="O140" s="26" t="n">
        <v>33.66053333333333</v>
      </c>
      <c r="P140" s="26" t="n">
        <v>33.57183870967743</v>
      </c>
      <c r="Q140" s="26" t="n">
        <v>33.51977858996769</v>
      </c>
      <c r="R140" s="26" t="n">
        <v>33.14251851851852</v>
      </c>
      <c r="S140" s="26" t="n">
        <v>33.36329847979236</v>
      </c>
      <c r="T140" s="26" t="n">
        <v>33.27146296296296</v>
      </c>
      <c r="U140" s="26" t="n">
        <v>33.64546459028551</v>
      </c>
      <c r="V140" s="27">
        <f>AVERAGE(J140:U140)</f>
        <v/>
      </c>
      <c r="W140" s="28" t="n">
        <v>118</v>
      </c>
      <c r="X140" s="29" t="n">
        <v>0.9833333333333333</v>
      </c>
    </row>
    <row r="141" ht="13.9" customHeight="1">
      <c r="A141" s="11" t="n">
        <v>25015010</v>
      </c>
      <c r="B141" s="22" t="inlineStr">
        <is>
          <t>CO</t>
        </is>
      </c>
      <c r="C141" s="22" t="inlineStr">
        <is>
          <t>Centro Alegre</t>
        </is>
      </c>
      <c r="D141" s="22" t="inlineStr">
        <is>
          <t>Planeta Rica</t>
        </is>
      </c>
      <c r="E141" s="22" t="inlineStr">
        <is>
          <t>Córdoba</t>
        </is>
      </c>
      <c r="F141" s="22" t="n">
        <v>2</v>
      </c>
      <c r="G141" s="22" t="n">
        <v>170</v>
      </c>
      <c r="H141" s="23" t="n">
        <v>-75.63227778</v>
      </c>
      <c r="I141" s="24" t="n">
        <v>8.18077778</v>
      </c>
      <c r="J141" s="25" t="n">
        <v>34.36968817204301</v>
      </c>
      <c r="K141" s="26" t="n">
        <v>34.47437055281883</v>
      </c>
      <c r="L141" s="26" t="n">
        <v>34.46630107526882</v>
      </c>
      <c r="M141" s="26" t="n">
        <v>33.79574712643679</v>
      </c>
      <c r="N141" s="26" t="n">
        <v>33.66608602150537</v>
      </c>
      <c r="O141" s="26" t="n">
        <v>33.94127713920817</v>
      </c>
      <c r="P141" s="26" t="n">
        <v>34.03287250384025</v>
      </c>
      <c r="Q141" s="26" t="n">
        <v>33.62078853046594</v>
      </c>
      <c r="R141" s="26" t="n">
        <v>33.64333333333333</v>
      </c>
      <c r="S141" s="26" t="n">
        <v>33.51741935483871</v>
      </c>
      <c r="T141" s="26" t="n">
        <v>33.41494871794872</v>
      </c>
      <c r="U141" s="26" t="n">
        <v>33.84714126807564</v>
      </c>
      <c r="V141" s="27">
        <f>AVERAGE(J141:U141)</f>
        <v/>
      </c>
      <c r="W141" s="28" t="n">
        <v>116</v>
      </c>
      <c r="X141" s="29" t="n">
        <v>0.9666666666666667</v>
      </c>
    </row>
    <row r="142" ht="13.9" customHeight="1">
      <c r="A142" s="11" t="n">
        <v>25025190</v>
      </c>
      <c r="B142" s="22" t="inlineStr">
        <is>
          <t>CO</t>
        </is>
      </c>
      <c r="C142" s="22" t="inlineStr">
        <is>
          <t>Planeta Rica</t>
        </is>
      </c>
      <c r="D142" s="22" t="inlineStr">
        <is>
          <t>Planeta Rica</t>
        </is>
      </c>
      <c r="E142" s="22" t="inlineStr">
        <is>
          <t>Córdoba</t>
        </is>
      </c>
      <c r="F142" s="22" t="n">
        <v>2</v>
      </c>
      <c r="G142" s="22" t="n">
        <v>90</v>
      </c>
      <c r="H142" s="23" t="n">
        <v>-75.58372222</v>
      </c>
      <c r="I142" s="24" t="n">
        <v>8.399333330000001</v>
      </c>
      <c r="J142" s="25" t="n">
        <v>33.93485081078395</v>
      </c>
      <c r="K142" s="26" t="n">
        <v>35.0494719333455</v>
      </c>
      <c r="L142" s="26" t="n">
        <v>34.89016755830994</v>
      </c>
      <c r="M142" s="26" t="n">
        <v>33.76593547763933</v>
      </c>
      <c r="N142" s="26" t="n">
        <v>32.46597722960152</v>
      </c>
      <c r="O142" s="26" t="n">
        <v>32.40568965517242</v>
      </c>
      <c r="P142" s="26" t="n">
        <v>32.56856630824372</v>
      </c>
      <c r="Q142" s="26" t="n">
        <v>32.39984099980371</v>
      </c>
      <c r="R142" s="26" t="n">
        <v>32.11727518593644</v>
      </c>
      <c r="S142" s="26" t="n">
        <v>31.95748884710231</v>
      </c>
      <c r="T142" s="26" t="n">
        <v>32.100625</v>
      </c>
      <c r="U142" s="26" t="n">
        <v>32.62192204301075</v>
      </c>
      <c r="V142" s="27">
        <f>AVERAGE(J142:U142)</f>
        <v/>
      </c>
      <c r="W142" s="28" t="n">
        <v>208</v>
      </c>
      <c r="X142" s="29" t="n">
        <v>0.8666666666666667</v>
      </c>
    </row>
    <row r="143" ht="13.9" customHeight="1">
      <c r="A143" s="11" t="n">
        <v>12045020</v>
      </c>
      <c r="B143" s="22" t="inlineStr">
        <is>
          <t>CO</t>
        </is>
      </c>
      <c r="C143" s="22" t="inlineStr">
        <is>
          <t>Cristo Rey</t>
        </is>
      </c>
      <c r="D143" s="22" t="inlineStr">
        <is>
          <t>Puerto Escondido</t>
        </is>
      </c>
      <c r="E143" s="22" t="inlineStr">
        <is>
          <t>Córdoba</t>
        </is>
      </c>
      <c r="F143" s="22" t="n">
        <v>2</v>
      </c>
      <c r="G143" s="22" t="n">
        <v>15</v>
      </c>
      <c r="H143" s="23" t="n">
        <v>-76.22444444</v>
      </c>
      <c r="I143" s="24" t="n">
        <v>9.07111111</v>
      </c>
      <c r="J143" s="25" t="n">
        <v>31.26103891449053</v>
      </c>
      <c r="K143" s="26" t="n">
        <v>31.14772512142539</v>
      </c>
      <c r="L143" s="26" t="n">
        <v>31.01604042806183</v>
      </c>
      <c r="M143" s="26" t="n">
        <v>31.23327111211772</v>
      </c>
      <c r="N143" s="26" t="n">
        <v>31.05612437856121</v>
      </c>
      <c r="O143" s="26" t="n">
        <v>31.25025584887653</v>
      </c>
      <c r="P143" s="26" t="n">
        <v>31.35172238588257</v>
      </c>
      <c r="Q143" s="26" t="n">
        <v>31.26543488532231</v>
      </c>
      <c r="R143" s="26" t="n">
        <v>30.89350462706563</v>
      </c>
      <c r="S143" s="26" t="n">
        <v>30.96106922710216</v>
      </c>
      <c r="T143" s="26" t="n">
        <v>30.96970648604269</v>
      </c>
      <c r="U143" s="26" t="n">
        <v>31.30285019432566</v>
      </c>
      <c r="V143" s="27">
        <f>AVERAGE(J143:U143)</f>
        <v/>
      </c>
      <c r="W143" s="28" t="n">
        <v>318</v>
      </c>
      <c r="X143" s="29" t="n">
        <v>0.8833333333333333</v>
      </c>
    </row>
    <row r="144" ht="13.9" customHeight="1">
      <c r="A144" s="11" t="n">
        <v>25025170</v>
      </c>
      <c r="B144" s="22" t="inlineStr">
        <is>
          <t>CO</t>
        </is>
      </c>
      <c r="C144" s="22" t="inlineStr">
        <is>
          <t>Colomboy</t>
        </is>
      </c>
      <c r="D144" s="22" t="inlineStr">
        <is>
          <t>Sahagún</t>
        </is>
      </c>
      <c r="E144" s="22" t="inlineStr">
        <is>
          <t>Córdoba</t>
        </is>
      </c>
      <c r="F144" s="22" t="n">
        <v>2</v>
      </c>
      <c r="G144" s="22" t="n">
        <v>125</v>
      </c>
      <c r="H144" s="23" t="n">
        <v>-75.49883333</v>
      </c>
      <c r="I144" s="24" t="n">
        <v>8.740861110000001</v>
      </c>
      <c r="J144" s="25" t="n">
        <v>33.15418861092824</v>
      </c>
      <c r="K144" s="26" t="n">
        <v>34.07358116125297</v>
      </c>
      <c r="L144" s="26" t="n">
        <v>34.16901640392262</v>
      </c>
      <c r="M144" s="26" t="n">
        <v>33.17781124763289</v>
      </c>
      <c r="N144" s="26" t="n">
        <v>31.7846512586001</v>
      </c>
      <c r="O144" s="26" t="n">
        <v>31.7896466581524</v>
      </c>
      <c r="P144" s="26" t="n">
        <v>32.00617124440261</v>
      </c>
      <c r="Q144" s="26" t="n">
        <v>31.93284519542584</v>
      </c>
      <c r="R144" s="26" t="n">
        <v>31.33621609195401</v>
      </c>
      <c r="S144" s="26" t="n">
        <v>31.19024306842994</v>
      </c>
      <c r="T144" s="26" t="n">
        <v>31.18463448275862</v>
      </c>
      <c r="U144" s="26" t="n">
        <v>31.8702404380936</v>
      </c>
      <c r="V144" s="27">
        <f>AVERAGE(J144:U144)</f>
        <v/>
      </c>
      <c r="W144" s="28" t="n">
        <v>327</v>
      </c>
      <c r="X144" s="29" t="n">
        <v>0.9083333333333333</v>
      </c>
    </row>
    <row r="145" ht="13.9" customHeight="1">
      <c r="A145" s="11" t="n">
        <v>13085030</v>
      </c>
      <c r="B145" s="22" t="inlineStr">
        <is>
          <t>CO</t>
        </is>
      </c>
      <c r="C145" s="22" t="inlineStr">
        <is>
          <t>San Bernardo del Viento</t>
        </is>
      </c>
      <c r="D145" s="22" t="inlineStr">
        <is>
          <t>San Bernardo del Viento</t>
        </is>
      </c>
      <c r="E145" s="22" t="inlineStr">
        <is>
          <t>Córdoba</t>
        </is>
      </c>
      <c r="F145" s="22" t="n">
        <v>2</v>
      </c>
      <c r="G145" s="22" t="n">
        <v>22</v>
      </c>
      <c r="H145" s="23" t="n">
        <v>-75.95</v>
      </c>
      <c r="I145" s="24" t="n">
        <v>9.369999999999999</v>
      </c>
      <c r="J145" s="25" t="n">
        <v>33.13548387096774</v>
      </c>
      <c r="K145" s="26" t="n">
        <v>33.15934729064039</v>
      </c>
      <c r="L145" s="26" t="n">
        <v>33.09483870967742</v>
      </c>
      <c r="M145" s="26" t="n">
        <v>33.03766666666667</v>
      </c>
      <c r="N145" s="26" t="n">
        <v>32.54953058954394</v>
      </c>
      <c r="O145" s="26" t="n">
        <v>32.89925925925925</v>
      </c>
      <c r="P145" s="26" t="n">
        <v>32.91863799283154</v>
      </c>
      <c r="Q145" s="26" t="n">
        <v>32.90573476702509</v>
      </c>
      <c r="R145" s="26" t="n">
        <v>32.56005291005291</v>
      </c>
      <c r="S145" s="26" t="n">
        <v>32.63618279569891</v>
      </c>
      <c r="T145" s="26" t="n">
        <v>32.76428160919539</v>
      </c>
      <c r="U145" s="26" t="n">
        <v>33.38951612903226</v>
      </c>
      <c r="V145" s="27">
        <f>AVERAGE(J145:U145)</f>
        <v/>
      </c>
      <c r="W145" s="28" t="n">
        <v>109</v>
      </c>
      <c r="X145" s="29" t="n">
        <v>0.9083333333333333</v>
      </c>
    </row>
    <row r="146" ht="13.9" customHeight="1">
      <c r="A146" s="11" t="n">
        <v>21205660</v>
      </c>
      <c r="B146" s="22" t="inlineStr">
        <is>
          <t>CP</t>
        </is>
      </c>
      <c r="C146" s="22" t="inlineStr">
        <is>
          <t>Mercedes</t>
        </is>
      </c>
      <c r="D146" s="22" t="inlineStr">
        <is>
          <t>Anapoima</t>
        </is>
      </c>
      <c r="E146" s="22" t="inlineStr">
        <is>
          <t>Cundinamarca</t>
        </is>
      </c>
      <c r="F146" s="22" t="n">
        <v>11</v>
      </c>
      <c r="G146" s="22" t="n">
        <v>810</v>
      </c>
      <c r="H146" s="23" t="n">
        <v>-74.52661111</v>
      </c>
      <c r="I146" s="24" t="n">
        <v>4.58188889</v>
      </c>
      <c r="J146" s="25" t="n">
        <v>30.64290895231171</v>
      </c>
      <c r="K146" s="26" t="n">
        <v>30.81441948733063</v>
      </c>
      <c r="L146" s="26" t="n">
        <v>30.29715651135006</v>
      </c>
      <c r="M146" s="26" t="n">
        <v>29.85083804658517</v>
      </c>
      <c r="N146" s="26" t="n">
        <v>29.6259786594158</v>
      </c>
      <c r="O146" s="26" t="n">
        <v>29.90203551663322</v>
      </c>
      <c r="P146" s="26" t="n">
        <v>30.55889892473119</v>
      </c>
      <c r="Q146" s="26" t="n">
        <v>31.62928722448812</v>
      </c>
      <c r="R146" s="26" t="n">
        <v>31.68806366047745</v>
      </c>
      <c r="S146" s="26" t="n">
        <v>30.15034710932375</v>
      </c>
      <c r="T146" s="26" t="n">
        <v>29.27341114058356</v>
      </c>
      <c r="U146" s="26" t="n">
        <v>29.53999817511702</v>
      </c>
      <c r="V146" s="27">
        <f>AVERAGE(J146:U146)</f>
        <v/>
      </c>
      <c r="W146" s="28" t="n">
        <v>315</v>
      </c>
      <c r="X146" s="29" t="n">
        <v>0.875</v>
      </c>
    </row>
    <row r="147" ht="13.9" customHeight="1">
      <c r="A147" s="11" t="n">
        <v>21205670</v>
      </c>
      <c r="B147" s="22" t="inlineStr">
        <is>
          <t>CO</t>
        </is>
      </c>
      <c r="C147" s="22" t="inlineStr">
        <is>
          <t xml:space="preserve">La Florida </t>
        </is>
      </c>
      <c r="D147" s="22" t="inlineStr">
        <is>
          <t>Anolaima</t>
        </is>
      </c>
      <c r="E147" s="22" t="inlineStr">
        <is>
          <t>Cundinamarca</t>
        </is>
      </c>
      <c r="F147" s="22" t="n">
        <v>11</v>
      </c>
      <c r="G147" s="22" t="n">
        <v>1915</v>
      </c>
      <c r="H147" s="23" t="n">
        <v>-74.43763889</v>
      </c>
      <c r="I147" s="24" t="n">
        <v>4.77088889</v>
      </c>
      <c r="J147" s="25" t="n">
        <v>21.58796844433941</v>
      </c>
      <c r="K147" s="26" t="n">
        <v>21.65228478379858</v>
      </c>
      <c r="L147" s="26" t="n">
        <v>21.51138577074061</v>
      </c>
      <c r="M147" s="26" t="n">
        <v>20.95388769107509</v>
      </c>
      <c r="N147" s="26" t="n">
        <v>20.67392802792152</v>
      </c>
      <c r="O147" s="26" t="n">
        <v>20.83199755799756</v>
      </c>
      <c r="P147" s="26" t="n">
        <v>20.77183944490396</v>
      </c>
      <c r="Q147" s="26" t="n">
        <v>21.41203839521415</v>
      </c>
      <c r="R147" s="26" t="n">
        <v>21.74238529059985</v>
      </c>
      <c r="S147" s="26" t="n">
        <v>20.96381123687328</v>
      </c>
      <c r="T147" s="26" t="n">
        <v>20.71831133815808</v>
      </c>
      <c r="U147" s="26" t="n">
        <v>20.87199605177914</v>
      </c>
      <c r="V147" s="27">
        <f>AVERAGE(J147:U147)</f>
        <v/>
      </c>
      <c r="W147" s="28" t="n">
        <v>110</v>
      </c>
      <c r="X147" s="29" t="n">
        <v>0.9166666666666666</v>
      </c>
    </row>
    <row r="148" ht="13.9" customHeight="1">
      <c r="A148" s="11" t="n">
        <v>21206180</v>
      </c>
      <c r="B148" s="22" t="inlineStr">
        <is>
          <t>CO</t>
        </is>
      </c>
      <c r="C148" s="22" t="inlineStr">
        <is>
          <t>Primavera de Matima</t>
        </is>
      </c>
      <c r="D148" s="22" t="inlineStr">
        <is>
          <t>Anolaima</t>
        </is>
      </c>
      <c r="E148" s="22" t="inlineStr">
        <is>
          <t>Cundinamarca</t>
        </is>
      </c>
      <c r="F148" s="22" t="n">
        <v>11</v>
      </c>
      <c r="G148" s="22" t="n">
        <v>1850</v>
      </c>
      <c r="H148" s="23" t="n">
        <v>-74.44347222</v>
      </c>
      <c r="I148" s="24" t="n">
        <v>4.8055</v>
      </c>
      <c r="J148" s="25" t="n">
        <v>21.39381206484041</v>
      </c>
      <c r="K148" s="26" t="n">
        <v>21.55842673141726</v>
      </c>
      <c r="L148" s="26" t="n">
        <v>21.2989773737818</v>
      </c>
      <c r="M148" s="26" t="n">
        <v>21.21922875416905</v>
      </c>
      <c r="N148" s="26" t="n">
        <v>21.00793745874631</v>
      </c>
      <c r="O148" s="26" t="n">
        <v>20.75831274616882</v>
      </c>
      <c r="P148" s="26" t="n">
        <v>20.59257595586176</v>
      </c>
      <c r="Q148" s="26" t="n">
        <v>21.43004241679715</v>
      </c>
      <c r="R148" s="26" t="n">
        <v>21.74179576463786</v>
      </c>
      <c r="S148" s="26" t="n">
        <v>21.25399333768856</v>
      </c>
      <c r="T148" s="26" t="n">
        <v>20.7207424941491</v>
      </c>
      <c r="U148" s="26" t="n">
        <v>21.02475333457406</v>
      </c>
      <c r="V148" s="27">
        <f>AVERAGE(J148:U148)</f>
        <v/>
      </c>
      <c r="W148" s="28" t="n">
        <v>307</v>
      </c>
      <c r="X148" s="29" t="n">
        <v>0.8527777777777777</v>
      </c>
    </row>
    <row r="149" ht="13.9" customHeight="1">
      <c r="A149" s="11" t="n">
        <v>21205791</v>
      </c>
      <c r="B149" s="22" t="inlineStr">
        <is>
          <t>SP</t>
        </is>
      </c>
      <c r="C149" s="22" t="inlineStr">
        <is>
          <t xml:space="preserve">Aeropuerto El Dorado Catam - AUT </t>
        </is>
      </c>
      <c r="D149" s="22" t="inlineStr">
        <is>
          <t>Bogotá</t>
        </is>
      </c>
      <c r="E149" s="22" t="inlineStr">
        <is>
          <t>Cundinamarca</t>
        </is>
      </c>
      <c r="F149" s="22" t="n">
        <v>11</v>
      </c>
      <c r="G149" s="22" t="n">
        <v>2547</v>
      </c>
      <c r="H149" s="23" t="n">
        <v>-74.15066666999999</v>
      </c>
      <c r="I149" s="24" t="n">
        <v>4.70558333</v>
      </c>
      <c r="J149" s="25" t="n">
        <v>20.1402892102336</v>
      </c>
      <c r="K149" s="26" t="n">
        <v>20.17777448640759</v>
      </c>
      <c r="L149" s="26" t="n">
        <v>19.79340645161291</v>
      </c>
      <c r="M149" s="26" t="n">
        <v>19.54812050018947</v>
      </c>
      <c r="N149" s="26" t="n">
        <v>19.36482864087669</v>
      </c>
      <c r="O149" s="26" t="n">
        <v>18.93661407098648</v>
      </c>
      <c r="P149" s="26" t="n">
        <v>18.54287160744336</v>
      </c>
      <c r="Q149" s="26" t="n">
        <v>18.77294016143293</v>
      </c>
      <c r="R149" s="26" t="n">
        <v>19.20502767224916</v>
      </c>
      <c r="S149" s="26" t="n">
        <v>19.42063416911025</v>
      </c>
      <c r="T149" s="26" t="n">
        <v>19.41423711001642</v>
      </c>
      <c r="U149" s="26" t="n">
        <v>19.76527927120669</v>
      </c>
      <c r="V149" s="27">
        <f>AVERAGE(J149:U149)</f>
        <v/>
      </c>
      <c r="W149" s="28" t="n">
        <v>304</v>
      </c>
      <c r="X149" s="29" t="n">
        <v>0.8444444444444444</v>
      </c>
    </row>
    <row r="150" ht="13.9" customHeight="1">
      <c r="A150" s="11" t="n">
        <v>21206050</v>
      </c>
      <c r="B150" s="22" t="inlineStr">
        <is>
          <t>CP</t>
        </is>
      </c>
      <c r="C150" s="22" t="inlineStr">
        <is>
          <t>Escuela Colombiana de Ingeniería</t>
        </is>
      </c>
      <c r="D150" s="22" t="inlineStr">
        <is>
          <t>Bogotá</t>
        </is>
      </c>
      <c r="E150" s="22" t="inlineStr">
        <is>
          <t>Cundinamarca</t>
        </is>
      </c>
      <c r="F150" s="22" t="n">
        <v>11</v>
      </c>
      <c r="G150" s="22" t="n">
        <v>2650</v>
      </c>
      <c r="H150" s="23" t="n">
        <v>-74.05</v>
      </c>
      <c r="I150" s="24" t="n">
        <v>4.78333333</v>
      </c>
      <c r="J150" s="25" t="n">
        <v>20.19454838709677</v>
      </c>
      <c r="K150" s="26" t="n">
        <v>20.18798324281083</v>
      </c>
      <c r="L150" s="26" t="n">
        <v>19.88430107526882</v>
      </c>
      <c r="M150" s="26" t="n">
        <v>19.41064102564103</v>
      </c>
      <c r="N150" s="26" t="n">
        <v>18.93856144393241</v>
      </c>
      <c r="O150" s="26" t="n">
        <v>18.26026436781609</v>
      </c>
      <c r="P150" s="26" t="n">
        <v>17.80213005632361</v>
      </c>
      <c r="Q150" s="26" t="n">
        <v>18.03162365591398</v>
      </c>
      <c r="R150" s="26" t="n">
        <v>18.76460919540229</v>
      </c>
      <c r="S150" s="26" t="n">
        <v>19.42148387096774</v>
      </c>
      <c r="T150" s="26" t="n">
        <v>19.59298850574713</v>
      </c>
      <c r="U150" s="26" t="n">
        <v>19.94080645161291</v>
      </c>
      <c r="V150" s="27">
        <f>AVERAGE(J150:U150)</f>
        <v/>
      </c>
      <c r="W150" s="28" t="n">
        <v>119</v>
      </c>
      <c r="X150" s="29" t="n">
        <v>0.9916666666666667</v>
      </c>
    </row>
    <row r="151" ht="13.9" customHeight="1">
      <c r="A151" s="11" t="n">
        <v>21206230</v>
      </c>
      <c r="B151" s="22" t="inlineStr">
        <is>
          <t>CO</t>
        </is>
      </c>
      <c r="C151" s="22" t="inlineStr">
        <is>
          <t xml:space="preserve">Hacienda Las Vegas </t>
        </is>
      </c>
      <c r="D151" s="22" t="inlineStr">
        <is>
          <t>Bogotá</t>
        </is>
      </c>
      <c r="E151" s="22" t="inlineStr">
        <is>
          <t>Cundinamarca</t>
        </is>
      </c>
      <c r="F151" s="22" t="n">
        <v>11</v>
      </c>
      <c r="G151" s="22" t="n">
        <v>2543</v>
      </c>
      <c r="H151" s="23" t="n">
        <v>-74.15141944</v>
      </c>
      <c r="I151" s="24" t="n">
        <v>4.66166667</v>
      </c>
      <c r="J151" s="25" t="n">
        <v>19.94837449017427</v>
      </c>
      <c r="K151" s="26" t="n">
        <v>19.94685493944115</v>
      </c>
      <c r="L151" s="26" t="n">
        <v>19.84892337753294</v>
      </c>
      <c r="M151" s="26" t="n">
        <v>19.87088888888889</v>
      </c>
      <c r="N151" s="26" t="n">
        <v>19.75227956989247</v>
      </c>
      <c r="O151" s="26" t="n">
        <v>19.50884400656815</v>
      </c>
      <c r="P151" s="26" t="n">
        <v>19.14645161290323</v>
      </c>
      <c r="Q151" s="26" t="n">
        <v>19.25354838709678</v>
      </c>
      <c r="R151" s="26" t="n">
        <v>19.566</v>
      </c>
      <c r="S151" s="26" t="n">
        <v>19.6335398591027</v>
      </c>
      <c r="T151" s="26" t="n">
        <v>19.56102426564495</v>
      </c>
      <c r="U151" s="26" t="n">
        <v>19.95096774193548</v>
      </c>
      <c r="V151" s="27">
        <f>AVERAGE(J151:U151)</f>
        <v/>
      </c>
      <c r="W151" s="28" t="n">
        <v>119</v>
      </c>
      <c r="X151" s="29" t="n">
        <v>0.9916666666666667</v>
      </c>
    </row>
    <row r="152" ht="13.9" customHeight="1">
      <c r="A152" s="11" t="n">
        <v>21206600</v>
      </c>
      <c r="B152" s="22" t="inlineStr">
        <is>
          <t>CP</t>
        </is>
      </c>
      <c r="C152" s="22" t="inlineStr">
        <is>
          <t xml:space="preserve">Nueva Generación  - AUT </t>
        </is>
      </c>
      <c r="D152" s="22" t="inlineStr">
        <is>
          <t>Bogotá</t>
        </is>
      </c>
      <c r="E152" s="22" t="inlineStr">
        <is>
          <t>Cundinamarca</t>
        </is>
      </c>
      <c r="F152" s="22" t="n">
        <v>11</v>
      </c>
      <c r="G152" s="22" t="n">
        <v>2590</v>
      </c>
      <c r="H152" s="23" t="n">
        <v>-74.09433333</v>
      </c>
      <c r="I152" s="24" t="n">
        <v>4.78222222</v>
      </c>
      <c r="J152" s="25" t="n">
        <v>22.27564553207267</v>
      </c>
      <c r="K152" s="26" t="n">
        <v>21.9870696026834</v>
      </c>
      <c r="L152" s="26" t="n">
        <v>21.48905112676637</v>
      </c>
      <c r="M152" s="26" t="n">
        <v>21.32176245210728</v>
      </c>
      <c r="N152" s="26" t="n">
        <v>20.92109031198687</v>
      </c>
      <c r="O152" s="26" t="n">
        <v>20.45002380952381</v>
      </c>
      <c r="P152" s="26" t="n">
        <v>19.97922474445772</v>
      </c>
      <c r="Q152" s="26" t="n">
        <v>20.49287634408602</v>
      </c>
      <c r="R152" s="26" t="n">
        <v>20.84852873563218</v>
      </c>
      <c r="S152" s="26" t="n">
        <v>21.13090322580645</v>
      </c>
      <c r="T152" s="26" t="n">
        <v>21.56186206896552</v>
      </c>
      <c r="U152" s="26" t="n">
        <v>21.18041710725681</v>
      </c>
      <c r="V152" s="27">
        <f>AVERAGE(J152:U152)</f>
        <v/>
      </c>
      <c r="W152" s="28" t="n">
        <v>114</v>
      </c>
      <c r="X152" s="29" t="n">
        <v>0.95</v>
      </c>
    </row>
    <row r="153" ht="13.9" customHeight="1">
      <c r="A153" s="11" t="n">
        <v>21206280</v>
      </c>
      <c r="B153" s="22" t="inlineStr">
        <is>
          <t>CP</t>
        </is>
      </c>
      <c r="C153" s="22" t="inlineStr">
        <is>
          <t>Acapulco</t>
        </is>
      </c>
      <c r="D153" s="22" t="inlineStr">
        <is>
          <t>Bojacá</t>
        </is>
      </c>
      <c r="E153" s="22" t="inlineStr">
        <is>
          <t>Cundinamarca</t>
        </is>
      </c>
      <c r="F153" s="22" t="n">
        <v>11</v>
      </c>
      <c r="G153" s="22" t="n">
        <v>2650</v>
      </c>
      <c r="H153" s="23" t="n">
        <v>-74.33305556000001</v>
      </c>
      <c r="I153" s="24" t="n">
        <v>4.65383333</v>
      </c>
      <c r="J153" s="25" t="n">
        <v>15.9024195608289</v>
      </c>
      <c r="K153" s="26" t="n">
        <v>15.96130317319973</v>
      </c>
      <c r="L153" s="26" t="n">
        <v>15.87097145609715</v>
      </c>
      <c r="M153" s="26" t="n">
        <v>16.00481615510926</v>
      </c>
      <c r="N153" s="26" t="n">
        <v>16.03388464810662</v>
      </c>
      <c r="O153" s="26" t="n">
        <v>15.90033598585323</v>
      </c>
      <c r="P153" s="26" t="n">
        <v>15.85703819058213</v>
      </c>
      <c r="Q153" s="26" t="n">
        <v>15.6371949285214</v>
      </c>
      <c r="R153" s="26" t="n">
        <v>16.1181404853129</v>
      </c>
      <c r="S153" s="26" t="n">
        <v>15.63800037078235</v>
      </c>
      <c r="T153" s="26" t="n">
        <v>15.70243769385149</v>
      </c>
      <c r="U153" s="26" t="n">
        <v>15.72876246976358</v>
      </c>
      <c r="V153" s="27">
        <f>AVERAGE(J153:U153)</f>
        <v/>
      </c>
      <c r="W153" s="28" t="n">
        <v>115</v>
      </c>
      <c r="X153" s="29" t="n">
        <v>0.9583333333333334</v>
      </c>
    </row>
    <row r="154" ht="13.9" customHeight="1">
      <c r="A154" s="11" t="n">
        <v>35025060</v>
      </c>
      <c r="B154" s="22" t="inlineStr">
        <is>
          <t>CO</t>
        </is>
      </c>
      <c r="C154" s="22" t="inlineStr">
        <is>
          <t>La Bolsa</t>
        </is>
      </c>
      <c r="D154" s="22" t="inlineStr">
        <is>
          <t>Choachí</t>
        </is>
      </c>
      <c r="E154" s="22" t="inlineStr">
        <is>
          <t>Cundinamarca</t>
        </is>
      </c>
      <c r="F154" s="22" t="n">
        <v>11</v>
      </c>
      <c r="G154" s="22" t="n">
        <v>3195</v>
      </c>
      <c r="H154" s="23" t="n">
        <v>-73.98141666999999</v>
      </c>
      <c r="I154" s="24" t="n">
        <v>4.57541667</v>
      </c>
      <c r="J154" s="25" t="n">
        <v>13.11615843164951</v>
      </c>
      <c r="K154" s="26" t="n">
        <v>13.29437008271595</v>
      </c>
      <c r="L154" s="26" t="n">
        <v>12.81853225030645</v>
      </c>
      <c r="M154" s="26" t="n">
        <v>12.21939010989011</v>
      </c>
      <c r="N154" s="26" t="n">
        <v>12.00966568923188</v>
      </c>
      <c r="O154" s="26" t="n">
        <v>11.64587162767822</v>
      </c>
      <c r="P154" s="26" t="n">
        <v>11.30910159979682</v>
      </c>
      <c r="Q154" s="26" t="n">
        <v>11.5672830040433</v>
      </c>
      <c r="R154" s="26" t="n">
        <v>12.15779172455897</v>
      </c>
      <c r="S154" s="26" t="n">
        <v>12.46474387230348</v>
      </c>
      <c r="T154" s="26" t="n">
        <v>12.70361434667282</v>
      </c>
      <c r="U154" s="26" t="n">
        <v>12.83275045351797</v>
      </c>
      <c r="V154" s="27">
        <f>AVERAGE(J154:U154)</f>
        <v/>
      </c>
      <c r="W154" s="28" t="n">
        <v>280</v>
      </c>
      <c r="X154" s="29" t="n">
        <v>0.7777777777777778</v>
      </c>
    </row>
    <row r="155" ht="13.9" customHeight="1">
      <c r="A155" s="11" t="n">
        <v>21205740</v>
      </c>
      <c r="B155" s="22" t="inlineStr">
        <is>
          <t>CO</t>
        </is>
      </c>
      <c r="C155" s="22" t="inlineStr">
        <is>
          <t>Silos</t>
        </is>
      </c>
      <c r="D155" s="22" t="inlineStr">
        <is>
          <t>Chocontá</t>
        </is>
      </c>
      <c r="E155" s="22" t="inlineStr">
        <is>
          <t>Cundinamarca</t>
        </is>
      </c>
      <c r="F155" s="22" t="n">
        <v>11</v>
      </c>
      <c r="G155" s="22" t="n">
        <v>2709</v>
      </c>
      <c r="H155" s="23" t="n">
        <v>-73.70141667</v>
      </c>
      <c r="I155" s="24" t="n">
        <v>5.11772222</v>
      </c>
      <c r="J155" s="25" t="n">
        <v>18.34399043588225</v>
      </c>
      <c r="K155" s="26" t="n">
        <v>18.65885552997392</v>
      </c>
      <c r="L155" s="26" t="n">
        <v>18.21562680979523</v>
      </c>
      <c r="M155" s="26" t="n">
        <v>17.58269109179454</v>
      </c>
      <c r="N155" s="26" t="n">
        <v>17.07205629195328</v>
      </c>
      <c r="O155" s="26" t="n">
        <v>15.94071086345622</v>
      </c>
      <c r="P155" s="26" t="n">
        <v>15.48631627806168</v>
      </c>
      <c r="Q155" s="26" t="n">
        <v>15.95851436170426</v>
      </c>
      <c r="R155" s="26" t="n">
        <v>16.7495584045584</v>
      </c>
      <c r="S155" s="26" t="n">
        <v>17.51159802998468</v>
      </c>
      <c r="T155" s="26" t="n">
        <v>17.90153746555293</v>
      </c>
      <c r="U155" s="26" t="n">
        <v>17.9927400645949</v>
      </c>
      <c r="V155" s="27">
        <f>AVERAGE(J155:U155)</f>
        <v/>
      </c>
      <c r="W155" s="28" t="n">
        <v>300</v>
      </c>
      <c r="X155" s="29" t="n">
        <v>0.8333333333333334</v>
      </c>
    </row>
    <row r="156" ht="13.9" customHeight="1">
      <c r="A156" s="11" t="n">
        <v>24015120</v>
      </c>
      <c r="B156" s="22" t="inlineStr">
        <is>
          <t>CP</t>
        </is>
      </c>
      <c r="C156" s="22" t="inlineStr">
        <is>
          <t>Isla del Santuario</t>
        </is>
      </c>
      <c r="D156" s="22" t="inlineStr">
        <is>
          <t>Fúquene</t>
        </is>
      </c>
      <c r="E156" s="22" t="inlineStr">
        <is>
          <t>Cundinamarca</t>
        </is>
      </c>
      <c r="F156" s="22" t="n">
        <v>11</v>
      </c>
      <c r="G156" s="22" t="n">
        <v>2580</v>
      </c>
      <c r="H156" s="23" t="n">
        <v>-73.73480556000001</v>
      </c>
      <c r="I156" s="24" t="n">
        <v>5.46727778</v>
      </c>
      <c r="J156" s="25" t="n">
        <v>22.43517903023995</v>
      </c>
      <c r="K156" s="26" t="n">
        <v>22.68052292190323</v>
      </c>
      <c r="L156" s="26" t="n">
        <v>22.08342507554703</v>
      </c>
      <c r="M156" s="26" t="n">
        <v>21.55504591959764</v>
      </c>
      <c r="N156" s="26" t="n">
        <v>20.89640153950022</v>
      </c>
      <c r="O156" s="26" t="n">
        <v>20.28188852460217</v>
      </c>
      <c r="P156" s="26" t="n">
        <v>20.06641743738133</v>
      </c>
      <c r="Q156" s="26" t="n">
        <v>20.52470021512291</v>
      </c>
      <c r="R156" s="26" t="n">
        <v>21.30876503585814</v>
      </c>
      <c r="S156" s="26" t="n">
        <v>21.48345136905178</v>
      </c>
      <c r="T156" s="26" t="n">
        <v>21.37247553805514</v>
      </c>
      <c r="U156" s="26" t="n">
        <v>21.79886248671816</v>
      </c>
      <c r="V156" s="27">
        <f>AVERAGE(J156:U156)</f>
        <v/>
      </c>
      <c r="W156" s="28" t="n">
        <v>314</v>
      </c>
      <c r="X156" s="29" t="n">
        <v>0.8722222222222222</v>
      </c>
    </row>
    <row r="157" ht="13.9" customHeight="1">
      <c r="A157" s="11" t="n">
        <v>35065010</v>
      </c>
      <c r="B157" s="22" t="inlineStr">
        <is>
          <t>CO</t>
        </is>
      </c>
      <c r="C157" s="22" t="inlineStr">
        <is>
          <t>Gachetá</t>
        </is>
      </c>
      <c r="D157" s="22" t="inlineStr">
        <is>
          <t>Gachetá</t>
        </is>
      </c>
      <c r="E157" s="22" t="inlineStr">
        <is>
          <t>Cundinamarca</t>
        </is>
      </c>
      <c r="F157" s="22" t="n">
        <v>11</v>
      </c>
      <c r="G157" s="22" t="n">
        <v>1752</v>
      </c>
      <c r="H157" s="23" t="n">
        <v>-73.64647222000001</v>
      </c>
      <c r="I157" s="24" t="n">
        <v>4.83038889</v>
      </c>
      <c r="J157" s="25" t="n">
        <v>25.17048984468339</v>
      </c>
      <c r="K157" s="26" t="n">
        <v>25.2508547008547</v>
      </c>
      <c r="L157" s="26" t="n">
        <v>24.88666666666666</v>
      </c>
      <c r="M157" s="26" t="n">
        <v>23.99519540229885</v>
      </c>
      <c r="N157" s="26" t="n">
        <v>23.66946236559139</v>
      </c>
      <c r="O157" s="26" t="n">
        <v>22.9321251596424</v>
      </c>
      <c r="P157" s="26" t="n">
        <v>22.07316870596959</v>
      </c>
      <c r="Q157" s="26" t="n">
        <v>22.75698924731183</v>
      </c>
      <c r="R157" s="26" t="n">
        <v>23.91714942528736</v>
      </c>
      <c r="S157" s="26" t="n">
        <v>24.10745354921106</v>
      </c>
      <c r="T157" s="26" t="n">
        <v>24.60895402298851</v>
      </c>
      <c r="U157" s="26" t="n">
        <v>24.6074631071561</v>
      </c>
      <c r="V157" s="27">
        <f>AVERAGE(J157:U157)</f>
        <v/>
      </c>
      <c r="W157" s="28" t="n">
        <v>117</v>
      </c>
      <c r="X157" s="29" t="n">
        <v>0.975</v>
      </c>
    </row>
    <row r="158" ht="13.9" customHeight="1">
      <c r="A158" s="11" t="n">
        <v>21205700</v>
      </c>
      <c r="B158" s="22" t="inlineStr">
        <is>
          <t>CO</t>
        </is>
      </c>
      <c r="C158" s="22" t="inlineStr">
        <is>
          <t>Guasca</t>
        </is>
      </c>
      <c r="D158" s="22" t="inlineStr">
        <is>
          <t>Guasca</t>
        </is>
      </c>
      <c r="E158" s="22" t="inlineStr">
        <is>
          <t>Cundinamarca</t>
        </is>
      </c>
      <c r="F158" s="22" t="n">
        <v>11</v>
      </c>
      <c r="G158" s="22" t="n">
        <v>2750</v>
      </c>
      <c r="H158" s="23" t="n">
        <v>-73.86811111</v>
      </c>
      <c r="I158" s="24" t="n">
        <v>4.87986111</v>
      </c>
      <c r="J158" s="25" t="n">
        <v>19.59148965019655</v>
      </c>
      <c r="K158" s="26" t="n">
        <v>19.90529795512205</v>
      </c>
      <c r="L158" s="26" t="n">
        <v>19.44654531998302</v>
      </c>
      <c r="M158" s="26" t="n">
        <v>18.81640984168955</v>
      </c>
      <c r="N158" s="26" t="n">
        <v>18.481797678476</v>
      </c>
      <c r="O158" s="26" t="n">
        <v>17.55593414616151</v>
      </c>
      <c r="P158" s="26" t="n">
        <v>17.21694890383377</v>
      </c>
      <c r="Q158" s="26" t="n">
        <v>17.37168282418809</v>
      </c>
      <c r="R158" s="26" t="n">
        <v>17.89568382693209</v>
      </c>
      <c r="S158" s="26" t="n">
        <v>18.47855454866652</v>
      </c>
      <c r="T158" s="26" t="n">
        <v>18.91315619768093</v>
      </c>
      <c r="U158" s="26" t="n">
        <v>19.02205403495281</v>
      </c>
      <c r="V158" s="27">
        <f>AVERAGE(J158:U158)</f>
        <v/>
      </c>
      <c r="W158" s="28" t="n">
        <v>285</v>
      </c>
      <c r="X158" s="29" t="n">
        <v>0.7916666666666666</v>
      </c>
    </row>
    <row r="159" ht="13.9" customHeight="1">
      <c r="A159" s="11" t="n">
        <v>23065060</v>
      </c>
      <c r="B159" s="22" t="inlineStr">
        <is>
          <t>CO</t>
        </is>
      </c>
      <c r="C159" s="22" t="inlineStr">
        <is>
          <t>Santa Teresa</t>
        </is>
      </c>
      <c r="D159" s="22" t="inlineStr">
        <is>
          <t>Guayabal de Síquima</t>
        </is>
      </c>
      <c r="E159" s="22" t="inlineStr">
        <is>
          <t>Cundinamarca</t>
        </is>
      </c>
      <c r="F159" s="22" t="n">
        <v>11</v>
      </c>
      <c r="G159" s="22" t="n">
        <v>2200</v>
      </c>
      <c r="H159" s="23" t="n">
        <v>-74.46169444</v>
      </c>
      <c r="I159" s="24" t="n">
        <v>4.84216667</v>
      </c>
      <c r="J159" s="25" t="n">
        <v>18.85675402416559</v>
      </c>
      <c r="K159" s="26" t="n">
        <v>19.14653944146531</v>
      </c>
      <c r="L159" s="26" t="n">
        <v>19.01729032258064</v>
      </c>
      <c r="M159" s="26" t="n">
        <v>18.80899489144317</v>
      </c>
      <c r="N159" s="26" t="n">
        <v>18.7472291738254</v>
      </c>
      <c r="O159" s="26" t="n">
        <v>18.49033227372882</v>
      </c>
      <c r="P159" s="26" t="n">
        <v>18.50111229081899</v>
      </c>
      <c r="Q159" s="26" t="n">
        <v>19.07389448743789</v>
      </c>
      <c r="R159" s="26" t="n">
        <v>19.1966015613747</v>
      </c>
      <c r="S159" s="26" t="n">
        <v>18.90386646538482</v>
      </c>
      <c r="T159" s="26" t="n">
        <v>18.6217864900815</v>
      </c>
      <c r="U159" s="26" t="n">
        <v>18.55576705891609</v>
      </c>
      <c r="V159" s="27">
        <f>AVERAGE(J159:U159)</f>
        <v/>
      </c>
      <c r="W159" s="28" t="n">
        <v>223</v>
      </c>
      <c r="X159" s="29" t="n">
        <v>0.9291666666666667</v>
      </c>
    </row>
    <row r="160" ht="13.9" customHeight="1">
      <c r="A160" s="11" t="n">
        <v>21235010</v>
      </c>
      <c r="B160" s="22" t="inlineStr">
        <is>
          <t>CO</t>
        </is>
      </c>
      <c r="C160" s="22" t="inlineStr">
        <is>
          <t>Jerusalén</t>
        </is>
      </c>
      <c r="D160" s="22" t="inlineStr">
        <is>
          <t>Jerusalén</t>
        </is>
      </c>
      <c r="E160" s="22" t="inlineStr">
        <is>
          <t>Cundinamarca</t>
        </is>
      </c>
      <c r="F160" s="22" t="n">
        <v>10</v>
      </c>
      <c r="G160" s="22" t="n">
        <v>297</v>
      </c>
      <c r="H160" s="23" t="n">
        <v>-74.70238888999999</v>
      </c>
      <c r="I160" s="24" t="n">
        <v>4.56180556</v>
      </c>
      <c r="J160" s="25" t="n">
        <v>35.27601717165955</v>
      </c>
      <c r="K160" s="26" t="n">
        <v>35.30601049820338</v>
      </c>
      <c r="L160" s="26" t="n">
        <v>34.72795735696923</v>
      </c>
      <c r="M160" s="26" t="n">
        <v>34.26711562726055</v>
      </c>
      <c r="N160" s="26" t="n">
        <v>34.12609383682847</v>
      </c>
      <c r="O160" s="26" t="n">
        <v>34.80379392908497</v>
      </c>
      <c r="P160" s="26" t="n">
        <v>35.95996503418305</v>
      </c>
      <c r="Q160" s="26" t="n">
        <v>36.60931246086752</v>
      </c>
      <c r="R160" s="26" t="n">
        <v>36.30256991060025</v>
      </c>
      <c r="S160" s="26" t="n">
        <v>34.73327658732689</v>
      </c>
      <c r="T160" s="26" t="n">
        <v>33.43438317774265</v>
      </c>
      <c r="U160" s="26" t="n">
        <v>34.25521221404147</v>
      </c>
      <c r="V160" s="27">
        <f>AVERAGE(J160:U160)</f>
        <v/>
      </c>
      <c r="W160" s="28" t="n">
        <v>312</v>
      </c>
      <c r="X160" s="29" t="n">
        <v>0.8666666666666667</v>
      </c>
    </row>
    <row r="161" ht="13.9" customHeight="1">
      <c r="A161" s="11" t="n">
        <v>21205420</v>
      </c>
      <c r="B161" s="22" t="inlineStr">
        <is>
          <t>AM</t>
        </is>
      </c>
      <c r="C161" s="22" t="inlineStr">
        <is>
          <t>Tibaitata</t>
        </is>
      </c>
      <c r="D161" s="22" t="inlineStr">
        <is>
          <t xml:space="preserve">Mosquera </t>
        </is>
      </c>
      <c r="E161" s="22" t="inlineStr">
        <is>
          <t>Cundinamarca</t>
        </is>
      </c>
      <c r="F161" s="22" t="n">
        <v>11</v>
      </c>
      <c r="G161" s="22" t="n">
        <v>2543</v>
      </c>
      <c r="H161" s="23" t="n">
        <v>-74.209</v>
      </c>
      <c r="I161" s="24" t="n">
        <v>4.69141667</v>
      </c>
      <c r="J161" s="25" t="n">
        <v>20.46759473649132</v>
      </c>
      <c r="K161" s="26" t="n">
        <v>20.63266601626137</v>
      </c>
      <c r="L161" s="26" t="n">
        <v>20.2784729228961</v>
      </c>
      <c r="M161" s="26" t="n">
        <v>19.87547874447131</v>
      </c>
      <c r="N161" s="26" t="n">
        <v>19.67914969034209</v>
      </c>
      <c r="O161" s="26" t="n">
        <v>19.31773771737254</v>
      </c>
      <c r="P161" s="26" t="n">
        <v>19.03195340046826</v>
      </c>
      <c r="Q161" s="26" t="n">
        <v>19.30996101636054</v>
      </c>
      <c r="R161" s="26" t="n">
        <v>19.84161754073938</v>
      </c>
      <c r="S161" s="26" t="n">
        <v>19.87759006392474</v>
      </c>
      <c r="T161" s="26" t="n">
        <v>19.7432436531628</v>
      </c>
      <c r="U161" s="26" t="n">
        <v>20.10667208482704</v>
      </c>
      <c r="V161" s="27">
        <f>AVERAGE(J161:U161)</f>
        <v/>
      </c>
      <c r="W161" s="28" t="n">
        <v>344</v>
      </c>
      <c r="X161" s="29" t="n">
        <v>0.9555555555555556</v>
      </c>
    </row>
    <row r="162" ht="13.9" customHeight="1">
      <c r="A162" s="11" t="n">
        <v>23065120</v>
      </c>
      <c r="B162" s="22" t="inlineStr">
        <is>
          <t>CO</t>
        </is>
      </c>
      <c r="C162" s="22" t="inlineStr">
        <is>
          <t xml:space="preserve">La Cabrera </t>
        </is>
      </c>
      <c r="D162" s="22" t="inlineStr">
        <is>
          <t>Pacho</t>
        </is>
      </c>
      <c r="E162" s="22" t="inlineStr">
        <is>
          <t>Cundinamarca</t>
        </is>
      </c>
      <c r="F162" s="22" t="n">
        <v>11</v>
      </c>
      <c r="G162" s="22" t="n">
        <v>2000</v>
      </c>
      <c r="H162" s="23" t="n">
        <v>-74.13936111000001</v>
      </c>
      <c r="I162" s="24" t="n">
        <v>5.14155556</v>
      </c>
      <c r="J162" s="25" t="n">
        <v>21.31376345670562</v>
      </c>
      <c r="K162" s="26" t="n">
        <v>21.3453979276896</v>
      </c>
      <c r="L162" s="26" t="n">
        <v>21.50284731182796</v>
      </c>
      <c r="M162" s="26" t="n">
        <v>21.64924650246306</v>
      </c>
      <c r="N162" s="26" t="n">
        <v>21.86448944424751</v>
      </c>
      <c r="O162" s="26" t="n">
        <v>22.03754830109931</v>
      </c>
      <c r="P162" s="26" t="n">
        <v>22.22491685918828</v>
      </c>
      <c r="Q162" s="26" t="n">
        <v>22.6211366691538</v>
      </c>
      <c r="R162" s="26" t="n">
        <v>22.57489910600256</v>
      </c>
      <c r="S162" s="26" t="n">
        <v>21.64114736764903</v>
      </c>
      <c r="T162" s="26" t="n">
        <v>20.88444739168877</v>
      </c>
      <c r="U162" s="26" t="n">
        <v>21.06492732095491</v>
      </c>
      <c r="V162" s="27">
        <f>AVERAGE(J162:U162)</f>
        <v/>
      </c>
      <c r="W162" s="28" t="n">
        <v>311</v>
      </c>
      <c r="X162" s="29" t="n">
        <v>0.8638888888888889</v>
      </c>
    </row>
    <row r="163" ht="13.9" customHeight="1">
      <c r="A163" s="11" t="n">
        <v>21195060</v>
      </c>
      <c r="B163" s="22" t="inlineStr">
        <is>
          <t>CO</t>
        </is>
      </c>
      <c r="C163" s="22" t="inlineStr">
        <is>
          <t>Pandi</t>
        </is>
      </c>
      <c r="D163" s="22" t="inlineStr">
        <is>
          <t>Pandi</t>
        </is>
      </c>
      <c r="E163" s="22" t="inlineStr">
        <is>
          <t>Cundinamarca</t>
        </is>
      </c>
      <c r="F163" s="22" t="n">
        <v>11</v>
      </c>
      <c r="G163" s="22" t="n">
        <v>950</v>
      </c>
      <c r="H163" s="23" t="n">
        <v>-74.48741666999999</v>
      </c>
      <c r="I163" s="24" t="n">
        <v>4.19272222</v>
      </c>
      <c r="J163" s="25" t="n">
        <v>28.97083418659334</v>
      </c>
      <c r="K163" s="26" t="n">
        <v>29.11059452525976</v>
      </c>
      <c r="L163" s="26" t="n">
        <v>28.74002113916989</v>
      </c>
      <c r="M163" s="26" t="n">
        <v>28.37843740497476</v>
      </c>
      <c r="N163" s="26" t="n">
        <v>28.13547382724802</v>
      </c>
      <c r="O163" s="26" t="n">
        <v>28.43686629568814</v>
      </c>
      <c r="P163" s="26" t="n">
        <v>29.08009560480306</v>
      </c>
      <c r="Q163" s="26" t="n">
        <v>29.75546821571293</v>
      </c>
      <c r="R163" s="26" t="n">
        <v>30.02508814963477</v>
      </c>
      <c r="S163" s="26" t="n">
        <v>28.78996989247312</v>
      </c>
      <c r="T163" s="26" t="n">
        <v>27.90260198995106</v>
      </c>
      <c r="U163" s="26" t="n">
        <v>28.35697140539187</v>
      </c>
      <c r="V163" s="27">
        <f>AVERAGE(J163:U163)</f>
        <v/>
      </c>
      <c r="W163" s="28" t="n">
        <v>302</v>
      </c>
      <c r="X163" s="29" t="n">
        <v>0.8388888888888889</v>
      </c>
    </row>
    <row r="164" ht="13.9" customHeight="1">
      <c r="A164" s="11" t="n">
        <v>35055010</v>
      </c>
      <c r="B164" s="22" t="inlineStr">
        <is>
          <t>CO</t>
        </is>
      </c>
      <c r="C164" s="22" t="inlineStr">
        <is>
          <t>El Japón</t>
        </is>
      </c>
      <c r="D164" s="22" t="inlineStr">
        <is>
          <t>Paratebueno</t>
        </is>
      </c>
      <c r="E164" s="22" t="inlineStr">
        <is>
          <t>Cundinamarca</t>
        </is>
      </c>
      <c r="F164" s="22" t="n">
        <v>3</v>
      </c>
      <c r="G164" s="22" t="n">
        <v>280</v>
      </c>
      <c r="H164" s="23" t="n">
        <v>-73.30130556</v>
      </c>
      <c r="I164" s="24" t="n">
        <v>4.37697222</v>
      </c>
      <c r="J164" s="25" t="n">
        <v>32.50975570434804</v>
      </c>
      <c r="K164" s="26" t="n">
        <v>33.18287073240842</v>
      </c>
      <c r="L164" s="26" t="n">
        <v>32.07226687818011</v>
      </c>
      <c r="M164" s="26" t="n">
        <v>30.79639796812874</v>
      </c>
      <c r="N164" s="26" t="n">
        <v>30.17488702305536</v>
      </c>
      <c r="O164" s="26" t="n">
        <v>29.29139567456809</v>
      </c>
      <c r="P164" s="26" t="n">
        <v>29.06134955775489</v>
      </c>
      <c r="Q164" s="26" t="n">
        <v>30.08051334798272</v>
      </c>
      <c r="R164" s="26" t="n">
        <v>30.96170901576075</v>
      </c>
      <c r="S164" s="26" t="n">
        <v>31.08398375591368</v>
      </c>
      <c r="T164" s="26" t="n">
        <v>30.93758814338721</v>
      </c>
      <c r="U164" s="26" t="n">
        <v>31.31118282077297</v>
      </c>
      <c r="V164" s="27">
        <f>AVERAGE(J164:U164)</f>
        <v/>
      </c>
      <c r="W164" s="28" t="n">
        <v>312</v>
      </c>
      <c r="X164" s="29" t="n">
        <v>0.8666666666666667</v>
      </c>
    </row>
    <row r="165" ht="13.9" customHeight="1">
      <c r="A165" s="11" t="n">
        <v>21195190</v>
      </c>
      <c r="B165" s="22" t="inlineStr">
        <is>
          <t>AM</t>
        </is>
      </c>
      <c r="C165" s="22" t="inlineStr">
        <is>
          <t xml:space="preserve">Pasca - AUT </t>
        </is>
      </c>
      <c r="D165" s="22" t="inlineStr">
        <is>
          <t>Pasca</t>
        </is>
      </c>
      <c r="E165" s="22" t="inlineStr">
        <is>
          <t>Cundinamarca</t>
        </is>
      </c>
      <c r="F165" s="22" t="n">
        <v>11</v>
      </c>
      <c r="G165" s="22" t="n">
        <v>2256</v>
      </c>
      <c r="H165" s="23" t="n">
        <v>-74.31175</v>
      </c>
      <c r="I165" s="24" t="n">
        <v>4.31011111</v>
      </c>
      <c r="J165" s="25" t="n">
        <v>20.07931490015361</v>
      </c>
      <c r="K165" s="26" t="n">
        <v>20.09746700825412</v>
      </c>
      <c r="L165" s="26" t="n">
        <v>19.74277592386603</v>
      </c>
      <c r="M165" s="26" t="n">
        <v>19.74158620689655</v>
      </c>
      <c r="N165" s="26" t="n">
        <v>19.6179178187404</v>
      </c>
      <c r="O165" s="26" t="n">
        <v>19.47318007662835</v>
      </c>
      <c r="P165" s="26" t="n">
        <v>19.48096176821983</v>
      </c>
      <c r="Q165" s="26" t="n">
        <v>19.62978110599078</v>
      </c>
      <c r="R165" s="26" t="n">
        <v>20.18778489326765</v>
      </c>
      <c r="S165" s="26" t="n">
        <v>19.74925870014302</v>
      </c>
      <c r="T165" s="26" t="n">
        <v>19.36147254150702</v>
      </c>
      <c r="U165" s="26" t="n">
        <v>19.60258661887694</v>
      </c>
      <c r="V165" s="27">
        <f>AVERAGE(J165:U165)</f>
        <v/>
      </c>
      <c r="W165" s="28" t="n">
        <v>114</v>
      </c>
      <c r="X165" s="29" t="n">
        <v>0.95</v>
      </c>
    </row>
    <row r="166" ht="13.9" customHeight="1">
      <c r="A166" s="11" t="n">
        <v>23035020</v>
      </c>
      <c r="B166" s="22" t="inlineStr">
        <is>
          <t>SP</t>
        </is>
      </c>
      <c r="C166" s="22" t="inlineStr">
        <is>
          <t>Aeropuerto Palanquero</t>
        </is>
      </c>
      <c r="D166" s="22" t="inlineStr">
        <is>
          <t>Puerto Salgar</t>
        </is>
      </c>
      <c r="E166" s="22" t="inlineStr">
        <is>
          <t>Cundinamarca</t>
        </is>
      </c>
      <c r="F166" s="22" t="n">
        <v>10</v>
      </c>
      <c r="G166" s="22" t="n">
        <v>172</v>
      </c>
      <c r="H166" s="23" t="n">
        <v>-74.65472222000001</v>
      </c>
      <c r="I166" s="24" t="n">
        <v>5.47138889</v>
      </c>
      <c r="J166" s="25" t="n">
        <v>33.4871347617282</v>
      </c>
      <c r="K166" s="26" t="n">
        <v>34.19310023712197</v>
      </c>
      <c r="L166" s="26" t="n">
        <v>33.79996061531447</v>
      </c>
      <c r="M166" s="26" t="n">
        <v>33.08907843256502</v>
      </c>
      <c r="N166" s="26" t="n">
        <v>33.3611939834565</v>
      </c>
      <c r="O166" s="26" t="n">
        <v>33.72698177620591</v>
      </c>
      <c r="P166" s="26" t="n">
        <v>34.4987079265027</v>
      </c>
      <c r="Q166" s="26" t="n">
        <v>35.20415902545399</v>
      </c>
      <c r="R166" s="26" t="n">
        <v>34.25079770520384</v>
      </c>
      <c r="S166" s="26" t="n">
        <v>32.81416573971079</v>
      </c>
      <c r="T166" s="26" t="n">
        <v>32.41367141656414</v>
      </c>
      <c r="U166" s="26" t="n">
        <v>32.59717486213371</v>
      </c>
      <c r="V166" s="27">
        <f>AVERAGE(J166:U166)</f>
        <v/>
      </c>
      <c r="W166" s="28" t="n">
        <v>111</v>
      </c>
      <c r="X166" s="29" t="n">
        <v>0.925</v>
      </c>
    </row>
    <row r="167" ht="13.9" customHeight="1">
      <c r="A167" s="11" t="n">
        <v>23125070</v>
      </c>
      <c r="B167" s="22" t="inlineStr">
        <is>
          <t>CO</t>
        </is>
      </c>
      <c r="C167" s="22" t="inlineStr">
        <is>
          <t>San Cayetano</t>
        </is>
      </c>
      <c r="D167" s="22" t="inlineStr">
        <is>
          <t xml:space="preserve">San Cayetano </t>
        </is>
      </c>
      <c r="E167" s="22" t="inlineStr">
        <is>
          <t>Cundinamarca</t>
        </is>
      </c>
      <c r="F167" s="22" t="n">
        <v>11</v>
      </c>
      <c r="G167" s="22" t="n">
        <v>2200</v>
      </c>
      <c r="H167" s="23" t="n">
        <v>-74.06666666999999</v>
      </c>
      <c r="I167" s="24" t="n">
        <v>5.3</v>
      </c>
      <c r="J167" s="25" t="n">
        <v>20.63526964116508</v>
      </c>
      <c r="K167" s="26" t="n">
        <v>20.77769871677917</v>
      </c>
      <c r="L167" s="26" t="n">
        <v>20.4125054522008</v>
      </c>
      <c r="M167" s="26" t="n">
        <v>20.56953548622514</v>
      </c>
      <c r="N167" s="26" t="n">
        <v>20.3194471715755</v>
      </c>
      <c r="O167" s="26" t="n">
        <v>20.76730295566502</v>
      </c>
      <c r="P167" s="26" t="n">
        <v>20.83854282536151</v>
      </c>
      <c r="Q167" s="26" t="n">
        <v>21.33974394626508</v>
      </c>
      <c r="R167" s="26" t="n">
        <v>21.59266009852217</v>
      </c>
      <c r="S167" s="26" t="n">
        <v>21.16658602150538</v>
      </c>
      <c r="T167" s="26" t="n">
        <v>20.67590517241379</v>
      </c>
      <c r="U167" s="26" t="n">
        <v>20.69561417447958</v>
      </c>
      <c r="V167" s="27">
        <f>AVERAGE(J167:U167)</f>
        <v/>
      </c>
      <c r="W167" s="28" t="n">
        <v>100</v>
      </c>
      <c r="X167" s="29" t="n">
        <v>0.8333333333333334</v>
      </c>
    </row>
    <row r="168" ht="13.9" customHeight="1">
      <c r="A168" s="11" t="n">
        <v>21205720</v>
      </c>
      <c r="B168" s="22" t="inlineStr">
        <is>
          <t>CO</t>
        </is>
      </c>
      <c r="C168" s="22" t="inlineStr">
        <is>
          <t>Granja San Jorge</t>
        </is>
      </c>
      <c r="D168" s="22" t="inlineStr">
        <is>
          <t>Soacha</t>
        </is>
      </c>
      <c r="E168" s="22" t="inlineStr">
        <is>
          <t>Cundinamarca</t>
        </is>
      </c>
      <c r="F168" s="22" t="n">
        <v>11</v>
      </c>
      <c r="G168" s="22" t="n">
        <v>2900</v>
      </c>
      <c r="H168" s="23" t="n">
        <v>-74.18927778</v>
      </c>
      <c r="I168" s="24" t="n">
        <v>4.50575</v>
      </c>
      <c r="J168" s="25" t="n">
        <v>17.10362776621064</v>
      </c>
      <c r="K168" s="26" t="n">
        <v>17.46175380563686</v>
      </c>
      <c r="L168" s="26" t="n">
        <v>17.27211280709376</v>
      </c>
      <c r="M168" s="26" t="n">
        <v>16.91616897125862</v>
      </c>
      <c r="N168" s="26" t="n">
        <v>16.82421623412382</v>
      </c>
      <c r="O168" s="26" t="n">
        <v>16.45885485853939</v>
      </c>
      <c r="P168" s="26" t="n">
        <v>16.09168553853759</v>
      </c>
      <c r="Q168" s="26" t="n">
        <v>16.38518479857555</v>
      </c>
      <c r="R168" s="26" t="n">
        <v>16.70976812790186</v>
      </c>
      <c r="S168" s="26" t="n">
        <v>16.86825517857165</v>
      </c>
      <c r="T168" s="26" t="n">
        <v>16.74172742264122</v>
      </c>
      <c r="U168" s="26" t="n">
        <v>17.09117374578743</v>
      </c>
      <c r="V168" s="27">
        <f>AVERAGE(J168:U168)</f>
        <v/>
      </c>
      <c r="W168" s="28" t="n">
        <v>297</v>
      </c>
      <c r="X168" s="29" t="n">
        <v>0.825</v>
      </c>
    </row>
    <row r="169" ht="13.9" customHeight="1">
      <c r="A169" s="11" t="n">
        <v>21205980</v>
      </c>
      <c r="B169" s="22" t="inlineStr">
        <is>
          <t>CO</t>
        </is>
      </c>
      <c r="C169" s="22" t="inlineStr">
        <is>
          <t>Granja Providencia</t>
        </is>
      </c>
      <c r="D169" s="22" t="inlineStr">
        <is>
          <t>Tenjo</t>
        </is>
      </c>
      <c r="E169" s="22" t="inlineStr">
        <is>
          <t>Cundinamarca</t>
        </is>
      </c>
      <c r="F169" s="22" t="n">
        <v>11</v>
      </c>
      <c r="G169" s="22" t="n">
        <v>2560</v>
      </c>
      <c r="H169" s="23" t="n">
        <v>-74.20091667</v>
      </c>
      <c r="I169" s="24" t="n">
        <v>4.79238889</v>
      </c>
      <c r="J169" s="25" t="n">
        <v>20.3511244605369</v>
      </c>
      <c r="K169" s="26" t="n">
        <v>20.64999699056833</v>
      </c>
      <c r="L169" s="26" t="n">
        <v>20.25597272984091</v>
      </c>
      <c r="M169" s="26" t="n">
        <v>19.90074357662439</v>
      </c>
      <c r="N169" s="26" t="n">
        <v>19.67192800484235</v>
      </c>
      <c r="O169" s="26" t="n">
        <v>19.27043876966826</v>
      </c>
      <c r="P169" s="26" t="n">
        <v>18.91443825318037</v>
      </c>
      <c r="Q169" s="26" t="n">
        <v>19.14320005032046</v>
      </c>
      <c r="R169" s="26" t="n">
        <v>19.61536958092993</v>
      </c>
      <c r="S169" s="26" t="n">
        <v>19.72737191725864</v>
      </c>
      <c r="T169" s="26" t="n">
        <v>19.73527976559486</v>
      </c>
      <c r="U169" s="26" t="n">
        <v>20.09087969482603</v>
      </c>
      <c r="V169" s="27">
        <f>AVERAGE(J169:U169)</f>
        <v/>
      </c>
      <c r="W169" s="28" t="n">
        <v>351</v>
      </c>
      <c r="X169" s="29" t="n">
        <v>0.975</v>
      </c>
    </row>
    <row r="170" ht="13.9" customHeight="1">
      <c r="A170" s="11" t="n">
        <v>35025050</v>
      </c>
      <c r="B170" s="22" t="inlineStr">
        <is>
          <t>CO</t>
        </is>
      </c>
      <c r="C170" s="22" t="inlineStr">
        <is>
          <t>Llano Largo</t>
        </is>
      </c>
      <c r="D170" s="22" t="inlineStr">
        <is>
          <t>Ubaque</t>
        </is>
      </c>
      <c r="E170" s="22" t="inlineStr">
        <is>
          <t>Cundinamarca</t>
        </is>
      </c>
      <c r="F170" s="22" t="n">
        <v>11</v>
      </c>
      <c r="G170" s="22" t="n">
        <v>2980</v>
      </c>
      <c r="H170" s="23" t="n">
        <v>-74.03027777999999</v>
      </c>
      <c r="I170" s="24" t="n">
        <v>4.48283333</v>
      </c>
      <c r="J170" s="25" t="n">
        <v>14.77969560940525</v>
      </c>
      <c r="K170" s="26" t="n">
        <v>14.904174362082</v>
      </c>
      <c r="L170" s="26" t="n">
        <v>14.61939476402351</v>
      </c>
      <c r="M170" s="26" t="n">
        <v>14.13738809303613</v>
      </c>
      <c r="N170" s="26" t="n">
        <v>13.74337647559503</v>
      </c>
      <c r="O170" s="26" t="n">
        <v>12.76187730026612</v>
      </c>
      <c r="P170" s="26" t="n">
        <v>12.18091234318471</v>
      </c>
      <c r="Q170" s="26" t="n">
        <v>12.46509116747676</v>
      </c>
      <c r="R170" s="26" t="n">
        <v>13.49838963171476</v>
      </c>
      <c r="S170" s="26" t="n">
        <v>14.06530307043099</v>
      </c>
      <c r="T170" s="26" t="n">
        <v>14.40292320178171</v>
      </c>
      <c r="U170" s="26" t="n">
        <v>14.35093735291669</v>
      </c>
      <c r="V170" s="27">
        <f>AVERAGE(J170:U170)</f>
        <v/>
      </c>
      <c r="W170" s="28" t="n">
        <v>340</v>
      </c>
      <c r="X170" s="29" t="n">
        <v>0.9444444444444444</v>
      </c>
    </row>
    <row r="171" ht="13.9" customHeight="1">
      <c r="A171" s="11" t="n">
        <v>23065110</v>
      </c>
      <c r="B171" s="22" t="inlineStr">
        <is>
          <t>CP</t>
        </is>
      </c>
      <c r="C171" s="22" t="inlineStr">
        <is>
          <t>Yacopí - AUT</t>
        </is>
      </c>
      <c r="D171" s="22" t="inlineStr">
        <is>
          <t>Yacopí</t>
        </is>
      </c>
      <c r="E171" s="22" t="inlineStr">
        <is>
          <t>Cundinamarca</t>
        </is>
      </c>
      <c r="F171" s="22" t="n">
        <v>11</v>
      </c>
      <c r="G171" s="22" t="n">
        <v>1347</v>
      </c>
      <c r="H171" s="23" t="n">
        <v>-74.35458333</v>
      </c>
      <c r="I171" s="24" t="n">
        <v>5.48416667</v>
      </c>
      <c r="J171" s="25" t="n">
        <v>24.7916068283877</v>
      </c>
      <c r="K171" s="26" t="n">
        <v>25.17978467691673</v>
      </c>
      <c r="L171" s="26" t="n">
        <v>24.98106468383675</v>
      </c>
      <c r="M171" s="26" t="n">
        <v>25.10331721231798</v>
      </c>
      <c r="N171" s="26" t="n">
        <v>25.54476788512569</v>
      </c>
      <c r="O171" s="26" t="n">
        <v>25.63085762178435</v>
      </c>
      <c r="P171" s="26" t="n">
        <v>25.99213257662791</v>
      </c>
      <c r="Q171" s="26" t="n">
        <v>26.43118650825976</v>
      </c>
      <c r="R171" s="26" t="n">
        <v>26.02180721435511</v>
      </c>
      <c r="S171" s="26" t="n">
        <v>25.30479928111795</v>
      </c>
      <c r="T171" s="26" t="n">
        <v>24.65218245521566</v>
      </c>
      <c r="U171" s="26" t="n">
        <v>24.63505924594913</v>
      </c>
      <c r="V171" s="27">
        <f>AVERAGE(J171:U171)</f>
        <v/>
      </c>
      <c r="W171" s="28" t="n">
        <v>302</v>
      </c>
      <c r="X171" s="29" t="n">
        <v>0.8388888888888889</v>
      </c>
    </row>
    <row r="172" ht="13.9" customHeight="1">
      <c r="A172" s="11" t="n">
        <v>31095030</v>
      </c>
      <c r="B172" s="22" t="inlineStr">
        <is>
          <t>AM</t>
        </is>
      </c>
      <c r="C172" s="22" t="inlineStr">
        <is>
          <t xml:space="preserve">Puerto Inirida - AUT </t>
        </is>
      </c>
      <c r="D172" s="22" t="inlineStr">
        <is>
          <t>Inírida</t>
        </is>
      </c>
      <c r="E172" s="22" t="inlineStr">
        <is>
          <t>Guainía</t>
        </is>
      </c>
      <c r="F172" s="22" t="n">
        <v>3</v>
      </c>
      <c r="G172" s="22" t="n">
        <v>100</v>
      </c>
      <c r="H172" s="23" t="n">
        <v>-67.91905556</v>
      </c>
      <c r="I172" s="24" t="n">
        <v>3.87441667</v>
      </c>
      <c r="J172" s="25" t="n">
        <v>32.8751411206839</v>
      </c>
      <c r="K172" s="26" t="n">
        <v>33.348815500821</v>
      </c>
      <c r="L172" s="26" t="n">
        <v>32.87429143492771</v>
      </c>
      <c r="M172" s="26" t="n">
        <v>31.90762009852217</v>
      </c>
      <c r="N172" s="26" t="n">
        <v>30.82256770211071</v>
      </c>
      <c r="O172" s="26" t="n">
        <v>30.23175941129964</v>
      </c>
      <c r="P172" s="26" t="n">
        <v>30.06106182795699</v>
      </c>
      <c r="Q172" s="26" t="n">
        <v>31.02207437030759</v>
      </c>
      <c r="R172" s="26" t="n">
        <v>31.99130406376956</v>
      </c>
      <c r="S172" s="26" t="n">
        <v>32.25699267095295</v>
      </c>
      <c r="T172" s="26" t="n">
        <v>32.21017291878437</v>
      </c>
      <c r="U172" s="26" t="n">
        <v>32.27968539611915</v>
      </c>
      <c r="V172" s="27">
        <f>AVERAGE(J172:U172)</f>
        <v/>
      </c>
      <c r="W172" s="28" t="n">
        <v>317</v>
      </c>
      <c r="X172" s="29" t="n">
        <v>0.8805555555555555</v>
      </c>
    </row>
    <row r="173" ht="13.9" customHeight="1">
      <c r="A173" s="11" t="n">
        <v>31015010</v>
      </c>
      <c r="B173" s="22" t="inlineStr">
        <is>
          <t>CO</t>
        </is>
      </c>
      <c r="C173" s="22" t="inlineStr">
        <is>
          <t>El Trueno</t>
        </is>
      </c>
      <c r="D173" s="22" t="inlineStr">
        <is>
          <t>El Retorno</t>
        </is>
      </c>
      <c r="E173" s="22" t="inlineStr">
        <is>
          <t>Guaviare</t>
        </is>
      </c>
      <c r="F173" s="22" t="n">
        <v>3</v>
      </c>
      <c r="G173" s="22" t="n">
        <v>150</v>
      </c>
      <c r="H173" s="23" t="n">
        <v>-72.64</v>
      </c>
      <c r="I173" s="24" t="n">
        <v>2.37277778</v>
      </c>
      <c r="J173" s="25" t="n">
        <v>32.74425396460681</v>
      </c>
      <c r="K173" s="26" t="n">
        <v>33.34743184817107</v>
      </c>
      <c r="L173" s="26" t="n">
        <v>32.46911785421874</v>
      </c>
      <c r="M173" s="26" t="n">
        <v>31.33661746142801</v>
      </c>
      <c r="N173" s="26" t="n">
        <v>30.40670904457468</v>
      </c>
      <c r="O173" s="26" t="n">
        <v>29.84748840064094</v>
      </c>
      <c r="P173" s="26" t="n">
        <v>29.5446749952079</v>
      </c>
      <c r="Q173" s="26" t="n">
        <v>30.493981023477</v>
      </c>
      <c r="R173" s="26" t="n">
        <v>31.54240936414013</v>
      </c>
      <c r="S173" s="26" t="n">
        <v>31.52698131505887</v>
      </c>
      <c r="T173" s="26" t="n">
        <v>31.14365415650761</v>
      </c>
      <c r="U173" s="26" t="n">
        <v>31.8021406887391</v>
      </c>
      <c r="V173" s="27">
        <f>AVERAGE(J173:U173)</f>
        <v/>
      </c>
      <c r="W173" s="28" t="n">
        <v>299</v>
      </c>
      <c r="X173" s="29" t="n">
        <v>0.8305555555555556</v>
      </c>
    </row>
    <row r="174" ht="13.9" customHeight="1">
      <c r="A174" s="11" t="n">
        <v>32155010</v>
      </c>
      <c r="B174" s="22" t="inlineStr">
        <is>
          <t>CO</t>
        </is>
      </c>
      <c r="C174" s="22" t="inlineStr">
        <is>
          <t>Mapiripana</t>
        </is>
      </c>
      <c r="D174" s="22" t="inlineStr">
        <is>
          <t>San José del Guaviare</t>
        </is>
      </c>
      <c r="E174" s="22" t="inlineStr">
        <is>
          <t>Guaviare</t>
        </is>
      </c>
      <c r="F174" s="22" t="n">
        <v>3</v>
      </c>
      <c r="G174" s="22" t="n">
        <v>140</v>
      </c>
      <c r="H174" s="23" t="n">
        <v>-70.53333332999999</v>
      </c>
      <c r="I174" s="24" t="n">
        <v>2.8</v>
      </c>
      <c r="J174" s="25" t="n">
        <v>32.87461170848267</v>
      </c>
      <c r="K174" s="26" t="n">
        <v>33.45369173052362</v>
      </c>
      <c r="L174" s="26" t="n">
        <v>32.93850667408231</v>
      </c>
      <c r="M174" s="26" t="n">
        <v>32.7607411678776</v>
      </c>
      <c r="N174" s="26" t="n">
        <v>31.79158044034818</v>
      </c>
      <c r="O174" s="26" t="n">
        <v>31.05917314358694</v>
      </c>
      <c r="P174" s="26" t="n">
        <v>30.90441935483871</v>
      </c>
      <c r="Q174" s="26" t="n">
        <v>32.00601331285203</v>
      </c>
      <c r="R174" s="26" t="n">
        <v>33.17246250287555</v>
      </c>
      <c r="S174" s="26" t="n">
        <v>32.81185328145902</v>
      </c>
      <c r="T174" s="26" t="n">
        <v>32.50371756978653</v>
      </c>
      <c r="U174" s="26" t="n">
        <v>32.20862322808819</v>
      </c>
      <c r="V174" s="27">
        <f>AVERAGE(J174:U174)</f>
        <v/>
      </c>
      <c r="W174" s="28" t="n">
        <v>114</v>
      </c>
      <c r="X174" s="29" t="n">
        <v>0.95</v>
      </c>
    </row>
    <row r="175" ht="13.9" customHeight="1">
      <c r="A175" s="11" t="n">
        <v>32105080</v>
      </c>
      <c r="B175" s="22" t="inlineStr">
        <is>
          <t>AM</t>
        </is>
      </c>
      <c r="C175" s="22" t="inlineStr">
        <is>
          <t>San Jose del Guaviare</t>
        </is>
      </c>
      <c r="D175" s="22" t="inlineStr">
        <is>
          <t>San José del Guaviare</t>
        </is>
      </c>
      <c r="E175" s="22" t="inlineStr">
        <is>
          <t>Guaviare</t>
        </is>
      </c>
      <c r="F175" s="22" t="n">
        <v>3</v>
      </c>
      <c r="G175" s="22" t="n">
        <v>165</v>
      </c>
      <c r="H175" s="23" t="n">
        <v>-72.65000000000001</v>
      </c>
      <c r="I175" s="24" t="n">
        <v>2.54999972</v>
      </c>
      <c r="J175" s="25" t="n">
        <v>33.6402713332274</v>
      </c>
      <c r="K175" s="26" t="n">
        <v>33.45341593272627</v>
      </c>
      <c r="L175" s="26" t="n">
        <v>32.89967013958459</v>
      </c>
      <c r="M175" s="26" t="n">
        <v>31.23326181353768</v>
      </c>
      <c r="N175" s="26" t="n">
        <v>30.61659654043946</v>
      </c>
      <c r="O175" s="26" t="n">
        <v>29.86086512299406</v>
      </c>
      <c r="P175" s="26" t="n">
        <v>29.7450306689973</v>
      </c>
      <c r="Q175" s="26" t="n">
        <v>30.64846774193548</v>
      </c>
      <c r="R175" s="26" t="n">
        <v>31.46330049261084</v>
      </c>
      <c r="S175" s="26" t="n">
        <v>31.8498064516129</v>
      </c>
      <c r="T175" s="26" t="n">
        <v>31.70152248677249</v>
      </c>
      <c r="U175" s="26" t="n">
        <v>32.37486021505376</v>
      </c>
      <c r="V175" s="27">
        <f>AVERAGE(J175:U175)</f>
        <v/>
      </c>
      <c r="W175" s="28" t="n">
        <v>113</v>
      </c>
      <c r="X175" s="29" t="n">
        <v>0.9416666666666667</v>
      </c>
    </row>
    <row r="176" ht="13.9" customHeight="1">
      <c r="A176" s="11" t="n">
        <v>21045010</v>
      </c>
      <c r="B176" s="22" t="inlineStr">
        <is>
          <t>CO</t>
        </is>
      </c>
      <c r="C176" s="22" t="inlineStr">
        <is>
          <t xml:space="preserve">La Betulia </t>
        </is>
      </c>
      <c r="D176" s="22" t="inlineStr">
        <is>
          <t>Agrado</t>
        </is>
      </c>
      <c r="E176" s="22" t="inlineStr">
        <is>
          <t>Huila</t>
        </is>
      </c>
      <c r="F176" s="22" t="n">
        <v>4</v>
      </c>
      <c r="G176" s="22" t="n">
        <v>780</v>
      </c>
      <c r="H176" s="23" t="n">
        <v>-75.70508332999999</v>
      </c>
      <c r="I176" s="24" t="n">
        <v>2.28158333</v>
      </c>
      <c r="J176" s="25" t="n">
        <v>31.14686399621883</v>
      </c>
      <c r="K176" s="26" t="n">
        <v>31.19463978471082</v>
      </c>
      <c r="L176" s="26" t="n">
        <v>30.58774216854706</v>
      </c>
      <c r="M176" s="26" t="n">
        <v>30.6279717861704</v>
      </c>
      <c r="N176" s="26" t="n">
        <v>30.66629856954523</v>
      </c>
      <c r="O176" s="26" t="n">
        <v>30.50621714027245</v>
      </c>
      <c r="P176" s="26" t="n">
        <v>30.51761399718088</v>
      </c>
      <c r="Q176" s="26" t="n">
        <v>31.28668344168929</v>
      </c>
      <c r="R176" s="26" t="n">
        <v>32.39010822765996</v>
      </c>
      <c r="S176" s="26" t="n">
        <v>31.75416350390604</v>
      </c>
      <c r="T176" s="26" t="n">
        <v>30.30747214012042</v>
      </c>
      <c r="U176" s="26" t="n">
        <v>30.34820016053654</v>
      </c>
      <c r="V176" s="27">
        <f>AVERAGE(J176:U176)</f>
        <v/>
      </c>
      <c r="W176" s="28" t="n">
        <v>292</v>
      </c>
      <c r="X176" s="29" t="n">
        <v>0.8111111111111111</v>
      </c>
    </row>
    <row r="177" ht="13.9" customHeight="1">
      <c r="A177" s="11" t="n">
        <v>21025030</v>
      </c>
      <c r="B177" s="22" t="inlineStr">
        <is>
          <t>CO</t>
        </is>
      </c>
      <c r="C177" s="22" t="inlineStr">
        <is>
          <t xml:space="preserve">El Grifo Altamira </t>
        </is>
      </c>
      <c r="D177" s="22" t="inlineStr">
        <is>
          <t>Altamira</t>
        </is>
      </c>
      <c r="E177" s="22" t="inlineStr">
        <is>
          <t>Huila</t>
        </is>
      </c>
      <c r="F177" s="22" t="n">
        <v>4</v>
      </c>
      <c r="G177" s="22" t="n">
        <v>1368</v>
      </c>
      <c r="H177" s="23" t="n">
        <v>-75.73622222</v>
      </c>
      <c r="I177" s="24" t="n">
        <v>2.07916667</v>
      </c>
      <c r="J177" s="25" t="n">
        <v>26.63092804589425</v>
      </c>
      <c r="K177" s="26" t="n">
        <v>26.50688624703522</v>
      </c>
      <c r="L177" s="26" t="n">
        <v>25.86068062456228</v>
      </c>
      <c r="M177" s="26" t="n">
        <v>25.50718428789268</v>
      </c>
      <c r="N177" s="26" t="n">
        <v>25.05147622461171</v>
      </c>
      <c r="O177" s="26" t="n">
        <v>24.48991616394184</v>
      </c>
      <c r="P177" s="26" t="n">
        <v>24.23908897246205</v>
      </c>
      <c r="Q177" s="26" t="n">
        <v>24.71831420850192</v>
      </c>
      <c r="R177" s="26" t="n">
        <v>25.85989312899106</v>
      </c>
      <c r="S177" s="26" t="n">
        <v>26.12975922595686</v>
      </c>
      <c r="T177" s="26" t="n">
        <v>25.63224495225932</v>
      </c>
      <c r="U177" s="26" t="n">
        <v>25.93178609742748</v>
      </c>
      <c r="V177" s="27">
        <f>AVERAGE(J177:U177)</f>
        <v/>
      </c>
      <c r="W177" s="28" t="n">
        <v>294</v>
      </c>
      <c r="X177" s="29" t="n">
        <v>0.8166666666666667</v>
      </c>
    </row>
    <row r="178" ht="13.9" customHeight="1">
      <c r="A178" s="11" t="n">
        <v>21115160</v>
      </c>
      <c r="B178" s="22" t="inlineStr">
        <is>
          <t>AM</t>
        </is>
      </c>
      <c r="C178" s="22" t="inlineStr">
        <is>
          <t>Hacienda Manila - AUT</t>
        </is>
      </c>
      <c r="D178" s="22" t="inlineStr">
        <is>
          <t>Baraya</t>
        </is>
      </c>
      <c r="E178" s="22" t="inlineStr">
        <is>
          <t>Huila</t>
        </is>
      </c>
      <c r="F178" s="22" t="n">
        <v>4</v>
      </c>
      <c r="G178" s="22" t="n">
        <v>600</v>
      </c>
      <c r="H178" s="23" t="n">
        <v>-75.08152778</v>
      </c>
      <c r="I178" s="24" t="n">
        <v>3.13305556</v>
      </c>
      <c r="J178" s="25" t="n">
        <v>32.91332090191639</v>
      </c>
      <c r="K178" s="26" t="n">
        <v>33.04115785378238</v>
      </c>
      <c r="L178" s="26" t="n">
        <v>32.28264606012691</v>
      </c>
      <c r="M178" s="26" t="n">
        <v>31.78833682131856</v>
      </c>
      <c r="N178" s="26" t="n">
        <v>31.79844314874348</v>
      </c>
      <c r="O178" s="26" t="n">
        <v>32.23833386589842</v>
      </c>
      <c r="P178" s="26" t="n">
        <v>32.85567985265489</v>
      </c>
      <c r="Q178" s="26" t="n">
        <v>33.89210187164669</v>
      </c>
      <c r="R178" s="26" t="n">
        <v>33.82411870845205</v>
      </c>
      <c r="S178" s="26" t="n">
        <v>32.81441318814277</v>
      </c>
      <c r="T178" s="26" t="n">
        <v>31.30809005689303</v>
      </c>
      <c r="U178" s="26" t="n">
        <v>31.66753314513909</v>
      </c>
      <c r="V178" s="27">
        <f>AVERAGE(J178:U178)</f>
        <v/>
      </c>
      <c r="W178" s="28" t="n">
        <v>219</v>
      </c>
      <c r="X178" s="29" t="n">
        <v>0.9125</v>
      </c>
    </row>
    <row r="179" ht="13.9" customHeight="1">
      <c r="A179" s="11" t="n">
        <v>21145060</v>
      </c>
      <c r="B179" s="22" t="inlineStr">
        <is>
          <t>CO</t>
        </is>
      </c>
      <c r="C179" s="22" t="inlineStr">
        <is>
          <t>Santo Domingo</t>
        </is>
      </c>
      <c r="D179" s="22" t="inlineStr">
        <is>
          <t>Baraya</t>
        </is>
      </c>
      <c r="E179" s="22" t="inlineStr">
        <is>
          <t>Huila</t>
        </is>
      </c>
      <c r="F179" s="22" t="n">
        <v>4</v>
      </c>
      <c r="G179" s="22" t="n">
        <v>1275</v>
      </c>
      <c r="H179" s="23" t="n">
        <v>-74.94344443999999</v>
      </c>
      <c r="I179" s="24" t="n">
        <v>3.23072222</v>
      </c>
      <c r="J179" s="25" t="n">
        <v>27.99407155183858</v>
      </c>
      <c r="K179" s="26" t="n">
        <v>27.63235860846973</v>
      </c>
      <c r="L179" s="26" t="n">
        <v>27.52217572160612</v>
      </c>
      <c r="M179" s="26" t="n">
        <v>27.693712034581</v>
      </c>
      <c r="N179" s="26" t="n">
        <v>27.4170819397329</v>
      </c>
      <c r="O179" s="26" t="n">
        <v>27.61061126373626</v>
      </c>
      <c r="P179" s="26" t="n">
        <v>27.15165901752145</v>
      </c>
      <c r="Q179" s="26" t="n">
        <v>27.72834386312612</v>
      </c>
      <c r="R179" s="26" t="n">
        <v>28.3719917056124</v>
      </c>
      <c r="S179" s="26" t="n">
        <v>28.2528033126294</v>
      </c>
      <c r="T179" s="26" t="n">
        <v>26.87414117364117</v>
      </c>
      <c r="U179" s="26" t="n">
        <v>27.32956754148385</v>
      </c>
      <c r="V179" s="27">
        <f>AVERAGE(J179:U179)</f>
        <v/>
      </c>
      <c r="W179" s="28" t="n">
        <v>106</v>
      </c>
      <c r="X179" s="29" t="n">
        <v>0.8833333333333333</v>
      </c>
    </row>
    <row r="180" ht="13.9" customHeight="1">
      <c r="A180" s="11" t="n">
        <v>21105060</v>
      </c>
      <c r="B180" s="22" t="inlineStr">
        <is>
          <t>CP</t>
        </is>
      </c>
      <c r="C180" s="22" t="inlineStr">
        <is>
          <t>Hidrobetania</t>
        </is>
      </c>
      <c r="D180" s="22" t="inlineStr">
        <is>
          <t>Campoalegre</t>
        </is>
      </c>
      <c r="E180" s="22" t="inlineStr">
        <is>
          <t>Huila</t>
        </is>
      </c>
      <c r="F180" s="22" t="n">
        <v>4</v>
      </c>
      <c r="G180" s="22" t="n">
        <v>500</v>
      </c>
      <c r="H180" s="23" t="n">
        <v>-75.42491666999999</v>
      </c>
      <c r="I180" s="24" t="n">
        <v>2.71344444</v>
      </c>
      <c r="J180" s="25" t="n">
        <v>32.42054542083797</v>
      </c>
      <c r="K180" s="26" t="n">
        <v>32.7492237753732</v>
      </c>
      <c r="L180" s="26" t="n">
        <v>32.09899332591768</v>
      </c>
      <c r="M180" s="26" t="n">
        <v>31.74406157635468</v>
      </c>
      <c r="N180" s="26" t="n">
        <v>31.64874270353302</v>
      </c>
      <c r="O180" s="26" t="n">
        <v>31.54994088669951</v>
      </c>
      <c r="P180" s="26" t="n">
        <v>32.02235147518407</v>
      </c>
      <c r="Q180" s="26" t="n">
        <v>32.70560658226954</v>
      </c>
      <c r="R180" s="26" t="n">
        <v>33.18362068965517</v>
      </c>
      <c r="S180" s="26" t="n">
        <v>32.63679932435216</v>
      </c>
      <c r="T180" s="26" t="n">
        <v>31.32945083014049</v>
      </c>
      <c r="U180" s="26" t="n">
        <v>31.17298944696386</v>
      </c>
      <c r="V180" s="27">
        <f>AVERAGE(J180:U180)</f>
        <v/>
      </c>
      <c r="W180" s="28" t="n">
        <v>117</v>
      </c>
      <c r="X180" s="29" t="n">
        <v>0.975</v>
      </c>
    </row>
    <row r="181" ht="13.9" customHeight="1">
      <c r="A181" s="11" t="n">
        <v>21105050</v>
      </c>
      <c r="B181" s="22" t="inlineStr">
        <is>
          <t>CP</t>
        </is>
      </c>
      <c r="C181" s="22" t="inlineStr">
        <is>
          <t xml:space="preserve">Los Rosales </t>
        </is>
      </c>
      <c r="D181" s="22" t="inlineStr">
        <is>
          <t>Campoalegre</t>
        </is>
      </c>
      <c r="E181" s="22" t="inlineStr">
        <is>
          <t>Huila</t>
        </is>
      </c>
      <c r="F181" s="22" t="n">
        <v>4</v>
      </c>
      <c r="G181" s="22" t="n">
        <v>553</v>
      </c>
      <c r="H181" s="23" t="n">
        <v>-75.41833333</v>
      </c>
      <c r="I181" s="24" t="n">
        <v>2.60305556</v>
      </c>
      <c r="J181" s="25" t="n">
        <v>31.83039100470246</v>
      </c>
      <c r="K181" s="26" t="n">
        <v>32.03664393019871</v>
      </c>
      <c r="L181" s="26" t="n">
        <v>31.45201519401589</v>
      </c>
      <c r="M181" s="26" t="n">
        <v>31.40762068437877</v>
      </c>
      <c r="N181" s="26" t="n">
        <v>31.6388007025498</v>
      </c>
      <c r="O181" s="26" t="n">
        <v>32.02039745916515</v>
      </c>
      <c r="P181" s="26" t="n">
        <v>32.55606552222851</v>
      </c>
      <c r="Q181" s="26" t="n">
        <v>33.45745315312269</v>
      </c>
      <c r="R181" s="26" t="n">
        <v>33.86109733625251</v>
      </c>
      <c r="S181" s="26" t="n">
        <v>32.60383070302238</v>
      </c>
      <c r="T181" s="26" t="n">
        <v>30.7994754126696</v>
      </c>
      <c r="U181" s="26" t="n">
        <v>30.94451770451771</v>
      </c>
      <c r="V181" s="27">
        <f>AVERAGE(J181:U181)</f>
        <v/>
      </c>
      <c r="W181" s="28" t="n">
        <v>225</v>
      </c>
      <c r="X181" s="29" t="n">
        <v>0.9375</v>
      </c>
    </row>
    <row r="182" ht="13.9" customHeight="1">
      <c r="A182" s="11" t="n">
        <v>21145070</v>
      </c>
      <c r="B182" s="22" t="inlineStr">
        <is>
          <t>CO</t>
        </is>
      </c>
      <c r="C182" s="22" t="inlineStr">
        <is>
          <t>La Legiosa</t>
        </is>
      </c>
      <c r="D182" s="22" t="inlineStr">
        <is>
          <t>Colombia</t>
        </is>
      </c>
      <c r="E182" s="22" t="inlineStr">
        <is>
          <t>Huila</t>
        </is>
      </c>
      <c r="F182" s="22" t="n">
        <v>4</v>
      </c>
      <c r="G182" s="22" t="n">
        <v>1476</v>
      </c>
      <c r="H182" s="23" t="n">
        <v>-74.70288889</v>
      </c>
      <c r="I182" s="24" t="n">
        <v>3.31102778</v>
      </c>
      <c r="J182" s="25" t="n">
        <v>23.75927819426027</v>
      </c>
      <c r="K182" s="26" t="n">
        <v>24.08079300102107</v>
      </c>
      <c r="L182" s="26" t="n">
        <v>23.34820132415504</v>
      </c>
      <c r="M182" s="26" t="n">
        <v>22.93569040835708</v>
      </c>
      <c r="N182" s="26" t="n">
        <v>22.71624350027368</v>
      </c>
      <c r="O182" s="26" t="n">
        <v>21.18216652456739</v>
      </c>
      <c r="P182" s="26" t="n">
        <v>20.59182241215575</v>
      </c>
      <c r="Q182" s="26" t="n">
        <v>21.63423788658666</v>
      </c>
      <c r="R182" s="26" t="n">
        <v>23.22339018883416</v>
      </c>
      <c r="S182" s="26" t="n">
        <v>23.70896830625092</v>
      </c>
      <c r="T182" s="26" t="n">
        <v>23.57406425887585</v>
      </c>
      <c r="U182" s="26" t="n">
        <v>23.53190059865463</v>
      </c>
      <c r="V182" s="27">
        <f>AVERAGE(J182:U182)</f>
        <v/>
      </c>
      <c r="W182" s="28" t="n">
        <v>106</v>
      </c>
      <c r="X182" s="29" t="n">
        <v>0.8833333333333333</v>
      </c>
    </row>
    <row r="183" ht="13.9" customHeight="1">
      <c r="A183" s="11" t="n">
        <v>21145080</v>
      </c>
      <c r="B183" s="22" t="inlineStr">
        <is>
          <t>CO</t>
        </is>
      </c>
      <c r="C183" s="22" t="inlineStr">
        <is>
          <t>Santa Ana</t>
        </is>
      </c>
      <c r="D183" s="22" t="inlineStr">
        <is>
          <t>Colombia</t>
        </is>
      </c>
      <c r="E183" s="22" t="inlineStr">
        <is>
          <t>Huila</t>
        </is>
      </c>
      <c r="F183" s="22" t="n">
        <v>4</v>
      </c>
      <c r="G183" s="22" t="n">
        <v>1410</v>
      </c>
      <c r="H183" s="23" t="n">
        <v>-74.70294444</v>
      </c>
      <c r="I183" s="24" t="n">
        <v>3.58977778</v>
      </c>
      <c r="J183" s="25" t="n">
        <v>25.98982070024896</v>
      </c>
      <c r="K183" s="26" t="n">
        <v>25.94488260143432</v>
      </c>
      <c r="L183" s="26" t="n">
        <v>25.44241230997405</v>
      </c>
      <c r="M183" s="26" t="n">
        <v>24.74247619047619</v>
      </c>
      <c r="N183" s="26" t="n">
        <v>24.30415199427936</v>
      </c>
      <c r="O183" s="26" t="n">
        <v>24.1386486042693</v>
      </c>
      <c r="P183" s="26" t="n">
        <v>24.25826325546904</v>
      </c>
      <c r="Q183" s="26" t="n">
        <v>25.41233725303247</v>
      </c>
      <c r="R183" s="26" t="n">
        <v>25.89309195402299</v>
      </c>
      <c r="S183" s="26" t="n">
        <v>25.6659761051374</v>
      </c>
      <c r="T183" s="26" t="n">
        <v>24.82467925561029</v>
      </c>
      <c r="U183" s="26" t="n">
        <v>25.18622024471636</v>
      </c>
      <c r="V183" s="27">
        <f>AVERAGE(J183:U183)</f>
        <v/>
      </c>
      <c r="W183" s="28" t="n">
        <v>120</v>
      </c>
      <c r="X183" s="29" t="n">
        <v>1</v>
      </c>
    </row>
    <row r="184" ht="13.9" customHeight="1">
      <c r="A184" s="11" t="n">
        <v>21065040</v>
      </c>
      <c r="B184" s="22" t="inlineStr">
        <is>
          <t>CO</t>
        </is>
      </c>
      <c r="C184" s="22" t="inlineStr">
        <is>
          <t>Zuluaga</t>
        </is>
      </c>
      <c r="D184" s="22" t="inlineStr">
        <is>
          <t>Garzón</t>
        </is>
      </c>
      <c r="E184" s="22" t="inlineStr">
        <is>
          <t>Huila</t>
        </is>
      </c>
      <c r="F184" s="22" t="n">
        <v>4</v>
      </c>
      <c r="G184" s="22" t="n">
        <v>1270</v>
      </c>
      <c r="H184" s="23" t="n">
        <v>-75.52944443999999</v>
      </c>
      <c r="I184" s="24" t="n">
        <v>2.2525</v>
      </c>
      <c r="J184" s="25" t="n">
        <v>26.91231182795699</v>
      </c>
      <c r="K184" s="26" t="n">
        <v>27.17624692118227</v>
      </c>
      <c r="L184" s="26" t="n">
        <v>26.48181917863787</v>
      </c>
      <c r="M184" s="26" t="n">
        <v>26.15204159824849</v>
      </c>
      <c r="N184" s="26" t="n">
        <v>25.92410636156576</v>
      </c>
      <c r="O184" s="26" t="n">
        <v>25.15195219850392</v>
      </c>
      <c r="P184" s="26" t="n">
        <v>25.24188769414576</v>
      </c>
      <c r="Q184" s="26" t="n">
        <v>25.74231780167264</v>
      </c>
      <c r="R184" s="26" t="n">
        <v>26.60176529019441</v>
      </c>
      <c r="S184" s="26" t="n">
        <v>26.35890083632018</v>
      </c>
      <c r="T184" s="26" t="n">
        <v>26.22451765188834</v>
      </c>
      <c r="U184" s="26" t="n">
        <v>26.05483458987352</v>
      </c>
      <c r="V184" s="27">
        <f>AVERAGE(J184:U184)</f>
        <v/>
      </c>
      <c r="W184" s="28" t="n">
        <v>107</v>
      </c>
      <c r="X184" s="29" t="n">
        <v>0.8916666666666667</v>
      </c>
    </row>
    <row r="185" ht="13.9" customHeight="1">
      <c r="A185" s="11" t="n">
        <v>21035020</v>
      </c>
      <c r="B185" s="22" t="inlineStr">
        <is>
          <t>CO</t>
        </is>
      </c>
      <c r="C185" s="22" t="inlineStr">
        <is>
          <t>Resina</t>
        </is>
      </c>
      <c r="D185" s="22" t="inlineStr">
        <is>
          <t>Guadalupe</t>
        </is>
      </c>
      <c r="E185" s="22" t="inlineStr">
        <is>
          <t>Huila</t>
        </is>
      </c>
      <c r="F185" s="22" t="n">
        <v>4</v>
      </c>
      <c r="G185" s="22" t="n">
        <v>2102</v>
      </c>
      <c r="H185" s="23" t="n">
        <v>-75.679</v>
      </c>
      <c r="I185" s="24" t="n">
        <v>1.91388889</v>
      </c>
      <c r="J185" s="25" t="n">
        <v>20.90927120669056</v>
      </c>
      <c r="K185" s="26" t="n">
        <v>20.92109253505116</v>
      </c>
      <c r="L185" s="26" t="n">
        <v>20.9344623655914</v>
      </c>
      <c r="M185" s="26" t="n">
        <v>20.52302955665025</v>
      </c>
      <c r="N185" s="26" t="n">
        <v>20.42767821585026</v>
      </c>
      <c r="O185" s="26" t="n">
        <v>20.02918445539135</v>
      </c>
      <c r="P185" s="26" t="n">
        <v>19.01060135404222</v>
      </c>
      <c r="Q185" s="26" t="n">
        <v>19.48260019550342</v>
      </c>
      <c r="R185" s="26" t="n">
        <v>20.57498548705446</v>
      </c>
      <c r="S185" s="26" t="n">
        <v>20.61538746755654</v>
      </c>
      <c r="T185" s="26" t="n">
        <v>20.51034482758621</v>
      </c>
      <c r="U185" s="26" t="n">
        <v>20.61705811486316</v>
      </c>
      <c r="V185" s="27">
        <f>AVERAGE(J185:U185)</f>
        <v/>
      </c>
      <c r="W185" s="28" t="n">
        <v>111</v>
      </c>
      <c r="X185" s="29" t="n">
        <v>0.925</v>
      </c>
    </row>
    <row r="186" ht="13.9" customHeight="1">
      <c r="A186" s="11" t="n">
        <v>21085040</v>
      </c>
      <c r="B186" s="22" t="inlineStr">
        <is>
          <t>CO</t>
        </is>
      </c>
      <c r="C186" s="22" t="inlineStr">
        <is>
          <t>Terpeya Colombia</t>
        </is>
      </c>
      <c r="D186" s="22" t="inlineStr">
        <is>
          <t>Íquira</t>
        </is>
      </c>
      <c r="E186" s="22" t="inlineStr">
        <is>
          <t>Huila</t>
        </is>
      </c>
      <c r="F186" s="22" t="n">
        <v>4</v>
      </c>
      <c r="G186" s="22" t="n">
        <v>1650</v>
      </c>
      <c r="H186" s="23" t="n">
        <v>-75.66555556</v>
      </c>
      <c r="I186" s="24" t="n">
        <v>2.66280556</v>
      </c>
      <c r="J186" s="25" t="n">
        <v>23.02797638083587</v>
      </c>
      <c r="K186" s="26" t="n">
        <v>23.3014543815061</v>
      </c>
      <c r="L186" s="26" t="n">
        <v>23.02178348842207</v>
      </c>
      <c r="M186" s="26" t="n">
        <v>23.25615676916121</v>
      </c>
      <c r="N186" s="26" t="n">
        <v>23.30101889971356</v>
      </c>
      <c r="O186" s="26" t="n">
        <v>23.3105309550876</v>
      </c>
      <c r="P186" s="26" t="n">
        <v>23.36834444922413</v>
      </c>
      <c r="Q186" s="26" t="n">
        <v>24.15721118177028</v>
      </c>
      <c r="R186" s="26" t="n">
        <v>24.8104803717189</v>
      </c>
      <c r="S186" s="26" t="n">
        <v>23.56180855194522</v>
      </c>
      <c r="T186" s="26" t="n">
        <v>22.06689999123706</v>
      </c>
      <c r="U186" s="26" t="n">
        <v>22.19331558107018</v>
      </c>
      <c r="V186" s="27">
        <f>AVERAGE(J186:U186)</f>
        <v/>
      </c>
      <c r="W186" s="28" t="n">
        <v>282</v>
      </c>
      <c r="X186" s="29" t="n">
        <v>0.7833333333333333</v>
      </c>
    </row>
    <row r="187" ht="13.9" customHeight="1">
      <c r="A187" s="11" t="n">
        <v>21055020</v>
      </c>
      <c r="B187" s="22" t="inlineStr">
        <is>
          <t>CP</t>
        </is>
      </c>
      <c r="C187" s="22" t="inlineStr">
        <is>
          <t>Escuela Agricola La Plata</t>
        </is>
      </c>
      <c r="D187" s="22" t="inlineStr">
        <is>
          <t>La Plata</t>
        </is>
      </c>
      <c r="E187" s="22" t="inlineStr">
        <is>
          <t>Huila</t>
        </is>
      </c>
      <c r="F187" s="22" t="n">
        <v>4</v>
      </c>
      <c r="G187" s="22" t="n">
        <v>1070</v>
      </c>
      <c r="H187" s="23" t="n">
        <v>-75.89</v>
      </c>
      <c r="I187" s="24" t="n">
        <v>2.38</v>
      </c>
      <c r="J187" s="25" t="n">
        <v>28.35221445868065</v>
      </c>
      <c r="K187" s="26" t="n">
        <v>28.9750833306044</v>
      </c>
      <c r="L187" s="26" t="n">
        <v>28.43315860532454</v>
      </c>
      <c r="M187" s="26" t="n">
        <v>28.54392900002312</v>
      </c>
      <c r="N187" s="26" t="n">
        <v>28.26828744524396</v>
      </c>
      <c r="O187" s="26" t="n">
        <v>28.12008779295417</v>
      </c>
      <c r="P187" s="26" t="n">
        <v>28.15884314638931</v>
      </c>
      <c r="Q187" s="26" t="n">
        <v>28.86496531140209</v>
      </c>
      <c r="R187" s="26" t="n">
        <v>29.88980957682873</v>
      </c>
      <c r="S187" s="26" t="n">
        <v>29.60155789931652</v>
      </c>
      <c r="T187" s="26" t="n">
        <v>28.13590711346266</v>
      </c>
      <c r="U187" s="26" t="n">
        <v>28.5821976076876</v>
      </c>
      <c r="V187" s="27">
        <f>AVERAGE(J187:U187)</f>
        <v/>
      </c>
      <c r="W187" s="28" t="n">
        <v>107</v>
      </c>
      <c r="X187" s="29" t="n">
        <v>0.8916666666666667</v>
      </c>
    </row>
    <row r="188" ht="13.9" customHeight="1">
      <c r="A188" s="11" t="n">
        <v>21115020</v>
      </c>
      <c r="B188" s="22" t="inlineStr">
        <is>
          <t>SS</t>
        </is>
      </c>
      <c r="C188" s="22" t="inlineStr">
        <is>
          <t>Aeropuerto Benito Salas</t>
        </is>
      </c>
      <c r="D188" s="22" t="inlineStr">
        <is>
          <t>Neiva</t>
        </is>
      </c>
      <c r="E188" s="22" t="inlineStr">
        <is>
          <t>Huila</t>
        </is>
      </c>
      <c r="F188" s="22" t="n">
        <v>4</v>
      </c>
      <c r="G188" s="22" t="n">
        <v>439</v>
      </c>
      <c r="H188" s="23" t="n">
        <v>-75.29305556000001</v>
      </c>
      <c r="I188" s="24" t="n">
        <v>2.94875</v>
      </c>
      <c r="J188" s="25" t="n">
        <v>33.05124084231521</v>
      </c>
      <c r="K188" s="26" t="n">
        <v>33.29332101806239</v>
      </c>
      <c r="L188" s="26" t="n">
        <v>32.60015053763441</v>
      </c>
      <c r="M188" s="26" t="n">
        <v>32.46933333333333</v>
      </c>
      <c r="N188" s="26" t="n">
        <v>32.6289247311828</v>
      </c>
      <c r="O188" s="26" t="n">
        <v>33.16995402298851</v>
      </c>
      <c r="P188" s="26" t="n">
        <v>33.74225089605735</v>
      </c>
      <c r="Q188" s="26" t="n">
        <v>34.61903225806451</v>
      </c>
      <c r="R188" s="26" t="n">
        <v>34.91188888888889</v>
      </c>
      <c r="S188" s="26" t="n">
        <v>33.39827956989247</v>
      </c>
      <c r="T188" s="26" t="n">
        <v>31.67366666666667</v>
      </c>
      <c r="U188" s="26" t="n">
        <v>32.03492002608262</v>
      </c>
      <c r="V188" s="27">
        <f>AVERAGE(J188:U188)</f>
        <v/>
      </c>
      <c r="W188" s="28" t="n">
        <v>358</v>
      </c>
      <c r="X188" s="29" t="n">
        <v>0.9944444444444445</v>
      </c>
    </row>
    <row r="189" ht="13.9" customHeight="1">
      <c r="A189" s="11" t="n">
        <v>21135050</v>
      </c>
      <c r="B189" s="22" t="inlineStr">
        <is>
          <t>CO</t>
        </is>
      </c>
      <c r="C189" s="22" t="inlineStr">
        <is>
          <t>La Julia</t>
        </is>
      </c>
      <c r="D189" s="22" t="inlineStr">
        <is>
          <t>Neiva</t>
        </is>
      </c>
      <c r="E189" s="22" t="inlineStr">
        <is>
          <t>Huila</t>
        </is>
      </c>
      <c r="F189" s="22" t="n">
        <v>4</v>
      </c>
      <c r="G189" s="22" t="n">
        <v>1691</v>
      </c>
      <c r="H189" s="23" t="n">
        <v>-75.53002778</v>
      </c>
      <c r="I189" s="24" t="n">
        <v>3.09877778</v>
      </c>
      <c r="J189" s="25" t="n">
        <v>22.7540269769909</v>
      </c>
      <c r="K189" s="26" t="n">
        <v>22.88048171712024</v>
      </c>
      <c r="L189" s="26" t="n">
        <v>22.7157871962833</v>
      </c>
      <c r="M189" s="26" t="n">
        <v>22.70381795530337</v>
      </c>
      <c r="N189" s="26" t="n">
        <v>23.03293261911327</v>
      </c>
      <c r="O189" s="26" t="n">
        <v>23.24914474915706</v>
      </c>
      <c r="P189" s="26" t="n">
        <v>23.31209479912775</v>
      </c>
      <c r="Q189" s="26" t="n">
        <v>23.96317274483849</v>
      </c>
      <c r="R189" s="26" t="n">
        <v>24.23285560507728</v>
      </c>
      <c r="S189" s="26" t="n">
        <v>23.1597688825585</v>
      </c>
      <c r="T189" s="26" t="n">
        <v>22.15904711541839</v>
      </c>
      <c r="U189" s="26" t="n">
        <v>22.45679867085878</v>
      </c>
      <c r="V189" s="27">
        <f>AVERAGE(J189:U189)</f>
        <v/>
      </c>
      <c r="W189" s="28" t="n">
        <v>329</v>
      </c>
      <c r="X189" s="29" t="n">
        <v>0.9138888888888889</v>
      </c>
    </row>
    <row r="190" ht="13.9" customHeight="1">
      <c r="A190" s="11" t="n">
        <v>21115100</v>
      </c>
      <c r="B190" s="22" t="inlineStr">
        <is>
          <t>CO</t>
        </is>
      </c>
      <c r="C190" s="22" t="inlineStr">
        <is>
          <t>Palacio-Vegalarga</t>
        </is>
      </c>
      <c r="D190" s="22" t="inlineStr">
        <is>
          <t>Neiva</t>
        </is>
      </c>
      <c r="E190" s="22" t="inlineStr">
        <is>
          <t>Huila</t>
        </is>
      </c>
      <c r="F190" s="22" t="n">
        <v>4</v>
      </c>
      <c r="G190" s="22" t="n">
        <v>1100</v>
      </c>
      <c r="H190" s="23" t="n">
        <v>-75.06638889</v>
      </c>
      <c r="I190" s="24" t="n">
        <v>2.94263889</v>
      </c>
      <c r="J190" s="25" t="n">
        <v>27.26649940262844</v>
      </c>
      <c r="K190" s="26" t="n">
        <v>27.52183502604958</v>
      </c>
      <c r="L190" s="26" t="n">
        <v>26.86057347670251</v>
      </c>
      <c r="M190" s="26" t="n">
        <v>26.85777011494253</v>
      </c>
      <c r="N190" s="26" t="n">
        <v>26.81322580645161</v>
      </c>
      <c r="O190" s="26" t="n">
        <v>27.22140740740741</v>
      </c>
      <c r="P190" s="26" t="n">
        <v>27.48645902855024</v>
      </c>
      <c r="Q190" s="26" t="n">
        <v>27.90967741935484</v>
      </c>
      <c r="R190" s="26" t="n">
        <v>28.40121693121693</v>
      </c>
      <c r="S190" s="26" t="n">
        <v>27.475</v>
      </c>
      <c r="T190" s="26" t="n">
        <v>26.21715157412475</v>
      </c>
      <c r="U190" s="26" t="n">
        <v>26.52018909899889</v>
      </c>
      <c r="V190" s="27">
        <f>AVERAGE(J190:U190)</f>
        <v/>
      </c>
      <c r="W190" s="28" t="n">
        <v>109</v>
      </c>
      <c r="X190" s="29" t="n">
        <v>0.9083333333333333</v>
      </c>
    </row>
    <row r="191" ht="13.9" customHeight="1">
      <c r="A191" s="11" t="n">
        <v>21015020</v>
      </c>
      <c r="B191" s="22" t="inlineStr">
        <is>
          <t>CO</t>
        </is>
      </c>
      <c r="C191" s="22" t="inlineStr">
        <is>
          <t>Sevilla</t>
        </is>
      </c>
      <c r="D191" s="22" t="inlineStr">
        <is>
          <t>Pitalito</t>
        </is>
      </c>
      <c r="E191" s="22" t="inlineStr">
        <is>
          <t>Huila</t>
        </is>
      </c>
      <c r="F191" s="22" t="n">
        <v>4</v>
      </c>
      <c r="G191" s="22" t="n">
        <v>1320</v>
      </c>
      <c r="H191" s="23" t="n">
        <v>-76.13027778</v>
      </c>
      <c r="I191" s="24" t="n">
        <v>1.82483333</v>
      </c>
      <c r="J191" s="25" t="n">
        <v>27.04271962346351</v>
      </c>
      <c r="K191" s="26" t="n">
        <v>27.14993906411089</v>
      </c>
      <c r="L191" s="26" t="n">
        <v>26.46346719136639</v>
      </c>
      <c r="M191" s="26" t="n">
        <v>26.40033930912527</v>
      </c>
      <c r="N191" s="26" t="n">
        <v>26.01700354259539</v>
      </c>
      <c r="O191" s="26" t="n">
        <v>25.27583621121485</v>
      </c>
      <c r="P191" s="26" t="n">
        <v>24.74945018234031</v>
      </c>
      <c r="Q191" s="26" t="n">
        <v>25.08805946814581</v>
      </c>
      <c r="R191" s="26" t="n">
        <v>26.15660736590539</v>
      </c>
      <c r="S191" s="26" t="n">
        <v>26.61368295800109</v>
      </c>
      <c r="T191" s="26" t="n">
        <v>26.55392052194074</v>
      </c>
      <c r="U191" s="26" t="n">
        <v>26.60652285281379</v>
      </c>
      <c r="V191" s="27">
        <f>AVERAGE(J191:U191)</f>
        <v/>
      </c>
      <c r="W191" s="28" t="n">
        <v>334</v>
      </c>
      <c r="X191" s="29" t="n">
        <v>0.9277777777777778</v>
      </c>
    </row>
    <row r="192" ht="13.9" customHeight="1">
      <c r="A192" s="11" t="n">
        <v>21015030</v>
      </c>
      <c r="B192" s="22" t="inlineStr">
        <is>
          <t>PM</t>
        </is>
      </c>
      <c r="C192" s="22" t="inlineStr">
        <is>
          <t>Parque Arqueológico</t>
        </is>
      </c>
      <c r="D192" s="22" t="inlineStr">
        <is>
          <t>San Agustín</t>
        </is>
      </c>
      <c r="E192" s="22" t="inlineStr">
        <is>
          <t>Huila</t>
        </is>
      </c>
      <c r="F192" s="22" t="n">
        <v>4</v>
      </c>
      <c r="G192" s="22" t="n">
        <v>1800</v>
      </c>
      <c r="H192" s="23" t="n">
        <v>-76.29497222000001</v>
      </c>
      <c r="I192" s="24" t="n">
        <v>1.88847222</v>
      </c>
      <c r="J192" s="25" t="n">
        <v>24.58583652618136</v>
      </c>
      <c r="K192" s="26" t="n">
        <v>24.5995558081765</v>
      </c>
      <c r="L192" s="26" t="n">
        <v>23.98631281544876</v>
      </c>
      <c r="M192" s="26" t="n">
        <v>23.85746115953013</v>
      </c>
      <c r="N192" s="26" t="n">
        <v>23.32642679900744</v>
      </c>
      <c r="O192" s="26" t="n">
        <v>22.26841229297169</v>
      </c>
      <c r="P192" s="26" t="n">
        <v>21.52846941588878</v>
      </c>
      <c r="Q192" s="26" t="n">
        <v>22.16432357098263</v>
      </c>
      <c r="R192" s="26" t="n">
        <v>23.52267126436781</v>
      </c>
      <c r="S192" s="26" t="n">
        <v>24.23607134255354</v>
      </c>
      <c r="T192" s="26" t="n">
        <v>24.23139685847814</v>
      </c>
      <c r="U192" s="26" t="n">
        <v>24.36474929467433</v>
      </c>
      <c r="V192" s="27">
        <f>AVERAGE(J192:U192)</f>
        <v/>
      </c>
      <c r="W192" s="28" t="n">
        <v>322</v>
      </c>
      <c r="X192" s="29" t="n">
        <v>0.8944444444444445</v>
      </c>
    </row>
    <row r="193" ht="13.9" customHeight="1">
      <c r="A193" s="11" t="n">
        <v>21125010</v>
      </c>
      <c r="B193" s="22" t="inlineStr">
        <is>
          <t>CO</t>
        </is>
      </c>
      <c r="C193" s="22" t="inlineStr">
        <is>
          <t>Santa María</t>
        </is>
      </c>
      <c r="D193" s="22" t="inlineStr">
        <is>
          <t>Santa María</t>
        </is>
      </c>
      <c r="E193" s="22" t="inlineStr">
        <is>
          <t>Huila</t>
        </is>
      </c>
      <c r="F193" s="22" t="n">
        <v>4</v>
      </c>
      <c r="G193" s="22" t="n">
        <v>1300</v>
      </c>
      <c r="H193" s="23" t="n">
        <v>-75.58905556000001</v>
      </c>
      <c r="I193" s="24" t="n">
        <v>2.93569444</v>
      </c>
      <c r="J193" s="25" t="n">
        <v>25.96093515803193</v>
      </c>
      <c r="K193" s="26" t="n">
        <v>26.12261510982401</v>
      </c>
      <c r="L193" s="26" t="n">
        <v>25.93121161024943</v>
      </c>
      <c r="M193" s="26" t="n">
        <v>25.91809539613587</v>
      </c>
      <c r="N193" s="26" t="n">
        <v>26.16046594982078</v>
      </c>
      <c r="O193" s="26" t="n">
        <v>26.18341886026683</v>
      </c>
      <c r="P193" s="26" t="n">
        <v>26.41835975157582</v>
      </c>
      <c r="Q193" s="26" t="n">
        <v>27.06561497960697</v>
      </c>
      <c r="R193" s="26" t="n">
        <v>27.53672216336277</v>
      </c>
      <c r="S193" s="26" t="n">
        <v>26.30820842680396</v>
      </c>
      <c r="T193" s="26" t="n">
        <v>25.33004215611975</v>
      </c>
      <c r="U193" s="26" t="n">
        <v>25.59687665595284</v>
      </c>
      <c r="V193" s="27">
        <f>AVERAGE(J193:U193)</f>
        <v/>
      </c>
      <c r="W193" s="28" t="n">
        <v>284</v>
      </c>
      <c r="X193" s="29" t="n">
        <v>0.7888888888888889</v>
      </c>
    </row>
    <row r="194" ht="13.9" customHeight="1">
      <c r="A194" s="11" t="n">
        <v>21035040</v>
      </c>
      <c r="B194" s="22" t="inlineStr">
        <is>
          <t>CO</t>
        </is>
      </c>
      <c r="C194" s="22" t="inlineStr">
        <is>
          <t>El Líbano</t>
        </is>
      </c>
      <c r="D194" s="22" t="inlineStr">
        <is>
          <t>Suaza</t>
        </is>
      </c>
      <c r="E194" s="22" t="inlineStr">
        <is>
          <t>Huila</t>
        </is>
      </c>
      <c r="F194" s="22" t="n">
        <v>4</v>
      </c>
      <c r="G194" s="22" t="n">
        <v>1045</v>
      </c>
      <c r="H194" s="23" t="n">
        <v>-75.83</v>
      </c>
      <c r="I194" s="24" t="n">
        <v>1.87</v>
      </c>
      <c r="J194" s="25" t="n">
        <v>28.59070883092518</v>
      </c>
      <c r="K194" s="26" t="n">
        <v>28.44556533841638</v>
      </c>
      <c r="L194" s="26" t="n">
        <v>27.97734304370691</v>
      </c>
      <c r="M194" s="26" t="n">
        <v>27.7664155818916</v>
      </c>
      <c r="N194" s="26" t="n">
        <v>27.50558311416587</v>
      </c>
      <c r="O194" s="26" t="n">
        <v>27.31649007620732</v>
      </c>
      <c r="P194" s="26" t="n">
        <v>26.9821738569921</v>
      </c>
      <c r="Q194" s="26" t="n">
        <v>27.26696740960274</v>
      </c>
      <c r="R194" s="26" t="n">
        <v>27.92071406146743</v>
      </c>
      <c r="S194" s="26" t="n">
        <v>27.95798595413341</v>
      </c>
      <c r="T194" s="26" t="n">
        <v>27.98965081048664</v>
      </c>
      <c r="U194" s="26" t="n">
        <v>28.19218726839345</v>
      </c>
      <c r="V194" s="27">
        <f>AVERAGE(J194:U194)</f>
        <v/>
      </c>
      <c r="W194" s="28" t="n">
        <v>303</v>
      </c>
      <c r="X194" s="29" t="n">
        <v>0.8416666666666667</v>
      </c>
    </row>
    <row r="195" ht="13.9" customHeight="1">
      <c r="A195" s="11" t="n">
        <v>21115060</v>
      </c>
      <c r="B195" s="22" t="inlineStr">
        <is>
          <t>CO</t>
        </is>
      </c>
      <c r="C195" s="22" t="inlineStr">
        <is>
          <t>San José</t>
        </is>
      </c>
      <c r="D195" s="22" t="inlineStr">
        <is>
          <t>Villavieja</t>
        </is>
      </c>
      <c r="E195" s="22" t="inlineStr">
        <is>
          <t>Huila</t>
        </is>
      </c>
      <c r="F195" s="22" t="n">
        <v>4</v>
      </c>
      <c r="G195" s="22" t="n">
        <v>400</v>
      </c>
      <c r="H195" s="23" t="n">
        <v>-75.18405556</v>
      </c>
      <c r="I195" s="24" t="n">
        <v>3.32922222</v>
      </c>
      <c r="J195" s="25" t="n">
        <v>33.43918489679891</v>
      </c>
      <c r="K195" s="26" t="n">
        <v>33.90122885679667</v>
      </c>
      <c r="L195" s="26" t="n">
        <v>33.04472147182936</v>
      </c>
      <c r="M195" s="26" t="n">
        <v>32.82942194246792</v>
      </c>
      <c r="N195" s="26" t="n">
        <v>33.00648217867907</v>
      </c>
      <c r="O195" s="26" t="n">
        <v>33.79428137762621</v>
      </c>
      <c r="P195" s="26" t="n">
        <v>34.53531794518668</v>
      </c>
      <c r="Q195" s="26" t="n">
        <v>35.44993592527852</v>
      </c>
      <c r="R195" s="26" t="n">
        <v>35.54170400778446</v>
      </c>
      <c r="S195" s="26" t="n">
        <v>33.81511072110302</v>
      </c>
      <c r="T195" s="26" t="n">
        <v>31.69367378215654</v>
      </c>
      <c r="U195" s="26" t="n">
        <v>32.17567917517603</v>
      </c>
      <c r="V195" s="27">
        <f>AVERAGE(J195:U195)</f>
        <v/>
      </c>
      <c r="W195" s="28" t="n">
        <v>360</v>
      </c>
      <c r="X195" s="29" t="n">
        <v>1</v>
      </c>
    </row>
    <row r="196" ht="13.9" customHeight="1">
      <c r="A196" s="11" t="n">
        <v>21115080</v>
      </c>
      <c r="B196" s="22" t="inlineStr">
        <is>
          <t>CO</t>
        </is>
      </c>
      <c r="C196" s="22" t="inlineStr">
        <is>
          <t>Villavieja FFCC</t>
        </is>
      </c>
      <c r="D196" s="22" t="inlineStr">
        <is>
          <t>Villavieja</t>
        </is>
      </c>
      <c r="E196" s="22" t="inlineStr">
        <is>
          <t>Huila</t>
        </is>
      </c>
      <c r="F196" s="22" t="n">
        <v>4</v>
      </c>
      <c r="G196" s="22" t="n">
        <v>430</v>
      </c>
      <c r="H196" s="23" t="n">
        <v>-75.2475</v>
      </c>
      <c r="I196" s="24" t="n">
        <v>3.18305556</v>
      </c>
      <c r="J196" s="25" t="n">
        <v>34.24717005520537</v>
      </c>
      <c r="K196" s="26" t="n">
        <v>34.40220787974621</v>
      </c>
      <c r="L196" s="26" t="n">
        <v>33.57655590732344</v>
      </c>
      <c r="M196" s="26" t="n">
        <v>33.16781271129141</v>
      </c>
      <c r="N196" s="26" t="n">
        <v>33.45436479490243</v>
      </c>
      <c r="O196" s="26" t="n">
        <v>34.24992369361537</v>
      </c>
      <c r="P196" s="26" t="n">
        <v>34.99525027808677</v>
      </c>
      <c r="Q196" s="26" t="n">
        <v>35.95913345983554</v>
      </c>
      <c r="R196" s="26" t="n">
        <v>36.05278843660877</v>
      </c>
      <c r="S196" s="26" t="n">
        <v>34.40609466442029</v>
      </c>
      <c r="T196" s="26" t="n">
        <v>32.64591737965603</v>
      </c>
      <c r="U196" s="26" t="n">
        <v>32.94093246668051</v>
      </c>
      <c r="V196" s="27">
        <f>AVERAGE(J196:U196)</f>
        <v/>
      </c>
      <c r="W196" s="28" t="n">
        <v>214</v>
      </c>
      <c r="X196" s="29" t="n">
        <v>0.8916666666666667</v>
      </c>
    </row>
    <row r="197" ht="13.9" customHeight="1">
      <c r="A197" s="11" t="n">
        <v>15065501</v>
      </c>
      <c r="B197" s="22" t="inlineStr">
        <is>
          <t>CP</t>
        </is>
      </c>
      <c r="C197" s="22" t="inlineStr">
        <is>
          <t xml:space="preserve">La Mina Cerrejón  - AUT </t>
        </is>
      </c>
      <c r="D197" s="22" t="inlineStr">
        <is>
          <t xml:space="preserve">Albania </t>
        </is>
      </c>
      <c r="E197" s="22" t="inlineStr">
        <is>
          <t>La Guajira</t>
        </is>
      </c>
      <c r="F197" s="22" t="n">
        <v>5</v>
      </c>
      <c r="G197" s="22" t="n">
        <v>80</v>
      </c>
      <c r="H197" s="23" t="n">
        <v>-72.61594443999999</v>
      </c>
      <c r="I197" s="24" t="n">
        <v>11.13758333</v>
      </c>
      <c r="J197" s="25" t="n">
        <v>32.25319935983293</v>
      </c>
      <c r="K197" s="26" t="n">
        <v>32.87866011879422</v>
      </c>
      <c r="L197" s="26" t="n">
        <v>33.66172646477947</v>
      </c>
      <c r="M197" s="26" t="n">
        <v>34.23508727117922</v>
      </c>
      <c r="N197" s="26" t="n">
        <v>34.24898101064675</v>
      </c>
      <c r="O197" s="26" t="n">
        <v>34.58552721088436</v>
      </c>
      <c r="P197" s="26" t="n">
        <v>35.12670745272526</v>
      </c>
      <c r="Q197" s="26" t="n">
        <v>35.59564612021019</v>
      </c>
      <c r="R197" s="26" t="n">
        <v>34.60337743373211</v>
      </c>
      <c r="S197" s="26" t="n">
        <v>33.12451444815227</v>
      </c>
      <c r="T197" s="26" t="n">
        <v>32.11093518869381</v>
      </c>
      <c r="U197" s="26" t="n">
        <v>31.79032897765934</v>
      </c>
      <c r="V197" s="27">
        <f>AVERAGE(J197:U197)</f>
        <v/>
      </c>
      <c r="W197" s="28" t="n">
        <v>330</v>
      </c>
      <c r="X197" s="29" t="n">
        <v>0.9166666666666666</v>
      </c>
    </row>
    <row r="198" ht="13.9" customHeight="1">
      <c r="A198" s="11" t="n">
        <v>15035020</v>
      </c>
      <c r="B198" s="22" t="inlineStr">
        <is>
          <t>CO</t>
        </is>
      </c>
      <c r="C198" s="22" t="inlineStr">
        <is>
          <t>Termoguajira -AUT</t>
        </is>
      </c>
      <c r="D198" s="22" t="inlineStr">
        <is>
          <t>Dibulla</t>
        </is>
      </c>
      <c r="E198" s="22" t="inlineStr">
        <is>
          <t>La Guajira</t>
        </is>
      </c>
      <c r="F198" s="22" t="n">
        <v>5</v>
      </c>
      <c r="G198" s="22" t="n">
        <v>5</v>
      </c>
      <c r="H198" s="23" t="n">
        <v>-73.41138889</v>
      </c>
      <c r="I198" s="24" t="n">
        <v>11.2525</v>
      </c>
      <c r="J198" s="25" t="n">
        <v>30.83606451612903</v>
      </c>
      <c r="K198" s="26" t="n">
        <v>30.89626847290641</v>
      </c>
      <c r="L198" s="26" t="n">
        <v>30.32031844499587</v>
      </c>
      <c r="M198" s="26" t="n">
        <v>30.59353001277139</v>
      </c>
      <c r="N198" s="26" t="n">
        <v>31.29341696535245</v>
      </c>
      <c r="O198" s="26" t="n">
        <v>32.31849014778324</v>
      </c>
      <c r="P198" s="26" t="n">
        <v>32.90337152391546</v>
      </c>
      <c r="Q198" s="26" t="n">
        <v>32.45353378468074</v>
      </c>
      <c r="R198" s="26" t="n">
        <v>31.34392169062667</v>
      </c>
      <c r="S198" s="26" t="n">
        <v>30.76738052568698</v>
      </c>
      <c r="T198" s="26" t="n">
        <v>31.09416445623342</v>
      </c>
      <c r="U198" s="26" t="n">
        <v>30.62177419354839</v>
      </c>
      <c r="V198" s="27">
        <f>AVERAGE(J198:U198)</f>
        <v/>
      </c>
      <c r="W198" s="28" t="n">
        <v>111</v>
      </c>
      <c r="X198" s="29" t="n">
        <v>0.925</v>
      </c>
    </row>
    <row r="199" ht="13.9" customHeight="1">
      <c r="A199" s="11" t="n">
        <v>15075030</v>
      </c>
      <c r="B199" s="22" t="inlineStr">
        <is>
          <t>CP</t>
        </is>
      </c>
      <c r="C199" s="22" t="inlineStr">
        <is>
          <t>Manaure</t>
        </is>
      </c>
      <c r="D199" s="22" t="inlineStr">
        <is>
          <t>Manaure</t>
        </is>
      </c>
      <c r="E199" s="22" t="inlineStr">
        <is>
          <t>La Guajira</t>
        </is>
      </c>
      <c r="F199" s="22" t="n">
        <v>5</v>
      </c>
      <c r="G199" s="22" t="n">
        <v>1</v>
      </c>
      <c r="H199" s="23" t="n">
        <v>-72.4635</v>
      </c>
      <c r="I199" s="24" t="n">
        <v>11.78105556</v>
      </c>
      <c r="J199" s="25" t="n">
        <v>33.10056991050002</v>
      </c>
      <c r="K199" s="26" t="n">
        <v>33.14609913936638</v>
      </c>
      <c r="L199" s="26" t="n">
        <v>33.12663946615189</v>
      </c>
      <c r="M199" s="26" t="n">
        <v>33.79170463122349</v>
      </c>
      <c r="N199" s="26" t="n">
        <v>34.13471109309263</v>
      </c>
      <c r="O199" s="26" t="n">
        <v>35.59495804976633</v>
      </c>
      <c r="P199" s="26" t="n">
        <v>35.90470338389827</v>
      </c>
      <c r="Q199" s="26" t="n">
        <v>35.59980640967919</v>
      </c>
      <c r="R199" s="26" t="n">
        <v>34.78786103005671</v>
      </c>
      <c r="S199" s="26" t="n">
        <v>33.87222214806575</v>
      </c>
      <c r="T199" s="26" t="n">
        <v>33.41117315245942</v>
      </c>
      <c r="U199" s="26" t="n">
        <v>33.54674582146009</v>
      </c>
      <c r="V199" s="27">
        <f>AVERAGE(J199:U199)</f>
        <v/>
      </c>
      <c r="W199" s="28" t="n">
        <v>306</v>
      </c>
      <c r="X199" s="29" t="n">
        <v>0.85</v>
      </c>
    </row>
    <row r="200" ht="13.9" customHeight="1">
      <c r="A200" s="11" t="n">
        <v>15065180</v>
      </c>
      <c r="B200" s="22" t="inlineStr">
        <is>
          <t>SP</t>
        </is>
      </c>
      <c r="C200" s="22" t="inlineStr">
        <is>
          <t xml:space="preserve">Aeropuerto Almirante Padilla </t>
        </is>
      </c>
      <c r="D200" s="22" t="inlineStr">
        <is>
          <t>Riohacha</t>
        </is>
      </c>
      <c r="E200" s="22" t="inlineStr">
        <is>
          <t>La Guajira</t>
        </is>
      </c>
      <c r="F200" s="22" t="n">
        <v>5</v>
      </c>
      <c r="G200" s="22" t="n">
        <v>4</v>
      </c>
      <c r="H200" s="23" t="n">
        <v>-72.91766666999999</v>
      </c>
      <c r="I200" s="24" t="n">
        <v>11.52961111</v>
      </c>
      <c r="J200" s="25" t="n">
        <v>32.45657684390652</v>
      </c>
      <c r="K200" s="26" t="n">
        <v>32.61222597645011</v>
      </c>
      <c r="L200" s="26" t="n">
        <v>32.60604046067815</v>
      </c>
      <c r="M200" s="26" t="n">
        <v>33.20134920634921</v>
      </c>
      <c r="N200" s="26" t="n">
        <v>33.77632784831167</v>
      </c>
      <c r="O200" s="26" t="n">
        <v>34.81114546175188</v>
      </c>
      <c r="P200" s="26" t="n">
        <v>35.38023822766036</v>
      </c>
      <c r="Q200" s="26" t="n">
        <v>35.03794703305456</v>
      </c>
      <c r="R200" s="26" t="n">
        <v>33.75991221422256</v>
      </c>
      <c r="S200" s="26" t="n">
        <v>32.78596435570891</v>
      </c>
      <c r="T200" s="26" t="n">
        <v>32.2667938332421</v>
      </c>
      <c r="U200" s="26" t="n">
        <v>32.30782397107898</v>
      </c>
      <c r="V200" s="27">
        <f>AVERAGE(J200:U200)</f>
        <v/>
      </c>
      <c r="W200" s="28" t="n">
        <v>327</v>
      </c>
      <c r="X200" s="29" t="n">
        <v>0.9083333333333333</v>
      </c>
    </row>
    <row r="201" ht="13.9" customHeight="1">
      <c r="A201" s="11" t="n">
        <v>15075501</v>
      </c>
      <c r="B201" s="22" t="inlineStr">
        <is>
          <t>CP</t>
        </is>
      </c>
      <c r="C201" s="12" t="inlineStr">
        <is>
          <t xml:space="preserve">Aeropuerto Puerto Bolívar  - AUT </t>
        </is>
      </c>
      <c r="D201" s="22" t="inlineStr">
        <is>
          <t>Uribia</t>
        </is>
      </c>
      <c r="E201" s="22" t="inlineStr">
        <is>
          <t>La Guajira</t>
        </is>
      </c>
      <c r="F201" s="22" t="n">
        <v>5</v>
      </c>
      <c r="G201" s="22" t="n">
        <v>10</v>
      </c>
      <c r="H201" s="23" t="n">
        <v>-71.98288889</v>
      </c>
      <c r="I201" s="24" t="n">
        <v>12.22430556</v>
      </c>
      <c r="J201" s="25" t="n">
        <v>31.69300353774956</v>
      </c>
      <c r="K201" s="26" t="n">
        <v>32.08418847601478</v>
      </c>
      <c r="L201" s="26" t="n">
        <v>32.41289542659148</v>
      </c>
      <c r="M201" s="26" t="n">
        <v>33.18878291149991</v>
      </c>
      <c r="N201" s="26" t="n">
        <v>33.85150480741878</v>
      </c>
      <c r="O201" s="26" t="n">
        <v>34.45786371100164</v>
      </c>
      <c r="P201" s="26" t="n">
        <v>34.52697484384358</v>
      </c>
      <c r="Q201" s="26" t="n">
        <v>34.77791623261589</v>
      </c>
      <c r="R201" s="26" t="n">
        <v>34.19358845709421</v>
      </c>
      <c r="S201" s="26" t="n">
        <v>33.16127734519837</v>
      </c>
      <c r="T201" s="26" t="n">
        <v>32.34009602194787</v>
      </c>
      <c r="U201" s="26" t="n">
        <v>31.95024246299016</v>
      </c>
      <c r="V201" s="27">
        <f>AVERAGE(J201:U201)</f>
        <v/>
      </c>
      <c r="W201" s="28" t="n">
        <v>327</v>
      </c>
      <c r="X201" s="29" t="n">
        <v>0.9083333333333333</v>
      </c>
    </row>
    <row r="202" ht="13.9" customHeight="1">
      <c r="A202" s="11" t="n">
        <v>15085020</v>
      </c>
      <c r="B202" s="22" t="inlineStr">
        <is>
          <t>CP</t>
        </is>
      </c>
      <c r="C202" s="22" t="inlineStr">
        <is>
          <t>Nazareth</t>
        </is>
      </c>
      <c r="D202" s="22" t="inlineStr">
        <is>
          <t>Uribia</t>
        </is>
      </c>
      <c r="E202" s="22" t="inlineStr">
        <is>
          <t>La Guajira</t>
        </is>
      </c>
      <c r="F202" s="22" t="n">
        <v>5</v>
      </c>
      <c r="G202" s="22" t="n">
        <v>85</v>
      </c>
      <c r="H202" s="23" t="n">
        <v>-71.28388889</v>
      </c>
      <c r="I202" s="24" t="n">
        <v>12.17888889</v>
      </c>
      <c r="J202" s="25" t="n">
        <v>30.23844117955645</v>
      </c>
      <c r="K202" s="26" t="n">
        <v>30.9036063936064</v>
      </c>
      <c r="L202" s="26" t="n">
        <v>31.29852193207033</v>
      </c>
      <c r="M202" s="26" t="n">
        <v>31.77739369570403</v>
      </c>
      <c r="N202" s="26" t="n">
        <v>32.30159451005058</v>
      </c>
      <c r="O202" s="26" t="n">
        <v>32.95460136415308</v>
      </c>
      <c r="P202" s="26" t="n">
        <v>33.28018030543593</v>
      </c>
      <c r="Q202" s="26" t="n">
        <v>33.98996710101171</v>
      </c>
      <c r="R202" s="26" t="n">
        <v>33.6464801061008</v>
      </c>
      <c r="S202" s="26" t="n">
        <v>32.67095218809123</v>
      </c>
      <c r="T202" s="26" t="n">
        <v>31.16579305042906</v>
      </c>
      <c r="U202" s="26" t="n">
        <v>30.40115496868723</v>
      </c>
      <c r="V202" s="27">
        <f>AVERAGE(J202:U202)</f>
        <v/>
      </c>
      <c r="W202" s="28" t="n">
        <v>114</v>
      </c>
      <c r="X202" s="29" t="n">
        <v>0.95</v>
      </c>
    </row>
    <row r="203" ht="13.9" customHeight="1">
      <c r="A203" s="11" t="n">
        <v>15085040</v>
      </c>
      <c r="B203" s="22" t="inlineStr">
        <is>
          <t>CO</t>
        </is>
      </c>
      <c r="C203" s="22" t="inlineStr">
        <is>
          <t>Rancho Grande</t>
        </is>
      </c>
      <c r="D203" s="22" t="inlineStr">
        <is>
          <t>Uribia</t>
        </is>
      </c>
      <c r="E203" s="22" t="inlineStr">
        <is>
          <t>La Guajira</t>
        </is>
      </c>
      <c r="F203" s="22" t="n">
        <v>5</v>
      </c>
      <c r="G203" s="22" t="n">
        <v>50</v>
      </c>
      <c r="H203" s="23" t="n">
        <v>-71.83305556000001</v>
      </c>
      <c r="I203" s="24" t="n">
        <v>11.68605556</v>
      </c>
      <c r="J203" s="25" t="n">
        <v>32.05750696933492</v>
      </c>
      <c r="K203" s="26" t="n">
        <v>32.47222955134833</v>
      </c>
      <c r="L203" s="26" t="n">
        <v>33.05234512970516</v>
      </c>
      <c r="M203" s="26" t="n">
        <v>33.77094768942059</v>
      </c>
      <c r="N203" s="26" t="n">
        <v>34.03433179723502</v>
      </c>
      <c r="O203" s="26" t="n">
        <v>34.43802469135802</v>
      </c>
      <c r="P203" s="26" t="n">
        <v>34.72779156327544</v>
      </c>
      <c r="Q203" s="26" t="n">
        <v>34.9196129032258</v>
      </c>
      <c r="R203" s="26" t="n">
        <v>34.10435930183057</v>
      </c>
      <c r="S203" s="26" t="n">
        <v>32.82295285359802</v>
      </c>
      <c r="T203" s="26" t="n">
        <v>32.47638995317156</v>
      </c>
      <c r="U203" s="26" t="n">
        <v>32.18883900304368</v>
      </c>
      <c r="V203" s="27">
        <f>AVERAGE(J203:U203)</f>
        <v/>
      </c>
      <c r="W203" s="28" t="n">
        <v>321</v>
      </c>
      <c r="X203" s="29" t="n">
        <v>0.8916666666666667</v>
      </c>
    </row>
    <row r="204" ht="13.9" customHeight="1">
      <c r="A204" s="11" t="n">
        <v>28015070</v>
      </c>
      <c r="B204" s="22" t="inlineStr">
        <is>
          <t>CO</t>
        </is>
      </c>
      <c r="C204" s="22" t="inlineStr">
        <is>
          <t>Urumita</t>
        </is>
      </c>
      <c r="D204" s="22" t="inlineStr">
        <is>
          <t>Urumita</t>
        </is>
      </c>
      <c r="E204" s="22" t="inlineStr">
        <is>
          <t>La Guajira</t>
        </is>
      </c>
      <c r="F204" s="22" t="n">
        <v>5</v>
      </c>
      <c r="G204" s="22" t="n">
        <v>255</v>
      </c>
      <c r="H204" s="23" t="n">
        <v>-73.01638889</v>
      </c>
      <c r="I204" s="24" t="n">
        <v>10.56638889</v>
      </c>
      <c r="J204" s="25" t="n">
        <v>33.81037284225271</v>
      </c>
      <c r="K204" s="26" t="n">
        <v>35.14431610024713</v>
      </c>
      <c r="L204" s="26" t="n">
        <v>35.43940015655254</v>
      </c>
      <c r="M204" s="26" t="n">
        <v>35.08944510855682</v>
      </c>
      <c r="N204" s="26" t="n">
        <v>33.5858938738516</v>
      </c>
      <c r="O204" s="26" t="n">
        <v>33.76806590038314</v>
      </c>
      <c r="P204" s="26" t="n">
        <v>34.90296507230256</v>
      </c>
      <c r="Q204" s="26" t="n">
        <v>34.44700627796701</v>
      </c>
      <c r="R204" s="26" t="n">
        <v>33.36303358572037</v>
      </c>
      <c r="S204" s="26" t="n">
        <v>32.34774846125324</v>
      </c>
      <c r="T204" s="26" t="n">
        <v>31.89780309845077</v>
      </c>
      <c r="U204" s="26" t="n">
        <v>32.57618063280188</v>
      </c>
      <c r="V204" s="27">
        <f>AVERAGE(J204:U204)</f>
        <v/>
      </c>
      <c r="W204" s="28" t="n">
        <v>294</v>
      </c>
      <c r="X204" s="29" t="n">
        <v>0.8166666666666667</v>
      </c>
    </row>
    <row r="205" ht="13.9" customHeight="1">
      <c r="A205" s="11" t="n">
        <v>15015020</v>
      </c>
      <c r="B205" s="22" t="inlineStr">
        <is>
          <t>CO</t>
        </is>
      </c>
      <c r="C205" s="22" t="inlineStr">
        <is>
          <t xml:space="preserve">La Ye </t>
        </is>
      </c>
      <c r="D205" s="22" t="inlineStr">
        <is>
          <t>Ciénaga</t>
        </is>
      </c>
      <c r="E205" s="22" t="inlineStr">
        <is>
          <t>Magdalena</t>
        </is>
      </c>
      <c r="F205" s="22" t="n">
        <v>5</v>
      </c>
      <c r="G205" s="22" t="n">
        <v>20</v>
      </c>
      <c r="H205" s="23" t="n">
        <v>-74.21113889</v>
      </c>
      <c r="I205" s="24" t="n">
        <v>10.99241667</v>
      </c>
      <c r="J205" s="25" t="n">
        <v>33.27709677419355</v>
      </c>
      <c r="K205" s="26" t="n">
        <v>33.59580277321657</v>
      </c>
      <c r="L205" s="26" t="n">
        <v>33.80852354467928</v>
      </c>
      <c r="M205" s="26" t="n">
        <v>34.15242528735633</v>
      </c>
      <c r="N205" s="26" t="n">
        <v>33.62438709677419</v>
      </c>
      <c r="O205" s="26" t="n">
        <v>33.54179310344827</v>
      </c>
      <c r="P205" s="26" t="n">
        <v>33.48223655913979</v>
      </c>
      <c r="Q205" s="26" t="n">
        <v>33.29012903225807</v>
      </c>
      <c r="R205" s="26" t="n">
        <v>32.94206896551724</v>
      </c>
      <c r="S205" s="26" t="n">
        <v>32.66812903225806</v>
      </c>
      <c r="T205" s="26" t="n">
        <v>32.59658045977012</v>
      </c>
      <c r="U205" s="26" t="n">
        <v>32.73806451612903</v>
      </c>
      <c r="V205" s="27">
        <f>AVERAGE(J205:U205)</f>
        <v/>
      </c>
      <c r="W205" s="28" t="n">
        <v>118</v>
      </c>
      <c r="X205" s="29" t="n">
        <v>0.9833333333333333</v>
      </c>
    </row>
    <row r="206" ht="13.9" customHeight="1">
      <c r="A206" s="11" t="n">
        <v>25025090</v>
      </c>
      <c r="B206" s="22" t="inlineStr">
        <is>
          <t>CP</t>
        </is>
      </c>
      <c r="C206" s="22" t="inlineStr">
        <is>
          <t>Aeropuerto Las Flores</t>
        </is>
      </c>
      <c r="D206" s="22" t="inlineStr">
        <is>
          <t>El Banco</t>
        </is>
      </c>
      <c r="E206" s="22" t="inlineStr">
        <is>
          <t>Magdalena</t>
        </is>
      </c>
      <c r="F206" s="22" t="n">
        <v>5</v>
      </c>
      <c r="G206" s="22" t="n">
        <v>34</v>
      </c>
      <c r="H206" s="23" t="n">
        <v>-73.97083332999999</v>
      </c>
      <c r="I206" s="24" t="n">
        <v>9.046333330000001</v>
      </c>
      <c r="J206" s="25" t="n">
        <v>33.9403171591217</v>
      </c>
      <c r="K206" s="26" t="n">
        <v>35.02994623136611</v>
      </c>
      <c r="L206" s="26" t="n">
        <v>35.03703206344572</v>
      </c>
      <c r="M206" s="26" t="n">
        <v>34.19639537747467</v>
      </c>
      <c r="N206" s="26" t="n">
        <v>33.36508385385471</v>
      </c>
      <c r="O206" s="26" t="n">
        <v>33.53464168083043</v>
      </c>
      <c r="P206" s="26" t="n">
        <v>34.01079928315412</v>
      </c>
      <c r="Q206" s="26" t="n">
        <v>33.54389857042806</v>
      </c>
      <c r="R206" s="26" t="n">
        <v>33.02083851990545</v>
      </c>
      <c r="S206" s="26" t="n">
        <v>32.58710011051567</v>
      </c>
      <c r="T206" s="26" t="n">
        <v>32.53042949113679</v>
      </c>
      <c r="U206" s="26" t="n">
        <v>33.28121442125236</v>
      </c>
      <c r="V206" s="27">
        <f>AVERAGE(J206:U206)</f>
        <v/>
      </c>
      <c r="W206" s="28" t="n">
        <v>211</v>
      </c>
      <c r="X206" s="29" t="n">
        <v>0.8791666666666667</v>
      </c>
    </row>
    <row r="207" ht="13.9" customHeight="1">
      <c r="A207" s="11" t="n">
        <v>29065000</v>
      </c>
      <c r="B207" s="22" t="inlineStr">
        <is>
          <t>CP</t>
        </is>
      </c>
      <c r="C207" s="22" t="inlineStr">
        <is>
          <t xml:space="preserve">Media Luna - AUT </t>
        </is>
      </c>
      <c r="D207" s="22" t="inlineStr">
        <is>
          <t>Pivijai</t>
        </is>
      </c>
      <c r="E207" s="22" t="inlineStr">
        <is>
          <t>Magdalena</t>
        </is>
      </c>
      <c r="F207" s="22" t="n">
        <v>5</v>
      </c>
      <c r="G207" s="22" t="n">
        <v>20</v>
      </c>
      <c r="H207" s="23" t="n">
        <v>-74.50666667</v>
      </c>
      <c r="I207" s="24" t="n">
        <v>10.51002778</v>
      </c>
      <c r="J207" s="25" t="n">
        <v>34.49507981243943</v>
      </c>
      <c r="K207" s="26" t="n">
        <v>35.26482207896639</v>
      </c>
      <c r="L207" s="26" t="n">
        <v>35.8178088136338</v>
      </c>
      <c r="M207" s="26" t="n">
        <v>35.72670771005131</v>
      </c>
      <c r="N207" s="26" t="n">
        <v>34.70301057394536</v>
      </c>
      <c r="O207" s="26" t="n">
        <v>34.45242314943465</v>
      </c>
      <c r="P207" s="26" t="n">
        <v>34.56114449678122</v>
      </c>
      <c r="Q207" s="26" t="n">
        <v>34.52268227529073</v>
      </c>
      <c r="R207" s="26" t="n">
        <v>33.88168715703199</v>
      </c>
      <c r="S207" s="26" t="n">
        <v>33.28907813502364</v>
      </c>
      <c r="T207" s="26" t="n">
        <v>33.15397137664379</v>
      </c>
      <c r="U207" s="26" t="n">
        <v>33.71078102653743</v>
      </c>
      <c r="V207" s="27">
        <f>AVERAGE(J207:U207)</f>
        <v/>
      </c>
      <c r="W207" s="28" t="n">
        <v>319</v>
      </c>
      <c r="X207" s="29" t="n">
        <v>0.8861111111111111</v>
      </c>
    </row>
    <row r="208" ht="13.9" customHeight="1">
      <c r="A208" s="11" t="n">
        <v>25025300</v>
      </c>
      <c r="B208" s="22" t="inlineStr">
        <is>
          <t>CO</t>
        </is>
      </c>
      <c r="C208" s="22" t="inlineStr">
        <is>
          <t>El Seis</t>
        </is>
      </c>
      <c r="D208" s="22" t="inlineStr">
        <is>
          <t>San Sebastián de Buenavista</t>
        </is>
      </c>
      <c r="E208" s="22" t="inlineStr">
        <is>
          <t>Magdalena</t>
        </is>
      </c>
      <c r="F208" s="22" t="n">
        <v>5</v>
      </c>
      <c r="G208" s="22" t="n">
        <v>50</v>
      </c>
      <c r="H208" s="23" t="n">
        <v>-74.32227777999999</v>
      </c>
      <c r="I208" s="24" t="n">
        <v>9.683666670000001</v>
      </c>
      <c r="J208" s="25" t="n">
        <v>35.83351626469906</v>
      </c>
      <c r="K208" s="26" t="n">
        <v>36.46075073726873</v>
      </c>
      <c r="L208" s="26" t="n">
        <v>36.12520082666139</v>
      </c>
      <c r="M208" s="26" t="n">
        <v>34.97513818365544</v>
      </c>
      <c r="N208" s="26" t="n">
        <v>33.60107039505088</v>
      </c>
      <c r="O208" s="26" t="n">
        <v>34.14211197956578</v>
      </c>
      <c r="P208" s="26" t="n">
        <v>35.00817364924383</v>
      </c>
      <c r="Q208" s="26" t="n">
        <v>34.36075876675542</v>
      </c>
      <c r="R208" s="26" t="n">
        <v>33.50329929654445</v>
      </c>
      <c r="S208" s="26" t="n">
        <v>32.87561755960021</v>
      </c>
      <c r="T208" s="26" t="n">
        <v>32.97611040158933</v>
      </c>
      <c r="U208" s="26" t="n">
        <v>34.57411833907816</v>
      </c>
      <c r="V208" s="27">
        <f>AVERAGE(J208:U208)</f>
        <v/>
      </c>
      <c r="W208" s="28" t="n">
        <v>306</v>
      </c>
      <c r="X208" s="29" t="n">
        <v>0.85</v>
      </c>
    </row>
    <row r="209" ht="13.9" customHeight="1">
      <c r="A209" s="11" t="n">
        <v>15015050</v>
      </c>
      <c r="B209" s="22" t="inlineStr">
        <is>
          <t>SP</t>
        </is>
      </c>
      <c r="C209" s="12" t="inlineStr">
        <is>
          <t>Aeropuerto Simón Bolívar</t>
        </is>
      </c>
      <c r="D209" s="22" t="inlineStr">
        <is>
          <t>Santa Marta</t>
        </is>
      </c>
      <c r="E209" s="22" t="inlineStr">
        <is>
          <t>Magdalena</t>
        </is>
      </c>
      <c r="F209" s="22" t="n">
        <v>5</v>
      </c>
      <c r="G209" s="22" t="n">
        <v>4</v>
      </c>
      <c r="H209" s="23" t="n">
        <v>-74.22888889000001</v>
      </c>
      <c r="I209" s="24" t="n">
        <v>11.12833333</v>
      </c>
      <c r="J209" s="25" t="n">
        <v>33.10169447534297</v>
      </c>
      <c r="K209" s="26" t="n">
        <v>33.73071382959314</v>
      </c>
      <c r="L209" s="26" t="n">
        <v>33.85204301075269</v>
      </c>
      <c r="M209" s="26" t="n">
        <v>33.7797748711851</v>
      </c>
      <c r="N209" s="26" t="n">
        <v>33.15961438635522</v>
      </c>
      <c r="O209" s="26" t="n">
        <v>33.32739168877099</v>
      </c>
      <c r="P209" s="26" t="n">
        <v>33.36601600756907</v>
      </c>
      <c r="Q209" s="26" t="n">
        <v>33.11528570840028</v>
      </c>
      <c r="R209" s="26" t="n">
        <v>32.88888013136289</v>
      </c>
      <c r="S209" s="26" t="n">
        <v>32.44161138667555</v>
      </c>
      <c r="T209" s="26" t="n">
        <v>32.35263113653901</v>
      </c>
      <c r="U209" s="26" t="n">
        <v>32.71111535246202</v>
      </c>
      <c r="V209" s="27">
        <f>AVERAGE(J209:U209)</f>
        <v/>
      </c>
      <c r="W209" s="28" t="n">
        <v>347</v>
      </c>
      <c r="X209" s="29" t="n">
        <v>0.9638888888888889</v>
      </c>
    </row>
    <row r="210" ht="13.9" customHeight="1">
      <c r="A210" s="11" t="n">
        <v>15015060</v>
      </c>
      <c r="B210" s="22" t="inlineStr">
        <is>
          <t>CP</t>
        </is>
      </c>
      <c r="C210" s="22" t="inlineStr">
        <is>
          <t>San Lorenzo</t>
        </is>
      </c>
      <c r="D210" s="22" t="inlineStr">
        <is>
          <t>Santa Marta</t>
        </is>
      </c>
      <c r="E210" s="22" t="inlineStr">
        <is>
          <t>Magdalena</t>
        </is>
      </c>
      <c r="F210" s="22" t="n">
        <v>5</v>
      </c>
      <c r="G210" s="22" t="n">
        <v>2200</v>
      </c>
      <c r="H210" s="23" t="n">
        <v>-74.05469443999999</v>
      </c>
      <c r="I210" s="24" t="n">
        <v>11.11108333</v>
      </c>
      <c r="J210" s="25" t="n">
        <v>17.6175713904251</v>
      </c>
      <c r="K210" s="26" t="n">
        <v>17.92158029436354</v>
      </c>
      <c r="L210" s="26" t="n">
        <v>18.11723136213084</v>
      </c>
      <c r="M210" s="26" t="n">
        <v>18.3312648833261</v>
      </c>
      <c r="N210" s="26" t="n">
        <v>18.59077622280548</v>
      </c>
      <c r="O210" s="26" t="n">
        <v>18.96993586285089</v>
      </c>
      <c r="P210" s="26" t="n">
        <v>19.0073453992851</v>
      </c>
      <c r="Q210" s="26" t="n">
        <v>18.71979672674477</v>
      </c>
      <c r="R210" s="26" t="n">
        <v>18.29969525243047</v>
      </c>
      <c r="S210" s="26" t="n">
        <v>17.50365110894191</v>
      </c>
      <c r="T210" s="26" t="n">
        <v>17.18108773067905</v>
      </c>
      <c r="U210" s="26" t="n">
        <v>17.28900598238524</v>
      </c>
      <c r="V210" s="27">
        <f>AVERAGE(J210:U210)</f>
        <v/>
      </c>
      <c r="W210" s="28" t="n">
        <v>333</v>
      </c>
      <c r="X210" s="29" t="n">
        <v>0.925</v>
      </c>
    </row>
    <row r="211" ht="13.9" customHeight="1">
      <c r="A211" s="11" t="n">
        <v>29065020</v>
      </c>
      <c r="B211" s="22" t="inlineStr">
        <is>
          <t>CO</t>
        </is>
      </c>
      <c r="C211" s="22" t="inlineStr">
        <is>
          <t>Padelma</t>
        </is>
      </c>
      <c r="D211" s="22" t="inlineStr">
        <is>
          <t>Zona Bananera</t>
        </is>
      </c>
      <c r="E211" s="22" t="inlineStr">
        <is>
          <t>Magdalena</t>
        </is>
      </c>
      <c r="F211" s="22" t="n">
        <v>5</v>
      </c>
      <c r="G211" s="22" t="n">
        <v>20</v>
      </c>
      <c r="H211" s="23" t="n">
        <v>-74.19972222000001</v>
      </c>
      <c r="I211" s="24" t="n">
        <v>10.72111111</v>
      </c>
      <c r="J211" s="25" t="n">
        <v>33.6263870967742</v>
      </c>
      <c r="K211" s="26" t="n">
        <v>34.11262041598248</v>
      </c>
      <c r="L211" s="26" t="n">
        <v>34.59034408602152</v>
      </c>
      <c r="M211" s="26" t="n">
        <v>34.75795402298851</v>
      </c>
      <c r="N211" s="26" t="n">
        <v>34.1041935483871</v>
      </c>
      <c r="O211" s="26" t="n">
        <v>34.06513793103449</v>
      </c>
      <c r="P211" s="26" t="n">
        <v>34.19929032258064</v>
      </c>
      <c r="Q211" s="26" t="n">
        <v>33.98588709677419</v>
      </c>
      <c r="R211" s="26" t="n">
        <v>33.75735238095238</v>
      </c>
      <c r="S211" s="26" t="n">
        <v>33.60187298961493</v>
      </c>
      <c r="T211" s="26" t="n">
        <v>33.44988587848934</v>
      </c>
      <c r="U211" s="26" t="n">
        <v>33.55456391875747</v>
      </c>
      <c r="V211" s="27">
        <f>AVERAGE(J211:U211)</f>
        <v/>
      </c>
      <c r="W211" s="28" t="n">
        <v>116</v>
      </c>
      <c r="X211" s="29" t="n">
        <v>0.9666666666666667</v>
      </c>
    </row>
    <row r="212" ht="13.9" customHeight="1">
      <c r="A212" s="11" t="n">
        <v>29065030</v>
      </c>
      <c r="B212" s="22" t="inlineStr">
        <is>
          <t>CO</t>
        </is>
      </c>
      <c r="C212" s="22" t="inlineStr">
        <is>
          <t>Prado Sevilla</t>
        </is>
      </c>
      <c r="D212" s="22" t="inlineStr">
        <is>
          <t>Zona Bananera</t>
        </is>
      </c>
      <c r="E212" s="22" t="inlineStr">
        <is>
          <t>Magdalena</t>
        </is>
      </c>
      <c r="F212" s="22" t="n">
        <v>5</v>
      </c>
      <c r="G212" s="22" t="n">
        <v>18</v>
      </c>
      <c r="H212" s="23" t="n">
        <v>-74.15472222000001</v>
      </c>
      <c r="I212" s="24" t="n">
        <v>10.76416667</v>
      </c>
      <c r="J212" s="25" t="n">
        <v>33.35132545862245</v>
      </c>
      <c r="K212" s="26" t="n">
        <v>33.82271566658119</v>
      </c>
      <c r="L212" s="26" t="n">
        <v>34.19572266781154</v>
      </c>
      <c r="M212" s="26" t="n">
        <v>34.33124181515944</v>
      </c>
      <c r="N212" s="26" t="n">
        <v>33.46047933291419</v>
      </c>
      <c r="O212" s="26" t="n">
        <v>33.1547440056079</v>
      </c>
      <c r="P212" s="26" t="n">
        <v>33.1794268130636</v>
      </c>
      <c r="Q212" s="26" t="n">
        <v>33.29542591183186</v>
      </c>
      <c r="R212" s="26" t="n">
        <v>32.98195497031703</v>
      </c>
      <c r="S212" s="26" t="n">
        <v>32.72214146367977</v>
      </c>
      <c r="T212" s="26" t="n">
        <v>32.44969334468568</v>
      </c>
      <c r="U212" s="26" t="n">
        <v>32.98685808305525</v>
      </c>
      <c r="V212" s="27">
        <f>AVERAGE(J212:U212)</f>
        <v/>
      </c>
      <c r="W212" s="28" t="n">
        <v>219</v>
      </c>
      <c r="X212" s="29" t="n">
        <v>0.9125</v>
      </c>
    </row>
    <row r="213" ht="13.9" customHeight="1">
      <c r="A213" s="11" t="n">
        <v>35105050</v>
      </c>
      <c r="B213" s="22" t="inlineStr">
        <is>
          <t>CO</t>
        </is>
      </c>
      <c r="C213" s="22" t="inlineStr">
        <is>
          <t>Guaicaramo</t>
        </is>
      </c>
      <c r="D213" s="22" t="inlineStr">
        <is>
          <t>Barranca de Upía</t>
        </is>
      </c>
      <c r="E213" s="22" t="inlineStr">
        <is>
          <t>Meta</t>
        </is>
      </c>
      <c r="F213" s="22" t="n">
        <v>3</v>
      </c>
      <c r="G213" s="22" t="n">
        <v>206</v>
      </c>
      <c r="H213" s="23" t="n">
        <v>-72.95363999999999</v>
      </c>
      <c r="I213" s="24" t="n">
        <v>4.46865</v>
      </c>
      <c r="J213" s="25" t="n">
        <v>33.45440880477482</v>
      </c>
      <c r="K213" s="26" t="n">
        <v>34.2557124360525</v>
      </c>
      <c r="L213" s="26" t="n">
        <v>33.31494837564249</v>
      </c>
      <c r="M213" s="26" t="n">
        <v>31.53272350637868</v>
      </c>
      <c r="N213" s="26" t="n">
        <v>30.70589200502295</v>
      </c>
      <c r="O213" s="26" t="n">
        <v>29.99014805194806</v>
      </c>
      <c r="P213" s="26" t="n">
        <v>29.81019572794248</v>
      </c>
      <c r="Q213" s="26" t="n">
        <v>30.68247751700186</v>
      </c>
      <c r="R213" s="26" t="n">
        <v>31.50152967828255</v>
      </c>
      <c r="S213" s="26" t="n">
        <v>31.66591894653672</v>
      </c>
      <c r="T213" s="26" t="n">
        <v>31.70663577551883</v>
      </c>
      <c r="U213" s="26" t="n">
        <v>32.35107036523193</v>
      </c>
      <c r="V213" s="27">
        <f>AVERAGE(J213:U213)</f>
        <v/>
      </c>
      <c r="W213" s="28" t="n">
        <v>287</v>
      </c>
      <c r="X213" s="29" t="n">
        <v>0.7972222222222223</v>
      </c>
    </row>
    <row r="214" ht="13.9" customHeight="1">
      <c r="A214" s="11" t="n">
        <v>35045020</v>
      </c>
      <c r="B214" s="22" t="inlineStr">
        <is>
          <t>CO</t>
        </is>
      </c>
      <c r="C214" s="22" t="inlineStr">
        <is>
          <t>Hacienda La Cabaña</t>
        </is>
      </c>
      <c r="D214" s="22" t="inlineStr">
        <is>
          <t>Cumaral</t>
        </is>
      </c>
      <c r="E214" s="22" t="inlineStr">
        <is>
          <t>Meta</t>
        </is>
      </c>
      <c r="F214" s="22" t="n">
        <v>3</v>
      </c>
      <c r="G214" s="22" t="n">
        <v>305</v>
      </c>
      <c r="H214" s="23" t="n">
        <v>-73.3575</v>
      </c>
      <c r="I214" s="24" t="n">
        <v>4.30044444</v>
      </c>
      <c r="J214" s="25" t="n">
        <v>32.89114025163936</v>
      </c>
      <c r="K214" s="26" t="n">
        <v>33.53178942822939</v>
      </c>
      <c r="L214" s="26" t="n">
        <v>32.39618517929975</v>
      </c>
      <c r="M214" s="26" t="n">
        <v>30.87080694346704</v>
      </c>
      <c r="N214" s="26" t="n">
        <v>30.25714482876329</v>
      </c>
      <c r="O214" s="26" t="n">
        <v>29.3149834782785</v>
      </c>
      <c r="P214" s="26" t="n">
        <v>29.13140607856045</v>
      </c>
      <c r="Q214" s="26" t="n">
        <v>30.06609603851427</v>
      </c>
      <c r="R214" s="26" t="n">
        <v>31.10612903516844</v>
      </c>
      <c r="S214" s="26" t="n">
        <v>31.13803355874546</v>
      </c>
      <c r="T214" s="26" t="n">
        <v>31.156501456442</v>
      </c>
      <c r="U214" s="26" t="n">
        <v>31.7169053105113</v>
      </c>
      <c r="V214" s="27">
        <f>AVERAGE(J214:U214)</f>
        <v/>
      </c>
      <c r="W214" s="28" t="n">
        <v>336</v>
      </c>
      <c r="X214" s="29" t="n">
        <v>0.9333333333333333</v>
      </c>
    </row>
    <row r="215" ht="13.9" customHeight="1">
      <c r="A215" s="11" t="n">
        <v>32075060</v>
      </c>
      <c r="B215" s="22" t="inlineStr">
        <is>
          <t>CO</t>
        </is>
      </c>
      <c r="C215" s="22" t="inlineStr">
        <is>
          <t xml:space="preserve">La Cooperativa </t>
        </is>
      </c>
      <c r="D215" s="22" t="inlineStr">
        <is>
          <t>Fuente de Oro</t>
        </is>
      </c>
      <c r="E215" s="22" t="inlineStr">
        <is>
          <t>Meta</t>
        </is>
      </c>
      <c r="F215" s="22" t="n">
        <v>3</v>
      </c>
      <c r="G215" s="22" t="n">
        <v>280</v>
      </c>
      <c r="H215" s="23" t="n">
        <v>-73.7</v>
      </c>
      <c r="I215" s="24" t="n">
        <v>3.36666667</v>
      </c>
      <c r="J215" s="25" t="n">
        <v>32.08834562211982</v>
      </c>
      <c r="K215" s="26" t="n">
        <v>32.12717204889618</v>
      </c>
      <c r="L215" s="26" t="n">
        <v>31.78578255675031</v>
      </c>
      <c r="M215" s="26" t="n">
        <v>30.68408684546616</v>
      </c>
      <c r="N215" s="26" t="n">
        <v>30.31832735961769</v>
      </c>
      <c r="O215" s="26" t="n">
        <v>29.79421416642106</v>
      </c>
      <c r="P215" s="26" t="n">
        <v>29.65024265644956</v>
      </c>
      <c r="Q215" s="26" t="n">
        <v>30.32029868578256</v>
      </c>
      <c r="R215" s="26" t="n">
        <v>31.05236781609196</v>
      </c>
      <c r="S215" s="26" t="n">
        <v>31.18752440983809</v>
      </c>
      <c r="T215" s="26" t="n">
        <v>30.88715927750412</v>
      </c>
      <c r="U215" s="26" t="n">
        <v>31.19325176121617</v>
      </c>
      <c r="V215" s="27">
        <f>AVERAGE(J215:U215)</f>
        <v/>
      </c>
      <c r="W215" s="28" t="n">
        <v>113</v>
      </c>
      <c r="X215" s="29" t="n">
        <v>0.9416666666666667</v>
      </c>
    </row>
    <row r="216" ht="13.9" customHeight="1">
      <c r="A216" s="11" t="n">
        <v>32075040</v>
      </c>
      <c r="B216" s="22" t="inlineStr">
        <is>
          <t>CO</t>
        </is>
      </c>
      <c r="C216" s="22" t="inlineStr">
        <is>
          <t>La Holanda</t>
        </is>
      </c>
      <c r="D216" s="22" t="inlineStr">
        <is>
          <t xml:space="preserve">Granada </t>
        </is>
      </c>
      <c r="E216" s="22" t="inlineStr">
        <is>
          <t>Meta</t>
        </is>
      </c>
      <c r="F216" s="22" t="n">
        <v>3</v>
      </c>
      <c r="G216" s="22" t="n">
        <v>360</v>
      </c>
      <c r="H216" s="23" t="n">
        <v>-73.71602777999999</v>
      </c>
      <c r="I216" s="24" t="n">
        <v>3.51633333</v>
      </c>
      <c r="J216" s="25" t="n">
        <v>32.52267624768261</v>
      </c>
      <c r="K216" s="26" t="n">
        <v>32.94654927051635</v>
      </c>
      <c r="L216" s="26" t="n">
        <v>31.91560964499829</v>
      </c>
      <c r="M216" s="26" t="n">
        <v>30.81080241500406</v>
      </c>
      <c r="N216" s="26" t="n">
        <v>30.36410218393107</v>
      </c>
      <c r="O216" s="26" t="n">
        <v>29.64561249467859</v>
      </c>
      <c r="P216" s="26" t="n">
        <v>29.56019639105179</v>
      </c>
      <c r="Q216" s="26" t="n">
        <v>30.28577462026294</v>
      </c>
      <c r="R216" s="26" t="n">
        <v>31.13064394657067</v>
      </c>
      <c r="S216" s="26" t="n">
        <v>31.2383676783728</v>
      </c>
      <c r="T216" s="26" t="n">
        <v>31.08156134899583</v>
      </c>
      <c r="U216" s="26" t="n">
        <v>31.4518099628629</v>
      </c>
      <c r="V216" s="27">
        <f>AVERAGE(J216:U216)</f>
        <v/>
      </c>
      <c r="W216" s="28" t="n">
        <v>287</v>
      </c>
      <c r="X216" s="29" t="n">
        <v>0.7972222222222223</v>
      </c>
    </row>
    <row r="217" ht="13.9" customHeight="1">
      <c r="A217" s="11" t="n">
        <v>32035020</v>
      </c>
      <c r="B217" s="22" t="inlineStr">
        <is>
          <t>CO</t>
        </is>
      </c>
      <c r="C217" s="22" t="inlineStr">
        <is>
          <t>La Balsora</t>
        </is>
      </c>
      <c r="D217" s="22" t="inlineStr">
        <is>
          <t>La Macarena</t>
        </is>
      </c>
      <c r="E217" s="22" t="inlineStr">
        <is>
          <t>Meta</t>
        </is>
      </c>
      <c r="F217" s="22" t="n">
        <v>3</v>
      </c>
      <c r="G217" s="22" t="n">
        <v>270</v>
      </c>
      <c r="H217" s="23" t="n">
        <v>-73.93227777999999</v>
      </c>
      <c r="I217" s="24" t="n">
        <v>2.43838889</v>
      </c>
      <c r="J217" s="25" t="n">
        <v>32.37582361746248</v>
      </c>
      <c r="K217" s="26" t="n">
        <v>32.75056231176232</v>
      </c>
      <c r="L217" s="26" t="n">
        <v>30.91274197785899</v>
      </c>
      <c r="M217" s="26" t="n">
        <v>29.91839493073976</v>
      </c>
      <c r="N217" s="26" t="n">
        <v>29.3948170902142</v>
      </c>
      <c r="O217" s="26" t="n">
        <v>28.7527105090312</v>
      </c>
      <c r="P217" s="26" t="n">
        <v>28.69463197203241</v>
      </c>
      <c r="Q217" s="26" t="n">
        <v>29.37596647656714</v>
      </c>
      <c r="R217" s="26" t="n">
        <v>30.38210542402113</v>
      </c>
      <c r="S217" s="26" t="n">
        <v>30.72439305464444</v>
      </c>
      <c r="T217" s="26" t="n">
        <v>30.7825544973545</v>
      </c>
      <c r="U217" s="26" t="n">
        <v>31.42268011080914</v>
      </c>
      <c r="V217" s="27">
        <f>AVERAGE(J217:U217)</f>
        <v/>
      </c>
      <c r="W217" s="28" t="n">
        <v>116</v>
      </c>
      <c r="X217" s="29" t="n">
        <v>0.9666666666666667</v>
      </c>
    </row>
    <row r="218" ht="13.9" customHeight="1">
      <c r="A218" s="11" t="n">
        <v>32035010</v>
      </c>
      <c r="B218" s="22" t="inlineStr">
        <is>
          <t>CP</t>
        </is>
      </c>
      <c r="C218" s="22" t="inlineStr">
        <is>
          <t>La Macarena</t>
        </is>
      </c>
      <c r="D218" s="22" t="inlineStr">
        <is>
          <t>La Macarena</t>
        </is>
      </c>
      <c r="E218" s="22" t="inlineStr">
        <is>
          <t>Meta</t>
        </is>
      </c>
      <c r="F218" s="22" t="n">
        <v>3</v>
      </c>
      <c r="G218" s="22" t="n">
        <v>248</v>
      </c>
      <c r="H218" s="23" t="n">
        <v>-73.79333333</v>
      </c>
      <c r="I218" s="24" t="n">
        <v>2.17611111</v>
      </c>
      <c r="J218" s="25" t="n">
        <v>32.39113393893406</v>
      </c>
      <c r="K218" s="26" t="n">
        <v>33.04150843052222</v>
      </c>
      <c r="L218" s="26" t="n">
        <v>31.86223440860215</v>
      </c>
      <c r="M218" s="26" t="n">
        <v>30.8304968616706</v>
      </c>
      <c r="N218" s="26" t="n">
        <v>30.40213286934315</v>
      </c>
      <c r="O218" s="26" t="n">
        <v>29.58258701752909</v>
      </c>
      <c r="P218" s="26" t="n">
        <v>29.45927642223533</v>
      </c>
      <c r="Q218" s="26" t="n">
        <v>30.21165792617012</v>
      </c>
      <c r="R218" s="26" t="n">
        <v>31.17476069929888</v>
      </c>
      <c r="S218" s="26" t="n">
        <v>31.29096282759797</v>
      </c>
      <c r="T218" s="26" t="n">
        <v>31.17740880835091</v>
      </c>
      <c r="U218" s="26" t="n">
        <v>31.45111147102805</v>
      </c>
      <c r="V218" s="27">
        <f>AVERAGE(J218:U218)</f>
        <v/>
      </c>
      <c r="W218" s="28" t="n">
        <v>315</v>
      </c>
      <c r="X218" s="29" t="n">
        <v>0.875</v>
      </c>
    </row>
    <row r="219" ht="13.9" customHeight="1">
      <c r="A219" s="11" t="n">
        <v>32065010</v>
      </c>
      <c r="B219" s="22" t="inlineStr">
        <is>
          <t>CO</t>
        </is>
      </c>
      <c r="C219" s="22" t="inlineStr">
        <is>
          <t>Lejanias</t>
        </is>
      </c>
      <c r="D219" s="22" t="inlineStr">
        <is>
          <t>Lejanías</t>
        </is>
      </c>
      <c r="E219" s="22" t="inlineStr">
        <is>
          <t>Meta</t>
        </is>
      </c>
      <c r="F219" s="22" t="n">
        <v>3</v>
      </c>
      <c r="G219" s="22" t="n">
        <v>680</v>
      </c>
      <c r="H219" s="23" t="n">
        <v>-74.01666666999999</v>
      </c>
      <c r="I219" s="24" t="n">
        <v>3.53333333</v>
      </c>
      <c r="J219" s="25" t="n">
        <v>29.82620015890672</v>
      </c>
      <c r="K219" s="26" t="n">
        <v>29.96674805881553</v>
      </c>
      <c r="L219" s="26" t="n">
        <v>29.20656349382913</v>
      </c>
      <c r="M219" s="26" t="n">
        <v>28.32968438171025</v>
      </c>
      <c r="N219" s="26" t="n">
        <v>27.80083140361463</v>
      </c>
      <c r="O219" s="26" t="n">
        <v>27.4437792965655</v>
      </c>
      <c r="P219" s="26" t="n">
        <v>27.28332671244138</v>
      </c>
      <c r="Q219" s="26" t="n">
        <v>28.04311264560431</v>
      </c>
      <c r="R219" s="26" t="n">
        <v>28.73859283679284</v>
      </c>
      <c r="S219" s="26" t="n">
        <v>28.72737383468403</v>
      </c>
      <c r="T219" s="26" t="n">
        <v>28.41456644693525</v>
      </c>
      <c r="U219" s="26" t="n">
        <v>28.83245550611791</v>
      </c>
      <c r="V219" s="27">
        <f>AVERAGE(J219:U219)</f>
        <v/>
      </c>
      <c r="W219" s="28" t="n">
        <v>288</v>
      </c>
      <c r="X219" s="29" t="n">
        <v>0.8</v>
      </c>
    </row>
    <row r="220" ht="13.9" customHeight="1">
      <c r="A220" s="11" t="n">
        <v>32075050</v>
      </c>
      <c r="B220" s="22" t="inlineStr">
        <is>
          <t>CO</t>
        </is>
      </c>
      <c r="C220" s="22" t="inlineStr">
        <is>
          <t>Mesetas</t>
        </is>
      </c>
      <c r="D220" s="22" t="inlineStr">
        <is>
          <t>Mesetas</t>
        </is>
      </c>
      <c r="E220" s="22" t="inlineStr">
        <is>
          <t>Meta</t>
        </is>
      </c>
      <c r="F220" s="22" t="n">
        <v>3</v>
      </c>
      <c r="G220" s="22" t="n">
        <v>556</v>
      </c>
      <c r="H220" s="23" t="n">
        <v>-74.04300000000001</v>
      </c>
      <c r="I220" s="24" t="n">
        <v>3.38008</v>
      </c>
      <c r="J220" s="25" t="n">
        <v>30.40401186993975</v>
      </c>
      <c r="K220" s="26" t="n">
        <v>31.03467524012484</v>
      </c>
      <c r="L220" s="26" t="n">
        <v>30.11408476673082</v>
      </c>
      <c r="M220" s="26" t="n">
        <v>29.29971119084784</v>
      </c>
      <c r="N220" s="26" t="n">
        <v>28.83330525818267</v>
      </c>
      <c r="O220" s="26" t="n">
        <v>28.17835856230614</v>
      </c>
      <c r="P220" s="26" t="n">
        <v>27.94221806377078</v>
      </c>
      <c r="Q220" s="26" t="n">
        <v>28.54735691766439</v>
      </c>
      <c r="R220" s="26" t="n">
        <v>29.44268443242582</v>
      </c>
      <c r="S220" s="26" t="n">
        <v>29.50643571732651</v>
      </c>
      <c r="T220" s="26" t="n">
        <v>29.35248878319833</v>
      </c>
      <c r="U220" s="26" t="n">
        <v>29.73187740236065</v>
      </c>
      <c r="V220" s="27">
        <f>AVERAGE(J220:U220)</f>
        <v/>
      </c>
      <c r="W220" s="28" t="n">
        <v>298</v>
      </c>
      <c r="X220" s="29" t="n">
        <v>0.8277777777777777</v>
      </c>
    </row>
    <row r="221" ht="13.9" customHeight="1">
      <c r="A221" s="11" t="n">
        <v>33035010</v>
      </c>
      <c r="B221" s="22" t="inlineStr">
        <is>
          <t>ME</t>
        </is>
      </c>
      <c r="C221" s="22" t="inlineStr">
        <is>
          <t xml:space="preserve">Carimagua - AUT </t>
        </is>
      </c>
      <c r="D221" s="22" t="inlineStr">
        <is>
          <t>Puerto Gaitán</t>
        </is>
      </c>
      <c r="E221" s="22" t="inlineStr">
        <is>
          <t>Meta</t>
        </is>
      </c>
      <c r="F221" s="22" t="n">
        <v>3</v>
      </c>
      <c r="G221" s="22" t="n">
        <v>200</v>
      </c>
      <c r="H221" s="23" t="n">
        <v>-71.34075</v>
      </c>
      <c r="I221" s="24" t="n">
        <v>4.57441667</v>
      </c>
      <c r="J221" s="25" t="n">
        <v>32.5654898446834</v>
      </c>
      <c r="K221" s="26" t="n">
        <v>33.25078751596424</v>
      </c>
      <c r="L221" s="26" t="n">
        <v>33.29678346310716</v>
      </c>
      <c r="M221" s="26" t="n">
        <v>31.94112643678161</v>
      </c>
      <c r="N221" s="26" t="n">
        <v>30.84890083632019</v>
      </c>
      <c r="O221" s="26" t="n">
        <v>30.11517446633826</v>
      </c>
      <c r="P221" s="26" t="n">
        <v>29.74521505376344</v>
      </c>
      <c r="Q221" s="26" t="n">
        <v>30.59304875787912</v>
      </c>
      <c r="R221" s="26" t="n">
        <v>31.12890589402084</v>
      </c>
      <c r="S221" s="26" t="n">
        <v>31.40320124212087</v>
      </c>
      <c r="T221" s="26" t="n">
        <v>31.14041564039409</v>
      </c>
      <c r="U221" s="26" t="n">
        <v>31.18078917050692</v>
      </c>
      <c r="V221" s="27">
        <f>AVERAGE(J221:U221)</f>
        <v/>
      </c>
      <c r="W221" s="28" t="n">
        <v>101</v>
      </c>
      <c r="X221" s="29" t="n">
        <v>0.8416666666666667</v>
      </c>
    </row>
    <row r="222" ht="13.9" customHeight="1">
      <c r="A222" s="11" t="n">
        <v>32075080</v>
      </c>
      <c r="B222" s="22" t="inlineStr">
        <is>
          <t>CO</t>
        </is>
      </c>
      <c r="C222" s="22" t="inlineStr">
        <is>
          <t>Puerto Lleras</t>
        </is>
      </c>
      <c r="D222" s="22" t="inlineStr">
        <is>
          <t>Puerto Lleras</t>
        </is>
      </c>
      <c r="E222" s="22" t="inlineStr">
        <is>
          <t>Meta</t>
        </is>
      </c>
      <c r="F222" s="22" t="n">
        <v>3</v>
      </c>
      <c r="G222" s="22" t="n">
        <v>245</v>
      </c>
      <c r="H222" s="23" t="n">
        <v>-73.37319443999999</v>
      </c>
      <c r="I222" s="24" t="n">
        <v>3.26769444</v>
      </c>
      <c r="J222" s="25" t="n">
        <v>33.11223416965353</v>
      </c>
      <c r="K222" s="26" t="n">
        <v>34.19955938697318</v>
      </c>
      <c r="L222" s="26" t="n">
        <v>33.18785048914749</v>
      </c>
      <c r="M222" s="26" t="n">
        <v>31.64509720448418</v>
      </c>
      <c r="N222" s="26" t="n">
        <v>31.36382317801673</v>
      </c>
      <c r="O222" s="26" t="n">
        <v>30.48541507024266</v>
      </c>
      <c r="P222" s="26" t="n">
        <v>30.55053763440861</v>
      </c>
      <c r="Q222" s="26" t="n">
        <v>30.77799283154121</v>
      </c>
      <c r="R222" s="26" t="n">
        <v>31.71487931034483</v>
      </c>
      <c r="S222" s="26" t="n">
        <v>31.94767766654307</v>
      </c>
      <c r="T222" s="26" t="n">
        <v>31.8020634920635</v>
      </c>
      <c r="U222" s="26" t="n">
        <v>32.0946983117543</v>
      </c>
      <c r="V222" s="27">
        <f>AVERAGE(J222:U222)</f>
        <v/>
      </c>
      <c r="W222" s="28" t="n">
        <v>111</v>
      </c>
      <c r="X222" s="29" t="n">
        <v>0.925</v>
      </c>
    </row>
    <row r="223" ht="13.9" customHeight="1">
      <c r="A223" s="11" t="n">
        <v>35015050</v>
      </c>
      <c r="B223" s="22" t="inlineStr">
        <is>
          <t>CO</t>
        </is>
      </c>
      <c r="C223" s="22" t="inlineStr">
        <is>
          <t>Barbascal</t>
        </is>
      </c>
      <c r="D223" s="22" t="inlineStr">
        <is>
          <t>San Martín</t>
        </is>
      </c>
      <c r="E223" s="22" t="inlineStr">
        <is>
          <t>Meta</t>
        </is>
      </c>
      <c r="F223" s="22" t="n">
        <v>3</v>
      </c>
      <c r="G223" s="22" t="n">
        <v>250</v>
      </c>
      <c r="H223" s="23" t="n">
        <v>-73.34927777999999</v>
      </c>
      <c r="I223" s="24" t="n">
        <v>3.63077778</v>
      </c>
      <c r="J223" s="25" t="n">
        <v>33.19316643301494</v>
      </c>
      <c r="K223" s="26" t="n">
        <v>33.70051855472114</v>
      </c>
      <c r="L223" s="26" t="n">
        <v>32.36053211387138</v>
      </c>
      <c r="M223" s="26" t="n">
        <v>30.82842038619817</v>
      </c>
      <c r="N223" s="26" t="n">
        <v>30.20747163515017</v>
      </c>
      <c r="O223" s="26" t="n">
        <v>29.41391537198434</v>
      </c>
      <c r="P223" s="26" t="n">
        <v>29.46010234652259</v>
      </c>
      <c r="Q223" s="26" t="n">
        <v>30.35363299756932</v>
      </c>
      <c r="R223" s="26" t="n">
        <v>30.98703407224959</v>
      </c>
      <c r="S223" s="26" t="n">
        <v>31.31174479580487</v>
      </c>
      <c r="T223" s="26" t="n">
        <v>31.31453100610189</v>
      </c>
      <c r="U223" s="26" t="n">
        <v>31.95296509152831</v>
      </c>
      <c r="V223" s="27">
        <f>AVERAGE(J223:U223)</f>
        <v/>
      </c>
      <c r="W223" s="28" t="n">
        <v>110</v>
      </c>
      <c r="X223" s="29" t="n">
        <v>0.9166666666666666</v>
      </c>
    </row>
    <row r="224" ht="13.9" customHeight="1">
      <c r="A224" s="11" t="n">
        <v>35035020</v>
      </c>
      <c r="B224" s="22" t="inlineStr">
        <is>
          <t>SP</t>
        </is>
      </c>
      <c r="C224" s="22" t="inlineStr">
        <is>
          <t>Aeropuerto Vanguardia</t>
        </is>
      </c>
      <c r="D224" s="22" t="inlineStr">
        <is>
          <t>Villavicencio</t>
        </is>
      </c>
      <c r="E224" s="22" t="inlineStr">
        <is>
          <t>Meta</t>
        </is>
      </c>
      <c r="F224" s="22" t="n">
        <v>3</v>
      </c>
      <c r="G224" s="22" t="n">
        <v>422</v>
      </c>
      <c r="H224" s="23" t="n">
        <v>-73.61757778</v>
      </c>
      <c r="I224" s="24" t="n">
        <v>4.16191944</v>
      </c>
      <c r="J224" s="25" t="n">
        <v>31.92943010752689</v>
      </c>
      <c r="K224" s="26" t="n">
        <v>32.53997536945813</v>
      </c>
      <c r="L224" s="26" t="n">
        <v>31.58152329749104</v>
      </c>
      <c r="M224" s="26" t="n">
        <v>30.48772413793104</v>
      </c>
      <c r="N224" s="26" t="n">
        <v>29.89698924731183</v>
      </c>
      <c r="O224" s="26" t="n">
        <v>29.06377777777778</v>
      </c>
      <c r="P224" s="26" t="n">
        <v>28.94754838709678</v>
      </c>
      <c r="Q224" s="26" t="n">
        <v>29.8075639599555</v>
      </c>
      <c r="R224" s="26" t="n">
        <v>30.79898193760263</v>
      </c>
      <c r="S224" s="26" t="n">
        <v>30.87837634408602</v>
      </c>
      <c r="T224" s="26" t="n">
        <v>30.70044444444444</v>
      </c>
      <c r="U224" s="26" t="n">
        <v>31.03499283154122</v>
      </c>
      <c r="V224" s="27">
        <f>AVERAGE(J224:U224)</f>
        <v/>
      </c>
      <c r="W224" s="28" t="n">
        <v>358</v>
      </c>
      <c r="X224" s="29" t="n">
        <v>0.9944444444444445</v>
      </c>
    </row>
    <row r="225" ht="13.9" customHeight="1">
      <c r="A225" s="11" t="n">
        <v>35025110</v>
      </c>
      <c r="B225" s="22" t="inlineStr">
        <is>
          <t>AM</t>
        </is>
      </c>
      <c r="C225" s="22" t="inlineStr">
        <is>
          <t xml:space="preserve">La Libertad- AUT </t>
        </is>
      </c>
      <c r="D225" s="22" t="inlineStr">
        <is>
          <t>Villavicencio</t>
        </is>
      </c>
      <c r="E225" s="22" t="inlineStr">
        <is>
          <t>Meta</t>
        </is>
      </c>
      <c r="F225" s="22" t="n">
        <v>3</v>
      </c>
      <c r="G225" s="22" t="n">
        <v>336</v>
      </c>
      <c r="H225" s="23" t="n">
        <v>-73.46791666999999</v>
      </c>
      <c r="I225" s="24" t="n">
        <v>4.05736111</v>
      </c>
      <c r="J225" s="25" t="n">
        <v>32.77373074800926</v>
      </c>
      <c r="K225" s="26" t="n">
        <v>33.48336662277142</v>
      </c>
      <c r="L225" s="26" t="n">
        <v>32.47495271428038</v>
      </c>
      <c r="M225" s="26" t="n">
        <v>30.92127576828661</v>
      </c>
      <c r="N225" s="26" t="n">
        <v>30.20200882477348</v>
      </c>
      <c r="O225" s="26" t="n">
        <v>29.46303687296485</v>
      </c>
      <c r="P225" s="26" t="n">
        <v>29.3914494666031</v>
      </c>
      <c r="Q225" s="26" t="n">
        <v>30.12668424673294</v>
      </c>
      <c r="R225" s="26" t="n">
        <v>31.13007716979699</v>
      </c>
      <c r="S225" s="26" t="n">
        <v>31.22589677624853</v>
      </c>
      <c r="T225" s="26" t="n">
        <v>31.23266227081819</v>
      </c>
      <c r="U225" s="26" t="n">
        <v>31.54575040870058</v>
      </c>
      <c r="V225" s="27">
        <f>AVERAGE(J225:U225)</f>
        <v/>
      </c>
      <c r="W225" s="28" t="n">
        <v>302</v>
      </c>
      <c r="X225" s="29" t="n">
        <v>0.8388888888888889</v>
      </c>
    </row>
    <row r="226" ht="13.9" customHeight="1">
      <c r="A226" s="11" t="n">
        <v>35035070</v>
      </c>
      <c r="B226" s="22" t="inlineStr">
        <is>
          <t>CP</t>
        </is>
      </c>
      <c r="C226" s="22" t="inlineStr">
        <is>
          <t>Unillanos</t>
        </is>
      </c>
      <c r="D226" s="22" t="inlineStr">
        <is>
          <t>Villavicencio</t>
        </is>
      </c>
      <c r="E226" s="22" t="inlineStr">
        <is>
          <t>Meta</t>
        </is>
      </c>
      <c r="F226" s="22" t="n">
        <v>3</v>
      </c>
      <c r="G226" s="22" t="n">
        <v>340</v>
      </c>
      <c r="H226" s="23" t="n">
        <v>-73.58199999999999</v>
      </c>
      <c r="I226" s="24" t="n">
        <v>4.07672222</v>
      </c>
      <c r="J226" s="25" t="n">
        <v>32.00050099340704</v>
      </c>
      <c r="K226" s="26" t="n">
        <v>32.64007224838778</v>
      </c>
      <c r="L226" s="26" t="n">
        <v>31.65381973865235</v>
      </c>
      <c r="M226" s="26" t="n">
        <v>30.49857887036335</v>
      </c>
      <c r="N226" s="26" t="n">
        <v>30.00145485715447</v>
      </c>
      <c r="O226" s="26" t="n">
        <v>29.25702765022256</v>
      </c>
      <c r="P226" s="26" t="n">
        <v>29.06650567656885</v>
      </c>
      <c r="Q226" s="26" t="n">
        <v>29.87572030139859</v>
      </c>
      <c r="R226" s="26" t="n">
        <v>30.8357069043829</v>
      </c>
      <c r="S226" s="26" t="n">
        <v>30.97326302957042</v>
      </c>
      <c r="T226" s="26" t="n">
        <v>30.71641328145451</v>
      </c>
      <c r="U226" s="26" t="n">
        <v>30.99267804280443</v>
      </c>
      <c r="V226" s="27">
        <f>AVERAGE(J226:U226)</f>
        <v/>
      </c>
      <c r="W226" s="28" t="n">
        <v>288</v>
      </c>
      <c r="X226" s="29" t="n">
        <v>0.8</v>
      </c>
    </row>
    <row r="227" ht="13.9" customHeight="1">
      <c r="A227" s="11" t="n">
        <v>52055230</v>
      </c>
      <c r="B227" s="22" t="inlineStr">
        <is>
          <t>SP</t>
        </is>
      </c>
      <c r="C227" s="22" t="inlineStr">
        <is>
          <t xml:space="preserve">Aeropuerto San Luis - AUT </t>
        </is>
      </c>
      <c r="D227" s="22" t="inlineStr">
        <is>
          <t>Aldana</t>
        </is>
      </c>
      <c r="E227" s="22" t="inlineStr">
        <is>
          <t>Nariño</t>
        </is>
      </c>
      <c r="F227" s="22" t="n">
        <v>7</v>
      </c>
      <c r="G227" s="22" t="n">
        <v>2961</v>
      </c>
      <c r="H227" s="23" t="n">
        <v>-77.67775</v>
      </c>
      <c r="I227" s="24" t="n">
        <v>0.8570833300000001</v>
      </c>
      <c r="J227" s="25" t="n">
        <v>16.50978494623656</v>
      </c>
      <c r="K227" s="26" t="n">
        <v>16.57572660098522</v>
      </c>
      <c r="L227" s="26" t="n">
        <v>16.52426204699323</v>
      </c>
      <c r="M227" s="26" t="n">
        <v>16.59513409961686</v>
      </c>
      <c r="N227" s="26" t="n">
        <v>16.25822395253986</v>
      </c>
      <c r="O227" s="26" t="n">
        <v>15.32873959571939</v>
      </c>
      <c r="P227" s="26" t="n">
        <v>14.74461253244345</v>
      </c>
      <c r="Q227" s="26" t="n">
        <v>14.98521690767519</v>
      </c>
      <c r="R227" s="26" t="n">
        <v>15.93030970625798</v>
      </c>
      <c r="S227" s="26" t="n">
        <v>16.89557746154732</v>
      </c>
      <c r="T227" s="26" t="n">
        <v>17.16928656361474</v>
      </c>
      <c r="U227" s="26" t="n">
        <v>16.63002224694105</v>
      </c>
      <c r="V227" s="27">
        <f>AVERAGE(J227:U227)</f>
        <v/>
      </c>
      <c r="W227" s="28" t="n">
        <v>351</v>
      </c>
      <c r="X227" s="29" t="n">
        <v>0.975</v>
      </c>
    </row>
    <row r="228" ht="13.9" customHeight="1">
      <c r="A228" s="11" t="n">
        <v>51025080</v>
      </c>
      <c r="B228" s="22" t="inlineStr">
        <is>
          <t>CP</t>
        </is>
      </c>
      <c r="C228" s="22" t="inlineStr">
        <is>
          <t xml:space="preserve">Altaquer - AUT </t>
        </is>
      </c>
      <c r="D228" s="22" t="inlineStr">
        <is>
          <t>Barbacoas</t>
        </is>
      </c>
      <c r="E228" s="22" t="inlineStr">
        <is>
          <t>Nariño</t>
        </is>
      </c>
      <c r="F228" s="22" t="n">
        <v>7</v>
      </c>
      <c r="G228" s="22" t="n">
        <v>1010</v>
      </c>
      <c r="H228" s="23" t="n">
        <v>-78.0925</v>
      </c>
      <c r="I228" s="24" t="n">
        <v>1.24833333</v>
      </c>
      <c r="J228" s="25" t="n">
        <v>23.38667487684729</v>
      </c>
      <c r="K228" s="26" t="n">
        <v>23.80918445539135</v>
      </c>
      <c r="L228" s="26" t="n">
        <v>24.23370636889991</v>
      </c>
      <c r="M228" s="26" t="n">
        <v>24.16184890460753</v>
      </c>
      <c r="N228" s="26" t="n">
        <v>23.89883294195196</v>
      </c>
      <c r="O228" s="26" t="n">
        <v>23.55072413793103</v>
      </c>
      <c r="P228" s="26" t="n">
        <v>23.54465315687896</v>
      </c>
      <c r="Q228" s="26" t="n">
        <v>23.78083102918587</v>
      </c>
      <c r="R228" s="26" t="n">
        <v>23.43907567644749</v>
      </c>
      <c r="S228" s="26" t="n">
        <v>23.43132540429537</v>
      </c>
      <c r="T228" s="26" t="n">
        <v>23.22754497354497</v>
      </c>
      <c r="U228" s="26" t="n">
        <v>23.18878136200717</v>
      </c>
      <c r="V228" s="27">
        <f>AVERAGE(J228:U228)</f>
        <v/>
      </c>
      <c r="W228" s="28" t="n">
        <v>119</v>
      </c>
      <c r="X228" s="29" t="n">
        <v>0.9916666666666667</v>
      </c>
    </row>
    <row r="229" ht="13.9" customHeight="1">
      <c r="A229" s="11" t="n">
        <v>52065020</v>
      </c>
      <c r="B229" s="22" t="inlineStr">
        <is>
          <t>PM</t>
        </is>
      </c>
      <c r="C229" s="22" t="inlineStr">
        <is>
          <t>Barbacoas</t>
        </is>
      </c>
      <c r="D229" s="22" t="inlineStr">
        <is>
          <t>Barbacoas</t>
        </is>
      </c>
      <c r="E229" s="22" t="inlineStr">
        <is>
          <t>Nariño</t>
        </is>
      </c>
      <c r="F229" s="22" t="n">
        <v>7</v>
      </c>
      <c r="G229" s="22" t="n">
        <v>32</v>
      </c>
      <c r="H229" s="23" t="n">
        <v>-78.14</v>
      </c>
      <c r="I229" s="24" t="n">
        <v>1.67</v>
      </c>
      <c r="J229" s="25" t="n">
        <v>30.333391688771</v>
      </c>
      <c r="K229" s="26" t="n">
        <v>30.73235863753105</v>
      </c>
      <c r="L229" s="26" t="n">
        <v>31.39175151878155</v>
      </c>
      <c r="M229" s="26" t="n">
        <v>31.38488596971355</v>
      </c>
      <c r="N229" s="26" t="n">
        <v>30.48378745931694</v>
      </c>
      <c r="O229" s="26" t="n">
        <v>30.16046657046657</v>
      </c>
      <c r="P229" s="26" t="n">
        <v>30.0352858849633</v>
      </c>
      <c r="Q229" s="26" t="n">
        <v>29.91336405529954</v>
      </c>
      <c r="R229" s="26" t="n">
        <v>29.92434929055618</v>
      </c>
      <c r="S229" s="26" t="n">
        <v>29.78991456703804</v>
      </c>
      <c r="T229" s="26" t="n">
        <v>29.56763692756796</v>
      </c>
      <c r="U229" s="26" t="n">
        <v>29.78919688542825</v>
      </c>
      <c r="V229" s="27">
        <f>AVERAGE(J229:U229)</f>
        <v/>
      </c>
      <c r="W229" s="28" t="n">
        <v>113</v>
      </c>
      <c r="X229" s="29" t="n">
        <v>0.9416666666666667</v>
      </c>
    </row>
    <row r="230" ht="13.9" customHeight="1">
      <c r="A230" s="11" t="n">
        <v>52045020</v>
      </c>
      <c r="B230" s="22" t="inlineStr">
        <is>
          <t>SP</t>
        </is>
      </c>
      <c r="C230" s="22" t="inlineStr">
        <is>
          <t>Aeropuerto Antonio Nariño</t>
        </is>
      </c>
      <c r="D230" s="22" t="inlineStr">
        <is>
          <t>Chachaguí</t>
        </is>
      </c>
      <c r="E230" s="22" t="inlineStr">
        <is>
          <t>Nariño</t>
        </is>
      </c>
      <c r="F230" s="22" t="n">
        <v>7</v>
      </c>
      <c r="G230" s="22" t="n">
        <v>1796</v>
      </c>
      <c r="H230" s="23" t="n">
        <v>-77.29086111000001</v>
      </c>
      <c r="I230" s="24" t="n">
        <v>1.39408333</v>
      </c>
      <c r="J230" s="25" t="n">
        <v>23.35015890083632</v>
      </c>
      <c r="K230" s="26" t="n">
        <v>23.64195685408527</v>
      </c>
      <c r="L230" s="26" t="n">
        <v>23.75425210642732</v>
      </c>
      <c r="M230" s="26" t="n">
        <v>23.93806154804372</v>
      </c>
      <c r="N230" s="26" t="n">
        <v>24.01209632669761</v>
      </c>
      <c r="O230" s="26" t="n">
        <v>24.63335249042145</v>
      </c>
      <c r="P230" s="26" t="n">
        <v>25.38742483712062</v>
      </c>
      <c r="Q230" s="26" t="n">
        <v>26.14732965766952</v>
      </c>
      <c r="R230" s="26" t="n">
        <v>25.98238736953362</v>
      </c>
      <c r="S230" s="26" t="n">
        <v>24.31999307872945</v>
      </c>
      <c r="T230" s="26" t="n">
        <v>22.9001724137931</v>
      </c>
      <c r="U230" s="26" t="n">
        <v>22.89548766707276</v>
      </c>
      <c r="V230" s="27">
        <f>AVERAGE(J230:U230)</f>
        <v/>
      </c>
      <c r="W230" s="28" t="n">
        <v>353</v>
      </c>
      <c r="X230" s="29" t="n">
        <v>0.9805555555555555</v>
      </c>
    </row>
    <row r="231" ht="13.9" customHeight="1">
      <c r="A231" s="11" t="n">
        <v>52055030</v>
      </c>
      <c r="B231" s="22" t="inlineStr">
        <is>
          <t>CO</t>
        </is>
      </c>
      <c r="C231" s="22" t="inlineStr">
        <is>
          <t>Bombona</t>
        </is>
      </c>
      <c r="D231" s="22" t="inlineStr">
        <is>
          <t>Consacá</t>
        </is>
      </c>
      <c r="E231" s="22" t="inlineStr">
        <is>
          <t>Nariño</t>
        </is>
      </c>
      <c r="F231" s="22" t="n">
        <v>7</v>
      </c>
      <c r="G231" s="22" t="n">
        <v>1493</v>
      </c>
      <c r="H231" s="23" t="n">
        <v>-77.46511111000001</v>
      </c>
      <c r="I231" s="24" t="n">
        <v>1.18436111</v>
      </c>
      <c r="J231" s="25" t="n">
        <v>25.10660311487692</v>
      </c>
      <c r="K231" s="26" t="n">
        <v>25.28659329535703</v>
      </c>
      <c r="L231" s="26" t="n">
        <v>25.58600960774487</v>
      </c>
      <c r="M231" s="26" t="n">
        <v>25.49009594917641</v>
      </c>
      <c r="N231" s="26" t="n">
        <v>25.34439534490573</v>
      </c>
      <c r="O231" s="26" t="n">
        <v>25.68510369154048</v>
      </c>
      <c r="P231" s="26" t="n">
        <v>26.4662638839655</v>
      </c>
      <c r="Q231" s="26" t="n">
        <v>27.21987400588711</v>
      </c>
      <c r="R231" s="26" t="n">
        <v>27.49404853128991</v>
      </c>
      <c r="S231" s="26" t="n">
        <v>26.40504477909929</v>
      </c>
      <c r="T231" s="26" t="n">
        <v>24.89203978779841</v>
      </c>
      <c r="U231" s="26" t="n">
        <v>24.6449117217576</v>
      </c>
      <c r="V231" s="27">
        <f>AVERAGE(J231:U231)</f>
        <v/>
      </c>
      <c r="W231" s="28" t="n">
        <v>325</v>
      </c>
      <c r="X231" s="29" t="n">
        <v>0.9027777777777778</v>
      </c>
    </row>
    <row r="232" ht="13.9" customHeight="1">
      <c r="A232" s="11" t="n">
        <v>52055210</v>
      </c>
      <c r="B232" s="22" t="inlineStr">
        <is>
          <t>CP</t>
        </is>
      </c>
      <c r="C232" s="22" t="inlineStr">
        <is>
          <t xml:space="preserve">Botana - AUT </t>
        </is>
      </c>
      <c r="D232" s="22" t="inlineStr">
        <is>
          <t>Pasto</t>
        </is>
      </c>
      <c r="E232" s="22" t="inlineStr">
        <is>
          <t>Nariño</t>
        </is>
      </c>
      <c r="F232" s="22" t="n">
        <v>7</v>
      </c>
      <c r="G232" s="22" t="n">
        <v>2820</v>
      </c>
      <c r="H232" s="23" t="n">
        <v>-77.27880556000001</v>
      </c>
      <c r="I232" s="24" t="n">
        <v>1.16</v>
      </c>
      <c r="J232" s="25" t="n">
        <v>17.38584517776954</v>
      </c>
      <c r="K232" s="26" t="n">
        <v>17.62673737246151</v>
      </c>
      <c r="L232" s="26" t="n">
        <v>17.65569414575866</v>
      </c>
      <c r="M232" s="26" t="n">
        <v>17.76900659673329</v>
      </c>
      <c r="N232" s="26" t="n">
        <v>17.68222554079217</v>
      </c>
      <c r="O232" s="26" t="n">
        <v>16.87570238877931</v>
      </c>
      <c r="P232" s="26" t="n">
        <v>16.32953777326125</v>
      </c>
      <c r="Q232" s="26" t="n">
        <v>16.43813540814505</v>
      </c>
      <c r="R232" s="26" t="n">
        <v>17.33622330219147</v>
      </c>
      <c r="S232" s="26" t="n">
        <v>17.92067411536266</v>
      </c>
      <c r="T232" s="26" t="n">
        <v>17.69597183276494</v>
      </c>
      <c r="U232" s="26" t="n">
        <v>17.3943197626993</v>
      </c>
      <c r="V232" s="27">
        <f>AVERAGE(J232:U232)</f>
        <v/>
      </c>
      <c r="W232" s="28" t="n">
        <v>310</v>
      </c>
      <c r="X232" s="29" t="n">
        <v>0.8611111111111112</v>
      </c>
    </row>
    <row r="233" ht="13.9" customHeight="1">
      <c r="A233" s="11" t="n">
        <v>47015100</v>
      </c>
      <c r="B233" s="22" t="inlineStr">
        <is>
          <t>CP</t>
        </is>
      </c>
      <c r="C233" s="22" t="inlineStr">
        <is>
          <t xml:space="preserve">El Encano </t>
        </is>
      </c>
      <c r="D233" s="22" t="inlineStr">
        <is>
          <t>Pasto</t>
        </is>
      </c>
      <c r="E233" s="22" t="inlineStr">
        <is>
          <t>Nariño</t>
        </is>
      </c>
      <c r="F233" s="22" t="n">
        <v>7</v>
      </c>
      <c r="G233" s="22" t="n">
        <v>2830</v>
      </c>
      <c r="H233" s="23" t="n">
        <v>-77.16147222000001</v>
      </c>
      <c r="I233" s="24" t="n">
        <v>1.15994444</v>
      </c>
      <c r="J233" s="25" t="n">
        <v>16.60650008356143</v>
      </c>
      <c r="K233" s="26" t="n">
        <v>16.65089573913581</v>
      </c>
      <c r="L233" s="26" t="n">
        <v>16.32623210624714</v>
      </c>
      <c r="M233" s="26" t="n">
        <v>16.30618456174367</v>
      </c>
      <c r="N233" s="26" t="n">
        <v>15.88354210838952</v>
      </c>
      <c r="O233" s="26" t="n">
        <v>14.89144546811213</v>
      </c>
      <c r="P233" s="26" t="n">
        <v>14.23302073092436</v>
      </c>
      <c r="Q233" s="26" t="n">
        <v>14.28566120241295</v>
      </c>
      <c r="R233" s="26" t="n">
        <v>15.25481457472467</v>
      </c>
      <c r="S233" s="26" t="n">
        <v>16.48213919661302</v>
      </c>
      <c r="T233" s="26" t="n">
        <v>17.12420546954414</v>
      </c>
      <c r="U233" s="26" t="n">
        <v>16.82381279490363</v>
      </c>
      <c r="V233" s="27">
        <f>AVERAGE(J233:U233)</f>
        <v/>
      </c>
      <c r="W233" s="28" t="n">
        <v>331</v>
      </c>
      <c r="X233" s="29" t="n">
        <v>0.9194444444444444</v>
      </c>
    </row>
    <row r="234" ht="13.9" customHeight="1">
      <c r="A234" s="11" t="n">
        <v>52045010</v>
      </c>
      <c r="B234" s="22" t="inlineStr">
        <is>
          <t>AM</t>
        </is>
      </c>
      <c r="C234" s="22" t="inlineStr">
        <is>
          <t>Obonuco</t>
        </is>
      </c>
      <c r="D234" s="22" t="inlineStr">
        <is>
          <t>Pasto</t>
        </is>
      </c>
      <c r="E234" s="22" t="inlineStr">
        <is>
          <t>Nariño</t>
        </is>
      </c>
      <c r="F234" s="22" t="n">
        <v>7</v>
      </c>
      <c r="G234" s="22" t="n">
        <v>2710</v>
      </c>
      <c r="H234" s="23" t="n">
        <v>-77.30308332999999</v>
      </c>
      <c r="I234" s="24" t="n">
        <v>1.19822222</v>
      </c>
      <c r="J234" s="25" t="n">
        <v>17.14235178948888</v>
      </c>
      <c r="K234" s="26" t="n">
        <v>17.47899722394942</v>
      </c>
      <c r="L234" s="26" t="n">
        <v>17.44928188945977</v>
      </c>
      <c r="M234" s="26" t="n">
        <v>17.62937737639117</v>
      </c>
      <c r="N234" s="26" t="n">
        <v>17.50582292068743</v>
      </c>
      <c r="O234" s="26" t="n">
        <v>16.93167534728363</v>
      </c>
      <c r="P234" s="26" t="n">
        <v>16.55638549615012</v>
      </c>
      <c r="Q234" s="26" t="n">
        <v>16.77337009846331</v>
      </c>
      <c r="R234" s="26" t="n">
        <v>17.64255737465933</v>
      </c>
      <c r="S234" s="26" t="n">
        <v>18.03362419148848</v>
      </c>
      <c r="T234" s="26" t="n">
        <v>17.65078612776358</v>
      </c>
      <c r="U234" s="26" t="n">
        <v>17.35814822230461</v>
      </c>
      <c r="V234" s="27">
        <f>AVERAGE(J234:U234)</f>
        <v/>
      </c>
      <c r="W234" s="28" t="n">
        <v>304</v>
      </c>
      <c r="X234" s="29" t="n">
        <v>0.8444444444444444</v>
      </c>
    </row>
    <row r="235" ht="13.9" customHeight="1">
      <c r="A235" s="11" t="n">
        <v>47015080</v>
      </c>
      <c r="B235" s="22" t="inlineStr">
        <is>
          <t>CO</t>
        </is>
      </c>
      <c r="C235" s="22" t="inlineStr">
        <is>
          <t>Monopamba</t>
        </is>
      </c>
      <c r="D235" s="22" t="inlineStr">
        <is>
          <t>Puerres</t>
        </is>
      </c>
      <c r="E235" s="22" t="inlineStr">
        <is>
          <t>Nariño</t>
        </is>
      </c>
      <c r="F235" s="22" t="n">
        <v>7</v>
      </c>
      <c r="G235" s="22" t="n">
        <v>1776</v>
      </c>
      <c r="H235" s="23" t="n">
        <v>-77.30361111000001</v>
      </c>
      <c r="I235" s="24" t="n">
        <v>0.8049166700000001</v>
      </c>
      <c r="J235" s="25" t="n">
        <v>21.24277009728623</v>
      </c>
      <c r="K235" s="26" t="n">
        <v>21.21546419674439</v>
      </c>
      <c r="L235" s="26" t="n">
        <v>21.61289403547468</v>
      </c>
      <c r="M235" s="26" t="n">
        <v>21.59578544061303</v>
      </c>
      <c r="N235" s="26" t="n">
        <v>21.22229720265316</v>
      </c>
      <c r="O235" s="26" t="n">
        <v>20.00111494252874</v>
      </c>
      <c r="P235" s="26" t="n">
        <v>19.45048195084485</v>
      </c>
      <c r="Q235" s="26" t="n">
        <v>20.26207287197415</v>
      </c>
      <c r="R235" s="26" t="n">
        <v>21.39966976829046</v>
      </c>
      <c r="S235" s="26" t="n">
        <v>21.95141731553578</v>
      </c>
      <c r="T235" s="26" t="n">
        <v>22.32200267591072</v>
      </c>
      <c r="U235" s="26" t="n">
        <v>21.64202922525503</v>
      </c>
      <c r="V235" s="27">
        <f>AVERAGE(J235:U235)</f>
        <v/>
      </c>
      <c r="W235" s="28" t="n">
        <v>105</v>
      </c>
      <c r="X235" s="29" t="n">
        <v>0.875</v>
      </c>
    </row>
    <row r="236" ht="13.9" customHeight="1">
      <c r="A236" s="11" t="n">
        <v>52045090</v>
      </c>
      <c r="B236" s="22" t="inlineStr">
        <is>
          <t>CO</t>
        </is>
      </c>
      <c r="C236" s="22" t="inlineStr">
        <is>
          <t>El común</t>
        </is>
      </c>
      <c r="D236" s="22" t="inlineStr">
        <is>
          <t>Pupiales</t>
        </is>
      </c>
      <c r="E236" s="22" t="inlineStr">
        <is>
          <t>Nariño</t>
        </is>
      </c>
      <c r="F236" s="22" t="n">
        <v>7</v>
      </c>
      <c r="G236" s="22" t="n">
        <v>3141</v>
      </c>
      <c r="H236" s="23" t="n">
        <v>-77.62958332999999</v>
      </c>
      <c r="I236" s="24" t="n">
        <v>0.9326388900000001</v>
      </c>
      <c r="J236" s="25" t="n">
        <v>15.20025806451613</v>
      </c>
      <c r="K236" s="26" t="n">
        <v>15.15759289667336</v>
      </c>
      <c r="L236" s="26" t="n">
        <v>15.16604301075269</v>
      </c>
      <c r="M236" s="26" t="n">
        <v>15.04182489002412</v>
      </c>
      <c r="N236" s="26" t="n">
        <v>14.79116845878137</v>
      </c>
      <c r="O236" s="26" t="n">
        <v>13.77894745484401</v>
      </c>
      <c r="P236" s="26" t="n">
        <v>12.99240860215054</v>
      </c>
      <c r="Q236" s="26" t="n">
        <v>13.11626251390434</v>
      </c>
      <c r="R236" s="26" t="n">
        <v>13.83966666666667</v>
      </c>
      <c r="S236" s="26" t="n">
        <v>15.00006451612903</v>
      </c>
      <c r="T236" s="26" t="n">
        <v>15.81632183908046</v>
      </c>
      <c r="U236" s="26" t="n">
        <v>14.88566308243728</v>
      </c>
      <c r="V236" s="27">
        <f>AVERAGE(J236:U236)</f>
        <v/>
      </c>
      <c r="W236" s="28" t="n">
        <v>116</v>
      </c>
      <c r="X236" s="29" t="n">
        <v>0.9666666666666667</v>
      </c>
    </row>
    <row r="237" ht="13.9" customHeight="1">
      <c r="A237" s="11" t="n">
        <v>52055060</v>
      </c>
      <c r="B237" s="22" t="inlineStr">
        <is>
          <t>CO</t>
        </is>
      </c>
      <c r="C237" s="22" t="inlineStr">
        <is>
          <t>Tanama</t>
        </is>
      </c>
      <c r="D237" s="22" t="inlineStr">
        <is>
          <t>Samaniego</t>
        </is>
      </c>
      <c r="E237" s="22" t="inlineStr">
        <is>
          <t>Nariño</t>
        </is>
      </c>
      <c r="F237" s="22" t="n">
        <v>7</v>
      </c>
      <c r="G237" s="22" t="n">
        <v>1500</v>
      </c>
      <c r="H237" s="23" t="n">
        <v>-77.58305556000001</v>
      </c>
      <c r="I237" s="24" t="n">
        <v>1.37355556</v>
      </c>
      <c r="J237" s="25" t="n">
        <v>25.54216346974412</v>
      </c>
      <c r="K237" s="26" t="n">
        <v>25.68528333949195</v>
      </c>
      <c r="L237" s="26" t="n">
        <v>25.62528384685927</v>
      </c>
      <c r="M237" s="26" t="n">
        <v>25.68627202413532</v>
      </c>
      <c r="N237" s="26" t="n">
        <v>25.63391235215299</v>
      </c>
      <c r="O237" s="26" t="n">
        <v>25.80260728203256</v>
      </c>
      <c r="P237" s="26" t="n">
        <v>26.54892795315357</v>
      </c>
      <c r="Q237" s="26" t="n">
        <v>27.2390776469385</v>
      </c>
      <c r="R237" s="26" t="n">
        <v>27.35224276824158</v>
      </c>
      <c r="S237" s="26" t="n">
        <v>26.26616704763534</v>
      </c>
      <c r="T237" s="26" t="n">
        <v>25.39044901868793</v>
      </c>
      <c r="U237" s="26" t="n">
        <v>25.35720817565275</v>
      </c>
      <c r="V237" s="27">
        <f>AVERAGE(J237:U237)</f>
        <v/>
      </c>
      <c r="W237" s="28" t="n">
        <v>334</v>
      </c>
      <c r="X237" s="29" t="n">
        <v>0.9277777777777778</v>
      </c>
    </row>
    <row r="238" ht="13.9" customHeight="1">
      <c r="A238" s="11" t="n">
        <v>52045030</v>
      </c>
      <c r="B238" s="22" t="inlineStr">
        <is>
          <t>CO</t>
        </is>
      </c>
      <c r="C238" s="22" t="inlineStr">
        <is>
          <t>San Bernardo</t>
        </is>
      </c>
      <c r="D238" s="22" t="inlineStr">
        <is>
          <t xml:space="preserve">San Bernardo </t>
        </is>
      </c>
      <c r="E238" s="22" t="inlineStr">
        <is>
          <t>Nariño</t>
        </is>
      </c>
      <c r="F238" s="22" t="n">
        <v>7</v>
      </c>
      <c r="G238" s="22" t="n">
        <v>2190</v>
      </c>
      <c r="H238" s="23" t="n">
        <v>-77.03261111</v>
      </c>
      <c r="I238" s="24" t="n">
        <v>1.53872222</v>
      </c>
      <c r="J238" s="25" t="n">
        <v>21.87402337516094</v>
      </c>
      <c r="K238" s="26" t="n">
        <v>21.88809172468655</v>
      </c>
      <c r="L238" s="26" t="n">
        <v>21.94327045348824</v>
      </c>
      <c r="M238" s="26" t="n">
        <v>22.3968666886704</v>
      </c>
      <c r="N238" s="26" t="n">
        <v>22.02034301380241</v>
      </c>
      <c r="O238" s="26" t="n">
        <v>21.98270930908172</v>
      </c>
      <c r="P238" s="26" t="n">
        <v>21.7045387202712</v>
      </c>
      <c r="Q238" s="26" t="n">
        <v>22.04542541475334</v>
      </c>
      <c r="R238" s="26" t="n">
        <v>22.8164890530925</v>
      </c>
      <c r="S238" s="26" t="n">
        <v>22.51046214862261</v>
      </c>
      <c r="T238" s="26" t="n">
        <v>21.54824933102232</v>
      </c>
      <c r="U238" s="26" t="n">
        <v>21.57122013986843</v>
      </c>
      <c r="V238" s="27">
        <f>AVERAGE(J238:U238)</f>
        <v/>
      </c>
      <c r="W238" s="28" t="n">
        <v>308</v>
      </c>
      <c r="X238" s="29" t="n">
        <v>0.8555555555555555</v>
      </c>
    </row>
    <row r="239" ht="13.9" customHeight="1">
      <c r="A239" s="11" t="n">
        <v>52055100</v>
      </c>
      <c r="B239" s="22" t="inlineStr">
        <is>
          <t>CO</t>
        </is>
      </c>
      <c r="C239" s="22" t="inlineStr">
        <is>
          <t>Villa Rosa</t>
        </is>
      </c>
      <c r="D239" s="22" t="inlineStr">
        <is>
          <t>Sapuyes</t>
        </is>
      </c>
      <c r="E239" s="22" t="inlineStr">
        <is>
          <t>Nariño</t>
        </is>
      </c>
      <c r="F239" s="22" t="n">
        <v>7</v>
      </c>
      <c r="G239" s="22" t="n">
        <v>3000</v>
      </c>
      <c r="H239" s="23" t="n">
        <v>-77.63827778</v>
      </c>
      <c r="I239" s="24" t="n">
        <v>1.0305</v>
      </c>
      <c r="J239" s="25" t="n">
        <v>16.18521564457048</v>
      </c>
      <c r="K239" s="26" t="n">
        <v>16.23990603904397</v>
      </c>
      <c r="L239" s="26" t="n">
        <v>16.36437440777819</v>
      </c>
      <c r="M239" s="26" t="n">
        <v>16.66864367816092</v>
      </c>
      <c r="N239" s="26" t="n">
        <v>16.37348387096774</v>
      </c>
      <c r="O239" s="26" t="n">
        <v>16.17534482758621</v>
      </c>
      <c r="P239" s="26" t="n">
        <v>15.32378136200717</v>
      </c>
      <c r="Q239" s="26" t="n">
        <v>15.36372043010753</v>
      </c>
      <c r="R239" s="26" t="n">
        <v>16.23875789089582</v>
      </c>
      <c r="S239" s="26" t="n">
        <v>16.43815906562848</v>
      </c>
      <c r="T239" s="26" t="n">
        <v>16.51791826309067</v>
      </c>
      <c r="U239" s="26" t="n">
        <v>16.39961426864652</v>
      </c>
      <c r="V239" s="27">
        <f>AVERAGE(J239:U239)</f>
        <v/>
      </c>
      <c r="W239" s="28" t="n">
        <v>115</v>
      </c>
      <c r="X239" s="29" t="n">
        <v>0.9583333333333334</v>
      </c>
    </row>
    <row r="240" ht="13.9" customHeight="1">
      <c r="A240" s="11" t="n">
        <v>52045040</v>
      </c>
      <c r="B240" s="22" t="inlineStr">
        <is>
          <t>CO</t>
        </is>
      </c>
      <c r="C240" s="22" t="inlineStr">
        <is>
          <t>Taminango</t>
        </is>
      </c>
      <c r="D240" s="22" t="inlineStr">
        <is>
          <t>Taminango</t>
        </is>
      </c>
      <c r="E240" s="22" t="inlineStr">
        <is>
          <t>Nariño</t>
        </is>
      </c>
      <c r="F240" s="22" t="n">
        <v>7</v>
      </c>
      <c r="G240" s="22" t="n">
        <v>1875</v>
      </c>
      <c r="H240" s="23" t="n">
        <v>-77.2675</v>
      </c>
      <c r="I240" s="24" t="n">
        <v>1.54916667</v>
      </c>
      <c r="J240" s="25" t="n">
        <v>22.57266415064358</v>
      </c>
      <c r="K240" s="26" t="n">
        <v>22.89393505175114</v>
      </c>
      <c r="L240" s="26" t="n">
        <v>22.93858556176242</v>
      </c>
      <c r="M240" s="26" t="n">
        <v>22.99678898198438</v>
      </c>
      <c r="N240" s="26" t="n">
        <v>22.85604777064828</v>
      </c>
      <c r="O240" s="26" t="n">
        <v>23.4039437286851</v>
      </c>
      <c r="P240" s="26" t="n">
        <v>24.30997741990134</v>
      </c>
      <c r="Q240" s="26" t="n">
        <v>25.24477359575643</v>
      </c>
      <c r="R240" s="26" t="n">
        <v>24.92273106468112</v>
      </c>
      <c r="S240" s="26" t="n">
        <v>23.35534524377048</v>
      </c>
      <c r="T240" s="26" t="n">
        <v>21.78532922824303</v>
      </c>
      <c r="U240" s="26" t="n">
        <v>21.838916834892</v>
      </c>
      <c r="V240" s="27">
        <f>AVERAGE(J240:U240)</f>
        <v/>
      </c>
      <c r="W240" s="28" t="n">
        <v>346</v>
      </c>
      <c r="X240" s="29" t="n">
        <v>0.9611111111111111</v>
      </c>
    </row>
    <row r="241" ht="13.9" customHeight="1">
      <c r="A241" s="11" t="n">
        <v>52055090</v>
      </c>
      <c r="B241" s="22" t="inlineStr">
        <is>
          <t>CP</t>
        </is>
      </c>
      <c r="C241" s="22" t="inlineStr">
        <is>
          <t>Sindagua</t>
        </is>
      </c>
      <c r="D241" s="22" t="inlineStr">
        <is>
          <t>Tangua</t>
        </is>
      </c>
      <c r="E241" s="22" t="inlineStr">
        <is>
          <t>Nariño</t>
        </is>
      </c>
      <c r="F241" s="22" t="n">
        <v>7</v>
      </c>
      <c r="G241" s="22" t="n">
        <v>2800</v>
      </c>
      <c r="H241" s="23" t="n">
        <v>-77.38936111000001</v>
      </c>
      <c r="I241" s="24" t="n">
        <v>1.10758333</v>
      </c>
      <c r="J241" s="25" t="n">
        <v>17.40183857235062</v>
      </c>
      <c r="K241" s="26" t="n">
        <v>17.54289476981086</v>
      </c>
      <c r="L241" s="26" t="n">
        <v>17.61841080036019</v>
      </c>
      <c r="M241" s="26" t="n">
        <v>17.88677932858967</v>
      </c>
      <c r="N241" s="26" t="n">
        <v>17.68503190358029</v>
      </c>
      <c r="O241" s="26" t="n">
        <v>17.50935960591133</v>
      </c>
      <c r="P241" s="26" t="n">
        <v>17.34796376561441</v>
      </c>
      <c r="Q241" s="26" t="n">
        <v>17.64581778107362</v>
      </c>
      <c r="R241" s="26" t="n">
        <v>18.29491428068123</v>
      </c>
      <c r="S241" s="26" t="n">
        <v>18.09181003584229</v>
      </c>
      <c r="T241" s="26" t="n">
        <v>17.3794</v>
      </c>
      <c r="U241" s="26" t="n">
        <v>17.22151662340872</v>
      </c>
      <c r="V241" s="27">
        <f>AVERAGE(J241:U241)</f>
        <v/>
      </c>
      <c r="W241" s="28" t="n">
        <v>350</v>
      </c>
      <c r="X241" s="29" t="n">
        <v>0.9722222222222222</v>
      </c>
    </row>
    <row r="242" ht="13.9" customHeight="1">
      <c r="A242" s="11" t="n">
        <v>51025090</v>
      </c>
      <c r="B242" s="22" t="inlineStr">
        <is>
          <t>CP</t>
        </is>
      </c>
      <c r="C242" s="22" t="inlineStr">
        <is>
          <t xml:space="preserve">Granja El Mira - AUT </t>
        </is>
      </c>
      <c r="D242" s="22" t="inlineStr">
        <is>
          <t>Tumaco</t>
        </is>
      </c>
      <c r="E242" s="22" t="inlineStr">
        <is>
          <t>Nariño</t>
        </is>
      </c>
      <c r="F242" s="22" t="n">
        <v>7</v>
      </c>
      <c r="G242" s="22" t="n">
        <v>16</v>
      </c>
      <c r="H242" s="23" t="n">
        <v>-78.69558332999999</v>
      </c>
      <c r="I242" s="24" t="n">
        <v>1.55019444</v>
      </c>
      <c r="J242" s="25" t="n">
        <v>30.41177911965676</v>
      </c>
      <c r="K242" s="26" t="n">
        <v>31.0244588648899</v>
      </c>
      <c r="L242" s="26" t="n">
        <v>31.31131765453679</v>
      </c>
      <c r="M242" s="26" t="n">
        <v>31.35352442002442</v>
      </c>
      <c r="N242" s="26" t="n">
        <v>30.79171743089029</v>
      </c>
      <c r="O242" s="26" t="n">
        <v>30.49141798941799</v>
      </c>
      <c r="P242" s="26" t="n">
        <v>30.37697548716681</v>
      </c>
      <c r="Q242" s="26" t="n">
        <v>30.47315153227278</v>
      </c>
      <c r="R242" s="26" t="n">
        <v>30.27420361247947</v>
      </c>
      <c r="S242" s="26" t="n">
        <v>29.7698974986251</v>
      </c>
      <c r="T242" s="26" t="n">
        <v>29.90942261904762</v>
      </c>
      <c r="U242" s="26" t="n">
        <v>30.11663740134541</v>
      </c>
      <c r="V242" s="27">
        <f>AVERAGE(J242:U242)</f>
        <v/>
      </c>
      <c r="W242" s="28" t="n">
        <v>111</v>
      </c>
      <c r="X242" s="29" t="n">
        <v>0.925</v>
      </c>
    </row>
    <row r="243" ht="13.9" customHeight="1">
      <c r="A243" s="11" t="n">
        <v>52055220</v>
      </c>
      <c r="B243" s="22" t="inlineStr">
        <is>
          <t>CP</t>
        </is>
      </c>
      <c r="C243" s="22" t="inlineStr">
        <is>
          <t xml:space="preserve">El Paraiso - AUT </t>
        </is>
      </c>
      <c r="D243" s="22" t="inlineStr">
        <is>
          <t>Túquerres</t>
        </is>
      </c>
      <c r="E243" s="22" t="inlineStr">
        <is>
          <t>Nariño</t>
        </is>
      </c>
      <c r="F243" s="22" t="n">
        <v>7</v>
      </c>
      <c r="G243" s="22" t="n">
        <v>3120</v>
      </c>
      <c r="H243" s="23" t="n">
        <v>-77.63688888999999</v>
      </c>
      <c r="I243" s="24" t="n">
        <v>1.07061111</v>
      </c>
      <c r="J243" s="25" t="n">
        <v>16.10079307750877</v>
      </c>
      <c r="K243" s="26" t="n">
        <v>16.19500353721299</v>
      </c>
      <c r="L243" s="26" t="n">
        <v>16.18591397849462</v>
      </c>
      <c r="M243" s="26" t="n">
        <v>16.25570724841661</v>
      </c>
      <c r="N243" s="26" t="n">
        <v>16.10096297473383</v>
      </c>
      <c r="O243" s="26" t="n">
        <v>15.54169540229885</v>
      </c>
      <c r="P243" s="26" t="n">
        <v>15.20642771804062</v>
      </c>
      <c r="Q243" s="26" t="n">
        <v>15.33697398819201</v>
      </c>
      <c r="R243" s="26" t="n">
        <v>16.18561379310345</v>
      </c>
      <c r="S243" s="26" t="n">
        <v>16.43478494623656</v>
      </c>
      <c r="T243" s="26" t="n">
        <v>16.34011671087533</v>
      </c>
      <c r="U243" s="26" t="n">
        <v>16.19328634010355</v>
      </c>
      <c r="V243" s="27">
        <f>AVERAGE(J243:U243)</f>
        <v/>
      </c>
      <c r="W243" s="28" t="n">
        <v>321</v>
      </c>
      <c r="X243" s="29" t="n">
        <v>0.8916666666666667</v>
      </c>
    </row>
    <row r="244" ht="13.9" customHeight="1">
      <c r="A244" s="11" t="n">
        <v>16055040</v>
      </c>
      <c r="B244" s="22" t="inlineStr">
        <is>
          <t>CP</t>
        </is>
      </c>
      <c r="C244" s="22" t="inlineStr">
        <is>
          <t>Abrego Centro Administrativo</t>
        </is>
      </c>
      <c r="D244" s="22" t="inlineStr">
        <is>
          <t>Ábrego</t>
        </is>
      </c>
      <c r="E244" s="22" t="inlineStr">
        <is>
          <t>Norte de Santander</t>
        </is>
      </c>
      <c r="F244" s="22" t="n">
        <v>8</v>
      </c>
      <c r="G244" s="22" t="n">
        <v>1430</v>
      </c>
      <c r="H244" s="23" t="n">
        <v>-73.22305556000001</v>
      </c>
      <c r="I244" s="24" t="n">
        <v>8.087222219999999</v>
      </c>
      <c r="J244" s="25" t="n">
        <v>26.89136585424295</v>
      </c>
      <c r="K244" s="26" t="n">
        <v>27.48016495811437</v>
      </c>
      <c r="L244" s="26" t="n">
        <v>28.00567763951353</v>
      </c>
      <c r="M244" s="26" t="n">
        <v>27.74308425425232</v>
      </c>
      <c r="N244" s="26" t="n">
        <v>27.57772515506626</v>
      </c>
      <c r="O244" s="26" t="n">
        <v>27.81439610728476</v>
      </c>
      <c r="P244" s="26" t="n">
        <v>28.30530658642765</v>
      </c>
      <c r="Q244" s="26" t="n">
        <v>28.27151583402487</v>
      </c>
      <c r="R244" s="26" t="n">
        <v>27.69362790770483</v>
      </c>
      <c r="S244" s="26" t="n">
        <v>27.13936460569432</v>
      </c>
      <c r="T244" s="26" t="n">
        <v>26.65412984079389</v>
      </c>
      <c r="U244" s="26" t="n">
        <v>26.68161163061784</v>
      </c>
      <c r="V244" s="27">
        <f>AVERAGE(J244:U244)</f>
        <v/>
      </c>
      <c r="W244" s="28" t="n">
        <v>292</v>
      </c>
      <c r="X244" s="29" t="n">
        <v>0.8111111111111111</v>
      </c>
    </row>
    <row r="245" ht="13.9" customHeight="1">
      <c r="A245" s="11" t="n">
        <v>23195180</v>
      </c>
      <c r="B245" s="22" t="inlineStr">
        <is>
          <t>CO</t>
        </is>
      </c>
      <c r="C245" s="22" t="inlineStr">
        <is>
          <t>Escuela Agrícola Cáchira</t>
        </is>
      </c>
      <c r="D245" s="22" t="inlineStr">
        <is>
          <t>Cáchira</t>
        </is>
      </c>
      <c r="E245" s="22" t="inlineStr">
        <is>
          <t>Norte de Santander</t>
        </is>
      </c>
      <c r="F245" s="22" t="n">
        <v>8</v>
      </c>
      <c r="G245" s="22" t="n">
        <v>1882</v>
      </c>
      <c r="H245" s="23" t="n">
        <v>-73.05166666999999</v>
      </c>
      <c r="I245" s="24" t="n">
        <v>7.73527778</v>
      </c>
      <c r="J245" s="25" t="n">
        <v>22.74677452972438</v>
      </c>
      <c r="K245" s="26" t="n">
        <v>23.18325934368274</v>
      </c>
      <c r="L245" s="26" t="n">
        <v>22.82755954263174</v>
      </c>
      <c r="M245" s="26" t="n">
        <v>22.53859782278173</v>
      </c>
      <c r="N245" s="26" t="n">
        <v>22.48869155084812</v>
      </c>
      <c r="O245" s="26" t="n">
        <v>22.44113271137121</v>
      </c>
      <c r="P245" s="26" t="n">
        <v>22.54531315924219</v>
      </c>
      <c r="Q245" s="26" t="n">
        <v>22.75197498391692</v>
      </c>
      <c r="R245" s="26" t="n">
        <v>22.35165016053905</v>
      </c>
      <c r="S245" s="26" t="n">
        <v>21.87363148003695</v>
      </c>
      <c r="T245" s="26" t="n">
        <v>21.75933465959328</v>
      </c>
      <c r="U245" s="26" t="n">
        <v>22.2626261145802</v>
      </c>
      <c r="V245" s="27">
        <f>AVERAGE(J245:U245)</f>
        <v/>
      </c>
      <c r="W245" s="28" t="n">
        <v>315</v>
      </c>
      <c r="X245" s="29" t="n">
        <v>0.875</v>
      </c>
    </row>
    <row r="246" ht="13.9" customHeight="1">
      <c r="A246" s="11" t="n">
        <v>16055090</v>
      </c>
      <c r="B246" s="22" t="inlineStr">
        <is>
          <t>CP</t>
        </is>
      </c>
      <c r="C246" s="22" t="inlineStr">
        <is>
          <t>Institución Agrícola Convención</t>
        </is>
      </c>
      <c r="D246" s="22" t="inlineStr">
        <is>
          <t>Convención</t>
        </is>
      </c>
      <c r="E246" s="22" t="inlineStr">
        <is>
          <t>Norte de Santander</t>
        </is>
      </c>
      <c r="F246" s="22" t="n">
        <v>8</v>
      </c>
      <c r="G246" s="22" t="n">
        <v>1076</v>
      </c>
      <c r="H246" s="23" t="n">
        <v>-73.34388889</v>
      </c>
      <c r="I246" s="24" t="n">
        <v>8.470555559999999</v>
      </c>
      <c r="J246" s="25" t="n">
        <v>24.62922768888508</v>
      </c>
      <c r="K246" s="26" t="n">
        <v>25.15685976450115</v>
      </c>
      <c r="L246" s="26" t="n">
        <v>25.67283401310098</v>
      </c>
      <c r="M246" s="26" t="n">
        <v>26.21990804597701</v>
      </c>
      <c r="N246" s="26" t="n">
        <v>27.00774252873564</v>
      </c>
      <c r="O246" s="26" t="n">
        <v>27.10841481481481</v>
      </c>
      <c r="P246" s="26" t="n">
        <v>27.06997033741194</v>
      </c>
      <c r="Q246" s="26" t="n">
        <v>27.73599638163509</v>
      </c>
      <c r="R246" s="26" t="n">
        <v>27.72286398467433</v>
      </c>
      <c r="S246" s="26" t="n">
        <v>27.14171672228401</v>
      </c>
      <c r="T246" s="26" t="n">
        <v>25.95255555555555</v>
      </c>
      <c r="U246" s="26" t="n">
        <v>24.81699195517744</v>
      </c>
      <c r="V246" s="27">
        <f>AVERAGE(J246:U246)</f>
        <v/>
      </c>
      <c r="W246" s="28" t="n">
        <v>296</v>
      </c>
      <c r="X246" s="29" t="n">
        <v>0.8222222222222222</v>
      </c>
    </row>
    <row r="247" ht="13.9" customHeight="1">
      <c r="A247" s="11" t="n">
        <v>16015010</v>
      </c>
      <c r="B247" s="22" t="inlineStr">
        <is>
          <t>SP</t>
        </is>
      </c>
      <c r="C247" s="22" t="inlineStr">
        <is>
          <t>Aeropuerto Camilo Daza</t>
        </is>
      </c>
      <c r="D247" s="22" t="inlineStr">
        <is>
          <t>Cúcuta</t>
        </is>
      </c>
      <c r="E247" s="22" t="inlineStr">
        <is>
          <t>Norte de Santander</t>
        </is>
      </c>
      <c r="F247" s="22" t="n">
        <v>8</v>
      </c>
      <c r="G247" s="22" t="n">
        <v>250</v>
      </c>
      <c r="H247" s="23" t="n">
        <v>-72.50916667</v>
      </c>
      <c r="I247" s="24" t="n">
        <v>7.93027778</v>
      </c>
      <c r="J247" s="25" t="n">
        <v>30.40436559139784</v>
      </c>
      <c r="K247" s="26" t="n">
        <v>30.80457428936325</v>
      </c>
      <c r="L247" s="26" t="n">
        <v>31.11416344086021</v>
      </c>
      <c r="M247" s="26" t="n">
        <v>31.71933660980357</v>
      </c>
      <c r="N247" s="26" t="n">
        <v>32.94492992213571</v>
      </c>
      <c r="O247" s="26" t="n">
        <v>33.09346206896552</v>
      </c>
      <c r="P247" s="26" t="n">
        <v>33.25096240266964</v>
      </c>
      <c r="Q247" s="26" t="n">
        <v>34.2074064516129</v>
      </c>
      <c r="R247" s="26" t="n">
        <v>34.36253591954024</v>
      </c>
      <c r="S247" s="26" t="n">
        <v>33.0150158533223</v>
      </c>
      <c r="T247" s="26" t="n">
        <v>31.30889812534209</v>
      </c>
      <c r="U247" s="26" t="n">
        <v>30.32525151402794</v>
      </c>
      <c r="V247" s="27">
        <f>AVERAGE(J247:U247)</f>
        <v/>
      </c>
      <c r="W247" s="28" t="n">
        <v>295</v>
      </c>
      <c r="X247" s="29" t="n">
        <v>0.8194444444444444</v>
      </c>
    </row>
    <row r="248" ht="13.9" customHeight="1">
      <c r="A248" s="11" t="n">
        <v>16025010</v>
      </c>
      <c r="B248" s="22" t="inlineStr">
        <is>
          <t>CP</t>
        </is>
      </c>
      <c r="C248" s="22" t="inlineStr">
        <is>
          <t>Carmen de Tonchalá</t>
        </is>
      </c>
      <c r="D248" s="22" t="inlineStr">
        <is>
          <t>Cúcuta</t>
        </is>
      </c>
      <c r="E248" s="22" t="inlineStr">
        <is>
          <t>Norte de Santander</t>
        </is>
      </c>
      <c r="F248" s="22" t="n">
        <v>8</v>
      </c>
      <c r="G248" s="22" t="n">
        <v>285</v>
      </c>
      <c r="H248" s="23" t="n">
        <v>-72.56611111000001</v>
      </c>
      <c r="I248" s="24" t="n">
        <v>7.84888889</v>
      </c>
      <c r="J248" s="25" t="n">
        <v>30.91746836999539</v>
      </c>
      <c r="K248" s="26" t="n">
        <v>31.37160139384145</v>
      </c>
      <c r="L248" s="26" t="n">
        <v>31.51828435601159</v>
      </c>
      <c r="M248" s="26" t="n">
        <v>32.26783704207009</v>
      </c>
      <c r="N248" s="26" t="n">
        <v>33.4407982759331</v>
      </c>
      <c r="O248" s="26" t="n">
        <v>33.37307060755337</v>
      </c>
      <c r="P248" s="26" t="n">
        <v>33.56692340148057</v>
      </c>
      <c r="Q248" s="26" t="n">
        <v>34.38660257428889</v>
      </c>
      <c r="R248" s="26" t="n">
        <v>34.68581341523672</v>
      </c>
      <c r="S248" s="26" t="n">
        <v>33.49498457508891</v>
      </c>
      <c r="T248" s="26" t="n">
        <v>31.79416803503011</v>
      </c>
      <c r="U248" s="26" t="n">
        <v>30.97593966841464</v>
      </c>
      <c r="V248" s="27">
        <f>AVERAGE(J248:U248)</f>
        <v/>
      </c>
      <c r="W248" s="28" t="n">
        <v>342</v>
      </c>
      <c r="X248" s="29" t="n">
        <v>0.95</v>
      </c>
    </row>
    <row r="249" ht="13.9" customHeight="1">
      <c r="A249" s="11" t="n">
        <v>16025040</v>
      </c>
      <c r="B249" s="22" t="inlineStr">
        <is>
          <t>CP</t>
        </is>
      </c>
      <c r="C249" s="22" t="inlineStr">
        <is>
          <t>Cinera-Villa Olga</t>
        </is>
      </c>
      <c r="D249" s="22" t="inlineStr">
        <is>
          <t>Cúcuta</t>
        </is>
      </c>
      <c r="E249" s="22" t="inlineStr">
        <is>
          <t>Norte de Santander</t>
        </is>
      </c>
      <c r="F249" s="22" t="n">
        <v>8</v>
      </c>
      <c r="G249" s="22" t="n">
        <v>100</v>
      </c>
      <c r="H249" s="23" t="n">
        <v>-72.46861111</v>
      </c>
      <c r="I249" s="24" t="n">
        <v>8.16777778</v>
      </c>
      <c r="J249" s="25" t="n">
        <v>30.99268200494881</v>
      </c>
      <c r="K249" s="26" t="n">
        <v>31.49034205889039</v>
      </c>
      <c r="L249" s="26" t="n">
        <v>31.63016697918321</v>
      </c>
      <c r="M249" s="26" t="n">
        <v>31.9844455391352</v>
      </c>
      <c r="N249" s="26" t="n">
        <v>32.83802964311102</v>
      </c>
      <c r="O249" s="26" t="n">
        <v>33.05665132415477</v>
      </c>
      <c r="P249" s="26" t="n">
        <v>33.2712702861986</v>
      </c>
      <c r="Q249" s="26" t="n">
        <v>33.98262811322488</v>
      </c>
      <c r="R249" s="26" t="n">
        <v>33.54131559934319</v>
      </c>
      <c r="S249" s="26" t="n">
        <v>32.4496281338239</v>
      </c>
      <c r="T249" s="26" t="n">
        <v>31.43343181722493</v>
      </c>
      <c r="U249" s="26" t="n">
        <v>31.09612870983863</v>
      </c>
      <c r="V249" s="27">
        <f>AVERAGE(J249:U249)</f>
        <v/>
      </c>
      <c r="W249" s="28" t="n">
        <v>298</v>
      </c>
      <c r="X249" s="29" t="n">
        <v>0.8277777777777777</v>
      </c>
    </row>
    <row r="250" ht="13.9" customHeight="1">
      <c r="A250" s="11" t="n">
        <v>16055060</v>
      </c>
      <c r="B250" s="22" t="inlineStr">
        <is>
          <t>CO</t>
        </is>
      </c>
      <c r="C250" s="22" t="inlineStr">
        <is>
          <t>La Playa</t>
        </is>
      </c>
      <c r="D250" s="22" t="inlineStr">
        <is>
          <t>La Playa</t>
        </is>
      </c>
      <c r="E250" s="22" t="inlineStr">
        <is>
          <t>Norte de Santander</t>
        </is>
      </c>
      <c r="F250" s="22" t="n">
        <v>8</v>
      </c>
      <c r="G250" s="22" t="n">
        <v>1500</v>
      </c>
      <c r="H250" s="23" t="n">
        <v>-73.235</v>
      </c>
      <c r="I250" s="24" t="n">
        <v>8.217499999999999</v>
      </c>
      <c r="J250" s="25" t="n">
        <v>23.88738051776429</v>
      </c>
      <c r="K250" s="26" t="n">
        <v>24.89387502341625</v>
      </c>
      <c r="L250" s="26" t="n">
        <v>25.46204559271363</v>
      </c>
      <c r="M250" s="26" t="n">
        <v>25.88715721011477</v>
      </c>
      <c r="N250" s="26" t="n">
        <v>26.42043313525577</v>
      </c>
      <c r="O250" s="26" t="n">
        <v>26.74953351016799</v>
      </c>
      <c r="P250" s="26" t="n">
        <v>27.08256993799339</v>
      </c>
      <c r="Q250" s="26" t="n">
        <v>27.28325450164869</v>
      </c>
      <c r="R250" s="26" t="n">
        <v>26.35104910670428</v>
      </c>
      <c r="S250" s="26" t="n">
        <v>25.37901902891645</v>
      </c>
      <c r="T250" s="26" t="n">
        <v>24.39702136518228</v>
      </c>
      <c r="U250" s="26" t="n">
        <v>23.72195872611817</v>
      </c>
      <c r="V250" s="27">
        <f>AVERAGE(J250:U250)</f>
        <v/>
      </c>
      <c r="W250" s="28" t="n">
        <v>306</v>
      </c>
      <c r="X250" s="29" t="n">
        <v>0.85</v>
      </c>
    </row>
    <row r="251" ht="13.9" customHeight="1">
      <c r="A251" s="11" t="n">
        <v>16055010</v>
      </c>
      <c r="B251" s="22" t="inlineStr">
        <is>
          <t>CP</t>
        </is>
      </c>
      <c r="C251" s="22" t="inlineStr">
        <is>
          <t>Aeropuerto Aguas Claras</t>
        </is>
      </c>
      <c r="D251" s="22" t="inlineStr">
        <is>
          <t>Ocaña</t>
        </is>
      </c>
      <c r="E251" s="22" t="inlineStr">
        <is>
          <t>Norte de Santander</t>
        </is>
      </c>
      <c r="F251" s="22" t="n">
        <v>8</v>
      </c>
      <c r="G251" s="22" t="n">
        <v>1435</v>
      </c>
      <c r="H251" s="23" t="n">
        <v>-73.3575</v>
      </c>
      <c r="I251" s="24" t="n">
        <v>8.315277780000001</v>
      </c>
      <c r="J251" s="25" t="n">
        <v>25.64170127890484</v>
      </c>
      <c r="K251" s="26" t="n">
        <v>26.0525540678989</v>
      </c>
      <c r="L251" s="26" t="n">
        <v>26.65165850945494</v>
      </c>
      <c r="M251" s="26" t="n">
        <v>26.94065485312899</v>
      </c>
      <c r="N251" s="26" t="n">
        <v>27.45649359076222</v>
      </c>
      <c r="O251" s="26" t="n">
        <v>27.32692528735632</v>
      </c>
      <c r="P251" s="26" t="n">
        <v>28.17490975422427</v>
      </c>
      <c r="Q251" s="26" t="n">
        <v>28.08080069124424</v>
      </c>
      <c r="R251" s="26" t="n">
        <v>27.28275314723591</v>
      </c>
      <c r="S251" s="26" t="n">
        <v>26.80154565625533</v>
      </c>
      <c r="T251" s="26" t="n">
        <v>26.02752289728151</v>
      </c>
      <c r="U251" s="26" t="n">
        <v>25.72515730784548</v>
      </c>
      <c r="V251" s="27">
        <f>AVERAGE(J251:U251)</f>
        <v/>
      </c>
      <c r="W251" s="28" t="n">
        <v>110</v>
      </c>
      <c r="X251" s="29" t="n">
        <v>0.9166666666666666</v>
      </c>
    </row>
    <row r="252" ht="13.9" customHeight="1">
      <c r="A252" s="11" t="n">
        <v>16055100</v>
      </c>
      <c r="B252" s="22" t="inlineStr">
        <is>
          <t>CO</t>
        </is>
      </c>
      <c r="C252" s="22" t="inlineStr">
        <is>
          <t>Universidad Francisco de Paula Santander</t>
        </is>
      </c>
      <c r="D252" s="22" t="inlineStr">
        <is>
          <t>Ocaña</t>
        </is>
      </c>
      <c r="E252" s="22" t="inlineStr">
        <is>
          <t>Norte de Santander</t>
        </is>
      </c>
      <c r="F252" s="22" t="n">
        <v>8</v>
      </c>
      <c r="G252" s="22" t="n">
        <v>1150</v>
      </c>
      <c r="H252" s="23" t="n">
        <v>-73.32222222</v>
      </c>
      <c r="I252" s="24" t="n">
        <v>8.23777778</v>
      </c>
      <c r="J252" s="25" t="n">
        <v>25.9290679127602</v>
      </c>
      <c r="K252" s="26" t="n">
        <v>26.48641329137019</v>
      </c>
      <c r="L252" s="26" t="n">
        <v>26.68844832735962</v>
      </c>
      <c r="M252" s="26" t="n">
        <v>26.77630727622615</v>
      </c>
      <c r="N252" s="26" t="n">
        <v>27.08937839429432</v>
      </c>
      <c r="O252" s="26" t="n">
        <v>27.49036341452289</v>
      </c>
      <c r="P252" s="26" t="n">
        <v>28.03446236559139</v>
      </c>
      <c r="Q252" s="26" t="n">
        <v>27.87974699557242</v>
      </c>
      <c r="R252" s="26" t="n">
        <v>27.23766374749133</v>
      </c>
      <c r="S252" s="26" t="n">
        <v>26.57517789070888</v>
      </c>
      <c r="T252" s="26" t="n">
        <v>25.8718035030104</v>
      </c>
      <c r="U252" s="26" t="n">
        <v>25.60768542428096</v>
      </c>
      <c r="V252" s="27">
        <f>AVERAGE(J252:U252)</f>
        <v/>
      </c>
      <c r="W252" s="28" t="n">
        <v>200</v>
      </c>
      <c r="X252" s="29" t="n">
        <v>0.8333333333333334</v>
      </c>
    </row>
    <row r="253" ht="13.9" customHeight="1">
      <c r="A253" s="11" t="n">
        <v>16015020</v>
      </c>
      <c r="B253" s="22" t="inlineStr">
        <is>
          <t>AM</t>
        </is>
      </c>
      <c r="C253" s="22" t="inlineStr">
        <is>
          <t>Iser Pamplona</t>
        </is>
      </c>
      <c r="D253" s="22" t="inlineStr">
        <is>
          <t>Pamplona</t>
        </is>
      </c>
      <c r="E253" s="22" t="inlineStr">
        <is>
          <t>Norte de Santander</t>
        </is>
      </c>
      <c r="F253" s="22" t="n">
        <v>8</v>
      </c>
      <c r="G253" s="22" t="n">
        <v>2340</v>
      </c>
      <c r="H253" s="23" t="n">
        <v>-72.645</v>
      </c>
      <c r="I253" s="24" t="n">
        <v>7.37311111</v>
      </c>
      <c r="J253" s="25" t="n">
        <v>19.13334937774018</v>
      </c>
      <c r="K253" s="26" t="n">
        <v>19.36030013291188</v>
      </c>
      <c r="L253" s="26" t="n">
        <v>19.50394576180079</v>
      </c>
      <c r="M253" s="26" t="n">
        <v>19.59853624208304</v>
      </c>
      <c r="N253" s="26" t="n">
        <v>20.02109682527071</v>
      </c>
      <c r="O253" s="26" t="n">
        <v>19.51290032232561</v>
      </c>
      <c r="P253" s="26" t="n">
        <v>19.40867796796138</v>
      </c>
      <c r="Q253" s="26" t="n">
        <v>19.98588225600461</v>
      </c>
      <c r="R253" s="26" t="n">
        <v>20.39216133004926</v>
      </c>
      <c r="S253" s="26" t="n">
        <v>20.11701629363039</v>
      </c>
      <c r="T253" s="26" t="n">
        <v>19.32774101279406</v>
      </c>
      <c r="U253" s="26" t="n">
        <v>19.11507252517756</v>
      </c>
      <c r="V253" s="27">
        <f>AVERAGE(J253:U253)</f>
        <v/>
      </c>
      <c r="W253" s="28" t="n">
        <v>327</v>
      </c>
      <c r="X253" s="29" t="n">
        <v>0.9083333333333333</v>
      </c>
    </row>
    <row r="254" ht="13.9" customHeight="1">
      <c r="A254" s="11" t="n">
        <v>16015030</v>
      </c>
      <c r="B254" s="22" t="inlineStr">
        <is>
          <t>CO</t>
        </is>
      </c>
      <c r="C254" s="22" t="inlineStr">
        <is>
          <t>La Esperanza</t>
        </is>
      </c>
      <c r="D254" s="22" t="inlineStr">
        <is>
          <t>Ragonvalia</t>
        </is>
      </c>
      <c r="E254" s="22" t="inlineStr">
        <is>
          <t>Norte de Santander</t>
        </is>
      </c>
      <c r="F254" s="22" t="n">
        <v>8</v>
      </c>
      <c r="G254" s="22" t="n">
        <v>1760</v>
      </c>
      <c r="H254" s="23" t="n">
        <v>-72.53388889</v>
      </c>
      <c r="I254" s="24" t="n">
        <v>7.56972222</v>
      </c>
      <c r="J254" s="25" t="n">
        <v>21.24667379864723</v>
      </c>
      <c r="K254" s="26" t="n">
        <v>21.51084302424054</v>
      </c>
      <c r="L254" s="26" t="n">
        <v>21.78113871673994</v>
      </c>
      <c r="M254" s="26" t="n">
        <v>22.30087819610603</v>
      </c>
      <c r="N254" s="26" t="n">
        <v>22.825704117495</v>
      </c>
      <c r="O254" s="26" t="n">
        <v>22.41949029213808</v>
      </c>
      <c r="P254" s="26" t="n">
        <v>22.16430779096956</v>
      </c>
      <c r="Q254" s="26" t="n">
        <v>22.67704649447697</v>
      </c>
      <c r="R254" s="26" t="n">
        <v>22.85867272004587</v>
      </c>
      <c r="S254" s="26" t="n">
        <v>22.43258996403483</v>
      </c>
      <c r="T254" s="26" t="n">
        <v>21.41408306492358</v>
      </c>
      <c r="U254" s="26" t="n">
        <v>21.22049792810082</v>
      </c>
      <c r="V254" s="27">
        <f>AVERAGE(J254:U254)</f>
        <v/>
      </c>
      <c r="W254" s="28" t="n">
        <v>329</v>
      </c>
      <c r="X254" s="29" t="n">
        <v>0.9138888888888889</v>
      </c>
    </row>
    <row r="255" ht="13.9" customHeight="1">
      <c r="A255" s="11" t="n">
        <v>16015100</v>
      </c>
      <c r="B255" s="22" t="inlineStr">
        <is>
          <t>CP</t>
        </is>
      </c>
      <c r="C255" s="22" t="inlineStr">
        <is>
          <t>Ragonvalia</t>
        </is>
      </c>
      <c r="D255" s="22" t="inlineStr">
        <is>
          <t>Ragonvalia</t>
        </is>
      </c>
      <c r="E255" s="22" t="inlineStr">
        <is>
          <t>Norte de Santander</t>
        </is>
      </c>
      <c r="F255" s="22" t="n">
        <v>8</v>
      </c>
      <c r="G255" s="22" t="n">
        <v>1550</v>
      </c>
      <c r="H255" s="23" t="n">
        <v>-72.48388889</v>
      </c>
      <c r="I255" s="24" t="n">
        <v>7.57666667</v>
      </c>
      <c r="J255" s="25" t="n">
        <v>22.36077188161137</v>
      </c>
      <c r="K255" s="26" t="n">
        <v>22.61455185292508</v>
      </c>
      <c r="L255" s="26" t="n">
        <v>22.66561389405595</v>
      </c>
      <c r="M255" s="26" t="n">
        <v>23.40434227330779</v>
      </c>
      <c r="N255" s="26" t="n">
        <v>23.99480811037605</v>
      </c>
      <c r="O255" s="26" t="n">
        <v>23.54020159151193</v>
      </c>
      <c r="P255" s="26" t="n">
        <v>23.46391731553578</v>
      </c>
      <c r="Q255" s="26" t="n">
        <v>24.01547645532072</v>
      </c>
      <c r="R255" s="26" t="n">
        <v>24.24573307790549</v>
      </c>
      <c r="S255" s="26" t="n">
        <v>23.78862519201229</v>
      </c>
      <c r="T255" s="26" t="n">
        <v>23.02317604355717</v>
      </c>
      <c r="U255" s="26" t="n">
        <v>22.59431610171145</v>
      </c>
      <c r="V255" s="27">
        <f>AVERAGE(J255:U255)</f>
        <v/>
      </c>
      <c r="W255" s="28" t="n">
        <v>226</v>
      </c>
      <c r="X255" s="29" t="n">
        <v>0.9416666666666667</v>
      </c>
    </row>
    <row r="256" ht="13.9" customHeight="1">
      <c r="A256" s="11" t="n">
        <v>16025030</v>
      </c>
      <c r="B256" s="22" t="inlineStr">
        <is>
          <t>CP</t>
        </is>
      </c>
      <c r="C256" s="22" t="inlineStr">
        <is>
          <t>Salazar</t>
        </is>
      </c>
      <c r="D256" s="22" t="inlineStr">
        <is>
          <t>Salazar</t>
        </is>
      </c>
      <c r="E256" s="22" t="inlineStr">
        <is>
          <t>Norte de Santander</t>
        </is>
      </c>
      <c r="F256" s="22" t="n">
        <v>8</v>
      </c>
      <c r="G256" s="22" t="n">
        <v>860</v>
      </c>
      <c r="H256" s="23" t="n">
        <v>-72.83055556000001</v>
      </c>
      <c r="I256" s="24" t="n">
        <v>7.77458333</v>
      </c>
      <c r="J256" s="25" t="n">
        <v>26.54223218281214</v>
      </c>
      <c r="K256" s="26" t="n">
        <v>26.62808075917271</v>
      </c>
      <c r="L256" s="26" t="n">
        <v>26.81931673762673</v>
      </c>
      <c r="M256" s="26" t="n">
        <v>27.73357234081372</v>
      </c>
      <c r="N256" s="26" t="n">
        <v>28.64436859337514</v>
      </c>
      <c r="O256" s="26" t="n">
        <v>28.52442160693053</v>
      </c>
      <c r="P256" s="26" t="n">
        <v>28.857991979168</v>
      </c>
      <c r="Q256" s="26" t="n">
        <v>29.65442396313363</v>
      </c>
      <c r="R256" s="26" t="n">
        <v>29.64648239372377</v>
      </c>
      <c r="S256" s="26" t="n">
        <v>28.46822766036336</v>
      </c>
      <c r="T256" s="26" t="n">
        <v>27.24287143465305</v>
      </c>
      <c r="U256" s="26" t="n">
        <v>26.63259459972858</v>
      </c>
      <c r="V256" s="27">
        <f>AVERAGE(J256:U256)</f>
        <v/>
      </c>
      <c r="W256" s="28" t="n">
        <v>350</v>
      </c>
      <c r="X256" s="29" t="n">
        <v>0.9722222222222222</v>
      </c>
    </row>
    <row r="257" ht="13.9" customHeight="1">
      <c r="A257" s="11" t="n">
        <v>16035030</v>
      </c>
      <c r="B257" s="22" t="inlineStr">
        <is>
          <t>PM</t>
        </is>
      </c>
      <c r="C257" s="22" t="inlineStr">
        <is>
          <t>Sardinata</t>
        </is>
      </c>
      <c r="D257" s="22" t="inlineStr">
        <is>
          <t>Sardinata</t>
        </is>
      </c>
      <c r="E257" s="22" t="inlineStr">
        <is>
          <t>Norte de Santander</t>
        </is>
      </c>
      <c r="F257" s="22" t="n">
        <v>8</v>
      </c>
      <c r="G257" s="22" t="n">
        <v>320</v>
      </c>
      <c r="H257" s="23" t="n">
        <v>-72.80305556</v>
      </c>
      <c r="I257" s="24" t="n">
        <v>8.07666667</v>
      </c>
      <c r="J257" s="25" t="n">
        <v>29.90974916985951</v>
      </c>
      <c r="K257" s="26" t="n">
        <v>30.51904475644962</v>
      </c>
      <c r="L257" s="26" t="n">
        <v>30.8018564854051</v>
      </c>
      <c r="M257" s="26" t="n">
        <v>31.34069885570036</v>
      </c>
      <c r="N257" s="26" t="n">
        <v>32.70031220540677</v>
      </c>
      <c r="O257" s="26" t="n">
        <v>33.4213390185804</v>
      </c>
      <c r="P257" s="26" t="n">
        <v>33.87080316312658</v>
      </c>
      <c r="Q257" s="26" t="n">
        <v>34.3951859650052</v>
      </c>
      <c r="R257" s="26" t="n">
        <v>33.65707374899242</v>
      </c>
      <c r="S257" s="26" t="n">
        <v>32.16959139573675</v>
      </c>
      <c r="T257" s="26" t="n">
        <v>30.76417524643162</v>
      </c>
      <c r="U257" s="26" t="n">
        <v>29.76912324074931</v>
      </c>
      <c r="V257" s="27">
        <f>AVERAGE(J257:U257)</f>
        <v/>
      </c>
      <c r="W257" s="28" t="n">
        <v>284</v>
      </c>
      <c r="X257" s="29" t="n">
        <v>0.7888888888888889</v>
      </c>
    </row>
    <row r="258" ht="13.9" customHeight="1">
      <c r="A258" s="11" t="n">
        <v>37015010</v>
      </c>
      <c r="B258" s="22" t="inlineStr">
        <is>
          <t>CO</t>
        </is>
      </c>
      <c r="C258" s="22" t="inlineStr">
        <is>
          <t>Silos</t>
        </is>
      </c>
      <c r="D258" s="22" t="inlineStr">
        <is>
          <t>Silos</t>
        </is>
      </c>
      <c r="E258" s="22" t="inlineStr">
        <is>
          <t>Norte de Santander</t>
        </is>
      </c>
      <c r="F258" s="22" t="n">
        <v>8</v>
      </c>
      <c r="G258" s="22" t="n">
        <v>2765</v>
      </c>
      <c r="H258" s="23" t="n">
        <v>-72.75333332999999</v>
      </c>
      <c r="I258" s="24" t="n">
        <v>7.2075</v>
      </c>
      <c r="J258" s="25" t="n">
        <v>18.81057347670251</v>
      </c>
      <c r="K258" s="26" t="n">
        <v>19.2756034214452</v>
      </c>
      <c r="L258" s="26" t="n">
        <v>18.7068553199681</v>
      </c>
      <c r="M258" s="26" t="n">
        <v>17.85254901960784</v>
      </c>
      <c r="N258" s="26" t="n">
        <v>17.76261607547481</v>
      </c>
      <c r="O258" s="26" t="n">
        <v>17.03612871701801</v>
      </c>
      <c r="P258" s="26" t="n">
        <v>16.62724014336918</v>
      </c>
      <c r="Q258" s="26" t="n">
        <v>17.30700622524052</v>
      </c>
      <c r="R258" s="26" t="n">
        <v>17.71696067755596</v>
      </c>
      <c r="S258" s="26" t="n">
        <v>17.85887298892392</v>
      </c>
      <c r="T258" s="26" t="n">
        <v>17.85428917120387</v>
      </c>
      <c r="U258" s="26" t="n">
        <v>18.06816009557945</v>
      </c>
      <c r="V258" s="27">
        <f>AVERAGE(J258:U258)</f>
        <v/>
      </c>
      <c r="W258" s="28" t="n">
        <v>218</v>
      </c>
      <c r="X258" s="29" t="n">
        <v>0.9083333333333333</v>
      </c>
    </row>
    <row r="259" ht="13.9" customHeight="1">
      <c r="A259" s="11" t="n">
        <v>16055020</v>
      </c>
      <c r="B259" s="22" t="inlineStr">
        <is>
          <t>CO</t>
        </is>
      </c>
      <c r="C259" s="22" t="inlineStr">
        <is>
          <t>Teorama</t>
        </is>
      </c>
      <c r="D259" s="22" t="inlineStr">
        <is>
          <t>Teorama</t>
        </is>
      </c>
      <c r="E259" s="22" t="inlineStr">
        <is>
          <t>Norte de Santander</t>
        </is>
      </c>
      <c r="F259" s="22" t="n">
        <v>8</v>
      </c>
      <c r="G259" s="22" t="n">
        <v>1160</v>
      </c>
      <c r="H259" s="23" t="n">
        <v>-73.28527778</v>
      </c>
      <c r="I259" s="24" t="n">
        <v>8.44222222</v>
      </c>
      <c r="J259" s="25" t="n">
        <v>24.46455068775825</v>
      </c>
      <c r="K259" s="26" t="n">
        <v>24.78757487544384</v>
      </c>
      <c r="L259" s="26" t="n">
        <v>25.65535395000912</v>
      </c>
      <c r="M259" s="26" t="n">
        <v>25.45029053934571</v>
      </c>
      <c r="N259" s="26" t="n">
        <v>25.95622592198721</v>
      </c>
      <c r="O259" s="26" t="n">
        <v>26.1523816469665</v>
      </c>
      <c r="P259" s="26" t="n">
        <v>26.1407916175041</v>
      </c>
      <c r="Q259" s="26" t="n">
        <v>26.58095563617594</v>
      </c>
      <c r="R259" s="26" t="n">
        <v>26.21692844212814</v>
      </c>
      <c r="S259" s="26" t="n">
        <v>25.79681838403143</v>
      </c>
      <c r="T259" s="26" t="n">
        <v>25.04983227513228</v>
      </c>
      <c r="U259" s="26" t="n">
        <v>24.47878407224959</v>
      </c>
      <c r="V259" s="27">
        <f>AVERAGE(J259:U259)</f>
        <v/>
      </c>
      <c r="W259" s="28" t="n">
        <v>119</v>
      </c>
      <c r="X259" s="29" t="n">
        <v>0.9916666666666667</v>
      </c>
    </row>
    <row r="260" ht="13.9" customHeight="1">
      <c r="A260" s="11" t="n">
        <v>37035010</v>
      </c>
      <c r="B260" s="22" t="inlineStr">
        <is>
          <t>CO</t>
        </is>
      </c>
      <c r="C260" s="22" t="inlineStr">
        <is>
          <t>Tunebia</t>
        </is>
      </c>
      <c r="D260" s="22" t="inlineStr">
        <is>
          <t xml:space="preserve">Toledo </t>
        </is>
      </c>
      <c r="E260" s="22" t="inlineStr">
        <is>
          <t>Norte de Santander</t>
        </is>
      </c>
      <c r="F260" s="22" t="n">
        <v>8</v>
      </c>
      <c r="G260" s="22" t="n">
        <v>370</v>
      </c>
      <c r="H260" s="23" t="n">
        <v>-72.11583332999999</v>
      </c>
      <c r="I260" s="24" t="n">
        <v>7.00611111</v>
      </c>
      <c r="J260" s="25" t="n">
        <v>29.42137752470858</v>
      </c>
      <c r="K260" s="26" t="n">
        <v>29.65001749114138</v>
      </c>
      <c r="L260" s="26" t="n">
        <v>29.38893704115684</v>
      </c>
      <c r="M260" s="26" t="n">
        <v>29.53631902937419</v>
      </c>
      <c r="N260" s="26" t="n">
        <v>29.66166163462048</v>
      </c>
      <c r="O260" s="26" t="n">
        <v>28.83231761361736</v>
      </c>
      <c r="P260" s="26" t="n">
        <v>28.60277376587351</v>
      </c>
      <c r="Q260" s="26" t="n">
        <v>29.10731979291118</v>
      </c>
      <c r="R260" s="26" t="n">
        <v>29.97288472906404</v>
      </c>
      <c r="S260" s="26" t="n">
        <v>30.3015242033873</v>
      </c>
      <c r="T260" s="26" t="n">
        <v>30.25877867879247</v>
      </c>
      <c r="U260" s="26" t="n">
        <v>29.68932529628256</v>
      </c>
      <c r="V260" s="27">
        <f>AVERAGE(J260:U260)</f>
        <v/>
      </c>
      <c r="W260" s="28" t="n">
        <v>308</v>
      </c>
      <c r="X260" s="29" t="n">
        <v>0.8555555555555555</v>
      </c>
    </row>
    <row r="261" ht="13.9" customHeight="1">
      <c r="A261" s="11" t="n">
        <v>47015040</v>
      </c>
      <c r="B261" s="22" t="inlineStr">
        <is>
          <t>CO</t>
        </is>
      </c>
      <c r="C261" s="22" t="inlineStr">
        <is>
          <t>Michoacán</t>
        </is>
      </c>
      <c r="D261" s="22" t="inlineStr">
        <is>
          <t>Colón</t>
        </is>
      </c>
      <c r="E261" s="22" t="inlineStr">
        <is>
          <t>Putumayo</t>
        </is>
      </c>
      <c r="F261" s="22" t="n">
        <v>7</v>
      </c>
      <c r="G261" s="22" t="n">
        <v>2100</v>
      </c>
      <c r="H261" s="23" t="n">
        <v>-76.96097222</v>
      </c>
      <c r="I261" s="24" t="n">
        <v>1.19827778</v>
      </c>
      <c r="J261" s="25" t="n">
        <v>21.4668555498663</v>
      </c>
      <c r="K261" s="26" t="n">
        <v>21.28726141718413</v>
      </c>
      <c r="L261" s="26" t="n">
        <v>20.86842848608977</v>
      </c>
      <c r="M261" s="26" t="n">
        <v>20.97017028522776</v>
      </c>
      <c r="N261" s="26" t="n">
        <v>20.32834747242005</v>
      </c>
      <c r="O261" s="26" t="n">
        <v>19.33135057471264</v>
      </c>
      <c r="P261" s="26" t="n">
        <v>18.96098608977641</v>
      </c>
      <c r="Q261" s="26" t="n">
        <v>19.14484803598859</v>
      </c>
      <c r="R261" s="26" t="n">
        <v>20.09978501489996</v>
      </c>
      <c r="S261" s="26" t="n">
        <v>21.08840053763441</v>
      </c>
      <c r="T261" s="26" t="n">
        <v>21.84723404879193</v>
      </c>
      <c r="U261" s="26" t="n">
        <v>21.37905287810341</v>
      </c>
      <c r="V261" s="27">
        <f>AVERAGE(J261:U261)</f>
        <v/>
      </c>
      <c r="W261" s="28" t="n">
        <v>337</v>
      </c>
      <c r="X261" s="29" t="n">
        <v>0.9361111111111111</v>
      </c>
    </row>
    <row r="262" ht="13.9" customHeight="1">
      <c r="A262" s="11" t="n">
        <v>44015060</v>
      </c>
      <c r="B262" s="22" t="inlineStr">
        <is>
          <t>CP</t>
        </is>
      </c>
      <c r="C262" s="22" t="inlineStr">
        <is>
          <t xml:space="preserve">Acueducto Mocoa - AUT </t>
        </is>
      </c>
      <c r="D262" s="22" t="inlineStr">
        <is>
          <t>Mocoa</t>
        </is>
      </c>
      <c r="E262" s="22" t="inlineStr">
        <is>
          <t>Putumayo</t>
        </is>
      </c>
      <c r="F262" s="22" t="n">
        <v>7</v>
      </c>
      <c r="G262" s="22" t="n">
        <v>650</v>
      </c>
      <c r="H262" s="23" t="n">
        <v>-76.65183332999999</v>
      </c>
      <c r="I262" s="24" t="n">
        <v>1.15733333</v>
      </c>
      <c r="J262" s="25" t="n">
        <v>28.44176399703374</v>
      </c>
      <c r="K262" s="26" t="n">
        <v>28.23367187658376</v>
      </c>
      <c r="L262" s="26" t="n">
        <v>27.8363195879019</v>
      </c>
      <c r="M262" s="26" t="n">
        <v>28.00461206896552</v>
      </c>
      <c r="N262" s="26" t="n">
        <v>27.25551075268817</v>
      </c>
      <c r="O262" s="26" t="n">
        <v>26.49237712096333</v>
      </c>
      <c r="P262" s="26" t="n">
        <v>26.11163440860215</v>
      </c>
      <c r="Q262" s="26" t="n">
        <v>27.45697033741193</v>
      </c>
      <c r="R262" s="26" t="n">
        <v>28.62925338036449</v>
      </c>
      <c r="S262" s="26" t="n">
        <v>28.93422042868046</v>
      </c>
      <c r="T262" s="26" t="n">
        <v>28.98585912172119</v>
      </c>
      <c r="U262" s="26" t="n">
        <v>28.41921338230014</v>
      </c>
      <c r="V262" s="27">
        <f>AVERAGE(J262:U262)</f>
        <v/>
      </c>
      <c r="W262" s="28" t="n">
        <v>107</v>
      </c>
      <c r="X262" s="29" t="n">
        <v>0.8916666666666667</v>
      </c>
    </row>
    <row r="263" ht="13.9" customHeight="1">
      <c r="A263" s="11" t="n">
        <v>47045010</v>
      </c>
      <c r="B263" s="22" t="inlineStr">
        <is>
          <t>CO</t>
        </is>
      </c>
      <c r="C263" s="22" t="inlineStr">
        <is>
          <t>Puerto Leguízamo</t>
        </is>
      </c>
      <c r="D263" s="22" t="inlineStr">
        <is>
          <t>Puerto Leguízamo</t>
        </is>
      </c>
      <c r="E263" s="22" t="inlineStr">
        <is>
          <t>Putumayo</t>
        </is>
      </c>
      <c r="F263" s="22" t="n">
        <v>7</v>
      </c>
      <c r="G263" s="22" t="n">
        <v>147</v>
      </c>
      <c r="H263" s="23" t="n">
        <v>-74.77627778</v>
      </c>
      <c r="I263" s="24" t="n">
        <v>-0.18061111</v>
      </c>
      <c r="J263" s="25" t="n">
        <v>31.73716107437242</v>
      </c>
      <c r="K263" s="26" t="n">
        <v>31.64130239894696</v>
      </c>
      <c r="L263" s="26" t="n">
        <v>30.90599473800427</v>
      </c>
      <c r="M263" s="26" t="n">
        <v>30.50656400432263</v>
      </c>
      <c r="N263" s="26" t="n">
        <v>29.88616566229469</v>
      </c>
      <c r="O263" s="26" t="n">
        <v>29.29223635320619</v>
      </c>
      <c r="P263" s="26" t="n">
        <v>29.39208870017018</v>
      </c>
      <c r="Q263" s="26" t="n">
        <v>30.49135465331851</v>
      </c>
      <c r="R263" s="26" t="n">
        <v>31.38167784028527</v>
      </c>
      <c r="S263" s="26" t="n">
        <v>31.42285677777913</v>
      </c>
      <c r="T263" s="26" t="n">
        <v>31.4527027509173</v>
      </c>
      <c r="U263" s="26" t="n">
        <v>31.44435416536983</v>
      </c>
      <c r="V263" s="27">
        <f>AVERAGE(J263:U263)</f>
        <v/>
      </c>
      <c r="W263" s="28" t="n">
        <v>302</v>
      </c>
      <c r="X263" s="29" t="n">
        <v>0.8388888888888889</v>
      </c>
    </row>
    <row r="264" ht="13.9" customHeight="1">
      <c r="A264" s="11" t="n">
        <v>47035020</v>
      </c>
      <c r="B264" s="22" t="inlineStr">
        <is>
          <t>CO</t>
        </is>
      </c>
      <c r="C264" s="22" t="inlineStr">
        <is>
          <t>Puerto Ospina</t>
        </is>
      </c>
      <c r="D264" s="22" t="inlineStr">
        <is>
          <t>Puerto Leguízamo</t>
        </is>
      </c>
      <c r="E264" s="22" t="inlineStr">
        <is>
          <t>Putumayo</t>
        </is>
      </c>
      <c r="F264" s="22" t="n">
        <v>7</v>
      </c>
      <c r="G264" s="22" t="n">
        <v>190</v>
      </c>
      <c r="H264" s="23" t="n">
        <v>-75.85111111000001</v>
      </c>
      <c r="I264" s="24" t="n">
        <v>0.13286111</v>
      </c>
      <c r="J264" s="25" t="n">
        <v>31.40286647199167</v>
      </c>
      <c r="K264" s="26" t="n">
        <v>31.14890158426077</v>
      </c>
      <c r="L264" s="26" t="n">
        <v>30.22457859193705</v>
      </c>
      <c r="M264" s="26" t="n">
        <v>29.98708131879827</v>
      </c>
      <c r="N264" s="26" t="n">
        <v>29.52400773640317</v>
      </c>
      <c r="O264" s="26" t="n">
        <v>28.93862173861627</v>
      </c>
      <c r="P264" s="26" t="n">
        <v>29.35030129788559</v>
      </c>
      <c r="Q264" s="26" t="n">
        <v>30.1325809574518</v>
      </c>
      <c r="R264" s="26" t="n">
        <v>30.8511083860088</v>
      </c>
      <c r="S264" s="26" t="n">
        <v>31.04497739697277</v>
      </c>
      <c r="T264" s="26" t="n">
        <v>30.97812897226558</v>
      </c>
      <c r="U264" s="26" t="n">
        <v>31.09270320176672</v>
      </c>
      <c r="V264" s="27">
        <f>AVERAGE(J264:U264)</f>
        <v/>
      </c>
      <c r="W264" s="28" t="n">
        <v>293</v>
      </c>
      <c r="X264" s="29" t="n">
        <v>0.8138888888888889</v>
      </c>
    </row>
    <row r="265" ht="13.9" customHeight="1">
      <c r="A265" s="11" t="n">
        <v>47015090</v>
      </c>
      <c r="B265" s="22" t="inlineStr">
        <is>
          <t>CO</t>
        </is>
      </c>
      <c r="C265" s="22" t="inlineStr">
        <is>
          <t>La Primavera</t>
        </is>
      </c>
      <c r="D265" s="22" t="inlineStr">
        <is>
          <t>Sibundoy</t>
        </is>
      </c>
      <c r="E265" s="22" t="inlineStr">
        <is>
          <t>Putumayo</t>
        </is>
      </c>
      <c r="F265" s="22" t="n">
        <v>7</v>
      </c>
      <c r="G265" s="22" t="n">
        <v>2067</v>
      </c>
      <c r="H265" s="23" t="n">
        <v>-76.93269443999999</v>
      </c>
      <c r="I265" s="24" t="n">
        <v>1.16830556</v>
      </c>
      <c r="J265" s="25" t="n">
        <v>21.2975465979248</v>
      </c>
      <c r="K265" s="26" t="n">
        <v>21.27787724210319</v>
      </c>
      <c r="L265" s="26" t="n">
        <v>21.03438652278088</v>
      </c>
      <c r="M265" s="26" t="n">
        <v>20.85422525679231</v>
      </c>
      <c r="N265" s="26" t="n">
        <v>20.45286339300339</v>
      </c>
      <c r="O265" s="26" t="n">
        <v>19.39007279537547</v>
      </c>
      <c r="P265" s="26" t="n">
        <v>18.85850947459025</v>
      </c>
      <c r="Q265" s="26" t="n">
        <v>19.20589401323786</v>
      </c>
      <c r="R265" s="26" t="n">
        <v>20.18481448871915</v>
      </c>
      <c r="S265" s="26" t="n">
        <v>21.18864662107605</v>
      </c>
      <c r="T265" s="26" t="n">
        <v>21.87765700911981</v>
      </c>
      <c r="U265" s="26" t="n">
        <v>21.52194372204185</v>
      </c>
      <c r="V265" s="27">
        <f>AVERAGE(J265:U265)</f>
        <v/>
      </c>
      <c r="W265" s="28" t="n">
        <v>213</v>
      </c>
      <c r="X265" s="29" t="n">
        <v>0.8875</v>
      </c>
    </row>
    <row r="266" ht="13.9" customHeight="1">
      <c r="A266" s="11" t="n">
        <v>44015010</v>
      </c>
      <c r="B266" s="22" t="inlineStr">
        <is>
          <t>AM</t>
        </is>
      </c>
      <c r="C266" s="22" t="inlineStr">
        <is>
          <t>Villagarzón</t>
        </is>
      </c>
      <c r="D266" s="22" t="inlineStr">
        <is>
          <t>Villagarzón</t>
        </is>
      </c>
      <c r="E266" s="22" t="inlineStr">
        <is>
          <t>Putumayo</t>
        </is>
      </c>
      <c r="F266" s="22" t="n">
        <v>7</v>
      </c>
      <c r="G266" s="22" t="n">
        <v>440</v>
      </c>
      <c r="H266" s="23" t="n">
        <v>-76.61925000000001</v>
      </c>
      <c r="I266" s="24" t="n">
        <v>1.03425</v>
      </c>
      <c r="J266" s="25" t="n">
        <v>30.89184054446151</v>
      </c>
      <c r="K266" s="26" t="n">
        <v>30.41076821326821</v>
      </c>
      <c r="L266" s="26" t="n">
        <v>29.5870948172867</v>
      </c>
      <c r="M266" s="26" t="n">
        <v>29.46416173226518</v>
      </c>
      <c r="N266" s="26" t="n">
        <v>28.59652700531455</v>
      </c>
      <c r="O266" s="26" t="n">
        <v>27.88632465065798</v>
      </c>
      <c r="P266" s="26" t="n">
        <v>28.05153562159013</v>
      </c>
      <c r="Q266" s="26" t="n">
        <v>29.52298139091119</v>
      </c>
      <c r="R266" s="26" t="n">
        <v>30.50100189543676</v>
      </c>
      <c r="S266" s="26" t="n">
        <v>31.45789933815023</v>
      </c>
      <c r="T266" s="26" t="n">
        <v>30.94458756512396</v>
      </c>
      <c r="U266" s="26" t="n">
        <v>30.1021226016536</v>
      </c>
      <c r="V266" s="27">
        <f>AVERAGE(J266:U266)</f>
        <v/>
      </c>
      <c r="W266" s="28" t="n">
        <v>111</v>
      </c>
      <c r="X266" s="29" t="n">
        <v>0.925</v>
      </c>
    </row>
    <row r="267" ht="13.9" customHeight="1">
      <c r="A267" s="11" t="n">
        <v>26125061</v>
      </c>
      <c r="B267" s="22" t="inlineStr">
        <is>
          <t>SP</t>
        </is>
      </c>
      <c r="C267" s="22" t="inlineStr">
        <is>
          <t xml:space="preserve">Aeropuerto El Edén - AUT </t>
        </is>
      </c>
      <c r="D267" s="22" t="inlineStr">
        <is>
          <t>Armenia</t>
        </is>
      </c>
      <c r="E267" s="22" t="inlineStr">
        <is>
          <t>Quindío</t>
        </is>
      </c>
      <c r="F267" s="22" t="n">
        <v>9</v>
      </c>
      <c r="G267" s="22" t="n">
        <v>1229</v>
      </c>
      <c r="H267" s="23" t="n">
        <v>-75.76638889</v>
      </c>
      <c r="I267" s="24" t="n">
        <v>4.45472222</v>
      </c>
      <c r="J267" s="25" t="n">
        <v>28.04820252955959</v>
      </c>
      <c r="K267" s="26" t="n">
        <v>28.27232713008575</v>
      </c>
      <c r="L267" s="26" t="n">
        <v>27.86964555953804</v>
      </c>
      <c r="M267" s="26" t="n">
        <v>27.62089901477833</v>
      </c>
      <c r="N267" s="26" t="n">
        <v>27.35845978714066</v>
      </c>
      <c r="O267" s="26" t="n">
        <v>27.74445897740785</v>
      </c>
      <c r="P267" s="26" t="n">
        <v>28.25182411674348</v>
      </c>
      <c r="Q267" s="26" t="n">
        <v>28.82198327359617</v>
      </c>
      <c r="R267" s="26" t="n">
        <v>28.21960773581463</v>
      </c>
      <c r="S267" s="26" t="n">
        <v>27.36256080389145</v>
      </c>
      <c r="T267" s="26" t="n">
        <v>27.00679999999999</v>
      </c>
      <c r="U267" s="26" t="n">
        <v>27.42065376344086</v>
      </c>
      <c r="V267" s="27">
        <f>AVERAGE(J267:U267)</f>
        <v/>
      </c>
      <c r="W267" s="28" t="n">
        <v>322</v>
      </c>
      <c r="X267" s="29" t="n">
        <v>0.8944444444444445</v>
      </c>
    </row>
    <row r="268" ht="13.9" customHeight="1">
      <c r="A268" s="11" t="n">
        <v>26135040</v>
      </c>
      <c r="B268" s="22" t="inlineStr">
        <is>
          <t>SP</t>
        </is>
      </c>
      <c r="C268" s="22" t="inlineStr">
        <is>
          <t>Aeropuerto Matecaña</t>
        </is>
      </c>
      <c r="D268" s="22" t="inlineStr">
        <is>
          <t>Pereira</t>
        </is>
      </c>
      <c r="E268" s="22" t="inlineStr">
        <is>
          <t>RIsaralda</t>
        </is>
      </c>
      <c r="F268" s="22" t="n">
        <v>9</v>
      </c>
      <c r="G268" s="22" t="n">
        <v>1342</v>
      </c>
      <c r="H268" s="23" t="n">
        <v>-75.73722222000001</v>
      </c>
      <c r="I268" s="24" t="n">
        <v>4.81586111</v>
      </c>
      <c r="J268" s="25" t="n">
        <v>27.24585253456221</v>
      </c>
      <c r="K268" s="26" t="n">
        <v>27.42950993714965</v>
      </c>
      <c r="L268" s="26" t="n">
        <v>26.97537634408602</v>
      </c>
      <c r="M268" s="26" t="n">
        <v>26.44179698216735</v>
      </c>
      <c r="N268" s="26" t="n">
        <v>26.120987654321</v>
      </c>
      <c r="O268" s="26" t="n">
        <v>26.31358974358975</v>
      </c>
      <c r="P268" s="26" t="n">
        <v>26.8683870967742</v>
      </c>
      <c r="Q268" s="26" t="n">
        <v>27.30810322580645</v>
      </c>
      <c r="R268" s="26" t="n">
        <v>27.03996905393457</v>
      </c>
      <c r="S268" s="26" t="n">
        <v>26.18746898263027</v>
      </c>
      <c r="T268" s="26" t="n">
        <v>25.94467858663261</v>
      </c>
      <c r="U268" s="26" t="n">
        <v>26.38513824884792</v>
      </c>
      <c r="V268" s="27">
        <f>AVERAGE(J268:U268)</f>
        <v/>
      </c>
      <c r="W268" s="28" t="n">
        <v>322</v>
      </c>
      <c r="X268" s="29" t="n">
        <v>0.8944444444444445</v>
      </c>
    </row>
    <row r="269" ht="13.9" customHeight="1">
      <c r="A269" s="11" t="n">
        <v>26135100</v>
      </c>
      <c r="B269" s="22" t="inlineStr">
        <is>
          <t>CO</t>
        </is>
      </c>
      <c r="C269" s="22" t="inlineStr">
        <is>
          <t>La Bohemia</t>
        </is>
      </c>
      <c r="D269" s="22" t="inlineStr">
        <is>
          <t>Pereira</t>
        </is>
      </c>
      <c r="E269" s="22" t="inlineStr">
        <is>
          <t>RIsaralda</t>
        </is>
      </c>
      <c r="F269" s="22" t="n">
        <v>9</v>
      </c>
      <c r="G269" s="22" t="n">
        <v>995</v>
      </c>
      <c r="H269" s="23" t="n">
        <v>-75.87755556</v>
      </c>
      <c r="I269" s="24" t="n">
        <v>4.87802778</v>
      </c>
      <c r="J269" s="25" t="n">
        <v>30.19225806451613</v>
      </c>
      <c r="K269" s="26" t="n">
        <v>30.23215654077723</v>
      </c>
      <c r="L269" s="26" t="n">
        <v>29.87227956989247</v>
      </c>
      <c r="M269" s="26" t="n">
        <v>29.63758620689655</v>
      </c>
      <c r="N269" s="26" t="n">
        <v>29.33032258064517</v>
      </c>
      <c r="O269" s="26" t="n">
        <v>29.45919540229885</v>
      </c>
      <c r="P269" s="26" t="n">
        <v>30.27748387096775</v>
      </c>
      <c r="Q269" s="26" t="n">
        <v>30.28337634408602</v>
      </c>
      <c r="R269" s="26" t="n">
        <v>30.62928735632185</v>
      </c>
      <c r="S269" s="26" t="n">
        <v>29.4943870967742</v>
      </c>
      <c r="T269" s="26" t="n">
        <v>29.01581609195403</v>
      </c>
      <c r="U269" s="26" t="n">
        <v>29.19438470728794</v>
      </c>
      <c r="V269" s="27">
        <f>AVERAGE(J269:U269)</f>
        <v/>
      </c>
      <c r="W269" s="28" t="n">
        <v>118</v>
      </c>
      <c r="X269" s="29" t="n">
        <v>0.9833333333333333</v>
      </c>
    </row>
    <row r="270" ht="13.9" customHeight="1">
      <c r="A270" s="11" t="n">
        <v>54015010</v>
      </c>
      <c r="B270" s="22" t="inlineStr">
        <is>
          <t>CO</t>
        </is>
      </c>
      <c r="C270" s="22" t="inlineStr">
        <is>
          <t>Pueblo Rico</t>
        </is>
      </c>
      <c r="D270" s="22" t="inlineStr">
        <is>
          <t>Pueblo Rico</t>
        </is>
      </c>
      <c r="E270" s="22" t="inlineStr">
        <is>
          <t>RIsaralda</t>
        </is>
      </c>
      <c r="F270" s="22" t="n">
        <v>9</v>
      </c>
      <c r="G270" s="22" t="n">
        <v>1505</v>
      </c>
      <c r="H270" s="23" t="n">
        <v>-76.03163889</v>
      </c>
      <c r="I270" s="24" t="n">
        <v>5.23344444</v>
      </c>
      <c r="J270" s="25" t="n">
        <v>21.75516129032258</v>
      </c>
      <c r="K270" s="26" t="n">
        <v>21.73058862433862</v>
      </c>
      <c r="L270" s="26" t="n">
        <v>22.13459200699189</v>
      </c>
      <c r="M270" s="26" t="n">
        <v>22.35308404558405</v>
      </c>
      <c r="N270" s="26" t="n">
        <v>22.63423155357805</v>
      </c>
      <c r="O270" s="26" t="n">
        <v>22.14399744572158</v>
      </c>
      <c r="P270" s="26" t="n">
        <v>22.42333533143822</v>
      </c>
      <c r="Q270" s="26" t="n">
        <v>22.4204546517064</v>
      </c>
      <c r="R270" s="26" t="n">
        <v>22.21216543513957</v>
      </c>
      <c r="S270" s="26" t="n">
        <v>22.1029437470205</v>
      </c>
      <c r="T270" s="26" t="n">
        <v>21.51130268199234</v>
      </c>
      <c r="U270" s="26" t="n">
        <v>21.73235236878915</v>
      </c>
      <c r="V270" s="27">
        <f>AVERAGE(J270:U270)</f>
        <v/>
      </c>
      <c r="W270" s="28" t="n">
        <v>98</v>
      </c>
      <c r="X270" s="29" t="n">
        <v>0.8166666666666667</v>
      </c>
    </row>
    <row r="271" ht="13.9" customHeight="1">
      <c r="A271" s="11" t="n">
        <v>26135160</v>
      </c>
      <c r="B271" s="22" t="inlineStr">
        <is>
          <t>PM</t>
        </is>
      </c>
      <c r="C271" s="22" t="inlineStr">
        <is>
          <t>San Remo</t>
        </is>
      </c>
      <c r="D271" s="22" t="inlineStr">
        <is>
          <t>Santa Rosa de Cabal</t>
        </is>
      </c>
      <c r="E271" s="22" t="inlineStr">
        <is>
          <t>RIsaralda</t>
        </is>
      </c>
      <c r="F271" s="22" t="n">
        <v>9</v>
      </c>
      <c r="G271" s="22" t="n">
        <v>1947</v>
      </c>
      <c r="H271" s="23" t="n">
        <v>-75.57997222</v>
      </c>
      <c r="I271" s="24" t="n">
        <v>4.84166667</v>
      </c>
      <c r="J271" s="25" t="n">
        <v>21.66310752688172</v>
      </c>
      <c r="K271" s="26" t="n">
        <v>21.86765553731071</v>
      </c>
      <c r="L271" s="26" t="n">
        <v>21.89456391875747</v>
      </c>
      <c r="M271" s="26" t="n">
        <v>21.58625925925926</v>
      </c>
      <c r="N271" s="26" t="n">
        <v>21.51997579320939</v>
      </c>
      <c r="O271" s="26" t="n">
        <v>21.51393358876117</v>
      </c>
      <c r="P271" s="26" t="n">
        <v>21.95525324434557</v>
      </c>
      <c r="Q271" s="26" t="n">
        <v>22.41730107526882</v>
      </c>
      <c r="R271" s="26" t="n">
        <v>21.31699872286079</v>
      </c>
      <c r="S271" s="26" t="n">
        <v>21.26064913395837</v>
      </c>
      <c r="T271" s="26" t="n">
        <v>20.93119540229885</v>
      </c>
      <c r="U271" s="26" t="n">
        <v>21.28677196885429</v>
      </c>
      <c r="V271" s="27">
        <f>AVERAGE(J271:U271)</f>
        <v/>
      </c>
      <c r="W271" s="28" t="n">
        <v>118</v>
      </c>
      <c r="X271" s="29" t="n">
        <v>0.9833333333333333</v>
      </c>
    </row>
    <row r="272" ht="13.9" customHeight="1">
      <c r="A272" s="11" t="n">
        <v>26145030</v>
      </c>
      <c r="B272" s="22" t="inlineStr">
        <is>
          <t>CO</t>
        </is>
      </c>
      <c r="C272" s="22" t="inlineStr">
        <is>
          <t xml:space="preserve">La Camelia </t>
        </is>
      </c>
      <c r="D272" s="22" t="inlineStr">
        <is>
          <t xml:space="preserve">Santuario </t>
        </is>
      </c>
      <c r="E272" s="22" t="inlineStr">
        <is>
          <t>RIsaralda</t>
        </is>
      </c>
      <c r="F272" s="22" t="n">
        <v>9</v>
      </c>
      <c r="G272" s="22" t="n">
        <v>1763</v>
      </c>
      <c r="H272" s="23" t="n">
        <v>-75.97</v>
      </c>
      <c r="I272" s="24" t="n">
        <v>5.08</v>
      </c>
      <c r="J272" s="25" t="n">
        <v>24.25969159202351</v>
      </c>
      <c r="K272" s="26" t="n">
        <v>24.47211252854444</v>
      </c>
      <c r="L272" s="26" t="n">
        <v>24.20815016524694</v>
      </c>
      <c r="M272" s="26" t="n">
        <v>23.71759337791422</v>
      </c>
      <c r="N272" s="26" t="n">
        <v>23.5150480136276</v>
      </c>
      <c r="O272" s="26" t="n">
        <v>23.67246453659086</v>
      </c>
      <c r="P272" s="26" t="n">
        <v>24.23328116404547</v>
      </c>
      <c r="Q272" s="26" t="n">
        <v>24.77470115172828</v>
      </c>
      <c r="R272" s="26" t="n">
        <v>24.28454240298654</v>
      </c>
      <c r="S272" s="26" t="n">
        <v>23.46442483653207</v>
      </c>
      <c r="T272" s="26" t="n">
        <v>23.04327924213717</v>
      </c>
      <c r="U272" s="26" t="n">
        <v>23.46311867959832</v>
      </c>
      <c r="V272" s="27">
        <f>AVERAGE(J272:U272)</f>
        <v/>
      </c>
      <c r="W272" s="28" t="n">
        <v>287</v>
      </c>
      <c r="X272" s="29" t="n">
        <v>0.7972222222222223</v>
      </c>
    </row>
    <row r="273" ht="13.9" customHeight="1">
      <c r="A273" s="11" t="n">
        <v>23155030</v>
      </c>
      <c r="B273" s="22" t="inlineStr">
        <is>
          <t>SP</t>
        </is>
      </c>
      <c r="C273" s="22" t="inlineStr">
        <is>
          <t>Aeropuerto Yariguies</t>
        </is>
      </c>
      <c r="D273" s="22" t="inlineStr">
        <is>
          <t>Barrancabermeja</t>
        </is>
      </c>
      <c r="E273" s="22" t="inlineStr">
        <is>
          <t>Santander</t>
        </is>
      </c>
      <c r="F273" s="22" t="n">
        <v>8</v>
      </c>
      <c r="G273" s="22" t="n">
        <v>126</v>
      </c>
      <c r="H273" s="23" t="n">
        <v>-73.80861111</v>
      </c>
      <c r="I273" s="24" t="n">
        <v>7.02638889</v>
      </c>
      <c r="J273" s="25" t="n">
        <v>32.98183537263626</v>
      </c>
      <c r="K273" s="26" t="n">
        <v>33.41668604879068</v>
      </c>
      <c r="L273" s="26" t="n">
        <v>32.70735444052961</v>
      </c>
      <c r="M273" s="26" t="n">
        <v>32.20459770114943</v>
      </c>
      <c r="N273" s="26" t="n">
        <v>31.99006073159193</v>
      </c>
      <c r="O273" s="26" t="n">
        <v>32.27183511692429</v>
      </c>
      <c r="P273" s="26" t="n">
        <v>32.67398220244716</v>
      </c>
      <c r="Q273" s="26" t="n">
        <v>32.70338524286242</v>
      </c>
      <c r="R273" s="26" t="n">
        <v>32.02800237812129</v>
      </c>
      <c r="S273" s="26" t="n">
        <v>31.43433015141541</v>
      </c>
      <c r="T273" s="26" t="n">
        <v>31.24071428571429</v>
      </c>
      <c r="U273" s="26" t="n">
        <v>31.91367895545315</v>
      </c>
      <c r="V273" s="27">
        <f>AVERAGE(J273:U273)</f>
        <v/>
      </c>
      <c r="W273" s="28" t="n">
        <v>345</v>
      </c>
      <c r="X273" s="29" t="n">
        <v>0.9583333333333334</v>
      </c>
    </row>
    <row r="274" ht="13.9" customHeight="1">
      <c r="A274" s="11" t="n">
        <v>23155040</v>
      </c>
      <c r="B274" s="22" t="inlineStr">
        <is>
          <t>CO</t>
        </is>
      </c>
      <c r="C274" s="22" t="inlineStr">
        <is>
          <t xml:space="preserve">El Centro </t>
        </is>
      </c>
      <c r="D274" s="22" t="inlineStr">
        <is>
          <t>Barrancabermeja</t>
        </is>
      </c>
      <c r="E274" s="22" t="inlineStr">
        <is>
          <t>Santander</t>
        </is>
      </c>
      <c r="F274" s="22" t="n">
        <v>8</v>
      </c>
      <c r="G274" s="22" t="n">
        <v>114</v>
      </c>
      <c r="H274" s="23" t="n">
        <v>-73.76508333</v>
      </c>
      <c r="I274" s="24" t="n">
        <v>6.85955556</v>
      </c>
      <c r="J274" s="25" t="n">
        <v>33.6451162625139</v>
      </c>
      <c r="K274" s="26" t="n">
        <v>33.59833712264746</v>
      </c>
      <c r="L274" s="26" t="n">
        <v>33.11907647400956</v>
      </c>
      <c r="M274" s="26" t="n">
        <v>32.81582136015325</v>
      </c>
      <c r="N274" s="26" t="n">
        <v>32.87139365543035</v>
      </c>
      <c r="O274" s="26" t="n">
        <v>32.92848341303654</v>
      </c>
      <c r="P274" s="26" t="n">
        <v>33.36604299624489</v>
      </c>
      <c r="Q274" s="26" t="n">
        <v>33.32113210309651</v>
      </c>
      <c r="R274" s="26" t="n">
        <v>32.9923646016308</v>
      </c>
      <c r="S274" s="26" t="n">
        <v>32.51017007042368</v>
      </c>
      <c r="T274" s="26" t="n">
        <v>32.3802351655369</v>
      </c>
      <c r="U274" s="26" t="n">
        <v>32.92765913308461</v>
      </c>
      <c r="V274" s="27">
        <f>AVERAGE(J274:U274)</f>
        <v/>
      </c>
      <c r="W274" s="28" t="n">
        <v>294</v>
      </c>
      <c r="X274" s="29" t="n">
        <v>0.8166666666666667</v>
      </c>
    </row>
    <row r="275" ht="13.9" customHeight="1">
      <c r="A275" s="11" t="n">
        <v>24035260</v>
      </c>
      <c r="B275" s="22" t="inlineStr">
        <is>
          <t>CO</t>
        </is>
      </c>
      <c r="C275" s="22" t="inlineStr">
        <is>
          <t>Capitanejo</t>
        </is>
      </c>
      <c r="D275" s="22" t="inlineStr">
        <is>
          <t>Capitanejo</t>
        </is>
      </c>
      <c r="E275" s="22" t="inlineStr">
        <is>
          <t>Santander</t>
        </is>
      </c>
      <c r="F275" s="22" t="n">
        <v>6</v>
      </c>
      <c r="G275" s="22" t="n">
        <v>1082</v>
      </c>
      <c r="H275" s="23" t="n">
        <v>-72.69661111000001</v>
      </c>
      <c r="I275" s="24" t="n">
        <v>6.52072222</v>
      </c>
      <c r="J275" s="25" t="n">
        <v>34.59945400421601</v>
      </c>
      <c r="K275" s="26" t="n">
        <v>34.85282463447341</v>
      </c>
      <c r="L275" s="26" t="n">
        <v>34.40445392209535</v>
      </c>
      <c r="M275" s="26" t="n">
        <v>33.40093302894068</v>
      </c>
      <c r="N275" s="26" t="n">
        <v>32.64599648792167</v>
      </c>
      <c r="O275" s="26" t="n">
        <v>32.94876011068541</v>
      </c>
      <c r="P275" s="26" t="n">
        <v>33.47530732152534</v>
      </c>
      <c r="Q275" s="26" t="n">
        <v>33.87562950286644</v>
      </c>
      <c r="R275" s="26" t="n">
        <v>33.50820827193241</v>
      </c>
      <c r="S275" s="26" t="n">
        <v>32.49860476759401</v>
      </c>
      <c r="T275" s="26" t="n">
        <v>32.49302054974203</v>
      </c>
      <c r="U275" s="26" t="n">
        <v>33.73554128111414</v>
      </c>
      <c r="V275" s="27">
        <f>AVERAGE(J275:U275)</f>
        <v/>
      </c>
      <c r="W275" s="28" t="n">
        <v>321</v>
      </c>
      <c r="X275" s="29" t="n">
        <v>0.8916666666666667</v>
      </c>
    </row>
    <row r="276" ht="13.9" customHeight="1">
      <c r="A276" s="11" t="n">
        <v>24035400</v>
      </c>
      <c r="B276" s="22" t="inlineStr">
        <is>
          <t>CO</t>
        </is>
      </c>
      <c r="C276" s="22" t="inlineStr">
        <is>
          <t>El Volcán</t>
        </is>
      </c>
      <c r="D276" s="22" t="inlineStr">
        <is>
          <t>Cerrito</t>
        </is>
      </c>
      <c r="E276" s="22" t="inlineStr">
        <is>
          <t>Santander</t>
        </is>
      </c>
      <c r="F276" s="22" t="n">
        <v>8</v>
      </c>
      <c r="G276" s="22" t="n">
        <v>2841</v>
      </c>
      <c r="H276" s="23" t="n">
        <v>-72.67777778</v>
      </c>
      <c r="I276" s="24" t="n">
        <v>6.84527778</v>
      </c>
      <c r="J276" s="25" t="n">
        <v>18.98505376344086</v>
      </c>
      <c r="K276" s="26" t="n">
        <v>19.52189039408867</v>
      </c>
      <c r="L276" s="26" t="n">
        <v>19.31532258064516</v>
      </c>
      <c r="M276" s="26" t="n">
        <v>18.68583333333334</v>
      </c>
      <c r="N276" s="26" t="n">
        <v>18.36786290322581</v>
      </c>
      <c r="O276" s="26" t="n">
        <v>17.72291666666667</v>
      </c>
      <c r="P276" s="26" t="n">
        <v>17.59569892473118</v>
      </c>
      <c r="Q276" s="26" t="n">
        <v>17.73502986857826</v>
      </c>
      <c r="R276" s="26" t="n">
        <v>17.97489144316731</v>
      </c>
      <c r="S276" s="26" t="n">
        <v>17.85048050646122</v>
      </c>
      <c r="T276" s="26" t="n">
        <v>17.85136653895275</v>
      </c>
      <c r="U276" s="26" t="n">
        <v>18.29354838709677</v>
      </c>
      <c r="V276" s="27">
        <f>AVERAGE(J276:U276)</f>
        <v/>
      </c>
      <c r="W276" s="28" t="n">
        <v>101</v>
      </c>
      <c r="X276" s="29" t="n">
        <v>0.8416666666666667</v>
      </c>
    </row>
    <row r="277" ht="13.9" customHeight="1">
      <c r="A277" s="11" t="n">
        <v>24035270</v>
      </c>
      <c r="B277" s="22" t="inlineStr">
        <is>
          <t>CO</t>
        </is>
      </c>
      <c r="C277" s="22" t="inlineStr">
        <is>
          <t xml:space="preserve">Granja Tinaga </t>
        </is>
      </c>
      <c r="D277" s="22" t="inlineStr">
        <is>
          <t>Cerrito</t>
        </is>
      </c>
      <c r="E277" s="22" t="inlineStr">
        <is>
          <t>Santander</t>
        </is>
      </c>
      <c r="F277" s="22" t="n">
        <v>8</v>
      </c>
      <c r="G277" s="22" t="n">
        <v>2698</v>
      </c>
      <c r="H277" s="23" t="n">
        <v>-72.7075</v>
      </c>
      <c r="I277" s="24" t="n">
        <v>6.84083333</v>
      </c>
      <c r="J277" s="25" t="n">
        <v>19.98348993165703</v>
      </c>
      <c r="K277" s="26" t="n">
        <v>20.36452087007643</v>
      </c>
      <c r="L277" s="26" t="n">
        <v>20.08172043010752</v>
      </c>
      <c r="M277" s="26" t="n">
        <v>19.55992620973464</v>
      </c>
      <c r="N277" s="26" t="n">
        <v>19.22652595247577</v>
      </c>
      <c r="O277" s="26" t="n">
        <v>18.60109651523445</v>
      </c>
      <c r="P277" s="26" t="n">
        <v>18.31088660019068</v>
      </c>
      <c r="Q277" s="26" t="n">
        <v>18.36422115107321</v>
      </c>
      <c r="R277" s="26" t="n">
        <v>18.67972065113828</v>
      </c>
      <c r="S277" s="26" t="n">
        <v>18.63064132104455</v>
      </c>
      <c r="T277" s="26" t="n">
        <v>18.75987753147236</v>
      </c>
      <c r="U277" s="26" t="n">
        <v>19.60276579752386</v>
      </c>
      <c r="V277" s="27">
        <f>AVERAGE(J277:U277)</f>
        <v/>
      </c>
      <c r="W277" s="28" t="n">
        <v>104</v>
      </c>
      <c r="X277" s="29" t="n">
        <v>0.8666666666666667</v>
      </c>
    </row>
    <row r="278" ht="13.9" customHeight="1">
      <c r="A278" s="11" t="n">
        <v>24025050</v>
      </c>
      <c r="B278" s="22" t="inlineStr">
        <is>
          <t>CO</t>
        </is>
      </c>
      <c r="C278" s="22" t="inlineStr">
        <is>
          <t>Charalá</t>
        </is>
      </c>
      <c r="D278" s="22" t="inlineStr">
        <is>
          <t>Charalá</t>
        </is>
      </c>
      <c r="E278" s="22" t="inlineStr">
        <is>
          <t>Santander</t>
        </is>
      </c>
      <c r="F278" s="22" t="n">
        <v>8</v>
      </c>
      <c r="G278" s="22" t="n">
        <v>1350</v>
      </c>
      <c r="H278" s="23" t="n">
        <v>-73.15055556</v>
      </c>
      <c r="I278" s="24" t="n">
        <v>6.27416667</v>
      </c>
      <c r="J278" s="25" t="n">
        <v>29.56105766231461</v>
      </c>
      <c r="K278" s="26" t="n">
        <v>29.80782613471474</v>
      </c>
      <c r="L278" s="26" t="n">
        <v>29.37881890478057</v>
      </c>
      <c r="M278" s="26" t="n">
        <v>28.79037698182746</v>
      </c>
      <c r="N278" s="26" t="n">
        <v>28.57798695303398</v>
      </c>
      <c r="O278" s="26" t="n">
        <v>28.43563922303805</v>
      </c>
      <c r="P278" s="26" t="n">
        <v>28.61438090048047</v>
      </c>
      <c r="Q278" s="26" t="n">
        <v>28.81865209729579</v>
      </c>
      <c r="R278" s="26" t="n">
        <v>28.7829032002042</v>
      </c>
      <c r="S278" s="26" t="n">
        <v>28.46435704282851</v>
      </c>
      <c r="T278" s="26" t="n">
        <v>28.39804531486531</v>
      </c>
      <c r="U278" s="26" t="n">
        <v>28.78526140022655</v>
      </c>
      <c r="V278" s="27">
        <f>AVERAGE(J278:U278)</f>
        <v/>
      </c>
      <c r="W278" s="28" t="n">
        <v>299</v>
      </c>
      <c r="X278" s="29" t="n">
        <v>0.8305555555555556</v>
      </c>
    </row>
    <row r="279" ht="13.9" customHeight="1">
      <c r="A279" s="11" t="n">
        <v>24015260</v>
      </c>
      <c r="B279" s="22" t="inlineStr">
        <is>
          <t>CO</t>
        </is>
      </c>
      <c r="C279" s="22" t="inlineStr">
        <is>
          <t>Chima</t>
        </is>
      </c>
      <c r="D279" s="22" t="inlineStr">
        <is>
          <t xml:space="preserve">Chima </t>
        </is>
      </c>
      <c r="E279" s="22" t="inlineStr">
        <is>
          <t>Santander</t>
        </is>
      </c>
      <c r="F279" s="22" t="n">
        <v>8</v>
      </c>
      <c r="G279" s="22" t="n">
        <v>1090</v>
      </c>
      <c r="H279" s="23" t="n">
        <v>-73.36833333</v>
      </c>
      <c r="I279" s="24" t="n">
        <v>6.355</v>
      </c>
      <c r="J279" s="25" t="n">
        <v>31.06122119815668</v>
      </c>
      <c r="K279" s="26" t="n">
        <v>31.60473555109571</v>
      </c>
      <c r="L279" s="26" t="n">
        <v>31.10674868019139</v>
      </c>
      <c r="M279" s="26" t="n">
        <v>30.6419492105799</v>
      </c>
      <c r="N279" s="26" t="n">
        <v>30.21099745734155</v>
      </c>
      <c r="O279" s="26" t="n">
        <v>30.1509067688378</v>
      </c>
      <c r="P279" s="26" t="n">
        <v>30.28267878477556</v>
      </c>
      <c r="Q279" s="26" t="n">
        <v>30.53754007980649</v>
      </c>
      <c r="R279" s="26" t="n">
        <v>30.4095652173913</v>
      </c>
      <c r="S279" s="26" t="n">
        <v>29.99032258064516</v>
      </c>
      <c r="T279" s="26" t="n">
        <v>29.71399014778326</v>
      </c>
      <c r="U279" s="26" t="n">
        <v>30.3247633172661</v>
      </c>
      <c r="V279" s="27">
        <f>AVERAGE(J279:U279)</f>
        <v/>
      </c>
      <c r="W279" s="28" t="n">
        <v>330</v>
      </c>
      <c r="X279" s="29" t="n">
        <v>0.9166666666666666</v>
      </c>
    </row>
    <row r="280" ht="13.9" customHeight="1">
      <c r="A280" s="11" t="n">
        <v>23125120</v>
      </c>
      <c r="B280" s="22" t="inlineStr">
        <is>
          <t>CO</t>
        </is>
      </c>
      <c r="C280" s="22" t="inlineStr">
        <is>
          <t>Cimitarra</t>
        </is>
      </c>
      <c r="D280" s="22" t="inlineStr">
        <is>
          <t>Cimitarra</t>
        </is>
      </c>
      <c r="E280" s="22" t="inlineStr">
        <is>
          <t>Santander</t>
        </is>
      </c>
      <c r="F280" s="22" t="n">
        <v>8</v>
      </c>
      <c r="G280" s="22" t="n">
        <v>198</v>
      </c>
      <c r="H280" s="23" t="n">
        <v>-73.95222222000001</v>
      </c>
      <c r="I280" s="24" t="n">
        <v>6.30861111</v>
      </c>
      <c r="J280" s="25" t="n">
        <v>32.21172928767186</v>
      </c>
      <c r="K280" s="26" t="n">
        <v>32.46460188518378</v>
      </c>
      <c r="L280" s="26" t="n">
        <v>32.20996277915632</v>
      </c>
      <c r="M280" s="26" t="n">
        <v>32.15310288051668</v>
      </c>
      <c r="N280" s="26" t="n">
        <v>32.12779446298356</v>
      </c>
      <c r="O280" s="26" t="n">
        <v>32.1846828104653</v>
      </c>
      <c r="P280" s="26" t="n">
        <v>32.38568460176516</v>
      </c>
      <c r="Q280" s="26" t="n">
        <v>32.6048821881863</v>
      </c>
      <c r="R280" s="26" t="n">
        <v>32.38077991857833</v>
      </c>
      <c r="S280" s="26" t="n">
        <v>31.70877720807471</v>
      </c>
      <c r="T280" s="26" t="n">
        <v>31.50322588783972</v>
      </c>
      <c r="U280" s="26" t="n">
        <v>31.64597342134898</v>
      </c>
      <c r="V280" s="27">
        <f>AVERAGE(J280:U280)</f>
        <v/>
      </c>
      <c r="W280" s="28" t="n">
        <v>295</v>
      </c>
      <c r="X280" s="29" t="n">
        <v>0.8194444444444444</v>
      </c>
    </row>
    <row r="281" ht="13.9" customHeight="1">
      <c r="A281" s="11" t="n">
        <v>23145020</v>
      </c>
      <c r="B281" s="22" t="inlineStr">
        <is>
          <t>CO</t>
        </is>
      </c>
      <c r="C281" s="22" t="inlineStr">
        <is>
          <t>El Carmen</t>
        </is>
      </c>
      <c r="D281" s="22" t="inlineStr">
        <is>
          <t xml:space="preserve">El Carmen </t>
        </is>
      </c>
      <c r="E281" s="22" t="inlineStr">
        <is>
          <t>Santander</t>
        </is>
      </c>
      <c r="F281" s="22" t="n">
        <v>8</v>
      </c>
      <c r="G281" s="22" t="n">
        <v>805</v>
      </c>
      <c r="H281" s="23" t="n">
        <v>-73.51000000000001</v>
      </c>
      <c r="I281" s="24" t="n">
        <v>6.69638889</v>
      </c>
      <c r="J281" s="25" t="n">
        <v>27.81001509119937</v>
      </c>
      <c r="K281" s="26" t="n">
        <v>28.01497220383703</v>
      </c>
      <c r="L281" s="26" t="n">
        <v>27.75380574808726</v>
      </c>
      <c r="M281" s="26" t="n">
        <v>27.77348606222981</v>
      </c>
      <c r="N281" s="26" t="n">
        <v>27.94193572039898</v>
      </c>
      <c r="O281" s="26" t="n">
        <v>28.07348348118463</v>
      </c>
      <c r="P281" s="26" t="n">
        <v>28.4180188276693</v>
      </c>
      <c r="Q281" s="26" t="n">
        <v>28.32029442678165</v>
      </c>
      <c r="R281" s="26" t="n">
        <v>27.9412206432315</v>
      </c>
      <c r="S281" s="26" t="n">
        <v>27.45305329187455</v>
      </c>
      <c r="T281" s="26" t="n">
        <v>27.10621804482374</v>
      </c>
      <c r="U281" s="26" t="n">
        <v>27.29637868473449</v>
      </c>
      <c r="V281" s="27">
        <f>AVERAGE(J281:U281)</f>
        <v/>
      </c>
      <c r="W281" s="28" t="n">
        <v>293</v>
      </c>
      <c r="X281" s="29" t="n">
        <v>0.8138888888888889</v>
      </c>
    </row>
    <row r="282" ht="13.9" customHeight="1">
      <c r="A282" s="11" t="n">
        <v>24015280</v>
      </c>
      <c r="B282" s="22" t="inlineStr">
        <is>
          <t>CO</t>
        </is>
      </c>
      <c r="C282" s="22" t="inlineStr">
        <is>
          <t>Gámbita</t>
        </is>
      </c>
      <c r="D282" s="22" t="inlineStr">
        <is>
          <t>Gámbita</t>
        </is>
      </c>
      <c r="E282" s="22" t="inlineStr">
        <is>
          <t>Santander</t>
        </is>
      </c>
      <c r="F282" s="22" t="n">
        <v>8</v>
      </c>
      <c r="G282" s="22" t="n">
        <v>1900</v>
      </c>
      <c r="H282" s="23" t="n">
        <v>-73.34361111</v>
      </c>
      <c r="I282" s="24" t="n">
        <v>5.94472222</v>
      </c>
      <c r="J282" s="25" t="n">
        <v>23.87353742941711</v>
      </c>
      <c r="K282" s="26" t="n">
        <v>23.90654475014072</v>
      </c>
      <c r="L282" s="26" t="n">
        <v>23.63669190278618</v>
      </c>
      <c r="M282" s="26" t="n">
        <v>23.4058497956048</v>
      </c>
      <c r="N282" s="26" t="n">
        <v>23.31245338655906</v>
      </c>
      <c r="O282" s="26" t="n">
        <v>23.33613009592981</v>
      </c>
      <c r="P282" s="26" t="n">
        <v>23.44852546484487</v>
      </c>
      <c r="Q282" s="26" t="n">
        <v>23.6398070146188</v>
      </c>
      <c r="R282" s="26" t="n">
        <v>23.74553858646142</v>
      </c>
      <c r="S282" s="26" t="n">
        <v>23.45457183400607</v>
      </c>
      <c r="T282" s="26" t="n">
        <v>23.21369321377307</v>
      </c>
      <c r="U282" s="26" t="n">
        <v>23.35979419854064</v>
      </c>
      <c r="V282" s="27">
        <f>AVERAGE(J282:U282)</f>
        <v/>
      </c>
      <c r="W282" s="28" t="n">
        <v>290</v>
      </c>
      <c r="X282" s="29" t="n">
        <v>0.8055555555555556</v>
      </c>
    </row>
    <row r="283" ht="13.9" customHeight="1">
      <c r="A283" s="11" t="n">
        <v>24015250</v>
      </c>
      <c r="B283" s="22" t="inlineStr">
        <is>
          <t>CO</t>
        </is>
      </c>
      <c r="C283" s="22" t="inlineStr">
        <is>
          <t>La Laja</t>
        </is>
      </c>
      <c r="D283" s="22" t="inlineStr">
        <is>
          <t xml:space="preserve">Guadalupe </t>
        </is>
      </c>
      <c r="E283" s="22" t="inlineStr">
        <is>
          <t>Santander</t>
        </is>
      </c>
      <c r="F283" s="22" t="n">
        <v>8</v>
      </c>
      <c r="G283" s="22" t="n">
        <v>1400</v>
      </c>
      <c r="H283" s="23" t="n">
        <v>-73.41538889</v>
      </c>
      <c r="I283" s="24" t="n">
        <v>6.23716667</v>
      </c>
      <c r="J283" s="25" t="n">
        <v>26.5589247311828</v>
      </c>
      <c r="K283" s="26" t="n">
        <v>26.71009259259259</v>
      </c>
      <c r="L283" s="26" t="n">
        <v>26.6466623655914</v>
      </c>
      <c r="M283" s="26" t="n">
        <v>26.49615473032715</v>
      </c>
      <c r="N283" s="26" t="n">
        <v>26.27938560794045</v>
      </c>
      <c r="O283" s="26" t="n">
        <v>26.33709416445623</v>
      </c>
      <c r="P283" s="26" t="n">
        <v>26.49322580645161</v>
      </c>
      <c r="Q283" s="26" t="n">
        <v>26.48674247105838</v>
      </c>
      <c r="R283" s="26" t="n">
        <v>26.57162068965517</v>
      </c>
      <c r="S283" s="26" t="n">
        <v>25.96127188940092</v>
      </c>
      <c r="T283" s="26" t="n">
        <v>25.84333333333333</v>
      </c>
      <c r="U283" s="26" t="n">
        <v>25.98733870967742</v>
      </c>
      <c r="V283" s="27">
        <f>AVERAGE(J283:U283)</f>
        <v/>
      </c>
      <c r="W283" s="28" t="n">
        <v>115</v>
      </c>
      <c r="X283" s="29" t="n">
        <v>0.9583333333333334</v>
      </c>
    </row>
    <row r="284" ht="13.9" customHeight="1">
      <c r="A284" s="11" t="n">
        <v>23125130</v>
      </c>
      <c r="B284" s="22" t="inlineStr">
        <is>
          <t>PG</t>
        </is>
      </c>
      <c r="C284" s="22" t="inlineStr">
        <is>
          <t>Landázuri</t>
        </is>
      </c>
      <c r="D284" s="22" t="inlineStr">
        <is>
          <t>Landázuri</t>
        </is>
      </c>
      <c r="E284" s="22" t="inlineStr">
        <is>
          <t>Santander</t>
        </is>
      </c>
      <c r="F284" s="22" t="n">
        <v>8</v>
      </c>
      <c r="G284" s="22" t="n">
        <v>935</v>
      </c>
      <c r="H284" s="23" t="n">
        <v>-73.80888889000001</v>
      </c>
      <c r="I284" s="24" t="n">
        <v>6.22138889</v>
      </c>
      <c r="J284" s="25" t="n">
        <v>26.88964502158871</v>
      </c>
      <c r="K284" s="26" t="n">
        <v>27.01046238576619</v>
      </c>
      <c r="L284" s="26" t="n">
        <v>26.81801445300596</v>
      </c>
      <c r="M284" s="26" t="n">
        <v>26.8509458720932</v>
      </c>
      <c r="N284" s="26" t="n">
        <v>26.84192725541452</v>
      </c>
      <c r="O284" s="26" t="n">
        <v>26.90501795173301</v>
      </c>
      <c r="P284" s="26" t="n">
        <v>27.10713056278071</v>
      </c>
      <c r="Q284" s="26" t="n">
        <v>27.26541215385517</v>
      </c>
      <c r="R284" s="26" t="n">
        <v>26.8725124977194</v>
      </c>
      <c r="S284" s="26" t="n">
        <v>26.56173373023558</v>
      </c>
      <c r="T284" s="26" t="n">
        <v>26.20412140931298</v>
      </c>
      <c r="U284" s="26" t="n">
        <v>26.41815487716118</v>
      </c>
      <c r="V284" s="27">
        <f>AVERAGE(J284:U284)</f>
        <v/>
      </c>
      <c r="W284" s="28" t="n">
        <v>226</v>
      </c>
      <c r="X284" s="29" t="n">
        <v>0.9416666666666667</v>
      </c>
    </row>
    <row r="285" ht="13.9" customHeight="1">
      <c r="A285" s="11" t="n">
        <v>23195502</v>
      </c>
      <c r="B285" s="22" t="inlineStr">
        <is>
          <t>SP</t>
        </is>
      </c>
      <c r="C285" s="22" t="inlineStr">
        <is>
          <t>Aeropuerto Palonegro</t>
        </is>
      </c>
      <c r="D285" s="22" t="inlineStr">
        <is>
          <t>Lebrija</t>
        </is>
      </c>
      <c r="E285" s="22" t="inlineStr">
        <is>
          <t>Santander</t>
        </is>
      </c>
      <c r="F285" s="22" t="n">
        <v>8</v>
      </c>
      <c r="G285" s="22" t="n">
        <v>1189</v>
      </c>
      <c r="H285" s="23" t="n">
        <v>-73.18452778</v>
      </c>
      <c r="I285" s="24" t="n">
        <v>7.12147222</v>
      </c>
      <c r="J285" s="25" t="n">
        <v>25.65939205955335</v>
      </c>
      <c r="K285" s="26" t="n">
        <v>25.83205543392325</v>
      </c>
      <c r="L285" s="26" t="n">
        <v>25.64932696136998</v>
      </c>
      <c r="M285" s="26" t="n">
        <v>25.6525377229081</v>
      </c>
      <c r="N285" s="26" t="n">
        <v>25.81145430058482</v>
      </c>
      <c r="O285" s="26" t="n">
        <v>25.82496913580248</v>
      </c>
      <c r="P285" s="26" t="n">
        <v>26.05987085395687</v>
      </c>
      <c r="Q285" s="26" t="n">
        <v>26.34364555953803</v>
      </c>
      <c r="R285" s="26" t="n">
        <v>26.24561355311356</v>
      </c>
      <c r="S285" s="26" t="n">
        <v>25.64850703060381</v>
      </c>
      <c r="T285" s="26" t="n">
        <v>25.06528040924593</v>
      </c>
      <c r="U285" s="26" t="n">
        <v>25.26767399267399</v>
      </c>
      <c r="V285" s="27">
        <f>AVERAGE(J285:U285)</f>
        <v/>
      </c>
      <c r="W285" s="28" t="n">
        <v>319</v>
      </c>
      <c r="X285" s="29" t="n">
        <v>0.8861111111111111</v>
      </c>
    </row>
    <row r="286" ht="13.9" customHeight="1">
      <c r="A286" s="11" t="n">
        <v>24025040</v>
      </c>
      <c r="B286" s="22" t="inlineStr">
        <is>
          <t>CP</t>
        </is>
      </c>
      <c r="C286" s="22" t="inlineStr">
        <is>
          <t>Escuela Agrícola Mogotes</t>
        </is>
      </c>
      <c r="D286" s="22" t="inlineStr">
        <is>
          <t>Mogotes</t>
        </is>
      </c>
      <c r="E286" s="22" t="inlineStr">
        <is>
          <t>Santander</t>
        </is>
      </c>
      <c r="F286" s="22" t="n">
        <v>8</v>
      </c>
      <c r="G286" s="22" t="n">
        <v>1673</v>
      </c>
      <c r="H286" s="23" t="n">
        <v>-72.96888889</v>
      </c>
      <c r="I286" s="24" t="n">
        <v>6.47</v>
      </c>
      <c r="J286" s="25" t="n">
        <v>26.27254459687719</v>
      </c>
      <c r="K286" s="26" t="n">
        <v>26.85135795034194</v>
      </c>
      <c r="L286" s="26" t="n">
        <v>26.53105222734255</v>
      </c>
      <c r="M286" s="26" t="n">
        <v>25.94736863711001</v>
      </c>
      <c r="N286" s="26" t="n">
        <v>25.70492504899624</v>
      </c>
      <c r="O286" s="26" t="n">
        <v>25.64692797689824</v>
      </c>
      <c r="P286" s="26" t="n">
        <v>25.60759241704429</v>
      </c>
      <c r="Q286" s="26" t="n">
        <v>25.85756280925165</v>
      </c>
      <c r="R286" s="26" t="n">
        <v>25.81239326765189</v>
      </c>
      <c r="S286" s="26" t="n">
        <v>25.39113239676458</v>
      </c>
      <c r="T286" s="26" t="n">
        <v>25.10215279824476</v>
      </c>
      <c r="U286" s="26" t="n">
        <v>25.52882956371277</v>
      </c>
      <c r="V286" s="27">
        <f>AVERAGE(J286:U286)</f>
        <v/>
      </c>
      <c r="W286" s="28" t="n">
        <v>335</v>
      </c>
      <c r="X286" s="29" t="n">
        <v>0.9305555555555556</v>
      </c>
    </row>
    <row r="287" ht="13.9" customHeight="1">
      <c r="A287" s="11" t="n">
        <v>24055040</v>
      </c>
      <c r="B287" s="22" t="inlineStr">
        <is>
          <t>CO</t>
        </is>
      </c>
      <c r="C287" s="22" t="inlineStr">
        <is>
          <t xml:space="preserve">El Palmar </t>
        </is>
      </c>
      <c r="D287" s="22" t="inlineStr">
        <is>
          <t>Palmar</t>
        </is>
      </c>
      <c r="E287" s="22" t="inlineStr">
        <is>
          <t>Santander</t>
        </is>
      </c>
      <c r="F287" s="22" t="n">
        <v>8</v>
      </c>
      <c r="G287" s="22" t="n">
        <v>940</v>
      </c>
      <c r="H287" s="23" t="n">
        <v>-73.292</v>
      </c>
      <c r="I287" s="24" t="n">
        <v>6.54972222</v>
      </c>
      <c r="J287" s="25" t="n">
        <v>32.78395006797676</v>
      </c>
      <c r="K287" s="26" t="n">
        <v>33.33950087809168</v>
      </c>
      <c r="L287" s="26" t="n">
        <v>33.00353982074592</v>
      </c>
      <c r="M287" s="26" t="n">
        <v>32.20998159703218</v>
      </c>
      <c r="N287" s="26" t="n">
        <v>31.51503392749835</v>
      </c>
      <c r="O287" s="26" t="n">
        <v>31.5804282612178</v>
      </c>
      <c r="P287" s="26" t="n">
        <v>32.24772194530239</v>
      </c>
      <c r="Q287" s="26" t="n">
        <v>32.49288890593635</v>
      </c>
      <c r="R287" s="26" t="n">
        <v>32.20949689764171</v>
      </c>
      <c r="S287" s="26" t="n">
        <v>31.03479910267403</v>
      </c>
      <c r="T287" s="26" t="n">
        <v>30.71468510699299</v>
      </c>
      <c r="U287" s="26" t="n">
        <v>31.58825960287806</v>
      </c>
      <c r="V287" s="27">
        <f>AVERAGE(J287:U287)</f>
        <v/>
      </c>
      <c r="W287" s="28" t="n">
        <v>345</v>
      </c>
      <c r="X287" s="29" t="n">
        <v>0.9583333333333334</v>
      </c>
    </row>
    <row r="288" ht="13.9" customHeight="1">
      <c r="A288" s="11" t="n">
        <v>24025020</v>
      </c>
      <c r="B288" s="22" t="inlineStr">
        <is>
          <t>PM</t>
        </is>
      </c>
      <c r="C288" s="22" t="inlineStr">
        <is>
          <t>El Cucharo</t>
        </is>
      </c>
      <c r="D288" s="22" t="inlineStr">
        <is>
          <t>Pinchote</t>
        </is>
      </c>
      <c r="E288" s="22" t="inlineStr">
        <is>
          <t>Santander</t>
        </is>
      </c>
      <c r="F288" s="22" t="n">
        <v>8</v>
      </c>
      <c r="G288" s="22" t="n">
        <v>975</v>
      </c>
      <c r="H288" s="23" t="n">
        <v>-73.19916667</v>
      </c>
      <c r="I288" s="24" t="n">
        <v>6.53222222</v>
      </c>
      <c r="J288" s="25" t="n">
        <v>32.94428975664969</v>
      </c>
      <c r="K288" s="26" t="n">
        <v>33.36174413561164</v>
      </c>
      <c r="L288" s="26" t="n">
        <v>32.88295325890665</v>
      </c>
      <c r="M288" s="26" t="n">
        <v>31.55141964392923</v>
      </c>
      <c r="N288" s="26" t="n">
        <v>30.56653031247581</v>
      </c>
      <c r="O288" s="26" t="n">
        <v>30.58893632548805</v>
      </c>
      <c r="P288" s="26" t="n">
        <v>31.20389136077123</v>
      </c>
      <c r="Q288" s="26" t="n">
        <v>31.56963663329626</v>
      </c>
      <c r="R288" s="26" t="n">
        <v>31.20218662138202</v>
      </c>
      <c r="S288" s="26" t="n">
        <v>30.42574545373444</v>
      </c>
      <c r="T288" s="26" t="n">
        <v>30.22335806523547</v>
      </c>
      <c r="U288" s="26" t="n">
        <v>31.41117490302199</v>
      </c>
      <c r="V288" s="27">
        <f>AVERAGE(J288:U288)</f>
        <v/>
      </c>
      <c r="W288" s="28" t="n">
        <v>221</v>
      </c>
      <c r="X288" s="29" t="n">
        <v>0.9208333333333333</v>
      </c>
    </row>
    <row r="289" ht="13.9" customHeight="1">
      <c r="A289" s="11" t="n">
        <v>24065010</v>
      </c>
      <c r="B289" s="22" t="inlineStr">
        <is>
          <t>PM</t>
        </is>
      </c>
      <c r="C289" s="22" t="inlineStr">
        <is>
          <t xml:space="preserve">Hacienda Las Brisas </t>
        </is>
      </c>
      <c r="D289" s="22" t="inlineStr">
        <is>
          <t>Puerto Wilches</t>
        </is>
      </c>
      <c r="E289" s="22" t="inlineStr">
        <is>
          <t>Santander</t>
        </is>
      </c>
      <c r="F289" s="22" t="n">
        <v>8</v>
      </c>
      <c r="G289" s="22" t="n">
        <v>138</v>
      </c>
      <c r="H289" s="23" t="n">
        <v>-73.79000000000001</v>
      </c>
      <c r="I289" s="24" t="n">
        <v>7.24611111</v>
      </c>
      <c r="J289" s="25" t="n">
        <v>34.65187974950378</v>
      </c>
      <c r="K289" s="26" t="n">
        <v>35.24664764179828</v>
      </c>
      <c r="L289" s="26" t="n">
        <v>34.53301127169014</v>
      </c>
      <c r="M289" s="26" t="n">
        <v>33.96278059169438</v>
      </c>
      <c r="N289" s="26" t="n">
        <v>33.69246716876199</v>
      </c>
      <c r="O289" s="26" t="n">
        <v>33.7742189547216</v>
      </c>
      <c r="P289" s="26" t="n">
        <v>34.17689870573399</v>
      </c>
      <c r="Q289" s="26" t="n">
        <v>34.29073078134714</v>
      </c>
      <c r="R289" s="26" t="n">
        <v>33.52859579984444</v>
      </c>
      <c r="S289" s="26" t="n">
        <v>33.23502732321139</v>
      </c>
      <c r="T289" s="26" t="n">
        <v>33.04472854632242</v>
      </c>
      <c r="U289" s="26" t="n">
        <v>33.45999084814991</v>
      </c>
      <c r="V289" s="27">
        <f>AVERAGE(J289:U289)</f>
        <v/>
      </c>
      <c r="W289" s="28" t="n">
        <v>224</v>
      </c>
      <c r="X289" s="29" t="n">
        <v>0.9333333333333333</v>
      </c>
    </row>
    <row r="290" ht="13.9" customHeight="1">
      <c r="A290" s="11" t="n">
        <v>23185010</v>
      </c>
      <c r="B290" s="22" t="inlineStr">
        <is>
          <t>CP</t>
        </is>
      </c>
      <c r="C290" s="22" t="inlineStr">
        <is>
          <t>Villa Leiva</t>
        </is>
      </c>
      <c r="D290" s="22" t="inlineStr">
        <is>
          <t>Sabana de Torres</t>
        </is>
      </c>
      <c r="E290" s="22" t="inlineStr">
        <is>
          <t>Santander</t>
        </is>
      </c>
      <c r="F290" s="22" t="n">
        <v>8</v>
      </c>
      <c r="G290" s="22" t="n">
        <v>328</v>
      </c>
      <c r="H290" s="23" t="n">
        <v>-73.53722222</v>
      </c>
      <c r="I290" s="24" t="n">
        <v>7.45611111</v>
      </c>
      <c r="J290" s="25" t="n">
        <v>34.33249153588553</v>
      </c>
      <c r="K290" s="26" t="n">
        <v>35.06523710047296</v>
      </c>
      <c r="L290" s="26" t="n">
        <v>34.75062529055425</v>
      </c>
      <c r="M290" s="26" t="n">
        <v>33.74104079379114</v>
      </c>
      <c r="N290" s="26" t="n">
        <v>33.41162511507844</v>
      </c>
      <c r="O290" s="26" t="n">
        <v>33.60289860288506</v>
      </c>
      <c r="P290" s="26" t="n">
        <v>33.82475992983039</v>
      </c>
      <c r="Q290" s="26" t="n">
        <v>33.81583158867767</v>
      </c>
      <c r="R290" s="26" t="n">
        <v>33.50350037857438</v>
      </c>
      <c r="S290" s="26" t="n">
        <v>33.09068237502242</v>
      </c>
      <c r="T290" s="26" t="n">
        <v>32.80182037571426</v>
      </c>
      <c r="U290" s="26" t="n">
        <v>33.36013131108467</v>
      </c>
      <c r="V290" s="27">
        <f>AVERAGE(J290:U290)</f>
        <v/>
      </c>
      <c r="W290" s="28" t="n">
        <v>302</v>
      </c>
      <c r="X290" s="29" t="n">
        <v>0.8388888888888889</v>
      </c>
    </row>
    <row r="291" ht="13.9" customHeight="1">
      <c r="A291" s="11" t="n">
        <v>23195200</v>
      </c>
      <c r="B291" s="22" t="inlineStr">
        <is>
          <t>CO</t>
        </is>
      </c>
      <c r="C291" s="22" t="inlineStr">
        <is>
          <t>Cachiri</t>
        </is>
      </c>
      <c r="D291" s="22" t="inlineStr">
        <is>
          <t>Suratá</t>
        </is>
      </c>
      <c r="E291" s="22" t="inlineStr">
        <is>
          <t>Santander</t>
        </is>
      </c>
      <c r="F291" s="22" t="n">
        <v>8</v>
      </c>
      <c r="G291" s="22" t="n">
        <v>1850</v>
      </c>
      <c r="H291" s="23" t="n">
        <v>-72.99111111000001</v>
      </c>
      <c r="I291" s="24" t="n">
        <v>7.47388889</v>
      </c>
      <c r="J291" s="25" t="n">
        <v>22.69812038140911</v>
      </c>
      <c r="K291" s="26" t="n">
        <v>23.05413630672614</v>
      </c>
      <c r="L291" s="26" t="n">
        <v>23.13791763779337</v>
      </c>
      <c r="M291" s="26" t="n">
        <v>22.73837235480793</v>
      </c>
      <c r="N291" s="26" t="n">
        <v>22.58796532105491</v>
      </c>
      <c r="O291" s="26" t="n">
        <v>22.65677998284489</v>
      </c>
      <c r="P291" s="26" t="n">
        <v>22.93912265408859</v>
      </c>
      <c r="Q291" s="26" t="n">
        <v>22.960100205987</v>
      </c>
      <c r="R291" s="26" t="n">
        <v>22.27984457207581</v>
      </c>
      <c r="S291" s="26" t="n">
        <v>21.86116287276125</v>
      </c>
      <c r="T291" s="26" t="n">
        <v>21.74987083974632</v>
      </c>
      <c r="U291" s="26" t="n">
        <v>22.1616125972886</v>
      </c>
      <c r="V291" s="27">
        <f>AVERAGE(J291:U291)</f>
        <v/>
      </c>
      <c r="W291" s="28" t="n">
        <v>210</v>
      </c>
      <c r="X291" s="29" t="n">
        <v>0.875</v>
      </c>
    </row>
    <row r="292" ht="13.9" customHeight="1">
      <c r="A292" s="11" t="n">
        <v>37015020</v>
      </c>
      <c r="B292" s="22" t="inlineStr">
        <is>
          <t>CP</t>
        </is>
      </c>
      <c r="C292" s="22" t="inlineStr">
        <is>
          <t>Berlín Automática</t>
        </is>
      </c>
      <c r="D292" s="22" t="inlineStr">
        <is>
          <t>Tona</t>
        </is>
      </c>
      <c r="E292" s="22" t="inlineStr">
        <is>
          <t>Santander</t>
        </is>
      </c>
      <c r="F292" s="22" t="n">
        <v>8</v>
      </c>
      <c r="G292" s="22" t="n">
        <v>3214</v>
      </c>
      <c r="H292" s="23" t="n">
        <v>-72.86861111</v>
      </c>
      <c r="I292" s="24" t="n">
        <v>7.18694444</v>
      </c>
      <c r="J292" s="25" t="n">
        <v>14.54152243233222</v>
      </c>
      <c r="K292" s="26" t="n">
        <v>14.96627840841484</v>
      </c>
      <c r="L292" s="26" t="n">
        <v>14.92405879548705</v>
      </c>
      <c r="M292" s="26" t="n">
        <v>14.39775079224734</v>
      </c>
      <c r="N292" s="26" t="n">
        <v>13.94816672378556</v>
      </c>
      <c r="O292" s="26" t="n">
        <v>12.90446125343711</v>
      </c>
      <c r="P292" s="26" t="n">
        <v>12.46766654095983</v>
      </c>
      <c r="Q292" s="26" t="n">
        <v>13.20223385477499</v>
      </c>
      <c r="R292" s="26" t="n">
        <v>13.71344968140675</v>
      </c>
      <c r="S292" s="26" t="n">
        <v>13.780248424175</v>
      </c>
      <c r="T292" s="26" t="n">
        <v>13.77307759272291</v>
      </c>
      <c r="U292" s="26" t="n">
        <v>13.88542867980174</v>
      </c>
      <c r="V292" s="27">
        <f>AVERAGE(J292:U292)</f>
        <v/>
      </c>
      <c r="W292" s="28" t="n">
        <v>355</v>
      </c>
      <c r="X292" s="29" t="n">
        <v>0.9861111111111112</v>
      </c>
    </row>
    <row r="293" ht="13.9" customHeight="1">
      <c r="A293" s="11" t="n">
        <v>24015270</v>
      </c>
      <c r="B293" s="22" t="inlineStr">
        <is>
          <t>PM</t>
        </is>
      </c>
      <c r="C293" s="22" t="inlineStr">
        <is>
          <t xml:space="preserve">Granja Vélez </t>
        </is>
      </c>
      <c r="D293" s="22" t="inlineStr">
        <is>
          <t>Vélez</t>
        </is>
      </c>
      <c r="E293" s="22" t="inlineStr">
        <is>
          <t>Santander</t>
        </is>
      </c>
      <c r="F293" s="22" t="n">
        <v>8</v>
      </c>
      <c r="G293" s="22" t="n">
        <v>2170</v>
      </c>
      <c r="H293" s="23" t="n">
        <v>-73.67277778</v>
      </c>
      <c r="I293" s="24" t="n">
        <v>5.99722222</v>
      </c>
      <c r="J293" s="25" t="n">
        <v>23.37289963946434</v>
      </c>
      <c r="K293" s="26" t="n">
        <v>23.53747573357535</v>
      </c>
      <c r="L293" s="26" t="n">
        <v>23.17026944567978</v>
      </c>
      <c r="M293" s="26" t="n">
        <v>23.07420031922217</v>
      </c>
      <c r="N293" s="26" t="n">
        <v>22.83082208436458</v>
      </c>
      <c r="O293" s="26" t="n">
        <v>22.73007411773695</v>
      </c>
      <c r="P293" s="26" t="n">
        <v>22.59405621990389</v>
      </c>
      <c r="Q293" s="26" t="n">
        <v>22.51642901384218</v>
      </c>
      <c r="R293" s="26" t="n">
        <v>22.8666570881226</v>
      </c>
      <c r="S293" s="26" t="n">
        <v>22.5731912851107</v>
      </c>
      <c r="T293" s="26" t="n">
        <v>22.45042293473147</v>
      </c>
      <c r="U293" s="26" t="n">
        <v>22.80525769373378</v>
      </c>
      <c r="V293" s="27">
        <f>AVERAGE(J293:U293)</f>
        <v/>
      </c>
      <c r="W293" s="28" t="n">
        <v>218</v>
      </c>
      <c r="X293" s="29" t="n">
        <v>0.9083333333333333</v>
      </c>
    </row>
    <row r="294" ht="13.9" customHeight="1">
      <c r="A294" s="11" t="n">
        <v>24055030</v>
      </c>
      <c r="B294" s="22" t="inlineStr">
        <is>
          <t>CO</t>
        </is>
      </c>
      <c r="C294" s="22" t="inlineStr">
        <is>
          <t>Zapatoca</t>
        </is>
      </c>
      <c r="D294" s="22" t="inlineStr">
        <is>
          <t>Zapatoca</t>
        </is>
      </c>
      <c r="E294" s="22" t="inlineStr">
        <is>
          <t>Santander</t>
        </is>
      </c>
      <c r="F294" s="22" t="n">
        <v>8</v>
      </c>
      <c r="G294" s="22" t="n">
        <v>1810</v>
      </c>
      <c r="H294" s="23" t="n">
        <v>-73.28275000000001</v>
      </c>
      <c r="I294" s="24" t="n">
        <v>6.79277778</v>
      </c>
      <c r="J294" s="25" t="n">
        <v>23.63803452748792</v>
      </c>
      <c r="K294" s="26" t="n">
        <v>24.21953617891909</v>
      </c>
      <c r="L294" s="26" t="n">
        <v>24.06074267134424</v>
      </c>
      <c r="M294" s="26" t="n">
        <v>23.66994868754064</v>
      </c>
      <c r="N294" s="26" t="n">
        <v>23.59972897311008</v>
      </c>
      <c r="O294" s="26" t="n">
        <v>23.59451901836252</v>
      </c>
      <c r="P294" s="26" t="n">
        <v>23.70822269399863</v>
      </c>
      <c r="Q294" s="26" t="n">
        <v>23.98799853208218</v>
      </c>
      <c r="R294" s="26" t="n">
        <v>23.75456916901744</v>
      </c>
      <c r="S294" s="26" t="n">
        <v>23.13880045937032</v>
      </c>
      <c r="T294" s="26" t="n">
        <v>22.72527684678029</v>
      </c>
      <c r="U294" s="26" t="n">
        <v>23.12192500565194</v>
      </c>
      <c r="V294" s="27">
        <f>AVERAGE(J294:U294)</f>
        <v/>
      </c>
      <c r="W294" s="28" t="n">
        <v>303</v>
      </c>
      <c r="X294" s="29" t="n">
        <v>0.8416666666666667</v>
      </c>
    </row>
    <row r="295" ht="13.9" customHeight="1">
      <c r="A295" s="11" t="n">
        <v>25025080</v>
      </c>
      <c r="B295" s="22" t="inlineStr">
        <is>
          <t>CP</t>
        </is>
      </c>
      <c r="C295" s="22" t="inlineStr">
        <is>
          <t>Aeropuerto Rafael Barvo</t>
        </is>
      </c>
      <c r="D295" s="22" t="inlineStr">
        <is>
          <t>Corozal</t>
        </is>
      </c>
      <c r="E295" s="22" t="inlineStr">
        <is>
          <t>Sucre</t>
        </is>
      </c>
      <c r="F295" s="22" t="n">
        <v>2</v>
      </c>
      <c r="G295" s="22" t="n">
        <v>166</v>
      </c>
      <c r="H295" s="23" t="n">
        <v>-75.28305556000001</v>
      </c>
      <c r="I295" s="24" t="n">
        <v>9.333888890000001</v>
      </c>
      <c r="J295" s="25" t="n">
        <v>34.25433815350389</v>
      </c>
      <c r="K295" s="26" t="n">
        <v>35.26514687100894</v>
      </c>
      <c r="L295" s="26" t="n">
        <v>35.02709411556187</v>
      </c>
      <c r="M295" s="26" t="n">
        <v>34.04890476190475</v>
      </c>
      <c r="N295" s="26" t="n">
        <v>32.52370912124583</v>
      </c>
      <c r="O295" s="26" t="n">
        <v>32.81640211640211</v>
      </c>
      <c r="P295" s="26" t="n">
        <v>33.38179211469534</v>
      </c>
      <c r="Q295" s="26" t="n">
        <v>32.92375832053251</v>
      </c>
      <c r="R295" s="26" t="n">
        <v>32.1997816091954</v>
      </c>
      <c r="S295" s="26" t="n">
        <v>31.68433333333333</v>
      </c>
      <c r="T295" s="26" t="n">
        <v>31.98500638569604</v>
      </c>
      <c r="U295" s="26" t="n">
        <v>33.45231182795699</v>
      </c>
      <c r="V295" s="27">
        <f>AVERAGE(J295:U295)</f>
        <v/>
      </c>
      <c r="W295" s="28" t="n">
        <v>116</v>
      </c>
      <c r="X295" s="29" t="n">
        <v>0.9666666666666667</v>
      </c>
    </row>
    <row r="296" ht="13.9" customHeight="1">
      <c r="A296" s="11" t="n">
        <v>25025270</v>
      </c>
      <c r="B296" s="22" t="inlineStr">
        <is>
          <t>AM</t>
        </is>
      </c>
      <c r="C296" s="22" t="inlineStr">
        <is>
          <t>Universidad de Sucre</t>
        </is>
      </c>
      <c r="D296" s="22" t="inlineStr">
        <is>
          <t>Sampués</t>
        </is>
      </c>
      <c r="E296" s="22" t="inlineStr">
        <is>
          <t>Sucre</t>
        </is>
      </c>
      <c r="F296" s="22" t="n">
        <v>2</v>
      </c>
      <c r="G296" s="22" t="n">
        <v>160</v>
      </c>
      <c r="H296" s="23" t="n">
        <v>-75.3875</v>
      </c>
      <c r="I296" s="24" t="n">
        <v>9.316388890000001</v>
      </c>
      <c r="J296" s="25" t="n">
        <v>33.51447311827957</v>
      </c>
      <c r="K296" s="26" t="n">
        <v>34.22776835420159</v>
      </c>
      <c r="L296" s="26" t="n">
        <v>34.09275484711164</v>
      </c>
      <c r="M296" s="26" t="n">
        <v>33.27345419140246</v>
      </c>
      <c r="N296" s="26" t="n">
        <v>31.91048379832035</v>
      </c>
      <c r="O296" s="26" t="n">
        <v>31.98305557490615</v>
      </c>
      <c r="P296" s="26" t="n">
        <v>32.18862414617374</v>
      </c>
      <c r="Q296" s="26" t="n">
        <v>32.13191437197793</v>
      </c>
      <c r="R296" s="26" t="n">
        <v>31.45259315397247</v>
      </c>
      <c r="S296" s="26" t="n">
        <v>31.11229390681003</v>
      </c>
      <c r="T296" s="26" t="n">
        <v>31.30438859494415</v>
      </c>
      <c r="U296" s="26" t="n">
        <v>32.2931029316835</v>
      </c>
      <c r="V296" s="27">
        <f>AVERAGE(J296:U296)</f>
        <v/>
      </c>
      <c r="W296" s="28" t="n">
        <v>339</v>
      </c>
      <c r="X296" s="29" t="n">
        <v>0.9416666666666667</v>
      </c>
    </row>
    <row r="297" ht="13.9" customHeight="1">
      <c r="A297" s="11" t="n">
        <v>21255080</v>
      </c>
      <c r="B297" s="22" t="inlineStr">
        <is>
          <t>CP</t>
        </is>
      </c>
      <c r="C297" s="22" t="inlineStr">
        <is>
          <t>El Salto</t>
        </is>
      </c>
      <c r="D297" s="22" t="inlineStr">
        <is>
          <t>Ambalema</t>
        </is>
      </c>
      <c r="E297" s="22" t="inlineStr">
        <is>
          <t>Tolima</t>
        </is>
      </c>
      <c r="F297" s="22" t="n">
        <v>10</v>
      </c>
      <c r="G297" s="22" t="n">
        <v>450</v>
      </c>
      <c r="H297" s="23" t="n">
        <v>-74.76794443999999</v>
      </c>
      <c r="I297" s="24" t="n">
        <v>4.78375</v>
      </c>
      <c r="J297" s="25" t="n">
        <v>34.98807740109219</v>
      </c>
      <c r="K297" s="26" t="n">
        <v>34.91722531527785</v>
      </c>
      <c r="L297" s="26" t="n">
        <v>34.2831391060191</v>
      </c>
      <c r="M297" s="26" t="n">
        <v>33.9199644208665</v>
      </c>
      <c r="N297" s="26" t="n">
        <v>33.48852308283811</v>
      </c>
      <c r="O297" s="26" t="n">
        <v>34.24890226435319</v>
      </c>
      <c r="P297" s="26" t="n">
        <v>35.59496702994124</v>
      </c>
      <c r="Q297" s="26" t="n">
        <v>36.45213107309119</v>
      </c>
      <c r="R297" s="26" t="n">
        <v>35.70358432823169</v>
      </c>
      <c r="S297" s="26" t="n">
        <v>33.58649359840197</v>
      </c>
      <c r="T297" s="26" t="n">
        <v>32.99814037926093</v>
      </c>
      <c r="U297" s="26" t="n">
        <v>33.90972337391276</v>
      </c>
      <c r="V297" s="27">
        <f>AVERAGE(J297:U297)</f>
        <v/>
      </c>
      <c r="W297" s="28" t="n">
        <v>297</v>
      </c>
      <c r="X297" s="29" t="n">
        <v>0.825</v>
      </c>
    </row>
    <row r="298" ht="13.9" customHeight="1">
      <c r="A298" s="11" t="n">
        <v>21255090</v>
      </c>
      <c r="B298" s="22" t="inlineStr">
        <is>
          <t>CP</t>
        </is>
      </c>
      <c r="C298" s="22" t="inlineStr">
        <is>
          <t>Granja Armero</t>
        </is>
      </c>
      <c r="D298" s="22" t="inlineStr">
        <is>
          <t>Armero (Guayabal)</t>
        </is>
      </c>
      <c r="E298" s="22" t="inlineStr">
        <is>
          <t>Tolima</t>
        </is>
      </c>
      <c r="F298" s="22" t="n">
        <v>10</v>
      </c>
      <c r="G298" s="22" t="n">
        <v>321</v>
      </c>
      <c r="H298" s="23" t="n">
        <v>-74.89999167000001</v>
      </c>
      <c r="I298" s="24" t="n">
        <v>5</v>
      </c>
      <c r="J298" s="25" t="n">
        <v>33.98547818048861</v>
      </c>
      <c r="K298" s="26" t="n">
        <v>34.36597130440741</v>
      </c>
      <c r="L298" s="26" t="n">
        <v>33.67793626905713</v>
      </c>
      <c r="M298" s="26" t="n">
        <v>33.08481633521863</v>
      </c>
      <c r="N298" s="26" t="n">
        <v>32.73150307410073</v>
      </c>
      <c r="O298" s="26" t="n">
        <v>33.33115103512669</v>
      </c>
      <c r="P298" s="26" t="n">
        <v>34.58923543337075</v>
      </c>
      <c r="Q298" s="26" t="n">
        <v>35.84057362210736</v>
      </c>
      <c r="R298" s="26" t="n">
        <v>35.26734318555008</v>
      </c>
      <c r="S298" s="26" t="n">
        <v>33.13961223644073</v>
      </c>
      <c r="T298" s="26" t="n">
        <v>32.45626791646194</v>
      </c>
      <c r="U298" s="26" t="n">
        <v>33.15544202792779</v>
      </c>
      <c r="V298" s="27">
        <f>AVERAGE(J298:U298)</f>
        <v/>
      </c>
      <c r="W298" s="28" t="n">
        <v>203</v>
      </c>
      <c r="X298" s="29" t="n">
        <v>0.8458333333333333</v>
      </c>
    </row>
    <row r="299" ht="13.9" customHeight="1">
      <c r="A299" s="11" t="n">
        <v>22055020</v>
      </c>
      <c r="B299" s="22" t="inlineStr">
        <is>
          <t>CO</t>
        </is>
      </c>
      <c r="C299" s="22" t="inlineStr">
        <is>
          <t>Mesa de Pole</t>
        </is>
      </c>
      <c r="D299" s="22" t="inlineStr">
        <is>
          <t>Ataco</t>
        </is>
      </c>
      <c r="E299" s="22" t="inlineStr">
        <is>
          <t>Tolima</t>
        </is>
      </c>
      <c r="F299" s="22" t="n">
        <v>10</v>
      </c>
      <c r="G299" s="22" t="n">
        <v>699</v>
      </c>
      <c r="H299" s="23" t="n">
        <v>-75.53636111</v>
      </c>
      <c r="I299" s="24" t="n">
        <v>3.45577778</v>
      </c>
      <c r="J299" s="25" t="n">
        <v>31.26651746039138</v>
      </c>
      <c r="K299" s="26" t="n">
        <v>31.44608773017924</v>
      </c>
      <c r="L299" s="26" t="n">
        <v>31.02429118638129</v>
      </c>
      <c r="M299" s="26" t="n">
        <v>31.02658389432336</v>
      </c>
      <c r="N299" s="26" t="n">
        <v>31.13607336978379</v>
      </c>
      <c r="O299" s="26" t="n">
        <v>31.48069066877495</v>
      </c>
      <c r="P299" s="26" t="n">
        <v>32.1015649044113</v>
      </c>
      <c r="Q299" s="26" t="n">
        <v>33.0603140202062</v>
      </c>
      <c r="R299" s="26" t="n">
        <v>33.24209471293482</v>
      </c>
      <c r="S299" s="26" t="n">
        <v>31.50383752687284</v>
      </c>
      <c r="T299" s="26" t="n">
        <v>30.36358642968192</v>
      </c>
      <c r="U299" s="26" t="n">
        <v>30.67909293496221</v>
      </c>
      <c r="V299" s="27">
        <f>AVERAGE(J299:U299)</f>
        <v/>
      </c>
      <c r="W299" s="28" t="n">
        <v>324</v>
      </c>
      <c r="X299" s="29" t="n">
        <v>0.9</v>
      </c>
    </row>
    <row r="300" ht="13.9" customHeight="1">
      <c r="A300" s="11" t="n">
        <v>21215100</v>
      </c>
      <c r="B300" s="22" t="inlineStr">
        <is>
          <t>CO</t>
        </is>
      </c>
      <c r="C300" s="22" t="inlineStr">
        <is>
          <t>Cajamarca</t>
        </is>
      </c>
      <c r="D300" s="22" t="inlineStr">
        <is>
          <t>Cajamarca</t>
        </is>
      </c>
      <c r="E300" s="22" t="inlineStr">
        <is>
          <t>Tolima</t>
        </is>
      </c>
      <c r="F300" s="22" t="n">
        <v>10</v>
      </c>
      <c r="G300" s="22" t="n">
        <v>1920</v>
      </c>
      <c r="H300" s="23" t="n">
        <v>-75.42458332999999</v>
      </c>
      <c r="I300" s="24" t="n">
        <v>4.4415</v>
      </c>
      <c r="J300" s="25" t="n">
        <v>24.2743199502023</v>
      </c>
      <c r="K300" s="26" t="n">
        <v>24.32917378669712</v>
      </c>
      <c r="L300" s="26" t="n">
        <v>23.91214226633581</v>
      </c>
      <c r="M300" s="26" t="n">
        <v>23.5069447865353</v>
      </c>
      <c r="N300" s="26" t="n">
        <v>23.0827577482606</v>
      </c>
      <c r="O300" s="26" t="n">
        <v>22.99756726032588</v>
      </c>
      <c r="P300" s="26" t="n">
        <v>23.16605746191692</v>
      </c>
      <c r="Q300" s="26" t="n">
        <v>23.75681581828134</v>
      </c>
      <c r="R300" s="26" t="n">
        <v>23.72221232212307</v>
      </c>
      <c r="S300" s="26" t="n">
        <v>23.70177336958761</v>
      </c>
      <c r="T300" s="26" t="n">
        <v>23.47618401206637</v>
      </c>
      <c r="U300" s="26" t="n">
        <v>23.96625821753742</v>
      </c>
      <c r="V300" s="27">
        <f>AVERAGE(J300:U300)</f>
        <v/>
      </c>
      <c r="W300" s="28" t="n">
        <v>207</v>
      </c>
      <c r="X300" s="29" t="n">
        <v>0.8625</v>
      </c>
    </row>
    <row r="301" ht="13.9" customHeight="1">
      <c r="A301" s="11" t="n">
        <v>21215130</v>
      </c>
      <c r="B301" s="22" t="inlineStr">
        <is>
          <t>CO</t>
        </is>
      </c>
      <c r="C301" s="22" t="inlineStr">
        <is>
          <t xml:space="preserve">Hacienda Cucuana </t>
        </is>
      </c>
      <c r="D301" s="22" t="inlineStr">
        <is>
          <t>Cajamarca</t>
        </is>
      </c>
      <c r="E301" s="22" t="inlineStr">
        <is>
          <t>Tolima</t>
        </is>
      </c>
      <c r="F301" s="22" t="n">
        <v>10</v>
      </c>
      <c r="G301" s="22" t="n">
        <v>2229</v>
      </c>
      <c r="H301" s="23" t="n">
        <v>-75.51858333</v>
      </c>
      <c r="I301" s="24" t="n">
        <v>4.34138889</v>
      </c>
      <c r="J301" s="25" t="n">
        <v>21.8474064516129</v>
      </c>
      <c r="K301" s="26" t="n">
        <v>21.99818435714987</v>
      </c>
      <c r="L301" s="26" t="n">
        <v>21.63251612903226</v>
      </c>
      <c r="M301" s="26" t="n">
        <v>21.62323481116584</v>
      </c>
      <c r="N301" s="26" t="n">
        <v>21.64632258064516</v>
      </c>
      <c r="O301" s="26" t="n">
        <v>21.62883699243853</v>
      </c>
      <c r="P301" s="26" t="n">
        <v>21.49362002754383</v>
      </c>
      <c r="Q301" s="26" t="n">
        <v>21.459430002243</v>
      </c>
      <c r="R301" s="26" t="n">
        <v>21.60196963246771</v>
      </c>
      <c r="S301" s="26" t="n">
        <v>21.51297880836257</v>
      </c>
      <c r="T301" s="26" t="n">
        <v>21.48791826309068</v>
      </c>
      <c r="U301" s="26" t="n">
        <v>21.62821508024789</v>
      </c>
      <c r="V301" s="27">
        <f>AVERAGE(J301:U301)</f>
        <v/>
      </c>
      <c r="W301" s="28" t="n">
        <v>114</v>
      </c>
      <c r="X301" s="29" t="n">
        <v>0.95</v>
      </c>
    </row>
    <row r="302" ht="13.9" customHeight="1">
      <c r="A302" s="11" t="n">
        <v>22045020</v>
      </c>
      <c r="B302" s="22" t="inlineStr">
        <is>
          <t>CO</t>
        </is>
      </c>
      <c r="C302" s="22" t="inlineStr">
        <is>
          <t>El Limón</t>
        </is>
      </c>
      <c r="D302" s="22" t="inlineStr">
        <is>
          <t>Chaparral</t>
        </is>
      </c>
      <c r="E302" s="22" t="inlineStr">
        <is>
          <t>Tolima</t>
        </is>
      </c>
      <c r="F302" s="22" t="n">
        <v>10</v>
      </c>
      <c r="G302" s="22" t="n">
        <v>1030</v>
      </c>
      <c r="H302" s="23" t="n">
        <v>-75.58419444</v>
      </c>
      <c r="I302" s="24" t="n">
        <v>3.65183333</v>
      </c>
      <c r="J302" s="25" t="n">
        <v>28.17088339566633</v>
      </c>
      <c r="K302" s="26" t="n">
        <v>28.69272028859158</v>
      </c>
      <c r="L302" s="26" t="n">
        <v>28.45947086126085</v>
      </c>
      <c r="M302" s="26" t="n">
        <v>28.64564147783251</v>
      </c>
      <c r="N302" s="26" t="n">
        <v>28.77210290975864</v>
      </c>
      <c r="O302" s="26" t="n">
        <v>28.93690914077168</v>
      </c>
      <c r="P302" s="26" t="n">
        <v>29.45166892733442</v>
      </c>
      <c r="Q302" s="26" t="n">
        <v>30.2510756395241</v>
      </c>
      <c r="R302" s="26" t="n">
        <v>30.27075602079912</v>
      </c>
      <c r="S302" s="26" t="n">
        <v>28.97448275009436</v>
      </c>
      <c r="T302" s="26" t="n">
        <v>27.61876470464402</v>
      </c>
      <c r="U302" s="26" t="n">
        <v>27.92324793902798</v>
      </c>
      <c r="V302" s="27">
        <f>AVERAGE(J302:U302)</f>
        <v/>
      </c>
      <c r="W302" s="28" t="n">
        <v>292</v>
      </c>
      <c r="X302" s="29" t="n">
        <v>0.8111111111111111</v>
      </c>
    </row>
    <row r="303" ht="13.9" customHeight="1">
      <c r="A303" s="11" t="n">
        <v>22045010</v>
      </c>
      <c r="B303" s="22" t="inlineStr">
        <is>
          <t>CO</t>
        </is>
      </c>
      <c r="C303" s="22" t="inlineStr">
        <is>
          <t>Granja Demostración</t>
        </is>
      </c>
      <c r="D303" s="22" t="inlineStr">
        <is>
          <t>Chaparral</t>
        </is>
      </c>
      <c r="E303" s="22" t="inlineStr">
        <is>
          <t>Tolima</t>
        </is>
      </c>
      <c r="F303" s="22" t="n">
        <v>10</v>
      </c>
      <c r="G303" s="22" t="n">
        <v>908</v>
      </c>
      <c r="H303" s="23" t="n">
        <v>-75.50344444</v>
      </c>
      <c r="I303" s="24" t="n">
        <v>3.72244444</v>
      </c>
      <c r="J303" s="25" t="n">
        <v>29.64260155316607</v>
      </c>
      <c r="K303" s="26" t="n">
        <v>29.9227633397892</v>
      </c>
      <c r="L303" s="26" t="n">
        <v>29.3859402365854</v>
      </c>
      <c r="M303" s="26" t="n">
        <v>29.42237228607918</v>
      </c>
      <c r="N303" s="26" t="n">
        <v>29.77407885304659</v>
      </c>
      <c r="O303" s="26" t="n">
        <v>30.2917715745302</v>
      </c>
      <c r="P303" s="26" t="n">
        <v>30.87877477032093</v>
      </c>
      <c r="Q303" s="26" t="n">
        <v>31.36996415770609</v>
      </c>
      <c r="R303" s="26" t="n">
        <v>31.84916666666666</v>
      </c>
      <c r="S303" s="26" t="n">
        <v>29.6164247311828</v>
      </c>
      <c r="T303" s="26" t="n">
        <v>28.44559583456135</v>
      </c>
      <c r="U303" s="26" t="n">
        <v>28.85601550223352</v>
      </c>
      <c r="V303" s="27">
        <f>AVERAGE(J303:U303)</f>
        <v/>
      </c>
      <c r="W303" s="28" t="n">
        <v>104</v>
      </c>
      <c r="X303" s="29" t="n">
        <v>0.8666666666666667</v>
      </c>
    </row>
    <row r="304" ht="13.9" customHeight="1">
      <c r="A304" s="11" t="n">
        <v>21135040</v>
      </c>
      <c r="B304" s="22" t="inlineStr">
        <is>
          <t>CO</t>
        </is>
      </c>
      <c r="C304" s="22" t="inlineStr">
        <is>
          <t>Media Luna</t>
        </is>
      </c>
      <c r="D304" s="22" t="inlineStr">
        <is>
          <t>Coyaima</t>
        </is>
      </c>
      <c r="E304" s="22" t="inlineStr">
        <is>
          <t>Tolima</t>
        </is>
      </c>
      <c r="F304" s="22" t="n">
        <v>10</v>
      </c>
      <c r="G304" s="22" t="n">
        <v>485</v>
      </c>
      <c r="H304" s="23" t="n">
        <v>-75.11980556</v>
      </c>
      <c r="I304" s="24" t="n">
        <v>3.77375</v>
      </c>
      <c r="J304" s="25" t="n">
        <v>32.92469169153262</v>
      </c>
      <c r="K304" s="26" t="n">
        <v>33.34989887775731</v>
      </c>
      <c r="L304" s="26" t="n">
        <v>32.58965322092773</v>
      </c>
      <c r="M304" s="26" t="n">
        <v>32.21320470717021</v>
      </c>
      <c r="N304" s="26" t="n">
        <v>32.33997791327354</v>
      </c>
      <c r="O304" s="26" t="n">
        <v>33.50789839648076</v>
      </c>
      <c r="P304" s="26" t="n">
        <v>34.57860039420017</v>
      </c>
      <c r="Q304" s="26" t="n">
        <v>35.51904270602063</v>
      </c>
      <c r="R304" s="26" t="n">
        <v>34.88036781609195</v>
      </c>
      <c r="S304" s="26" t="n">
        <v>32.87654474470543</v>
      </c>
      <c r="T304" s="26" t="n">
        <v>31.29444702018738</v>
      </c>
      <c r="U304" s="26" t="n">
        <v>31.78694903140467</v>
      </c>
      <c r="V304" s="27">
        <f>AVERAGE(J304:U304)</f>
        <v/>
      </c>
      <c r="W304" s="28" t="n">
        <v>217</v>
      </c>
      <c r="X304" s="29" t="n">
        <v>0.9041666666666667</v>
      </c>
    </row>
    <row r="305" ht="13.9" customHeight="1">
      <c r="A305" s="11" t="n">
        <v>21215080</v>
      </c>
      <c r="B305" s="22" t="inlineStr">
        <is>
          <t>CO</t>
        </is>
      </c>
      <c r="C305" s="22" t="inlineStr">
        <is>
          <t>Chicoral</t>
        </is>
      </c>
      <c r="D305" s="22" t="inlineStr">
        <is>
          <t>Espinal</t>
        </is>
      </c>
      <c r="E305" s="22" t="inlineStr">
        <is>
          <t>Tolima</t>
        </is>
      </c>
      <c r="F305" s="22" t="n">
        <v>10</v>
      </c>
      <c r="G305" s="22" t="n">
        <v>432</v>
      </c>
      <c r="H305" s="23" t="n">
        <v>-74.99536111</v>
      </c>
      <c r="I305" s="24" t="n">
        <v>4.23152778</v>
      </c>
      <c r="J305" s="25" t="n">
        <v>32.77793049890825</v>
      </c>
      <c r="K305" s="26" t="n">
        <v>32.95765275611088</v>
      </c>
      <c r="L305" s="26" t="n">
        <v>32.018965598732</v>
      </c>
      <c r="M305" s="26" t="n">
        <v>31.44329853724291</v>
      </c>
      <c r="N305" s="26" t="n">
        <v>31.25257441502574</v>
      </c>
      <c r="O305" s="26" t="n">
        <v>31.92671175749993</v>
      </c>
      <c r="P305" s="26" t="n">
        <v>33.05527447731039</v>
      </c>
      <c r="Q305" s="26" t="n">
        <v>34.32782631340761</v>
      </c>
      <c r="R305" s="26" t="n">
        <v>33.73104529934579</v>
      </c>
      <c r="S305" s="26" t="n">
        <v>31.96474312391627</v>
      </c>
      <c r="T305" s="26" t="n">
        <v>31.10063560300183</v>
      </c>
      <c r="U305" s="26" t="n">
        <v>31.56590281490323</v>
      </c>
      <c r="V305" s="27">
        <f>AVERAGE(J305:U305)</f>
        <v/>
      </c>
      <c r="W305" s="28" t="n">
        <v>329</v>
      </c>
      <c r="X305" s="29" t="n">
        <v>0.9138888888888889</v>
      </c>
    </row>
    <row r="306" ht="13.9" customHeight="1">
      <c r="A306" s="11" t="n">
        <v>21185090</v>
      </c>
      <c r="B306" s="22" t="inlineStr">
        <is>
          <t>AM</t>
        </is>
      </c>
      <c r="C306" s="22" t="inlineStr">
        <is>
          <t xml:space="preserve">Nataima - AUT </t>
        </is>
      </c>
      <c r="D306" s="22" t="inlineStr">
        <is>
          <t>Espinal</t>
        </is>
      </c>
      <c r="E306" s="22" t="inlineStr">
        <is>
          <t>Tolima</t>
        </is>
      </c>
      <c r="F306" s="22" t="n">
        <v>10</v>
      </c>
      <c r="G306" s="22" t="n">
        <v>393</v>
      </c>
      <c r="H306" s="23" t="n">
        <v>-74.96047222000001</v>
      </c>
      <c r="I306" s="24" t="n">
        <v>4.18813889</v>
      </c>
      <c r="J306" s="25" t="n">
        <v>32.98047803990595</v>
      </c>
      <c r="K306" s="26" t="n">
        <v>33.56535322914633</v>
      </c>
      <c r="L306" s="26" t="n">
        <v>32.59480524626024</v>
      </c>
      <c r="M306" s="26" t="n">
        <v>31.9438923554096</v>
      </c>
      <c r="N306" s="26" t="n">
        <v>31.61795185584086</v>
      </c>
      <c r="O306" s="26" t="n">
        <v>31.93020862981208</v>
      </c>
      <c r="P306" s="26" t="n">
        <v>33.19691961968325</v>
      </c>
      <c r="Q306" s="26" t="n">
        <v>34.57654060066741</v>
      </c>
      <c r="R306" s="26" t="n">
        <v>33.88791716839993</v>
      </c>
      <c r="S306" s="26" t="n">
        <v>32.44434416547486</v>
      </c>
      <c r="T306" s="26" t="n">
        <v>31.33523053138298</v>
      </c>
      <c r="U306" s="26" t="n">
        <v>31.85153443490075</v>
      </c>
      <c r="V306" s="27">
        <f>AVERAGE(J306:U306)</f>
        <v/>
      </c>
      <c r="W306" s="28" t="n">
        <v>235</v>
      </c>
      <c r="X306" s="29" t="n">
        <v>0.9791666666666666</v>
      </c>
    </row>
    <row r="307" ht="13.9" customHeight="1">
      <c r="A307" s="11" t="n">
        <v>21185040</v>
      </c>
      <c r="B307" s="22" t="inlineStr">
        <is>
          <t>CP</t>
        </is>
      </c>
      <c r="C307" s="22" t="inlineStr">
        <is>
          <t>Aeropuerto Santiago Vila</t>
        </is>
      </c>
      <c r="D307" s="22" t="inlineStr">
        <is>
          <t>Flandes</t>
        </is>
      </c>
      <c r="E307" s="22" t="inlineStr">
        <is>
          <t>Tolima</t>
        </is>
      </c>
      <c r="F307" s="22" t="n">
        <v>10</v>
      </c>
      <c r="G307" s="22" t="n">
        <v>305</v>
      </c>
      <c r="H307" s="23" t="n">
        <v>-74.798</v>
      </c>
      <c r="I307" s="24" t="n">
        <v>4.27544444</v>
      </c>
      <c r="J307" s="25" t="n">
        <v>34.11506605765021</v>
      </c>
      <c r="K307" s="26" t="n">
        <v>34.38362703501051</v>
      </c>
      <c r="L307" s="26" t="n">
        <v>33.47101654259719</v>
      </c>
      <c r="M307" s="26" t="n">
        <v>32.90777035352897</v>
      </c>
      <c r="N307" s="26" t="n">
        <v>32.83581996927803</v>
      </c>
      <c r="O307" s="26" t="n">
        <v>33.26382505536554</v>
      </c>
      <c r="P307" s="26" t="n">
        <v>34.43975192985649</v>
      </c>
      <c r="Q307" s="26" t="n">
        <v>35.49665235555447</v>
      </c>
      <c r="R307" s="26" t="n">
        <v>34.97856680444671</v>
      </c>
      <c r="S307" s="26" t="n">
        <v>33.32669365243317</v>
      </c>
      <c r="T307" s="26" t="n">
        <v>32.40693216063013</v>
      </c>
      <c r="U307" s="26" t="n">
        <v>33.08489007496556</v>
      </c>
      <c r="V307" s="27">
        <f>AVERAGE(J307:U307)</f>
        <v/>
      </c>
      <c r="W307" s="28" t="n">
        <v>330</v>
      </c>
      <c r="X307" s="29" t="n">
        <v>0.9166666666666666</v>
      </c>
    </row>
    <row r="308" ht="13.9" customHeight="1">
      <c r="A308" s="11" t="n">
        <v>21185030</v>
      </c>
      <c r="B308" s="22" t="inlineStr">
        <is>
          <t>CP</t>
        </is>
      </c>
      <c r="C308" s="22" t="inlineStr">
        <is>
          <t>Guamo</t>
        </is>
      </c>
      <c r="D308" s="22" t="inlineStr">
        <is>
          <t>Guamo</t>
        </is>
      </c>
      <c r="E308" s="22" t="inlineStr">
        <is>
          <t>Tolima</t>
        </is>
      </c>
      <c r="F308" s="22" t="n">
        <v>10</v>
      </c>
      <c r="G308" s="22" t="n">
        <v>332</v>
      </c>
      <c r="H308" s="23" t="n">
        <v>-74.98138889000001</v>
      </c>
      <c r="I308" s="24" t="n">
        <v>4.00883333</v>
      </c>
      <c r="J308" s="25" t="n">
        <v>33.46588011911554</v>
      </c>
      <c r="K308" s="26" t="n">
        <v>33.86078438892256</v>
      </c>
      <c r="L308" s="26" t="n">
        <v>33.00137280248068</v>
      </c>
      <c r="M308" s="26" t="n">
        <v>32.37618738588919</v>
      </c>
      <c r="N308" s="26" t="n">
        <v>32.18069563281266</v>
      </c>
      <c r="O308" s="26" t="n">
        <v>32.90710547911952</v>
      </c>
      <c r="P308" s="26" t="n">
        <v>34.11966147949725</v>
      </c>
      <c r="Q308" s="26" t="n">
        <v>35.27124049703026</v>
      </c>
      <c r="R308" s="26" t="n">
        <v>34.64016085414863</v>
      </c>
      <c r="S308" s="26" t="n">
        <v>32.80970577798389</v>
      </c>
      <c r="T308" s="26" t="n">
        <v>31.7815963676434</v>
      </c>
      <c r="U308" s="26" t="n">
        <v>32.26941432748097</v>
      </c>
      <c r="V308" s="27">
        <f>AVERAGE(J308:U308)</f>
        <v/>
      </c>
      <c r="W308" s="28" t="n">
        <v>333</v>
      </c>
      <c r="X308" s="29" t="n">
        <v>0.925</v>
      </c>
    </row>
    <row r="309" ht="13.9" customHeight="1">
      <c r="A309" s="11" t="n">
        <v>23025020</v>
      </c>
      <c r="B309" s="22" t="inlineStr">
        <is>
          <t>CO</t>
        </is>
      </c>
      <c r="C309" s="22" t="inlineStr">
        <is>
          <t>La Esperanza</t>
        </is>
      </c>
      <c r="D309" s="22" t="inlineStr">
        <is>
          <t>Honda</t>
        </is>
      </c>
      <c r="E309" s="22" t="inlineStr">
        <is>
          <t>Tolima</t>
        </is>
      </c>
      <c r="F309" s="22" t="n">
        <v>10</v>
      </c>
      <c r="G309" s="22" t="n">
        <v>208</v>
      </c>
      <c r="H309" s="23" t="n">
        <v>-74.72913889</v>
      </c>
      <c r="I309" s="24" t="n">
        <v>5.26263889</v>
      </c>
      <c r="J309" s="25" t="n">
        <v>33.11482832034689</v>
      </c>
      <c r="K309" s="26" t="n">
        <v>32.94958330179821</v>
      </c>
      <c r="L309" s="26" t="n">
        <v>33.02094259704691</v>
      </c>
      <c r="M309" s="26" t="n">
        <v>32.73035625485625</v>
      </c>
      <c r="N309" s="26" t="n">
        <v>32.65760378686942</v>
      </c>
      <c r="O309" s="26" t="n">
        <v>33.38870763219789</v>
      </c>
      <c r="P309" s="26" t="n">
        <v>34.58044206030858</v>
      </c>
      <c r="Q309" s="26" t="n">
        <v>35.2951422502892</v>
      </c>
      <c r="R309" s="26" t="n">
        <v>34.00779602198568</v>
      </c>
      <c r="S309" s="26" t="n">
        <v>32.55263578187012</v>
      </c>
      <c r="T309" s="26" t="n">
        <v>31.77021085489002</v>
      </c>
      <c r="U309" s="26" t="n">
        <v>32.56833597181873</v>
      </c>
      <c r="V309" s="27">
        <f>AVERAGE(J309:U309)</f>
        <v/>
      </c>
      <c r="W309" s="28" t="n">
        <v>114</v>
      </c>
      <c r="X309" s="29" t="n">
        <v>0.95</v>
      </c>
    </row>
    <row r="310" ht="13.9" customHeight="1">
      <c r="A310" s="11" t="n">
        <v>21245040</v>
      </c>
      <c r="B310" s="22" t="inlineStr">
        <is>
          <t>SS</t>
        </is>
      </c>
      <c r="C310" s="22" t="inlineStr">
        <is>
          <t>Aeropuerto Perales</t>
        </is>
      </c>
      <c r="D310" s="22" t="inlineStr">
        <is>
          <t>Ibagué</t>
        </is>
      </c>
      <c r="E310" s="22" t="inlineStr">
        <is>
          <t>Tolima</t>
        </is>
      </c>
      <c r="F310" s="22" t="n">
        <v>10</v>
      </c>
      <c r="G310" s="22" t="n">
        <v>943</v>
      </c>
      <c r="H310" s="23" t="n">
        <v>-75.13941666999999</v>
      </c>
      <c r="I310" s="24" t="n">
        <v>4.42413889</v>
      </c>
      <c r="J310" s="25" t="n">
        <v>29.2452914349277</v>
      </c>
      <c r="K310" s="26" t="n">
        <v>29.51419388189504</v>
      </c>
      <c r="L310" s="26" t="n">
        <v>28.89491286614757</v>
      </c>
      <c r="M310" s="26" t="n">
        <v>28.62462827699451</v>
      </c>
      <c r="N310" s="26" t="n">
        <v>28.55258386895858</v>
      </c>
      <c r="O310" s="26" t="n">
        <v>29.24511031840402</v>
      </c>
      <c r="P310" s="26" t="n">
        <v>30.37586539322107</v>
      </c>
      <c r="Q310" s="26" t="n">
        <v>31.55853525101797</v>
      </c>
      <c r="R310" s="26" t="n">
        <v>30.83648877941982</v>
      </c>
      <c r="S310" s="26" t="n">
        <v>28.86390286882443</v>
      </c>
      <c r="T310" s="26" t="n">
        <v>27.81537961861981</v>
      </c>
      <c r="U310" s="26" t="n">
        <v>28.4295812716556</v>
      </c>
      <c r="V310" s="27">
        <f>AVERAGE(J310:U310)</f>
        <v/>
      </c>
      <c r="W310" s="28" t="n">
        <v>349</v>
      </c>
      <c r="X310" s="29" t="n">
        <v>0.9694444444444444</v>
      </c>
    </row>
    <row r="311" ht="13.9" customHeight="1">
      <c r="A311" s="11" t="n">
        <v>21245010</v>
      </c>
      <c r="B311" s="22" t="inlineStr">
        <is>
          <t>CO</t>
        </is>
      </c>
      <c r="C311" s="22" t="inlineStr">
        <is>
          <t>Hato Perales Opia</t>
        </is>
      </c>
      <c r="D311" s="22" t="inlineStr">
        <is>
          <t>Ibagué</t>
        </is>
      </c>
      <c r="E311" s="22" t="inlineStr">
        <is>
          <t>Tolima</t>
        </is>
      </c>
      <c r="F311" s="22" t="n">
        <v>10</v>
      </c>
      <c r="G311" s="22" t="n">
        <v>826</v>
      </c>
      <c r="H311" s="23" t="n">
        <v>-75.20052222000001</v>
      </c>
      <c r="I311" s="24" t="n">
        <v>4.42966667</v>
      </c>
      <c r="J311" s="25" t="n">
        <v>30.5268815331663</v>
      </c>
      <c r="K311" s="26" t="n">
        <v>30.70283887360349</v>
      </c>
      <c r="L311" s="26" t="n">
        <v>30.04810200589177</v>
      </c>
      <c r="M311" s="26" t="n">
        <v>29.62683661740558</v>
      </c>
      <c r="N311" s="26" t="n">
        <v>29.67537466346761</v>
      </c>
      <c r="O311" s="26" t="n">
        <v>30.01075417175417</v>
      </c>
      <c r="P311" s="26" t="n">
        <v>31.34521198156683</v>
      </c>
      <c r="Q311" s="26" t="n">
        <v>32.96496808093649</v>
      </c>
      <c r="R311" s="26" t="n">
        <v>31.39816644562335</v>
      </c>
      <c r="S311" s="26" t="n">
        <v>29.93033838473355</v>
      </c>
      <c r="T311" s="26" t="n">
        <v>29.31045544281177</v>
      </c>
      <c r="U311" s="26" t="n">
        <v>29.77358826996759</v>
      </c>
      <c r="V311" s="27">
        <f>AVERAGE(J311:U311)</f>
        <v/>
      </c>
      <c r="W311" s="28" t="n">
        <v>112</v>
      </c>
      <c r="X311" s="29" t="n">
        <v>0.9333333333333333</v>
      </c>
    </row>
    <row r="312" ht="13.9" customHeight="1">
      <c r="A312" s="11" t="n">
        <v>21255150</v>
      </c>
      <c r="B312" s="22" t="inlineStr">
        <is>
          <t>CP</t>
        </is>
      </c>
      <c r="C312" s="22" t="inlineStr">
        <is>
          <t xml:space="preserve">Hacienda Garcia </t>
        </is>
      </c>
      <c r="D312" s="22" t="inlineStr">
        <is>
          <t>Lérida</t>
        </is>
      </c>
      <c r="E312" s="22" t="inlineStr">
        <is>
          <t>Tolima</t>
        </is>
      </c>
      <c r="F312" s="22" t="n">
        <v>10</v>
      </c>
      <c r="G312" s="22" t="n">
        <v>350</v>
      </c>
      <c r="H312" s="23" t="n">
        <v>-74.89155556</v>
      </c>
      <c r="I312" s="24" t="n">
        <v>4.85541667</v>
      </c>
      <c r="J312" s="25" t="n">
        <v>33.70564516129032</v>
      </c>
      <c r="K312" s="26" t="n">
        <v>34.33848294106915</v>
      </c>
      <c r="L312" s="26" t="n">
        <v>33.6540034562212</v>
      </c>
      <c r="M312" s="26" t="n">
        <v>32.08112068965517</v>
      </c>
      <c r="N312" s="26" t="n">
        <v>32.24913756025214</v>
      </c>
      <c r="O312" s="26" t="n">
        <v>32.77820853858784</v>
      </c>
      <c r="P312" s="26" t="n">
        <v>34.46498001895109</v>
      </c>
      <c r="Q312" s="26" t="n">
        <v>35.13000000000001</v>
      </c>
      <c r="R312" s="26" t="n">
        <v>34.1747011494253</v>
      </c>
      <c r="S312" s="26" t="n">
        <v>32.41761051373955</v>
      </c>
      <c r="T312" s="26" t="n">
        <v>31.68460479636725</v>
      </c>
      <c r="U312" s="26" t="n">
        <v>32.36790507971821</v>
      </c>
      <c r="V312" s="27">
        <f>AVERAGE(J312:U312)</f>
        <v/>
      </c>
      <c r="W312" s="28" t="n">
        <v>108</v>
      </c>
      <c r="X312" s="29" t="n">
        <v>0.9</v>
      </c>
    </row>
    <row r="313" ht="13.9" customHeight="1">
      <c r="A313" s="11" t="n">
        <v>23015040</v>
      </c>
      <c r="B313" s="22" t="inlineStr">
        <is>
          <t>SS</t>
        </is>
      </c>
      <c r="C313" s="22" t="inlineStr">
        <is>
          <t>Aetopuerto Mariquita</t>
        </is>
      </c>
      <c r="D313" s="22" t="inlineStr">
        <is>
          <t>Mariquita</t>
        </is>
      </c>
      <c r="E313" s="22" t="inlineStr">
        <is>
          <t>Tolima</t>
        </is>
      </c>
      <c r="F313" s="22" t="n">
        <v>10</v>
      </c>
      <c r="G313" s="22" t="n">
        <v>475</v>
      </c>
      <c r="H313" s="23" t="n">
        <v>-74.88638889000001</v>
      </c>
      <c r="I313" s="24" t="n">
        <v>5.20972222</v>
      </c>
      <c r="J313" s="25" t="n">
        <v>31.1249223004985</v>
      </c>
      <c r="K313" s="26" t="n">
        <v>31.87187124057019</v>
      </c>
      <c r="L313" s="26" t="n">
        <v>31.54546668550005</v>
      </c>
      <c r="M313" s="26" t="n">
        <v>30.95954191402468</v>
      </c>
      <c r="N313" s="26" t="n">
        <v>31.19590990305785</v>
      </c>
      <c r="O313" s="26" t="n">
        <v>31.2575126193517</v>
      </c>
      <c r="P313" s="26" t="n">
        <v>32.97070189687543</v>
      </c>
      <c r="Q313" s="26" t="n">
        <v>33.7476907150856</v>
      </c>
      <c r="R313" s="26" t="n">
        <v>32.36179620507207</v>
      </c>
      <c r="S313" s="26" t="n">
        <v>31.33223724479286</v>
      </c>
      <c r="T313" s="26" t="n">
        <v>30.71566715319588</v>
      </c>
      <c r="U313" s="26" t="n">
        <v>30.76483829800409</v>
      </c>
      <c r="V313" s="27">
        <f>AVERAGE(J313:U313)</f>
        <v/>
      </c>
      <c r="W313" s="28" t="n">
        <v>111</v>
      </c>
      <c r="X313" s="29" t="n">
        <v>0.925</v>
      </c>
    </row>
    <row r="314" ht="13.9" customHeight="1">
      <c r="A314" s="11" t="n">
        <v>23025040</v>
      </c>
      <c r="B314" s="22" t="inlineStr">
        <is>
          <t>CO</t>
        </is>
      </c>
      <c r="C314" s="22" t="inlineStr">
        <is>
          <t>Albania</t>
        </is>
      </c>
      <c r="D314" s="22" t="inlineStr">
        <is>
          <t>Mariquita</t>
        </is>
      </c>
      <c r="E314" s="22" t="inlineStr">
        <is>
          <t>Tolima</t>
        </is>
      </c>
      <c r="F314" s="22" t="n">
        <v>10</v>
      </c>
      <c r="G314" s="22" t="n">
        <v>788</v>
      </c>
      <c r="H314" s="23" t="n">
        <v>-74.91458056</v>
      </c>
      <c r="I314" s="24" t="n">
        <v>5.30110889</v>
      </c>
      <c r="J314" s="25" t="n">
        <v>28.65929328883945</v>
      </c>
      <c r="K314" s="26" t="n">
        <v>28.9428793407529</v>
      </c>
      <c r="L314" s="26" t="n">
        <v>28.7294629345167</v>
      </c>
      <c r="M314" s="26" t="n">
        <v>28.69236781609196</v>
      </c>
      <c r="N314" s="26" t="n">
        <v>28.60991506608226</v>
      </c>
      <c r="O314" s="26" t="n">
        <v>29.03958128078818</v>
      </c>
      <c r="P314" s="26" t="n">
        <v>29.83701657926797</v>
      </c>
      <c r="Q314" s="26" t="n">
        <v>30.3652807958155</v>
      </c>
      <c r="R314" s="26" t="n">
        <v>29.70059268067116</v>
      </c>
      <c r="S314" s="26" t="n">
        <v>28.47380428171422</v>
      </c>
      <c r="T314" s="26" t="n">
        <v>27.81314761338542</v>
      </c>
      <c r="U314" s="26" t="n">
        <v>28.16067531825485</v>
      </c>
      <c r="V314" s="27">
        <f>AVERAGE(J314:U314)</f>
        <v/>
      </c>
      <c r="W314" s="28" t="n">
        <v>352</v>
      </c>
      <c r="X314" s="29" t="n">
        <v>0.9777777777777777</v>
      </c>
    </row>
    <row r="315" ht="13.9" customHeight="1">
      <c r="A315" s="11" t="n">
        <v>21135030</v>
      </c>
      <c r="B315" s="22" t="inlineStr">
        <is>
          <t>CP</t>
        </is>
      </c>
      <c r="C315" s="22" t="inlineStr">
        <is>
          <t>Anchique</t>
        </is>
      </c>
      <c r="D315" s="22" t="inlineStr">
        <is>
          <t>Natagaima</t>
        </is>
      </c>
      <c r="E315" s="22" t="inlineStr">
        <is>
          <t>Tolima</t>
        </is>
      </c>
      <c r="F315" s="22" t="n">
        <v>4</v>
      </c>
      <c r="G315" s="22" t="n">
        <v>415</v>
      </c>
      <c r="H315" s="23" t="n">
        <v>-75.10899999999999</v>
      </c>
      <c r="I315" s="24" t="n">
        <v>3.57383333</v>
      </c>
      <c r="J315" s="25" t="n">
        <v>33.46007588814596</v>
      </c>
      <c r="K315" s="26" t="n">
        <v>33.92748379555409</v>
      </c>
      <c r="L315" s="26" t="n">
        <v>33.29064748813875</v>
      </c>
      <c r="M315" s="26" t="n">
        <v>32.76920912587757</v>
      </c>
      <c r="N315" s="26" t="n">
        <v>33.32262393354412</v>
      </c>
      <c r="O315" s="26" t="n">
        <v>34.62276566649099</v>
      </c>
      <c r="P315" s="26" t="n">
        <v>35.85484258840488</v>
      </c>
      <c r="Q315" s="26" t="n">
        <v>37.07536169851014</v>
      </c>
      <c r="R315" s="26" t="n">
        <v>36.62344841100909</v>
      </c>
      <c r="S315" s="26" t="n">
        <v>34.0460323644288</v>
      </c>
      <c r="T315" s="26" t="n">
        <v>31.66857182049774</v>
      </c>
      <c r="U315" s="26" t="n">
        <v>32.19222093997956</v>
      </c>
      <c r="V315" s="27">
        <f>AVERAGE(J315:U315)</f>
        <v/>
      </c>
      <c r="W315" s="28" t="n">
        <v>324</v>
      </c>
      <c r="X315" s="29" t="n">
        <v>0.9</v>
      </c>
    </row>
    <row r="316" ht="13.9" customHeight="1">
      <c r="A316" s="11" t="n">
        <v>21165010</v>
      </c>
      <c r="B316" s="22" t="inlineStr">
        <is>
          <t>CO</t>
        </is>
      </c>
      <c r="C316" s="12" t="inlineStr">
        <is>
          <t>PST de Monta</t>
        </is>
      </c>
      <c r="D316" s="22" t="inlineStr">
        <is>
          <t>Prado</t>
        </is>
      </c>
      <c r="E316" s="22" t="inlineStr">
        <is>
          <t>Tolima</t>
        </is>
      </c>
      <c r="F316" s="22" t="n">
        <v>10</v>
      </c>
      <c r="G316" s="22" t="n">
        <v>321</v>
      </c>
      <c r="H316" s="23" t="n">
        <v>-74.91702778</v>
      </c>
      <c r="I316" s="24" t="n">
        <v>3.78761111</v>
      </c>
      <c r="J316" s="25" t="n">
        <v>33.29531572831828</v>
      </c>
      <c r="K316" s="26" t="n">
        <v>33.52170225731355</v>
      </c>
      <c r="L316" s="26" t="n">
        <v>32.86947280364108</v>
      </c>
      <c r="M316" s="26" t="n">
        <v>32.65098187678648</v>
      </c>
      <c r="N316" s="26" t="n">
        <v>32.71993699190029</v>
      </c>
      <c r="O316" s="26" t="n">
        <v>33.10820020124618</v>
      </c>
      <c r="P316" s="26" t="n">
        <v>34.15616405059119</v>
      </c>
      <c r="Q316" s="26" t="n">
        <v>35.0583040618281</v>
      </c>
      <c r="R316" s="26" t="n">
        <v>34.85486683037658</v>
      </c>
      <c r="S316" s="26" t="n">
        <v>33.29712929437007</v>
      </c>
      <c r="T316" s="26" t="n">
        <v>32.01442772655638</v>
      </c>
      <c r="U316" s="26" t="n">
        <v>32.28603308551295</v>
      </c>
      <c r="V316" s="27">
        <f>AVERAGE(J316:U316)</f>
        <v/>
      </c>
      <c r="W316" s="28" t="n">
        <v>327</v>
      </c>
      <c r="X316" s="29" t="n">
        <v>0.9083333333333333</v>
      </c>
    </row>
    <row r="317" ht="13.9" customHeight="1">
      <c r="A317" s="11" t="n">
        <v>21165030</v>
      </c>
      <c r="B317" s="22" t="inlineStr">
        <is>
          <t>PM</t>
        </is>
      </c>
      <c r="C317" s="22" t="inlineStr">
        <is>
          <t>Lozanía</t>
        </is>
      </c>
      <c r="D317" s="22" t="inlineStr">
        <is>
          <t>Purificación</t>
        </is>
      </c>
      <c r="E317" s="22" t="inlineStr">
        <is>
          <t>Tolima</t>
        </is>
      </c>
      <c r="F317" s="22" t="n">
        <v>10</v>
      </c>
      <c r="G317" s="22" t="n">
        <v>394</v>
      </c>
      <c r="H317" s="23" t="n">
        <v>-74.77152778</v>
      </c>
      <c r="I317" s="24" t="n">
        <v>3.89791667</v>
      </c>
      <c r="J317" s="25" t="n">
        <v>32.38595495877254</v>
      </c>
      <c r="K317" s="26" t="n">
        <v>32.3915472693717</v>
      </c>
      <c r="L317" s="26" t="n">
        <v>32.09588998242814</v>
      </c>
      <c r="M317" s="26" t="n">
        <v>31.67798168498168</v>
      </c>
      <c r="N317" s="26" t="n">
        <v>31.30881375543667</v>
      </c>
      <c r="O317" s="26" t="n">
        <v>31.6703253968254</v>
      </c>
      <c r="P317" s="26" t="n">
        <v>32.23223787335723</v>
      </c>
      <c r="Q317" s="26" t="n">
        <v>33.52859174011009</v>
      </c>
      <c r="R317" s="26" t="n">
        <v>32.89301806788914</v>
      </c>
      <c r="S317" s="26" t="n">
        <v>32.14455651578677</v>
      </c>
      <c r="T317" s="26" t="n">
        <v>31.48892036124795</v>
      </c>
      <c r="U317" s="26" t="n">
        <v>31.64157206419831</v>
      </c>
      <c r="V317" s="27">
        <f>AVERAGE(J317:U317)</f>
        <v/>
      </c>
      <c r="W317" s="28" t="n">
        <v>111</v>
      </c>
      <c r="X317" s="29" t="n">
        <v>0.925</v>
      </c>
    </row>
    <row r="318" ht="13.9" customHeight="1">
      <c r="A318" s="11" t="n">
        <v>22055030</v>
      </c>
      <c r="B318" s="22" t="inlineStr">
        <is>
          <t>CO</t>
        </is>
      </c>
      <c r="C318" s="22" t="inlineStr">
        <is>
          <t>Santa Helena</t>
        </is>
      </c>
      <c r="D318" s="22" t="inlineStr">
        <is>
          <t>Purificación</t>
        </is>
      </c>
      <c r="E318" s="22" t="inlineStr">
        <is>
          <t>Tolima</t>
        </is>
      </c>
      <c r="F318" s="22" t="n">
        <v>10</v>
      </c>
      <c r="G318" s="22" t="n">
        <v>300</v>
      </c>
      <c r="H318" s="23" t="n">
        <v>-74.89880556</v>
      </c>
      <c r="I318" s="24" t="n">
        <v>3.98605556</v>
      </c>
      <c r="J318" s="25" t="n">
        <v>33.2239247311828</v>
      </c>
      <c r="K318" s="26" t="n">
        <v>33.31588066046341</v>
      </c>
      <c r="L318" s="26" t="n">
        <v>32.42918279569892</v>
      </c>
      <c r="M318" s="26" t="n">
        <v>31.72820689655173</v>
      </c>
      <c r="N318" s="26" t="n">
        <v>31.94290322580645</v>
      </c>
      <c r="O318" s="26" t="n">
        <v>32.29995046524358</v>
      </c>
      <c r="P318" s="26" t="n">
        <v>32.99819552589297</v>
      </c>
      <c r="Q318" s="26" t="n">
        <v>34.08965764429614</v>
      </c>
      <c r="R318" s="26" t="n">
        <v>33.45782528735632</v>
      </c>
      <c r="S318" s="26" t="n">
        <v>32.2326644831706</v>
      </c>
      <c r="T318" s="26" t="n">
        <v>31.46625059295749</v>
      </c>
      <c r="U318" s="26" t="n">
        <v>31.84588559938393</v>
      </c>
      <c r="V318" s="27">
        <f>AVERAGE(J318:U318)</f>
        <v/>
      </c>
      <c r="W318" s="28" t="n">
        <v>119</v>
      </c>
      <c r="X318" s="29" t="n">
        <v>0.9916666666666667</v>
      </c>
    </row>
    <row r="319" ht="13.9" customHeight="1">
      <c r="A319" s="11" t="n">
        <v>22015020</v>
      </c>
      <c r="B319" s="22" t="inlineStr">
        <is>
          <t>CO</t>
        </is>
      </c>
      <c r="C319" s="22" t="inlineStr">
        <is>
          <t>Relator</t>
        </is>
      </c>
      <c r="D319" s="22" t="inlineStr">
        <is>
          <t>Rioblanco</t>
        </is>
      </c>
      <c r="E319" s="22" t="inlineStr">
        <is>
          <t>Tolima</t>
        </is>
      </c>
      <c r="F319" s="22" t="n">
        <v>10</v>
      </c>
      <c r="G319" s="22" t="n">
        <v>1160</v>
      </c>
      <c r="H319" s="23" t="n">
        <v>-75.63141666999999</v>
      </c>
      <c r="I319" s="24" t="n">
        <v>3.52913889</v>
      </c>
      <c r="J319" s="25" t="n">
        <v>27.40994299814975</v>
      </c>
      <c r="K319" s="26" t="n">
        <v>27.79449683992847</v>
      </c>
      <c r="L319" s="26" t="n">
        <v>27.7358361897307</v>
      </c>
      <c r="M319" s="26" t="n">
        <v>27.90387032592779</v>
      </c>
      <c r="N319" s="26" t="n">
        <v>28.03825205331791</v>
      </c>
      <c r="O319" s="26" t="n">
        <v>28.3127632936573</v>
      </c>
      <c r="P319" s="26" t="n">
        <v>28.66448306073964</v>
      </c>
      <c r="Q319" s="26" t="n">
        <v>29.22009624828797</v>
      </c>
      <c r="R319" s="26" t="n">
        <v>29.33323733221039</v>
      </c>
      <c r="S319" s="26" t="n">
        <v>28.04412461181076</v>
      </c>
      <c r="T319" s="26" t="n">
        <v>26.86858960825709</v>
      </c>
      <c r="U319" s="26" t="n">
        <v>27.11362707917393</v>
      </c>
      <c r="V319" s="27">
        <f>AVERAGE(J319:U319)</f>
        <v/>
      </c>
      <c r="W319" s="28" t="n">
        <v>341</v>
      </c>
      <c r="X319" s="29" t="n">
        <v>0.9472222222222222</v>
      </c>
    </row>
    <row r="320" ht="13.9" customHeight="1">
      <c r="A320" s="11" t="n">
        <v>22075030</v>
      </c>
      <c r="B320" s="22" t="inlineStr">
        <is>
          <t>CO</t>
        </is>
      </c>
      <c r="C320" s="22" t="inlineStr">
        <is>
          <t>Riomanso</t>
        </is>
      </c>
      <c r="D320" s="22" t="inlineStr">
        <is>
          <t>Rovira</t>
        </is>
      </c>
      <c r="E320" s="22" t="inlineStr">
        <is>
          <t>Tolima</t>
        </is>
      </c>
      <c r="F320" s="22" t="n">
        <v>10</v>
      </c>
      <c r="G320" s="22" t="n">
        <v>2053</v>
      </c>
      <c r="H320" s="23" t="n">
        <v>-75.41558332999999</v>
      </c>
      <c r="I320" s="24" t="n">
        <v>4.206777779999999</v>
      </c>
      <c r="J320" s="25" t="n">
        <v>21.5897297914187</v>
      </c>
      <c r="K320" s="26" t="n">
        <v>21.52667387842827</v>
      </c>
      <c r="L320" s="26" t="n">
        <v>21.81887446165255</v>
      </c>
      <c r="M320" s="26" t="n">
        <v>21.82751241663119</v>
      </c>
      <c r="N320" s="26" t="n">
        <v>21.93774566684911</v>
      </c>
      <c r="O320" s="26" t="n">
        <v>22.01250574712644</v>
      </c>
      <c r="P320" s="26" t="n">
        <v>21.8328869629846</v>
      </c>
      <c r="Q320" s="26" t="n">
        <v>22.16338249510038</v>
      </c>
      <c r="R320" s="26" t="n">
        <v>22.39121286121286</v>
      </c>
      <c r="S320" s="26" t="n">
        <v>21.44417062328353</v>
      </c>
      <c r="T320" s="26" t="n">
        <v>20.77317323481117</v>
      </c>
      <c r="U320" s="26" t="n">
        <v>21.34145029918378</v>
      </c>
      <c r="V320" s="27">
        <f>AVERAGE(J320:U320)</f>
        <v/>
      </c>
      <c r="W320" s="28" t="n">
        <v>105</v>
      </c>
      <c r="X320" s="29" t="n">
        <v>0.875</v>
      </c>
    </row>
    <row r="321" ht="13.9" customHeight="1">
      <c r="A321" s="11" t="n">
        <v>21135020</v>
      </c>
      <c r="B321" s="22" t="inlineStr">
        <is>
          <t>CO</t>
        </is>
      </c>
      <c r="C321" s="22" t="inlineStr">
        <is>
          <t>Jabalcon</t>
        </is>
      </c>
      <c r="D321" s="22" t="inlineStr">
        <is>
          <t>Saldaña</t>
        </is>
      </c>
      <c r="E321" s="22" t="inlineStr">
        <is>
          <t>Tolima</t>
        </is>
      </c>
      <c r="F321" s="22" t="n">
        <v>10</v>
      </c>
      <c r="G321" s="22" t="n">
        <v>425</v>
      </c>
      <c r="H321" s="23" t="n">
        <v>-75.01572222</v>
      </c>
      <c r="I321" s="24" t="n">
        <v>3.85583333</v>
      </c>
      <c r="J321" s="25" t="n">
        <v>33.45479961593945</v>
      </c>
      <c r="K321" s="26" t="n">
        <v>33.57743529134977</v>
      </c>
      <c r="L321" s="26" t="n">
        <v>32.93429495554913</v>
      </c>
      <c r="M321" s="26" t="n">
        <v>32.61524254451871</v>
      </c>
      <c r="N321" s="26" t="n">
        <v>32.69180242511566</v>
      </c>
      <c r="O321" s="26" t="n">
        <v>33.09842951775031</v>
      </c>
      <c r="P321" s="26" t="n">
        <v>34.16648848533743</v>
      </c>
      <c r="Q321" s="26" t="n">
        <v>35.22055826818339</v>
      </c>
      <c r="R321" s="26" t="n">
        <v>34.67047741057367</v>
      </c>
      <c r="S321" s="26" t="n">
        <v>33.14814624742264</v>
      </c>
      <c r="T321" s="26" t="n">
        <v>32.07624180739911</v>
      </c>
      <c r="U321" s="26" t="n">
        <v>32.54121716892706</v>
      </c>
      <c r="V321" s="27">
        <f>AVERAGE(J321:U321)</f>
        <v/>
      </c>
      <c r="W321" s="28" t="n">
        <v>292</v>
      </c>
      <c r="X321" s="29" t="n">
        <v>0.8111111111111111</v>
      </c>
    </row>
    <row r="322" ht="13.9" customHeight="1">
      <c r="A322" s="11" t="n">
        <v>22065040</v>
      </c>
      <c r="B322" s="22" t="inlineStr">
        <is>
          <t>CP</t>
        </is>
      </c>
      <c r="C322" s="22" t="inlineStr">
        <is>
          <t>San Antonio Quinta</t>
        </is>
      </c>
      <c r="D322" s="22" t="inlineStr">
        <is>
          <t>San Antonio</t>
        </is>
      </c>
      <c r="E322" s="22" t="inlineStr">
        <is>
          <t>Tolima</t>
        </is>
      </c>
      <c r="F322" s="22" t="n">
        <v>10</v>
      </c>
      <c r="G322" s="22" t="n">
        <v>1448</v>
      </c>
      <c r="H322" s="23" t="n">
        <v>-75.48808332999999</v>
      </c>
      <c r="I322" s="24" t="n">
        <v>3.90691667</v>
      </c>
      <c r="J322" s="25" t="n">
        <v>25.94564101205925</v>
      </c>
      <c r="K322" s="26" t="n">
        <v>26.24519932494071</v>
      </c>
      <c r="L322" s="26" t="n">
        <v>26.00033130388211</v>
      </c>
      <c r="M322" s="26" t="n">
        <v>25.94267772935877</v>
      </c>
      <c r="N322" s="26" t="n">
        <v>25.88892549176198</v>
      </c>
      <c r="O322" s="26" t="n">
        <v>25.89921208580691</v>
      </c>
      <c r="P322" s="26" t="n">
        <v>26.17729236188358</v>
      </c>
      <c r="Q322" s="26" t="n">
        <v>26.85926772358363</v>
      </c>
      <c r="R322" s="26" t="n">
        <v>27.28826717088787</v>
      </c>
      <c r="S322" s="26" t="n">
        <v>25.9010136502114</v>
      </c>
      <c r="T322" s="26" t="n">
        <v>25.03176634027309</v>
      </c>
      <c r="U322" s="26" t="n">
        <v>25.20092190975684</v>
      </c>
      <c r="V322" s="27">
        <f>AVERAGE(J322:U322)</f>
        <v/>
      </c>
      <c r="W322" s="28" t="n">
        <v>280</v>
      </c>
      <c r="X322" s="29" t="n">
        <v>0.7777777777777778</v>
      </c>
    </row>
    <row r="323" ht="13.9" customHeight="1">
      <c r="A323" s="11" t="n">
        <v>21240110</v>
      </c>
      <c r="B323" s="22" t="inlineStr">
        <is>
          <t>PM</t>
        </is>
      </c>
      <c r="C323" s="22" t="inlineStr">
        <is>
          <t xml:space="preserve">La Bodega </t>
        </is>
      </c>
      <c r="D323" s="22" t="inlineStr">
        <is>
          <t>Santa Isabel</t>
        </is>
      </c>
      <c r="E323" s="22" t="inlineStr">
        <is>
          <t>Tolima</t>
        </is>
      </c>
      <c r="F323" s="22" t="n">
        <v>10</v>
      </c>
      <c r="G323" s="22" t="n">
        <v>2670</v>
      </c>
      <c r="H323" s="23" t="n">
        <v>-75.13891667</v>
      </c>
      <c r="I323" s="24" t="n">
        <v>4.73561111</v>
      </c>
      <c r="J323" s="25" t="n">
        <v>16.69483870967742</v>
      </c>
      <c r="K323" s="26" t="n">
        <v>17.17713464696223</v>
      </c>
      <c r="L323" s="26" t="n">
        <v>17.02163812558078</v>
      </c>
      <c r="M323" s="26" t="n">
        <v>17.26148148148148</v>
      </c>
      <c r="N323" s="26" t="n">
        <v>17.60430107526882</v>
      </c>
      <c r="O323" s="26" t="n">
        <v>17.65072796934866</v>
      </c>
      <c r="P323" s="26" t="n">
        <v>17.71182795698925</v>
      </c>
      <c r="Q323" s="26" t="n">
        <v>17.76721624850657</v>
      </c>
      <c r="R323" s="26" t="n">
        <v>17.51583333333333</v>
      </c>
      <c r="S323" s="26" t="n">
        <v>17.23519713261649</v>
      </c>
      <c r="T323" s="26" t="n">
        <v>16.69125</v>
      </c>
      <c r="U323" s="26" t="n">
        <v>17.085</v>
      </c>
      <c r="V323" s="27">
        <f>AVERAGE(J323:U323)</f>
        <v/>
      </c>
      <c r="W323" s="28" t="n">
        <v>106</v>
      </c>
      <c r="X323" s="29" t="n">
        <v>0.8833333333333333</v>
      </c>
    </row>
    <row r="324" ht="13.9" customHeight="1">
      <c r="A324" s="11" t="n">
        <v>21245140</v>
      </c>
      <c r="B324" s="22" t="inlineStr">
        <is>
          <t>ME</t>
        </is>
      </c>
      <c r="C324" s="22" t="inlineStr">
        <is>
          <t>Santa Isabel</t>
        </is>
      </c>
      <c r="D324" s="22" t="inlineStr">
        <is>
          <t>Santa Isabel</t>
        </is>
      </c>
      <c r="E324" s="22" t="inlineStr">
        <is>
          <t>Tolima</t>
        </is>
      </c>
      <c r="F324" s="22" t="n">
        <v>10</v>
      </c>
      <c r="G324" s="22" t="n">
        <v>2288</v>
      </c>
      <c r="H324" s="23" t="n">
        <v>-75.09445556</v>
      </c>
      <c r="I324" s="24" t="n">
        <v>4.71186111</v>
      </c>
      <c r="J324" s="25" t="n">
        <v>18.77996654288559</v>
      </c>
      <c r="K324" s="26" t="n">
        <v>18.83775363031781</v>
      </c>
      <c r="L324" s="26" t="n">
        <v>18.91283475012544</v>
      </c>
      <c r="M324" s="26" t="n">
        <v>18.9736263360146</v>
      </c>
      <c r="N324" s="26" t="n">
        <v>18.9961801489013</v>
      </c>
      <c r="O324" s="26" t="n">
        <v>18.99648587703939</v>
      </c>
      <c r="P324" s="26" t="n">
        <v>18.9648777827214</v>
      </c>
      <c r="Q324" s="26" t="n">
        <v>18.88211273960811</v>
      </c>
      <c r="R324" s="26" t="n">
        <v>18.65319922126082</v>
      </c>
      <c r="S324" s="26" t="n">
        <v>18.23163558863169</v>
      </c>
      <c r="T324" s="26" t="n">
        <v>18.02176849737742</v>
      </c>
      <c r="U324" s="26" t="n">
        <v>18.31788448069872</v>
      </c>
      <c r="V324" s="27">
        <f>AVERAGE(J324:U324)</f>
        <v/>
      </c>
      <c r="W324" s="28" t="n">
        <v>114</v>
      </c>
      <c r="X324" s="29" t="n">
        <v>0.95</v>
      </c>
    </row>
    <row r="325" ht="13.9" customHeight="1">
      <c r="A325" s="11" t="n">
        <v>21255110</v>
      </c>
      <c r="B325" s="22" t="inlineStr">
        <is>
          <t>CO</t>
        </is>
      </c>
      <c r="C325" s="22" t="inlineStr">
        <is>
          <t>Santa Isabel</t>
        </is>
      </c>
      <c r="D325" s="22" t="inlineStr">
        <is>
          <t>Santa Isabel</t>
        </is>
      </c>
      <c r="E325" s="22" t="inlineStr">
        <is>
          <t>Tolima</t>
        </is>
      </c>
      <c r="F325" s="22" t="n">
        <v>10</v>
      </c>
      <c r="G325" s="22" t="n">
        <v>2817</v>
      </c>
      <c r="H325" s="23" t="n">
        <v>-75.13183332999999</v>
      </c>
      <c r="I325" s="24" t="n">
        <v>4.70175</v>
      </c>
      <c r="J325" s="25" t="n">
        <v>15.84877814220664</v>
      </c>
      <c r="K325" s="26" t="n">
        <v>16.04752821908462</v>
      </c>
      <c r="L325" s="26" t="n">
        <v>15.95448839552225</v>
      </c>
      <c r="M325" s="26" t="n">
        <v>16.57476689655173</v>
      </c>
      <c r="N325" s="26" t="n">
        <v>17.05583024843323</v>
      </c>
      <c r="O325" s="26" t="n">
        <v>16.86717572144456</v>
      </c>
      <c r="P325" s="26" t="n">
        <v>16.66904785999279</v>
      </c>
      <c r="Q325" s="26" t="n">
        <v>16.53195708003194</v>
      </c>
      <c r="R325" s="26" t="n">
        <v>16.53499049751796</v>
      </c>
      <c r="S325" s="26" t="n">
        <v>16.10862509941146</v>
      </c>
      <c r="T325" s="26" t="n">
        <v>15.92173706329927</v>
      </c>
      <c r="U325" s="26" t="n">
        <v>16.11326428889704</v>
      </c>
      <c r="V325" s="27">
        <f>AVERAGE(J325:U325)</f>
        <v/>
      </c>
      <c r="W325" s="28" t="n">
        <v>292</v>
      </c>
      <c r="X325" s="29" t="n">
        <v>0.8111111111111111</v>
      </c>
    </row>
    <row r="326" ht="13.9" customHeight="1">
      <c r="A326" s="11" t="n">
        <v>21255120</v>
      </c>
      <c r="B326" s="22" t="inlineStr">
        <is>
          <t>CO</t>
        </is>
      </c>
      <c r="C326" s="22" t="inlineStr">
        <is>
          <t>Villahermosa</t>
        </is>
      </c>
      <c r="D326" s="22" t="inlineStr">
        <is>
          <t>Villahermosa</t>
        </is>
      </c>
      <c r="E326" s="22" t="inlineStr">
        <is>
          <t>Tolima</t>
        </is>
      </c>
      <c r="F326" s="22" t="n">
        <v>10</v>
      </c>
      <c r="G326" s="22" t="n">
        <v>2069</v>
      </c>
      <c r="H326" s="23" t="n">
        <v>-75.11733611</v>
      </c>
      <c r="I326" s="24" t="n">
        <v>5.02676194</v>
      </c>
      <c r="J326" s="25" t="n">
        <v>20.23353747048836</v>
      </c>
      <c r="K326" s="26" t="n">
        <v>20.47140605385816</v>
      </c>
      <c r="L326" s="26" t="n">
        <v>20.50256298659524</v>
      </c>
      <c r="M326" s="26" t="n">
        <v>20.77800746735477</v>
      </c>
      <c r="N326" s="26" t="n">
        <v>20.90732683303596</v>
      </c>
      <c r="O326" s="26" t="n">
        <v>20.93651314844933</v>
      </c>
      <c r="P326" s="26" t="n">
        <v>20.8857063990357</v>
      </c>
      <c r="Q326" s="26" t="n">
        <v>21.05350412968302</v>
      </c>
      <c r="R326" s="26" t="n">
        <v>20.94600237182996</v>
      </c>
      <c r="S326" s="26" t="n">
        <v>20.58397196809758</v>
      </c>
      <c r="T326" s="26" t="n">
        <v>20.28481071072697</v>
      </c>
      <c r="U326" s="26" t="n">
        <v>20.45193192093615</v>
      </c>
      <c r="V326" s="27">
        <f>AVERAGE(J326:U326)</f>
        <v/>
      </c>
      <c r="W326" s="28" t="n">
        <v>325</v>
      </c>
      <c r="X326" s="29" t="n">
        <v>0.9027777777777778</v>
      </c>
    </row>
    <row r="327" ht="13.9" customHeight="1">
      <c r="A327" s="11" t="n">
        <v>53115010</v>
      </c>
      <c r="B327" s="22" t="inlineStr">
        <is>
          <t>PM</t>
        </is>
      </c>
      <c r="C327" s="22" t="inlineStr">
        <is>
          <t>Aeropuerto Buenaventura</t>
        </is>
      </c>
      <c r="D327" s="22" t="inlineStr">
        <is>
          <t>Buenaventura</t>
        </is>
      </c>
      <c r="E327" s="22" t="inlineStr">
        <is>
          <t>Valle del Cauca</t>
        </is>
      </c>
      <c r="F327" s="22" t="n">
        <v>9</v>
      </c>
      <c r="G327" s="22" t="n">
        <v>28</v>
      </c>
      <c r="H327" s="23" t="n">
        <v>-76.99238889</v>
      </c>
      <c r="I327" s="24" t="n">
        <v>3.82011111</v>
      </c>
      <c r="J327" s="25" t="n">
        <v>29.72088410991637</v>
      </c>
      <c r="K327" s="26" t="n">
        <v>30.22599181009143</v>
      </c>
      <c r="L327" s="26" t="n">
        <v>30.59605734767025</v>
      </c>
      <c r="M327" s="26" t="n">
        <v>31.2527969348659</v>
      </c>
      <c r="N327" s="26" t="n">
        <v>30.59112903225806</v>
      </c>
      <c r="O327" s="26" t="n">
        <v>30.27166666666667</v>
      </c>
      <c r="P327" s="26" t="n">
        <v>30.31008064516129</v>
      </c>
      <c r="Q327" s="26" t="n">
        <v>30.17661290322581</v>
      </c>
      <c r="R327" s="26" t="n">
        <v>30.05767241379311</v>
      </c>
      <c r="S327" s="26" t="n">
        <v>29.72016129032258</v>
      </c>
      <c r="T327" s="26" t="n">
        <v>29.44666666666667</v>
      </c>
      <c r="U327" s="26" t="n">
        <v>29.21604560622914</v>
      </c>
      <c r="V327" s="27">
        <f>AVERAGE(J327:U327)</f>
        <v/>
      </c>
      <c r="W327" s="28" t="n">
        <v>100</v>
      </c>
      <c r="X327" s="29" t="n">
        <v>0.8333333333333334</v>
      </c>
    </row>
    <row r="328" ht="13.9" customHeight="1">
      <c r="A328" s="11" t="n">
        <v>54075020</v>
      </c>
      <c r="B328" s="22" t="inlineStr">
        <is>
          <t>CO</t>
        </is>
      </c>
      <c r="C328" s="22" t="inlineStr">
        <is>
          <t>Bajo Calima</t>
        </is>
      </c>
      <c r="D328" s="22" t="inlineStr">
        <is>
          <t>Buenaventura</t>
        </is>
      </c>
      <c r="E328" s="22" t="inlineStr">
        <is>
          <t>Valle del Cauca</t>
        </is>
      </c>
      <c r="F328" s="22" t="n">
        <v>9</v>
      </c>
      <c r="G328" s="22" t="n">
        <v>66</v>
      </c>
      <c r="H328" s="23" t="n">
        <v>-76.99044443999999</v>
      </c>
      <c r="I328" s="24" t="n">
        <v>3.95355556</v>
      </c>
      <c r="J328" s="25" t="n">
        <v>30.40590524380411</v>
      </c>
      <c r="K328" s="26" t="n">
        <v>30.77867593287605</v>
      </c>
      <c r="L328" s="26" t="n">
        <v>30.90632770233432</v>
      </c>
      <c r="M328" s="26" t="n">
        <v>31.02478661190874</v>
      </c>
      <c r="N328" s="26" t="n">
        <v>30.9418511579367</v>
      </c>
      <c r="O328" s="26" t="n">
        <v>30.66240963468205</v>
      </c>
      <c r="P328" s="26" t="n">
        <v>30.45088298864935</v>
      </c>
      <c r="Q328" s="26" t="n">
        <v>30.54672748678479</v>
      </c>
      <c r="R328" s="26" t="n">
        <v>30.29885771244692</v>
      </c>
      <c r="S328" s="26" t="n">
        <v>30.07113399508946</v>
      </c>
      <c r="T328" s="26" t="n">
        <v>29.81424178350385</v>
      </c>
      <c r="U328" s="26" t="n">
        <v>29.9633653861139</v>
      </c>
      <c r="V328" s="27">
        <f>AVERAGE(J328:U328)</f>
        <v/>
      </c>
      <c r="W328" s="28" t="n">
        <v>302</v>
      </c>
      <c r="X328" s="29" t="n">
        <v>0.8388888888888889</v>
      </c>
    </row>
    <row r="329" ht="13.9" customHeight="1">
      <c r="A329" s="11" t="n">
        <v>53115020</v>
      </c>
      <c r="B329" s="22" t="inlineStr">
        <is>
          <t>CP</t>
        </is>
      </c>
      <c r="C329" s="22" t="inlineStr">
        <is>
          <t>Colpuertos</t>
        </is>
      </c>
      <c r="D329" s="22" t="inlineStr">
        <is>
          <t>Buenaventura</t>
        </is>
      </c>
      <c r="E329" s="22" t="inlineStr">
        <is>
          <t>Valle del Cauca</t>
        </is>
      </c>
      <c r="F329" s="22" t="n">
        <v>9</v>
      </c>
      <c r="G329" s="22" t="n">
        <v>10</v>
      </c>
      <c r="H329" s="23" t="n">
        <v>-77.06666666999999</v>
      </c>
      <c r="I329" s="24" t="n">
        <v>3.88333333</v>
      </c>
      <c r="J329" s="25" t="n">
        <v>29.9878494623656</v>
      </c>
      <c r="K329" s="26" t="n">
        <v>30.57869628135328</v>
      </c>
      <c r="L329" s="26" t="n">
        <v>30.84761510890543</v>
      </c>
      <c r="M329" s="26" t="n">
        <v>30.88940977923736</v>
      </c>
      <c r="N329" s="26" t="n">
        <v>30.74081707155183</v>
      </c>
      <c r="O329" s="26" t="n">
        <v>30.44326455026455</v>
      </c>
      <c r="P329" s="26" t="n">
        <v>30.13526034217914</v>
      </c>
      <c r="Q329" s="26" t="n">
        <v>30.26226589214353</v>
      </c>
      <c r="R329" s="26" t="n">
        <v>30.04150410509031</v>
      </c>
      <c r="S329" s="26" t="n">
        <v>29.76015572858732</v>
      </c>
      <c r="T329" s="26" t="n">
        <v>29.43852873563218</v>
      </c>
      <c r="U329" s="26" t="n">
        <v>29.59406748238784</v>
      </c>
      <c r="V329" s="27">
        <f>AVERAGE(J329:U329)</f>
        <v/>
      </c>
      <c r="W329" s="28" t="n">
        <v>114</v>
      </c>
      <c r="X329" s="29" t="n">
        <v>0.95</v>
      </c>
    </row>
    <row r="330" ht="13.9" customHeight="1">
      <c r="A330" s="11" t="n">
        <v>26105150</v>
      </c>
      <c r="B330" s="22" t="inlineStr">
        <is>
          <t>CO</t>
        </is>
      </c>
      <c r="C330" s="22" t="inlineStr">
        <is>
          <t>San Marcos</t>
        </is>
      </c>
      <c r="D330" s="22" t="inlineStr">
        <is>
          <t>Bugalagrande</t>
        </is>
      </c>
      <c r="E330" s="22" t="inlineStr">
        <is>
          <t>Valle del Cauca</t>
        </is>
      </c>
      <c r="F330" s="22" t="n">
        <v>9</v>
      </c>
      <c r="G330" s="22" t="n">
        <v>1011</v>
      </c>
      <c r="H330" s="23" t="n">
        <v>-76.03305556000001</v>
      </c>
      <c r="I330" s="24" t="n">
        <v>4.23891667</v>
      </c>
      <c r="J330" s="25" t="n">
        <v>29.83807272630965</v>
      </c>
      <c r="K330" s="26" t="n">
        <v>29.96709428936326</v>
      </c>
      <c r="L330" s="26" t="n">
        <v>29.76748102287035</v>
      </c>
      <c r="M330" s="26" t="n">
        <v>29.45510836034974</v>
      </c>
      <c r="N330" s="26" t="n">
        <v>29.34401282553807</v>
      </c>
      <c r="O330" s="26" t="n">
        <v>29.38884802043422</v>
      </c>
      <c r="P330" s="26" t="n">
        <v>30.12415973983765</v>
      </c>
      <c r="Q330" s="26" t="n">
        <v>30.31740211640212</v>
      </c>
      <c r="R330" s="26" t="n">
        <v>30.51577690763898</v>
      </c>
      <c r="S330" s="26" t="n">
        <v>29.21020531454703</v>
      </c>
      <c r="T330" s="26" t="n">
        <v>28.74740390122399</v>
      </c>
      <c r="U330" s="26" t="n">
        <v>29.05357811117322</v>
      </c>
      <c r="V330" s="27">
        <f>AVERAGE(J330:U330)</f>
        <v/>
      </c>
      <c r="W330" s="28" t="n">
        <v>116</v>
      </c>
      <c r="X330" s="29" t="n">
        <v>0.9666666666666667</v>
      </c>
    </row>
    <row r="331" ht="13.9" customHeight="1">
      <c r="A331" s="11" t="n">
        <v>26055120</v>
      </c>
      <c r="B331" s="22" t="inlineStr">
        <is>
          <t>CP</t>
        </is>
      </c>
      <c r="C331" s="22" t="inlineStr">
        <is>
          <t xml:space="preserve">Universidad del Valle  - AUT </t>
        </is>
      </c>
      <c r="D331" s="22" t="inlineStr">
        <is>
          <t>Cali</t>
        </is>
      </c>
      <c r="E331" s="22" t="inlineStr">
        <is>
          <t>Valle del Cauca</t>
        </is>
      </c>
      <c r="F331" s="22" t="n">
        <v>9</v>
      </c>
      <c r="G331" s="22" t="n">
        <v>996</v>
      </c>
      <c r="H331" s="23" t="n">
        <v>-76.53388889</v>
      </c>
      <c r="I331" s="24" t="n">
        <v>3.378</v>
      </c>
      <c r="J331" s="25" t="n">
        <v>30.19230878754171</v>
      </c>
      <c r="K331" s="26" t="n">
        <v>30.36778130961288</v>
      </c>
      <c r="L331" s="26" t="n">
        <v>30.23524821970597</v>
      </c>
      <c r="M331" s="26" t="n">
        <v>29.81165139652396</v>
      </c>
      <c r="N331" s="26" t="n">
        <v>29.49620746328064</v>
      </c>
      <c r="O331" s="26" t="n">
        <v>29.84123184031805</v>
      </c>
      <c r="P331" s="26" t="n">
        <v>30.45772667381748</v>
      </c>
      <c r="Q331" s="26" t="n">
        <v>31.29463031285176</v>
      </c>
      <c r="R331" s="26" t="n">
        <v>31.08447272395549</v>
      </c>
      <c r="S331" s="26" t="n">
        <v>29.95748231389314</v>
      </c>
      <c r="T331" s="26" t="n">
        <v>29.18374300029473</v>
      </c>
      <c r="U331" s="26" t="n">
        <v>29.39273638392852</v>
      </c>
      <c r="V331" s="27">
        <f>AVERAGE(J331:U331)</f>
        <v/>
      </c>
      <c r="W331" s="28" t="n">
        <v>284</v>
      </c>
      <c r="X331" s="29" t="n">
        <v>0.7888888888888889</v>
      </c>
    </row>
    <row r="332" ht="13.9" customHeight="1">
      <c r="A332" s="11" t="n">
        <v>26095080</v>
      </c>
      <c r="B332" s="22" t="inlineStr">
        <is>
          <t>CO</t>
        </is>
      </c>
      <c r="C332" s="22" t="inlineStr">
        <is>
          <t>Tenerife</t>
        </is>
      </c>
      <c r="D332" s="22" t="inlineStr">
        <is>
          <t>El Cerrito</t>
        </is>
      </c>
      <c r="E332" s="22" t="inlineStr">
        <is>
          <t>Valle del Cauca</t>
        </is>
      </c>
      <c r="F332" s="22" t="n">
        <v>9</v>
      </c>
      <c r="G332" s="22" t="n">
        <v>2628</v>
      </c>
      <c r="H332" s="23" t="n">
        <v>-76.07477778000001</v>
      </c>
      <c r="I332" s="24" t="n">
        <v>3.72997222</v>
      </c>
      <c r="J332" s="25" t="n">
        <v>17.33241885130712</v>
      </c>
      <c r="K332" s="26" t="n">
        <v>17.70615315599061</v>
      </c>
      <c r="L332" s="26" t="n">
        <v>17.64346680833832</v>
      </c>
      <c r="M332" s="26" t="n">
        <v>17.5148585396589</v>
      </c>
      <c r="N332" s="26" t="n">
        <v>17.36339460196029</v>
      </c>
      <c r="O332" s="26" t="n">
        <v>17.59252563439824</v>
      </c>
      <c r="P332" s="26" t="n">
        <v>17.8667940385399</v>
      </c>
      <c r="Q332" s="26" t="n">
        <v>18.19629352215297</v>
      </c>
      <c r="R332" s="26" t="n">
        <v>17.98852866876193</v>
      </c>
      <c r="S332" s="26" t="n">
        <v>17.58976315708109</v>
      </c>
      <c r="T332" s="26" t="n">
        <v>16.56687128467656</v>
      </c>
      <c r="U332" s="26" t="n">
        <v>16.89159497599678</v>
      </c>
      <c r="V332" s="27">
        <f>AVERAGE(J332:U332)</f>
        <v/>
      </c>
      <c r="W332" s="28" t="n">
        <v>215</v>
      </c>
      <c r="X332" s="29" t="n">
        <v>0.8958333333333334</v>
      </c>
    </row>
    <row r="333" ht="13.9" customHeight="1">
      <c r="A333" s="11" t="n">
        <v>26075040</v>
      </c>
      <c r="B333" s="22" t="inlineStr">
        <is>
          <t>SP</t>
        </is>
      </c>
      <c r="C333" s="22" t="inlineStr">
        <is>
          <t>Aeropuerto Alfonso Bonilla</t>
        </is>
      </c>
      <c r="D333" s="22" t="inlineStr">
        <is>
          <t>Palmira</t>
        </is>
      </c>
      <c r="E333" s="22" t="inlineStr">
        <is>
          <t>Valle del Cauca</t>
        </is>
      </c>
      <c r="F333" s="22" t="n">
        <v>9</v>
      </c>
      <c r="G333" s="22" t="n">
        <v>970</v>
      </c>
      <c r="H333" s="23" t="n">
        <v>-76.38663889</v>
      </c>
      <c r="I333" s="24" t="n">
        <v>3.53668889</v>
      </c>
      <c r="J333" s="25" t="n">
        <v>30.30042226006811</v>
      </c>
      <c r="K333" s="26" t="n">
        <v>30.58724083747853</v>
      </c>
      <c r="L333" s="26" t="n">
        <v>30.23551540708566</v>
      </c>
      <c r="M333" s="26" t="n">
        <v>29.83891443167305</v>
      </c>
      <c r="N333" s="26" t="n">
        <v>29.58636576839683</v>
      </c>
      <c r="O333" s="26" t="n">
        <v>29.81040868454662</v>
      </c>
      <c r="P333" s="26" t="n">
        <v>30.52845260165616</v>
      </c>
      <c r="Q333" s="26" t="n">
        <v>31.11792011972717</v>
      </c>
      <c r="R333" s="26" t="n">
        <v>30.64044844044844</v>
      </c>
      <c r="S333" s="26" t="n">
        <v>29.62065677977936</v>
      </c>
      <c r="T333" s="26" t="n">
        <v>29.20044650751547</v>
      </c>
      <c r="U333" s="26" t="n">
        <v>29.48354024600603</v>
      </c>
      <c r="V333" s="27">
        <f>AVERAGE(J333:U333)</f>
        <v/>
      </c>
      <c r="W333" s="28" t="n">
        <v>320</v>
      </c>
      <c r="X333" s="29" t="n">
        <v>0.8888888888888888</v>
      </c>
    </row>
    <row r="334" ht="13.9" customHeight="1">
      <c r="A334" s="11" t="n">
        <v>26075050</v>
      </c>
      <c r="B334" s="22" t="inlineStr">
        <is>
          <t>CO</t>
        </is>
      </c>
      <c r="C334" s="22" t="inlineStr">
        <is>
          <t>Ingenio Manuelita</t>
        </is>
      </c>
      <c r="D334" s="22" t="inlineStr">
        <is>
          <t>Palmira</t>
        </is>
      </c>
      <c r="E334" s="22" t="inlineStr">
        <is>
          <t>Valle del Cauca</t>
        </is>
      </c>
      <c r="F334" s="22" t="n">
        <v>9</v>
      </c>
      <c r="G334" s="22" t="n">
        <v>1059</v>
      </c>
      <c r="H334" s="23" t="n">
        <v>-76.27780556</v>
      </c>
      <c r="I334" s="24" t="n">
        <v>3.57405556</v>
      </c>
      <c r="J334" s="25" t="n">
        <v>29.13985663082437</v>
      </c>
      <c r="K334" s="26" t="n">
        <v>29.60878078817734</v>
      </c>
      <c r="L334" s="26" t="n">
        <v>29.59729988052569</v>
      </c>
      <c r="M334" s="26" t="n">
        <v>28.97997701149425</v>
      </c>
      <c r="N334" s="26" t="n">
        <v>28.75804301075269</v>
      </c>
      <c r="O334" s="26" t="n">
        <v>28.67333333333334</v>
      </c>
      <c r="P334" s="26" t="n">
        <v>29.23813125695217</v>
      </c>
      <c r="Q334" s="26" t="n">
        <v>29.8889247311828</v>
      </c>
      <c r="R334" s="26" t="n">
        <v>29.17855172413794</v>
      </c>
      <c r="S334" s="26" t="n">
        <v>28.87378494623656</v>
      </c>
      <c r="T334" s="26" t="n">
        <v>28.26070242656449</v>
      </c>
      <c r="U334" s="26" t="n">
        <v>28.7474193548387</v>
      </c>
      <c r="V334" s="27">
        <f>AVERAGE(J334:U334)</f>
        <v/>
      </c>
      <c r="W334" s="28" t="n">
        <v>117</v>
      </c>
      <c r="X334" s="29" t="n">
        <v>0.975</v>
      </c>
    </row>
    <row r="335" ht="13.9" customHeight="1">
      <c r="A335" s="11" t="n">
        <v>26075010</v>
      </c>
      <c r="B335" s="22" t="inlineStr">
        <is>
          <t>AM</t>
        </is>
      </c>
      <c r="C335" s="12" t="inlineStr">
        <is>
          <t>Palmira ICA</t>
        </is>
      </c>
      <c r="D335" s="22" t="inlineStr">
        <is>
          <t>Palmira</t>
        </is>
      </c>
      <c r="E335" s="22" t="inlineStr">
        <is>
          <t>Valle del Cauca</t>
        </is>
      </c>
      <c r="F335" s="22" t="n">
        <v>9</v>
      </c>
      <c r="G335" s="22" t="n">
        <v>1018</v>
      </c>
      <c r="H335" s="23" t="n">
        <v>-76.31488889000001</v>
      </c>
      <c r="I335" s="24" t="n">
        <v>3.51347222</v>
      </c>
      <c r="J335" s="25" t="n">
        <v>29.77769613699721</v>
      </c>
      <c r="K335" s="26" t="n">
        <v>30.10305145046525</v>
      </c>
      <c r="L335" s="26" t="n">
        <v>29.67030177563548</v>
      </c>
      <c r="M335" s="26" t="n">
        <v>29.48146232439336</v>
      </c>
      <c r="N335" s="26" t="n">
        <v>29.19444444444444</v>
      </c>
      <c r="O335" s="26" t="n">
        <v>29.33038314176245</v>
      </c>
      <c r="P335" s="26" t="n">
        <v>30.00752688172044</v>
      </c>
      <c r="Q335" s="26" t="n">
        <v>30.38709677419355</v>
      </c>
      <c r="R335" s="26" t="n">
        <v>30.25025408348457</v>
      </c>
      <c r="S335" s="26" t="n">
        <v>29.25042444821732</v>
      </c>
      <c r="T335" s="26" t="n">
        <v>28.81019157088123</v>
      </c>
      <c r="U335" s="26" t="n">
        <v>28.97268817204301</v>
      </c>
      <c r="V335" s="27">
        <f>AVERAGE(J335:U335)</f>
        <v/>
      </c>
      <c r="W335" s="28" t="n">
        <v>217</v>
      </c>
      <c r="X335" s="29" t="n">
        <v>0.9041666666666667</v>
      </c>
    </row>
    <row r="336" ht="13.9" customHeight="1">
      <c r="A336" s="11" t="n">
        <v>26125130</v>
      </c>
      <c r="B336" s="22" t="inlineStr">
        <is>
          <t>CO</t>
        </is>
      </c>
      <c r="C336" s="22" t="inlineStr">
        <is>
          <t>Cumbarco</t>
        </is>
      </c>
      <c r="D336" s="22" t="inlineStr">
        <is>
          <t>Sevilla</t>
        </is>
      </c>
      <c r="E336" s="22" t="inlineStr">
        <is>
          <t>Valle del Cauca</t>
        </is>
      </c>
      <c r="F336" s="22" t="n">
        <v>9</v>
      </c>
      <c r="G336" s="22" t="n">
        <v>1749</v>
      </c>
      <c r="H336" s="23" t="n">
        <v>-75.83236111000001</v>
      </c>
      <c r="I336" s="24" t="n">
        <v>4.185055559999999</v>
      </c>
      <c r="J336" s="25" t="n">
        <v>23.72155892653228</v>
      </c>
      <c r="K336" s="26" t="n">
        <v>23.81683337863232</v>
      </c>
      <c r="L336" s="26" t="n">
        <v>23.78392517612162</v>
      </c>
      <c r="M336" s="26" t="n">
        <v>23.63954267475819</v>
      </c>
      <c r="N336" s="26" t="n">
        <v>23.57817327982255</v>
      </c>
      <c r="O336" s="26" t="n">
        <v>23.83621337225161</v>
      </c>
      <c r="P336" s="26" t="n">
        <v>24.3020304267194</v>
      </c>
      <c r="Q336" s="26" t="n">
        <v>24.66033224158531</v>
      </c>
      <c r="R336" s="26" t="n">
        <v>24.25631024152374</v>
      </c>
      <c r="S336" s="26" t="n">
        <v>23.34759961873382</v>
      </c>
      <c r="T336" s="26" t="n">
        <v>23.01997936773033</v>
      </c>
      <c r="U336" s="26" t="n">
        <v>23.20393994276642</v>
      </c>
      <c r="V336" s="27">
        <f>AVERAGE(J336:U336)</f>
        <v/>
      </c>
      <c r="W336" s="28" t="n">
        <v>307</v>
      </c>
      <c r="X336" s="29" t="n">
        <v>0.8527777777777777</v>
      </c>
    </row>
    <row r="337" ht="13.9" customHeight="1">
      <c r="A337" s="11" t="n">
        <v>26105160</v>
      </c>
      <c r="B337" s="22" t="inlineStr">
        <is>
          <t>SP</t>
        </is>
      </c>
      <c r="C337" s="22" t="inlineStr">
        <is>
          <t>Aeropuerto Farfán</t>
        </is>
      </c>
      <c r="D337" s="22" t="inlineStr">
        <is>
          <t>Tuluá</t>
        </is>
      </c>
      <c r="E337" s="22" t="inlineStr">
        <is>
          <t>Valle del Cauca</t>
        </is>
      </c>
      <c r="F337" s="22" t="n">
        <v>9</v>
      </c>
      <c r="G337" s="22" t="n">
        <v>980</v>
      </c>
      <c r="H337" s="23" t="n">
        <v>-76.22358333</v>
      </c>
      <c r="I337" s="24" t="n">
        <v>4.09008333</v>
      </c>
      <c r="J337" s="25" t="n">
        <v>30.29479909451048</v>
      </c>
      <c r="K337" s="26" t="n">
        <v>30.71794334975369</v>
      </c>
      <c r="L337" s="26" t="n">
        <v>30.43931118117875</v>
      </c>
      <c r="M337" s="26" t="n">
        <v>29.76675758361421</v>
      </c>
      <c r="N337" s="26" t="n">
        <v>29.41693455691509</v>
      </c>
      <c r="O337" s="26" t="n">
        <v>29.64435220661274</v>
      </c>
      <c r="P337" s="26" t="n">
        <v>30.28756272401434</v>
      </c>
      <c r="Q337" s="26" t="n">
        <v>30.76215402735065</v>
      </c>
      <c r="R337" s="26" t="n">
        <v>30.36653689844638</v>
      </c>
      <c r="S337" s="26" t="n">
        <v>29.49492491657397</v>
      </c>
      <c r="T337" s="26" t="n">
        <v>29.01244070425105</v>
      </c>
      <c r="U337" s="26" t="n">
        <v>29.46473750790639</v>
      </c>
      <c r="V337" s="27">
        <f>AVERAGE(J337:U337)</f>
        <v/>
      </c>
      <c r="W337" s="28" t="n">
        <v>215</v>
      </c>
      <c r="X337" s="29" t="n">
        <v>0.8958333333333334</v>
      </c>
    </row>
    <row r="338" ht="13.9" customHeight="1">
      <c r="A338" s="11" t="n">
        <v>26105140</v>
      </c>
      <c r="B338" s="22" t="inlineStr">
        <is>
          <t>CO</t>
        </is>
      </c>
      <c r="C338" s="22" t="inlineStr">
        <is>
          <t>Barragán</t>
        </is>
      </c>
      <c r="D338" s="22" t="inlineStr">
        <is>
          <t>Tuluá</t>
        </is>
      </c>
      <c r="E338" s="22" t="inlineStr">
        <is>
          <t>Valle del Cauca</t>
        </is>
      </c>
      <c r="F338" s="22" t="n">
        <v>9</v>
      </c>
      <c r="G338" s="22" t="n">
        <v>2902</v>
      </c>
      <c r="H338" s="23" t="n">
        <v>-75.88802778</v>
      </c>
      <c r="I338" s="24" t="n">
        <v>4.03305556</v>
      </c>
      <c r="J338" s="25" t="n">
        <v>16.18034673446687</v>
      </c>
      <c r="K338" s="26" t="n">
        <v>16.23993285309674</v>
      </c>
      <c r="L338" s="26" t="n">
        <v>16.4197539260056</v>
      </c>
      <c r="M338" s="26" t="n">
        <v>16.40068117988799</v>
      </c>
      <c r="N338" s="26" t="n">
        <v>16.48406296943694</v>
      </c>
      <c r="O338" s="26" t="n">
        <v>16.24664060544378</v>
      </c>
      <c r="P338" s="26" t="n">
        <v>15.77183842348882</v>
      </c>
      <c r="Q338" s="26" t="n">
        <v>15.96675963445568</v>
      </c>
      <c r="R338" s="26" t="n">
        <v>16.38944991789819</v>
      </c>
      <c r="S338" s="26" t="n">
        <v>15.85178369534639</v>
      </c>
      <c r="T338" s="26" t="n">
        <v>15.40625182346573</v>
      </c>
      <c r="U338" s="26" t="n">
        <v>15.67824206319779</v>
      </c>
      <c r="V338" s="27">
        <f>AVERAGE(J338:U338)</f>
        <v/>
      </c>
      <c r="W338" s="28" t="n">
        <v>292</v>
      </c>
      <c r="X338" s="29" t="n">
        <v>0.8111111111111111</v>
      </c>
    </row>
    <row r="339" ht="13.9" customHeight="1">
      <c r="A339" s="11" t="n">
        <v>26105230</v>
      </c>
      <c r="B339" s="22" t="inlineStr">
        <is>
          <t>CO</t>
        </is>
      </c>
      <c r="C339" s="22" t="inlineStr">
        <is>
          <t>Mateguadua</t>
        </is>
      </c>
      <c r="D339" s="22" t="inlineStr">
        <is>
          <t>Tuluá</t>
        </is>
      </c>
      <c r="E339" s="22" t="inlineStr">
        <is>
          <t>Valle del Cauca</t>
        </is>
      </c>
      <c r="F339" s="22" t="n">
        <v>9</v>
      </c>
      <c r="G339" s="22" t="n">
        <v>1119</v>
      </c>
      <c r="H339" s="23" t="n">
        <v>-76.16852777999999</v>
      </c>
      <c r="I339" s="24" t="n">
        <v>4.02833333</v>
      </c>
      <c r="J339" s="25" t="n">
        <v>29.66950646397231</v>
      </c>
      <c r="K339" s="26" t="n">
        <v>29.93760977783392</v>
      </c>
      <c r="L339" s="26" t="n">
        <v>29.93610710411137</v>
      </c>
      <c r="M339" s="26" t="n">
        <v>29.63937546489271</v>
      </c>
      <c r="N339" s="26" t="n">
        <v>29.49217780602786</v>
      </c>
      <c r="O339" s="26" t="n">
        <v>29.59272772785205</v>
      </c>
      <c r="P339" s="26" t="n">
        <v>29.85161580768755</v>
      </c>
      <c r="Q339" s="26" t="n">
        <v>30.47663771104796</v>
      </c>
      <c r="R339" s="26" t="n">
        <v>30.26936584853897</v>
      </c>
      <c r="S339" s="26" t="n">
        <v>29.35531814355299</v>
      </c>
      <c r="T339" s="26" t="n">
        <v>28.96197967804864</v>
      </c>
      <c r="U339" s="26" t="n">
        <v>29.23285793404058</v>
      </c>
      <c r="V339" s="27">
        <f>AVERAGE(J339:U339)</f>
        <v/>
      </c>
      <c r="W339" s="28" t="n">
        <v>298</v>
      </c>
      <c r="X339" s="29" t="n">
        <v>0.8277777777777777</v>
      </c>
    </row>
    <row r="340" ht="13.9" customHeight="1">
      <c r="A340" s="11" t="n">
        <v>26105110</v>
      </c>
      <c r="B340" s="22" t="inlineStr">
        <is>
          <t>CO</t>
        </is>
      </c>
      <c r="C340" s="22" t="inlineStr">
        <is>
          <t>Ingenio Riopaila</t>
        </is>
      </c>
      <c r="D340" s="22" t="inlineStr">
        <is>
          <t>Zarzal</t>
        </is>
      </c>
      <c r="E340" s="22" t="inlineStr">
        <is>
          <t>Valle del Cauca</t>
        </is>
      </c>
      <c r="F340" s="22" t="n">
        <v>9</v>
      </c>
      <c r="G340" s="22" t="n">
        <v>954</v>
      </c>
      <c r="H340" s="23" t="n">
        <v>-76.08452778</v>
      </c>
      <c r="I340" s="24" t="n">
        <v>4.3245</v>
      </c>
      <c r="J340" s="25" t="n">
        <v>31.83235483870967</v>
      </c>
      <c r="K340" s="26" t="n">
        <v>32.26111531654808</v>
      </c>
      <c r="L340" s="26" t="n">
        <v>31.85211171010117</v>
      </c>
      <c r="M340" s="26" t="n">
        <v>31.35791755250196</v>
      </c>
      <c r="N340" s="26" t="n">
        <v>31.15968792950118</v>
      </c>
      <c r="O340" s="26" t="n">
        <v>31.41501685247602</v>
      </c>
      <c r="P340" s="26" t="n">
        <v>31.94941523503481</v>
      </c>
      <c r="Q340" s="26" t="n">
        <v>32.41136955291454</v>
      </c>
      <c r="R340" s="26" t="n">
        <v>32.03770114942528</v>
      </c>
      <c r="S340" s="26" t="n">
        <v>30.91332943036122</v>
      </c>
      <c r="T340" s="26" t="n">
        <v>30.65246823956443</v>
      </c>
      <c r="U340" s="26" t="n">
        <v>31.0524556106618</v>
      </c>
      <c r="V340" s="27">
        <f>AVERAGE(J340:U340)</f>
        <v/>
      </c>
      <c r="W340" s="28" t="n">
        <v>229</v>
      </c>
      <c r="X340" s="29" t="n">
        <v>0.9541666666666667</v>
      </c>
    </row>
    <row r="341" ht="13.9" customHeight="1">
      <c r="A341" s="11" t="n">
        <v>42075010</v>
      </c>
      <c r="B341" s="22" t="inlineStr">
        <is>
          <t>CP</t>
        </is>
      </c>
      <c r="C341" s="22" t="inlineStr">
        <is>
          <t>Mitú</t>
        </is>
      </c>
      <c r="D341" s="22" t="inlineStr">
        <is>
          <t>Mitú</t>
        </is>
      </c>
      <c r="E341" s="22" t="inlineStr">
        <is>
          <t>Vaupés</t>
        </is>
      </c>
      <c r="F341" s="22" t="n">
        <v>3</v>
      </c>
      <c r="G341" s="22" t="n">
        <v>180</v>
      </c>
      <c r="H341" s="23" t="n">
        <v>-70.23999999999999</v>
      </c>
      <c r="I341" s="24" t="n">
        <v>1.26</v>
      </c>
      <c r="J341" s="25" t="n">
        <v>30.7125836114201</v>
      </c>
      <c r="K341" s="26" t="n">
        <v>30.81867905756795</v>
      </c>
      <c r="L341" s="26" t="n">
        <v>30.85453005396943</v>
      </c>
      <c r="M341" s="26" t="n">
        <v>30.53254414239089</v>
      </c>
      <c r="N341" s="26" t="n">
        <v>29.66219376287847</v>
      </c>
      <c r="O341" s="26" t="n">
        <v>29.08935960591133</v>
      </c>
      <c r="P341" s="26" t="n">
        <v>29.04318720536046</v>
      </c>
      <c r="Q341" s="26" t="n">
        <v>30.14398006331821</v>
      </c>
      <c r="R341" s="26" t="n">
        <v>31.09993756208316</v>
      </c>
      <c r="S341" s="26" t="n">
        <v>31.08668700084162</v>
      </c>
      <c r="T341" s="26" t="n">
        <v>30.94092282430213</v>
      </c>
      <c r="U341" s="26" t="n">
        <v>30.47576848920453</v>
      </c>
      <c r="V341" s="27">
        <f>AVERAGE(J341:U341)</f>
        <v/>
      </c>
      <c r="W341" s="28" t="n">
        <v>109</v>
      </c>
      <c r="X341" s="29" t="n">
        <v>0.9083333333333333</v>
      </c>
    </row>
    <row r="342" ht="13.9" customHeight="1">
      <c r="A342" s="11" t="n">
        <v>33055010</v>
      </c>
      <c r="B342" s="22" t="inlineStr">
        <is>
          <t>CO</t>
        </is>
      </c>
      <c r="C342" s="22" t="inlineStr">
        <is>
          <t>Cumaribo 2</t>
        </is>
      </c>
      <c r="D342" s="22" t="inlineStr">
        <is>
          <t>Cumaribo</t>
        </is>
      </c>
      <c r="E342" s="22" t="inlineStr">
        <is>
          <t>Vichada</t>
        </is>
      </c>
      <c r="F342" s="22" t="n">
        <v>3</v>
      </c>
      <c r="G342" s="22" t="n">
        <v>167</v>
      </c>
      <c r="H342" s="23" t="n">
        <v>-69.80333332999999</v>
      </c>
      <c r="I342" s="24" t="n">
        <v>4.49472222</v>
      </c>
      <c r="J342" s="25" t="n">
        <v>33.7177406079915</v>
      </c>
      <c r="K342" s="26" t="n">
        <v>34.17229064039409</v>
      </c>
      <c r="L342" s="26" t="n">
        <v>33.35002150537635</v>
      </c>
      <c r="M342" s="26" t="n">
        <v>31.88445977011494</v>
      </c>
      <c r="N342" s="26" t="n">
        <v>30.56631182795699</v>
      </c>
      <c r="O342" s="26" t="n">
        <v>29.95854515599343</v>
      </c>
      <c r="P342" s="26" t="n">
        <v>29.74677419354839</v>
      </c>
      <c r="Q342" s="26" t="n">
        <v>30.71741935483872</v>
      </c>
      <c r="R342" s="26" t="n">
        <v>31.66925925925926</v>
      </c>
      <c r="S342" s="26" t="n">
        <v>31.68458781362007</v>
      </c>
      <c r="T342" s="26" t="n">
        <v>32.01882375478927</v>
      </c>
      <c r="U342" s="26" t="n">
        <v>32.42910394265234</v>
      </c>
      <c r="V342" s="27">
        <f>AVERAGE(J342:U342)</f>
        <v/>
      </c>
      <c r="W342" s="28" t="n">
        <v>116</v>
      </c>
      <c r="X342" s="29" t="n">
        <v>0.9666666666666667</v>
      </c>
    </row>
    <row r="343" ht="13.9" customHeight="1">
      <c r="A343" s="11" t="n">
        <v>34035020</v>
      </c>
      <c r="B343" s="22" t="inlineStr">
        <is>
          <t>CO</t>
        </is>
      </c>
      <c r="C343" s="22" t="inlineStr">
        <is>
          <t>El Tapon</t>
        </is>
      </c>
      <c r="D343" s="22" t="inlineStr">
        <is>
          <t>Cumaribo</t>
        </is>
      </c>
      <c r="E343" s="22" t="inlineStr">
        <is>
          <t>Vichada</t>
        </is>
      </c>
      <c r="F343" s="22" t="n">
        <v>3</v>
      </c>
      <c r="G343" s="22" t="n">
        <v>116</v>
      </c>
      <c r="H343" s="23" t="n">
        <v>-69.14838889000001</v>
      </c>
      <c r="I343" s="24" t="n">
        <v>5.11202778</v>
      </c>
      <c r="J343" s="25" t="n">
        <v>34.33807759487157</v>
      </c>
      <c r="K343" s="26" t="n">
        <v>34.44136453823954</v>
      </c>
      <c r="L343" s="26" t="n">
        <v>34.06217194154607</v>
      </c>
      <c r="M343" s="26" t="n">
        <v>32.18561941251596</v>
      </c>
      <c r="N343" s="26" t="n">
        <v>30.91312915404128</v>
      </c>
      <c r="O343" s="26" t="n">
        <v>30.60509259259259</v>
      </c>
      <c r="P343" s="26" t="n">
        <v>29.93973040637112</v>
      </c>
      <c r="Q343" s="26" t="n">
        <v>30.74450962882614</v>
      </c>
      <c r="R343" s="26" t="n">
        <v>31.94371883289125</v>
      </c>
      <c r="S343" s="26" t="n">
        <v>32.24629446077653</v>
      </c>
      <c r="T343" s="26" t="n">
        <v>32.48921718208356</v>
      </c>
      <c r="U343" s="26" t="n">
        <v>33.44190362405416</v>
      </c>
      <c r="V343" s="27">
        <f>AVERAGE(J343:U343)</f>
        <v/>
      </c>
      <c r="W343" s="28" t="n">
        <v>101</v>
      </c>
      <c r="X343" s="29" t="n">
        <v>0.8416666666666667</v>
      </c>
    </row>
    <row r="344" ht="13.9" customHeight="1">
      <c r="A344" s="11" t="n">
        <v>34015010</v>
      </c>
      <c r="B344" s="22" t="inlineStr">
        <is>
          <t>CP</t>
        </is>
      </c>
      <c r="C344" s="22" t="inlineStr">
        <is>
          <t xml:space="preserve">Las Gaviotas </t>
        </is>
      </c>
      <c r="D344" s="22" t="inlineStr">
        <is>
          <t>Cumaribo</t>
        </is>
      </c>
      <c r="E344" s="22" t="inlineStr">
        <is>
          <t>Vichada</t>
        </is>
      </c>
      <c r="F344" s="22" t="n">
        <v>3</v>
      </c>
      <c r="G344" s="22" t="n">
        <v>171</v>
      </c>
      <c r="H344" s="23" t="n">
        <v>-70.93011111</v>
      </c>
      <c r="I344" s="24" t="n">
        <v>4.55394444</v>
      </c>
      <c r="J344" s="25" t="n">
        <v>33.07623447691378</v>
      </c>
      <c r="K344" s="26" t="n">
        <v>33.92674419556603</v>
      </c>
      <c r="L344" s="26" t="n">
        <v>33.4329394432968</v>
      </c>
      <c r="M344" s="26" t="n">
        <v>31.68555736431182</v>
      </c>
      <c r="N344" s="26" t="n">
        <v>30.44338116199296</v>
      </c>
      <c r="O344" s="26" t="n">
        <v>29.63468537414966</v>
      </c>
      <c r="P344" s="26" t="n">
        <v>29.54581639287883</v>
      </c>
      <c r="Q344" s="26" t="n">
        <v>30.4205771395159</v>
      </c>
      <c r="R344" s="26" t="n">
        <v>31.47823046247075</v>
      </c>
      <c r="S344" s="26" t="n">
        <v>31.59519477059559</v>
      </c>
      <c r="T344" s="26" t="n">
        <v>31.46325994694961</v>
      </c>
      <c r="U344" s="26" t="n">
        <v>31.81802433001006</v>
      </c>
      <c r="V344" s="27">
        <f>AVERAGE(J344:U344)</f>
        <v/>
      </c>
      <c r="W344" s="28" t="n">
        <v>348</v>
      </c>
      <c r="X344" s="29" t="n">
        <v>0.9666666666666667</v>
      </c>
    </row>
    <row r="345" ht="14.45" customHeight="1" thickBot="1">
      <c r="A345" s="30" t="n">
        <v>38015030</v>
      </c>
      <c r="B345" s="31" t="inlineStr">
        <is>
          <t>SP</t>
        </is>
      </c>
      <c r="C345" s="31" t="inlineStr">
        <is>
          <t>Aeropuerto Puerto Carreño</t>
        </is>
      </c>
      <c r="D345" s="31" t="inlineStr">
        <is>
          <t>Puerto Carreño</t>
        </is>
      </c>
      <c r="E345" s="31" t="inlineStr">
        <is>
          <t>Vichada</t>
        </is>
      </c>
      <c r="F345" s="31" t="n">
        <v>3</v>
      </c>
      <c r="G345" s="31" t="n">
        <v>57</v>
      </c>
      <c r="H345" s="32" t="n">
        <v>-67.49122222000001</v>
      </c>
      <c r="I345" s="33" t="n">
        <v>6.18243611</v>
      </c>
      <c r="J345" s="34" t="n">
        <v>34.89512664135118</v>
      </c>
      <c r="K345" s="35" t="n">
        <v>35.87223543400714</v>
      </c>
      <c r="L345" s="35" t="n">
        <v>36.15867259918429</v>
      </c>
      <c r="M345" s="35" t="n">
        <v>34.33163218390804</v>
      </c>
      <c r="N345" s="35" t="n">
        <v>32.4316559139785</v>
      </c>
      <c r="O345" s="35" t="n">
        <v>31.29796934865899</v>
      </c>
      <c r="P345" s="35" t="n">
        <v>30.84313311086392</v>
      </c>
      <c r="Q345" s="35" t="n">
        <v>31.51363737486096</v>
      </c>
      <c r="R345" s="35" t="n">
        <v>32.68486325802616</v>
      </c>
      <c r="S345" s="35" t="n">
        <v>33.4227275985663</v>
      </c>
      <c r="T345" s="35" t="n">
        <v>33.5664367816092</v>
      </c>
      <c r="U345" s="35" t="n">
        <v>33.96334816462736</v>
      </c>
      <c r="V345" s="35">
        <f>AVERAGE(J345:U345)</f>
        <v/>
      </c>
      <c r="W345" s="36" t="n">
        <v>353</v>
      </c>
      <c r="X345" s="37" t="n">
        <v>0.9805555555555555</v>
      </c>
    </row>
  </sheetData>
  <autoFilter ref="A2:X345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AU356"/>
  <sheetViews>
    <sheetView workbookViewId="0">
      <selection activeCell="AP4" sqref="AP4"/>
    </sheetView>
  </sheetViews>
  <sheetFormatPr baseColWidth="10" defaultRowHeight="12.75"/>
  <cols>
    <col width="6" bestFit="1" customWidth="1" min="8" max="8"/>
    <col width="5.140625" bestFit="1" customWidth="1" min="9" max="9"/>
    <col width="4.140625" bestFit="1" customWidth="1" min="10" max="10"/>
    <col width="6" bestFit="1" customWidth="1" min="11" max="11"/>
    <col width="5.140625" bestFit="1" customWidth="1" min="12" max="12"/>
    <col width="4.140625" bestFit="1" customWidth="1" min="13" max="13"/>
    <col width="6" bestFit="1" customWidth="1" min="14" max="14"/>
    <col width="5.140625" bestFit="1" customWidth="1" min="15" max="15"/>
    <col width="4.140625" bestFit="1" customWidth="1" min="16" max="16"/>
    <col width="6" bestFit="1" customWidth="1" min="17" max="17"/>
    <col width="5.140625" bestFit="1" customWidth="1" min="18" max="18"/>
    <col width="4.140625" bestFit="1" customWidth="1" min="19" max="19"/>
    <col width="6" bestFit="1" customWidth="1" min="20" max="20"/>
    <col width="5.140625" bestFit="1" customWidth="1" min="21" max="21"/>
    <col width="4.140625" bestFit="1" customWidth="1" min="22" max="22"/>
    <col width="6" bestFit="1" customWidth="1" min="23" max="23"/>
    <col width="5.140625" bestFit="1" customWidth="1" min="24" max="24"/>
    <col width="4.140625" bestFit="1" customWidth="1" min="25" max="25"/>
    <col width="6" bestFit="1" customWidth="1" min="26" max="26"/>
    <col width="5.140625" bestFit="1" customWidth="1" min="27" max="27"/>
    <col width="4.140625" bestFit="1" customWidth="1" min="28" max="28"/>
    <col width="6" bestFit="1" customWidth="1" min="29" max="29"/>
    <col width="5.140625" bestFit="1" customWidth="1" min="30" max="30"/>
    <col width="4.140625" bestFit="1" customWidth="1" min="31" max="31"/>
    <col width="6" bestFit="1" customWidth="1" min="32" max="32"/>
    <col width="5.140625" bestFit="1" customWidth="1" min="33" max="33"/>
    <col width="4.140625" bestFit="1" customWidth="1" min="34" max="34"/>
    <col width="6" bestFit="1" customWidth="1" min="35" max="35"/>
    <col width="5.140625" bestFit="1" customWidth="1" min="36" max="36"/>
    <col width="4.140625" bestFit="1" customWidth="1" min="37" max="37"/>
    <col width="6" bestFit="1" customWidth="1" min="38" max="38"/>
    <col width="5.140625" bestFit="1" customWidth="1" min="39" max="39"/>
    <col width="4.140625" bestFit="1" customWidth="1" min="40" max="40"/>
    <col width="6" bestFit="1" customWidth="1" min="41" max="41"/>
    <col width="5.140625" bestFit="1" customWidth="1" min="42" max="42"/>
    <col width="4.140625" bestFit="1" customWidth="1" min="43" max="43"/>
  </cols>
  <sheetData>
    <row r="1" ht="14.45" customHeight="1">
      <c r="A1" s="123" t="inlineStr">
        <is>
          <t>COD</t>
        </is>
      </c>
      <c r="B1" s="123" t="inlineStr">
        <is>
          <t>ESTACION</t>
        </is>
      </c>
      <c r="C1" s="123" t="inlineStr">
        <is>
          <t>LAT</t>
        </is>
      </c>
      <c r="D1" s="123" t="inlineStr">
        <is>
          <t>LON</t>
        </is>
      </c>
      <c r="E1" s="123" t="inlineStr">
        <is>
          <t>ELEV</t>
        </is>
      </c>
      <c r="F1" s="123" t="inlineStr">
        <is>
          <t>MUNICIPIO</t>
        </is>
      </c>
      <c r="G1" s="123" t="inlineStr">
        <is>
          <t>DPTO</t>
        </is>
      </c>
      <c r="H1" s="120" t="inlineStr">
        <is>
          <t>ENERO</t>
        </is>
      </c>
      <c r="I1" s="121" t="n"/>
      <c r="J1" s="122" t="n"/>
      <c r="K1" s="120" t="inlineStr">
        <is>
          <t>FEBRERO</t>
        </is>
      </c>
      <c r="L1" s="121" t="n"/>
      <c r="M1" s="122" t="n"/>
      <c r="N1" s="120" t="inlineStr">
        <is>
          <t>MARZO</t>
        </is>
      </c>
      <c r="O1" s="121" t="n"/>
      <c r="P1" s="122" t="n"/>
      <c r="Q1" s="120" t="inlineStr">
        <is>
          <t>ABRIL</t>
        </is>
      </c>
      <c r="R1" s="121" t="n"/>
      <c r="S1" s="122" t="n"/>
      <c r="T1" s="120" t="inlineStr">
        <is>
          <t>MAYO</t>
        </is>
      </c>
      <c r="U1" s="121" t="n"/>
      <c r="V1" s="122" t="n"/>
      <c r="W1" s="120" t="inlineStr">
        <is>
          <t>JUNIO</t>
        </is>
      </c>
      <c r="X1" s="121" t="n"/>
      <c r="Y1" s="122" t="n"/>
      <c r="Z1" s="120" t="inlineStr">
        <is>
          <t>JULIO</t>
        </is>
      </c>
      <c r="AA1" s="121" t="n"/>
      <c r="AB1" s="122" t="n"/>
      <c r="AC1" s="120" t="inlineStr">
        <is>
          <t>AGOSTO</t>
        </is>
      </c>
      <c r="AD1" s="121" t="n"/>
      <c r="AE1" s="122" t="n"/>
      <c r="AF1" s="120" t="inlineStr">
        <is>
          <t>SEPTIEMBRE</t>
        </is>
      </c>
      <c r="AG1" s="121" t="n"/>
      <c r="AH1" s="122" t="n"/>
      <c r="AI1" s="120" t="inlineStr">
        <is>
          <t>OCTUBRE</t>
        </is>
      </c>
      <c r="AJ1" s="121" t="n"/>
      <c r="AK1" s="122" t="n"/>
      <c r="AL1" s="120" t="inlineStr">
        <is>
          <t>NOVIEMBRE</t>
        </is>
      </c>
      <c r="AM1" s="121" t="n"/>
      <c r="AN1" s="122" t="n"/>
      <c r="AO1" s="120" t="inlineStr">
        <is>
          <t>DICIEMBRE</t>
        </is>
      </c>
      <c r="AP1" s="121" t="n"/>
      <c r="AQ1" s="122" t="n"/>
      <c r="AS1" s="46" t="inlineStr">
        <is>
          <t>Mes</t>
        </is>
      </c>
      <c r="AT1" s="46" t="inlineStr">
        <is>
          <t>Nombre</t>
        </is>
      </c>
      <c r="AU1" s="46" t="inlineStr">
        <is>
          <t>Días</t>
        </is>
      </c>
    </row>
    <row r="2" ht="14.45" customHeight="1">
      <c r="A2" s="124" t="n"/>
      <c r="B2" s="124" t="n"/>
      <c r="C2" s="124" t="n"/>
      <c r="D2" s="124" t="n"/>
      <c r="E2" s="124" t="n"/>
      <c r="F2" s="124" t="n"/>
      <c r="G2" s="124" t="n"/>
      <c r="H2" s="40" t="inlineStr">
        <is>
          <t>DATO</t>
        </is>
      </c>
      <c r="I2" s="38" t="inlineStr">
        <is>
          <t>AÑO</t>
        </is>
      </c>
      <c r="J2" s="38" t="inlineStr">
        <is>
          <t>DIA</t>
        </is>
      </c>
      <c r="K2" s="40" t="inlineStr">
        <is>
          <t>DATO</t>
        </is>
      </c>
      <c r="L2" s="38" t="inlineStr">
        <is>
          <t>AÑO</t>
        </is>
      </c>
      <c r="M2" s="38" t="inlineStr">
        <is>
          <t>DIA</t>
        </is>
      </c>
      <c r="N2" s="40" t="inlineStr">
        <is>
          <t>DATO</t>
        </is>
      </c>
      <c r="O2" s="38" t="inlineStr">
        <is>
          <t>AÑO</t>
        </is>
      </c>
      <c r="P2" s="38" t="inlineStr">
        <is>
          <t>DIA</t>
        </is>
      </c>
      <c r="Q2" s="40" t="inlineStr">
        <is>
          <t>DATO</t>
        </is>
      </c>
      <c r="R2" s="38" t="inlineStr">
        <is>
          <t>AÑO</t>
        </is>
      </c>
      <c r="S2" s="38" t="inlineStr">
        <is>
          <t>DIA</t>
        </is>
      </c>
      <c r="T2" s="40" t="inlineStr">
        <is>
          <t>DATO</t>
        </is>
      </c>
      <c r="U2" s="38" t="inlineStr">
        <is>
          <t>AÑO</t>
        </is>
      </c>
      <c r="V2" s="38" t="inlineStr">
        <is>
          <t>DIA</t>
        </is>
      </c>
      <c r="W2" s="40" t="inlineStr">
        <is>
          <t>DATO</t>
        </is>
      </c>
      <c r="X2" s="38" t="inlineStr">
        <is>
          <t>AÑO</t>
        </is>
      </c>
      <c r="Y2" s="38" t="inlineStr">
        <is>
          <t>DIA</t>
        </is>
      </c>
      <c r="Z2" s="40" t="inlineStr">
        <is>
          <t>DATO</t>
        </is>
      </c>
      <c r="AA2" s="38" t="inlineStr">
        <is>
          <t>AÑO</t>
        </is>
      </c>
      <c r="AB2" s="38" t="inlineStr">
        <is>
          <t>DIA</t>
        </is>
      </c>
      <c r="AC2" s="40" t="inlineStr">
        <is>
          <t>DATO</t>
        </is>
      </c>
      <c r="AD2" s="38" t="inlineStr">
        <is>
          <t>AÑO</t>
        </is>
      </c>
      <c r="AE2" s="38" t="inlineStr">
        <is>
          <t>DIA</t>
        </is>
      </c>
      <c r="AF2" s="40" t="inlineStr">
        <is>
          <t>DATO</t>
        </is>
      </c>
      <c r="AG2" s="38" t="inlineStr">
        <is>
          <t>AÑO</t>
        </is>
      </c>
      <c r="AH2" s="38" t="inlineStr">
        <is>
          <t>DIA</t>
        </is>
      </c>
      <c r="AI2" s="40" t="inlineStr">
        <is>
          <t>DATO</t>
        </is>
      </c>
      <c r="AJ2" s="38" t="inlineStr">
        <is>
          <t>AÑO</t>
        </is>
      </c>
      <c r="AK2" s="38" t="inlineStr">
        <is>
          <t>DIA</t>
        </is>
      </c>
      <c r="AL2" s="40" t="inlineStr">
        <is>
          <t>DATO</t>
        </is>
      </c>
      <c r="AM2" s="38" t="inlineStr">
        <is>
          <t>AÑO</t>
        </is>
      </c>
      <c r="AN2" s="38" t="inlineStr">
        <is>
          <t>DIA</t>
        </is>
      </c>
      <c r="AO2" s="40" t="inlineStr">
        <is>
          <t>DATO</t>
        </is>
      </c>
      <c r="AP2" s="38" t="inlineStr">
        <is>
          <t>AÑO</t>
        </is>
      </c>
      <c r="AQ2" s="38" t="inlineStr">
        <is>
          <t>DIA</t>
        </is>
      </c>
      <c r="AS2" s="47" t="n">
        <v>1</v>
      </c>
      <c r="AT2" s="49" t="inlineStr">
        <is>
          <t>ENERO</t>
        </is>
      </c>
      <c r="AU2" s="48" t="n">
        <v>31</v>
      </c>
    </row>
    <row r="3" ht="14.45" customHeight="1">
      <c r="A3" s="1" t="n">
        <v>11025010</v>
      </c>
      <c r="B3" s="1" t="inlineStr">
        <is>
          <t>LA MANSA [11025010]</t>
        </is>
      </c>
      <c r="C3" s="1" t="n">
        <v>5.878305556</v>
      </c>
      <c r="D3" s="1" t="n">
        <v>-76.08433333000001</v>
      </c>
      <c r="E3" s="1" t="n">
        <v>2018</v>
      </c>
      <c r="F3" s="1" t="inlineStr">
        <is>
          <t>Ciudad Bolívar</t>
        </is>
      </c>
      <c r="G3" s="1" t="inlineStr">
        <is>
          <t>Antioquia</t>
        </is>
      </c>
      <c r="H3" s="39" t="n">
        <v>26.2</v>
      </c>
      <c r="I3" s="1" t="n">
        <v>1992</v>
      </c>
      <c r="J3" s="1" t="n">
        <v>12</v>
      </c>
      <c r="K3" s="39" t="n">
        <v>26.4</v>
      </c>
      <c r="L3" s="1" t="n">
        <v>2010</v>
      </c>
      <c r="M3" s="1" t="n">
        <v>3</v>
      </c>
      <c r="N3" s="39" t="n">
        <v>26</v>
      </c>
      <c r="O3" s="1" t="n">
        <v>1988</v>
      </c>
      <c r="P3" s="1" t="n">
        <v>21</v>
      </c>
      <c r="Q3" s="39" t="n">
        <v>26.2</v>
      </c>
      <c r="R3" s="1" t="n">
        <v>2024</v>
      </c>
      <c r="S3" s="1" t="n">
        <v>12</v>
      </c>
      <c r="T3" s="39" t="n">
        <v>25.6</v>
      </c>
      <c r="U3" s="1" t="n">
        <v>1998</v>
      </c>
      <c r="V3" s="1" t="n">
        <v>13</v>
      </c>
      <c r="W3" s="39" t="n">
        <v>25.4</v>
      </c>
      <c r="X3" s="1" t="n">
        <v>2001</v>
      </c>
      <c r="Y3" s="1" t="n">
        <v>26</v>
      </c>
      <c r="Z3" s="39" t="n">
        <v>26</v>
      </c>
      <c r="AA3" s="1" t="n">
        <v>1997</v>
      </c>
      <c r="AB3" s="1" t="n">
        <v>24</v>
      </c>
      <c r="AC3" s="39" t="n">
        <v>26</v>
      </c>
      <c r="AD3" s="1" t="n">
        <v>2015</v>
      </c>
      <c r="AE3" s="1" t="n">
        <v>5</v>
      </c>
      <c r="AF3" s="39" t="n">
        <v>26.4</v>
      </c>
      <c r="AG3" s="1" t="n">
        <v>2023</v>
      </c>
      <c r="AH3" s="1" t="n">
        <v>1</v>
      </c>
      <c r="AI3" s="39" t="n">
        <v>25</v>
      </c>
      <c r="AJ3" s="1" t="n">
        <v>2017</v>
      </c>
      <c r="AK3" s="1" t="n">
        <v>17</v>
      </c>
      <c r="AL3" s="39" t="n">
        <v>25</v>
      </c>
      <c r="AM3" s="1" t="n">
        <v>2023</v>
      </c>
      <c r="AN3" s="1" t="n">
        <v>27</v>
      </c>
      <c r="AO3" s="39" t="n">
        <v>26</v>
      </c>
      <c r="AP3" s="1" t="n">
        <v>2023</v>
      </c>
      <c r="AQ3" s="1" t="n">
        <v>12</v>
      </c>
      <c r="AS3" s="47" t="n">
        <v>2</v>
      </c>
      <c r="AT3" s="49" t="inlineStr">
        <is>
          <t>FEBRERO</t>
        </is>
      </c>
      <c r="AU3" s="48" t="n">
        <v>28</v>
      </c>
    </row>
    <row r="4" ht="14.45" customHeight="1">
      <c r="A4" s="1" t="n">
        <v>11035010</v>
      </c>
      <c r="B4" s="1" t="inlineStr">
        <is>
          <t>LLORO [11035010]</t>
        </is>
      </c>
      <c r="C4" s="1" t="n">
        <v>5.499</v>
      </c>
      <c r="D4" s="1" t="n">
        <v>-76.539</v>
      </c>
      <c r="E4" s="1" t="n">
        <v>60</v>
      </c>
      <c r="F4" s="1" t="inlineStr">
        <is>
          <t>Lloró</t>
        </is>
      </c>
      <c r="G4" s="1" t="inlineStr">
        <is>
          <t>Choco</t>
        </is>
      </c>
      <c r="H4" s="39" t="n">
        <v>36.4</v>
      </c>
      <c r="I4" s="1" t="n">
        <v>2016</v>
      </c>
      <c r="J4" s="1" t="n">
        <v>3</v>
      </c>
      <c r="K4" s="39" t="n">
        <v>35.6</v>
      </c>
      <c r="L4" s="1" t="n">
        <v>2016</v>
      </c>
      <c r="M4" s="1" t="n">
        <v>7</v>
      </c>
      <c r="N4" s="39" t="n">
        <v>36.2</v>
      </c>
      <c r="O4" s="1" t="n">
        <v>2016</v>
      </c>
      <c r="P4" s="1" t="n">
        <v>3</v>
      </c>
      <c r="Q4" s="39" t="n">
        <v>35.8</v>
      </c>
      <c r="R4" s="1" t="n">
        <v>2024</v>
      </c>
      <c r="S4" s="1" t="n">
        <v>30</v>
      </c>
      <c r="T4" s="39" t="n">
        <v>36.4</v>
      </c>
      <c r="U4" s="1" t="n">
        <v>2012</v>
      </c>
      <c r="V4" s="1" t="n">
        <v>3</v>
      </c>
      <c r="W4" s="39" t="n">
        <v>36.2</v>
      </c>
      <c r="X4" s="1" t="n">
        <v>2012</v>
      </c>
      <c r="Y4" s="1" t="n">
        <v>6</v>
      </c>
      <c r="Z4" s="39" t="n">
        <v>35.2</v>
      </c>
      <c r="AA4" s="1" t="n">
        <v>2016</v>
      </c>
      <c r="AB4" s="1" t="n">
        <v>18</v>
      </c>
      <c r="AC4" s="39" t="n">
        <v>36.4</v>
      </c>
      <c r="AD4" s="1" t="n">
        <v>2011</v>
      </c>
      <c r="AE4" s="1" t="n">
        <v>8</v>
      </c>
      <c r="AF4" s="39" t="n">
        <v>35.4</v>
      </c>
      <c r="AG4" s="1" t="n">
        <v>2023</v>
      </c>
      <c r="AH4" s="1" t="n">
        <v>23</v>
      </c>
      <c r="AI4" s="39" t="n">
        <v>35.4</v>
      </c>
      <c r="AJ4" s="1" t="n">
        <v>2019</v>
      </c>
      <c r="AK4" s="1" t="n">
        <v>25</v>
      </c>
      <c r="AL4" s="39" t="n">
        <v>35.2</v>
      </c>
      <c r="AM4" s="1" t="n">
        <v>2019</v>
      </c>
      <c r="AN4" s="1" t="n">
        <v>8</v>
      </c>
      <c r="AO4" s="39" t="n">
        <v>36.4</v>
      </c>
      <c r="AP4" s="1" t="n">
        <v>2015</v>
      </c>
      <c r="AQ4" s="1" t="n">
        <v>23</v>
      </c>
      <c r="AS4" s="47" t="n">
        <v>3</v>
      </c>
      <c r="AT4" s="49" t="inlineStr">
        <is>
          <t>MARZO</t>
        </is>
      </c>
      <c r="AU4" s="48" t="n">
        <v>31</v>
      </c>
    </row>
    <row r="5" ht="14.45" customHeight="1">
      <c r="A5" s="1" t="n">
        <v>11035020</v>
      </c>
      <c r="B5" s="1" t="inlineStr">
        <is>
          <t>SAN ISIDRO [11035020]</t>
        </is>
      </c>
      <c r="C5" s="1" t="n">
        <v>5.626166667</v>
      </c>
      <c r="D5" s="1" t="n">
        <v>-76.74972222</v>
      </c>
      <c r="E5" s="1" t="n">
        <v>53</v>
      </c>
      <c r="F5" s="1" t="inlineStr">
        <is>
          <t>Rio Quito (Paimadó)</t>
        </is>
      </c>
      <c r="G5" s="1" t="inlineStr">
        <is>
          <t>Choco</t>
        </is>
      </c>
      <c r="H5" s="39" t="n">
        <v>34.2</v>
      </c>
      <c r="I5" s="1" t="n">
        <v>1996</v>
      </c>
      <c r="J5" s="1" t="n">
        <v>15</v>
      </c>
      <c r="K5" s="39" t="n">
        <v>35</v>
      </c>
      <c r="L5" s="1" t="n">
        <v>1998</v>
      </c>
      <c r="M5" s="1" t="n">
        <v>17</v>
      </c>
      <c r="N5" s="39" t="n">
        <v>35</v>
      </c>
      <c r="O5" s="1" t="n">
        <v>2003</v>
      </c>
      <c r="P5" s="1" t="n">
        <v>19</v>
      </c>
      <c r="Q5" s="39" t="n">
        <v>36.4</v>
      </c>
      <c r="R5" s="1" t="n">
        <v>1983</v>
      </c>
      <c r="S5" s="1" t="n">
        <v>11</v>
      </c>
      <c r="T5" s="39" t="n">
        <v>39.2</v>
      </c>
      <c r="U5" s="1" t="n">
        <v>1983</v>
      </c>
      <c r="V5" s="1" t="n">
        <v>9</v>
      </c>
      <c r="W5" s="39" t="n">
        <v>34.8</v>
      </c>
      <c r="X5" s="1" t="n">
        <v>1987</v>
      </c>
      <c r="Y5" s="1" t="n">
        <v>6</v>
      </c>
      <c r="Z5" s="39" t="n">
        <v>36.4</v>
      </c>
      <c r="AA5" s="1" t="n">
        <v>1983</v>
      </c>
      <c r="AB5" s="1" t="n">
        <v>26</v>
      </c>
      <c r="AC5" s="39" t="n">
        <v>39</v>
      </c>
      <c r="AD5" s="1" t="n">
        <v>1983</v>
      </c>
      <c r="AE5" s="1" t="n">
        <v>15</v>
      </c>
      <c r="AF5" s="39" t="n">
        <v>34</v>
      </c>
      <c r="AG5" s="1" t="n">
        <v>1998</v>
      </c>
      <c r="AH5" s="1" t="n">
        <v>18</v>
      </c>
      <c r="AI5" s="39" t="n">
        <v>34</v>
      </c>
      <c r="AJ5" s="1" t="n">
        <v>1983</v>
      </c>
      <c r="AK5" s="1" t="n">
        <v>29</v>
      </c>
      <c r="AL5" s="39" t="n">
        <v>35.7</v>
      </c>
      <c r="AM5" s="1" t="n">
        <v>1995</v>
      </c>
      <c r="AN5" s="1" t="n">
        <v>18</v>
      </c>
      <c r="AO5" s="39" t="n">
        <v>34.4</v>
      </c>
      <c r="AP5" s="1" t="n">
        <v>1997</v>
      </c>
      <c r="AQ5" s="1" t="n">
        <v>8</v>
      </c>
      <c r="AS5" s="47" t="n">
        <v>4</v>
      </c>
      <c r="AT5" s="49" t="inlineStr">
        <is>
          <t>ABRIL</t>
        </is>
      </c>
      <c r="AU5" s="48" t="n">
        <v>30</v>
      </c>
    </row>
    <row r="6" ht="14.45" customHeight="1">
      <c r="A6" s="1" t="n">
        <v>11045010</v>
      </c>
      <c r="B6" s="1" t="inlineStr">
        <is>
          <t>AEROPUERTO EL CARAÑO [11045010]</t>
        </is>
      </c>
      <c r="C6" s="1" t="n">
        <v>5.690555556</v>
      </c>
      <c r="D6" s="1" t="n">
        <v>-76.64377777999999</v>
      </c>
      <c r="E6" s="1" t="n">
        <v>75</v>
      </c>
      <c r="F6" s="1" t="inlineStr">
        <is>
          <t>Quibdó</t>
        </is>
      </c>
      <c r="G6" s="1" t="inlineStr">
        <is>
          <t>Choco</t>
        </is>
      </c>
      <c r="H6" s="39" t="n">
        <v>33.8</v>
      </c>
      <c r="I6" s="1" t="n">
        <v>1998</v>
      </c>
      <c r="J6" s="1" t="n">
        <v>15</v>
      </c>
      <c r="K6" s="39" t="n">
        <v>35.6</v>
      </c>
      <c r="L6" s="1" t="n">
        <v>1998</v>
      </c>
      <c r="M6" s="1" t="n">
        <v>17</v>
      </c>
      <c r="N6" s="39" t="n">
        <v>35.4</v>
      </c>
      <c r="O6" s="1" t="n">
        <v>1983</v>
      </c>
      <c r="P6" s="1" t="n">
        <v>21</v>
      </c>
      <c r="Q6" s="39" t="n">
        <v>35</v>
      </c>
      <c r="R6" s="1" t="n">
        <v>1992</v>
      </c>
      <c r="S6" s="1" t="n">
        <v>20</v>
      </c>
      <c r="T6" s="39" t="n">
        <v>35.6</v>
      </c>
      <c r="U6" s="1" t="n">
        <v>2005</v>
      </c>
      <c r="V6" s="1" t="n">
        <v>20</v>
      </c>
      <c r="W6" s="39" t="n">
        <v>35.4</v>
      </c>
      <c r="X6" s="1" t="n">
        <v>2015</v>
      </c>
      <c r="Y6" s="1" t="n">
        <v>24</v>
      </c>
      <c r="Z6" s="39" t="n">
        <v>36.2</v>
      </c>
      <c r="AA6" s="1" t="n">
        <v>1997</v>
      </c>
      <c r="AB6" s="1" t="n">
        <v>24</v>
      </c>
      <c r="AC6" s="39" t="n">
        <v>35.2</v>
      </c>
      <c r="AD6" s="1" t="n">
        <v>1997</v>
      </c>
      <c r="AE6" s="1" t="n">
        <v>5</v>
      </c>
      <c r="AF6" s="39" t="n">
        <v>35.2</v>
      </c>
      <c r="AG6" s="1" t="n">
        <v>2006</v>
      </c>
      <c r="AH6" s="1" t="n">
        <v>27</v>
      </c>
      <c r="AI6" s="39" t="n">
        <v>34.2</v>
      </c>
      <c r="AJ6" s="1" t="n">
        <v>2005</v>
      </c>
      <c r="AK6" s="1" t="n">
        <v>5</v>
      </c>
      <c r="AL6" s="39" t="n">
        <v>34.2</v>
      </c>
      <c r="AM6" s="1" t="n">
        <v>2023</v>
      </c>
      <c r="AN6" s="1" t="n">
        <v>16</v>
      </c>
      <c r="AO6" s="39" t="n">
        <v>34</v>
      </c>
      <c r="AP6" s="1" t="n">
        <v>2023</v>
      </c>
      <c r="AQ6" s="1" t="n">
        <v>2</v>
      </c>
      <c r="AS6" s="47" t="n">
        <v>5</v>
      </c>
      <c r="AT6" s="49" t="inlineStr">
        <is>
          <t>MAYO</t>
        </is>
      </c>
      <c r="AU6" s="48" t="n">
        <v>31</v>
      </c>
    </row>
    <row r="7" ht="14.45" customHeight="1">
      <c r="A7" s="1" t="n">
        <v>11075020</v>
      </c>
      <c r="B7" s="1" t="inlineStr">
        <is>
          <t>URRAO [11075020]</t>
        </is>
      </c>
      <c r="C7" s="1" t="n">
        <v>6.298305556</v>
      </c>
      <c r="D7" s="1" t="n">
        <v>-76.143305556</v>
      </c>
      <c r="E7" s="1" t="n">
        <v>1833</v>
      </c>
      <c r="F7" s="1" t="inlineStr">
        <is>
          <t>Urrao</t>
        </is>
      </c>
      <c r="G7" s="1" t="inlineStr">
        <is>
          <t>Antioquia</t>
        </is>
      </c>
      <c r="H7" s="39" t="n">
        <v>28.4</v>
      </c>
      <c r="I7" s="1" t="n">
        <v>1998</v>
      </c>
      <c r="J7" s="1" t="n">
        <v>4</v>
      </c>
      <c r="K7" s="39" t="n">
        <v>30</v>
      </c>
      <c r="L7" s="1" t="n">
        <v>2024</v>
      </c>
      <c r="M7" s="1" t="n">
        <v>16</v>
      </c>
      <c r="N7" s="39" t="n">
        <v>29.2</v>
      </c>
      <c r="O7" s="1" t="n">
        <v>2025</v>
      </c>
      <c r="P7" s="1" t="n">
        <v>28</v>
      </c>
      <c r="Q7" s="39" t="n">
        <v>28.8</v>
      </c>
      <c r="R7" s="1" t="n">
        <v>2024</v>
      </c>
      <c r="S7" s="1" t="n">
        <v>13</v>
      </c>
      <c r="T7" s="39" t="n">
        <v>28.3</v>
      </c>
      <c r="U7" s="1" t="n">
        <v>2023</v>
      </c>
      <c r="V7" s="1" t="n">
        <v>27</v>
      </c>
      <c r="W7" s="39" t="n">
        <v>29</v>
      </c>
      <c r="X7" s="1" t="n">
        <v>2024</v>
      </c>
      <c r="Y7" s="1" t="n">
        <v>22</v>
      </c>
      <c r="Z7" s="39" t="n">
        <v>29</v>
      </c>
      <c r="AA7" s="1" t="n">
        <v>2023</v>
      </c>
      <c r="AB7" s="1" t="n">
        <v>20</v>
      </c>
      <c r="AC7" s="39" t="n">
        <v>28.3</v>
      </c>
      <c r="AD7" s="1" t="n">
        <v>2023</v>
      </c>
      <c r="AE7" s="1" t="n">
        <v>4</v>
      </c>
      <c r="AF7" s="39" t="n">
        <v>28.4</v>
      </c>
      <c r="AG7" s="1" t="n">
        <v>2023</v>
      </c>
      <c r="AH7" s="1" t="n">
        <v>1</v>
      </c>
      <c r="AI7" s="39" t="n">
        <v>27.5</v>
      </c>
      <c r="AJ7" s="1" t="n">
        <v>2024</v>
      </c>
      <c r="AK7" s="1" t="n">
        <v>20</v>
      </c>
      <c r="AL7" s="39" t="n">
        <v>28</v>
      </c>
      <c r="AM7" s="1" t="n">
        <v>2023</v>
      </c>
      <c r="AN7" s="1" t="n">
        <v>27</v>
      </c>
      <c r="AO7" s="39" t="n">
        <v>27.8</v>
      </c>
      <c r="AP7" s="1" t="n">
        <v>2024</v>
      </c>
      <c r="AQ7" s="1" t="n">
        <v>6</v>
      </c>
      <c r="AS7" s="47" t="n">
        <v>6</v>
      </c>
      <c r="AT7" s="49" t="inlineStr">
        <is>
          <t>JUNIO</t>
        </is>
      </c>
      <c r="AU7" s="48" t="n">
        <v>30</v>
      </c>
    </row>
    <row r="8" ht="14.45" customHeight="1">
      <c r="A8" s="1" t="n">
        <v>11115020</v>
      </c>
      <c r="B8" s="1" t="inlineStr">
        <is>
          <t>CAÑASGORDAS [11115020]</t>
        </is>
      </c>
      <c r="C8" s="1" t="n">
        <v>6.758027778</v>
      </c>
      <c r="D8" s="1" t="n">
        <v>-76.02966667</v>
      </c>
      <c r="E8" s="1" t="n">
        <v>1294</v>
      </c>
      <c r="F8" s="1" t="inlineStr">
        <is>
          <t>Cañasgordas</t>
        </is>
      </c>
      <c r="G8" s="1" t="inlineStr">
        <is>
          <t>Antioquia</t>
        </is>
      </c>
      <c r="H8" s="39" t="n">
        <v>34.6</v>
      </c>
      <c r="I8" s="1" t="n">
        <v>1998</v>
      </c>
      <c r="J8" s="1" t="n">
        <v>23</v>
      </c>
      <c r="K8" s="39" t="n">
        <v>34.2</v>
      </c>
      <c r="L8" s="1" t="n">
        <v>2010</v>
      </c>
      <c r="M8" s="1" t="n">
        <v>3</v>
      </c>
      <c r="N8" s="39" t="n">
        <v>34.4</v>
      </c>
      <c r="O8" s="1" t="n">
        <v>2004</v>
      </c>
      <c r="P8" s="1" t="n">
        <v>31</v>
      </c>
      <c r="Q8" s="39" t="n">
        <v>33.8</v>
      </c>
      <c r="R8" s="1" t="n">
        <v>2021</v>
      </c>
      <c r="S8" s="1" t="n">
        <v>12</v>
      </c>
      <c r="T8" s="39" t="n">
        <v>33.8</v>
      </c>
      <c r="U8" s="1" t="n">
        <v>2021</v>
      </c>
      <c r="V8" s="1" t="n">
        <v>8</v>
      </c>
      <c r="W8" s="39" t="n">
        <v>33</v>
      </c>
      <c r="X8" s="1" t="n">
        <v>2015</v>
      </c>
      <c r="Y8" s="1" t="n">
        <v>24</v>
      </c>
      <c r="Z8" s="39" t="n">
        <v>33</v>
      </c>
      <c r="AA8" s="1" t="n">
        <v>1997</v>
      </c>
      <c r="AB8" s="1" t="n">
        <v>24</v>
      </c>
      <c r="AC8" s="39" t="n">
        <v>33.4</v>
      </c>
      <c r="AD8" s="1" t="n">
        <v>2015</v>
      </c>
      <c r="AE8" s="1" t="n">
        <v>5</v>
      </c>
      <c r="AF8" s="39" t="n">
        <v>34.4</v>
      </c>
      <c r="AG8" s="1" t="n">
        <v>2013</v>
      </c>
      <c r="AH8" s="1" t="n">
        <v>21</v>
      </c>
      <c r="AI8" s="39" t="n">
        <v>32.6</v>
      </c>
      <c r="AJ8" s="1" t="n">
        <v>2017</v>
      </c>
      <c r="AK8" s="1" t="n">
        <v>17</v>
      </c>
      <c r="AL8" s="39" t="n">
        <v>32.4</v>
      </c>
      <c r="AM8" s="1" t="n">
        <v>2020</v>
      </c>
      <c r="AN8" s="1" t="n">
        <v>1</v>
      </c>
      <c r="AO8" s="39" t="n">
        <v>34</v>
      </c>
      <c r="AP8" s="1" t="n">
        <v>1997</v>
      </c>
      <c r="AQ8" s="1" t="n">
        <v>31</v>
      </c>
      <c r="AS8" s="47" t="n">
        <v>7</v>
      </c>
      <c r="AT8" s="49" t="inlineStr">
        <is>
          <t>JULIO</t>
        </is>
      </c>
      <c r="AU8" s="48" t="n">
        <v>31</v>
      </c>
    </row>
    <row r="9" ht="14.45" customHeight="1">
      <c r="A9" s="1" t="n">
        <v>11115040</v>
      </c>
      <c r="B9" s="1" t="inlineStr">
        <is>
          <t>MUSINGA AUT [11115040]</t>
        </is>
      </c>
      <c r="C9" s="1" t="n">
        <v>6.777972222</v>
      </c>
      <c r="D9" s="1" t="n">
        <v>-76.20333333000001</v>
      </c>
      <c r="E9" s="1" t="n">
        <v>1396</v>
      </c>
      <c r="F9" s="1" t="inlineStr">
        <is>
          <t>Frontino</t>
        </is>
      </c>
      <c r="G9" s="1" t="inlineStr">
        <is>
          <t>Antioquia</t>
        </is>
      </c>
      <c r="H9" s="39" t="n">
        <v>31.4</v>
      </c>
      <c r="I9" s="1" t="n">
        <v>2020</v>
      </c>
      <c r="J9" s="1" t="n">
        <v>18</v>
      </c>
      <c r="K9" s="39" t="n">
        <v>33.2</v>
      </c>
      <c r="L9" s="1" t="n">
        <v>1998</v>
      </c>
      <c r="M9" s="1" t="n">
        <v>17</v>
      </c>
      <c r="N9" s="39" t="n">
        <v>31.2</v>
      </c>
      <c r="O9" s="1" t="n">
        <v>2003</v>
      </c>
      <c r="P9" s="1" t="n">
        <v>5</v>
      </c>
      <c r="Q9" s="39" t="n">
        <v>32</v>
      </c>
      <c r="R9" s="1" t="n">
        <v>1992</v>
      </c>
      <c r="S9" s="1" t="n">
        <v>9</v>
      </c>
      <c r="T9" s="39" t="n">
        <v>31.4</v>
      </c>
      <c r="U9" s="1" t="n">
        <v>2005</v>
      </c>
      <c r="V9" s="1" t="n">
        <v>29</v>
      </c>
      <c r="W9" s="39" t="n">
        <v>32.2</v>
      </c>
      <c r="X9" s="1" t="n">
        <v>2015</v>
      </c>
      <c r="Y9" s="1" t="n">
        <v>24</v>
      </c>
      <c r="Z9" s="39" t="n">
        <v>32.2</v>
      </c>
      <c r="AA9" s="1" t="n">
        <v>2023</v>
      </c>
      <c r="AB9" s="1" t="n">
        <v>19</v>
      </c>
      <c r="AC9" s="39" t="n">
        <v>31.8</v>
      </c>
      <c r="AD9" s="1" t="n">
        <v>2002</v>
      </c>
      <c r="AE9" s="1" t="n">
        <v>17</v>
      </c>
      <c r="AF9" s="39" t="n">
        <v>31.4</v>
      </c>
      <c r="AG9" s="1" t="n">
        <v>2023</v>
      </c>
      <c r="AH9" s="1" t="n">
        <v>1</v>
      </c>
      <c r="AI9" s="39" t="n">
        <v>28.8</v>
      </c>
      <c r="AJ9" s="1" t="n">
        <v>2018</v>
      </c>
      <c r="AK9" s="1" t="n">
        <v>12</v>
      </c>
      <c r="AL9" s="39" t="n">
        <v>28.6</v>
      </c>
      <c r="AM9" s="1" t="n">
        <v>2024</v>
      </c>
      <c r="AN9" s="1" t="n">
        <v>17</v>
      </c>
      <c r="AO9" s="39" t="n">
        <v>30.6</v>
      </c>
      <c r="AP9" s="1" t="n">
        <v>1997</v>
      </c>
      <c r="AQ9" s="1" t="n">
        <v>7</v>
      </c>
      <c r="AS9" s="47" t="n">
        <v>8</v>
      </c>
      <c r="AT9" s="49" t="inlineStr">
        <is>
          <t>AGOSTO</t>
        </is>
      </c>
      <c r="AU9" s="48" t="n">
        <v>31</v>
      </c>
    </row>
    <row r="10" ht="14.45" customHeight="1">
      <c r="A10" s="1" t="n">
        <v>12015010</v>
      </c>
      <c r="B10" s="1" t="inlineStr">
        <is>
          <t>VILLARTEAGA [12015010]</t>
        </is>
      </c>
      <c r="C10" s="1" t="n">
        <v>7.334666667</v>
      </c>
      <c r="D10" s="1" t="n">
        <v>-76.48602778</v>
      </c>
      <c r="E10" s="1" t="n">
        <v>132</v>
      </c>
      <c r="F10" s="1" t="inlineStr">
        <is>
          <t>Mutatá</t>
        </is>
      </c>
      <c r="G10" s="1" t="inlineStr">
        <is>
          <t>Antioquia</t>
        </is>
      </c>
      <c r="H10" s="39" t="n">
        <v>34.6</v>
      </c>
      <c r="I10" s="1" t="n">
        <v>1978</v>
      </c>
      <c r="J10" s="1" t="n">
        <v>22</v>
      </c>
      <c r="K10" s="39" t="n">
        <v>39.2</v>
      </c>
      <c r="L10" s="1" t="n">
        <v>2012</v>
      </c>
      <c r="M10" s="1" t="n">
        <v>3</v>
      </c>
      <c r="N10" s="39" t="n">
        <v>36.6</v>
      </c>
      <c r="O10" s="1" t="n">
        <v>1997</v>
      </c>
      <c r="P10" s="1" t="n">
        <v>28</v>
      </c>
      <c r="Q10" s="39" t="n">
        <v>34.2</v>
      </c>
      <c r="R10" s="1" t="n">
        <v>1994</v>
      </c>
      <c r="S10" s="1" t="n">
        <v>7</v>
      </c>
      <c r="T10" s="39" t="n">
        <v>34.2</v>
      </c>
      <c r="U10" s="1" t="n">
        <v>1983</v>
      </c>
      <c r="V10" s="1" t="n">
        <v>26</v>
      </c>
      <c r="W10" s="39" t="n">
        <v>34</v>
      </c>
      <c r="X10" s="1" t="n">
        <v>2024</v>
      </c>
      <c r="Y10" s="1" t="n">
        <v>24</v>
      </c>
      <c r="Z10" s="39" t="n">
        <v>33.8</v>
      </c>
      <c r="AA10" s="1" t="n">
        <v>1991</v>
      </c>
      <c r="AB10" s="1" t="n">
        <v>1</v>
      </c>
      <c r="AC10" s="39" t="n">
        <v>34.4</v>
      </c>
      <c r="AD10" s="1" t="n">
        <v>2011</v>
      </c>
      <c r="AE10" s="1" t="n">
        <v>6</v>
      </c>
      <c r="AF10" s="39" t="n">
        <v>34</v>
      </c>
      <c r="AG10" s="1" t="n">
        <v>2011</v>
      </c>
      <c r="AH10" s="1" t="n">
        <v>13</v>
      </c>
      <c r="AI10" s="39" t="n">
        <v>35</v>
      </c>
      <c r="AJ10" s="1" t="n">
        <v>2021</v>
      </c>
      <c r="AK10" s="1" t="n">
        <v>30</v>
      </c>
      <c r="AL10" s="39" t="n">
        <v>32.6</v>
      </c>
      <c r="AM10" s="1" t="n">
        <v>2022</v>
      </c>
      <c r="AN10" s="1" t="n">
        <v>21</v>
      </c>
      <c r="AO10" s="39" t="n">
        <v>33.2</v>
      </c>
      <c r="AP10" s="1" t="n">
        <v>1991</v>
      </c>
      <c r="AQ10" s="1" t="n">
        <v>24</v>
      </c>
      <c r="AS10" s="47" t="n">
        <v>9</v>
      </c>
      <c r="AT10" s="49" t="inlineStr">
        <is>
          <t>SEPTIEMBRE</t>
        </is>
      </c>
      <c r="AU10" s="48" t="n">
        <v>30</v>
      </c>
    </row>
    <row r="11" ht="14.45" customHeight="1">
      <c r="A11" s="1" t="n">
        <v>12015020</v>
      </c>
      <c r="B11" s="1" t="inlineStr">
        <is>
          <t>UNIBAN [12015020]</t>
        </is>
      </c>
      <c r="C11" s="1" t="n">
        <v>7.825916667</v>
      </c>
      <c r="D11" s="1" t="n">
        <v>-76.65133333</v>
      </c>
      <c r="E11" s="1" t="n">
        <v>43</v>
      </c>
      <c r="F11" s="1" t="inlineStr">
        <is>
          <t>Apartadó</t>
        </is>
      </c>
      <c r="G11" s="1" t="inlineStr">
        <is>
          <t>Antioquia</t>
        </is>
      </c>
      <c r="H11" s="39" t="n">
        <v>35</v>
      </c>
      <c r="I11" s="1" t="n">
        <v>2016</v>
      </c>
      <c r="J11" s="1" t="n">
        <v>2</v>
      </c>
      <c r="K11" s="39" t="n">
        <v>35.9</v>
      </c>
      <c r="L11" s="1" t="n">
        <v>2017</v>
      </c>
      <c r="M11" s="1" t="n">
        <v>23</v>
      </c>
      <c r="N11" s="39" t="n">
        <v>36.2</v>
      </c>
      <c r="O11" s="1" t="n">
        <v>2003</v>
      </c>
      <c r="P11" s="1" t="n">
        <v>19</v>
      </c>
      <c r="Q11" s="39" t="n">
        <v>35.6</v>
      </c>
      <c r="R11" s="1" t="n">
        <v>2017</v>
      </c>
      <c r="S11" s="1" t="n">
        <v>23</v>
      </c>
      <c r="T11" s="39" t="n">
        <v>35.8</v>
      </c>
      <c r="U11" s="1" t="n">
        <v>2019</v>
      </c>
      <c r="V11" s="1" t="n">
        <v>29</v>
      </c>
      <c r="W11" s="39" t="n">
        <v>35.5</v>
      </c>
      <c r="X11" s="1" t="n">
        <v>2020</v>
      </c>
      <c r="Y11" s="1" t="n">
        <v>16</v>
      </c>
      <c r="Z11" s="39" t="n">
        <v>36</v>
      </c>
      <c r="AA11" s="1" t="n">
        <v>2021</v>
      </c>
      <c r="AB11" s="1" t="n">
        <v>9</v>
      </c>
      <c r="AC11" s="39" t="n">
        <v>37.4</v>
      </c>
      <c r="AD11" s="1" t="n">
        <v>2018</v>
      </c>
      <c r="AE11" s="1" t="n">
        <v>10</v>
      </c>
      <c r="AF11" s="39" t="n">
        <v>35.2</v>
      </c>
      <c r="AG11" s="1" t="n">
        <v>2016</v>
      </c>
      <c r="AH11" s="1" t="n">
        <v>4</v>
      </c>
      <c r="AI11" s="39" t="n">
        <v>36</v>
      </c>
      <c r="AJ11" s="1" t="n">
        <v>2021</v>
      </c>
      <c r="AK11" s="1" t="n">
        <v>13</v>
      </c>
      <c r="AL11" s="39" t="n">
        <v>36.6</v>
      </c>
      <c r="AM11" s="1" t="n">
        <v>2021</v>
      </c>
      <c r="AN11" s="1" t="n">
        <v>27</v>
      </c>
      <c r="AO11" s="39" t="n">
        <v>35</v>
      </c>
      <c r="AP11" s="1" t="n">
        <v>2008</v>
      </c>
      <c r="AQ11" s="1" t="n">
        <v>24</v>
      </c>
      <c r="AS11" s="47" t="n">
        <v>10</v>
      </c>
      <c r="AT11" s="49" t="inlineStr">
        <is>
          <t>OCTUBRE</t>
        </is>
      </c>
      <c r="AU11" s="48" t="n">
        <v>31</v>
      </c>
    </row>
    <row r="12" ht="14.45" customHeight="1">
      <c r="A12" s="1" t="n">
        <v>12015060</v>
      </c>
      <c r="B12" s="1" t="inlineStr">
        <is>
          <t>TULENAPA [12015060]</t>
        </is>
      </c>
      <c r="C12" s="1" t="n">
        <v>7.77</v>
      </c>
      <c r="D12" s="1" t="n">
        <v>-76.67</v>
      </c>
      <c r="E12" s="1" t="n">
        <v>39</v>
      </c>
      <c r="F12" s="1" t="inlineStr">
        <is>
          <t>Carepa</t>
        </is>
      </c>
      <c r="G12" s="1" t="inlineStr">
        <is>
          <t>Antioquia</t>
        </is>
      </c>
      <c r="H12" s="39" t="n">
        <v>33.2</v>
      </c>
      <c r="I12" s="1" t="n">
        <v>2010</v>
      </c>
      <c r="J12" s="1" t="n">
        <v>12</v>
      </c>
      <c r="K12" s="39" t="n">
        <v>35.4</v>
      </c>
      <c r="L12" s="1" t="n">
        <v>1998</v>
      </c>
      <c r="M12" s="1" t="n">
        <v>27</v>
      </c>
      <c r="N12" s="39" t="n">
        <v>36.4</v>
      </c>
      <c r="O12" s="1" t="n">
        <v>1983</v>
      </c>
      <c r="P12" s="1" t="n">
        <v>18</v>
      </c>
      <c r="Q12" s="39" t="n">
        <v>35.4</v>
      </c>
      <c r="R12" s="1" t="n">
        <v>1983</v>
      </c>
      <c r="S12" s="1" t="n">
        <v>13</v>
      </c>
      <c r="T12" s="39" t="n">
        <v>34.8</v>
      </c>
      <c r="U12" s="1" t="n">
        <v>2013</v>
      </c>
      <c r="V12" s="1" t="n">
        <v>3</v>
      </c>
      <c r="W12" s="39" t="n">
        <v>34.8</v>
      </c>
      <c r="X12" s="1" t="n">
        <v>1984</v>
      </c>
      <c r="Y12" s="1" t="n">
        <v>21</v>
      </c>
      <c r="Z12" s="39" t="n">
        <v>34.8</v>
      </c>
      <c r="AA12" s="1" t="n">
        <v>1995</v>
      </c>
      <c r="AB12" s="1" t="n">
        <v>11</v>
      </c>
      <c r="AC12" s="39" t="n">
        <v>34.4</v>
      </c>
      <c r="AD12" s="1" t="n">
        <v>2011</v>
      </c>
      <c r="AE12" s="1" t="n">
        <v>29</v>
      </c>
      <c r="AF12" s="39" t="n">
        <v>34.6</v>
      </c>
      <c r="AG12" s="1" t="n">
        <v>1982</v>
      </c>
      <c r="AH12" s="1" t="n">
        <v>5</v>
      </c>
      <c r="AI12" s="39" t="n">
        <v>34.6</v>
      </c>
      <c r="AJ12" s="1" t="n">
        <v>1982</v>
      </c>
      <c r="AK12" s="1" t="n">
        <v>18</v>
      </c>
      <c r="AL12" s="39" t="n">
        <v>33.4</v>
      </c>
      <c r="AM12" s="1" t="n">
        <v>1997</v>
      </c>
      <c r="AN12" s="1" t="n">
        <v>27</v>
      </c>
      <c r="AO12" s="39" t="n">
        <v>35.4</v>
      </c>
      <c r="AP12" s="1" t="n">
        <v>1982</v>
      </c>
      <c r="AQ12" s="1" t="n">
        <v>8</v>
      </c>
      <c r="AS12" s="47" t="n">
        <v>11</v>
      </c>
      <c r="AT12" s="49" t="inlineStr">
        <is>
          <t>NOVIEMBRE</t>
        </is>
      </c>
      <c r="AU12" s="48" t="n">
        <v>30</v>
      </c>
    </row>
    <row r="13" ht="14.45" customHeight="1">
      <c r="A13" s="1" t="n">
        <v>12015070</v>
      </c>
      <c r="B13" s="1" t="inlineStr">
        <is>
          <t>AEROPUERTO LOS CEDROS [12015070]</t>
        </is>
      </c>
      <c r="C13" s="1" t="n">
        <v>7.816388889</v>
      </c>
      <c r="D13" s="1" t="n">
        <v>-76.71788889</v>
      </c>
      <c r="E13" s="1" t="n">
        <v>41</v>
      </c>
      <c r="F13" s="1" t="inlineStr">
        <is>
          <t>Carepa</t>
        </is>
      </c>
      <c r="G13" s="1" t="inlineStr">
        <is>
          <t>Antioquia</t>
        </is>
      </c>
      <c r="H13" s="39" t="n">
        <v>34.6</v>
      </c>
      <c r="I13" s="1" t="n">
        <v>2016</v>
      </c>
      <c r="J13" s="1" t="n">
        <v>3</v>
      </c>
      <c r="K13" s="39" t="n">
        <v>36.1</v>
      </c>
      <c r="L13" s="1" t="n">
        <v>2016</v>
      </c>
      <c r="M13" s="1" t="n">
        <v>22</v>
      </c>
      <c r="N13" s="39" t="n">
        <v>36.5</v>
      </c>
      <c r="O13" s="1" t="n">
        <v>2003</v>
      </c>
      <c r="P13" s="1" t="n">
        <v>19</v>
      </c>
      <c r="Q13" s="39" t="n">
        <v>35.9</v>
      </c>
      <c r="R13" s="1" t="n">
        <v>2016</v>
      </c>
      <c r="S13" s="1" t="n">
        <v>2</v>
      </c>
      <c r="T13" s="39" t="n">
        <v>35.4</v>
      </c>
      <c r="U13" s="1" t="n">
        <v>2013</v>
      </c>
      <c r="V13" s="1" t="n">
        <v>3</v>
      </c>
      <c r="W13" s="39" t="n">
        <v>35.2</v>
      </c>
      <c r="X13" s="1" t="n">
        <v>2013</v>
      </c>
      <c r="Y13" s="1" t="n">
        <v>4</v>
      </c>
      <c r="Z13" s="39" t="n">
        <v>36</v>
      </c>
      <c r="AA13" s="1" t="n">
        <v>2013</v>
      </c>
      <c r="AB13" s="1" t="n">
        <v>6</v>
      </c>
      <c r="AC13" s="39" t="n">
        <v>35</v>
      </c>
      <c r="AD13" s="1" t="n">
        <v>2010</v>
      </c>
      <c r="AE13" s="1" t="n">
        <v>4</v>
      </c>
      <c r="AF13" s="39" t="n">
        <v>35.4</v>
      </c>
      <c r="AG13" s="1" t="n">
        <v>2006</v>
      </c>
      <c r="AH13" s="1" t="n">
        <v>27</v>
      </c>
      <c r="AI13" s="39" t="n">
        <v>35.4</v>
      </c>
      <c r="AJ13" s="1" t="n">
        <v>2016</v>
      </c>
      <c r="AK13" s="1" t="n">
        <v>4</v>
      </c>
      <c r="AL13" s="39" t="n">
        <v>35</v>
      </c>
      <c r="AM13" s="1" t="n">
        <v>2016</v>
      </c>
      <c r="AN13" s="1" t="n">
        <v>3</v>
      </c>
      <c r="AO13" s="39" t="n">
        <v>33.8</v>
      </c>
      <c r="AP13" s="1" t="n">
        <v>2009</v>
      </c>
      <c r="AQ13" s="1" t="n">
        <v>3</v>
      </c>
      <c r="AS13" s="47" t="n">
        <v>12</v>
      </c>
      <c r="AT13" s="49" t="inlineStr">
        <is>
          <t>DICIEMBRE</t>
        </is>
      </c>
      <c r="AU13" s="48" t="n">
        <v>31</v>
      </c>
    </row>
    <row r="14" ht="14.45" customHeight="1">
      <c r="A14" s="1" t="n">
        <v>12025030</v>
      </c>
      <c r="B14" s="1" t="inlineStr">
        <is>
          <t>EL MELLITO [12025030]</t>
        </is>
      </c>
      <c r="C14" s="1" t="n">
        <v>8.542666667000001</v>
      </c>
      <c r="D14" s="1" t="n">
        <v>-76.67336111</v>
      </c>
      <c r="E14" s="1" t="n">
        <v>54</v>
      </c>
      <c r="F14" s="1" t="inlineStr">
        <is>
          <t>Necoclí</t>
        </is>
      </c>
      <c r="G14" s="1" t="inlineStr">
        <is>
          <t>Antioquia</t>
        </is>
      </c>
      <c r="H14" s="39" t="n">
        <v>33.6</v>
      </c>
      <c r="I14" s="1" t="n">
        <v>2021</v>
      </c>
      <c r="J14" s="1" t="n">
        <v>29</v>
      </c>
      <c r="K14" s="39" t="n">
        <v>35.8</v>
      </c>
      <c r="L14" s="1" t="n">
        <v>2021</v>
      </c>
      <c r="M14" s="1" t="n">
        <v>17</v>
      </c>
      <c r="N14" s="39" t="n">
        <v>35.2</v>
      </c>
      <c r="O14" s="1" t="n">
        <v>2021</v>
      </c>
      <c r="P14" s="1" t="n">
        <v>2</v>
      </c>
      <c r="Q14" s="39" t="n">
        <v>34.6</v>
      </c>
      <c r="R14" s="1" t="n">
        <v>1998</v>
      </c>
      <c r="S14" s="1" t="n">
        <v>8</v>
      </c>
      <c r="T14" s="39" t="n">
        <v>36</v>
      </c>
      <c r="U14" s="1" t="n">
        <v>1999</v>
      </c>
      <c r="V14" s="1" t="n">
        <v>22</v>
      </c>
      <c r="W14" s="39" t="n">
        <v>35.2</v>
      </c>
      <c r="X14" s="1" t="n">
        <v>2015</v>
      </c>
      <c r="Y14" s="1" t="n">
        <v>16</v>
      </c>
      <c r="Z14" s="39" t="n">
        <v>35</v>
      </c>
      <c r="AA14" s="1" t="n">
        <v>2015</v>
      </c>
      <c r="AB14" s="1" t="n">
        <v>3</v>
      </c>
      <c r="AC14" s="39" t="n">
        <v>33.6</v>
      </c>
      <c r="AD14" s="1" t="n">
        <v>2002</v>
      </c>
      <c r="AE14" s="1" t="n">
        <v>23</v>
      </c>
      <c r="AF14" s="39" t="n">
        <v>34.3</v>
      </c>
      <c r="AG14" s="1" t="n">
        <v>2012</v>
      </c>
      <c r="AH14" s="1" t="n">
        <v>28</v>
      </c>
      <c r="AI14" s="39" t="n">
        <v>35.4</v>
      </c>
      <c r="AJ14" s="1" t="n">
        <v>2021</v>
      </c>
      <c r="AK14" s="1" t="n">
        <v>19</v>
      </c>
      <c r="AL14" s="39" t="n">
        <v>35</v>
      </c>
      <c r="AM14" s="1" t="n">
        <v>2003</v>
      </c>
      <c r="AN14" s="1" t="n">
        <v>3</v>
      </c>
      <c r="AO14" s="39" t="n">
        <v>35.2</v>
      </c>
      <c r="AP14" s="1" t="n">
        <v>2020</v>
      </c>
      <c r="AQ14" s="1" t="n">
        <v>7</v>
      </c>
    </row>
    <row r="15" ht="14.45" customHeight="1">
      <c r="A15" s="1" t="n">
        <v>12025040</v>
      </c>
      <c r="B15" s="1" t="inlineStr">
        <is>
          <t>TURBO [12025040]</t>
        </is>
      </c>
      <c r="C15" s="1" t="n">
        <v>8.091805556000001</v>
      </c>
      <c r="D15" s="1" t="n">
        <v>-76.71633333</v>
      </c>
      <c r="E15" s="1" t="n">
        <v>37</v>
      </c>
      <c r="F15" s="1" t="inlineStr">
        <is>
          <t>Turbo</t>
        </is>
      </c>
      <c r="G15" s="1" t="inlineStr">
        <is>
          <t>Antioquia</t>
        </is>
      </c>
      <c r="H15" s="39" t="n">
        <v>33.6</v>
      </c>
      <c r="I15" s="1" t="n">
        <v>2010</v>
      </c>
      <c r="J15" s="1" t="n">
        <v>1</v>
      </c>
      <c r="K15" s="39" t="n">
        <v>35</v>
      </c>
      <c r="L15" s="1" t="n">
        <v>1998</v>
      </c>
      <c r="M15" s="1" t="n">
        <v>3</v>
      </c>
      <c r="N15" s="39" t="n">
        <v>36</v>
      </c>
      <c r="O15" s="1" t="n">
        <v>2003</v>
      </c>
      <c r="P15" s="1" t="n">
        <v>19</v>
      </c>
      <c r="Q15" s="39" t="n">
        <v>34.6</v>
      </c>
      <c r="R15" s="1" t="n">
        <v>2007</v>
      </c>
      <c r="S15" s="1" t="n">
        <v>11</v>
      </c>
      <c r="T15" s="39" t="n">
        <v>35.2</v>
      </c>
      <c r="U15" s="1" t="n">
        <v>1998</v>
      </c>
      <c r="V15" s="1" t="n">
        <v>24</v>
      </c>
      <c r="W15" s="39" t="n">
        <v>34.6</v>
      </c>
      <c r="X15" s="1" t="n">
        <v>2005</v>
      </c>
      <c r="Y15" s="1" t="n">
        <v>11</v>
      </c>
      <c r="Z15" s="39" t="n">
        <v>34.2</v>
      </c>
      <c r="AA15" s="1" t="n">
        <v>1998</v>
      </c>
      <c r="AB15" s="1" t="n">
        <v>21</v>
      </c>
      <c r="AC15" s="39" t="n">
        <v>34.6</v>
      </c>
      <c r="AD15" s="1" t="n">
        <v>1993</v>
      </c>
      <c r="AE15" s="1" t="n">
        <v>18</v>
      </c>
      <c r="AF15" s="39" t="n">
        <v>34.4</v>
      </c>
      <c r="AG15" s="1" t="n">
        <v>2000</v>
      </c>
      <c r="AH15" s="1" t="n">
        <v>20</v>
      </c>
      <c r="AI15" s="39" t="n">
        <v>35.6</v>
      </c>
      <c r="AJ15" s="1" t="n">
        <v>2004</v>
      </c>
      <c r="AK15" s="1" t="n">
        <v>10</v>
      </c>
      <c r="AL15" s="39" t="n">
        <v>34.4</v>
      </c>
      <c r="AM15" s="1" t="n">
        <v>2000</v>
      </c>
      <c r="AN15" s="1" t="n">
        <v>3</v>
      </c>
      <c r="AO15" s="39" t="n">
        <v>34.2</v>
      </c>
      <c r="AP15" s="1" t="n">
        <v>2000</v>
      </c>
      <c r="AQ15" s="1" t="n">
        <v>1</v>
      </c>
    </row>
    <row r="16" ht="14.45" customHeight="1">
      <c r="A16" s="1" t="n">
        <v>12045010</v>
      </c>
      <c r="B16" s="1" t="inlineStr">
        <is>
          <t>ARBOLETES [12045010]</t>
        </is>
      </c>
      <c r="C16" s="1" t="n">
        <v>8.846944444</v>
      </c>
      <c r="D16" s="1" t="n">
        <v>-76.43194444</v>
      </c>
      <c r="E16" s="1" t="n">
        <v>4</v>
      </c>
      <c r="F16" s="1" t="inlineStr">
        <is>
          <t>Arboletes</t>
        </is>
      </c>
      <c r="G16" s="1" t="inlineStr">
        <is>
          <t>Antioquia</t>
        </is>
      </c>
      <c r="H16" s="39" t="n">
        <v>37</v>
      </c>
      <c r="I16" s="1" t="n">
        <v>1994</v>
      </c>
      <c r="J16" s="1" t="n">
        <v>23</v>
      </c>
      <c r="K16" s="39" t="n">
        <v>35.6</v>
      </c>
      <c r="L16" s="1" t="n">
        <v>2007</v>
      </c>
      <c r="M16" s="1" t="n">
        <v>2</v>
      </c>
      <c r="N16" s="39" t="n">
        <v>39.4</v>
      </c>
      <c r="O16" s="1" t="n">
        <v>1993</v>
      </c>
      <c r="P16" s="1" t="n">
        <v>27</v>
      </c>
      <c r="Q16" s="39" t="n">
        <v>35</v>
      </c>
      <c r="R16" s="1" t="n">
        <v>2005</v>
      </c>
      <c r="S16" s="1" t="n">
        <v>4</v>
      </c>
      <c r="T16" s="39" t="n">
        <v>39.4</v>
      </c>
      <c r="U16" s="1" t="n">
        <v>1991</v>
      </c>
      <c r="V16" s="1" t="n">
        <v>3</v>
      </c>
      <c r="W16" s="39" t="n">
        <v>36.4</v>
      </c>
      <c r="X16" s="1" t="n">
        <v>2005</v>
      </c>
      <c r="Y16" s="1" t="n">
        <v>22</v>
      </c>
      <c r="Z16" s="39" t="n">
        <v>36</v>
      </c>
      <c r="AA16" s="1" t="n">
        <v>1991</v>
      </c>
      <c r="AB16" s="1" t="n">
        <v>18</v>
      </c>
      <c r="AC16" s="39" t="n">
        <v>39.4</v>
      </c>
      <c r="AD16" s="1" t="n">
        <v>1992</v>
      </c>
      <c r="AE16" s="1" t="n">
        <v>11</v>
      </c>
      <c r="AF16" s="39" t="n">
        <v>38</v>
      </c>
      <c r="AG16" s="1" t="n">
        <v>1990</v>
      </c>
      <c r="AH16" s="1" t="n">
        <v>24</v>
      </c>
      <c r="AI16" s="39" t="n">
        <v>34.4</v>
      </c>
      <c r="AJ16" s="1" t="n">
        <v>2005</v>
      </c>
      <c r="AK16" s="1" t="n">
        <v>15</v>
      </c>
      <c r="AL16" s="39" t="n">
        <v>37.8</v>
      </c>
      <c r="AM16" s="1" t="n">
        <v>1992</v>
      </c>
      <c r="AN16" s="1" t="n">
        <v>11</v>
      </c>
      <c r="AO16" s="39" t="n">
        <v>36</v>
      </c>
      <c r="AP16" s="1" t="n">
        <v>1990</v>
      </c>
      <c r="AQ16" s="1" t="n">
        <v>1</v>
      </c>
    </row>
    <row r="17" ht="14.45" customHeight="1">
      <c r="A17" s="1" t="n">
        <v>13015040</v>
      </c>
      <c r="B17" s="1" t="inlineStr">
        <is>
          <t>REPRESA URRA [13015040]</t>
        </is>
      </c>
      <c r="C17" s="1" t="n">
        <v>8.014166667</v>
      </c>
      <c r="D17" s="1" t="n">
        <v>-76.20305556</v>
      </c>
      <c r="E17" s="1" t="n">
        <v>300</v>
      </c>
      <c r="F17" s="1" t="inlineStr">
        <is>
          <t>Tierralta</t>
        </is>
      </c>
      <c r="G17" s="1" t="inlineStr">
        <is>
          <t>Cordoba</t>
        </is>
      </c>
      <c r="H17" s="39" t="n">
        <v>36</v>
      </c>
      <c r="I17" s="1" t="n">
        <v>2010</v>
      </c>
      <c r="J17" s="1" t="n">
        <v>16</v>
      </c>
      <c r="K17" s="39" t="n">
        <v>36.2</v>
      </c>
      <c r="L17" s="1" t="n">
        <v>2007</v>
      </c>
      <c r="M17" s="1" t="n">
        <v>27</v>
      </c>
      <c r="N17" s="39" t="n">
        <v>37.2</v>
      </c>
      <c r="O17" s="1" t="n">
        <v>2006</v>
      </c>
      <c r="P17" s="1" t="n">
        <v>5</v>
      </c>
      <c r="Q17" s="39" t="n">
        <v>37.2</v>
      </c>
      <c r="R17" s="1" t="n">
        <v>2016</v>
      </c>
      <c r="S17" s="1" t="n">
        <v>3</v>
      </c>
      <c r="T17" s="39" t="n">
        <v>37.4</v>
      </c>
      <c r="U17" s="1" t="n">
        <v>2012</v>
      </c>
      <c r="V17" s="1" t="n">
        <v>12</v>
      </c>
      <c r="W17" s="39" t="n">
        <v>35.8</v>
      </c>
      <c r="X17" s="1" t="n">
        <v>2013</v>
      </c>
      <c r="Y17" s="1" t="n">
        <v>25</v>
      </c>
      <c r="Z17" s="39" t="n">
        <v>35.4</v>
      </c>
      <c r="AA17" s="1" t="n">
        <v>2015</v>
      </c>
      <c r="AB17" s="1" t="n">
        <v>2</v>
      </c>
      <c r="AC17" s="39" t="n">
        <v>35.5</v>
      </c>
      <c r="AD17" s="1" t="n">
        <v>2008</v>
      </c>
      <c r="AE17" s="1" t="n">
        <v>6</v>
      </c>
      <c r="AF17" s="39" t="n">
        <v>35</v>
      </c>
      <c r="AG17" s="1" t="n">
        <v>2009</v>
      </c>
      <c r="AH17" s="1" t="n">
        <v>6</v>
      </c>
      <c r="AI17" s="39" t="n">
        <v>34.4</v>
      </c>
      <c r="AJ17" s="1" t="n">
        <v>2009</v>
      </c>
      <c r="AK17" s="1" t="n">
        <v>21</v>
      </c>
      <c r="AL17" s="39" t="n">
        <v>35.8</v>
      </c>
      <c r="AM17" s="1" t="n">
        <v>2020</v>
      </c>
      <c r="AN17" s="1" t="n">
        <v>11</v>
      </c>
      <c r="AO17" s="39" t="n">
        <v>35.6</v>
      </c>
      <c r="AP17" s="1" t="n">
        <v>2009</v>
      </c>
      <c r="AQ17" s="1" t="n">
        <v>11</v>
      </c>
    </row>
    <row r="18" ht="14.45" customHeight="1">
      <c r="A18" s="1" t="n">
        <v>13035501</v>
      </c>
      <c r="B18" s="1" t="inlineStr">
        <is>
          <t>AEROPUERTO LOS GARZONES [13035501]</t>
        </is>
      </c>
      <c r="C18" s="1" t="n">
        <v>8.825833333</v>
      </c>
      <c r="D18" s="1" t="n">
        <v>-75.82513889000001</v>
      </c>
      <c r="E18" s="1" t="n">
        <v>20</v>
      </c>
      <c r="F18" s="1" t="inlineStr">
        <is>
          <t>Montería</t>
        </is>
      </c>
      <c r="G18" s="1" t="inlineStr">
        <is>
          <t>Cordoba</t>
        </is>
      </c>
      <c r="H18" s="39" t="n">
        <v>37.8</v>
      </c>
      <c r="I18" s="1" t="n">
        <v>2019</v>
      </c>
      <c r="J18" s="1" t="n">
        <v>23</v>
      </c>
      <c r="K18" s="39" t="n">
        <v>41.2</v>
      </c>
      <c r="L18" s="1" t="n">
        <v>1998</v>
      </c>
      <c r="M18" s="1" t="n">
        <v>16</v>
      </c>
      <c r="N18" s="39" t="n">
        <v>38.6</v>
      </c>
      <c r="O18" s="1" t="n">
        <v>2015</v>
      </c>
      <c r="P18" s="1" t="n">
        <v>8</v>
      </c>
      <c r="Q18" s="39" t="n">
        <v>38.8</v>
      </c>
      <c r="R18" s="1" t="n">
        <v>1998</v>
      </c>
      <c r="S18" s="1" t="n">
        <v>9</v>
      </c>
      <c r="T18" s="39" t="n">
        <v>38.6</v>
      </c>
      <c r="U18" s="1" t="n">
        <v>2015</v>
      </c>
      <c r="V18" s="1" t="n">
        <v>12</v>
      </c>
      <c r="W18" s="39" t="n">
        <v>38.8</v>
      </c>
      <c r="X18" s="1" t="n">
        <v>2015</v>
      </c>
      <c r="Y18" s="1" t="n">
        <v>24</v>
      </c>
      <c r="Z18" s="39" t="n">
        <v>38.4</v>
      </c>
      <c r="AA18" s="1" t="n">
        <v>2015</v>
      </c>
      <c r="AB18" s="1" t="n">
        <v>3</v>
      </c>
      <c r="AC18" s="39" t="n">
        <v>36.9</v>
      </c>
      <c r="AD18" s="1" t="n">
        <v>2023</v>
      </c>
      <c r="AE18" s="1" t="n">
        <v>8</v>
      </c>
      <c r="AF18" s="39" t="n">
        <v>37.5</v>
      </c>
      <c r="AG18" s="1" t="n">
        <v>2024</v>
      </c>
      <c r="AH18" s="1" t="n">
        <v>15</v>
      </c>
      <c r="AI18" s="39" t="n">
        <v>36.5</v>
      </c>
      <c r="AJ18" s="1" t="n">
        <v>2024</v>
      </c>
      <c r="AK18" s="1" t="n">
        <v>27</v>
      </c>
      <c r="AL18" s="39" t="n">
        <v>36.8</v>
      </c>
      <c r="AM18" s="1" t="n">
        <v>2019</v>
      </c>
      <c r="AN18" s="1" t="n">
        <v>27</v>
      </c>
      <c r="AO18" s="39" t="n">
        <v>36.8</v>
      </c>
      <c r="AP18" s="1" t="n">
        <v>2020</v>
      </c>
      <c r="AQ18" s="1" t="n">
        <v>23</v>
      </c>
    </row>
    <row r="19" ht="14.45" customHeight="1">
      <c r="A19" s="1" t="n">
        <v>13065020</v>
      </c>
      <c r="B19" s="1" t="inlineStr">
        <is>
          <t>MARACAYO [13065020]</t>
        </is>
      </c>
      <c r="C19" s="1" t="n">
        <v>8.41</v>
      </c>
      <c r="D19" s="1" t="n">
        <v>-75.88</v>
      </c>
      <c r="E19" s="1" t="n">
        <v>25</v>
      </c>
      <c r="F19" s="1" t="inlineStr">
        <is>
          <t>Montería</t>
        </is>
      </c>
      <c r="G19" s="1" t="inlineStr">
        <is>
          <t>Cordoba</t>
        </is>
      </c>
      <c r="H19" s="39" t="n">
        <v>37.8</v>
      </c>
      <c r="I19" s="1" t="n">
        <v>2015</v>
      </c>
      <c r="J19" s="1" t="n">
        <v>26</v>
      </c>
      <c r="K19" s="39" t="n">
        <v>38.8</v>
      </c>
      <c r="L19" s="1" t="n">
        <v>2010</v>
      </c>
      <c r="M19" s="1" t="n">
        <v>10</v>
      </c>
      <c r="N19" s="39" t="n">
        <v>38.6</v>
      </c>
      <c r="O19" s="1" t="n">
        <v>2012</v>
      </c>
      <c r="P19" s="1" t="n">
        <v>12</v>
      </c>
      <c r="Q19" s="39" t="n">
        <v>37.8</v>
      </c>
      <c r="R19" s="1" t="n">
        <v>2015</v>
      </c>
      <c r="S19" s="1" t="n">
        <v>28</v>
      </c>
      <c r="T19" s="39" t="n">
        <v>37.8</v>
      </c>
      <c r="U19" s="1" t="n">
        <v>2015</v>
      </c>
      <c r="V19" s="1" t="n">
        <v>11</v>
      </c>
      <c r="W19" s="39" t="n">
        <v>37.8</v>
      </c>
      <c r="X19" s="1" t="n">
        <v>1988</v>
      </c>
      <c r="Y19" s="1" t="n">
        <v>7</v>
      </c>
      <c r="Z19" s="39" t="n">
        <v>37.8</v>
      </c>
      <c r="AA19" s="1" t="n">
        <v>2014</v>
      </c>
      <c r="AB19" s="1" t="n">
        <v>12</v>
      </c>
      <c r="AC19" s="39" t="n">
        <v>37.8</v>
      </c>
      <c r="AD19" s="1" t="n">
        <v>2018</v>
      </c>
      <c r="AE19" s="1" t="n">
        <v>5</v>
      </c>
      <c r="AF19" s="39" t="n">
        <v>37.8</v>
      </c>
      <c r="AG19" s="1" t="n">
        <v>2009</v>
      </c>
      <c r="AH19" s="1" t="n">
        <v>6</v>
      </c>
      <c r="AI19" s="39" t="n">
        <v>37.6</v>
      </c>
      <c r="AJ19" s="1" t="n">
        <v>2014</v>
      </c>
      <c r="AK19" s="1" t="n">
        <v>5</v>
      </c>
      <c r="AL19" s="39" t="n">
        <v>37.6</v>
      </c>
      <c r="AM19" s="1" t="n">
        <v>2013</v>
      </c>
      <c r="AN19" s="1" t="n">
        <v>24</v>
      </c>
      <c r="AO19" s="39" t="n">
        <v>37.6</v>
      </c>
      <c r="AP19" s="1" t="n">
        <v>2014</v>
      </c>
      <c r="AQ19" s="1" t="n">
        <v>21</v>
      </c>
    </row>
    <row r="20" ht="14.45" customHeight="1">
      <c r="A20" s="1" t="n">
        <v>13075010</v>
      </c>
      <c r="B20" s="1" t="inlineStr">
        <is>
          <t>CHIMA [13075010]</t>
        </is>
      </c>
      <c r="C20" s="1" t="n">
        <v>9.15075</v>
      </c>
      <c r="D20" s="1" t="n">
        <v>-75.62208333</v>
      </c>
      <c r="E20" s="1" t="n">
        <v>20</v>
      </c>
      <c r="F20" s="104" t="inlineStr">
        <is>
          <t>Chima</t>
        </is>
      </c>
      <c r="G20" s="1" t="inlineStr">
        <is>
          <t>Cordoba</t>
        </is>
      </c>
      <c r="H20" s="39" t="n">
        <v>37.6</v>
      </c>
      <c r="I20" s="1" t="n">
        <v>2013</v>
      </c>
      <c r="J20" s="1" t="n">
        <v>9</v>
      </c>
      <c r="K20" s="39" t="n">
        <v>38.8</v>
      </c>
      <c r="L20" s="1" t="n">
        <v>2024</v>
      </c>
      <c r="M20" s="1" t="n">
        <v>29</v>
      </c>
      <c r="N20" s="39" t="n">
        <v>39.6</v>
      </c>
      <c r="O20" s="1" t="n">
        <v>2016</v>
      </c>
      <c r="P20" s="1" t="n">
        <v>23</v>
      </c>
      <c r="Q20" s="39" t="n">
        <v>38.8</v>
      </c>
      <c r="R20" s="1" t="n">
        <v>2024</v>
      </c>
      <c r="S20" s="1" t="n">
        <v>13</v>
      </c>
      <c r="T20" s="39" t="n">
        <v>38.3</v>
      </c>
      <c r="U20" s="1" t="n">
        <v>2023</v>
      </c>
      <c r="V20" s="1" t="n">
        <v>13</v>
      </c>
      <c r="W20" s="39" t="n">
        <v>38.8</v>
      </c>
      <c r="X20" s="1" t="n">
        <v>2015</v>
      </c>
      <c r="Y20" s="1" t="n">
        <v>25</v>
      </c>
      <c r="Z20" s="39" t="n">
        <v>39.6</v>
      </c>
      <c r="AA20" s="1" t="n">
        <v>2015</v>
      </c>
      <c r="AB20" s="1" t="n">
        <v>4</v>
      </c>
      <c r="AC20" s="39" t="n">
        <v>38.6</v>
      </c>
      <c r="AD20" s="1" t="n">
        <v>2019</v>
      </c>
      <c r="AE20" s="1" t="n">
        <v>9</v>
      </c>
      <c r="AF20" s="39" t="n">
        <v>37.2</v>
      </c>
      <c r="AG20" s="1" t="n">
        <v>1979</v>
      </c>
      <c r="AH20" s="1" t="n">
        <v>12</v>
      </c>
      <c r="AI20" s="39" t="n">
        <v>35.8</v>
      </c>
      <c r="AJ20" s="1" t="n">
        <v>2021</v>
      </c>
      <c r="AK20" s="1" t="n">
        <v>15</v>
      </c>
      <c r="AL20" s="39" t="n">
        <v>38.8</v>
      </c>
      <c r="AM20" s="1" t="n">
        <v>2023</v>
      </c>
      <c r="AN20" s="1" t="n">
        <v>10</v>
      </c>
      <c r="AO20" s="39" t="n">
        <v>37.2</v>
      </c>
      <c r="AP20" s="1" t="n">
        <v>2023</v>
      </c>
      <c r="AQ20" s="1" t="n">
        <v>9</v>
      </c>
    </row>
    <row r="21" ht="14.45" customHeight="1">
      <c r="A21" s="1" t="n">
        <v>13075020</v>
      </c>
      <c r="B21" s="1" t="inlineStr">
        <is>
          <t>SALADO EL [13075020]</t>
        </is>
      </c>
      <c r="C21" s="1" t="n">
        <v>8.913888889000001</v>
      </c>
      <c r="D21" s="1" t="n">
        <v>-75.58222222000001</v>
      </c>
      <c r="E21" s="1" t="n">
        <v>40</v>
      </c>
      <c r="F21" s="1" t="inlineStr">
        <is>
          <t>Ciénaga De Oro</t>
        </is>
      </c>
      <c r="G21" s="1" t="inlineStr">
        <is>
          <t>Cordoba</t>
        </is>
      </c>
      <c r="H21" s="39" t="n">
        <v>38.9</v>
      </c>
      <c r="I21" s="1" t="n">
        <v>1992</v>
      </c>
      <c r="J21" s="1" t="n">
        <v>30</v>
      </c>
      <c r="K21" s="39" t="n">
        <v>41.2</v>
      </c>
      <c r="L21" s="1" t="n">
        <v>1998</v>
      </c>
      <c r="M21" s="1" t="n">
        <v>16</v>
      </c>
      <c r="N21" s="39" t="n">
        <v>40</v>
      </c>
      <c r="O21" s="1" t="n">
        <v>1998</v>
      </c>
      <c r="P21" s="1" t="n">
        <v>9</v>
      </c>
      <c r="Q21" s="39" t="n">
        <v>39.5</v>
      </c>
      <c r="R21" s="1" t="n">
        <v>1992</v>
      </c>
      <c r="S21" s="1" t="n">
        <v>9</v>
      </c>
      <c r="T21" s="39" t="n">
        <v>38.8</v>
      </c>
      <c r="U21" s="1" t="n">
        <v>2015</v>
      </c>
      <c r="V21" s="1" t="n">
        <v>7</v>
      </c>
      <c r="W21" s="39" t="n">
        <v>39.2</v>
      </c>
      <c r="X21" s="1" t="n">
        <v>2023</v>
      </c>
      <c r="Y21" s="1" t="n">
        <v>8</v>
      </c>
      <c r="Z21" s="39" t="n">
        <v>39</v>
      </c>
      <c r="AA21" s="1" t="n">
        <v>2025</v>
      </c>
      <c r="AB21" s="1" t="n">
        <v>18</v>
      </c>
      <c r="AC21" s="39" t="n">
        <v>39.7</v>
      </c>
      <c r="AD21" s="1" t="n">
        <v>1992</v>
      </c>
      <c r="AE21" s="1" t="n">
        <v>26</v>
      </c>
      <c r="AF21" s="39" t="n">
        <v>39.3</v>
      </c>
      <c r="AG21" s="1" t="n">
        <v>1990</v>
      </c>
      <c r="AH21" s="1" t="n">
        <v>19</v>
      </c>
      <c r="AI21" s="39" t="n">
        <v>38.2</v>
      </c>
      <c r="AJ21" s="1" t="n">
        <v>1988</v>
      </c>
      <c r="AK21" s="1" t="n">
        <v>13</v>
      </c>
      <c r="AL21" s="39" t="n">
        <v>37.8</v>
      </c>
      <c r="AM21" s="1" t="n">
        <v>1983</v>
      </c>
      <c r="AN21" s="1" t="n">
        <v>9</v>
      </c>
      <c r="AO21" s="39" t="n">
        <v>38.2</v>
      </c>
      <c r="AP21" s="1" t="n">
        <v>1991</v>
      </c>
      <c r="AQ21" s="1" t="n">
        <v>30</v>
      </c>
    </row>
    <row r="22" ht="14.45" customHeight="1">
      <c r="A22" s="1" t="n">
        <v>13075030</v>
      </c>
      <c r="B22" s="1" t="inlineStr">
        <is>
          <t>TURIPANA [13075030]</t>
        </is>
      </c>
      <c r="C22" s="1" t="n">
        <v>8.839527778000001</v>
      </c>
      <c r="D22" s="1" t="n">
        <v>-75.80188889</v>
      </c>
      <c r="E22" s="1" t="n">
        <v>20</v>
      </c>
      <c r="F22" s="1" t="inlineStr">
        <is>
          <t>Cereté</t>
        </is>
      </c>
      <c r="G22" s="1" t="inlineStr">
        <is>
          <t>Cordoba</t>
        </is>
      </c>
      <c r="H22" s="39" t="n">
        <v>38</v>
      </c>
      <c r="I22" s="1" t="n">
        <v>2020</v>
      </c>
      <c r="J22" s="1" t="n">
        <v>18</v>
      </c>
      <c r="K22" s="39" t="n">
        <v>39.2</v>
      </c>
      <c r="L22" s="1" t="n">
        <v>1998</v>
      </c>
      <c r="M22" s="1" t="n">
        <v>17</v>
      </c>
      <c r="N22" s="39" t="n">
        <v>38.2</v>
      </c>
      <c r="O22" s="1" t="n">
        <v>2025</v>
      </c>
      <c r="P22" s="1" t="n">
        <v>24</v>
      </c>
      <c r="Q22" s="39" t="n">
        <v>40</v>
      </c>
      <c r="R22" s="1" t="n">
        <v>2017</v>
      </c>
      <c r="S22" s="1" t="n">
        <v>2</v>
      </c>
      <c r="T22" s="39" t="n">
        <v>39</v>
      </c>
      <c r="U22" s="1" t="n">
        <v>2019</v>
      </c>
      <c r="V22" s="1" t="n">
        <v>5</v>
      </c>
      <c r="W22" s="39" t="n">
        <v>37.8</v>
      </c>
      <c r="X22" s="1" t="n">
        <v>2015</v>
      </c>
      <c r="Y22" s="1" t="n">
        <v>24</v>
      </c>
      <c r="Z22" s="39" t="n">
        <v>37.9</v>
      </c>
      <c r="AA22" s="1" t="n">
        <v>2023</v>
      </c>
      <c r="AB22" s="1" t="n">
        <v>13</v>
      </c>
      <c r="AC22" s="39" t="n">
        <v>39.1</v>
      </c>
      <c r="AD22" s="1" t="n">
        <v>2017</v>
      </c>
      <c r="AE22" s="1" t="n">
        <v>9</v>
      </c>
      <c r="AF22" s="39" t="n">
        <v>36.6</v>
      </c>
      <c r="AG22" s="1" t="n">
        <v>2023</v>
      </c>
      <c r="AH22" s="1" t="n">
        <v>22</v>
      </c>
      <c r="AI22" s="39" t="n">
        <v>37.5</v>
      </c>
      <c r="AJ22" s="1" t="n">
        <v>2016</v>
      </c>
      <c r="AK22" s="1" t="n">
        <v>3</v>
      </c>
      <c r="AL22" s="39" t="n">
        <v>35.4</v>
      </c>
      <c r="AM22" s="1" t="n">
        <v>1987</v>
      </c>
      <c r="AN22" s="1" t="n">
        <v>26</v>
      </c>
      <c r="AO22" s="39" t="n">
        <v>36.4</v>
      </c>
      <c r="AP22" s="1" t="n">
        <v>2015</v>
      </c>
      <c r="AQ22" s="1" t="n">
        <v>26</v>
      </c>
    </row>
    <row r="23" ht="14.45" customHeight="1">
      <c r="A23" s="1" t="n">
        <v>13085010</v>
      </c>
      <c r="B23" s="1" t="inlineStr">
        <is>
          <t>DOCTRINA LA [13085010]</t>
        </is>
      </c>
      <c r="C23" s="1" t="n">
        <v>9.297222222</v>
      </c>
      <c r="D23" s="1" t="n">
        <v>-75.89277778</v>
      </c>
      <c r="E23" s="1" t="n">
        <v>20</v>
      </c>
      <c r="F23" s="1" t="inlineStr">
        <is>
          <t>Lorica</t>
        </is>
      </c>
      <c r="G23" s="1" t="inlineStr">
        <is>
          <t>Cordoba</t>
        </is>
      </c>
      <c r="H23" s="39" t="n">
        <v>36.7</v>
      </c>
      <c r="I23" s="1" t="n">
        <v>2000</v>
      </c>
      <c r="J23" s="1" t="n">
        <v>12</v>
      </c>
      <c r="K23" s="39" t="n">
        <v>36.4</v>
      </c>
      <c r="L23" s="1" t="n">
        <v>2021</v>
      </c>
      <c r="M23" s="1" t="n">
        <v>24</v>
      </c>
      <c r="N23" s="39" t="n">
        <v>36.8</v>
      </c>
      <c r="O23" s="1" t="n">
        <v>2021</v>
      </c>
      <c r="P23" s="1" t="n">
        <v>30</v>
      </c>
      <c r="Q23" s="39" t="n">
        <v>37.5</v>
      </c>
      <c r="R23" s="1" t="n">
        <v>1984</v>
      </c>
      <c r="S23" s="1" t="n">
        <v>11</v>
      </c>
      <c r="T23" s="39" t="n">
        <v>37.8</v>
      </c>
      <c r="U23" s="1" t="n">
        <v>1986</v>
      </c>
      <c r="V23" s="1" t="n">
        <v>28</v>
      </c>
      <c r="W23" s="39" t="n">
        <v>38.4</v>
      </c>
      <c r="X23" s="1" t="n">
        <v>2015</v>
      </c>
      <c r="Y23" s="1" t="n">
        <v>24</v>
      </c>
      <c r="Z23" s="39" t="n">
        <v>38.4</v>
      </c>
      <c r="AA23" s="1" t="n">
        <v>2015</v>
      </c>
      <c r="AB23" s="1" t="n">
        <v>1</v>
      </c>
      <c r="AC23" s="39" t="n">
        <v>37</v>
      </c>
      <c r="AD23" s="1" t="n">
        <v>1991</v>
      </c>
      <c r="AE23" s="1" t="n">
        <v>15</v>
      </c>
      <c r="AF23" s="39" t="n">
        <v>37.1</v>
      </c>
      <c r="AG23" s="1" t="n">
        <v>1986</v>
      </c>
      <c r="AH23" s="1" t="n">
        <v>9</v>
      </c>
      <c r="AI23" s="39" t="n">
        <v>36.2</v>
      </c>
      <c r="AJ23" s="1" t="n">
        <v>2024</v>
      </c>
      <c r="AK23" s="1" t="n">
        <v>27</v>
      </c>
      <c r="AL23" s="39" t="n">
        <v>36.6</v>
      </c>
      <c r="AM23" s="1" t="n">
        <v>1987</v>
      </c>
      <c r="AN23" s="1" t="n">
        <v>23</v>
      </c>
      <c r="AO23" s="39" t="n">
        <v>37.1</v>
      </c>
      <c r="AP23" s="1" t="n">
        <v>1987</v>
      </c>
      <c r="AQ23" s="1" t="n">
        <v>20</v>
      </c>
    </row>
    <row r="24" ht="14.45" customHeight="1">
      <c r="A24" s="1" t="n">
        <v>13085030</v>
      </c>
      <c r="B24" s="1" t="inlineStr">
        <is>
          <t>SAN BERNARDO DEL VIENTO [13085030]</t>
        </is>
      </c>
      <c r="C24" s="1" t="n">
        <v>9.369999999999999</v>
      </c>
      <c r="D24" s="1" t="n">
        <v>-75.95</v>
      </c>
      <c r="E24" s="1" t="n">
        <v>22</v>
      </c>
      <c r="F24" s="1" t="inlineStr">
        <is>
          <t>San Bernardo Del Viento</t>
        </is>
      </c>
      <c r="G24" s="1" t="inlineStr">
        <is>
          <t>Cordoba</t>
        </is>
      </c>
      <c r="H24" s="39" t="n">
        <v>35.8</v>
      </c>
      <c r="I24" s="1" t="n">
        <v>2019</v>
      </c>
      <c r="J24" s="1" t="n">
        <v>1</v>
      </c>
      <c r="K24" s="39" t="n">
        <v>35.8</v>
      </c>
      <c r="L24" s="1" t="n">
        <v>2019</v>
      </c>
      <c r="M24" s="1" t="n">
        <v>8</v>
      </c>
      <c r="N24" s="39" t="n">
        <v>35.8</v>
      </c>
      <c r="O24" s="1" t="n">
        <v>2019</v>
      </c>
      <c r="P24" s="1" t="n">
        <v>1</v>
      </c>
      <c r="Q24" s="39" t="n">
        <v>36.2</v>
      </c>
      <c r="R24" s="1" t="n">
        <v>2010</v>
      </c>
      <c r="S24" s="1" t="n">
        <v>8</v>
      </c>
      <c r="T24" s="39" t="n">
        <v>36.4</v>
      </c>
      <c r="U24" s="1" t="n">
        <v>2016</v>
      </c>
      <c r="V24" s="1" t="n">
        <v>20</v>
      </c>
      <c r="W24" s="39" t="n">
        <v>36.2</v>
      </c>
      <c r="X24" s="1" t="n">
        <v>2015</v>
      </c>
      <c r="Y24" s="1" t="n">
        <v>20</v>
      </c>
      <c r="Z24" s="39" t="n">
        <v>36.8</v>
      </c>
      <c r="AA24" s="1" t="n">
        <v>2018</v>
      </c>
      <c r="AB24" s="1" t="n">
        <v>9</v>
      </c>
      <c r="AC24" s="39" t="n">
        <v>35.8</v>
      </c>
      <c r="AD24" s="1" t="n">
        <v>2018</v>
      </c>
      <c r="AE24" s="1" t="n">
        <v>20</v>
      </c>
      <c r="AF24" s="39" t="n">
        <v>35.8</v>
      </c>
      <c r="AG24" s="1" t="n">
        <v>2018</v>
      </c>
      <c r="AH24" s="1" t="n">
        <v>21</v>
      </c>
      <c r="AI24" s="39" t="n">
        <v>35.8</v>
      </c>
      <c r="AJ24" s="1" t="n">
        <v>2018</v>
      </c>
      <c r="AK24" s="1" t="n">
        <v>7</v>
      </c>
      <c r="AL24" s="39" t="n">
        <v>39.8</v>
      </c>
      <c r="AM24" s="1" t="n">
        <v>1990</v>
      </c>
      <c r="AN24" s="1" t="n">
        <v>17</v>
      </c>
      <c r="AO24" s="39" t="n">
        <v>36</v>
      </c>
      <c r="AP24" s="1" t="n">
        <v>2018</v>
      </c>
      <c r="AQ24" s="1" t="n">
        <v>13</v>
      </c>
    </row>
    <row r="25" ht="14.45" customHeight="1">
      <c r="A25" s="1" t="n">
        <v>13095020</v>
      </c>
      <c r="B25" s="1" t="inlineStr">
        <is>
          <t>PRIMATES [13095020]</t>
        </is>
      </c>
      <c r="C25" s="1" t="n">
        <v>9.530138889</v>
      </c>
      <c r="D25" s="1" t="n">
        <v>-75.35136111</v>
      </c>
      <c r="E25" s="1" t="n">
        <v>200</v>
      </c>
      <c r="F25" s="1" t="inlineStr">
        <is>
          <t>Colosó</t>
        </is>
      </c>
      <c r="G25" s="1" t="inlineStr">
        <is>
          <t>Sucre</t>
        </is>
      </c>
      <c r="H25" s="39" t="n">
        <v>38</v>
      </c>
      <c r="I25" s="1" t="n">
        <v>1998</v>
      </c>
      <c r="J25" s="1" t="n">
        <v>4</v>
      </c>
      <c r="K25" s="39" t="n">
        <v>38.6</v>
      </c>
      <c r="L25" s="1" t="n">
        <v>1998</v>
      </c>
      <c r="M25" s="1" t="n">
        <v>20</v>
      </c>
      <c r="N25" s="39" t="n">
        <v>38.5</v>
      </c>
      <c r="O25" s="1" t="n">
        <v>1990</v>
      </c>
      <c r="P25" s="1" t="n">
        <v>10</v>
      </c>
      <c r="Q25" s="39" t="n">
        <v>39.6</v>
      </c>
      <c r="R25" s="1" t="n">
        <v>1992</v>
      </c>
      <c r="S25" s="1" t="n">
        <v>9</v>
      </c>
      <c r="T25" s="39" t="n">
        <v>36.8</v>
      </c>
      <c r="U25" s="1" t="n">
        <v>2015</v>
      </c>
      <c r="V25" s="1" t="n">
        <v>12</v>
      </c>
      <c r="W25" s="39" t="n">
        <v>38.8</v>
      </c>
      <c r="X25" s="1" t="n">
        <v>2015</v>
      </c>
      <c r="Y25" s="1" t="n">
        <v>26</v>
      </c>
      <c r="Z25" s="39" t="n">
        <v>39.2</v>
      </c>
      <c r="AA25" s="1" t="n">
        <v>2015</v>
      </c>
      <c r="AB25" s="1" t="n">
        <v>3</v>
      </c>
      <c r="AC25" s="39" t="n">
        <v>38.4</v>
      </c>
      <c r="AD25" s="1" t="n">
        <v>2015</v>
      </c>
      <c r="AE25" s="1" t="n">
        <v>3</v>
      </c>
      <c r="AF25" s="39" t="n">
        <v>36.8</v>
      </c>
      <c r="AG25" s="1" t="n">
        <v>1991</v>
      </c>
      <c r="AH25" s="1" t="n">
        <v>10</v>
      </c>
      <c r="AI25" s="39" t="n">
        <v>38.8</v>
      </c>
      <c r="AJ25" s="1" t="n">
        <v>1990</v>
      </c>
      <c r="AK25" s="1" t="n">
        <v>5</v>
      </c>
      <c r="AL25" s="39" t="n">
        <v>37.4</v>
      </c>
      <c r="AM25" s="1" t="n">
        <v>1994</v>
      </c>
      <c r="AN25" s="1" t="n">
        <v>19</v>
      </c>
      <c r="AO25" s="39" t="n">
        <v>36</v>
      </c>
      <c r="AP25" s="1" t="n">
        <v>1994</v>
      </c>
      <c r="AQ25" s="1" t="n">
        <v>10</v>
      </c>
    </row>
    <row r="26" ht="14.45" customHeight="1">
      <c r="A26" s="1" t="n">
        <v>14015010</v>
      </c>
      <c r="B26" s="1" t="inlineStr">
        <is>
          <t>GALERAZAMBA  - AUT [14015010]</t>
        </is>
      </c>
      <c r="C26" s="1" t="n">
        <v>10.794988</v>
      </c>
      <c r="D26" s="1" t="n">
        <v>-75.26167100000001</v>
      </c>
      <c r="E26" s="1" t="n">
        <v>20</v>
      </c>
      <c r="F26" s="1" t="inlineStr">
        <is>
          <t>Santa Catalina</t>
        </is>
      </c>
      <c r="G26" s="1" t="inlineStr">
        <is>
          <t>Bolivar</t>
        </is>
      </c>
      <c r="H26" s="39" t="n">
        <v>34.6</v>
      </c>
      <c r="I26" s="1" t="n">
        <v>2006</v>
      </c>
      <c r="J26" s="1" t="n">
        <v>20</v>
      </c>
      <c r="K26" s="39" t="n">
        <v>34.8</v>
      </c>
      <c r="L26" s="1" t="n">
        <v>2006</v>
      </c>
      <c r="M26" s="1" t="n">
        <v>14</v>
      </c>
      <c r="N26" s="39" t="n">
        <v>34.6</v>
      </c>
      <c r="O26" s="1" t="n">
        <v>2007</v>
      </c>
      <c r="P26" s="1" t="n">
        <v>3</v>
      </c>
      <c r="Q26" s="39" t="n">
        <v>33.8</v>
      </c>
      <c r="R26" s="1" t="n">
        <v>1980</v>
      </c>
      <c r="S26" s="1" t="n">
        <v>26</v>
      </c>
      <c r="T26" s="39" t="n">
        <v>34.8</v>
      </c>
      <c r="U26" s="1" t="n">
        <v>2012</v>
      </c>
      <c r="V26" s="1" t="n">
        <v>11</v>
      </c>
      <c r="W26" s="39" t="n">
        <v>33.6</v>
      </c>
      <c r="X26" s="1" t="n">
        <v>2011</v>
      </c>
      <c r="Y26" s="1" t="n">
        <v>19</v>
      </c>
      <c r="Z26" s="39" t="n">
        <v>34.2</v>
      </c>
      <c r="AA26" s="1" t="n">
        <v>2011</v>
      </c>
      <c r="AB26" s="1" t="n">
        <v>6</v>
      </c>
      <c r="AC26" s="39" t="n">
        <v>35</v>
      </c>
      <c r="AD26" s="1" t="n">
        <v>1990</v>
      </c>
      <c r="AE26" s="1" t="n">
        <v>25</v>
      </c>
      <c r="AF26" s="39" t="n">
        <v>34.2</v>
      </c>
      <c r="AG26" s="1" t="n">
        <v>2004</v>
      </c>
      <c r="AH26" s="1" t="n">
        <v>5</v>
      </c>
      <c r="AI26" s="39" t="n">
        <v>33.6</v>
      </c>
      <c r="AJ26" s="1" t="n">
        <v>1987</v>
      </c>
      <c r="AK26" s="1" t="n">
        <v>16</v>
      </c>
      <c r="AL26" s="39" t="n">
        <v>34.8</v>
      </c>
      <c r="AM26" s="1" t="n">
        <v>2005</v>
      </c>
      <c r="AN26" s="1" t="n">
        <v>30</v>
      </c>
      <c r="AO26" s="39" t="n">
        <v>35.4</v>
      </c>
      <c r="AP26" s="1" t="n">
        <v>2005</v>
      </c>
      <c r="AQ26" s="1" t="n">
        <v>15</v>
      </c>
    </row>
    <row r="27" ht="14.45" customHeight="1">
      <c r="A27" s="1" t="n">
        <v>14015080</v>
      </c>
      <c r="B27" s="1" t="inlineStr">
        <is>
          <t>AEROPUERTO RAFAEL NUNEZ [14015080]</t>
        </is>
      </c>
      <c r="C27" s="1" t="n">
        <v>10.44725</v>
      </c>
      <c r="D27" s="1" t="n">
        <v>-75.51602778</v>
      </c>
      <c r="E27" s="1" t="n">
        <v>2</v>
      </c>
      <c r="F27" s="1" t="inlineStr">
        <is>
          <t>Cartagena De Indias</t>
        </is>
      </c>
      <c r="G27" s="1" t="inlineStr">
        <is>
          <t>Bolivar</t>
        </is>
      </c>
      <c r="H27" s="39" t="n">
        <v>34.6</v>
      </c>
      <c r="I27" s="1" t="n">
        <v>2018</v>
      </c>
      <c r="J27" s="1" t="n">
        <v>6</v>
      </c>
      <c r="K27" s="39" t="n">
        <v>36.1</v>
      </c>
      <c r="L27" s="1" t="n">
        <v>1998</v>
      </c>
      <c r="M27" s="1" t="n">
        <v>16</v>
      </c>
      <c r="N27" s="39" t="n">
        <v>35.4</v>
      </c>
      <c r="O27" s="1" t="n">
        <v>2017</v>
      </c>
      <c r="P27" s="1" t="n">
        <v>30</v>
      </c>
      <c r="Q27" s="39" t="n">
        <v>35.3</v>
      </c>
      <c r="R27" s="1" t="n">
        <v>1995</v>
      </c>
      <c r="S27" s="1" t="n">
        <v>6</v>
      </c>
      <c r="T27" s="39" t="n">
        <v>36.6</v>
      </c>
      <c r="U27" s="1" t="n">
        <v>2024</v>
      </c>
      <c r="V27" s="1" t="n">
        <v>17</v>
      </c>
      <c r="W27" s="39" t="n">
        <v>40.4</v>
      </c>
      <c r="X27" s="1" t="n">
        <v>2015</v>
      </c>
      <c r="Y27" s="1" t="n">
        <v>24</v>
      </c>
      <c r="Z27" s="39" t="n">
        <v>38</v>
      </c>
      <c r="AA27" s="1" t="n">
        <v>2023</v>
      </c>
      <c r="AB27" s="1" t="n">
        <v>20</v>
      </c>
      <c r="AC27" s="39" t="n">
        <v>36.9</v>
      </c>
      <c r="AD27" s="1" t="n">
        <v>2021</v>
      </c>
      <c r="AE27" s="1" t="n">
        <v>13</v>
      </c>
      <c r="AF27" s="39" t="n">
        <v>36.8</v>
      </c>
      <c r="AG27" s="1" t="n">
        <v>1997</v>
      </c>
      <c r="AH27" s="1" t="n">
        <v>16</v>
      </c>
      <c r="AI27" s="39" t="n">
        <v>36.3</v>
      </c>
      <c r="AJ27" s="1" t="n">
        <v>2024</v>
      </c>
      <c r="AK27" s="1" t="n">
        <v>19</v>
      </c>
      <c r="AL27" s="39" t="n">
        <v>35.5</v>
      </c>
      <c r="AM27" s="1" t="n">
        <v>2023</v>
      </c>
      <c r="AN27" s="1" t="n">
        <v>24</v>
      </c>
      <c r="AO27" s="39" t="n">
        <v>37</v>
      </c>
      <c r="AP27" s="1" t="n">
        <v>2023</v>
      </c>
      <c r="AQ27" s="1" t="n">
        <v>6</v>
      </c>
    </row>
    <row r="28" ht="14.45" customHeight="1">
      <c r="A28" s="1" t="n">
        <v>15015050</v>
      </c>
      <c r="B28" s="1" t="inlineStr">
        <is>
          <t>AEROPUERTO SIMON BOLIVAR [15015050]</t>
        </is>
      </c>
      <c r="C28" s="1" t="n">
        <v>11.1146944</v>
      </c>
      <c r="D28" s="1" t="n">
        <v>-74.231027778</v>
      </c>
      <c r="E28" s="1" t="n">
        <v>4</v>
      </c>
      <c r="F28" s="1" t="inlineStr">
        <is>
          <t>Santa Marta</t>
        </is>
      </c>
      <c r="G28" s="1" t="inlineStr">
        <is>
          <t>Magdalena</t>
        </is>
      </c>
      <c r="H28" s="39" t="n">
        <v>36.6</v>
      </c>
      <c r="I28" s="1" t="n">
        <v>2003</v>
      </c>
      <c r="J28" s="1" t="n">
        <v>1</v>
      </c>
      <c r="K28" s="39" t="n">
        <v>38.2</v>
      </c>
      <c r="L28" s="1" t="n">
        <v>1998</v>
      </c>
      <c r="M28" s="1" t="n">
        <v>17</v>
      </c>
      <c r="N28" s="39" t="n">
        <v>37</v>
      </c>
      <c r="O28" s="1" t="n">
        <v>1995</v>
      </c>
      <c r="P28" s="1" t="n">
        <v>30</v>
      </c>
      <c r="Q28" s="39" t="n">
        <v>37.6</v>
      </c>
      <c r="R28" s="1" t="n">
        <v>1980</v>
      </c>
      <c r="S28" s="1" t="n">
        <v>19</v>
      </c>
      <c r="T28" s="39" t="n">
        <v>38.2</v>
      </c>
      <c r="U28" s="1" t="n">
        <v>2015</v>
      </c>
      <c r="V28" s="1" t="n">
        <v>12</v>
      </c>
      <c r="W28" s="39" t="n">
        <v>38.6</v>
      </c>
      <c r="X28" s="1" t="n">
        <v>2015</v>
      </c>
      <c r="Y28" s="1" t="n">
        <v>24</v>
      </c>
      <c r="Z28" s="39" t="n">
        <v>38.4</v>
      </c>
      <c r="AA28" s="1" t="n">
        <v>2015</v>
      </c>
      <c r="AB28" s="1" t="n">
        <v>4</v>
      </c>
      <c r="AC28" s="39" t="n">
        <v>38.4</v>
      </c>
      <c r="AD28" s="1" t="n">
        <v>2015</v>
      </c>
      <c r="AE28" s="1" t="n">
        <v>5</v>
      </c>
      <c r="AF28" s="39" t="n">
        <v>37.2</v>
      </c>
      <c r="AG28" s="1" t="n">
        <v>1995</v>
      </c>
      <c r="AH28" s="1" t="n">
        <v>4</v>
      </c>
      <c r="AI28" s="39" t="n">
        <v>36.2</v>
      </c>
      <c r="AJ28" s="1" t="n">
        <v>1997</v>
      </c>
      <c r="AK28" s="1" t="n">
        <v>26</v>
      </c>
      <c r="AL28" s="39" t="n">
        <v>38.2</v>
      </c>
      <c r="AM28" s="1" t="n">
        <v>1993</v>
      </c>
      <c r="AN28" s="1" t="n">
        <v>15</v>
      </c>
      <c r="AO28" s="39" t="n">
        <v>36.2</v>
      </c>
      <c r="AP28" s="1" t="n">
        <v>2015</v>
      </c>
      <c r="AQ28" s="1" t="n">
        <v>22</v>
      </c>
    </row>
    <row r="29" ht="14.45" customHeight="1">
      <c r="A29" s="1" t="n">
        <v>15015100</v>
      </c>
      <c r="B29" s="1" t="inlineStr">
        <is>
          <t>PARQUE TAYRONA [15015100]</t>
        </is>
      </c>
      <c r="C29" s="1" t="n">
        <v>11.301674</v>
      </c>
      <c r="D29" s="1" t="n">
        <v>-73.928809</v>
      </c>
      <c r="E29" s="1" t="n">
        <v>23</v>
      </c>
      <c r="F29" s="1" t="inlineStr">
        <is>
          <t>Santa Marta</t>
        </is>
      </c>
      <c r="G29" s="1" t="inlineStr">
        <is>
          <t>Magdalena</t>
        </is>
      </c>
      <c r="H29" s="39" t="n">
        <v>32</v>
      </c>
      <c r="I29" s="1" t="n">
        <v>1998</v>
      </c>
      <c r="J29" s="1" t="n">
        <v>5</v>
      </c>
      <c r="K29" s="39" t="n">
        <v>32.8</v>
      </c>
      <c r="L29" s="1" t="n">
        <v>2002</v>
      </c>
      <c r="M29" s="1" t="n">
        <v>9</v>
      </c>
      <c r="N29" s="39" t="n">
        <v>33.6</v>
      </c>
      <c r="O29" s="1" t="n">
        <v>2003</v>
      </c>
      <c r="P29" s="1" t="n">
        <v>29</v>
      </c>
      <c r="Q29" s="39" t="n">
        <v>33.8</v>
      </c>
      <c r="R29" s="1" t="n">
        <v>2003</v>
      </c>
      <c r="S29" s="1" t="n">
        <v>3</v>
      </c>
      <c r="T29" s="39" t="n">
        <v>33.6</v>
      </c>
      <c r="U29" s="1" t="n">
        <v>2008</v>
      </c>
      <c r="V29" s="1" t="n">
        <v>26</v>
      </c>
      <c r="W29" s="39" t="n">
        <v>34.4</v>
      </c>
      <c r="X29" s="1" t="n">
        <v>1983</v>
      </c>
      <c r="Y29" s="1" t="n">
        <v>21</v>
      </c>
      <c r="Z29" s="39" t="n">
        <v>36.6</v>
      </c>
      <c r="AA29" s="1" t="n">
        <v>2008</v>
      </c>
      <c r="AB29" s="1" t="n">
        <v>4</v>
      </c>
      <c r="AC29" s="39" t="n">
        <v>35</v>
      </c>
      <c r="AD29" s="1" t="n">
        <v>2001</v>
      </c>
      <c r="AE29" s="1" t="n">
        <v>22</v>
      </c>
      <c r="AF29" s="39" t="n">
        <v>36.4</v>
      </c>
      <c r="AG29" s="1" t="n">
        <v>2008</v>
      </c>
      <c r="AH29" s="1" t="n">
        <v>26</v>
      </c>
      <c r="AI29" s="39" t="n">
        <v>34.6</v>
      </c>
      <c r="AJ29" s="1" t="n">
        <v>2002</v>
      </c>
      <c r="AK29" s="1" t="n">
        <v>24</v>
      </c>
      <c r="AL29" s="39" t="n">
        <v>33.6</v>
      </c>
      <c r="AM29" s="1" t="n">
        <v>2002</v>
      </c>
      <c r="AN29" s="1" t="n">
        <v>16</v>
      </c>
      <c r="AO29" s="39" t="n">
        <v>34.2</v>
      </c>
      <c r="AP29" s="1" t="n">
        <v>2002</v>
      </c>
      <c r="AQ29" s="1" t="n">
        <v>14</v>
      </c>
    </row>
    <row r="30" ht="14.45" customHeight="1">
      <c r="A30" s="1" t="n">
        <v>15015120</v>
      </c>
      <c r="B30" s="1" t="inlineStr">
        <is>
          <t>UNIVERSIDAD TECNOLOGICA  - AUT [15015120]</t>
        </is>
      </c>
      <c r="C30" s="1" t="n">
        <v>11.22305556</v>
      </c>
      <c r="D30" s="1" t="n">
        <v>-74.18591667</v>
      </c>
      <c r="E30" s="1" t="n">
        <v>7</v>
      </c>
      <c r="F30" s="1" t="inlineStr">
        <is>
          <t>Santa Marta</t>
        </is>
      </c>
      <c r="G30" s="1" t="inlineStr">
        <is>
          <t>Magdalena</t>
        </is>
      </c>
      <c r="H30" s="39" t="n">
        <v>35.4</v>
      </c>
      <c r="I30" s="1" t="n">
        <v>1978</v>
      </c>
      <c r="J30" s="1" t="n">
        <v>28</v>
      </c>
      <c r="K30" s="39" t="n">
        <v>35.2</v>
      </c>
      <c r="L30" s="1" t="n">
        <v>1987</v>
      </c>
      <c r="M30" s="1" t="n">
        <v>3</v>
      </c>
      <c r="N30" s="39" t="n">
        <v>37</v>
      </c>
      <c r="O30" s="1" t="n">
        <v>1987</v>
      </c>
      <c r="P30" s="1" t="n">
        <v>25</v>
      </c>
      <c r="Q30" s="39" t="n">
        <v>36.4</v>
      </c>
      <c r="R30" s="1" t="n">
        <v>1992</v>
      </c>
      <c r="S30" s="1" t="n">
        <v>10</v>
      </c>
      <c r="T30" s="39" t="n">
        <v>36.2</v>
      </c>
      <c r="U30" s="1" t="n">
        <v>1988</v>
      </c>
      <c r="V30" s="1" t="n">
        <v>25</v>
      </c>
      <c r="W30" s="39" t="n">
        <v>36.6</v>
      </c>
      <c r="X30" s="1" t="n">
        <v>1990</v>
      </c>
      <c r="Y30" s="1" t="n">
        <v>21</v>
      </c>
      <c r="Z30" s="39" t="n">
        <v>36.6</v>
      </c>
      <c r="AA30" s="1" t="n">
        <v>1991</v>
      </c>
      <c r="AB30" s="1" t="n">
        <v>25</v>
      </c>
      <c r="AC30" s="39" t="n">
        <v>36.4</v>
      </c>
      <c r="AD30" s="1" t="n">
        <v>1990</v>
      </c>
      <c r="AE30" s="1" t="n">
        <v>22</v>
      </c>
      <c r="AF30" s="39" t="n">
        <v>36.4</v>
      </c>
      <c r="AG30" s="1" t="n">
        <v>1991</v>
      </c>
      <c r="AH30" s="1" t="n">
        <v>13</v>
      </c>
      <c r="AI30" s="39" t="n">
        <v>34.4</v>
      </c>
      <c r="AJ30" s="1" t="n">
        <v>1985</v>
      </c>
      <c r="AK30" s="1" t="n">
        <v>8</v>
      </c>
      <c r="AL30" s="39" t="n">
        <v>37.6</v>
      </c>
      <c r="AM30" s="1" t="n">
        <v>1987</v>
      </c>
      <c r="AN30" s="1" t="n">
        <v>17</v>
      </c>
      <c r="AO30" s="39" t="n">
        <v>33.6</v>
      </c>
      <c r="AP30" s="1" t="n">
        <v>1978</v>
      </c>
      <c r="AQ30" s="1" t="n">
        <v>23</v>
      </c>
    </row>
    <row r="31" ht="14.45" customHeight="1">
      <c r="A31" s="1" t="n">
        <v>15035020</v>
      </c>
      <c r="B31" s="1" t="inlineStr">
        <is>
          <t>TERMOGUAJIRA  - AUT [15035020]</t>
        </is>
      </c>
      <c r="C31" s="1" t="n">
        <v>11.2525</v>
      </c>
      <c r="D31" s="1" t="n">
        <v>-73.41138889</v>
      </c>
      <c r="E31" s="1" t="n">
        <v>5</v>
      </c>
      <c r="F31" s="1" t="inlineStr">
        <is>
          <t>Dibulla</t>
        </is>
      </c>
      <c r="G31" s="1" t="inlineStr">
        <is>
          <t>La Guajira</t>
        </is>
      </c>
      <c r="H31" s="39" t="n">
        <v>34.1</v>
      </c>
      <c r="I31" s="1" t="n">
        <v>2001</v>
      </c>
      <c r="J31" s="1" t="n">
        <v>29</v>
      </c>
      <c r="K31" s="39" t="n">
        <v>36</v>
      </c>
      <c r="L31" s="1" t="n">
        <v>1995</v>
      </c>
      <c r="M31" s="1" t="n">
        <v>15</v>
      </c>
      <c r="N31" s="39" t="n">
        <v>35</v>
      </c>
      <c r="O31" s="1" t="n">
        <v>2003</v>
      </c>
      <c r="P31" s="1" t="n">
        <v>5</v>
      </c>
      <c r="Q31" s="39" t="n">
        <v>36</v>
      </c>
      <c r="R31" s="1" t="n">
        <v>1999</v>
      </c>
      <c r="S31" s="1" t="n">
        <v>16</v>
      </c>
      <c r="T31" s="39" t="n">
        <v>37.4</v>
      </c>
      <c r="U31" s="1" t="n">
        <v>2002</v>
      </c>
      <c r="V31" s="1" t="n">
        <v>16</v>
      </c>
      <c r="W31" s="39" t="n">
        <v>37</v>
      </c>
      <c r="X31" s="1" t="n">
        <v>2001</v>
      </c>
      <c r="Y31" s="1" t="n">
        <v>26</v>
      </c>
      <c r="Z31" s="39" t="n">
        <v>37.6</v>
      </c>
      <c r="AA31" s="1" t="n">
        <v>2001</v>
      </c>
      <c r="AB31" s="1" t="n">
        <v>3</v>
      </c>
      <c r="AC31" s="39" t="n">
        <v>38</v>
      </c>
      <c r="AD31" s="1" t="n">
        <v>2002</v>
      </c>
      <c r="AE31" s="1" t="n">
        <v>15</v>
      </c>
      <c r="AF31" s="39" t="n">
        <v>37.6</v>
      </c>
      <c r="AG31" s="1" t="n">
        <v>2005</v>
      </c>
      <c r="AH31" s="1" t="n">
        <v>11</v>
      </c>
      <c r="AI31" s="39" t="n">
        <v>35.6</v>
      </c>
      <c r="AJ31" s="1" t="n">
        <v>2010</v>
      </c>
      <c r="AK31" s="1" t="n">
        <v>13</v>
      </c>
      <c r="AL31" s="39" t="n">
        <v>34.6</v>
      </c>
      <c r="AM31" s="1" t="n">
        <v>2008</v>
      </c>
      <c r="AN31" s="1" t="n">
        <v>21</v>
      </c>
      <c r="AO31" s="39" t="n">
        <v>36</v>
      </c>
      <c r="AP31" s="1" t="n">
        <v>2008</v>
      </c>
      <c r="AQ31" s="1" t="n">
        <v>12</v>
      </c>
    </row>
    <row r="32" ht="14.45" customHeight="1">
      <c r="A32" s="1" t="n">
        <v>15045010</v>
      </c>
      <c r="B32" s="1" t="inlineStr">
        <is>
          <t>MATITAS [15045010]</t>
        </is>
      </c>
      <c r="C32" s="1" t="n">
        <v>11.26388889</v>
      </c>
      <c r="D32" s="1" t="n">
        <v>-73.03027778000001</v>
      </c>
      <c r="E32" s="1" t="n">
        <v>20</v>
      </c>
      <c r="F32" s="1" t="inlineStr">
        <is>
          <t>Riohacha</t>
        </is>
      </c>
      <c r="G32" s="1" t="inlineStr">
        <is>
          <t>La Guajira</t>
        </is>
      </c>
      <c r="H32" s="39" t="n">
        <v>37</v>
      </c>
      <c r="I32" s="1" t="n">
        <v>1993</v>
      </c>
      <c r="J32" s="1" t="n">
        <v>26</v>
      </c>
      <c r="K32" s="39" t="n">
        <v>42.9</v>
      </c>
      <c r="L32" s="1" t="n">
        <v>2011</v>
      </c>
      <c r="M32" s="1" t="n">
        <v>1</v>
      </c>
      <c r="N32" s="39" t="n">
        <v>38.4</v>
      </c>
      <c r="O32" s="1" t="n">
        <v>2003</v>
      </c>
      <c r="P32" s="1" t="n">
        <v>20</v>
      </c>
      <c r="Q32" s="39" t="n">
        <v>38.6</v>
      </c>
      <c r="R32" s="1" t="n">
        <v>2019</v>
      </c>
      <c r="S32" s="1" t="n">
        <v>13</v>
      </c>
      <c r="T32" s="39" t="n">
        <v>38.4</v>
      </c>
      <c r="U32" s="1" t="n">
        <v>1986</v>
      </c>
      <c r="V32" s="1" t="n">
        <v>3</v>
      </c>
      <c r="W32" s="39" t="n">
        <v>40.6</v>
      </c>
      <c r="X32" s="1" t="n">
        <v>2015</v>
      </c>
      <c r="Y32" s="1" t="n">
        <v>27</v>
      </c>
      <c r="Z32" s="39" t="n">
        <v>40.6</v>
      </c>
      <c r="AA32" s="1" t="n">
        <v>2015</v>
      </c>
      <c r="AB32" s="1" t="n">
        <v>12</v>
      </c>
      <c r="AC32" s="39" t="n">
        <v>41.2</v>
      </c>
      <c r="AD32" s="1" t="n">
        <v>2000</v>
      </c>
      <c r="AE32" s="1" t="n">
        <v>23</v>
      </c>
      <c r="AF32" s="39" t="n">
        <v>38.6</v>
      </c>
      <c r="AG32" s="1" t="n">
        <v>1983</v>
      </c>
      <c r="AH32" s="1" t="n">
        <v>1</v>
      </c>
      <c r="AI32" s="39" t="n">
        <v>36.8</v>
      </c>
      <c r="AJ32" s="1" t="n">
        <v>2016</v>
      </c>
      <c r="AK32" s="1" t="n">
        <v>20</v>
      </c>
      <c r="AL32" s="39" t="n">
        <v>38.6</v>
      </c>
      <c r="AM32" s="1" t="n">
        <v>2002</v>
      </c>
      <c r="AN32" s="1" t="n">
        <v>25</v>
      </c>
      <c r="AO32" s="39" t="n">
        <v>36.6</v>
      </c>
      <c r="AP32" s="1" t="n">
        <v>1997</v>
      </c>
      <c r="AQ32" s="1" t="n">
        <v>6</v>
      </c>
    </row>
    <row r="33" ht="14.45" customHeight="1">
      <c r="A33" s="1" t="n">
        <v>15065040</v>
      </c>
      <c r="B33" s="1" t="inlineStr">
        <is>
          <t>LA PAULINA - AUT [15065040]</t>
        </is>
      </c>
      <c r="C33" s="1" t="n">
        <v>10.89813889</v>
      </c>
      <c r="D33" s="1" t="n">
        <v>-72.82847221999999</v>
      </c>
      <c r="E33" s="1" t="n">
        <v>170</v>
      </c>
      <c r="F33" s="1" t="inlineStr">
        <is>
          <t>Fonseca</t>
        </is>
      </c>
      <c r="G33" s="1" t="inlineStr">
        <is>
          <t>La Guajira</t>
        </is>
      </c>
      <c r="H33" s="39" t="n">
        <v>36.6</v>
      </c>
      <c r="I33" s="1" t="n">
        <v>1993</v>
      </c>
      <c r="J33" s="1" t="n">
        <v>27</v>
      </c>
      <c r="K33" s="39" t="n">
        <v>38</v>
      </c>
      <c r="L33" s="1" t="n">
        <v>2004</v>
      </c>
      <c r="M33" s="1" t="n">
        <v>22</v>
      </c>
      <c r="N33" s="39" t="n">
        <v>38.4</v>
      </c>
      <c r="O33" s="1" t="n">
        <v>1984</v>
      </c>
      <c r="P33" s="1" t="n">
        <v>31</v>
      </c>
      <c r="Q33" s="39" t="n">
        <v>38</v>
      </c>
      <c r="R33" s="1" t="n">
        <v>1976</v>
      </c>
      <c r="S33" s="1" t="n">
        <v>8</v>
      </c>
      <c r="T33" s="39" t="n">
        <v>38.4</v>
      </c>
      <c r="U33" s="1" t="n">
        <v>1986</v>
      </c>
      <c r="V33" s="1" t="n">
        <v>19</v>
      </c>
      <c r="W33" s="39" t="n">
        <v>39.6</v>
      </c>
      <c r="X33" s="1" t="n">
        <v>1978</v>
      </c>
      <c r="Y33" s="1" t="n">
        <v>7</v>
      </c>
      <c r="Z33" s="39" t="n">
        <v>38.6</v>
      </c>
      <c r="AA33" s="1" t="n">
        <v>1985</v>
      </c>
      <c r="AB33" s="1" t="n">
        <v>4</v>
      </c>
      <c r="AC33" s="39" t="n">
        <v>39.2</v>
      </c>
      <c r="AD33" s="1" t="n">
        <v>1991</v>
      </c>
      <c r="AE33" s="1" t="n">
        <v>16</v>
      </c>
      <c r="AF33" s="39" t="n">
        <v>38.8</v>
      </c>
      <c r="AG33" s="1" t="n">
        <v>1991</v>
      </c>
      <c r="AH33" s="1" t="n">
        <v>13</v>
      </c>
      <c r="AI33" s="39" t="n">
        <v>38</v>
      </c>
      <c r="AJ33" s="1" t="n">
        <v>1985</v>
      </c>
      <c r="AK33" s="1" t="n">
        <v>12</v>
      </c>
      <c r="AL33" s="39" t="n">
        <v>36.8</v>
      </c>
      <c r="AM33" s="1" t="n">
        <v>1994</v>
      </c>
      <c r="AN33" s="1" t="n">
        <v>14</v>
      </c>
      <c r="AO33" s="39" t="n">
        <v>39</v>
      </c>
      <c r="AP33" s="1" t="n">
        <v>1990</v>
      </c>
      <c r="AQ33" s="1" t="n">
        <v>6</v>
      </c>
    </row>
    <row r="34" ht="14.45" customHeight="1">
      <c r="A34" s="1" t="n">
        <v>15065180</v>
      </c>
      <c r="B34" s="1" t="inlineStr">
        <is>
          <t>AEROPUERTO ALM. PADILLA - [15065180]</t>
        </is>
      </c>
      <c r="C34" s="1" t="n">
        <v>11.5284444</v>
      </c>
      <c r="D34" s="1" t="n">
        <v>-72.91772222199999</v>
      </c>
      <c r="E34" s="1" t="n">
        <v>15</v>
      </c>
      <c r="F34" s="1" t="inlineStr">
        <is>
          <t>Riohacha</t>
        </is>
      </c>
      <c r="G34" s="1" t="inlineStr">
        <is>
          <t>La Guajira</t>
        </is>
      </c>
      <c r="H34" s="39" t="n">
        <v>38.4</v>
      </c>
      <c r="I34" s="1" t="n">
        <v>1998</v>
      </c>
      <c r="J34" s="1" t="n">
        <v>27</v>
      </c>
      <c r="K34" s="39" t="n">
        <v>38</v>
      </c>
      <c r="L34" s="1" t="n">
        <v>1998</v>
      </c>
      <c r="M34" s="1" t="n">
        <v>6</v>
      </c>
      <c r="N34" s="39" t="n">
        <v>39.8</v>
      </c>
      <c r="O34" s="1" t="n">
        <v>1993</v>
      </c>
      <c r="P34" s="1" t="n">
        <v>13</v>
      </c>
      <c r="Q34" s="39" t="n">
        <v>38.6</v>
      </c>
      <c r="R34" s="1" t="n">
        <v>2015</v>
      </c>
      <c r="S34" s="1" t="n">
        <v>27</v>
      </c>
      <c r="T34" s="39" t="n">
        <v>38.4</v>
      </c>
      <c r="U34" s="1" t="n">
        <v>1997</v>
      </c>
      <c r="V34" s="1" t="n">
        <v>29</v>
      </c>
      <c r="W34" s="39" t="n">
        <v>39.4</v>
      </c>
      <c r="X34" s="1" t="n">
        <v>2013</v>
      </c>
      <c r="Y34" s="1" t="n">
        <v>5</v>
      </c>
      <c r="Z34" s="39" t="n">
        <v>39.2</v>
      </c>
      <c r="AA34" s="1" t="n">
        <v>2014</v>
      </c>
      <c r="AB34" s="1" t="n">
        <v>16</v>
      </c>
      <c r="AC34" s="39" t="n">
        <v>39.4</v>
      </c>
      <c r="AD34" s="1" t="n">
        <v>2000</v>
      </c>
      <c r="AE34" s="1" t="n">
        <v>29</v>
      </c>
      <c r="AF34" s="39" t="n">
        <v>39.6</v>
      </c>
      <c r="AG34" s="1" t="n">
        <v>2009</v>
      </c>
      <c r="AH34" s="1" t="n">
        <v>6</v>
      </c>
      <c r="AI34" s="39" t="n">
        <v>38.3</v>
      </c>
      <c r="AJ34" s="1" t="n">
        <v>2009</v>
      </c>
      <c r="AK34" s="1" t="n">
        <v>1</v>
      </c>
      <c r="AL34" s="39" t="n">
        <v>39</v>
      </c>
      <c r="AM34" s="1" t="n">
        <v>1986</v>
      </c>
      <c r="AN34" s="1" t="n">
        <v>29</v>
      </c>
      <c r="AO34" s="39" t="n">
        <v>36.2</v>
      </c>
      <c r="AP34" s="1" t="n">
        <v>1997</v>
      </c>
      <c r="AQ34" s="1" t="n">
        <v>29</v>
      </c>
    </row>
    <row r="35" ht="14.45" customHeight="1">
      <c r="A35" s="1" t="n">
        <v>15065501</v>
      </c>
      <c r="B35" s="1" t="inlineStr">
        <is>
          <t>LA MINA CERREJON  - AUT [15065501]</t>
        </is>
      </c>
      <c r="C35" s="1" t="n">
        <v>11.13758333</v>
      </c>
      <c r="D35" s="1" t="n">
        <v>-72.61594444000001</v>
      </c>
      <c r="E35" s="1" t="n">
        <v>80</v>
      </c>
      <c r="F35" s="1" t="inlineStr">
        <is>
          <t>Albania</t>
        </is>
      </c>
      <c r="G35" s="1" t="inlineStr">
        <is>
          <t>La Guajira</t>
        </is>
      </c>
      <c r="H35" s="39" t="n">
        <v>38.2</v>
      </c>
      <c r="I35" s="1" t="n">
        <v>1998</v>
      </c>
      <c r="J35" s="1" t="n">
        <v>16</v>
      </c>
      <c r="K35" s="39" t="n">
        <v>39.6</v>
      </c>
      <c r="L35" s="1" t="n">
        <v>1998</v>
      </c>
      <c r="M35" s="1" t="n">
        <v>17</v>
      </c>
      <c r="N35" s="39" t="n">
        <v>40</v>
      </c>
      <c r="O35" s="1" t="n">
        <v>1993</v>
      </c>
      <c r="P35" s="1" t="n">
        <v>13</v>
      </c>
      <c r="Q35" s="39" t="n">
        <v>40.6</v>
      </c>
      <c r="R35" s="1" t="n">
        <v>2015</v>
      </c>
      <c r="S35" s="1" t="n">
        <v>28</v>
      </c>
      <c r="T35" s="39" t="n">
        <v>39</v>
      </c>
      <c r="U35" s="1" t="n">
        <v>2020</v>
      </c>
      <c r="V35" s="1" t="n">
        <v>9</v>
      </c>
      <c r="W35" s="39" t="n">
        <v>39.6</v>
      </c>
      <c r="X35" s="1" t="n">
        <v>2015</v>
      </c>
      <c r="Y35" s="1" t="n">
        <v>5</v>
      </c>
      <c r="Z35" s="39" t="n">
        <v>39.6</v>
      </c>
      <c r="AA35" s="1" t="n">
        <v>1997</v>
      </c>
      <c r="AB35" s="1" t="n">
        <v>20</v>
      </c>
      <c r="AC35" s="39" t="n">
        <v>40</v>
      </c>
      <c r="AD35" s="1" t="n">
        <v>1991</v>
      </c>
      <c r="AE35" s="1" t="n">
        <v>16</v>
      </c>
      <c r="AF35" s="39" t="n">
        <v>40.8</v>
      </c>
      <c r="AG35" s="1" t="n">
        <v>1991</v>
      </c>
      <c r="AH35" s="1" t="n">
        <v>12</v>
      </c>
      <c r="AI35" s="39" t="n">
        <v>38.7</v>
      </c>
      <c r="AJ35" s="1" t="n">
        <v>2009</v>
      </c>
      <c r="AK35" s="1" t="n">
        <v>1</v>
      </c>
      <c r="AL35" s="39" t="n">
        <v>37.2</v>
      </c>
      <c r="AM35" s="1" t="n">
        <v>2007</v>
      </c>
      <c r="AN35" s="1" t="n">
        <v>12</v>
      </c>
      <c r="AO35" s="39" t="n">
        <v>36.8</v>
      </c>
      <c r="AP35" s="1" t="n">
        <v>2015</v>
      </c>
      <c r="AQ35" s="1" t="n">
        <v>10</v>
      </c>
    </row>
    <row r="36" ht="14.45" customHeight="1">
      <c r="A36" s="1" t="n">
        <v>15075030</v>
      </c>
      <c r="B36" s="1" t="inlineStr">
        <is>
          <t>MANAURE [15075030]</t>
        </is>
      </c>
      <c r="C36" s="1" t="n">
        <v>11.78105556</v>
      </c>
      <c r="D36" s="1" t="n">
        <v>-72.4635</v>
      </c>
      <c r="E36" s="1" t="n">
        <v>1</v>
      </c>
      <c r="F36" s="1" t="inlineStr">
        <is>
          <t>Manaure</t>
        </is>
      </c>
      <c r="G36" s="1" t="inlineStr">
        <is>
          <t>La Guajira</t>
        </is>
      </c>
      <c r="H36" s="39" t="n">
        <v>38</v>
      </c>
      <c r="I36" s="1" t="n">
        <v>2020</v>
      </c>
      <c r="J36" s="1" t="n">
        <v>3</v>
      </c>
      <c r="K36" s="39" t="n">
        <v>38.2</v>
      </c>
      <c r="L36" s="1" t="n">
        <v>2016</v>
      </c>
      <c r="M36" s="1" t="n">
        <v>11</v>
      </c>
      <c r="N36" s="39" t="n">
        <v>39.2</v>
      </c>
      <c r="O36" s="1" t="n">
        <v>2010</v>
      </c>
      <c r="P36" s="1" t="n">
        <v>21</v>
      </c>
      <c r="Q36" s="39" t="n">
        <v>41.4</v>
      </c>
      <c r="R36" s="1" t="n">
        <v>2015</v>
      </c>
      <c r="S36" s="1" t="n">
        <v>28</v>
      </c>
      <c r="T36" s="39" t="n">
        <v>40.6</v>
      </c>
      <c r="U36" s="1" t="n">
        <v>2023</v>
      </c>
      <c r="V36" s="1" t="n">
        <v>9</v>
      </c>
      <c r="W36" s="39" t="n">
        <v>41</v>
      </c>
      <c r="X36" s="1" t="n">
        <v>2020</v>
      </c>
      <c r="Y36" s="1" t="n">
        <v>20</v>
      </c>
      <c r="Z36" s="39" t="n">
        <v>41</v>
      </c>
      <c r="AA36" s="1" t="n">
        <v>2020</v>
      </c>
      <c r="AB36" s="1" t="n">
        <v>19</v>
      </c>
      <c r="AC36" s="39" t="n">
        <v>41.4</v>
      </c>
      <c r="AD36" s="1" t="n">
        <v>2023</v>
      </c>
      <c r="AE36" s="1" t="n">
        <v>31</v>
      </c>
      <c r="AF36" s="39" t="n">
        <v>40.4</v>
      </c>
      <c r="AG36" s="1" t="n">
        <v>2015</v>
      </c>
      <c r="AH36" s="1" t="n">
        <v>26</v>
      </c>
      <c r="AI36" s="39" t="n">
        <v>39.8</v>
      </c>
      <c r="AJ36" s="1" t="n">
        <v>2015</v>
      </c>
      <c r="AK36" s="1" t="n">
        <v>6</v>
      </c>
      <c r="AL36" s="39" t="n">
        <v>39.6</v>
      </c>
      <c r="AM36" s="1" t="n">
        <v>2019</v>
      </c>
      <c r="AN36" s="1" t="n">
        <v>9</v>
      </c>
      <c r="AO36" s="39" t="n">
        <v>39.2</v>
      </c>
      <c r="AP36" s="1" t="n">
        <v>2019</v>
      </c>
      <c r="AQ36" s="1" t="n">
        <v>2</v>
      </c>
    </row>
    <row r="37" ht="14.45" customHeight="1">
      <c r="A37" s="1" t="n">
        <v>15075501</v>
      </c>
      <c r="B37" s="1" t="inlineStr">
        <is>
          <t>AEROPUERTO PUERTO BOLIVAR  - AUT [15075501]</t>
        </is>
      </c>
      <c r="C37" s="1" t="n">
        <v>12.22430556</v>
      </c>
      <c r="D37" s="1" t="n">
        <v>-71.98288889</v>
      </c>
      <c r="E37" s="1" t="n">
        <v>10</v>
      </c>
      <c r="F37" s="1" t="inlineStr">
        <is>
          <t>Uribia</t>
        </is>
      </c>
      <c r="G37" s="1" t="inlineStr">
        <is>
          <t>La Guajira</t>
        </is>
      </c>
      <c r="H37" s="39" t="n">
        <v>37.2</v>
      </c>
      <c r="I37" s="1" t="n">
        <v>2021</v>
      </c>
      <c r="J37" s="1" t="n">
        <v>16</v>
      </c>
      <c r="K37" s="39" t="n">
        <v>38.4</v>
      </c>
      <c r="L37" s="1" t="n">
        <v>2013</v>
      </c>
      <c r="M37" s="1" t="n">
        <v>27</v>
      </c>
      <c r="N37" s="39" t="n">
        <v>38</v>
      </c>
      <c r="O37" s="1" t="n">
        <v>2013</v>
      </c>
      <c r="P37" s="1" t="n">
        <v>9</v>
      </c>
      <c r="Q37" s="39" t="n">
        <v>38.2</v>
      </c>
      <c r="R37" s="1" t="n">
        <v>2015</v>
      </c>
      <c r="S37" s="1" t="n">
        <v>29</v>
      </c>
      <c r="T37" s="39" t="n">
        <v>37.8</v>
      </c>
      <c r="U37" s="1" t="n">
        <v>2004</v>
      </c>
      <c r="V37" s="1" t="n">
        <v>10</v>
      </c>
      <c r="W37" s="39" t="n">
        <v>38</v>
      </c>
      <c r="X37" s="1" t="n">
        <v>2024</v>
      </c>
      <c r="Y37" s="1" t="n">
        <v>20</v>
      </c>
      <c r="Z37" s="39" t="n">
        <v>37.8</v>
      </c>
      <c r="AA37" s="1" t="n">
        <v>2004</v>
      </c>
      <c r="AB37" s="1" t="n">
        <v>16</v>
      </c>
      <c r="AC37" s="39" t="n">
        <v>39.4</v>
      </c>
      <c r="AD37" s="1" t="n">
        <v>2014</v>
      </c>
      <c r="AE37" s="1" t="n">
        <v>3</v>
      </c>
      <c r="AF37" s="39" t="n">
        <v>38.7</v>
      </c>
      <c r="AG37" s="1" t="n">
        <v>2009</v>
      </c>
      <c r="AH37" s="1" t="n">
        <v>18</v>
      </c>
      <c r="AI37" s="39" t="n">
        <v>38.2</v>
      </c>
      <c r="AJ37" s="1" t="n">
        <v>2018</v>
      </c>
      <c r="AK37" s="1" t="n">
        <v>25</v>
      </c>
      <c r="AL37" s="39" t="n">
        <v>38.2</v>
      </c>
      <c r="AM37" s="1" t="n">
        <v>2015</v>
      </c>
      <c r="AN37" s="1" t="n">
        <v>22</v>
      </c>
      <c r="AO37" s="39" t="n">
        <v>37</v>
      </c>
      <c r="AP37" s="1" t="n">
        <v>2014</v>
      </c>
      <c r="AQ37" s="1" t="n">
        <v>31</v>
      </c>
    </row>
    <row r="38" ht="14.45" customHeight="1">
      <c r="A38" s="1" t="n">
        <v>15085020</v>
      </c>
      <c r="B38" s="1" t="inlineStr">
        <is>
          <t>NAZARETH [15085020]</t>
        </is>
      </c>
      <c r="C38" s="1" t="n">
        <v>12.17888889</v>
      </c>
      <c r="D38" s="1" t="n">
        <v>-71.28388889</v>
      </c>
      <c r="E38" s="1" t="n">
        <v>85</v>
      </c>
      <c r="F38" s="1" t="inlineStr">
        <is>
          <t>Uribia</t>
        </is>
      </c>
      <c r="G38" s="1" t="inlineStr">
        <is>
          <t>La Guajira</t>
        </is>
      </c>
      <c r="H38" s="39" t="n">
        <v>37</v>
      </c>
      <c r="I38" s="1" t="n">
        <v>2010</v>
      </c>
      <c r="J38" s="1" t="n">
        <v>9</v>
      </c>
      <c r="K38" s="39" t="n">
        <v>36.6</v>
      </c>
      <c r="L38" s="1" t="n">
        <v>1993</v>
      </c>
      <c r="M38" s="1" t="n">
        <v>28</v>
      </c>
      <c r="N38" s="39" t="n">
        <v>36.2</v>
      </c>
      <c r="O38" s="1" t="n">
        <v>2010</v>
      </c>
      <c r="P38" s="1" t="n">
        <v>7</v>
      </c>
      <c r="Q38" s="39" t="n">
        <v>36.6</v>
      </c>
      <c r="R38" s="1" t="n">
        <v>2001</v>
      </c>
      <c r="S38" s="1" t="n">
        <v>25</v>
      </c>
      <c r="T38" s="39" t="n">
        <v>37.8</v>
      </c>
      <c r="U38" s="1" t="n">
        <v>2010</v>
      </c>
      <c r="V38" s="1" t="n">
        <v>23</v>
      </c>
      <c r="W38" s="39" t="n">
        <v>37.8</v>
      </c>
      <c r="X38" s="1" t="n">
        <v>2010</v>
      </c>
      <c r="Y38" s="1" t="n">
        <v>27</v>
      </c>
      <c r="Z38" s="39" t="n">
        <v>37.6</v>
      </c>
      <c r="AA38" s="1" t="n">
        <v>2010</v>
      </c>
      <c r="AB38" s="1" t="n">
        <v>21</v>
      </c>
      <c r="AC38" s="39" t="n">
        <v>39.4</v>
      </c>
      <c r="AD38" s="1" t="n">
        <v>2010</v>
      </c>
      <c r="AE38" s="1" t="n">
        <v>12</v>
      </c>
      <c r="AF38" s="39" t="n">
        <v>39</v>
      </c>
      <c r="AG38" s="1" t="n">
        <v>2010</v>
      </c>
      <c r="AH38" s="1" t="n">
        <v>26</v>
      </c>
      <c r="AI38" s="39" t="n">
        <v>37.6</v>
      </c>
      <c r="AJ38" s="1" t="n">
        <v>2010</v>
      </c>
      <c r="AK38" s="1" t="n">
        <v>18</v>
      </c>
      <c r="AL38" s="39" t="n">
        <v>35.8</v>
      </c>
      <c r="AM38" s="1" t="n">
        <v>2009</v>
      </c>
      <c r="AN38" s="1" t="n">
        <v>17</v>
      </c>
      <c r="AO38" s="39" t="n">
        <v>37.6</v>
      </c>
      <c r="AP38" s="1" t="n">
        <v>2013</v>
      </c>
      <c r="AQ38" s="1" t="n">
        <v>22</v>
      </c>
    </row>
    <row r="39" ht="14.45" customHeight="1">
      <c r="A39" s="1" t="n">
        <v>15085030</v>
      </c>
      <c r="B39" s="1" t="inlineStr">
        <is>
          <t>ESCUELA AGRICOLA CARRAIPIA  - AUT [15085030]</t>
        </is>
      </c>
      <c r="C39" s="1" t="n">
        <v>11.21675</v>
      </c>
      <c r="D39" s="1" t="n">
        <v>-72.35994444000001</v>
      </c>
      <c r="E39" s="1" t="n">
        <v>118</v>
      </c>
      <c r="F39" s="1" t="inlineStr">
        <is>
          <t>Maicao</t>
        </is>
      </c>
      <c r="G39" s="1" t="inlineStr">
        <is>
          <t>La Guajira</t>
        </is>
      </c>
      <c r="H39" s="39" t="n">
        <v>36.6</v>
      </c>
      <c r="I39" s="1" t="n">
        <v>1991</v>
      </c>
      <c r="J39" s="1" t="n">
        <v>7</v>
      </c>
      <c r="K39" s="39" t="n">
        <v>36.6</v>
      </c>
      <c r="L39" s="1" t="n">
        <v>2025</v>
      </c>
      <c r="M39" s="1" t="n">
        <v>25</v>
      </c>
      <c r="N39" s="39" t="n">
        <v>39</v>
      </c>
      <c r="O39" s="1" t="n">
        <v>2024</v>
      </c>
      <c r="P39" s="1" t="n">
        <v>24</v>
      </c>
      <c r="Q39" s="39" t="n">
        <v>38.4</v>
      </c>
      <c r="R39" s="1" t="n">
        <v>2024</v>
      </c>
      <c r="S39" s="1" t="n">
        <v>7</v>
      </c>
      <c r="T39" s="39" t="n">
        <v>39.4</v>
      </c>
      <c r="U39" s="1" t="n">
        <v>2020</v>
      </c>
      <c r="V39" s="1" t="n">
        <v>24</v>
      </c>
      <c r="W39" s="39" t="n">
        <v>38.6</v>
      </c>
      <c r="X39" s="1" t="n">
        <v>2000</v>
      </c>
      <c r="Y39" s="1" t="n">
        <v>7</v>
      </c>
      <c r="Z39" s="39" t="n">
        <v>40</v>
      </c>
      <c r="AA39" s="1" t="n">
        <v>2024</v>
      </c>
      <c r="AB39" s="1" t="n">
        <v>31</v>
      </c>
      <c r="AC39" s="39" t="n">
        <v>40.8</v>
      </c>
      <c r="AD39" s="1" t="n">
        <v>2001</v>
      </c>
      <c r="AE39" s="1" t="n">
        <v>21</v>
      </c>
      <c r="AF39" s="39" t="n">
        <v>40</v>
      </c>
      <c r="AG39" s="1" t="n">
        <v>2015</v>
      </c>
      <c r="AH39" s="1" t="n">
        <v>13</v>
      </c>
      <c r="AI39" s="39" t="n">
        <v>38.8</v>
      </c>
      <c r="AJ39" s="1" t="n">
        <v>2016</v>
      </c>
      <c r="AK39" s="1" t="n">
        <v>4</v>
      </c>
      <c r="AL39" s="39" t="n">
        <v>38.4</v>
      </c>
      <c r="AM39" s="1" t="n">
        <v>1991</v>
      </c>
      <c r="AN39" s="1" t="n">
        <v>17</v>
      </c>
      <c r="AO39" s="39" t="n">
        <v>36.8</v>
      </c>
      <c r="AP39" s="1" t="n">
        <v>2004</v>
      </c>
      <c r="AQ39" s="1" t="n">
        <v>21</v>
      </c>
    </row>
    <row r="40" ht="14.45" customHeight="1">
      <c r="A40" s="1" t="n">
        <v>15085040</v>
      </c>
      <c r="B40" s="1" t="inlineStr">
        <is>
          <t>RANCHO GRANDE [15085040]</t>
        </is>
      </c>
      <c r="C40" s="1" t="n">
        <v>11.68605556</v>
      </c>
      <c r="D40" s="1" t="n">
        <v>-71.83305556000001</v>
      </c>
      <c r="E40" s="1" t="n">
        <v>50</v>
      </c>
      <c r="F40" s="1" t="inlineStr">
        <is>
          <t>Uribia</t>
        </is>
      </c>
      <c r="G40" s="1" t="inlineStr">
        <is>
          <t>La Guajira</t>
        </is>
      </c>
      <c r="H40" s="39" t="n">
        <v>35.5</v>
      </c>
      <c r="I40" s="1" t="n">
        <v>1978</v>
      </c>
      <c r="J40" s="1" t="n">
        <v>3</v>
      </c>
      <c r="K40" s="39" t="n">
        <v>36.4</v>
      </c>
      <c r="L40" s="1" t="n">
        <v>1998</v>
      </c>
      <c r="M40" s="1" t="n">
        <v>7</v>
      </c>
      <c r="N40" s="39" t="n">
        <v>38.4</v>
      </c>
      <c r="O40" s="1" t="n">
        <v>2003</v>
      </c>
      <c r="P40" s="1" t="n">
        <v>16</v>
      </c>
      <c r="Q40" s="39" t="n">
        <v>37.6</v>
      </c>
      <c r="R40" s="1" t="n">
        <v>2015</v>
      </c>
      <c r="S40" s="1" t="n">
        <v>28</v>
      </c>
      <c r="T40" s="39" t="n">
        <v>37.2</v>
      </c>
      <c r="U40" s="1" t="n">
        <v>1990</v>
      </c>
      <c r="V40" s="1" t="n">
        <v>10</v>
      </c>
      <c r="W40" s="39" t="n">
        <v>38</v>
      </c>
      <c r="X40" s="1" t="n">
        <v>2023</v>
      </c>
      <c r="Y40" s="1" t="n">
        <v>24</v>
      </c>
      <c r="Z40" s="39" t="n">
        <v>37.6</v>
      </c>
      <c r="AA40" s="1" t="n">
        <v>2021</v>
      </c>
      <c r="AB40" s="1" t="n">
        <v>3</v>
      </c>
      <c r="AC40" s="39" t="n">
        <v>38.6</v>
      </c>
      <c r="AD40" s="1" t="n">
        <v>2024</v>
      </c>
      <c r="AE40" s="1" t="n">
        <v>24</v>
      </c>
      <c r="AF40" s="39" t="n">
        <v>37.6</v>
      </c>
      <c r="AG40" s="1" t="n">
        <v>2006</v>
      </c>
      <c r="AH40" s="1" t="n">
        <v>27</v>
      </c>
      <c r="AI40" s="39" t="n">
        <v>38.6</v>
      </c>
      <c r="AJ40" s="1" t="n">
        <v>1992</v>
      </c>
      <c r="AK40" s="1" t="n">
        <v>6</v>
      </c>
      <c r="AL40" s="39" t="n">
        <v>37.8</v>
      </c>
      <c r="AM40" s="1" t="n">
        <v>1999</v>
      </c>
      <c r="AN40" s="1" t="n">
        <v>17</v>
      </c>
      <c r="AO40" s="39" t="n">
        <v>35.2</v>
      </c>
      <c r="AP40" s="1" t="n">
        <v>1980</v>
      </c>
      <c r="AQ40" s="1" t="n">
        <v>22</v>
      </c>
    </row>
    <row r="41" ht="14.45" customHeight="1">
      <c r="A41" s="1" t="n">
        <v>16015010</v>
      </c>
      <c r="B41" s="1" t="inlineStr">
        <is>
          <t>AEROPUERTO CAMILO DAZA [16015010]</t>
        </is>
      </c>
      <c r="C41" s="1" t="n">
        <v>7.930277778</v>
      </c>
      <c r="D41" s="1" t="n">
        <v>-72.50916667</v>
      </c>
      <c r="E41" s="1" t="n">
        <v>250</v>
      </c>
      <c r="F41" s="1" t="inlineStr">
        <is>
          <t>Cúcuta</t>
        </is>
      </c>
      <c r="G41" s="1" t="inlineStr">
        <is>
          <t>Norte De Santander</t>
        </is>
      </c>
      <c r="H41" s="39" t="n">
        <v>37.3</v>
      </c>
      <c r="I41" s="1" t="n">
        <v>2010</v>
      </c>
      <c r="J41" s="1" t="n">
        <v>22</v>
      </c>
      <c r="K41" s="39" t="n">
        <v>38</v>
      </c>
      <c r="L41" s="1" t="n">
        <v>1998</v>
      </c>
      <c r="M41" s="1" t="n">
        <v>3</v>
      </c>
      <c r="N41" s="39" t="n">
        <v>38</v>
      </c>
      <c r="O41" s="1" t="n">
        <v>2010</v>
      </c>
      <c r="P41" s="1" t="n">
        <v>22</v>
      </c>
      <c r="Q41" s="39" t="n">
        <v>38.2</v>
      </c>
      <c r="R41" s="1" t="n">
        <v>1992</v>
      </c>
      <c r="S41" s="1" t="n">
        <v>4</v>
      </c>
      <c r="T41" s="39" t="n">
        <v>38.8</v>
      </c>
      <c r="U41" s="1" t="n">
        <v>2010</v>
      </c>
      <c r="V41" s="1" t="n">
        <v>16</v>
      </c>
      <c r="W41" s="39" t="n">
        <v>37.2</v>
      </c>
      <c r="X41" s="1" t="n">
        <v>2015</v>
      </c>
      <c r="Y41" s="1" t="n">
        <v>6</v>
      </c>
      <c r="Z41" s="39" t="n">
        <v>37.5</v>
      </c>
      <c r="AA41" s="1" t="n">
        <v>1990</v>
      </c>
      <c r="AB41" s="1" t="n">
        <v>4</v>
      </c>
      <c r="AC41" s="39" t="n">
        <v>38.7</v>
      </c>
      <c r="AD41" s="1" t="n">
        <v>1997</v>
      </c>
      <c r="AE41" s="1" t="n">
        <v>30</v>
      </c>
      <c r="AF41" s="39" t="n">
        <v>38.4</v>
      </c>
      <c r="AG41" s="1" t="n">
        <v>1997</v>
      </c>
      <c r="AH41" s="1" t="n">
        <v>14</v>
      </c>
      <c r="AI41" s="39" t="n">
        <v>38.2</v>
      </c>
      <c r="AJ41" s="1" t="n">
        <v>1997</v>
      </c>
      <c r="AK41" s="1" t="n">
        <v>6</v>
      </c>
      <c r="AL41" s="39" t="n">
        <v>36.8</v>
      </c>
      <c r="AM41" s="1" t="n">
        <v>1997</v>
      </c>
      <c r="AN41" s="1" t="n">
        <v>3</v>
      </c>
      <c r="AO41" s="39" t="n">
        <v>37</v>
      </c>
      <c r="AP41" s="1" t="n">
        <v>1997</v>
      </c>
      <c r="AQ41" s="1" t="n">
        <v>8</v>
      </c>
    </row>
    <row r="42" ht="14.45" customHeight="1">
      <c r="A42" s="1" t="n">
        <v>16015020</v>
      </c>
      <c r="B42" s="1" t="inlineStr">
        <is>
          <t>ISER PAMPLONA [16015020]</t>
        </is>
      </c>
      <c r="C42" s="1" t="n">
        <v>7.373111111</v>
      </c>
      <c r="D42" s="1" t="n">
        <v>-72.645</v>
      </c>
      <c r="E42" s="1" t="n">
        <v>2340</v>
      </c>
      <c r="F42" s="1" t="inlineStr">
        <is>
          <t>Pamplona</t>
        </is>
      </c>
      <c r="G42" s="1" t="inlineStr">
        <is>
          <t>Norte De Santander</t>
        </is>
      </c>
      <c r="H42" s="39" t="n">
        <v>24</v>
      </c>
      <c r="I42" s="1" t="n">
        <v>1995</v>
      </c>
      <c r="J42" s="1" t="n">
        <v>24</v>
      </c>
      <c r="K42" s="39" t="n">
        <v>25</v>
      </c>
      <c r="L42" s="1" t="n">
        <v>2024</v>
      </c>
      <c r="M42" s="1" t="n">
        <v>19</v>
      </c>
      <c r="N42" s="39" t="n">
        <v>24.4</v>
      </c>
      <c r="O42" s="1" t="n">
        <v>1992</v>
      </c>
      <c r="P42" s="1" t="n">
        <v>24</v>
      </c>
      <c r="Q42" s="39" t="n">
        <v>25</v>
      </c>
      <c r="R42" s="1" t="n">
        <v>1992</v>
      </c>
      <c r="S42" s="1" t="n">
        <v>4</v>
      </c>
      <c r="T42" s="39" t="n">
        <v>24</v>
      </c>
      <c r="U42" s="1" t="n">
        <v>1983</v>
      </c>
      <c r="V42" s="1" t="n">
        <v>14</v>
      </c>
      <c r="W42" s="39" t="n">
        <v>24.2</v>
      </c>
      <c r="X42" s="1" t="n">
        <v>2024</v>
      </c>
      <c r="Y42" s="1" t="n">
        <v>2</v>
      </c>
      <c r="Z42" s="39" t="n">
        <v>23</v>
      </c>
      <c r="AA42" s="1" t="n">
        <v>2004</v>
      </c>
      <c r="AB42" s="1" t="n">
        <v>23</v>
      </c>
      <c r="AC42" s="39" t="n">
        <v>23.4</v>
      </c>
      <c r="AD42" s="1" t="n">
        <v>2014</v>
      </c>
      <c r="AE42" s="1" t="n">
        <v>22</v>
      </c>
      <c r="AF42" s="39" t="n">
        <v>24.2</v>
      </c>
      <c r="AG42" s="1" t="n">
        <v>2023</v>
      </c>
      <c r="AH42" s="1" t="n">
        <v>30</v>
      </c>
      <c r="AI42" s="39" t="n">
        <v>24.8</v>
      </c>
      <c r="AJ42" s="1" t="n">
        <v>2023</v>
      </c>
      <c r="AK42" s="1" t="n">
        <v>1</v>
      </c>
      <c r="AL42" s="39" t="n">
        <v>23</v>
      </c>
      <c r="AM42" s="1" t="n">
        <v>1998</v>
      </c>
      <c r="AN42" s="1" t="n">
        <v>17</v>
      </c>
      <c r="AO42" s="39" t="n">
        <v>22.5</v>
      </c>
      <c r="AP42" s="1" t="n">
        <v>2003</v>
      </c>
      <c r="AQ42" s="1" t="n">
        <v>10</v>
      </c>
    </row>
    <row r="43" ht="14.45" customHeight="1">
      <c r="A43" s="1" t="n">
        <v>16015030</v>
      </c>
      <c r="B43" s="1" t="inlineStr">
        <is>
          <t>ESPERANZA LA [16015030]</t>
        </is>
      </c>
      <c r="C43" s="1" t="n">
        <v>7.569722222</v>
      </c>
      <c r="D43" s="1" t="n">
        <v>-72.53388889</v>
      </c>
      <c r="E43" s="1" t="n">
        <v>1760</v>
      </c>
      <c r="F43" s="1" t="inlineStr">
        <is>
          <t>Ragonvalia</t>
        </is>
      </c>
      <c r="G43" s="1" t="inlineStr">
        <is>
          <t>Norte De Santander</t>
        </is>
      </c>
      <c r="H43" s="39" t="n">
        <v>26.6</v>
      </c>
      <c r="I43" s="1" t="n">
        <v>1998</v>
      </c>
      <c r="J43" s="1" t="n">
        <v>31</v>
      </c>
      <c r="K43" s="39" t="n">
        <v>28</v>
      </c>
      <c r="L43" s="1" t="n">
        <v>2002</v>
      </c>
      <c r="M43" s="1" t="n">
        <v>9</v>
      </c>
      <c r="N43" s="39" t="n">
        <v>28</v>
      </c>
      <c r="O43" s="1" t="n">
        <v>2002</v>
      </c>
      <c r="P43" s="1" t="n">
        <v>26</v>
      </c>
      <c r="Q43" s="39" t="n">
        <v>26.6</v>
      </c>
      <c r="R43" s="1" t="n">
        <v>1992</v>
      </c>
      <c r="S43" s="1" t="n">
        <v>4</v>
      </c>
      <c r="T43" s="39" t="n">
        <v>28</v>
      </c>
      <c r="U43" s="1" t="n">
        <v>2020</v>
      </c>
      <c r="V43" s="1" t="n">
        <v>11</v>
      </c>
      <c r="W43" s="39" t="n">
        <v>27.4</v>
      </c>
      <c r="X43" s="1" t="n">
        <v>2001</v>
      </c>
      <c r="Y43" s="1" t="n">
        <v>16</v>
      </c>
      <c r="Z43" s="39" t="n">
        <v>27.4</v>
      </c>
      <c r="AA43" s="1" t="n">
        <v>2020</v>
      </c>
      <c r="AB43" s="1" t="n">
        <v>30</v>
      </c>
      <c r="AC43" s="39" t="n">
        <v>27.2</v>
      </c>
      <c r="AD43" s="1" t="n">
        <v>2000</v>
      </c>
      <c r="AE43" s="1" t="n">
        <v>18</v>
      </c>
      <c r="AF43" s="39" t="n">
        <v>29</v>
      </c>
      <c r="AG43" s="1" t="n">
        <v>2001</v>
      </c>
      <c r="AH43" s="1" t="n">
        <v>23</v>
      </c>
      <c r="AI43" s="39" t="n">
        <v>27.4</v>
      </c>
      <c r="AJ43" s="1" t="n">
        <v>2001</v>
      </c>
      <c r="AK43" s="1" t="n">
        <v>13</v>
      </c>
      <c r="AL43" s="39" t="n">
        <v>26</v>
      </c>
      <c r="AM43" s="1" t="n">
        <v>1983</v>
      </c>
      <c r="AN43" s="1" t="n">
        <v>5</v>
      </c>
      <c r="AO43" s="39" t="n">
        <v>26.4</v>
      </c>
      <c r="AP43" s="1" t="n">
        <v>2001</v>
      </c>
      <c r="AQ43" s="1" t="n">
        <v>11</v>
      </c>
    </row>
    <row r="44" ht="14.45" customHeight="1">
      <c r="A44" s="1" t="n">
        <v>16015100</v>
      </c>
      <c r="B44" s="1" t="inlineStr">
        <is>
          <t>RAGONVALIA [16015100]</t>
        </is>
      </c>
      <c r="C44" s="1" t="n">
        <v>7.576666667</v>
      </c>
      <c r="D44" s="1" t="n">
        <v>-72.48388889</v>
      </c>
      <c r="E44" s="1" t="n">
        <v>1550</v>
      </c>
      <c r="F44" s="1" t="inlineStr">
        <is>
          <t>Ragonvalia</t>
        </is>
      </c>
      <c r="G44" s="1" t="inlineStr">
        <is>
          <t>Norte De Santander</t>
        </is>
      </c>
      <c r="H44" s="39" t="n">
        <v>29.6</v>
      </c>
      <c r="I44" s="1" t="n">
        <v>2003</v>
      </c>
      <c r="J44" s="1" t="n">
        <v>10</v>
      </c>
      <c r="K44" s="39" t="n">
        <v>28.4</v>
      </c>
      <c r="L44" s="1" t="n">
        <v>2020</v>
      </c>
      <c r="M44" s="1" t="n">
        <v>17</v>
      </c>
      <c r="N44" s="39" t="n">
        <v>27.8</v>
      </c>
      <c r="O44" s="1" t="n">
        <v>2013</v>
      </c>
      <c r="P44" s="1" t="n">
        <v>27</v>
      </c>
      <c r="Q44" s="39" t="n">
        <v>28.4</v>
      </c>
      <c r="R44" s="1" t="n">
        <v>2024</v>
      </c>
      <c r="S44" s="1" t="n">
        <v>6</v>
      </c>
      <c r="T44" s="39" t="n">
        <v>29.8</v>
      </c>
      <c r="U44" s="1" t="n">
        <v>2020</v>
      </c>
      <c r="V44" s="1" t="n">
        <v>10</v>
      </c>
      <c r="W44" s="39" t="n">
        <v>27.6</v>
      </c>
      <c r="X44" s="1" t="n">
        <v>2002</v>
      </c>
      <c r="Y44" s="1" t="n">
        <v>4</v>
      </c>
      <c r="Z44" s="39" t="n">
        <v>27</v>
      </c>
      <c r="AA44" s="1" t="n">
        <v>2002</v>
      </c>
      <c r="AB44" s="1" t="n">
        <v>28</v>
      </c>
      <c r="AC44" s="39" t="n">
        <v>28.2</v>
      </c>
      <c r="AD44" s="1" t="n">
        <v>2002</v>
      </c>
      <c r="AE44" s="1" t="n">
        <v>17</v>
      </c>
      <c r="AF44" s="39" t="n">
        <v>29.3</v>
      </c>
      <c r="AG44" s="1" t="n">
        <v>2002</v>
      </c>
      <c r="AH44" s="1" t="n">
        <v>21</v>
      </c>
      <c r="AI44" s="39" t="n">
        <v>29</v>
      </c>
      <c r="AJ44" s="1" t="n">
        <v>2015</v>
      </c>
      <c r="AK44" s="1" t="n">
        <v>20</v>
      </c>
      <c r="AL44" s="39" t="n">
        <v>27.2</v>
      </c>
      <c r="AM44" s="1" t="n">
        <v>2002</v>
      </c>
      <c r="AN44" s="1" t="n">
        <v>28</v>
      </c>
      <c r="AO44" s="39" t="n">
        <v>29.4</v>
      </c>
      <c r="AP44" s="1" t="n">
        <v>2022</v>
      </c>
      <c r="AQ44" s="1" t="n">
        <v>2</v>
      </c>
    </row>
    <row r="45" ht="14.45" customHeight="1">
      <c r="A45" s="1" t="n">
        <v>16015140</v>
      </c>
      <c r="B45" s="1" t="inlineStr">
        <is>
          <t>FCA.LA PALMITA [16015140]</t>
        </is>
      </c>
      <c r="C45" s="1" t="n">
        <v>7.517361111</v>
      </c>
      <c r="D45" s="1" t="n">
        <v>-72.64408333</v>
      </c>
      <c r="E45" s="1" t="n">
        <v>1107</v>
      </c>
      <c r="F45" s="1" t="inlineStr">
        <is>
          <t>Pamplonita</t>
        </is>
      </c>
      <c r="G45" s="1" t="inlineStr">
        <is>
          <t>Norte De Santander</t>
        </is>
      </c>
      <c r="H45" s="39" t="n">
        <v>30.8</v>
      </c>
      <c r="I45" s="1" t="n">
        <v>2016</v>
      </c>
      <c r="J45" s="1" t="n">
        <v>8</v>
      </c>
      <c r="K45" s="39" t="n">
        <v>33</v>
      </c>
      <c r="L45" s="1" t="n">
        <v>2016</v>
      </c>
      <c r="M45" s="1" t="n">
        <v>16</v>
      </c>
      <c r="N45" s="39" t="n">
        <v>31</v>
      </c>
      <c r="O45" s="1" t="n">
        <v>2016</v>
      </c>
      <c r="P45" s="1" t="n">
        <v>20</v>
      </c>
      <c r="Q45" s="39" t="n">
        <v>31.4</v>
      </c>
      <c r="R45" s="1" t="n">
        <v>2020</v>
      </c>
      <c r="S45" s="1" t="n">
        <v>9</v>
      </c>
      <c r="T45" s="39" t="n">
        <v>33.6</v>
      </c>
      <c r="U45" s="1" t="n">
        <v>2020</v>
      </c>
      <c r="V45" s="1" t="n">
        <v>10</v>
      </c>
      <c r="W45" s="39" t="n">
        <v>32</v>
      </c>
      <c r="X45" s="1" t="n">
        <v>2016</v>
      </c>
      <c r="Y45" s="1" t="n">
        <v>5</v>
      </c>
      <c r="Z45" s="39" t="n">
        <v>32.4</v>
      </c>
      <c r="AA45" s="1" t="n">
        <v>2016</v>
      </c>
      <c r="AB45" s="1" t="n">
        <v>9</v>
      </c>
      <c r="AC45" s="39" t="n">
        <v>32.8</v>
      </c>
      <c r="AD45" s="1" t="n">
        <v>2016</v>
      </c>
      <c r="AE45" s="1" t="n">
        <v>8</v>
      </c>
      <c r="AF45" s="39" t="n">
        <v>32.6</v>
      </c>
      <c r="AG45" s="1" t="n">
        <v>2019</v>
      </c>
      <c r="AH45" s="1" t="n">
        <v>4</v>
      </c>
      <c r="AI45" s="39" t="n">
        <v>32</v>
      </c>
      <c r="AJ45" s="1" t="n">
        <v>2020</v>
      </c>
      <c r="AK45" s="1" t="n">
        <v>18</v>
      </c>
      <c r="AL45" s="39" t="n">
        <v>30</v>
      </c>
      <c r="AM45" s="1" t="n">
        <v>2021</v>
      </c>
      <c r="AN45" s="1" t="n">
        <v>6</v>
      </c>
      <c r="AO45" s="39" t="n">
        <v>31</v>
      </c>
      <c r="AP45" s="1" t="n">
        <v>2015</v>
      </c>
      <c r="AQ45" s="1" t="n">
        <v>24</v>
      </c>
    </row>
    <row r="46" ht="14.45" customHeight="1">
      <c r="A46" s="1" t="n">
        <v>16025010</v>
      </c>
      <c r="B46" s="1" t="inlineStr">
        <is>
          <t>CARMEN DE TONCHALA [16025010]</t>
        </is>
      </c>
      <c r="C46" s="1" t="n">
        <v>7.848888889</v>
      </c>
      <c r="D46" s="1" t="n">
        <v>-72.56611110999999</v>
      </c>
      <c r="E46" s="1" t="n">
        <v>285</v>
      </c>
      <c r="F46" s="1" t="inlineStr">
        <is>
          <t>Cúcuta</t>
        </is>
      </c>
      <c r="G46" s="1" t="inlineStr">
        <is>
          <t>Norte De Santander</t>
        </is>
      </c>
      <c r="H46" s="39" t="n">
        <v>38</v>
      </c>
      <c r="I46" s="1" t="n">
        <v>2010</v>
      </c>
      <c r="J46" s="1" t="n">
        <v>19</v>
      </c>
      <c r="K46" s="39" t="n">
        <v>38.8</v>
      </c>
      <c r="L46" s="1" t="n">
        <v>2016</v>
      </c>
      <c r="M46" s="1" t="n">
        <v>10</v>
      </c>
      <c r="N46" s="39" t="n">
        <v>38.8</v>
      </c>
      <c r="O46" s="1" t="n">
        <v>2024</v>
      </c>
      <c r="P46" s="1" t="n">
        <v>20</v>
      </c>
      <c r="Q46" s="39" t="n">
        <v>38.6</v>
      </c>
      <c r="R46" s="1" t="n">
        <v>1992</v>
      </c>
      <c r="S46" s="1" t="n">
        <v>4</v>
      </c>
      <c r="T46" s="39" t="n">
        <v>39.4</v>
      </c>
      <c r="U46" s="1" t="n">
        <v>2020</v>
      </c>
      <c r="V46" s="1" t="n">
        <v>21</v>
      </c>
      <c r="W46" s="39" t="n">
        <v>38</v>
      </c>
      <c r="X46" s="1" t="n">
        <v>1997</v>
      </c>
      <c r="Y46" s="1" t="n">
        <v>6</v>
      </c>
      <c r="Z46" s="39" t="n">
        <v>39</v>
      </c>
      <c r="AA46" s="1" t="n">
        <v>1992</v>
      </c>
      <c r="AB46" s="1" t="n">
        <v>19</v>
      </c>
      <c r="AC46" s="39" t="n">
        <v>39.6</v>
      </c>
      <c r="AD46" s="1" t="n">
        <v>2024</v>
      </c>
      <c r="AE46" s="1" t="n">
        <v>8</v>
      </c>
      <c r="AF46" s="39" t="n">
        <v>40</v>
      </c>
      <c r="AG46" s="1" t="n">
        <v>2024</v>
      </c>
      <c r="AH46" s="1" t="n">
        <v>11</v>
      </c>
      <c r="AI46" s="39" t="n">
        <v>39</v>
      </c>
      <c r="AJ46" s="1" t="n">
        <v>2023</v>
      </c>
      <c r="AK46" s="1" t="n">
        <v>17</v>
      </c>
      <c r="AL46" s="39" t="n">
        <v>38</v>
      </c>
      <c r="AM46" s="1" t="n">
        <v>2025</v>
      </c>
      <c r="AN46" s="1" t="n">
        <v>3</v>
      </c>
      <c r="AO46" s="39" t="n">
        <v>36.2</v>
      </c>
      <c r="AP46" s="1" t="n">
        <v>1997</v>
      </c>
      <c r="AQ46" s="1" t="n">
        <v>25</v>
      </c>
    </row>
    <row r="47" ht="14.45" customHeight="1">
      <c r="A47" s="1" t="n">
        <v>16025030</v>
      </c>
      <c r="B47" s="1" t="inlineStr">
        <is>
          <t>SALAZAR [16025030]</t>
        </is>
      </c>
      <c r="C47" s="1" t="n">
        <v>7.774583333</v>
      </c>
      <c r="D47" s="1" t="n">
        <v>-72.83055555999999</v>
      </c>
      <c r="E47" s="1" t="n">
        <v>860</v>
      </c>
      <c r="F47" s="1" t="inlineStr">
        <is>
          <t>Salazar</t>
        </is>
      </c>
      <c r="G47" s="1" t="inlineStr">
        <is>
          <t>Norte De Santander</t>
        </is>
      </c>
      <c r="H47" s="39" t="n">
        <v>32.8</v>
      </c>
      <c r="I47" s="1" t="n">
        <v>1998</v>
      </c>
      <c r="J47" s="1" t="n">
        <v>27</v>
      </c>
      <c r="K47" s="39" t="n">
        <v>34.8</v>
      </c>
      <c r="L47" s="1" t="n">
        <v>2016</v>
      </c>
      <c r="M47" s="1" t="n">
        <v>10</v>
      </c>
      <c r="N47" s="39" t="n">
        <v>33.6</v>
      </c>
      <c r="O47" s="1" t="n">
        <v>1999</v>
      </c>
      <c r="P47" s="1" t="n">
        <v>14</v>
      </c>
      <c r="Q47" s="39" t="n">
        <v>35.6</v>
      </c>
      <c r="R47" s="1" t="n">
        <v>1999</v>
      </c>
      <c r="S47" s="1" t="n">
        <v>22</v>
      </c>
      <c r="T47" s="39" t="n">
        <v>37</v>
      </c>
      <c r="U47" s="1" t="n">
        <v>1999</v>
      </c>
      <c r="V47" s="1" t="n">
        <v>24</v>
      </c>
      <c r="W47" s="39" t="n">
        <v>32.4</v>
      </c>
      <c r="X47" s="1" t="n">
        <v>2020</v>
      </c>
      <c r="Y47" s="1" t="n">
        <v>12</v>
      </c>
      <c r="Z47" s="39" t="n">
        <v>32.6</v>
      </c>
      <c r="AA47" s="1" t="n">
        <v>2013</v>
      </c>
      <c r="AB47" s="1" t="n">
        <v>13</v>
      </c>
      <c r="AC47" s="39" t="n">
        <v>33.4</v>
      </c>
      <c r="AD47" s="1" t="n">
        <v>2016</v>
      </c>
      <c r="AE47" s="1" t="n">
        <v>30</v>
      </c>
      <c r="AF47" s="39" t="n">
        <v>34.8</v>
      </c>
      <c r="AG47" s="1" t="n">
        <v>2015</v>
      </c>
      <c r="AH47" s="1" t="n">
        <v>27</v>
      </c>
      <c r="AI47" s="39" t="n">
        <v>33</v>
      </c>
      <c r="AJ47" s="1" t="n">
        <v>1989</v>
      </c>
      <c r="AK47" s="1" t="n">
        <v>26</v>
      </c>
      <c r="AL47" s="39" t="n">
        <v>31.2</v>
      </c>
      <c r="AM47" s="1" t="n">
        <v>2024</v>
      </c>
      <c r="AN47" s="1" t="n">
        <v>30</v>
      </c>
      <c r="AO47" s="39" t="n">
        <v>31.2</v>
      </c>
      <c r="AP47" s="1" t="n">
        <v>1997</v>
      </c>
      <c r="AQ47" s="1" t="n">
        <v>24</v>
      </c>
    </row>
    <row r="48" ht="14.45" customHeight="1">
      <c r="A48" s="1" t="n">
        <v>16025040</v>
      </c>
      <c r="B48" s="1" t="inlineStr">
        <is>
          <t>CINERA-VILLA OLGA AUT [16025040]</t>
        </is>
      </c>
      <c r="C48" s="1" t="n">
        <v>8.16728</v>
      </c>
      <c r="D48" s="1" t="n">
        <v>-72.47878</v>
      </c>
      <c r="E48" s="1" t="n">
        <v>96</v>
      </c>
      <c r="F48" s="1" t="inlineStr">
        <is>
          <t>Cúcuta</t>
        </is>
      </c>
      <c r="G48" s="1" t="inlineStr">
        <is>
          <t>Norte De Santander</t>
        </is>
      </c>
      <c r="H48" s="39" t="n">
        <v>38</v>
      </c>
      <c r="I48" s="1" t="n">
        <v>2019</v>
      </c>
      <c r="J48" s="1" t="n">
        <v>6</v>
      </c>
      <c r="K48" s="39" t="n">
        <v>38.2</v>
      </c>
      <c r="L48" s="1" t="n">
        <v>1984</v>
      </c>
      <c r="M48" s="1" t="n">
        <v>13</v>
      </c>
      <c r="N48" s="39" t="n">
        <v>38.4</v>
      </c>
      <c r="O48" s="1" t="n">
        <v>2024</v>
      </c>
      <c r="P48" s="1" t="n">
        <v>23</v>
      </c>
      <c r="Q48" s="39" t="n">
        <v>37.6</v>
      </c>
      <c r="R48" s="1" t="n">
        <v>2020</v>
      </c>
      <c r="S48" s="1" t="n">
        <v>16</v>
      </c>
      <c r="T48" s="39" t="n">
        <v>37.4</v>
      </c>
      <c r="U48" s="1" t="n">
        <v>2020</v>
      </c>
      <c r="V48" s="1" t="n">
        <v>24</v>
      </c>
      <c r="W48" s="39" t="n">
        <v>38.2</v>
      </c>
      <c r="X48" s="1" t="n">
        <v>2023</v>
      </c>
      <c r="Y48" s="1" t="n">
        <v>30</v>
      </c>
      <c r="Z48" s="39" t="n">
        <v>38.6</v>
      </c>
      <c r="AA48" s="1" t="n">
        <v>2014</v>
      </c>
      <c r="AB48" s="1" t="n">
        <v>30</v>
      </c>
      <c r="AC48" s="39" t="n">
        <v>39.4</v>
      </c>
      <c r="AD48" s="1" t="n">
        <v>1997</v>
      </c>
      <c r="AE48" s="1" t="n">
        <v>27</v>
      </c>
      <c r="AF48" s="39" t="n">
        <v>39.6</v>
      </c>
      <c r="AG48" s="1" t="n">
        <v>1991</v>
      </c>
      <c r="AH48" s="1" t="n">
        <v>6</v>
      </c>
      <c r="AI48" s="39" t="n">
        <v>38.8</v>
      </c>
      <c r="AJ48" s="1" t="n">
        <v>1999</v>
      </c>
      <c r="AK48" s="1" t="n">
        <v>15</v>
      </c>
      <c r="AL48" s="39" t="n">
        <v>36.6</v>
      </c>
      <c r="AM48" s="1" t="n">
        <v>1990</v>
      </c>
      <c r="AN48" s="1" t="n">
        <v>4</v>
      </c>
      <c r="AO48" s="39" t="n">
        <v>35</v>
      </c>
      <c r="AP48" s="1" t="n">
        <v>1997</v>
      </c>
      <c r="AQ48" s="1" t="n">
        <v>8</v>
      </c>
    </row>
    <row r="49" ht="14.45" customHeight="1">
      <c r="A49" s="1" t="n">
        <v>16055010</v>
      </c>
      <c r="B49" s="1" t="inlineStr">
        <is>
          <t>AEROPUERTO AGUAS CLARAS [16055010]</t>
        </is>
      </c>
      <c r="C49" s="1" t="n">
        <v>8.315277778</v>
      </c>
      <c r="D49" s="1" t="n">
        <v>-73.3575</v>
      </c>
      <c r="E49" s="1" t="n">
        <v>1435</v>
      </c>
      <c r="F49" s="1" t="inlineStr">
        <is>
          <t>Ocaña</t>
        </is>
      </c>
      <c r="G49" s="1" t="inlineStr">
        <is>
          <t>Norte De Santander</t>
        </is>
      </c>
      <c r="H49" s="39" t="n">
        <v>31.2</v>
      </c>
      <c r="I49" s="1" t="n">
        <v>1998</v>
      </c>
      <c r="J49" s="1" t="n">
        <v>26</v>
      </c>
      <c r="K49" s="39" t="n">
        <v>31.8</v>
      </c>
      <c r="L49" s="1" t="n">
        <v>1992</v>
      </c>
      <c r="M49" s="1" t="n">
        <v>26</v>
      </c>
      <c r="N49" s="39" t="n">
        <v>31.5</v>
      </c>
      <c r="O49" s="1" t="n">
        <v>1998</v>
      </c>
      <c r="P49" s="1" t="n">
        <v>4</v>
      </c>
      <c r="Q49" s="39" t="n">
        <v>31</v>
      </c>
      <c r="R49" s="1" t="n">
        <v>1998</v>
      </c>
      <c r="S49" s="1" t="n">
        <v>5</v>
      </c>
      <c r="T49" s="39" t="n">
        <v>32.5</v>
      </c>
      <c r="U49" s="1" t="n">
        <v>2002</v>
      </c>
      <c r="V49" s="1" t="n">
        <v>17</v>
      </c>
      <c r="W49" s="39" t="n">
        <v>34</v>
      </c>
      <c r="X49" s="1" t="n">
        <v>2016</v>
      </c>
      <c r="Y49" s="1" t="n">
        <v>5</v>
      </c>
      <c r="Z49" s="39" t="n">
        <v>32.2</v>
      </c>
      <c r="AA49" s="1" t="n">
        <v>2014</v>
      </c>
      <c r="AB49" s="1" t="n">
        <v>20</v>
      </c>
      <c r="AC49" s="39" t="n">
        <v>32</v>
      </c>
      <c r="AD49" s="1" t="n">
        <v>2002</v>
      </c>
      <c r="AE49" s="1" t="n">
        <v>1</v>
      </c>
      <c r="AF49" s="39" t="n">
        <v>30.6</v>
      </c>
      <c r="AG49" s="1" t="n">
        <v>2009</v>
      </c>
      <c r="AH49" s="1" t="n">
        <v>6</v>
      </c>
      <c r="AI49" s="39" t="n">
        <v>30</v>
      </c>
      <c r="AJ49" s="1" t="n">
        <v>1997</v>
      </c>
      <c r="AK49" s="1" t="n">
        <v>26</v>
      </c>
      <c r="AL49" s="39" t="n">
        <v>30</v>
      </c>
      <c r="AM49" s="1" t="n">
        <v>1997</v>
      </c>
      <c r="AN49" s="1" t="n">
        <v>1</v>
      </c>
      <c r="AO49" s="39" t="n">
        <v>30</v>
      </c>
      <c r="AP49" s="1" t="n">
        <v>1997</v>
      </c>
      <c r="AQ49" s="1" t="n">
        <v>5</v>
      </c>
    </row>
    <row r="50" ht="14.45" customHeight="1">
      <c r="A50" s="1" t="n">
        <v>16055020</v>
      </c>
      <c r="B50" s="1" t="inlineStr">
        <is>
          <t>TEORAMA [16055020]</t>
        </is>
      </c>
      <c r="C50" s="1" t="n">
        <v>8.442222222</v>
      </c>
      <c r="D50" s="1" t="n">
        <v>-73.28527778</v>
      </c>
      <c r="E50" s="1" t="n">
        <v>1160</v>
      </c>
      <c r="F50" s="1" t="inlineStr">
        <is>
          <t>Teorama</t>
        </is>
      </c>
      <c r="G50" s="1" t="inlineStr">
        <is>
          <t>Norte De Santander</t>
        </is>
      </c>
      <c r="H50" s="39" t="n">
        <v>31</v>
      </c>
      <c r="I50" s="1" t="n">
        <v>1998</v>
      </c>
      <c r="J50" s="1" t="n">
        <v>30</v>
      </c>
      <c r="K50" s="39" t="n">
        <v>31</v>
      </c>
      <c r="L50" s="1" t="n">
        <v>1983</v>
      </c>
      <c r="M50" s="1" t="n">
        <v>26</v>
      </c>
      <c r="N50" s="39" t="n">
        <v>32.2</v>
      </c>
      <c r="O50" s="1" t="n">
        <v>2018</v>
      </c>
      <c r="P50" s="1" t="n">
        <v>18</v>
      </c>
      <c r="Q50" s="39" t="n">
        <v>30.9</v>
      </c>
      <c r="R50" s="1" t="n">
        <v>1987</v>
      </c>
      <c r="S50" s="1" t="n">
        <v>22</v>
      </c>
      <c r="T50" s="39" t="n">
        <v>31</v>
      </c>
      <c r="U50" s="1" t="n">
        <v>2020</v>
      </c>
      <c r="V50" s="1" t="n">
        <v>11</v>
      </c>
      <c r="W50" s="39" t="n">
        <v>32.2</v>
      </c>
      <c r="X50" s="1" t="n">
        <v>2002</v>
      </c>
      <c r="Y50" s="1" t="n">
        <v>2</v>
      </c>
      <c r="Z50" s="39" t="n">
        <v>30.4</v>
      </c>
      <c r="AA50" s="1" t="n">
        <v>2019</v>
      </c>
      <c r="AB50" s="1" t="n">
        <v>20</v>
      </c>
      <c r="AC50" s="39" t="n">
        <v>32.2</v>
      </c>
      <c r="AD50" s="1" t="n">
        <v>2016</v>
      </c>
      <c r="AE50" s="1" t="n">
        <v>8</v>
      </c>
      <c r="AF50" s="39" t="n">
        <v>31.2</v>
      </c>
      <c r="AG50" s="1" t="n">
        <v>2016</v>
      </c>
      <c r="AH50" s="1" t="n">
        <v>18</v>
      </c>
      <c r="AI50" s="39" t="n">
        <v>37.4</v>
      </c>
      <c r="AJ50" s="1" t="n">
        <v>2024</v>
      </c>
      <c r="AK50" s="1" t="n">
        <v>3</v>
      </c>
      <c r="AL50" s="39" t="n">
        <v>30</v>
      </c>
      <c r="AM50" s="1" t="n">
        <v>2023</v>
      </c>
      <c r="AN50" s="1" t="n">
        <v>18</v>
      </c>
      <c r="AO50" s="39" t="n">
        <v>31</v>
      </c>
      <c r="AP50" s="1" t="n">
        <v>2016</v>
      </c>
      <c r="AQ50" s="1" t="n">
        <v>27</v>
      </c>
    </row>
    <row r="51" ht="14.45" customHeight="1">
      <c r="A51" s="1" t="n">
        <v>16055040</v>
      </c>
      <c r="B51" s="1" t="inlineStr">
        <is>
          <t>ABREGO CENTRO ADMO [16055040]</t>
        </is>
      </c>
      <c r="C51" s="1" t="n">
        <v>8.087222221999999</v>
      </c>
      <c r="D51" s="1" t="n">
        <v>-73.22305556000001</v>
      </c>
      <c r="E51" s="1" t="n">
        <v>1430</v>
      </c>
      <c r="F51" s="1" t="inlineStr">
        <is>
          <t>Ábrego</t>
        </is>
      </c>
      <c r="G51" s="1" t="inlineStr">
        <is>
          <t>Norte De Santander</t>
        </is>
      </c>
      <c r="H51" s="39" t="n">
        <v>32.4</v>
      </c>
      <c r="I51" s="1" t="n">
        <v>2010</v>
      </c>
      <c r="J51" s="1" t="n">
        <v>19</v>
      </c>
      <c r="K51" s="39" t="n">
        <v>33</v>
      </c>
      <c r="L51" s="1" t="n">
        <v>2016</v>
      </c>
      <c r="M51" s="1" t="n">
        <v>16</v>
      </c>
      <c r="N51" s="39" t="n">
        <v>33.4</v>
      </c>
      <c r="O51" s="1" t="n">
        <v>2016</v>
      </c>
      <c r="P51" s="1" t="n">
        <v>21</v>
      </c>
      <c r="Q51" s="39" t="n">
        <v>32.4</v>
      </c>
      <c r="R51" s="1" t="n">
        <v>2004</v>
      </c>
      <c r="S51" s="1" t="n">
        <v>8</v>
      </c>
      <c r="T51" s="39" t="n">
        <v>33.2</v>
      </c>
      <c r="U51" s="1" t="n">
        <v>2016</v>
      </c>
      <c r="V51" s="1" t="n">
        <v>17</v>
      </c>
      <c r="W51" s="39" t="n">
        <v>32.2</v>
      </c>
      <c r="X51" s="1" t="n">
        <v>2007</v>
      </c>
      <c r="Y51" s="1" t="n">
        <v>21</v>
      </c>
      <c r="Z51" s="39" t="n">
        <v>32.6</v>
      </c>
      <c r="AA51" s="1" t="n">
        <v>1997</v>
      </c>
      <c r="AB51" s="1" t="n">
        <v>26</v>
      </c>
      <c r="AC51" s="39" t="n">
        <v>32.8</v>
      </c>
      <c r="AD51" s="1" t="n">
        <v>2016</v>
      </c>
      <c r="AE51" s="1" t="n">
        <v>1</v>
      </c>
      <c r="AF51" s="39" t="n">
        <v>32</v>
      </c>
      <c r="AG51" s="1" t="n">
        <v>2015</v>
      </c>
      <c r="AH51" s="1" t="n">
        <v>9</v>
      </c>
      <c r="AI51" s="39" t="n">
        <v>32.8</v>
      </c>
      <c r="AJ51" s="1" t="n">
        <v>2015</v>
      </c>
      <c r="AK51" s="1" t="n">
        <v>7</v>
      </c>
      <c r="AL51" s="39" t="n">
        <v>30.4</v>
      </c>
      <c r="AM51" s="1" t="n">
        <v>2019</v>
      </c>
      <c r="AN51" s="1" t="n">
        <v>27</v>
      </c>
      <c r="AO51" s="39" t="n">
        <v>32</v>
      </c>
      <c r="AP51" s="1" t="n">
        <v>2023</v>
      </c>
      <c r="AQ51" s="1" t="n">
        <v>9</v>
      </c>
    </row>
    <row r="52" ht="14.45" customHeight="1">
      <c r="A52" s="1" t="n">
        <v>16055060</v>
      </c>
      <c r="B52" s="1" t="inlineStr">
        <is>
          <t>PLAYA LA [16055060]</t>
        </is>
      </c>
      <c r="C52" s="1" t="n">
        <v>8.217499999999999</v>
      </c>
      <c r="D52" s="1" t="n">
        <v>-73.235</v>
      </c>
      <c r="E52" s="1" t="n">
        <v>1500</v>
      </c>
      <c r="F52" s="1" t="inlineStr">
        <is>
          <t>La Playa</t>
        </is>
      </c>
      <c r="G52" s="1" t="inlineStr">
        <is>
          <t>Norte De Santander</t>
        </is>
      </c>
      <c r="H52" s="39" t="n">
        <v>31.4</v>
      </c>
      <c r="I52" s="1" t="n">
        <v>1998</v>
      </c>
      <c r="J52" s="1" t="n">
        <v>27</v>
      </c>
      <c r="K52" s="39" t="n">
        <v>31.4</v>
      </c>
      <c r="L52" s="1" t="n">
        <v>2016</v>
      </c>
      <c r="M52" s="1" t="n">
        <v>16</v>
      </c>
      <c r="N52" s="39" t="n">
        <v>32.2</v>
      </c>
      <c r="O52" s="1" t="n">
        <v>1993</v>
      </c>
      <c r="P52" s="1" t="n">
        <v>13</v>
      </c>
      <c r="Q52" s="39" t="n">
        <v>31.4</v>
      </c>
      <c r="R52" s="1" t="n">
        <v>1994</v>
      </c>
      <c r="S52" s="1" t="n">
        <v>23</v>
      </c>
      <c r="T52" s="39" t="n">
        <v>32.2</v>
      </c>
      <c r="U52" s="1" t="n">
        <v>2020</v>
      </c>
      <c r="V52" s="1" t="n">
        <v>21</v>
      </c>
      <c r="W52" s="39" t="n">
        <v>31.4</v>
      </c>
      <c r="X52" s="1" t="n">
        <v>2015</v>
      </c>
      <c r="Y52" s="1" t="n">
        <v>24</v>
      </c>
      <c r="Z52" s="39" t="n">
        <v>31.6</v>
      </c>
      <c r="AA52" s="1" t="n">
        <v>1997</v>
      </c>
      <c r="AB52" s="1" t="n">
        <v>14</v>
      </c>
      <c r="AC52" s="39" t="n">
        <v>32.4</v>
      </c>
      <c r="AD52" s="1" t="n">
        <v>1997</v>
      </c>
      <c r="AE52" s="1" t="n">
        <v>25</v>
      </c>
      <c r="AF52" s="39" t="n">
        <v>31.4</v>
      </c>
      <c r="AG52" s="1" t="n">
        <v>2015</v>
      </c>
      <c r="AH52" s="1" t="n">
        <v>29</v>
      </c>
      <c r="AI52" s="39" t="n">
        <v>30.2</v>
      </c>
      <c r="AJ52" s="1" t="n">
        <v>2015</v>
      </c>
      <c r="AK52" s="1" t="n">
        <v>8</v>
      </c>
      <c r="AL52" s="39" t="n">
        <v>29</v>
      </c>
      <c r="AM52" s="1" t="n">
        <v>1997</v>
      </c>
      <c r="AN52" s="1" t="n">
        <v>2</v>
      </c>
      <c r="AO52" s="39" t="n">
        <v>30</v>
      </c>
      <c r="AP52" s="1" t="n">
        <v>1997</v>
      </c>
      <c r="AQ52" s="1" t="n">
        <v>9</v>
      </c>
    </row>
    <row r="53" ht="14.45" customHeight="1">
      <c r="A53" s="1" t="n">
        <v>16055100</v>
      </c>
      <c r="B53" s="1" t="inlineStr">
        <is>
          <t>UNIVERSIDAD FRANCISCO DE PAULA SANTANDER [16055100]</t>
        </is>
      </c>
      <c r="C53" s="1" t="n">
        <v>8.237777778</v>
      </c>
      <c r="D53" s="1" t="n">
        <v>-73.32222222</v>
      </c>
      <c r="E53" s="1" t="n">
        <v>1150</v>
      </c>
      <c r="F53" s="1" t="inlineStr">
        <is>
          <t>Ocaña</t>
        </is>
      </c>
      <c r="G53" s="1" t="inlineStr">
        <is>
          <t>Norte De Santander</t>
        </is>
      </c>
      <c r="H53" s="39" t="n">
        <v>32.6</v>
      </c>
      <c r="I53" s="1" t="n">
        <v>2010</v>
      </c>
      <c r="J53" s="1" t="n">
        <v>19</v>
      </c>
      <c r="K53" s="39" t="n">
        <v>31.8</v>
      </c>
      <c r="L53" s="1" t="n">
        <v>2007</v>
      </c>
      <c r="M53" s="1" t="n">
        <v>27</v>
      </c>
      <c r="N53" s="39" t="n">
        <v>31.8</v>
      </c>
      <c r="O53" s="1" t="n">
        <v>2016</v>
      </c>
      <c r="P53" s="1" t="n">
        <v>21</v>
      </c>
      <c r="Q53" s="39" t="n">
        <v>31.5</v>
      </c>
      <c r="R53" s="1" t="n">
        <v>1999</v>
      </c>
      <c r="S53" s="1" t="n">
        <v>16</v>
      </c>
      <c r="T53" s="39" t="n">
        <v>31.5</v>
      </c>
      <c r="U53" s="1" t="n">
        <v>2002</v>
      </c>
      <c r="V53" s="1" t="n">
        <v>2</v>
      </c>
      <c r="W53" s="39" t="n">
        <v>32</v>
      </c>
      <c r="X53" s="1" t="n">
        <v>2002</v>
      </c>
      <c r="Y53" s="1" t="n">
        <v>30</v>
      </c>
      <c r="Z53" s="39" t="n">
        <v>33</v>
      </c>
      <c r="AA53" s="1" t="n">
        <v>2002</v>
      </c>
      <c r="AB53" s="1" t="n">
        <v>30</v>
      </c>
      <c r="AC53" s="39" t="n">
        <v>33.2</v>
      </c>
      <c r="AD53" s="1" t="n">
        <v>2002</v>
      </c>
      <c r="AE53" s="1" t="n">
        <v>15</v>
      </c>
      <c r="AF53" s="39" t="n">
        <v>32.8</v>
      </c>
      <c r="AG53" s="1" t="n">
        <v>2025</v>
      </c>
      <c r="AH53" s="1" t="n">
        <v>25</v>
      </c>
      <c r="AI53" s="39" t="n">
        <v>31.6</v>
      </c>
      <c r="AJ53" s="1" t="n">
        <v>2025</v>
      </c>
      <c r="AK53" s="1" t="n">
        <v>28</v>
      </c>
      <c r="AL53" s="39" t="n">
        <v>32.6</v>
      </c>
      <c r="AM53" s="1" t="n">
        <v>2025</v>
      </c>
      <c r="AN53" s="1" t="n">
        <v>3</v>
      </c>
      <c r="AO53" s="39" t="n">
        <v>30.5</v>
      </c>
      <c r="AP53" s="1" t="n">
        <v>1997</v>
      </c>
      <c r="AQ53" s="1" t="n">
        <v>27</v>
      </c>
    </row>
    <row r="54" ht="14.45" customHeight="1">
      <c r="A54" s="1" t="n">
        <v>17015010</v>
      </c>
      <c r="B54" s="1" t="inlineStr">
        <is>
          <t>AEROPUERTO SESQUICENTENARIO [17015010]</t>
        </is>
      </c>
      <c r="C54" s="1" t="n">
        <v>12.587849</v>
      </c>
      <c r="D54" s="1" t="n">
        <v>-81.701117</v>
      </c>
      <c r="E54" s="1" t="n">
        <v>3</v>
      </c>
      <c r="F54" s="1" t="inlineStr">
        <is>
          <t>San Andrés</t>
        </is>
      </c>
      <c r="G54" s="1" t="inlineStr">
        <is>
          <t>Archipielago De San Andres, Providencia Y Santa Catalina</t>
        </is>
      </c>
      <c r="H54" s="39" t="n">
        <v>31</v>
      </c>
      <c r="I54" s="1" t="n">
        <v>1998</v>
      </c>
      <c r="J54" s="1" t="n">
        <v>7</v>
      </c>
      <c r="K54" s="39" t="n">
        <v>31.5</v>
      </c>
      <c r="L54" s="1" t="n">
        <v>1998</v>
      </c>
      <c r="M54" s="1" t="n">
        <v>28</v>
      </c>
      <c r="N54" s="39" t="n">
        <v>33</v>
      </c>
      <c r="O54" s="1" t="n">
        <v>2003</v>
      </c>
      <c r="P54" s="1" t="n">
        <v>19</v>
      </c>
      <c r="Q54" s="39" t="n">
        <v>32.3</v>
      </c>
      <c r="R54" s="1" t="n">
        <v>2016</v>
      </c>
      <c r="S54" s="1" t="n">
        <v>26</v>
      </c>
      <c r="T54" s="39" t="n">
        <v>33</v>
      </c>
      <c r="U54" s="1" t="n">
        <v>1998</v>
      </c>
      <c r="V54" s="1" t="n">
        <v>6</v>
      </c>
      <c r="W54" s="39" t="n">
        <v>32.5</v>
      </c>
      <c r="X54" s="1" t="n">
        <v>1997</v>
      </c>
      <c r="Y54" s="1" t="n">
        <v>2</v>
      </c>
      <c r="Z54" s="39" t="n">
        <v>32.7</v>
      </c>
      <c r="AA54" s="1" t="n">
        <v>2013</v>
      </c>
      <c r="AB54" s="1" t="n">
        <v>12</v>
      </c>
      <c r="AC54" s="39" t="n">
        <v>33.1</v>
      </c>
      <c r="AD54" s="1" t="n">
        <v>2003</v>
      </c>
      <c r="AE54" s="1" t="n">
        <v>29</v>
      </c>
      <c r="AF54" s="39" t="n">
        <v>33.4</v>
      </c>
      <c r="AG54" s="1" t="n">
        <v>2017</v>
      </c>
      <c r="AH54" s="1" t="n">
        <v>14</v>
      </c>
      <c r="AI54" s="39" t="n">
        <v>33.7</v>
      </c>
      <c r="AJ54" s="1" t="n">
        <v>1992</v>
      </c>
      <c r="AK54" s="1" t="n">
        <v>31</v>
      </c>
      <c r="AL54" s="39" t="n">
        <v>32.6</v>
      </c>
      <c r="AM54" s="1" t="n">
        <v>1997</v>
      </c>
      <c r="AN54" s="1" t="n">
        <v>2</v>
      </c>
      <c r="AO54" s="39" t="n">
        <v>31.6</v>
      </c>
      <c r="AP54" s="1" t="n">
        <v>1997</v>
      </c>
      <c r="AQ54" s="1" t="n">
        <v>26</v>
      </c>
    </row>
    <row r="55" ht="14.45" customHeight="1">
      <c r="A55" s="1" t="n">
        <v>17025020</v>
      </c>
      <c r="B55" s="1" t="inlineStr">
        <is>
          <t>AEROPUERTO EL EMBRUJO AUT [17025020]</t>
        </is>
      </c>
      <c r="C55" s="1" t="n">
        <v>13.3595</v>
      </c>
      <c r="D55" s="1" t="n">
        <v>-81.35772194400001</v>
      </c>
      <c r="E55" s="1" t="n">
        <v>7</v>
      </c>
      <c r="F55" s="1" t="inlineStr">
        <is>
          <t>San Andres Y  Providencia (Santa Isabel)</t>
        </is>
      </c>
      <c r="G55" s="1" t="inlineStr">
        <is>
          <t>Archipielago De San Andres, Providencia Y Santa Catalina</t>
        </is>
      </c>
      <c r="H55" s="39" t="n">
        <v>30.8</v>
      </c>
      <c r="I55" s="1" t="n">
        <v>1998</v>
      </c>
      <c r="J55" s="1" t="n">
        <v>16</v>
      </c>
      <c r="K55" s="39" t="n">
        <v>32.4</v>
      </c>
      <c r="L55" s="1" t="n">
        <v>1998</v>
      </c>
      <c r="M55" s="1" t="n">
        <v>3</v>
      </c>
      <c r="N55" s="39" t="n">
        <v>31.8</v>
      </c>
      <c r="O55" s="1" t="n">
        <v>2016</v>
      </c>
      <c r="P55" s="1" t="n">
        <v>30</v>
      </c>
      <c r="Q55" s="39" t="n">
        <v>32.4</v>
      </c>
      <c r="R55" s="1" t="n">
        <v>2007</v>
      </c>
      <c r="S55" s="1" t="n">
        <v>23</v>
      </c>
      <c r="T55" s="39" t="n">
        <v>33.1</v>
      </c>
      <c r="U55" s="1" t="n">
        <v>2016</v>
      </c>
      <c r="V55" s="1" t="n">
        <v>4</v>
      </c>
      <c r="W55" s="39" t="n">
        <v>33.5</v>
      </c>
      <c r="X55" s="1" t="n">
        <v>2006</v>
      </c>
      <c r="Y55" s="1" t="n">
        <v>8</v>
      </c>
      <c r="Z55" s="39" t="n">
        <v>32.5</v>
      </c>
      <c r="AA55" s="1" t="n">
        <v>2005</v>
      </c>
      <c r="AB55" s="1" t="n">
        <v>16</v>
      </c>
      <c r="AC55" s="39" t="n">
        <v>33.4</v>
      </c>
      <c r="AD55" s="1" t="n">
        <v>2016</v>
      </c>
      <c r="AE55" s="1" t="n">
        <v>30</v>
      </c>
      <c r="AF55" s="39" t="n">
        <v>33.2</v>
      </c>
      <c r="AG55" s="1" t="n">
        <v>2008</v>
      </c>
      <c r="AH55" s="1" t="n">
        <v>27</v>
      </c>
      <c r="AI55" s="39" t="n">
        <v>32.8</v>
      </c>
      <c r="AJ55" s="1" t="n">
        <v>2003</v>
      </c>
      <c r="AK55" s="1" t="n">
        <v>11</v>
      </c>
      <c r="AL55" s="39" t="n">
        <v>32.5</v>
      </c>
      <c r="AM55" s="1" t="n">
        <v>2016</v>
      </c>
      <c r="AN55" s="1" t="n">
        <v>7</v>
      </c>
      <c r="AO55" s="39" t="n">
        <v>31.2</v>
      </c>
      <c r="AP55" s="1" t="n">
        <v>1987</v>
      </c>
      <c r="AQ55" s="1" t="n">
        <v>3</v>
      </c>
    </row>
    <row r="56" ht="14.45" customHeight="1">
      <c r="A56" s="1" t="n">
        <v>21015020</v>
      </c>
      <c r="B56" s="1" t="inlineStr">
        <is>
          <t>SEVILLA [21015020]</t>
        </is>
      </c>
      <c r="C56" s="1" t="n">
        <v>1.824833333</v>
      </c>
      <c r="D56" s="1" t="n">
        <v>-76.13027778</v>
      </c>
      <c r="E56" s="1" t="n">
        <v>1320</v>
      </c>
      <c r="F56" s="1" t="inlineStr">
        <is>
          <t>Pitalito</t>
        </is>
      </c>
      <c r="G56" s="1" t="inlineStr">
        <is>
          <t>Huila</t>
        </is>
      </c>
      <c r="H56" s="39" t="n">
        <v>32</v>
      </c>
      <c r="I56" s="1" t="n">
        <v>1998</v>
      </c>
      <c r="J56" s="1" t="n">
        <v>24</v>
      </c>
      <c r="K56" s="39" t="n">
        <v>32.5</v>
      </c>
      <c r="L56" s="1" t="n">
        <v>1998</v>
      </c>
      <c r="M56" s="1" t="n">
        <v>27</v>
      </c>
      <c r="N56" s="39" t="n">
        <v>32.2</v>
      </c>
      <c r="O56" s="1" t="n">
        <v>2004</v>
      </c>
      <c r="P56" s="1" t="n">
        <v>18</v>
      </c>
      <c r="Q56" s="39" t="n">
        <v>31.4</v>
      </c>
      <c r="R56" s="1" t="n">
        <v>2024</v>
      </c>
      <c r="S56" s="1" t="n">
        <v>11</v>
      </c>
      <c r="T56" s="39" t="n">
        <v>31</v>
      </c>
      <c r="U56" s="1" t="n">
        <v>2024</v>
      </c>
      <c r="V56" s="1" t="n">
        <v>13</v>
      </c>
      <c r="W56" s="39" t="n">
        <v>29.8</v>
      </c>
      <c r="X56" s="1" t="n">
        <v>2020</v>
      </c>
      <c r="Y56" s="1" t="n">
        <v>4</v>
      </c>
      <c r="Z56" s="39" t="n">
        <v>29.2</v>
      </c>
      <c r="AA56" s="1" t="n">
        <v>2007</v>
      </c>
      <c r="AB56" s="1" t="n">
        <v>18</v>
      </c>
      <c r="AC56" s="39" t="n">
        <v>29.8</v>
      </c>
      <c r="AD56" s="1" t="n">
        <v>2023</v>
      </c>
      <c r="AE56" s="1" t="n">
        <v>18</v>
      </c>
      <c r="AF56" s="39" t="n">
        <v>31.4</v>
      </c>
      <c r="AG56" s="1" t="n">
        <v>2023</v>
      </c>
      <c r="AH56" s="1" t="n">
        <v>27</v>
      </c>
      <c r="AI56" s="39" t="n">
        <v>31.6</v>
      </c>
      <c r="AJ56" s="1" t="n">
        <v>2023</v>
      </c>
      <c r="AK56" s="1" t="n">
        <v>23</v>
      </c>
      <c r="AL56" s="39" t="n">
        <v>30</v>
      </c>
      <c r="AM56" s="1" t="n">
        <v>1996</v>
      </c>
      <c r="AN56" s="1" t="n">
        <v>5</v>
      </c>
      <c r="AO56" s="39" t="n">
        <v>31</v>
      </c>
      <c r="AP56" s="1" t="n">
        <v>1997</v>
      </c>
      <c r="AQ56" s="1" t="n">
        <v>10</v>
      </c>
    </row>
    <row r="57" ht="14.45" customHeight="1">
      <c r="A57" s="1" t="n">
        <v>21015030</v>
      </c>
      <c r="B57" s="1" t="inlineStr">
        <is>
          <t>PARQUE ARQUEOLOGICO - AUT [21015030]</t>
        </is>
      </c>
      <c r="C57" s="1" t="n">
        <v>1.888472222</v>
      </c>
      <c r="D57" s="1" t="n">
        <v>-76.29497222000001</v>
      </c>
      <c r="E57" s="1" t="n">
        <v>1800</v>
      </c>
      <c r="F57" s="1" t="inlineStr">
        <is>
          <t>San Agustín</t>
        </is>
      </c>
      <c r="G57" s="1" t="inlineStr">
        <is>
          <t>Huila</t>
        </is>
      </c>
      <c r="H57" s="39" t="n">
        <v>32</v>
      </c>
      <c r="I57" s="1" t="n">
        <v>2016</v>
      </c>
      <c r="J57" s="1" t="n">
        <v>26</v>
      </c>
      <c r="K57" s="39" t="n">
        <v>31</v>
      </c>
      <c r="L57" s="1" t="n">
        <v>2016</v>
      </c>
      <c r="M57" s="1" t="n">
        <v>2</v>
      </c>
      <c r="N57" s="39" t="n">
        <v>30.6</v>
      </c>
      <c r="O57" s="1" t="n">
        <v>2016</v>
      </c>
      <c r="P57" s="1" t="n">
        <v>9</v>
      </c>
      <c r="Q57" s="39" t="n">
        <v>28.6</v>
      </c>
      <c r="R57" s="1" t="n">
        <v>2004</v>
      </c>
      <c r="S57" s="1" t="n">
        <v>1</v>
      </c>
      <c r="T57" s="39" t="n">
        <v>28</v>
      </c>
      <c r="U57" s="1" t="n">
        <v>2013</v>
      </c>
      <c r="V57" s="1" t="n">
        <v>4</v>
      </c>
      <c r="W57" s="39" t="n">
        <v>27.6</v>
      </c>
      <c r="X57" s="1" t="n">
        <v>2016</v>
      </c>
      <c r="Y57" s="1" t="n">
        <v>3</v>
      </c>
      <c r="Z57" s="39" t="n">
        <v>26.6</v>
      </c>
      <c r="AA57" s="1" t="n">
        <v>2010</v>
      </c>
      <c r="AB57" s="1" t="n">
        <v>21</v>
      </c>
      <c r="AC57" s="39" t="n">
        <v>27</v>
      </c>
      <c r="AD57" s="1" t="n">
        <v>2010</v>
      </c>
      <c r="AE57" s="1" t="n">
        <v>24</v>
      </c>
      <c r="AF57" s="39" t="n">
        <v>28.6</v>
      </c>
      <c r="AG57" s="1" t="n">
        <v>2015</v>
      </c>
      <c r="AH57" s="1" t="n">
        <v>25</v>
      </c>
      <c r="AI57" s="39" t="n">
        <v>30</v>
      </c>
      <c r="AJ57" s="1" t="n">
        <v>2015</v>
      </c>
      <c r="AK57" s="1" t="n">
        <v>30</v>
      </c>
      <c r="AL57" s="39" t="n">
        <v>29.6</v>
      </c>
      <c r="AM57" s="1" t="n">
        <v>2015</v>
      </c>
      <c r="AN57" s="1" t="n">
        <v>28</v>
      </c>
      <c r="AO57" s="39" t="n">
        <v>29.4</v>
      </c>
      <c r="AP57" s="1" t="n">
        <v>2017</v>
      </c>
      <c r="AQ57" s="1" t="n">
        <v>22</v>
      </c>
    </row>
    <row r="58" ht="14.45" customHeight="1">
      <c r="A58" s="1" t="n">
        <v>21025030</v>
      </c>
      <c r="B58" s="1" t="inlineStr">
        <is>
          <t>ALTAMIRA EL GRIFO AUT [21025030]</t>
        </is>
      </c>
      <c r="C58" s="1" t="n">
        <v>2.079166667</v>
      </c>
      <c r="D58" s="1" t="n">
        <v>-75.73622222</v>
      </c>
      <c r="E58" s="1" t="n">
        <v>1368</v>
      </c>
      <c r="F58" s="1" t="inlineStr">
        <is>
          <t>Altamira</t>
        </is>
      </c>
      <c r="G58" s="1" t="inlineStr">
        <is>
          <t>Huila</t>
        </is>
      </c>
      <c r="H58" s="39" t="n">
        <v>33</v>
      </c>
      <c r="I58" s="1" t="n">
        <v>2024</v>
      </c>
      <c r="J58" s="1" t="n">
        <v>25</v>
      </c>
      <c r="K58" s="39" t="n">
        <v>32.8</v>
      </c>
      <c r="L58" s="1" t="n">
        <v>2010</v>
      </c>
      <c r="M58" s="1" t="n">
        <v>13</v>
      </c>
      <c r="N58" s="39" t="n">
        <v>32</v>
      </c>
      <c r="O58" s="1" t="n">
        <v>2024</v>
      </c>
      <c r="P58" s="1" t="n">
        <v>20</v>
      </c>
      <c r="Q58" s="39" t="n">
        <v>31.4</v>
      </c>
      <c r="R58" s="1" t="n">
        <v>2024</v>
      </c>
      <c r="S58" s="1" t="n">
        <v>11</v>
      </c>
      <c r="T58" s="39" t="n">
        <v>30.2</v>
      </c>
      <c r="U58" s="1" t="n">
        <v>2024</v>
      </c>
      <c r="V58" s="1" t="n">
        <v>7</v>
      </c>
      <c r="W58" s="39" t="n">
        <v>29.2</v>
      </c>
      <c r="X58" s="1" t="n">
        <v>2009</v>
      </c>
      <c r="Y58" s="1" t="n">
        <v>8</v>
      </c>
      <c r="Z58" s="39" t="n">
        <v>29.2</v>
      </c>
      <c r="AA58" s="1" t="n">
        <v>2025</v>
      </c>
      <c r="AB58" s="1" t="n">
        <v>31</v>
      </c>
      <c r="AC58" s="39" t="n">
        <v>32.2</v>
      </c>
      <c r="AD58" s="1" t="n">
        <v>2025</v>
      </c>
      <c r="AE58" s="1" t="n">
        <v>3</v>
      </c>
      <c r="AF58" s="39" t="n">
        <v>32.1</v>
      </c>
      <c r="AG58" s="1" t="n">
        <v>2024</v>
      </c>
      <c r="AH58" s="1" t="n">
        <v>14</v>
      </c>
      <c r="AI58" s="39" t="n">
        <v>31.2</v>
      </c>
      <c r="AJ58" s="1" t="n">
        <v>2015</v>
      </c>
      <c r="AK58" s="1" t="n">
        <v>29</v>
      </c>
      <c r="AL58" s="39" t="n">
        <v>31</v>
      </c>
      <c r="AM58" s="1" t="n">
        <v>2023</v>
      </c>
      <c r="AN58" s="1" t="n">
        <v>17</v>
      </c>
      <c r="AO58" s="39" t="n">
        <v>33.6</v>
      </c>
      <c r="AP58" s="1" t="n">
        <v>2025</v>
      </c>
      <c r="AQ58" s="1" t="n">
        <v>28</v>
      </c>
    </row>
    <row r="59" ht="14.45" customHeight="1">
      <c r="A59" s="1" t="n">
        <v>21035040</v>
      </c>
      <c r="B59" s="1" t="inlineStr">
        <is>
          <t>LIBANO EL [21035040]</t>
        </is>
      </c>
      <c r="C59" s="1" t="n">
        <v>1.87</v>
      </c>
      <c r="D59" s="1" t="n">
        <v>-75.83</v>
      </c>
      <c r="E59" s="1" t="n">
        <v>1045</v>
      </c>
      <c r="F59" s="1" t="inlineStr">
        <is>
          <t>Suaza</t>
        </is>
      </c>
      <c r="G59" s="1" t="inlineStr">
        <is>
          <t>Huila</t>
        </is>
      </c>
      <c r="H59" s="39" t="n">
        <v>32.8</v>
      </c>
      <c r="I59" s="1" t="n">
        <v>2010</v>
      </c>
      <c r="J59" s="1" t="n">
        <v>4</v>
      </c>
      <c r="K59" s="39" t="n">
        <v>33.4</v>
      </c>
      <c r="L59" s="1" t="n">
        <v>1992</v>
      </c>
      <c r="M59" s="1" t="n">
        <v>6</v>
      </c>
      <c r="N59" s="39" t="n">
        <v>32.8</v>
      </c>
      <c r="O59" s="1" t="n">
        <v>2004</v>
      </c>
      <c r="P59" s="1" t="n">
        <v>18</v>
      </c>
      <c r="Q59" s="39" t="n">
        <v>32.4</v>
      </c>
      <c r="R59" s="1" t="n">
        <v>2005</v>
      </c>
      <c r="S59" s="1" t="n">
        <v>22</v>
      </c>
      <c r="T59" s="39" t="n">
        <v>31.8</v>
      </c>
      <c r="U59" s="1" t="n">
        <v>2015</v>
      </c>
      <c r="V59" s="1" t="n">
        <v>2</v>
      </c>
      <c r="W59" s="39" t="n">
        <v>32.6</v>
      </c>
      <c r="X59" s="1" t="n">
        <v>2005</v>
      </c>
      <c r="Y59" s="1" t="n">
        <v>10</v>
      </c>
      <c r="Z59" s="39" t="n">
        <v>32.4</v>
      </c>
      <c r="AA59" s="1" t="n">
        <v>2005</v>
      </c>
      <c r="AB59" s="1" t="n">
        <v>13</v>
      </c>
      <c r="AC59" s="39" t="n">
        <v>31.6</v>
      </c>
      <c r="AD59" s="1" t="n">
        <v>2005</v>
      </c>
      <c r="AE59" s="1" t="n">
        <v>31</v>
      </c>
      <c r="AF59" s="39" t="n">
        <v>32</v>
      </c>
      <c r="AG59" s="1" t="n">
        <v>2020</v>
      </c>
      <c r="AH59" s="1" t="n">
        <v>16</v>
      </c>
      <c r="AI59" s="39" t="n">
        <v>34.2</v>
      </c>
      <c r="AJ59" s="1" t="n">
        <v>2020</v>
      </c>
      <c r="AK59" s="1" t="n">
        <v>26</v>
      </c>
      <c r="AL59" s="39" t="n">
        <v>32.6</v>
      </c>
      <c r="AM59" s="1" t="n">
        <v>2023</v>
      </c>
      <c r="AN59" s="1" t="n">
        <v>22</v>
      </c>
      <c r="AO59" s="39" t="n">
        <v>33.2</v>
      </c>
      <c r="AP59" s="1" t="n">
        <v>2009</v>
      </c>
      <c r="AQ59" s="1" t="n">
        <v>4</v>
      </c>
    </row>
    <row r="60" ht="14.45" customHeight="1">
      <c r="A60" s="1" t="n">
        <v>21045010</v>
      </c>
      <c r="B60" s="1" t="inlineStr">
        <is>
          <t>BETULIA LA [21045010]</t>
        </is>
      </c>
      <c r="C60" s="1" t="n">
        <v>2.281583333</v>
      </c>
      <c r="D60" s="1" t="n">
        <v>-75.70508332999999</v>
      </c>
      <c r="E60" s="1" t="n">
        <v>780</v>
      </c>
      <c r="F60" s="1" t="inlineStr">
        <is>
          <t>Agrado</t>
        </is>
      </c>
      <c r="G60" s="1" t="inlineStr">
        <is>
          <t>Huila</t>
        </is>
      </c>
      <c r="H60" s="39" t="n">
        <v>38.4</v>
      </c>
      <c r="I60" s="1" t="n">
        <v>2016</v>
      </c>
      <c r="J60" s="1" t="n">
        <v>23</v>
      </c>
      <c r="K60" s="39" t="n">
        <v>37.8</v>
      </c>
      <c r="L60" s="1" t="n">
        <v>1998</v>
      </c>
      <c r="M60" s="1" t="n">
        <v>4</v>
      </c>
      <c r="N60" s="39" t="n">
        <v>37</v>
      </c>
      <c r="O60" s="1" t="n">
        <v>2016</v>
      </c>
      <c r="P60" s="1" t="n">
        <v>28</v>
      </c>
      <c r="Q60" s="39" t="n">
        <v>37.4</v>
      </c>
      <c r="R60" s="1" t="n">
        <v>2010</v>
      </c>
      <c r="S60" s="1" t="n">
        <v>6</v>
      </c>
      <c r="T60" s="39" t="n">
        <v>35.6</v>
      </c>
      <c r="U60" s="1" t="n">
        <v>1998</v>
      </c>
      <c r="V60" s="1" t="n">
        <v>6</v>
      </c>
      <c r="W60" s="39" t="n">
        <v>35.4</v>
      </c>
      <c r="X60" s="1" t="n">
        <v>2013</v>
      </c>
      <c r="Y60" s="1" t="n">
        <v>26</v>
      </c>
      <c r="Z60" s="39" t="n">
        <v>36.6</v>
      </c>
      <c r="AA60" s="1" t="n">
        <v>1998</v>
      </c>
      <c r="AB60" s="1" t="n">
        <v>29</v>
      </c>
      <c r="AC60" s="39" t="n">
        <v>39.4</v>
      </c>
      <c r="AD60" s="1" t="n">
        <v>2009</v>
      </c>
      <c r="AE60" s="1" t="n">
        <v>30</v>
      </c>
      <c r="AF60" s="39" t="n">
        <v>39.6</v>
      </c>
      <c r="AG60" s="1" t="n">
        <v>2002</v>
      </c>
      <c r="AH60" s="1" t="n">
        <v>3</v>
      </c>
      <c r="AI60" s="39" t="n">
        <v>37.8</v>
      </c>
      <c r="AJ60" s="1" t="n">
        <v>2015</v>
      </c>
      <c r="AK60" s="1" t="n">
        <v>8</v>
      </c>
      <c r="AL60" s="39" t="n">
        <v>36.6</v>
      </c>
      <c r="AM60" s="1" t="n">
        <v>1992</v>
      </c>
      <c r="AN60" s="1" t="n">
        <v>2</v>
      </c>
      <c r="AO60" s="39" t="n">
        <v>37.3</v>
      </c>
      <c r="AP60" s="1" t="n">
        <v>2015</v>
      </c>
      <c r="AQ60" s="1" t="n">
        <v>24</v>
      </c>
    </row>
    <row r="61" ht="14.45" customHeight="1">
      <c r="A61" s="1" t="n">
        <v>21055020</v>
      </c>
      <c r="B61" s="1" t="inlineStr">
        <is>
          <t>ESCUELA AGRICOLA LA PLATA [21055020]</t>
        </is>
      </c>
      <c r="C61" s="1" t="n">
        <v>2.38</v>
      </c>
      <c r="D61" s="1" t="n">
        <v>-75.89</v>
      </c>
      <c r="E61" s="1" t="n">
        <v>1070</v>
      </c>
      <c r="F61" s="1" t="inlineStr">
        <is>
          <t>La Plata</t>
        </is>
      </c>
      <c r="G61" s="1" t="inlineStr">
        <is>
          <t>Huila</t>
        </is>
      </c>
      <c r="H61" s="39" t="n">
        <v>35.4</v>
      </c>
      <c r="I61" s="1" t="n">
        <v>2016</v>
      </c>
      <c r="J61" s="1" t="n">
        <v>23</v>
      </c>
      <c r="K61" s="39" t="n">
        <v>36</v>
      </c>
      <c r="L61" s="1" t="n">
        <v>2010</v>
      </c>
      <c r="M61" s="1" t="n">
        <v>22</v>
      </c>
      <c r="N61" s="39" t="n">
        <v>35</v>
      </c>
      <c r="O61" s="1" t="n">
        <v>1998</v>
      </c>
      <c r="P61" s="1" t="n">
        <v>22</v>
      </c>
      <c r="Q61" s="39" t="n">
        <v>37</v>
      </c>
      <c r="R61" s="1" t="n">
        <v>2017</v>
      </c>
      <c r="S61" s="1" t="n">
        <v>6</v>
      </c>
      <c r="T61" s="39" t="n">
        <v>32.6</v>
      </c>
      <c r="U61" s="1" t="n">
        <v>2010</v>
      </c>
      <c r="V61" s="1" t="n">
        <v>17</v>
      </c>
      <c r="W61" s="39" t="n">
        <v>33</v>
      </c>
      <c r="X61" s="1" t="n">
        <v>2012</v>
      </c>
      <c r="Y61" s="1" t="n">
        <v>18</v>
      </c>
      <c r="Z61" s="39" t="n">
        <v>32.6</v>
      </c>
      <c r="AA61" s="1" t="n">
        <v>2014</v>
      </c>
      <c r="AB61" s="1" t="n">
        <v>28</v>
      </c>
      <c r="AC61" s="39" t="n">
        <v>34</v>
      </c>
      <c r="AD61" s="1" t="n">
        <v>2021</v>
      </c>
      <c r="AE61" s="1" t="n">
        <v>23</v>
      </c>
      <c r="AF61" s="39" t="n">
        <v>34.6</v>
      </c>
      <c r="AG61" s="1" t="n">
        <v>2012</v>
      </c>
      <c r="AH61" s="1" t="n">
        <v>19</v>
      </c>
      <c r="AI61" s="39" t="n">
        <v>35.4</v>
      </c>
      <c r="AJ61" s="1" t="n">
        <v>1997</v>
      </c>
      <c r="AK61" s="1" t="n">
        <v>11</v>
      </c>
      <c r="AL61" s="39" t="n">
        <v>33.6</v>
      </c>
      <c r="AM61" s="1" t="n">
        <v>1992</v>
      </c>
      <c r="AN61" s="1" t="n">
        <v>2</v>
      </c>
      <c r="AO61" s="39" t="n">
        <v>33.6</v>
      </c>
      <c r="AP61" s="1" t="n">
        <v>2015</v>
      </c>
      <c r="AQ61" s="1" t="n">
        <v>27</v>
      </c>
    </row>
    <row r="62" ht="14.45" customHeight="1">
      <c r="A62" s="1" t="n">
        <v>21055030</v>
      </c>
      <c r="B62" s="1" t="inlineStr">
        <is>
          <t>SANTA LETICIA [21055030]</t>
        </is>
      </c>
      <c r="C62" s="1" t="n">
        <v>2.24</v>
      </c>
      <c r="D62" s="1" t="n">
        <v>-76.16</v>
      </c>
      <c r="E62" s="1" t="n">
        <v>2085</v>
      </c>
      <c r="F62" s="1" t="inlineStr">
        <is>
          <t>Inzá</t>
        </is>
      </c>
      <c r="G62" s="1" t="inlineStr">
        <is>
          <t>Cauca</t>
        </is>
      </c>
      <c r="H62" s="39" t="n">
        <v>26.4</v>
      </c>
      <c r="I62" s="1" t="n">
        <v>2024</v>
      </c>
      <c r="J62" s="1" t="n">
        <v>30</v>
      </c>
      <c r="K62" s="39" t="n">
        <v>25.4</v>
      </c>
      <c r="L62" s="1" t="n">
        <v>2017</v>
      </c>
      <c r="M62" s="1" t="n">
        <v>8</v>
      </c>
      <c r="N62" s="39" t="n">
        <v>26.8</v>
      </c>
      <c r="O62" s="1" t="n">
        <v>2017</v>
      </c>
      <c r="P62" s="1" t="n">
        <v>7</v>
      </c>
      <c r="Q62" s="39" t="n">
        <v>26.1</v>
      </c>
      <c r="R62" s="1" t="n">
        <v>2024</v>
      </c>
      <c r="S62" s="1" t="n">
        <v>14</v>
      </c>
      <c r="T62" s="39" t="n">
        <v>26.4</v>
      </c>
      <c r="U62" s="1" t="n">
        <v>2024</v>
      </c>
      <c r="V62" s="1" t="n">
        <v>7</v>
      </c>
      <c r="W62" s="39" t="n">
        <v>24.3</v>
      </c>
      <c r="X62" s="1" t="n">
        <v>2024</v>
      </c>
      <c r="Y62" s="1" t="n">
        <v>29</v>
      </c>
      <c r="Z62" s="39" t="n">
        <v>24.2</v>
      </c>
      <c r="AA62" s="1" t="n">
        <v>2010</v>
      </c>
      <c r="AB62" s="1" t="n">
        <v>5</v>
      </c>
      <c r="AC62" s="39" t="n">
        <v>26.6</v>
      </c>
      <c r="AD62" s="1" t="n">
        <v>2011</v>
      </c>
      <c r="AE62" s="1" t="n">
        <v>20</v>
      </c>
      <c r="AF62" s="39" t="n">
        <v>26.2</v>
      </c>
      <c r="AG62" s="1" t="n">
        <v>1997</v>
      </c>
      <c r="AH62" s="1" t="n">
        <v>6</v>
      </c>
      <c r="AI62" s="39" t="n">
        <v>25.4</v>
      </c>
      <c r="AJ62" s="1" t="n">
        <v>2015</v>
      </c>
      <c r="AK62" s="1" t="n">
        <v>29</v>
      </c>
      <c r="AL62" s="39" t="n">
        <v>25.8</v>
      </c>
      <c r="AM62" s="1" t="n">
        <v>2016</v>
      </c>
      <c r="AN62" s="1" t="n">
        <v>25</v>
      </c>
      <c r="AO62" s="39" t="n">
        <v>25</v>
      </c>
      <c r="AP62" s="1" t="n">
        <v>2010</v>
      </c>
      <c r="AQ62" s="1" t="n">
        <v>10</v>
      </c>
    </row>
    <row r="63" ht="14.45" customHeight="1">
      <c r="A63" s="1" t="n">
        <v>21065040</v>
      </c>
      <c r="B63" s="1" t="inlineStr">
        <is>
          <t>ZULUAGA AUT [21065040]</t>
        </is>
      </c>
      <c r="C63" s="1" t="n">
        <v>2.2525</v>
      </c>
      <c r="D63" s="1" t="n">
        <v>-75.52944444000001</v>
      </c>
      <c r="E63" s="1" t="n">
        <v>1270</v>
      </c>
      <c r="F63" s="1" t="inlineStr">
        <is>
          <t>Garzón</t>
        </is>
      </c>
      <c r="G63" s="1" t="inlineStr">
        <is>
          <t>Huila</t>
        </is>
      </c>
      <c r="H63" s="39" t="n">
        <v>32.8</v>
      </c>
      <c r="I63" s="1" t="n">
        <v>2016</v>
      </c>
      <c r="J63" s="1" t="n">
        <v>28</v>
      </c>
      <c r="K63" s="39" t="n">
        <v>32.6</v>
      </c>
      <c r="L63" s="1" t="n">
        <v>2010</v>
      </c>
      <c r="M63" s="1" t="n">
        <v>21</v>
      </c>
      <c r="N63" s="39" t="n">
        <v>32</v>
      </c>
      <c r="O63" s="1" t="n">
        <v>2024</v>
      </c>
      <c r="P63" s="1" t="n">
        <v>20</v>
      </c>
      <c r="Q63" s="39" t="n">
        <v>32</v>
      </c>
      <c r="R63" s="1" t="n">
        <v>2024</v>
      </c>
      <c r="S63" s="1" t="n">
        <v>11</v>
      </c>
      <c r="T63" s="39" t="n">
        <v>31</v>
      </c>
      <c r="U63" s="1" t="n">
        <v>2023</v>
      </c>
      <c r="V63" s="1" t="n">
        <v>18</v>
      </c>
      <c r="W63" s="39" t="n">
        <v>31.8</v>
      </c>
      <c r="X63" s="1" t="n">
        <v>2013</v>
      </c>
      <c r="Y63" s="1" t="n">
        <v>13</v>
      </c>
      <c r="Z63" s="39" t="n">
        <v>30.2</v>
      </c>
      <c r="AA63" s="1" t="n">
        <v>2025</v>
      </c>
      <c r="AB63" s="1" t="n">
        <v>31</v>
      </c>
      <c r="AC63" s="39" t="n">
        <v>31</v>
      </c>
      <c r="AD63" s="1" t="n">
        <v>2025</v>
      </c>
      <c r="AE63" s="1" t="n">
        <v>20</v>
      </c>
      <c r="AF63" s="39" t="n">
        <v>32.8</v>
      </c>
      <c r="AG63" s="1" t="n">
        <v>2015</v>
      </c>
      <c r="AH63" s="1" t="n">
        <v>28</v>
      </c>
      <c r="AI63" s="39" t="n">
        <v>32.2</v>
      </c>
      <c r="AJ63" s="1" t="n">
        <v>2023</v>
      </c>
      <c r="AK63" s="1" t="n">
        <v>2</v>
      </c>
      <c r="AL63" s="39" t="n">
        <v>31</v>
      </c>
      <c r="AM63" s="1" t="n">
        <v>2025</v>
      </c>
      <c r="AN63" s="1" t="n">
        <v>1</v>
      </c>
      <c r="AO63" s="39" t="n">
        <v>32.2</v>
      </c>
      <c r="AP63" s="1" t="n">
        <v>2015</v>
      </c>
      <c r="AQ63" s="1" t="n">
        <v>24</v>
      </c>
    </row>
    <row r="64" ht="14.45" customHeight="1">
      <c r="A64" s="1" t="n">
        <v>21085030</v>
      </c>
      <c r="B64" s="1" t="inlineStr">
        <is>
          <t>SAN RAFAEL [21085030]</t>
        </is>
      </c>
      <c r="C64" s="1" t="n">
        <v>2.76</v>
      </c>
      <c r="D64" s="1" t="n">
        <v>-75.58</v>
      </c>
      <c r="E64" s="1" t="n">
        <v>1030</v>
      </c>
      <c r="F64" s="1" t="inlineStr">
        <is>
          <t>Teruel</t>
        </is>
      </c>
      <c r="G64" s="1" t="inlineStr">
        <is>
          <t>Huila</t>
        </is>
      </c>
      <c r="H64" s="39" t="n">
        <v>36.6</v>
      </c>
      <c r="I64" s="1" t="n">
        <v>2012</v>
      </c>
      <c r="J64" s="1" t="n">
        <v>27</v>
      </c>
      <c r="K64" s="39" t="n">
        <v>38.4</v>
      </c>
      <c r="L64" s="1" t="n">
        <v>2012</v>
      </c>
      <c r="M64" s="1" t="n">
        <v>14</v>
      </c>
      <c r="N64" s="39" t="n">
        <v>37.8</v>
      </c>
      <c r="O64" s="1" t="n">
        <v>2012</v>
      </c>
      <c r="P64" s="1" t="n">
        <v>28</v>
      </c>
      <c r="Q64" s="39" t="n">
        <v>36.8</v>
      </c>
      <c r="R64" s="1" t="n">
        <v>2012</v>
      </c>
      <c r="S64" s="1" t="n">
        <v>17</v>
      </c>
      <c r="T64" s="39" t="n">
        <v>37.2</v>
      </c>
      <c r="U64" s="1" t="n">
        <v>2012</v>
      </c>
      <c r="V64" s="1" t="n">
        <v>26</v>
      </c>
      <c r="W64" s="39" t="n">
        <v>32.4</v>
      </c>
      <c r="X64" s="1" t="n">
        <v>2023</v>
      </c>
      <c r="Y64" s="1" t="n">
        <v>12</v>
      </c>
      <c r="Z64" s="39" t="n">
        <v>34.4</v>
      </c>
      <c r="AA64" s="1" t="n">
        <v>2015</v>
      </c>
      <c r="AB64" s="1" t="n">
        <v>3</v>
      </c>
      <c r="AC64" s="39" t="n">
        <v>34.6</v>
      </c>
      <c r="AD64" s="1" t="n">
        <v>2023</v>
      </c>
      <c r="AE64" s="1" t="n">
        <v>31</v>
      </c>
      <c r="AF64" s="39" t="n">
        <v>37</v>
      </c>
      <c r="AG64" s="1" t="n">
        <v>2023</v>
      </c>
      <c r="AH64" s="1" t="n">
        <v>26</v>
      </c>
      <c r="AI64" s="39" t="n">
        <v>36.6</v>
      </c>
      <c r="AJ64" s="1" t="n">
        <v>2023</v>
      </c>
      <c r="AK64" s="1" t="n">
        <v>2</v>
      </c>
      <c r="AL64" s="39" t="n">
        <v>34.8</v>
      </c>
      <c r="AM64" s="1" t="n">
        <v>2023</v>
      </c>
      <c r="AN64" s="1" t="n">
        <v>17</v>
      </c>
      <c r="AO64" s="39" t="n">
        <v>36.4</v>
      </c>
      <c r="AP64" s="1" t="n">
        <v>2011</v>
      </c>
      <c r="AQ64" s="1" t="n">
        <v>29</v>
      </c>
    </row>
    <row r="65" ht="14.45" customHeight="1">
      <c r="A65" s="1" t="n">
        <v>21095010</v>
      </c>
      <c r="B65" s="1" t="inlineStr">
        <is>
          <t>JUNCAL EL AUT [21095010]</t>
        </is>
      </c>
      <c r="C65" s="1" t="n">
        <v>2.828805556</v>
      </c>
      <c r="D65" s="1" t="n">
        <v>-75.33116667</v>
      </c>
      <c r="E65" s="1" t="n">
        <v>460</v>
      </c>
      <c r="F65" s="1" t="inlineStr">
        <is>
          <t>Palermo</t>
        </is>
      </c>
      <c r="G65" s="1" t="inlineStr">
        <is>
          <t>Huila</t>
        </is>
      </c>
      <c r="H65" s="39" t="n">
        <v>39.8</v>
      </c>
      <c r="I65" s="1" t="n">
        <v>2019</v>
      </c>
      <c r="J65" s="1" t="n">
        <v>5</v>
      </c>
      <c r="K65" s="39" t="n">
        <v>38.8</v>
      </c>
      <c r="L65" s="1" t="n">
        <v>2016</v>
      </c>
      <c r="M65" s="1" t="n">
        <v>3</v>
      </c>
      <c r="N65" s="39" t="n">
        <v>39</v>
      </c>
      <c r="O65" s="1" t="n">
        <v>2016</v>
      </c>
      <c r="P65" s="1" t="n">
        <v>24</v>
      </c>
      <c r="Q65" s="39" t="n">
        <v>38.5</v>
      </c>
      <c r="R65" s="1" t="n">
        <v>2014</v>
      </c>
      <c r="S65" s="1" t="n">
        <v>18</v>
      </c>
      <c r="T65" s="39" t="n">
        <v>38</v>
      </c>
      <c r="U65" s="1" t="n">
        <v>2015</v>
      </c>
      <c r="V65" s="1" t="n">
        <v>24</v>
      </c>
      <c r="W65" s="39" t="n">
        <v>39.8</v>
      </c>
      <c r="X65" s="1" t="n">
        <v>2019</v>
      </c>
      <c r="Y65" s="1" t="n">
        <v>27</v>
      </c>
      <c r="Z65" s="39" t="n">
        <v>39.6</v>
      </c>
      <c r="AA65" s="1" t="n">
        <v>2018</v>
      </c>
      <c r="AB65" s="1" t="n">
        <v>23</v>
      </c>
      <c r="AC65" s="39" t="n">
        <v>39.6</v>
      </c>
      <c r="AD65" s="1" t="n">
        <v>2018</v>
      </c>
      <c r="AE65" s="1" t="n">
        <v>16</v>
      </c>
      <c r="AF65" s="39" t="n">
        <v>40</v>
      </c>
      <c r="AG65" s="1" t="n">
        <v>2015</v>
      </c>
      <c r="AH65" s="1" t="n">
        <v>21</v>
      </c>
      <c r="AI65" s="39" t="n">
        <v>39</v>
      </c>
      <c r="AJ65" s="1" t="n">
        <v>2017</v>
      </c>
      <c r="AK65" s="1" t="n">
        <v>3</v>
      </c>
      <c r="AL65" s="39" t="n">
        <v>38.2</v>
      </c>
      <c r="AM65" s="1" t="n">
        <v>2016</v>
      </c>
      <c r="AN65" s="1" t="n">
        <v>6</v>
      </c>
      <c r="AO65" s="39" t="n">
        <v>39.6</v>
      </c>
      <c r="AP65" s="1" t="n">
        <v>2015</v>
      </c>
      <c r="AQ65" s="1" t="n">
        <v>24</v>
      </c>
    </row>
    <row r="66" ht="14.45" customHeight="1">
      <c r="A66" s="1" t="n">
        <v>21105040</v>
      </c>
      <c r="B66" s="1" t="inlineStr">
        <is>
          <t>POTOSI HACIENDA [21105040]</t>
        </is>
      </c>
      <c r="C66" s="1" t="n">
        <v>2.696805556</v>
      </c>
      <c r="D66" s="1" t="n">
        <v>-75.29888889</v>
      </c>
      <c r="E66" s="1" t="n">
        <v>680</v>
      </c>
      <c r="F66" s="1" t="inlineStr">
        <is>
          <t>Campoalegre</t>
        </is>
      </c>
      <c r="G66" s="1" t="inlineStr">
        <is>
          <t>Huila</t>
        </is>
      </c>
      <c r="H66" s="39" t="n">
        <v>37.2</v>
      </c>
      <c r="I66" s="1" t="n">
        <v>2010</v>
      </c>
      <c r="J66" s="1" t="n">
        <v>22</v>
      </c>
      <c r="K66" s="39" t="n">
        <v>37.8</v>
      </c>
      <c r="L66" s="1" t="n">
        <v>2010</v>
      </c>
      <c r="M66" s="1" t="n">
        <v>21</v>
      </c>
      <c r="N66" s="39" t="n">
        <v>37.8</v>
      </c>
      <c r="O66" s="1" t="n">
        <v>2018</v>
      </c>
      <c r="P66" s="1" t="n">
        <v>9</v>
      </c>
      <c r="Q66" s="39" t="n">
        <v>37.6</v>
      </c>
      <c r="R66" s="1" t="n">
        <v>2010</v>
      </c>
      <c r="S66" s="1" t="n">
        <v>4</v>
      </c>
      <c r="T66" s="39" t="n">
        <v>36</v>
      </c>
      <c r="U66" s="1" t="n">
        <v>2020</v>
      </c>
      <c r="V66" s="1" t="n">
        <v>11</v>
      </c>
      <c r="W66" s="39" t="n">
        <v>37</v>
      </c>
      <c r="X66" s="1" t="n">
        <v>2020</v>
      </c>
      <c r="Y66" s="1" t="n">
        <v>9</v>
      </c>
      <c r="Z66" s="39" t="n">
        <v>36.8</v>
      </c>
      <c r="AA66" s="1" t="n">
        <v>2012</v>
      </c>
      <c r="AB66" s="1" t="n">
        <v>9</v>
      </c>
      <c r="AC66" s="39" t="n">
        <v>36.4</v>
      </c>
      <c r="AD66" s="1" t="n">
        <v>2012</v>
      </c>
      <c r="AE66" s="1" t="n">
        <v>7</v>
      </c>
      <c r="AF66" s="39" t="n">
        <v>37.4</v>
      </c>
      <c r="AG66" s="1" t="n">
        <v>2009</v>
      </c>
      <c r="AH66" s="1" t="n">
        <v>14</v>
      </c>
      <c r="AI66" s="39" t="n">
        <v>38.2</v>
      </c>
      <c r="AJ66" s="1" t="n">
        <v>2006</v>
      </c>
      <c r="AK66" s="1" t="n">
        <v>10</v>
      </c>
      <c r="AL66" s="39" t="n">
        <v>37</v>
      </c>
      <c r="AM66" s="1" t="n">
        <v>2016</v>
      </c>
      <c r="AN66" s="1" t="n">
        <v>6</v>
      </c>
      <c r="AO66" s="39" t="n">
        <v>36.8</v>
      </c>
      <c r="AP66" s="1" t="n">
        <v>2009</v>
      </c>
      <c r="AQ66" s="1" t="n">
        <v>14</v>
      </c>
    </row>
    <row r="67" ht="14.45" customHeight="1">
      <c r="A67" s="1" t="n">
        <v>21105050</v>
      </c>
      <c r="B67" s="1" t="inlineStr">
        <is>
          <t>ROSALES LOS [21105050]</t>
        </is>
      </c>
      <c r="C67" s="1" t="n">
        <v>2.603055556</v>
      </c>
      <c r="D67" s="1" t="n">
        <v>-75.41833333300001</v>
      </c>
      <c r="E67" s="1" t="n">
        <v>553</v>
      </c>
      <c r="F67" s="1" t="inlineStr">
        <is>
          <t>Campoalegre</t>
        </is>
      </c>
      <c r="G67" s="1" t="inlineStr">
        <is>
          <t>Huila</t>
        </is>
      </c>
      <c r="H67" s="39" t="n">
        <v>38.7</v>
      </c>
      <c r="I67" s="1" t="n">
        <v>1980</v>
      </c>
      <c r="J67" s="1" t="n">
        <v>22</v>
      </c>
      <c r="K67" s="39" t="n">
        <v>39.6</v>
      </c>
      <c r="L67" s="1" t="n">
        <v>2010</v>
      </c>
      <c r="M67" s="1" t="n">
        <v>21</v>
      </c>
      <c r="N67" s="39" t="n">
        <v>37.8</v>
      </c>
      <c r="O67" s="1" t="n">
        <v>2010</v>
      </c>
      <c r="P67" s="1" t="n">
        <v>24</v>
      </c>
      <c r="Q67" s="39" t="n">
        <v>36.8</v>
      </c>
      <c r="R67" s="1" t="n">
        <v>2010</v>
      </c>
      <c r="S67" s="1" t="n">
        <v>22</v>
      </c>
      <c r="T67" s="39" t="n">
        <v>36.8</v>
      </c>
      <c r="U67" s="1" t="n">
        <v>2017</v>
      </c>
      <c r="V67" s="1" t="n">
        <v>2</v>
      </c>
      <c r="W67" s="39" t="n">
        <v>37.4</v>
      </c>
      <c r="X67" s="1" t="n">
        <v>2012</v>
      </c>
      <c r="Y67" s="1" t="n">
        <v>18</v>
      </c>
      <c r="Z67" s="39" t="n">
        <v>39.4</v>
      </c>
      <c r="AA67" s="1" t="n">
        <v>1985</v>
      </c>
      <c r="AB67" s="1" t="n">
        <v>7</v>
      </c>
      <c r="AC67" s="39" t="n">
        <v>39.2</v>
      </c>
      <c r="AD67" s="1" t="n">
        <v>2012</v>
      </c>
      <c r="AE67" s="1" t="n">
        <v>24</v>
      </c>
      <c r="AF67" s="39" t="n">
        <v>39.2</v>
      </c>
      <c r="AG67" s="1" t="n">
        <v>2012</v>
      </c>
      <c r="AH67" s="1" t="n">
        <v>21</v>
      </c>
      <c r="AI67" s="39" t="n">
        <v>39.2</v>
      </c>
      <c r="AJ67" s="1" t="n">
        <v>2006</v>
      </c>
      <c r="AK67" s="1" t="n">
        <v>10</v>
      </c>
      <c r="AL67" s="39" t="n">
        <v>39.4</v>
      </c>
      <c r="AM67" s="1" t="n">
        <v>1994</v>
      </c>
      <c r="AN67" s="1" t="n">
        <v>28</v>
      </c>
      <c r="AO67" s="39" t="n">
        <v>37.4</v>
      </c>
      <c r="AP67" s="1" t="n">
        <v>2002</v>
      </c>
      <c r="AQ67" s="1" t="n">
        <v>4</v>
      </c>
    </row>
    <row r="68" ht="14.45" customHeight="1">
      <c r="A68" s="1" t="n">
        <v>21115020</v>
      </c>
      <c r="B68" s="1" t="inlineStr">
        <is>
          <t>AEROPUERTO BENITO SALAS [21115020]</t>
        </is>
      </c>
      <c r="C68" s="1" t="n">
        <v>2.94875</v>
      </c>
      <c r="D68" s="1" t="n">
        <v>-75.29305556</v>
      </c>
      <c r="E68" s="1" t="n">
        <v>439</v>
      </c>
      <c r="F68" s="1" t="inlineStr">
        <is>
          <t>Neiva</t>
        </is>
      </c>
      <c r="G68" s="1" t="inlineStr">
        <is>
          <t>Huila</t>
        </is>
      </c>
      <c r="H68" s="39" t="n">
        <v>39.2</v>
      </c>
      <c r="I68" s="1" t="n">
        <v>2024</v>
      </c>
      <c r="J68" s="1" t="n">
        <v>23</v>
      </c>
      <c r="K68" s="39" t="n">
        <v>39.6</v>
      </c>
      <c r="L68" s="1" t="n">
        <v>1998</v>
      </c>
      <c r="M68" s="1" t="n">
        <v>3</v>
      </c>
      <c r="N68" s="39" t="n">
        <v>39.7</v>
      </c>
      <c r="O68" s="1" t="n">
        <v>2010</v>
      </c>
      <c r="P68" s="1" t="n">
        <v>24</v>
      </c>
      <c r="Q68" s="39" t="n">
        <v>38.7</v>
      </c>
      <c r="R68" s="1" t="n">
        <v>2010</v>
      </c>
      <c r="S68" s="1" t="n">
        <v>2</v>
      </c>
      <c r="T68" s="39" t="n">
        <v>38</v>
      </c>
      <c r="U68" s="1" t="n">
        <v>1980</v>
      </c>
      <c r="V68" s="1" t="n">
        <v>11</v>
      </c>
      <c r="W68" s="39" t="n">
        <v>37.9</v>
      </c>
      <c r="X68" s="1" t="n">
        <v>1983</v>
      </c>
      <c r="Y68" s="1" t="n">
        <v>19</v>
      </c>
      <c r="Z68" s="39" t="n">
        <v>38.6</v>
      </c>
      <c r="AA68" s="1" t="n">
        <v>1983</v>
      </c>
      <c r="AB68" s="1" t="n">
        <v>28</v>
      </c>
      <c r="AC68" s="39" t="n">
        <v>39</v>
      </c>
      <c r="AD68" s="1" t="n">
        <v>2001</v>
      </c>
      <c r="AE68" s="1" t="n">
        <v>30</v>
      </c>
      <c r="AF68" s="39" t="n">
        <v>40.5</v>
      </c>
      <c r="AG68" s="1" t="n">
        <v>2024</v>
      </c>
      <c r="AH68" s="1" t="n">
        <v>15</v>
      </c>
      <c r="AI68" s="39" t="n">
        <v>40</v>
      </c>
      <c r="AJ68" s="1" t="n">
        <v>2023</v>
      </c>
      <c r="AK68" s="1" t="n">
        <v>2</v>
      </c>
      <c r="AL68" s="39" t="n">
        <v>37.7</v>
      </c>
      <c r="AM68" s="1" t="n">
        <v>2023</v>
      </c>
      <c r="AN68" s="1" t="n">
        <v>8</v>
      </c>
      <c r="AO68" s="39" t="n">
        <v>38.4</v>
      </c>
      <c r="AP68" s="1" t="n">
        <v>2023</v>
      </c>
      <c r="AQ68" s="1" t="n">
        <v>12</v>
      </c>
    </row>
    <row r="69" ht="14.45" customHeight="1">
      <c r="A69" s="1" t="n">
        <v>21115060</v>
      </c>
      <c r="B69" s="1" t="inlineStr">
        <is>
          <t>SAN JOSE [21115060]</t>
        </is>
      </c>
      <c r="C69" s="1" t="n">
        <v>3.329222222</v>
      </c>
      <c r="D69" s="1" t="n">
        <v>-75.18405556</v>
      </c>
      <c r="E69" s="1" t="n">
        <v>400</v>
      </c>
      <c r="F69" s="1" t="inlineStr">
        <is>
          <t>Villavieja</t>
        </is>
      </c>
      <c r="G69" s="1" t="inlineStr">
        <is>
          <t>Huila</t>
        </is>
      </c>
      <c r="H69" s="39" t="n">
        <v>39.6</v>
      </c>
      <c r="I69" s="1" t="n">
        <v>2016</v>
      </c>
      <c r="J69" s="1" t="n">
        <v>18</v>
      </c>
      <c r="K69" s="39" t="n">
        <v>40.2</v>
      </c>
      <c r="L69" s="1" t="n">
        <v>2010</v>
      </c>
      <c r="M69" s="1" t="n">
        <v>2</v>
      </c>
      <c r="N69" s="39" t="n">
        <v>40</v>
      </c>
      <c r="O69" s="1" t="n">
        <v>2016</v>
      </c>
      <c r="P69" s="1" t="n">
        <v>20</v>
      </c>
      <c r="Q69" s="39" t="n">
        <v>39.4</v>
      </c>
      <c r="R69" s="1" t="n">
        <v>2013</v>
      </c>
      <c r="S69" s="1" t="n">
        <v>17</v>
      </c>
      <c r="T69" s="39" t="n">
        <v>38.4</v>
      </c>
      <c r="U69" s="1" t="n">
        <v>2005</v>
      </c>
      <c r="V69" s="1" t="n">
        <v>15</v>
      </c>
      <c r="W69" s="39" t="n">
        <v>38</v>
      </c>
      <c r="X69" s="1" t="n">
        <v>2015</v>
      </c>
      <c r="Y69" s="1" t="n">
        <v>14</v>
      </c>
      <c r="Z69" s="39" t="n">
        <v>39</v>
      </c>
      <c r="AA69" s="1" t="n">
        <v>2023</v>
      </c>
      <c r="AB69" s="1" t="n">
        <v>25</v>
      </c>
      <c r="AC69" s="39" t="n">
        <v>39.8</v>
      </c>
      <c r="AD69" s="1" t="n">
        <v>2019</v>
      </c>
      <c r="AE69" s="1" t="n">
        <v>18</v>
      </c>
      <c r="AF69" s="39" t="n">
        <v>41</v>
      </c>
      <c r="AG69" s="1" t="n">
        <v>2015</v>
      </c>
      <c r="AH69" s="1" t="n">
        <v>21</v>
      </c>
      <c r="AI69" s="39" t="n">
        <v>40.4</v>
      </c>
      <c r="AJ69" s="1" t="n">
        <v>2023</v>
      </c>
      <c r="AK69" s="1" t="n">
        <v>1</v>
      </c>
      <c r="AL69" s="39" t="n">
        <v>39</v>
      </c>
      <c r="AM69" s="1" t="n">
        <v>2000</v>
      </c>
      <c r="AN69" s="1" t="n">
        <v>13</v>
      </c>
      <c r="AO69" s="39" t="n">
        <v>39.6</v>
      </c>
      <c r="AP69" s="1" t="n">
        <v>2015</v>
      </c>
      <c r="AQ69" s="1" t="n">
        <v>23</v>
      </c>
    </row>
    <row r="70" ht="14.45" customHeight="1">
      <c r="A70" s="1" t="n">
        <v>21115080</v>
      </c>
      <c r="B70" s="1" t="inlineStr">
        <is>
          <t>VILLAVIEJA FFCC [21115080]</t>
        </is>
      </c>
      <c r="C70" s="1" t="n">
        <v>3.183055556</v>
      </c>
      <c r="D70" s="1" t="n">
        <v>-75.2475</v>
      </c>
      <c r="E70" s="1" t="n">
        <v>430</v>
      </c>
      <c r="F70" s="1" t="inlineStr">
        <is>
          <t>Villavieja</t>
        </is>
      </c>
      <c r="G70" s="1" t="inlineStr">
        <is>
          <t>Huila</t>
        </is>
      </c>
      <c r="H70" s="39" t="n">
        <v>40.2</v>
      </c>
      <c r="I70" s="1" t="n">
        <v>2010</v>
      </c>
      <c r="J70" s="1" t="n">
        <v>30</v>
      </c>
      <c r="K70" s="39" t="n">
        <v>41</v>
      </c>
      <c r="L70" s="1" t="n">
        <v>2010</v>
      </c>
      <c r="M70" s="1" t="n">
        <v>2</v>
      </c>
      <c r="N70" s="39" t="n">
        <v>41</v>
      </c>
      <c r="O70" s="1" t="n">
        <v>2024</v>
      </c>
      <c r="P70" s="1" t="n">
        <v>20</v>
      </c>
      <c r="Q70" s="39" t="n">
        <v>41.6</v>
      </c>
      <c r="R70" s="1" t="n">
        <v>2024</v>
      </c>
      <c r="S70" s="1" t="n">
        <v>16</v>
      </c>
      <c r="T70" s="39" t="n">
        <v>40.4</v>
      </c>
      <c r="U70" s="1" t="n">
        <v>2024</v>
      </c>
      <c r="V70" s="1" t="n">
        <v>17</v>
      </c>
      <c r="W70" s="39" t="n">
        <v>39.2</v>
      </c>
      <c r="X70" s="1" t="n">
        <v>1994</v>
      </c>
      <c r="Y70" s="1" t="n">
        <v>21</v>
      </c>
      <c r="Z70" s="39" t="n">
        <v>39.5</v>
      </c>
      <c r="AA70" s="1" t="n">
        <v>1999</v>
      </c>
      <c r="AB70" s="1" t="n">
        <v>15</v>
      </c>
      <c r="AC70" s="39" t="n">
        <v>40</v>
      </c>
      <c r="AD70" s="1" t="n">
        <v>2023</v>
      </c>
      <c r="AE70" s="1" t="n">
        <v>31</v>
      </c>
      <c r="AF70" s="39" t="n">
        <v>41</v>
      </c>
      <c r="AG70" s="1" t="n">
        <v>2023</v>
      </c>
      <c r="AH70" s="1" t="n">
        <v>1</v>
      </c>
      <c r="AI70" s="39" t="n">
        <v>41.2</v>
      </c>
      <c r="AJ70" s="1" t="n">
        <v>2023</v>
      </c>
      <c r="AK70" s="1" t="n">
        <v>18</v>
      </c>
      <c r="AL70" s="39" t="n">
        <v>39.2</v>
      </c>
      <c r="AM70" s="1" t="n">
        <v>2023</v>
      </c>
      <c r="AN70" s="1" t="n">
        <v>13</v>
      </c>
      <c r="AO70" s="39" t="n">
        <v>39.2</v>
      </c>
      <c r="AP70" s="1" t="n">
        <v>2023</v>
      </c>
      <c r="AQ70" s="1" t="n">
        <v>13</v>
      </c>
    </row>
    <row r="71" ht="14.45" customHeight="1">
      <c r="A71" s="1" t="n">
        <v>21115100</v>
      </c>
      <c r="B71" s="1" t="inlineStr">
        <is>
          <t>PALACIO-VEGALARGA [21115100]</t>
        </is>
      </c>
      <c r="C71" s="1" t="n">
        <v>2.942638889</v>
      </c>
      <c r="D71" s="1" t="n">
        <v>-75.06638889</v>
      </c>
      <c r="E71" s="1" t="n">
        <v>1100</v>
      </c>
      <c r="F71" s="1" t="inlineStr">
        <is>
          <t>Neiva</t>
        </is>
      </c>
      <c r="G71" s="1" t="inlineStr">
        <is>
          <t>Huila</t>
        </is>
      </c>
      <c r="H71" s="39" t="n">
        <v>32.8</v>
      </c>
      <c r="I71" s="1" t="n">
        <v>2010</v>
      </c>
      <c r="J71" s="1" t="n">
        <v>31</v>
      </c>
      <c r="K71" s="39" t="n">
        <v>33.6</v>
      </c>
      <c r="L71" s="1" t="n">
        <v>1998</v>
      </c>
      <c r="M71" s="1" t="n">
        <v>3</v>
      </c>
      <c r="N71" s="39" t="n">
        <v>32.8</v>
      </c>
      <c r="O71" s="1" t="n">
        <v>2016</v>
      </c>
      <c r="P71" s="1" t="n">
        <v>27</v>
      </c>
      <c r="Q71" s="39" t="n">
        <v>31.6</v>
      </c>
      <c r="R71" s="1" t="n">
        <v>2010</v>
      </c>
      <c r="S71" s="1" t="n">
        <v>2</v>
      </c>
      <c r="T71" s="39" t="n">
        <v>36.6</v>
      </c>
      <c r="U71" s="1" t="n">
        <v>1983</v>
      </c>
      <c r="V71" s="1" t="n">
        <v>8</v>
      </c>
      <c r="W71" s="39" t="n">
        <v>34.6</v>
      </c>
      <c r="X71" s="1" t="n">
        <v>1983</v>
      </c>
      <c r="Y71" s="1" t="n">
        <v>11</v>
      </c>
      <c r="Z71" s="39" t="n">
        <v>33.4</v>
      </c>
      <c r="AA71" s="1" t="n">
        <v>1980</v>
      </c>
      <c r="AB71" s="1" t="n">
        <v>30</v>
      </c>
      <c r="AC71" s="39" t="n">
        <v>33.4</v>
      </c>
      <c r="AD71" s="1" t="n">
        <v>1997</v>
      </c>
      <c r="AE71" s="1" t="n">
        <v>24</v>
      </c>
      <c r="AF71" s="39" t="n">
        <v>34.2</v>
      </c>
      <c r="AG71" s="1" t="n">
        <v>2024</v>
      </c>
      <c r="AH71" s="1" t="n">
        <v>15</v>
      </c>
      <c r="AI71" s="39" t="n">
        <v>33.6</v>
      </c>
      <c r="AJ71" s="1" t="n">
        <v>2024</v>
      </c>
      <c r="AK71" s="1" t="n">
        <v>18</v>
      </c>
      <c r="AL71" s="39" t="n">
        <v>32</v>
      </c>
      <c r="AM71" s="1" t="n">
        <v>1992</v>
      </c>
      <c r="AN71" s="1" t="n">
        <v>2</v>
      </c>
      <c r="AO71" s="39" t="n">
        <v>31.4</v>
      </c>
      <c r="AP71" s="1" t="n">
        <v>1997</v>
      </c>
      <c r="AQ71" s="1" t="n">
        <v>11</v>
      </c>
    </row>
    <row r="72" ht="14.45" customHeight="1">
      <c r="A72" s="1" t="n">
        <v>21115160</v>
      </c>
      <c r="B72" s="1" t="inlineStr">
        <is>
          <t>HACIENDA MANILA [21115160]</t>
        </is>
      </c>
      <c r="C72" s="1" t="n">
        <v>3.133055556</v>
      </c>
      <c r="D72" s="1" t="n">
        <v>-75.08152778</v>
      </c>
      <c r="E72" s="1" t="n">
        <v>600</v>
      </c>
      <c r="F72" s="1" t="inlineStr">
        <is>
          <t>Baraya</t>
        </is>
      </c>
      <c r="G72" s="1" t="inlineStr">
        <is>
          <t>Huila</t>
        </is>
      </c>
      <c r="H72" s="39" t="n">
        <v>39</v>
      </c>
      <c r="I72" s="1" t="n">
        <v>2010</v>
      </c>
      <c r="J72" s="1" t="n">
        <v>21</v>
      </c>
      <c r="K72" s="39" t="n">
        <v>39.4</v>
      </c>
      <c r="L72" s="1" t="n">
        <v>2010</v>
      </c>
      <c r="M72" s="1" t="n">
        <v>21</v>
      </c>
      <c r="N72" s="39" t="n">
        <v>38.2</v>
      </c>
      <c r="O72" s="1" t="n">
        <v>2010</v>
      </c>
      <c r="P72" s="1" t="n">
        <v>24</v>
      </c>
      <c r="Q72" s="39" t="n">
        <v>37.4</v>
      </c>
      <c r="R72" s="1" t="n">
        <v>2013</v>
      </c>
      <c r="S72" s="1" t="n">
        <v>17</v>
      </c>
      <c r="T72" s="39" t="n">
        <v>36.4</v>
      </c>
      <c r="U72" s="1" t="n">
        <v>2015</v>
      </c>
      <c r="V72" s="1" t="n">
        <v>15</v>
      </c>
      <c r="W72" s="39" t="n">
        <v>37.6</v>
      </c>
      <c r="X72" s="1" t="n">
        <v>1996</v>
      </c>
      <c r="Y72" s="1" t="n">
        <v>29</v>
      </c>
      <c r="Z72" s="39" t="n">
        <v>37.4</v>
      </c>
      <c r="AA72" s="1" t="n">
        <v>2014</v>
      </c>
      <c r="AB72" s="1" t="n">
        <v>5</v>
      </c>
      <c r="AC72" s="39" t="n">
        <v>37.8</v>
      </c>
      <c r="AD72" s="1" t="n">
        <v>2001</v>
      </c>
      <c r="AE72" s="1" t="n">
        <v>31</v>
      </c>
      <c r="AF72" s="39" t="n">
        <v>39.4</v>
      </c>
      <c r="AG72" s="1" t="n">
        <v>2015</v>
      </c>
      <c r="AH72" s="1" t="n">
        <v>28</v>
      </c>
      <c r="AI72" s="39" t="n">
        <v>38.2</v>
      </c>
      <c r="AJ72" s="1" t="n">
        <v>2006</v>
      </c>
      <c r="AK72" s="1" t="n">
        <v>10</v>
      </c>
      <c r="AL72" s="39" t="n">
        <v>37</v>
      </c>
      <c r="AM72" s="1" t="n">
        <v>1992</v>
      </c>
      <c r="AN72" s="1" t="n">
        <v>2</v>
      </c>
      <c r="AO72" s="39" t="n">
        <v>37.6</v>
      </c>
      <c r="AP72" s="1" t="n">
        <v>1983</v>
      </c>
      <c r="AQ72" s="1" t="n">
        <v>27</v>
      </c>
    </row>
    <row r="73" ht="14.45" customHeight="1">
      <c r="A73" s="1" t="n">
        <v>21125010</v>
      </c>
      <c r="B73" s="1" t="inlineStr">
        <is>
          <t>SANTA MARIA [21125010]</t>
        </is>
      </c>
      <c r="C73" s="1" t="n">
        <v>2.935694444</v>
      </c>
      <c r="D73" s="1" t="n">
        <v>-75.58905556000001</v>
      </c>
      <c r="E73" s="1" t="n">
        <v>1300</v>
      </c>
      <c r="F73" s="1" t="inlineStr">
        <is>
          <t>Santa María</t>
        </is>
      </c>
      <c r="G73" s="1" t="inlineStr">
        <is>
          <t>Huila</t>
        </is>
      </c>
      <c r="H73" s="39" t="n">
        <v>30.4</v>
      </c>
      <c r="I73" s="1" t="n">
        <v>2016</v>
      </c>
      <c r="J73" s="1" t="n">
        <v>27</v>
      </c>
      <c r="K73" s="39" t="n">
        <v>31.6</v>
      </c>
      <c r="L73" s="1" t="n">
        <v>1998</v>
      </c>
      <c r="M73" s="1" t="n">
        <v>12</v>
      </c>
      <c r="N73" s="39" t="n">
        <v>30.8</v>
      </c>
      <c r="O73" s="1" t="n">
        <v>2004</v>
      </c>
      <c r="P73" s="1" t="n">
        <v>20</v>
      </c>
      <c r="Q73" s="39" t="n">
        <v>29.8</v>
      </c>
      <c r="R73" s="1" t="n">
        <v>2010</v>
      </c>
      <c r="S73" s="1" t="n">
        <v>22</v>
      </c>
      <c r="T73" s="39" t="n">
        <v>30</v>
      </c>
      <c r="U73" s="1" t="n">
        <v>2008</v>
      </c>
      <c r="V73" s="1" t="n">
        <v>6</v>
      </c>
      <c r="W73" s="39" t="n">
        <v>29.6</v>
      </c>
      <c r="X73" s="1" t="n">
        <v>1983</v>
      </c>
      <c r="Y73" s="1" t="n">
        <v>17</v>
      </c>
      <c r="Z73" s="39" t="n">
        <v>29.6</v>
      </c>
      <c r="AA73" s="1" t="n">
        <v>1983</v>
      </c>
      <c r="AB73" s="1" t="n">
        <v>24</v>
      </c>
      <c r="AC73" s="39" t="n">
        <v>30.4</v>
      </c>
      <c r="AD73" s="1" t="n">
        <v>1997</v>
      </c>
      <c r="AE73" s="1" t="n">
        <v>28</v>
      </c>
      <c r="AF73" s="39" t="n">
        <v>31.4</v>
      </c>
      <c r="AG73" s="1" t="n">
        <v>2015</v>
      </c>
      <c r="AH73" s="1" t="n">
        <v>21</v>
      </c>
      <c r="AI73" s="39" t="n">
        <v>31.2</v>
      </c>
      <c r="AJ73" s="1" t="n">
        <v>2006</v>
      </c>
      <c r="AK73" s="1" t="n">
        <v>10</v>
      </c>
      <c r="AL73" s="39" t="n">
        <v>29.4</v>
      </c>
      <c r="AM73" s="1" t="n">
        <v>2002</v>
      </c>
      <c r="AN73" s="1" t="n">
        <v>30</v>
      </c>
      <c r="AO73" s="39" t="n">
        <v>30.2</v>
      </c>
      <c r="AP73" s="1" t="n">
        <v>2002</v>
      </c>
      <c r="AQ73" s="1" t="n">
        <v>12</v>
      </c>
    </row>
    <row r="74" ht="14.45" customHeight="1">
      <c r="A74" s="1" t="n">
        <v>21135020</v>
      </c>
      <c r="B74" s="1" t="inlineStr">
        <is>
          <t>JABALCON [21135020]</t>
        </is>
      </c>
      <c r="C74" s="1" t="n">
        <v>3.85575</v>
      </c>
      <c r="D74" s="1" t="n">
        <v>-75.01575</v>
      </c>
      <c r="E74" s="1" t="n">
        <v>313</v>
      </c>
      <c r="F74" s="1" t="inlineStr">
        <is>
          <t>Saldaña</t>
        </is>
      </c>
      <c r="G74" s="1" t="inlineStr">
        <is>
          <t>Tolima</t>
        </is>
      </c>
      <c r="H74" s="39" t="n">
        <v>39.5</v>
      </c>
      <c r="I74" s="1" t="n">
        <v>1998</v>
      </c>
      <c r="J74" s="1" t="n">
        <v>4</v>
      </c>
      <c r="K74" s="39" t="n">
        <v>40.5</v>
      </c>
      <c r="L74" s="1" t="n">
        <v>1998</v>
      </c>
      <c r="M74" s="1" t="n">
        <v>17</v>
      </c>
      <c r="N74" s="39" t="n">
        <v>39.6</v>
      </c>
      <c r="O74" s="1" t="n">
        <v>2024</v>
      </c>
      <c r="P74" s="1" t="n">
        <v>13</v>
      </c>
      <c r="Q74" s="39" t="n">
        <v>38.4</v>
      </c>
      <c r="R74" s="1" t="n">
        <v>2005</v>
      </c>
      <c r="S74" s="1" t="n">
        <v>19</v>
      </c>
      <c r="T74" s="39" t="n">
        <v>38.5</v>
      </c>
      <c r="U74" s="1" t="n">
        <v>1998</v>
      </c>
      <c r="V74" s="1" t="n">
        <v>7</v>
      </c>
      <c r="W74" s="39" t="n">
        <v>39.2</v>
      </c>
      <c r="X74" s="1" t="n">
        <v>1992</v>
      </c>
      <c r="Y74" s="1" t="n">
        <v>9</v>
      </c>
      <c r="Z74" s="39" t="n">
        <v>39</v>
      </c>
      <c r="AA74" s="1" t="n">
        <v>2015</v>
      </c>
      <c r="AB74" s="1" t="n">
        <v>4</v>
      </c>
      <c r="AC74" s="39" t="n">
        <v>40</v>
      </c>
      <c r="AD74" s="1" t="n">
        <v>2015</v>
      </c>
      <c r="AE74" s="1" t="n">
        <v>25</v>
      </c>
      <c r="AF74" s="39" t="n">
        <v>42.4</v>
      </c>
      <c r="AG74" s="1" t="n">
        <v>2015</v>
      </c>
      <c r="AH74" s="1" t="n">
        <v>27</v>
      </c>
      <c r="AI74" s="39" t="n">
        <v>40</v>
      </c>
      <c r="AJ74" s="1" t="n">
        <v>2024</v>
      </c>
      <c r="AK74" s="1" t="n">
        <v>30</v>
      </c>
      <c r="AL74" s="39" t="n">
        <v>37.5</v>
      </c>
      <c r="AM74" s="1" t="n">
        <v>1997</v>
      </c>
      <c r="AN74" s="1" t="n">
        <v>6</v>
      </c>
      <c r="AO74" s="39" t="n">
        <v>39.4</v>
      </c>
      <c r="AP74" s="1" t="n">
        <v>2015</v>
      </c>
      <c r="AQ74" s="1" t="n">
        <v>14</v>
      </c>
    </row>
    <row r="75" ht="14.45" customHeight="1">
      <c r="A75" s="1" t="n">
        <v>21135030</v>
      </c>
      <c r="B75" s="1" t="inlineStr">
        <is>
          <t>ANCHIQUE [21135030]</t>
        </is>
      </c>
      <c r="C75" s="1" t="n">
        <v>3.573833333</v>
      </c>
      <c r="D75" s="1" t="n">
        <v>-75.10899999999999</v>
      </c>
      <c r="E75" s="1" t="n">
        <v>415</v>
      </c>
      <c r="F75" s="1" t="inlineStr">
        <is>
          <t>Natagaima</t>
        </is>
      </c>
      <c r="G75" s="1" t="inlineStr">
        <is>
          <t>Tolima</t>
        </is>
      </c>
      <c r="H75" s="39" t="n">
        <v>40.8</v>
      </c>
      <c r="I75" s="1" t="n">
        <v>2024</v>
      </c>
      <c r="J75" s="1" t="n">
        <v>26</v>
      </c>
      <c r="K75" s="39" t="n">
        <v>42.8</v>
      </c>
      <c r="L75" s="1" t="n">
        <v>1998</v>
      </c>
      <c r="M75" s="1" t="n">
        <v>3</v>
      </c>
      <c r="N75" s="39" t="n">
        <v>42.4</v>
      </c>
      <c r="O75" s="1" t="n">
        <v>2024</v>
      </c>
      <c r="P75" s="1" t="n">
        <v>17</v>
      </c>
      <c r="Q75" s="39" t="n">
        <v>41.2</v>
      </c>
      <c r="R75" s="1" t="n">
        <v>2014</v>
      </c>
      <c r="S75" s="1" t="n">
        <v>13</v>
      </c>
      <c r="T75" s="39" t="n">
        <v>42</v>
      </c>
      <c r="U75" s="1" t="n">
        <v>2015</v>
      </c>
      <c r="V75" s="1" t="n">
        <v>20</v>
      </c>
      <c r="W75" s="39" t="n">
        <v>41.4</v>
      </c>
      <c r="X75" s="1" t="n">
        <v>2015</v>
      </c>
      <c r="Y75" s="1" t="n">
        <v>19</v>
      </c>
      <c r="Z75" s="39" t="n">
        <v>41.4</v>
      </c>
      <c r="AA75" s="1" t="n">
        <v>2015</v>
      </c>
      <c r="AB75" s="1" t="n">
        <v>3</v>
      </c>
      <c r="AC75" s="39" t="n">
        <v>42.4</v>
      </c>
      <c r="AD75" s="1" t="n">
        <v>2015</v>
      </c>
      <c r="AE75" s="1" t="n">
        <v>28</v>
      </c>
      <c r="AF75" s="39" t="n">
        <v>44</v>
      </c>
      <c r="AG75" s="1" t="n">
        <v>2015</v>
      </c>
      <c r="AH75" s="1" t="n">
        <v>22</v>
      </c>
      <c r="AI75" s="39" t="n">
        <v>42.6</v>
      </c>
      <c r="AJ75" s="1" t="n">
        <v>2023</v>
      </c>
      <c r="AK75" s="1" t="n">
        <v>12</v>
      </c>
      <c r="AL75" s="39" t="n">
        <v>40</v>
      </c>
      <c r="AM75" s="1" t="n">
        <v>1979</v>
      </c>
      <c r="AN75" s="1" t="n">
        <v>29</v>
      </c>
      <c r="AO75" s="39" t="n">
        <v>41.4</v>
      </c>
      <c r="AP75" s="1" t="n">
        <v>2015</v>
      </c>
      <c r="AQ75" s="1" t="n">
        <v>27</v>
      </c>
    </row>
    <row r="76" ht="14.45" customHeight="1">
      <c r="A76" s="1" t="n">
        <v>21135050</v>
      </c>
      <c r="B76" s="1" t="inlineStr">
        <is>
          <t>JULIA LA [21135050]</t>
        </is>
      </c>
      <c r="C76" s="1" t="n">
        <v>3.098777778</v>
      </c>
      <c r="D76" s="1" t="n">
        <v>-75.53002778</v>
      </c>
      <c r="E76" s="1" t="n">
        <v>1691</v>
      </c>
      <c r="F76" s="1" t="inlineStr">
        <is>
          <t>Neiva</t>
        </is>
      </c>
      <c r="G76" s="1" t="inlineStr">
        <is>
          <t>Huila</t>
        </is>
      </c>
      <c r="H76" s="39" t="n">
        <v>26.8</v>
      </c>
      <c r="I76" s="1" t="n">
        <v>2003</v>
      </c>
      <c r="J76" s="1" t="n">
        <v>11</v>
      </c>
      <c r="K76" s="39" t="n">
        <v>27.8</v>
      </c>
      <c r="L76" s="1" t="n">
        <v>1998</v>
      </c>
      <c r="M76" s="1" t="n">
        <v>3</v>
      </c>
      <c r="N76" s="39" t="n">
        <v>28.2</v>
      </c>
      <c r="O76" s="1" t="n">
        <v>2004</v>
      </c>
      <c r="P76" s="1" t="n">
        <v>21</v>
      </c>
      <c r="Q76" s="39" t="n">
        <v>26.2</v>
      </c>
      <c r="R76" s="1" t="n">
        <v>2004</v>
      </c>
      <c r="S76" s="1" t="n">
        <v>5</v>
      </c>
      <c r="T76" s="39" t="n">
        <v>26.4</v>
      </c>
      <c r="U76" s="1" t="n">
        <v>1992</v>
      </c>
      <c r="V76" s="1" t="n">
        <v>18</v>
      </c>
      <c r="W76" s="39" t="n">
        <v>26.8</v>
      </c>
      <c r="X76" s="1" t="n">
        <v>1997</v>
      </c>
      <c r="Y76" s="1" t="n">
        <v>29</v>
      </c>
      <c r="Z76" s="39" t="n">
        <v>26</v>
      </c>
      <c r="AA76" s="1" t="n">
        <v>1998</v>
      </c>
      <c r="AB76" s="1" t="n">
        <v>7</v>
      </c>
      <c r="AC76" s="39" t="n">
        <v>28.2</v>
      </c>
      <c r="AD76" s="1" t="n">
        <v>2003</v>
      </c>
      <c r="AE76" s="1" t="n">
        <v>6</v>
      </c>
      <c r="AF76" s="39" t="n">
        <v>29.6</v>
      </c>
      <c r="AG76" s="1" t="n">
        <v>2024</v>
      </c>
      <c r="AH76" s="1" t="n">
        <v>15</v>
      </c>
      <c r="AI76" s="39" t="n">
        <v>28</v>
      </c>
      <c r="AJ76" s="1" t="n">
        <v>2023</v>
      </c>
      <c r="AK76" s="1" t="n">
        <v>1</v>
      </c>
      <c r="AL76" s="39" t="n">
        <v>27.4</v>
      </c>
      <c r="AM76" s="1" t="n">
        <v>2023</v>
      </c>
      <c r="AN76" s="1" t="n">
        <v>14</v>
      </c>
      <c r="AO76" s="39" t="n">
        <v>27</v>
      </c>
      <c r="AP76" s="1" t="n">
        <v>2023</v>
      </c>
      <c r="AQ76" s="1" t="n">
        <v>12</v>
      </c>
    </row>
    <row r="77" ht="14.45" customHeight="1">
      <c r="A77" s="1" t="n">
        <v>21145020</v>
      </c>
      <c r="B77" s="1" t="inlineStr">
        <is>
          <t>ARIZONA [21145020]</t>
        </is>
      </c>
      <c r="C77" s="1" t="n">
        <v>3.276111111</v>
      </c>
      <c r="D77" s="1" t="n">
        <v>-74.93583332999999</v>
      </c>
      <c r="E77" s="1" t="n">
        <v>638</v>
      </c>
      <c r="F77" s="1" t="inlineStr">
        <is>
          <t>Baraya</t>
        </is>
      </c>
      <c r="G77" s="1" t="inlineStr">
        <is>
          <t>Huila</t>
        </is>
      </c>
      <c r="H77" s="39" t="n">
        <v>37.6</v>
      </c>
      <c r="I77" s="1" t="n">
        <v>2019</v>
      </c>
      <c r="J77" s="1" t="n">
        <v>27</v>
      </c>
      <c r="K77" s="39" t="n">
        <v>37.2</v>
      </c>
      <c r="L77" s="1" t="n">
        <v>2019</v>
      </c>
      <c r="M77" s="1" t="n">
        <v>15</v>
      </c>
      <c r="N77" s="39" t="n">
        <v>38.8</v>
      </c>
      <c r="O77" s="1" t="n">
        <v>2020</v>
      </c>
      <c r="P77" s="1" t="n">
        <v>29</v>
      </c>
      <c r="Q77" s="39" t="n">
        <v>37.4</v>
      </c>
      <c r="R77" s="1" t="n">
        <v>2019</v>
      </c>
      <c r="S77" s="1" t="n">
        <v>30</v>
      </c>
      <c r="T77" s="39" t="n">
        <v>37.2</v>
      </c>
      <c r="U77" s="1" t="n">
        <v>2019</v>
      </c>
      <c r="V77" s="1" t="n">
        <v>1</v>
      </c>
      <c r="W77" s="39" t="n">
        <v>36.6</v>
      </c>
      <c r="X77" s="1" t="n">
        <v>2020</v>
      </c>
      <c r="Y77" s="1" t="n">
        <v>16</v>
      </c>
      <c r="Z77" s="39" t="n">
        <v>36.6</v>
      </c>
      <c r="AA77" s="1" t="n">
        <v>2019</v>
      </c>
      <c r="AB77" s="1" t="n">
        <v>3</v>
      </c>
      <c r="AC77" s="39" t="n">
        <v>38.2</v>
      </c>
      <c r="AD77" s="1" t="n">
        <v>2020</v>
      </c>
      <c r="AE77" s="1" t="n">
        <v>11</v>
      </c>
      <c r="AF77" s="39" t="n">
        <v>38.4</v>
      </c>
      <c r="AG77" s="1" t="n">
        <v>2019</v>
      </c>
      <c r="AH77" s="1" t="n">
        <v>10</v>
      </c>
      <c r="AI77" s="39" t="n">
        <v>37.2</v>
      </c>
      <c r="AJ77" s="1" t="n">
        <v>2018</v>
      </c>
      <c r="AK77" s="1" t="n">
        <v>1</v>
      </c>
      <c r="AL77" s="39" t="n">
        <v>37.2</v>
      </c>
      <c r="AM77" s="1" t="n">
        <v>2023</v>
      </c>
      <c r="AN77" s="1" t="n">
        <v>16</v>
      </c>
      <c r="AO77" s="39" t="n">
        <v>37</v>
      </c>
      <c r="AP77" s="1" t="n">
        <v>2018</v>
      </c>
      <c r="AQ77" s="1" t="n">
        <v>17</v>
      </c>
    </row>
    <row r="78" ht="14.45" customHeight="1">
      <c r="A78" s="1" t="n">
        <v>21145040</v>
      </c>
      <c r="B78" s="1" t="inlineStr">
        <is>
          <t>SAN ALFONSO [21145040]</t>
        </is>
      </c>
      <c r="C78" s="1" t="n">
        <v>3.373361111</v>
      </c>
      <c r="D78" s="1" t="n">
        <v>-75.11011111000001</v>
      </c>
      <c r="E78" s="1" t="n">
        <v>440</v>
      </c>
      <c r="F78" s="1" t="inlineStr">
        <is>
          <t>Villavieja</t>
        </is>
      </c>
      <c r="G78" s="1" t="inlineStr">
        <is>
          <t>Huila</t>
        </is>
      </c>
      <c r="H78" s="39" t="n">
        <v>40.6</v>
      </c>
      <c r="I78" s="1" t="n">
        <v>2024</v>
      </c>
      <c r="J78" s="1" t="n">
        <v>26</v>
      </c>
      <c r="K78" s="39" t="n">
        <v>42</v>
      </c>
      <c r="L78" s="1" t="n">
        <v>1998</v>
      </c>
      <c r="M78" s="1" t="n">
        <v>3</v>
      </c>
      <c r="N78" s="39" t="n">
        <v>41.8</v>
      </c>
      <c r="O78" s="1" t="n">
        <v>2003</v>
      </c>
      <c r="P78" s="1" t="n">
        <v>13</v>
      </c>
      <c r="Q78" s="39" t="n">
        <v>40</v>
      </c>
      <c r="R78" s="1" t="n">
        <v>1979</v>
      </c>
      <c r="S78" s="1" t="n">
        <v>13</v>
      </c>
      <c r="T78" s="39" t="n">
        <v>42</v>
      </c>
      <c r="U78" s="1" t="n">
        <v>1980</v>
      </c>
      <c r="V78" s="1" t="n">
        <v>28</v>
      </c>
      <c r="W78" s="39" t="n">
        <v>39.8</v>
      </c>
      <c r="X78" s="1" t="n">
        <v>1987</v>
      </c>
      <c r="Y78" s="1" t="n">
        <v>13</v>
      </c>
      <c r="Z78" s="39" t="n">
        <v>42</v>
      </c>
      <c r="AA78" s="1" t="n">
        <v>1980</v>
      </c>
      <c r="AB78" s="1" t="n">
        <v>7</v>
      </c>
      <c r="AC78" s="39" t="n">
        <v>41.4</v>
      </c>
      <c r="AD78" s="1" t="n">
        <v>2001</v>
      </c>
      <c r="AE78" s="1" t="n">
        <v>27</v>
      </c>
      <c r="AF78" s="39" t="n">
        <v>41</v>
      </c>
      <c r="AG78" s="1" t="n">
        <v>2024</v>
      </c>
      <c r="AH78" s="1" t="n">
        <v>14</v>
      </c>
      <c r="AI78" s="39" t="n">
        <v>41.4</v>
      </c>
      <c r="AJ78" s="1" t="n">
        <v>2023</v>
      </c>
      <c r="AK78" s="1" t="n">
        <v>12</v>
      </c>
      <c r="AL78" s="39" t="n">
        <v>40</v>
      </c>
      <c r="AM78" s="1" t="n">
        <v>1989</v>
      </c>
      <c r="AN78" s="1" t="n">
        <v>20</v>
      </c>
      <c r="AO78" s="39" t="n">
        <v>40.4</v>
      </c>
      <c r="AP78" s="1" t="n">
        <v>2023</v>
      </c>
      <c r="AQ78" s="1" t="n">
        <v>13</v>
      </c>
    </row>
    <row r="79" ht="14.45" customHeight="1">
      <c r="A79" s="1" t="n">
        <v>21145070</v>
      </c>
      <c r="B79" s="1" t="inlineStr">
        <is>
          <t>LEGIOSA LA [21145070]</t>
        </is>
      </c>
      <c r="C79" s="1" t="n">
        <v>3.311027778</v>
      </c>
      <c r="D79" s="1" t="n">
        <v>-74.70288889</v>
      </c>
      <c r="E79" s="1" t="n">
        <v>1476</v>
      </c>
      <c r="F79" s="1" t="inlineStr">
        <is>
          <t>Colombia</t>
        </is>
      </c>
      <c r="G79" s="1" t="inlineStr">
        <is>
          <t>Huila</t>
        </is>
      </c>
      <c r="H79" s="39" t="n">
        <v>28.6</v>
      </c>
      <c r="I79" s="1" t="n">
        <v>1998</v>
      </c>
      <c r="J79" s="1" t="n">
        <v>27</v>
      </c>
      <c r="K79" s="39" t="n">
        <v>31</v>
      </c>
      <c r="L79" s="1" t="n">
        <v>2007</v>
      </c>
      <c r="M79" s="1" t="n">
        <v>8</v>
      </c>
      <c r="N79" s="39" t="n">
        <v>32</v>
      </c>
      <c r="O79" s="1" t="n">
        <v>1999</v>
      </c>
      <c r="P79" s="1" t="n">
        <v>20</v>
      </c>
      <c r="Q79" s="39" t="n">
        <v>27.2</v>
      </c>
      <c r="R79" s="1" t="n">
        <v>1988</v>
      </c>
      <c r="S79" s="1" t="n">
        <v>16</v>
      </c>
      <c r="T79" s="39" t="n">
        <v>28</v>
      </c>
      <c r="U79" s="1" t="n">
        <v>1983</v>
      </c>
      <c r="V79" s="1" t="n">
        <v>30</v>
      </c>
      <c r="W79" s="39" t="n">
        <v>26.2</v>
      </c>
      <c r="X79" s="1" t="n">
        <v>1990</v>
      </c>
      <c r="Y79" s="1" t="n">
        <v>26</v>
      </c>
      <c r="Z79" s="39" t="n">
        <v>27</v>
      </c>
      <c r="AA79" s="1" t="n">
        <v>1997</v>
      </c>
      <c r="AB79" s="1" t="n">
        <v>16</v>
      </c>
      <c r="AC79" s="39" t="n">
        <v>28</v>
      </c>
      <c r="AD79" s="1" t="n">
        <v>1997</v>
      </c>
      <c r="AE79" s="1" t="n">
        <v>24</v>
      </c>
      <c r="AF79" s="39" t="n">
        <v>29.2</v>
      </c>
      <c r="AG79" s="1" t="n">
        <v>1994</v>
      </c>
      <c r="AH79" s="1" t="n">
        <v>29</v>
      </c>
      <c r="AI79" s="39" t="n">
        <v>28</v>
      </c>
      <c r="AJ79" s="1" t="n">
        <v>1998</v>
      </c>
      <c r="AK79" s="1" t="n">
        <v>13</v>
      </c>
      <c r="AL79" s="39" t="n">
        <v>28.4</v>
      </c>
      <c r="AM79" s="1" t="n">
        <v>1995</v>
      </c>
      <c r="AN79" s="1" t="n">
        <v>29</v>
      </c>
      <c r="AO79" s="39" t="n">
        <v>29.6</v>
      </c>
      <c r="AP79" s="1" t="n">
        <v>1993</v>
      </c>
      <c r="AQ79" s="1" t="n">
        <v>6</v>
      </c>
    </row>
    <row r="80" ht="14.45" customHeight="1">
      <c r="A80" s="1" t="n">
        <v>21165010</v>
      </c>
      <c r="B80" s="1" t="inlineStr">
        <is>
          <t>PST DE MONTA [21165010]</t>
        </is>
      </c>
      <c r="C80" s="1" t="n">
        <v>3.787611111</v>
      </c>
      <c r="D80" s="1" t="n">
        <v>-74.91702778</v>
      </c>
      <c r="E80" s="1" t="n">
        <v>311</v>
      </c>
      <c r="F80" s="1" t="inlineStr">
        <is>
          <t>Prado</t>
        </is>
      </c>
      <c r="G80" s="1" t="inlineStr">
        <is>
          <t>Tolima</t>
        </is>
      </c>
      <c r="H80" s="39" t="n">
        <v>39.2</v>
      </c>
      <c r="I80" s="1" t="n">
        <v>2016</v>
      </c>
      <c r="J80" s="1" t="n">
        <v>1</v>
      </c>
      <c r="K80" s="39" t="n">
        <v>39.4</v>
      </c>
      <c r="L80" s="1" t="n">
        <v>2016</v>
      </c>
      <c r="M80" s="1" t="n">
        <v>16</v>
      </c>
      <c r="N80" s="39" t="n">
        <v>42</v>
      </c>
      <c r="O80" s="1" t="n">
        <v>2024</v>
      </c>
      <c r="P80" s="1" t="n">
        <v>16</v>
      </c>
      <c r="Q80" s="39" t="n">
        <v>37.4</v>
      </c>
      <c r="R80" s="1" t="n">
        <v>2024</v>
      </c>
      <c r="S80" s="1" t="n">
        <v>10</v>
      </c>
      <c r="T80" s="39" t="n">
        <v>38.4</v>
      </c>
      <c r="U80" s="1" t="n">
        <v>1998</v>
      </c>
      <c r="V80" s="1" t="n">
        <v>20</v>
      </c>
      <c r="W80" s="39" t="n">
        <v>38.4</v>
      </c>
      <c r="X80" s="1" t="n">
        <v>2005</v>
      </c>
      <c r="Y80" s="1" t="n">
        <v>10</v>
      </c>
      <c r="Z80" s="39" t="n">
        <v>38.2</v>
      </c>
      <c r="AA80" s="1" t="n">
        <v>2005</v>
      </c>
      <c r="AB80" s="1" t="n">
        <v>8</v>
      </c>
      <c r="AC80" s="39" t="n">
        <v>40.2</v>
      </c>
      <c r="AD80" s="1" t="n">
        <v>1999</v>
      </c>
      <c r="AE80" s="1" t="n">
        <v>18</v>
      </c>
      <c r="AF80" s="39" t="n">
        <v>42</v>
      </c>
      <c r="AG80" s="1" t="n">
        <v>2024</v>
      </c>
      <c r="AH80" s="1" t="n">
        <v>16</v>
      </c>
      <c r="AI80" s="39" t="n">
        <v>39.4</v>
      </c>
      <c r="AJ80" s="1" t="n">
        <v>2015</v>
      </c>
      <c r="AK80" s="1" t="n">
        <v>5</v>
      </c>
      <c r="AL80" s="39" t="n">
        <v>37.6</v>
      </c>
      <c r="AM80" s="1" t="n">
        <v>2023</v>
      </c>
      <c r="AN80" s="1" t="n">
        <v>27</v>
      </c>
      <c r="AO80" s="39" t="n">
        <v>39.6</v>
      </c>
      <c r="AP80" s="1" t="n">
        <v>2015</v>
      </c>
      <c r="AQ80" s="1" t="n">
        <v>31</v>
      </c>
    </row>
    <row r="81" ht="14.45" customHeight="1">
      <c r="A81" s="1" t="n">
        <v>21165030</v>
      </c>
      <c r="B81" s="1" t="inlineStr">
        <is>
          <t>LOZANIA [21165030]</t>
        </is>
      </c>
      <c r="C81" s="1" t="n">
        <v>3.897946</v>
      </c>
      <c r="D81" s="1" t="n">
        <v>-74.773089</v>
      </c>
      <c r="E81" s="1" t="n">
        <v>389</v>
      </c>
      <c r="F81" s="1" t="inlineStr">
        <is>
          <t>Purificación</t>
        </is>
      </c>
      <c r="G81" s="1" t="inlineStr">
        <is>
          <t>Tolima</t>
        </is>
      </c>
      <c r="H81" s="39" t="n">
        <v>36.4</v>
      </c>
      <c r="I81" s="1" t="n">
        <v>1998</v>
      </c>
      <c r="J81" s="1" t="n">
        <v>24</v>
      </c>
      <c r="K81" s="39" t="n">
        <v>37.6</v>
      </c>
      <c r="L81" s="1" t="n">
        <v>1998</v>
      </c>
      <c r="M81" s="1" t="n">
        <v>3</v>
      </c>
      <c r="N81" s="39" t="n">
        <v>38.4</v>
      </c>
      <c r="O81" s="1" t="n">
        <v>2001</v>
      </c>
      <c r="P81" s="1" t="n">
        <v>21</v>
      </c>
      <c r="Q81" s="39" t="n">
        <v>37</v>
      </c>
      <c r="R81" s="1" t="n">
        <v>2003</v>
      </c>
      <c r="S81" s="1" t="n">
        <v>8</v>
      </c>
      <c r="T81" s="39" t="n">
        <v>36.4</v>
      </c>
      <c r="U81" s="1" t="n">
        <v>1995</v>
      </c>
      <c r="V81" s="1" t="n">
        <v>29</v>
      </c>
      <c r="W81" s="39" t="n">
        <v>36</v>
      </c>
      <c r="X81" s="1" t="n">
        <v>2004</v>
      </c>
      <c r="Y81" s="1" t="n">
        <v>21</v>
      </c>
      <c r="Z81" s="39" t="n">
        <v>37</v>
      </c>
      <c r="AA81" s="1" t="n">
        <v>1980</v>
      </c>
      <c r="AB81" s="1" t="n">
        <v>30</v>
      </c>
      <c r="AC81" s="39" t="n">
        <v>37.6</v>
      </c>
      <c r="AD81" s="1" t="n">
        <v>1983</v>
      </c>
      <c r="AE81" s="1" t="n">
        <v>14</v>
      </c>
      <c r="AF81" s="39" t="n">
        <v>38.2</v>
      </c>
      <c r="AG81" s="1" t="n">
        <v>1992</v>
      </c>
      <c r="AH81" s="1" t="n">
        <v>1</v>
      </c>
      <c r="AI81" s="39" t="n">
        <v>37.4</v>
      </c>
      <c r="AJ81" s="1" t="n">
        <v>2007</v>
      </c>
      <c r="AK81" s="1" t="n">
        <v>1</v>
      </c>
      <c r="AL81" s="39" t="n">
        <v>35.6</v>
      </c>
      <c r="AM81" s="1" t="n">
        <v>1997</v>
      </c>
      <c r="AN81" s="1" t="n">
        <v>12</v>
      </c>
      <c r="AO81" s="39" t="n">
        <v>35.4</v>
      </c>
      <c r="AP81" s="1" t="n">
        <v>2009</v>
      </c>
      <c r="AQ81" s="1" t="n">
        <v>16</v>
      </c>
    </row>
    <row r="82" ht="14.45" customHeight="1">
      <c r="A82" s="1" t="n">
        <v>21185030</v>
      </c>
      <c r="B82" s="1" t="inlineStr">
        <is>
          <t>GUAMO [21185030]</t>
        </is>
      </c>
      <c r="C82" s="1" t="n">
        <v>4.008833333</v>
      </c>
      <c r="D82" s="1" t="n">
        <v>-74.98138889000001</v>
      </c>
      <c r="E82" s="1" t="n">
        <v>332</v>
      </c>
      <c r="F82" s="1" t="inlineStr">
        <is>
          <t>Guamo</t>
        </is>
      </c>
      <c r="G82" s="1" t="inlineStr">
        <is>
          <t>Tolima</t>
        </is>
      </c>
      <c r="H82" s="39" t="n">
        <v>39.8</v>
      </c>
      <c r="I82" s="1" t="n">
        <v>2016</v>
      </c>
      <c r="J82" s="1" t="n">
        <v>1</v>
      </c>
      <c r="K82" s="39" t="n">
        <v>41.2</v>
      </c>
      <c r="L82" s="1" t="n">
        <v>2016</v>
      </c>
      <c r="M82" s="1" t="n">
        <v>16</v>
      </c>
      <c r="N82" s="39" t="n">
        <v>40.6</v>
      </c>
      <c r="O82" s="1" t="n">
        <v>2024</v>
      </c>
      <c r="P82" s="1" t="n">
        <v>13</v>
      </c>
      <c r="Q82" s="39" t="n">
        <v>38.4</v>
      </c>
      <c r="R82" s="1" t="n">
        <v>2013</v>
      </c>
      <c r="S82" s="1" t="n">
        <v>16</v>
      </c>
      <c r="T82" s="39" t="n">
        <v>38</v>
      </c>
      <c r="U82" s="1" t="n">
        <v>2016</v>
      </c>
      <c r="V82" s="1" t="n">
        <v>22</v>
      </c>
      <c r="W82" s="39" t="n">
        <v>39.6</v>
      </c>
      <c r="X82" s="1" t="n">
        <v>1994</v>
      </c>
      <c r="Y82" s="1" t="n">
        <v>16</v>
      </c>
      <c r="Z82" s="39" t="n">
        <v>38.8</v>
      </c>
      <c r="AA82" s="1" t="n">
        <v>1991</v>
      </c>
      <c r="AB82" s="1" t="n">
        <v>23</v>
      </c>
      <c r="AC82" s="39" t="n">
        <v>40.6</v>
      </c>
      <c r="AD82" s="1" t="n">
        <v>2024</v>
      </c>
      <c r="AE82" s="1" t="n">
        <v>30</v>
      </c>
      <c r="AF82" s="39" t="n">
        <v>41.6</v>
      </c>
      <c r="AG82" s="1" t="n">
        <v>2024</v>
      </c>
      <c r="AH82" s="1" t="n">
        <v>19</v>
      </c>
      <c r="AI82" s="39" t="n">
        <v>39.8</v>
      </c>
      <c r="AJ82" s="1" t="n">
        <v>1994</v>
      </c>
      <c r="AK82" s="1" t="n">
        <v>29</v>
      </c>
      <c r="AL82" s="39" t="n">
        <v>39</v>
      </c>
      <c r="AM82" s="1" t="n">
        <v>1994</v>
      </c>
      <c r="AN82" s="1" t="n">
        <v>19</v>
      </c>
      <c r="AO82" s="39" t="n">
        <v>39.6</v>
      </c>
      <c r="AP82" s="1" t="n">
        <v>2015</v>
      </c>
      <c r="AQ82" s="1" t="n">
        <v>31</v>
      </c>
    </row>
    <row r="83" ht="14.45" customHeight="1">
      <c r="A83" s="1" t="n">
        <v>21185040</v>
      </c>
      <c r="B83" s="1" t="inlineStr">
        <is>
          <t>AEROPUERTO SANTIAGO VILA [21185040]</t>
        </is>
      </c>
      <c r="C83" s="1" t="n">
        <v>4.275444444</v>
      </c>
      <c r="D83" s="1" t="n">
        <v>-74.798</v>
      </c>
      <c r="E83" s="1" t="n">
        <v>305</v>
      </c>
      <c r="F83" s="1" t="inlineStr">
        <is>
          <t>Flandes</t>
        </is>
      </c>
      <c r="G83" s="1" t="inlineStr">
        <is>
          <t>Tolima</t>
        </is>
      </c>
      <c r="H83" s="39" t="n">
        <v>39</v>
      </c>
      <c r="I83" s="1" t="n">
        <v>1998</v>
      </c>
      <c r="J83" s="1" t="n">
        <v>23</v>
      </c>
      <c r="K83" s="39" t="n">
        <v>41</v>
      </c>
      <c r="L83" s="1" t="n">
        <v>1998</v>
      </c>
      <c r="M83" s="1" t="n">
        <v>3</v>
      </c>
      <c r="N83" s="39" t="n">
        <v>38.5</v>
      </c>
      <c r="O83" s="1" t="n">
        <v>1983</v>
      </c>
      <c r="P83" s="1" t="n">
        <v>4</v>
      </c>
      <c r="Q83" s="39" t="n">
        <v>38.4</v>
      </c>
      <c r="R83" s="1" t="n">
        <v>1980</v>
      </c>
      <c r="S83" s="1" t="n">
        <v>1</v>
      </c>
      <c r="T83" s="39" t="n">
        <v>39</v>
      </c>
      <c r="U83" s="1" t="n">
        <v>2022</v>
      </c>
      <c r="V83" s="1" t="n">
        <v>3</v>
      </c>
      <c r="W83" s="39" t="n">
        <v>37.8</v>
      </c>
      <c r="X83" s="1" t="n">
        <v>1980</v>
      </c>
      <c r="Y83" s="1" t="n">
        <v>15</v>
      </c>
      <c r="Z83" s="39" t="n">
        <v>39</v>
      </c>
      <c r="AA83" s="1" t="n">
        <v>1993</v>
      </c>
      <c r="AB83" s="1" t="n">
        <v>30</v>
      </c>
      <c r="AC83" s="39" t="n">
        <v>40</v>
      </c>
      <c r="AD83" s="1" t="n">
        <v>1997</v>
      </c>
      <c r="AE83" s="1" t="n">
        <v>25</v>
      </c>
      <c r="AF83" s="39" t="n">
        <v>39.6</v>
      </c>
      <c r="AG83" s="1" t="n">
        <v>2012</v>
      </c>
      <c r="AH83" s="1" t="n">
        <v>7</v>
      </c>
      <c r="AI83" s="39" t="n">
        <v>38.5</v>
      </c>
      <c r="AJ83" s="1" t="n">
        <v>1997</v>
      </c>
      <c r="AK83" s="1" t="n">
        <v>4</v>
      </c>
      <c r="AL83" s="39" t="n">
        <v>37</v>
      </c>
      <c r="AM83" s="1" t="n">
        <v>1997</v>
      </c>
      <c r="AN83" s="1" t="n">
        <v>1</v>
      </c>
      <c r="AO83" s="39" t="n">
        <v>38.6</v>
      </c>
      <c r="AP83" s="1" t="n">
        <v>2015</v>
      </c>
      <c r="AQ83" s="1" t="n">
        <v>31</v>
      </c>
    </row>
    <row r="84" ht="14.45" customHeight="1">
      <c r="A84" s="1" t="n">
        <v>21185080</v>
      </c>
      <c r="B84" s="1" t="inlineStr">
        <is>
          <t>VALLE DE SAN JUAN [21185080]</t>
        </is>
      </c>
      <c r="C84" s="1" t="n">
        <v>4.216458333</v>
      </c>
      <c r="D84" s="1" t="n">
        <v>-75.104611111</v>
      </c>
      <c r="E84" s="1" t="n">
        <v>591</v>
      </c>
      <c r="F84" s="1" t="inlineStr">
        <is>
          <t>Valle De San Juan</t>
        </is>
      </c>
      <c r="G84" s="1" t="inlineStr">
        <is>
          <t>Tolima</t>
        </is>
      </c>
      <c r="H84" s="39" t="n">
        <v>39</v>
      </c>
      <c r="I84" s="1" t="n">
        <v>2016</v>
      </c>
      <c r="J84" s="1" t="n">
        <v>28</v>
      </c>
      <c r="K84" s="39" t="n">
        <v>39</v>
      </c>
      <c r="L84" s="1" t="n">
        <v>2016</v>
      </c>
      <c r="M84" s="1" t="n">
        <v>7</v>
      </c>
      <c r="N84" s="39" t="n">
        <v>37.4</v>
      </c>
      <c r="O84" s="1" t="n">
        <v>2004</v>
      </c>
      <c r="P84" s="1" t="n">
        <v>13</v>
      </c>
      <c r="Q84" s="39" t="n">
        <v>37.8</v>
      </c>
      <c r="R84" s="1" t="n">
        <v>2005</v>
      </c>
      <c r="S84" s="1" t="n">
        <v>19</v>
      </c>
      <c r="T84" s="39" t="n">
        <v>37</v>
      </c>
      <c r="U84" s="1" t="n">
        <v>2007</v>
      </c>
      <c r="V84" s="1" t="n">
        <v>24</v>
      </c>
      <c r="W84" s="39" t="n">
        <v>37</v>
      </c>
      <c r="X84" s="1" t="n">
        <v>2007</v>
      </c>
      <c r="Y84" s="1" t="n">
        <v>20</v>
      </c>
      <c r="Z84" s="39" t="n">
        <v>37.6</v>
      </c>
      <c r="AA84" s="1" t="n">
        <v>2015</v>
      </c>
      <c r="AB84" s="1" t="n">
        <v>3</v>
      </c>
      <c r="AC84" s="39" t="n">
        <v>38.6</v>
      </c>
      <c r="AD84" s="1" t="n">
        <v>2015</v>
      </c>
      <c r="AE84" s="1" t="n">
        <v>28</v>
      </c>
      <c r="AF84" s="39" t="n">
        <v>39</v>
      </c>
      <c r="AG84" s="1" t="n">
        <v>2015</v>
      </c>
      <c r="AH84" s="1" t="n">
        <v>22</v>
      </c>
      <c r="AI84" s="39" t="n">
        <v>38</v>
      </c>
      <c r="AJ84" s="1" t="n">
        <v>1997</v>
      </c>
      <c r="AK84" s="1" t="n">
        <v>7</v>
      </c>
      <c r="AL84" s="39" t="n">
        <v>37.4</v>
      </c>
      <c r="AM84" s="1" t="n">
        <v>2015</v>
      </c>
      <c r="AN84" s="1" t="n">
        <v>12</v>
      </c>
      <c r="AO84" s="39" t="n">
        <v>37</v>
      </c>
      <c r="AP84" s="1" t="n">
        <v>2015</v>
      </c>
      <c r="AQ84" s="1" t="n">
        <v>8</v>
      </c>
    </row>
    <row r="85" ht="14.45" customHeight="1">
      <c r="A85" s="1" t="n">
        <v>21185090</v>
      </c>
      <c r="B85" s="1" t="inlineStr">
        <is>
          <t>NATAIMA - AUT [21185090]</t>
        </is>
      </c>
      <c r="C85" s="1" t="n">
        <v>4.188138889</v>
      </c>
      <c r="D85" s="1" t="n">
        <v>-74.96047222</v>
      </c>
      <c r="E85" s="1" t="n">
        <v>371</v>
      </c>
      <c r="F85" s="1" t="inlineStr">
        <is>
          <t>Espinal</t>
        </is>
      </c>
      <c r="G85" s="1" t="inlineStr">
        <is>
          <t>Tolima</t>
        </is>
      </c>
      <c r="H85" s="39" t="n">
        <v>37.2</v>
      </c>
      <c r="I85" s="1" t="n">
        <v>1998</v>
      </c>
      <c r="J85" s="1" t="n">
        <v>24</v>
      </c>
      <c r="K85" s="39" t="n">
        <v>39.4</v>
      </c>
      <c r="L85" s="1" t="n">
        <v>1998</v>
      </c>
      <c r="M85" s="1" t="n">
        <v>3</v>
      </c>
      <c r="N85" s="39" t="n">
        <v>38.6</v>
      </c>
      <c r="O85" s="1" t="n">
        <v>2007</v>
      </c>
      <c r="P85" s="1" t="n">
        <v>1</v>
      </c>
      <c r="Q85" s="39" t="n">
        <v>37.4</v>
      </c>
      <c r="R85" s="1" t="n">
        <v>2005</v>
      </c>
      <c r="S85" s="1" t="n">
        <v>22</v>
      </c>
      <c r="T85" s="39" t="n">
        <v>36.8</v>
      </c>
      <c r="U85" s="1" t="n">
        <v>1998</v>
      </c>
      <c r="V85" s="1" t="n">
        <v>22</v>
      </c>
      <c r="W85" s="39" t="n">
        <v>38.4</v>
      </c>
      <c r="X85" s="1" t="n">
        <v>2002</v>
      </c>
      <c r="Y85" s="1" t="n">
        <v>30</v>
      </c>
      <c r="Z85" s="39" t="n">
        <v>38.8</v>
      </c>
      <c r="AA85" s="1" t="n">
        <v>2000</v>
      </c>
      <c r="AB85" s="1" t="n">
        <v>1</v>
      </c>
      <c r="AC85" s="39" t="n">
        <v>38.6</v>
      </c>
      <c r="AD85" s="1" t="n">
        <v>2001</v>
      </c>
      <c r="AE85" s="1" t="n">
        <v>30</v>
      </c>
      <c r="AF85" s="39" t="n">
        <v>39.8</v>
      </c>
      <c r="AG85" s="1" t="n">
        <v>1999</v>
      </c>
      <c r="AH85" s="1" t="n">
        <v>6</v>
      </c>
      <c r="AI85" s="39" t="n">
        <v>38.2</v>
      </c>
      <c r="AJ85" s="1" t="n">
        <v>2007</v>
      </c>
      <c r="AK85" s="1" t="n">
        <v>3</v>
      </c>
      <c r="AL85" s="39" t="n">
        <v>38.2</v>
      </c>
      <c r="AM85" s="1" t="n">
        <v>2004</v>
      </c>
      <c r="AN85" s="1" t="n">
        <v>21</v>
      </c>
      <c r="AO85" s="39" t="n">
        <v>35.6</v>
      </c>
      <c r="AP85" s="1" t="n">
        <v>1997</v>
      </c>
      <c r="AQ85" s="1" t="n">
        <v>7</v>
      </c>
    </row>
    <row r="86" ht="14.45" customHeight="1">
      <c r="A86" s="1" t="n">
        <v>21195060</v>
      </c>
      <c r="B86" s="1" t="inlineStr">
        <is>
          <t>PANDI [21195060]</t>
        </is>
      </c>
      <c r="C86" s="1" t="n">
        <v>4.192722222</v>
      </c>
      <c r="D86" s="1" t="n">
        <v>-74.48741667</v>
      </c>
      <c r="E86" s="1" t="n">
        <v>950</v>
      </c>
      <c r="F86" s="1" t="inlineStr">
        <is>
          <t>Pandi</t>
        </is>
      </c>
      <c r="G86" s="1" t="inlineStr">
        <is>
          <t>Cundinamarca</t>
        </is>
      </c>
      <c r="H86" s="39" t="n">
        <v>35.8</v>
      </c>
      <c r="I86" s="1" t="n">
        <v>2024</v>
      </c>
      <c r="J86" s="1" t="n">
        <v>23</v>
      </c>
      <c r="K86" s="39" t="n">
        <v>35.8</v>
      </c>
      <c r="L86" s="1" t="n">
        <v>2024</v>
      </c>
      <c r="M86" s="1" t="n">
        <v>11</v>
      </c>
      <c r="N86" s="39" t="n">
        <v>35.8</v>
      </c>
      <c r="O86" s="1" t="n">
        <v>2024</v>
      </c>
      <c r="P86" s="1" t="n">
        <v>16</v>
      </c>
      <c r="Q86" s="39" t="n">
        <v>34.4</v>
      </c>
      <c r="R86" s="1" t="n">
        <v>1981</v>
      </c>
      <c r="S86" s="1" t="n">
        <v>10</v>
      </c>
      <c r="T86" s="39" t="n">
        <v>33.6</v>
      </c>
      <c r="U86" s="1" t="n">
        <v>2021</v>
      </c>
      <c r="V86" s="1" t="n">
        <v>21</v>
      </c>
      <c r="W86" s="39" t="n">
        <v>33.2</v>
      </c>
      <c r="X86" s="1" t="n">
        <v>2019</v>
      </c>
      <c r="Y86" s="1" t="n">
        <v>27</v>
      </c>
      <c r="Z86" s="39" t="n">
        <v>34.4</v>
      </c>
      <c r="AA86" s="1" t="n">
        <v>2021</v>
      </c>
      <c r="AB86" s="1" t="n">
        <v>15</v>
      </c>
      <c r="AC86" s="39" t="n">
        <v>34.8</v>
      </c>
      <c r="AD86" s="1" t="n">
        <v>2015</v>
      </c>
      <c r="AE86" s="1" t="n">
        <v>6</v>
      </c>
      <c r="AF86" s="39" t="n">
        <v>38</v>
      </c>
      <c r="AG86" s="1" t="n">
        <v>2006</v>
      </c>
      <c r="AH86" s="1" t="n">
        <v>28</v>
      </c>
      <c r="AI86" s="39" t="n">
        <v>35.6</v>
      </c>
      <c r="AJ86" s="1" t="n">
        <v>2020</v>
      </c>
      <c r="AK86" s="1" t="n">
        <v>21</v>
      </c>
      <c r="AL86" s="39" t="n">
        <v>34.4</v>
      </c>
      <c r="AM86" s="1" t="n">
        <v>2021</v>
      </c>
      <c r="AN86" s="1" t="n">
        <v>18</v>
      </c>
      <c r="AO86" s="39" t="n">
        <v>34</v>
      </c>
      <c r="AP86" s="1" t="n">
        <v>2015</v>
      </c>
      <c r="AQ86" s="1" t="n">
        <v>29</v>
      </c>
    </row>
    <row r="87" ht="14.45" customHeight="1">
      <c r="A87" s="1" t="n">
        <v>21195110</v>
      </c>
      <c r="B87" s="1" t="inlineStr">
        <is>
          <t>PEÑAS BLANCAS [21195110]</t>
        </is>
      </c>
      <c r="C87" s="1" t="n">
        <v>3.964722222</v>
      </c>
      <c r="D87" s="1" t="n">
        <v>-74.44374999999999</v>
      </c>
      <c r="E87" s="1" t="n">
        <v>250</v>
      </c>
      <c r="F87" s="1" t="inlineStr">
        <is>
          <t>Cabrera</t>
        </is>
      </c>
      <c r="G87" s="1" t="inlineStr">
        <is>
          <t>Cundinamarca</t>
        </is>
      </c>
      <c r="H87" s="39" t="n">
        <v>27</v>
      </c>
      <c r="I87" s="1" t="n">
        <v>2006</v>
      </c>
      <c r="J87" s="1" t="n">
        <v>2</v>
      </c>
      <c r="K87" s="39" t="n">
        <v>25</v>
      </c>
      <c r="L87" s="1" t="n">
        <v>2009</v>
      </c>
      <c r="M87" s="1" t="n">
        <v>4</v>
      </c>
      <c r="N87" s="39" t="n">
        <v>26</v>
      </c>
      <c r="O87" s="1" t="n">
        <v>2006</v>
      </c>
      <c r="P87" s="1" t="n">
        <v>23</v>
      </c>
      <c r="Q87" s="39" t="n">
        <v>25</v>
      </c>
      <c r="R87" s="1" t="n">
        <v>2024</v>
      </c>
      <c r="S87" s="1" t="n">
        <v>3</v>
      </c>
      <c r="T87" s="39" t="n">
        <v>25</v>
      </c>
      <c r="U87" s="1" t="n">
        <v>2024</v>
      </c>
      <c r="V87" s="1" t="n">
        <v>6</v>
      </c>
      <c r="W87" s="39" t="n">
        <v>24.8</v>
      </c>
      <c r="X87" s="1" t="n">
        <v>2006</v>
      </c>
      <c r="Y87" s="1" t="n">
        <v>11</v>
      </c>
      <c r="Z87" s="39" t="n">
        <v>24.8</v>
      </c>
      <c r="AA87" s="1" t="n">
        <v>2006</v>
      </c>
      <c r="AB87" s="1" t="n">
        <v>10</v>
      </c>
      <c r="AC87" s="39" t="n">
        <v>26.5</v>
      </c>
      <c r="AD87" s="1" t="n">
        <v>1997</v>
      </c>
      <c r="AE87" s="1" t="n">
        <v>16</v>
      </c>
      <c r="AF87" s="39" t="n">
        <v>25</v>
      </c>
      <c r="AG87" s="1" t="n">
        <v>1997</v>
      </c>
      <c r="AH87" s="1" t="n">
        <v>4</v>
      </c>
      <c r="AI87" s="39" t="n">
        <v>26.5</v>
      </c>
      <c r="AJ87" s="1" t="n">
        <v>1997</v>
      </c>
      <c r="AK87" s="1" t="n">
        <v>23</v>
      </c>
      <c r="AL87" s="39" t="n">
        <v>26.5</v>
      </c>
      <c r="AM87" s="1" t="n">
        <v>1997</v>
      </c>
      <c r="AN87" s="1" t="n">
        <v>2</v>
      </c>
      <c r="AO87" s="39" t="n">
        <v>24.5</v>
      </c>
      <c r="AP87" s="1" t="n">
        <v>1997</v>
      </c>
      <c r="AQ87" s="1" t="n">
        <v>2</v>
      </c>
    </row>
    <row r="88" ht="14.45" customHeight="1">
      <c r="A88" s="1" t="n">
        <v>21195120</v>
      </c>
      <c r="B88" s="1" t="inlineStr">
        <is>
          <t>ITA VALSALICE [21195120]</t>
        </is>
      </c>
      <c r="C88" s="1" t="n">
        <v>4.39292</v>
      </c>
      <c r="D88" s="1" t="n">
        <v>-74.39272</v>
      </c>
      <c r="E88" s="1" t="n">
        <v>1421</v>
      </c>
      <c r="F88" s="1" t="inlineStr">
        <is>
          <t>Silvania</t>
        </is>
      </c>
      <c r="G88" s="1" t="inlineStr">
        <is>
          <t>Cundinamarca</t>
        </is>
      </c>
      <c r="H88" s="39" t="n">
        <v>30.2</v>
      </c>
      <c r="I88" s="1" t="n">
        <v>1994</v>
      </c>
      <c r="J88" s="1" t="n">
        <v>1</v>
      </c>
      <c r="K88" s="39" t="n">
        <v>33.2</v>
      </c>
      <c r="L88" s="1" t="n">
        <v>2005</v>
      </c>
      <c r="M88" s="1" t="n">
        <v>23</v>
      </c>
      <c r="N88" s="39" t="n">
        <v>32</v>
      </c>
      <c r="O88" s="1" t="n">
        <v>2004</v>
      </c>
      <c r="P88" s="1" t="n">
        <v>17</v>
      </c>
      <c r="Q88" s="39" t="n">
        <v>29.2</v>
      </c>
      <c r="R88" s="1" t="n">
        <v>1995</v>
      </c>
      <c r="S88" s="1" t="n">
        <v>9</v>
      </c>
      <c r="T88" s="39" t="n">
        <v>30</v>
      </c>
      <c r="U88" s="1" t="n">
        <v>2004</v>
      </c>
      <c r="V88" s="1" t="n">
        <v>10</v>
      </c>
      <c r="W88" s="39" t="n">
        <v>31</v>
      </c>
      <c r="X88" s="1" t="n">
        <v>2007</v>
      </c>
      <c r="Y88" s="1" t="n">
        <v>12</v>
      </c>
      <c r="Z88" s="39" t="n">
        <v>30.2</v>
      </c>
      <c r="AA88" s="1" t="n">
        <v>2015</v>
      </c>
      <c r="AB88" s="1" t="n">
        <v>2</v>
      </c>
      <c r="AC88" s="39" t="n">
        <v>30.6</v>
      </c>
      <c r="AD88" s="1" t="n">
        <v>2015</v>
      </c>
      <c r="AE88" s="1" t="n">
        <v>6</v>
      </c>
      <c r="AF88" s="39" t="n">
        <v>32</v>
      </c>
      <c r="AG88" s="1" t="n">
        <v>2015</v>
      </c>
      <c r="AH88" s="1" t="n">
        <v>26</v>
      </c>
      <c r="AI88" s="39" t="n">
        <v>30</v>
      </c>
      <c r="AJ88" s="1" t="n">
        <v>2004</v>
      </c>
      <c r="AK88" s="1" t="n">
        <v>2</v>
      </c>
      <c r="AL88" s="39" t="n">
        <v>29.5</v>
      </c>
      <c r="AM88" s="1" t="n">
        <v>2006</v>
      </c>
      <c r="AN88" s="1" t="n">
        <v>4</v>
      </c>
      <c r="AO88" s="39" t="n">
        <v>30.4</v>
      </c>
      <c r="AP88" s="1" t="n">
        <v>1993</v>
      </c>
      <c r="AQ88" s="1" t="n">
        <v>24</v>
      </c>
    </row>
    <row r="89" ht="14.45" customHeight="1">
      <c r="A89" s="1" t="n">
        <v>21205012</v>
      </c>
      <c r="B89" s="1" t="inlineStr">
        <is>
          <t>UNIVERSIDAD NACIONAL [21205012]</t>
        </is>
      </c>
      <c r="C89" s="1" t="n">
        <v>4.63723</v>
      </c>
      <c r="D89" s="1" t="n">
        <v>-74.08892</v>
      </c>
      <c r="E89" s="1" t="n">
        <v>2556</v>
      </c>
      <c r="F89" s="1" t="inlineStr">
        <is>
          <t>Bogotá, D.C</t>
        </is>
      </c>
      <c r="G89" s="1" t="inlineStr">
        <is>
          <t>Bogotá</t>
        </is>
      </c>
      <c r="H89" s="39" t="n">
        <v>24.6</v>
      </c>
      <c r="I89" s="1" t="n">
        <v>1998</v>
      </c>
      <c r="J89" s="1" t="n">
        <v>22</v>
      </c>
      <c r="K89" s="39" t="n">
        <v>23.8</v>
      </c>
      <c r="L89" s="1" t="n">
        <v>1995</v>
      </c>
      <c r="M89" s="1" t="n">
        <v>13</v>
      </c>
      <c r="N89" s="39" t="n">
        <v>24.1</v>
      </c>
      <c r="O89" s="1" t="n">
        <v>1988</v>
      </c>
      <c r="P89" s="1" t="n">
        <v>1</v>
      </c>
      <c r="Q89" s="39" t="n">
        <v>25.4</v>
      </c>
      <c r="R89" s="1" t="n">
        <v>2024</v>
      </c>
      <c r="S89" s="1" t="n">
        <v>16</v>
      </c>
      <c r="T89" s="39" t="n">
        <v>25.4</v>
      </c>
      <c r="U89" s="1" t="n">
        <v>2024</v>
      </c>
      <c r="V89" s="1" t="n">
        <v>11</v>
      </c>
      <c r="W89" s="39" t="n">
        <v>25.2</v>
      </c>
      <c r="X89" s="1" t="n">
        <v>2013</v>
      </c>
      <c r="Y89" s="1" t="n">
        <v>17</v>
      </c>
      <c r="Z89" s="39" t="n">
        <v>23.2</v>
      </c>
      <c r="AA89" s="1" t="n">
        <v>2011</v>
      </c>
      <c r="AB89" s="1" t="n">
        <v>14</v>
      </c>
      <c r="AC89" s="39" t="n">
        <v>22.8</v>
      </c>
      <c r="AD89" s="1" t="n">
        <v>2023</v>
      </c>
      <c r="AE89" s="1" t="n">
        <v>16</v>
      </c>
      <c r="AF89" s="39" t="n">
        <v>24</v>
      </c>
      <c r="AG89" s="1" t="n">
        <v>2002</v>
      </c>
      <c r="AH89" s="1" t="n">
        <v>12</v>
      </c>
      <c r="AI89" s="39" t="n">
        <v>24.2</v>
      </c>
      <c r="AJ89" s="1" t="n">
        <v>2023</v>
      </c>
      <c r="AK89" s="1" t="n">
        <v>25</v>
      </c>
      <c r="AL89" s="39" t="n">
        <v>23.4</v>
      </c>
      <c r="AM89" s="1" t="n">
        <v>2011</v>
      </c>
      <c r="AN89" s="1" t="n">
        <v>5</v>
      </c>
      <c r="AO89" s="39" t="n">
        <v>23.2</v>
      </c>
      <c r="AP89" s="1" t="n">
        <v>2011</v>
      </c>
      <c r="AQ89" s="1" t="n">
        <v>10</v>
      </c>
    </row>
    <row r="90" ht="14.45" customHeight="1">
      <c r="A90" s="1" t="n">
        <v>21205420</v>
      </c>
      <c r="B90" s="1" t="inlineStr">
        <is>
          <t>TIBAITATA [21205420]</t>
        </is>
      </c>
      <c r="C90" s="1" t="n">
        <v>4.688662</v>
      </c>
      <c r="D90" s="1" t="n">
        <v>-74.205626</v>
      </c>
      <c r="E90" s="1" t="n">
        <v>2543</v>
      </c>
      <c r="F90" s="1" t="inlineStr">
        <is>
          <t>Mosquera</t>
        </is>
      </c>
      <c r="G90" s="1" t="inlineStr">
        <is>
          <t>Cundinamarca</t>
        </is>
      </c>
      <c r="H90" s="39" t="n">
        <v>25</v>
      </c>
      <c r="I90" s="1" t="n">
        <v>2024</v>
      </c>
      <c r="J90" s="1" t="n">
        <v>24</v>
      </c>
      <c r="K90" s="39" t="n">
        <v>26</v>
      </c>
      <c r="L90" s="1" t="n">
        <v>2007</v>
      </c>
      <c r="M90" s="1" t="n">
        <v>3</v>
      </c>
      <c r="N90" s="39" t="n">
        <v>25.1</v>
      </c>
      <c r="O90" s="1" t="n">
        <v>1992</v>
      </c>
      <c r="P90" s="1" t="n">
        <v>23</v>
      </c>
      <c r="Q90" s="39" t="n">
        <v>24.4</v>
      </c>
      <c r="R90" s="1" t="n">
        <v>1999</v>
      </c>
      <c r="S90" s="1" t="n">
        <v>9</v>
      </c>
      <c r="T90" s="39" t="n">
        <v>24.4</v>
      </c>
      <c r="U90" s="1" t="n">
        <v>2005</v>
      </c>
      <c r="V90" s="1" t="n">
        <v>20</v>
      </c>
      <c r="W90" s="39" t="n">
        <v>24</v>
      </c>
      <c r="X90" s="1" t="n">
        <v>2010</v>
      </c>
      <c r="Y90" s="1" t="n">
        <v>12</v>
      </c>
      <c r="Z90" s="39" t="n">
        <v>25</v>
      </c>
      <c r="AA90" s="1" t="n">
        <v>2001</v>
      </c>
      <c r="AB90" s="1" t="n">
        <v>17</v>
      </c>
      <c r="AC90" s="39" t="n">
        <v>23.8</v>
      </c>
      <c r="AD90" s="1" t="n">
        <v>2023</v>
      </c>
      <c r="AE90" s="1" t="n">
        <v>17</v>
      </c>
      <c r="AF90" s="39" t="n">
        <v>24</v>
      </c>
      <c r="AG90" s="1" t="n">
        <v>1999</v>
      </c>
      <c r="AH90" s="1" t="n">
        <v>20</v>
      </c>
      <c r="AI90" s="39" t="n">
        <v>24.6</v>
      </c>
      <c r="AJ90" s="1" t="n">
        <v>2024</v>
      </c>
      <c r="AK90" s="1" t="n">
        <v>25</v>
      </c>
      <c r="AL90" s="39" t="n">
        <v>24.2</v>
      </c>
      <c r="AM90" s="1" t="n">
        <v>2017</v>
      </c>
      <c r="AN90" s="1" t="n">
        <v>29</v>
      </c>
      <c r="AO90" s="39" t="n">
        <v>24.2</v>
      </c>
      <c r="AP90" s="1" t="n">
        <v>2009</v>
      </c>
      <c r="AQ90" s="1" t="n">
        <v>13</v>
      </c>
    </row>
    <row r="91" ht="14.45" customHeight="1">
      <c r="A91" s="1" t="n">
        <v>21205660</v>
      </c>
      <c r="B91" s="1" t="inlineStr">
        <is>
          <t>MERCEDES [21205660]</t>
        </is>
      </c>
      <c r="C91" s="1" t="n">
        <v>4.5791</v>
      </c>
      <c r="D91" s="1" t="n">
        <v>-74.52318</v>
      </c>
      <c r="E91" s="1" t="n">
        <v>765</v>
      </c>
      <c r="F91" s="1" t="inlineStr">
        <is>
          <t>Anapoima</t>
        </is>
      </c>
      <c r="G91" s="1" t="inlineStr">
        <is>
          <t>Cundinamarca</t>
        </is>
      </c>
      <c r="H91" s="39" t="n">
        <v>35.6</v>
      </c>
      <c r="I91" s="1" t="n">
        <v>2016</v>
      </c>
      <c r="J91" s="1" t="n">
        <v>28</v>
      </c>
      <c r="K91" s="39" t="n">
        <v>36.4</v>
      </c>
      <c r="L91" s="1" t="n">
        <v>2010</v>
      </c>
      <c r="M91" s="1" t="n">
        <v>5</v>
      </c>
      <c r="N91" s="39" t="n">
        <v>36.2</v>
      </c>
      <c r="O91" s="1" t="n">
        <v>2010</v>
      </c>
      <c r="P91" s="1" t="n">
        <v>15</v>
      </c>
      <c r="Q91" s="39" t="n">
        <v>35.4</v>
      </c>
      <c r="R91" s="1" t="n">
        <v>2005</v>
      </c>
      <c r="S91" s="1" t="n">
        <v>19</v>
      </c>
      <c r="T91" s="39" t="n">
        <v>35.2</v>
      </c>
      <c r="U91" s="1" t="n">
        <v>2015</v>
      </c>
      <c r="V91" s="1" t="n">
        <v>7</v>
      </c>
      <c r="W91" s="39" t="n">
        <v>34</v>
      </c>
      <c r="X91" s="1" t="n">
        <v>1980</v>
      </c>
      <c r="Y91" s="1" t="n">
        <v>30</v>
      </c>
      <c r="Z91" s="39" t="n">
        <v>35.8</v>
      </c>
      <c r="AA91" s="1" t="n">
        <v>2025</v>
      </c>
      <c r="AB91" s="1" t="n">
        <v>25</v>
      </c>
      <c r="AC91" s="39" t="n">
        <v>36.2</v>
      </c>
      <c r="AD91" s="1" t="n">
        <v>2016</v>
      </c>
      <c r="AE91" s="1" t="n">
        <v>25</v>
      </c>
      <c r="AF91" s="39" t="n">
        <v>37.4</v>
      </c>
      <c r="AG91" s="1" t="n">
        <v>2024</v>
      </c>
      <c r="AH91" s="1" t="n">
        <v>18</v>
      </c>
      <c r="AI91" s="39" t="n">
        <v>35.6</v>
      </c>
      <c r="AJ91" s="1" t="n">
        <v>1997</v>
      </c>
      <c r="AK91" s="1" t="n">
        <v>4</v>
      </c>
      <c r="AL91" s="39" t="n">
        <v>33.4</v>
      </c>
      <c r="AM91" s="1" t="n">
        <v>1992</v>
      </c>
      <c r="AN91" s="1" t="n">
        <v>2</v>
      </c>
      <c r="AO91" s="39" t="n">
        <v>35.6</v>
      </c>
      <c r="AP91" s="1" t="n">
        <v>2015</v>
      </c>
      <c r="AQ91" s="1" t="n">
        <v>26</v>
      </c>
    </row>
    <row r="92" ht="14.45" customHeight="1">
      <c r="A92" s="1" t="n">
        <v>21205670</v>
      </c>
      <c r="B92" s="1" t="inlineStr">
        <is>
          <t>LA FLORIDA [21205670]</t>
        </is>
      </c>
      <c r="C92" s="1" t="n">
        <v>4.767988</v>
      </c>
      <c r="D92" s="1" t="n">
        <v>-74.434235</v>
      </c>
      <c r="E92" s="1" t="n">
        <v>1915</v>
      </c>
      <c r="F92" s="1" t="inlineStr">
        <is>
          <t>Anolaima</t>
        </is>
      </c>
      <c r="G92" s="1" t="inlineStr">
        <is>
          <t>Cundinamarca</t>
        </is>
      </c>
      <c r="H92" s="39" t="n">
        <v>27.6</v>
      </c>
      <c r="I92" s="1" t="n">
        <v>2016</v>
      </c>
      <c r="J92" s="1" t="n">
        <v>17</v>
      </c>
      <c r="K92" s="39" t="n">
        <v>28.4</v>
      </c>
      <c r="L92" s="1" t="n">
        <v>2007</v>
      </c>
      <c r="M92" s="1" t="n">
        <v>28</v>
      </c>
      <c r="N92" s="39" t="n">
        <v>28.8</v>
      </c>
      <c r="O92" s="1" t="n">
        <v>2023</v>
      </c>
      <c r="P92" s="1" t="n">
        <v>7</v>
      </c>
      <c r="Q92" s="39" t="n">
        <v>26.4</v>
      </c>
      <c r="R92" s="1" t="n">
        <v>2024</v>
      </c>
      <c r="S92" s="1" t="n">
        <v>12</v>
      </c>
      <c r="T92" s="39" t="n">
        <v>26.8</v>
      </c>
      <c r="U92" s="1" t="n">
        <v>1986</v>
      </c>
      <c r="V92" s="1" t="n">
        <v>19</v>
      </c>
      <c r="W92" s="39" t="n">
        <v>26</v>
      </c>
      <c r="X92" s="1" t="n">
        <v>1987</v>
      </c>
      <c r="Y92" s="1" t="n">
        <v>20</v>
      </c>
      <c r="Z92" s="39" t="n">
        <v>25</v>
      </c>
      <c r="AA92" s="1" t="n">
        <v>1982</v>
      </c>
      <c r="AB92" s="1" t="n">
        <v>4</v>
      </c>
      <c r="AC92" s="39" t="n">
        <v>26.6</v>
      </c>
      <c r="AD92" s="1" t="n">
        <v>1988</v>
      </c>
      <c r="AE92" s="1" t="n">
        <v>1</v>
      </c>
      <c r="AF92" s="39" t="n">
        <v>26.6</v>
      </c>
      <c r="AG92" s="1" t="n">
        <v>2015</v>
      </c>
      <c r="AH92" s="1" t="n">
        <v>28</v>
      </c>
      <c r="AI92" s="39" t="n">
        <v>29.2</v>
      </c>
      <c r="AJ92" s="1" t="n">
        <v>2001</v>
      </c>
      <c r="AK92" s="1" t="n">
        <v>20</v>
      </c>
      <c r="AL92" s="39" t="n">
        <v>28.8</v>
      </c>
      <c r="AM92" s="1" t="n">
        <v>2019</v>
      </c>
      <c r="AN92" s="1" t="n">
        <v>30</v>
      </c>
      <c r="AO92" s="39" t="n">
        <v>27.4</v>
      </c>
      <c r="AP92" s="1" t="n">
        <v>2015</v>
      </c>
      <c r="AQ92" s="1" t="n">
        <v>27</v>
      </c>
    </row>
    <row r="93" ht="14.45" customHeight="1">
      <c r="A93" s="1" t="n">
        <v>21205700</v>
      </c>
      <c r="B93" s="1" t="inlineStr">
        <is>
          <t>GUASCA [21205700]</t>
        </is>
      </c>
      <c r="C93" s="1" t="n">
        <v>4.877953</v>
      </c>
      <c r="D93" s="1" t="n">
        <v>-73.864453</v>
      </c>
      <c r="E93" s="1" t="n">
        <v>2750</v>
      </c>
      <c r="F93" s="1" t="inlineStr">
        <is>
          <t>Guasca</t>
        </is>
      </c>
      <c r="G93" s="1" t="inlineStr">
        <is>
          <t>Cundinamarca</t>
        </is>
      </c>
      <c r="H93" s="39" t="n">
        <v>25.6</v>
      </c>
      <c r="I93" s="1" t="n">
        <v>2024</v>
      </c>
      <c r="J93" s="1" t="n">
        <v>28</v>
      </c>
      <c r="K93" s="39" t="n">
        <v>26.6</v>
      </c>
      <c r="L93" s="1" t="n">
        <v>2024</v>
      </c>
      <c r="M93" s="1" t="n">
        <v>20</v>
      </c>
      <c r="N93" s="39" t="n">
        <v>25.2</v>
      </c>
      <c r="O93" s="1" t="n">
        <v>2016</v>
      </c>
      <c r="P93" s="1" t="n">
        <v>9</v>
      </c>
      <c r="Q93" s="39" t="n">
        <v>24.2</v>
      </c>
      <c r="R93" s="1" t="n">
        <v>1987</v>
      </c>
      <c r="S93" s="1" t="n">
        <v>15</v>
      </c>
      <c r="T93" s="39" t="n">
        <v>24</v>
      </c>
      <c r="U93" s="1" t="n">
        <v>1995</v>
      </c>
      <c r="V93" s="1" t="n">
        <v>6</v>
      </c>
      <c r="W93" s="39" t="n">
        <v>23</v>
      </c>
      <c r="X93" s="1" t="n">
        <v>1993</v>
      </c>
      <c r="Y93" s="1" t="n">
        <v>13</v>
      </c>
      <c r="Z93" s="39" t="n">
        <v>24.2</v>
      </c>
      <c r="AA93" s="1" t="n">
        <v>2007</v>
      </c>
      <c r="AB93" s="1" t="n">
        <v>30</v>
      </c>
      <c r="AC93" s="39" t="n">
        <v>22.6</v>
      </c>
      <c r="AD93" s="1" t="n">
        <v>1993</v>
      </c>
      <c r="AE93" s="1" t="n">
        <v>7</v>
      </c>
      <c r="AF93" s="39" t="n">
        <v>22.8</v>
      </c>
      <c r="AG93" s="1" t="n">
        <v>2023</v>
      </c>
      <c r="AH93" s="1" t="n">
        <v>27</v>
      </c>
      <c r="AI93" s="39" t="n">
        <v>23</v>
      </c>
      <c r="AJ93" s="1" t="n">
        <v>2023</v>
      </c>
      <c r="AK93" s="1" t="n">
        <v>5</v>
      </c>
      <c r="AL93" s="39" t="n">
        <v>24</v>
      </c>
      <c r="AM93" s="1" t="n">
        <v>2020</v>
      </c>
      <c r="AN93" s="1" t="n">
        <v>24</v>
      </c>
      <c r="AO93" s="39" t="n">
        <v>25.2</v>
      </c>
      <c r="AP93" s="1" t="n">
        <v>2009</v>
      </c>
      <c r="AQ93" s="1" t="n">
        <v>31</v>
      </c>
    </row>
    <row r="94" ht="14.45" customHeight="1">
      <c r="A94" s="1" t="n">
        <v>21205710</v>
      </c>
      <c r="B94" s="1" t="inlineStr">
        <is>
          <t>JARDIN BOTANICO [21205710]</t>
        </is>
      </c>
      <c r="C94" s="1" t="n">
        <v>4.667867</v>
      </c>
      <c r="D94" s="1" t="n">
        <v>-74.101034</v>
      </c>
      <c r="E94" s="1" t="n">
        <v>2552</v>
      </c>
      <c r="F94" s="1" t="inlineStr">
        <is>
          <t>Bogotá, D.C</t>
        </is>
      </c>
      <c r="G94" s="1" t="inlineStr">
        <is>
          <t>Bogotá</t>
        </is>
      </c>
      <c r="H94" s="39" t="n">
        <v>26.6</v>
      </c>
      <c r="I94" s="1" t="n">
        <v>2002</v>
      </c>
      <c r="J94" s="1" t="n">
        <v>2</v>
      </c>
      <c r="K94" s="39" t="n">
        <v>26.8</v>
      </c>
      <c r="L94" s="1" t="n">
        <v>2015</v>
      </c>
      <c r="M94" s="1" t="n">
        <v>19</v>
      </c>
      <c r="N94" s="39" t="n">
        <v>25.8</v>
      </c>
      <c r="O94" s="1" t="n">
        <v>1998</v>
      </c>
      <c r="P94" s="1" t="n">
        <v>18</v>
      </c>
      <c r="Q94" s="39" t="n">
        <v>25.4</v>
      </c>
      <c r="R94" s="1" t="n">
        <v>2023</v>
      </c>
      <c r="S94" s="1" t="n">
        <v>14</v>
      </c>
      <c r="T94" s="39" t="n">
        <v>24.6</v>
      </c>
      <c r="U94" s="1" t="n">
        <v>2015</v>
      </c>
      <c r="V94" s="1" t="n">
        <v>3</v>
      </c>
      <c r="W94" s="39" t="n">
        <v>24</v>
      </c>
      <c r="X94" s="1" t="n">
        <v>2016</v>
      </c>
      <c r="Y94" s="1" t="n">
        <v>4</v>
      </c>
      <c r="Z94" s="39" t="n">
        <v>25</v>
      </c>
      <c r="AA94" s="1" t="n">
        <v>2016</v>
      </c>
      <c r="AB94" s="1" t="n">
        <v>14</v>
      </c>
      <c r="AC94" s="39" t="n">
        <v>23.8</v>
      </c>
      <c r="AD94" s="1" t="n">
        <v>1997</v>
      </c>
      <c r="AE94" s="1" t="n">
        <v>29</v>
      </c>
      <c r="AF94" s="39" t="n">
        <v>25.4</v>
      </c>
      <c r="AG94" s="1" t="n">
        <v>2017</v>
      </c>
      <c r="AH94" s="1" t="n">
        <v>14</v>
      </c>
      <c r="AI94" s="39" t="n">
        <v>25.2</v>
      </c>
      <c r="AJ94" s="1" t="n">
        <v>2022</v>
      </c>
      <c r="AK94" s="1" t="n">
        <v>11</v>
      </c>
      <c r="AL94" s="39" t="n">
        <v>25</v>
      </c>
      <c r="AM94" s="1" t="n">
        <v>1992</v>
      </c>
      <c r="AN94" s="1" t="n">
        <v>1</v>
      </c>
      <c r="AO94" s="39" t="n">
        <v>24.2</v>
      </c>
      <c r="AP94" s="1" t="n">
        <v>1997</v>
      </c>
      <c r="AQ94" s="1" t="n">
        <v>11</v>
      </c>
    </row>
    <row r="95" ht="14.45" customHeight="1">
      <c r="A95" s="1" t="n">
        <v>21205720</v>
      </c>
      <c r="B95" s="1" t="inlineStr">
        <is>
          <t>GRANJA SAN JORGE [21205720]</t>
        </is>
      </c>
      <c r="C95" s="1" t="n">
        <v>4.50575</v>
      </c>
      <c r="D95" s="1" t="n">
        <v>-74.18927778</v>
      </c>
      <c r="E95" s="1" t="n">
        <v>2900</v>
      </c>
      <c r="F95" s="1" t="inlineStr">
        <is>
          <t>Soacha</t>
        </is>
      </c>
      <c r="G95" s="1" t="inlineStr">
        <is>
          <t>Cundinamarca</t>
        </is>
      </c>
      <c r="H95" s="39" t="n">
        <v>24.4</v>
      </c>
      <c r="I95" s="1" t="n">
        <v>2016</v>
      </c>
      <c r="J95" s="1" t="n">
        <v>19</v>
      </c>
      <c r="K95" s="39" t="n">
        <v>23.2</v>
      </c>
      <c r="L95" s="1" t="n">
        <v>2016</v>
      </c>
      <c r="M95" s="1" t="n">
        <v>18</v>
      </c>
      <c r="N95" s="39" t="n">
        <v>23</v>
      </c>
      <c r="O95" s="1" t="n">
        <v>2016</v>
      </c>
      <c r="P95" s="1" t="n">
        <v>24</v>
      </c>
      <c r="Q95" s="39" t="n">
        <v>21.6</v>
      </c>
      <c r="R95" s="1" t="n">
        <v>2014</v>
      </c>
      <c r="S95" s="1" t="n">
        <v>14</v>
      </c>
      <c r="T95" s="39" t="n">
        <v>24.4</v>
      </c>
      <c r="U95" s="1" t="n">
        <v>2024</v>
      </c>
      <c r="V95" s="1" t="n">
        <v>1</v>
      </c>
      <c r="W95" s="39" t="n">
        <v>21.4</v>
      </c>
      <c r="X95" s="1" t="n">
        <v>2012</v>
      </c>
      <c r="Y95" s="1" t="n">
        <v>8</v>
      </c>
      <c r="Z95" s="39" t="n">
        <v>21.4</v>
      </c>
      <c r="AA95" s="1" t="n">
        <v>2024</v>
      </c>
      <c r="AB95" s="1" t="n">
        <v>15</v>
      </c>
      <c r="AC95" s="39" t="n">
        <v>22</v>
      </c>
      <c r="AD95" s="1" t="n">
        <v>2024</v>
      </c>
      <c r="AE95" s="1" t="n">
        <v>4</v>
      </c>
      <c r="AF95" s="39" t="n">
        <v>24.6</v>
      </c>
      <c r="AG95" s="1" t="n">
        <v>2020</v>
      </c>
      <c r="AH95" s="1" t="n">
        <v>30</v>
      </c>
      <c r="AI95" s="39" t="n">
        <v>22.6</v>
      </c>
      <c r="AJ95" s="1" t="n">
        <v>2023</v>
      </c>
      <c r="AK95" s="1" t="n">
        <v>2</v>
      </c>
      <c r="AL95" s="39" t="n">
        <v>21.8</v>
      </c>
      <c r="AM95" s="1" t="n">
        <v>2024</v>
      </c>
      <c r="AN95" s="1" t="n">
        <v>26</v>
      </c>
      <c r="AO95" s="39" t="n">
        <v>22.2</v>
      </c>
      <c r="AP95" s="1" t="n">
        <v>2021</v>
      </c>
      <c r="AQ95" s="1" t="n">
        <v>25</v>
      </c>
    </row>
    <row r="96" ht="14.45" customHeight="1">
      <c r="A96" s="1" t="n">
        <v>21205740</v>
      </c>
      <c r="B96" s="1" t="inlineStr">
        <is>
          <t>SILOS [21205740]</t>
        </is>
      </c>
      <c r="C96" s="1" t="n">
        <v>5.117722222</v>
      </c>
      <c r="D96" s="1" t="n">
        <v>-73.70141667</v>
      </c>
      <c r="E96" s="1" t="n">
        <v>2709</v>
      </c>
      <c r="F96" s="1" t="inlineStr">
        <is>
          <t>Chocontá</t>
        </is>
      </c>
      <c r="G96" s="1" t="inlineStr">
        <is>
          <t>Cundinamarca</t>
        </is>
      </c>
      <c r="H96" s="39" t="n">
        <v>24</v>
      </c>
      <c r="I96" s="1" t="n">
        <v>2005</v>
      </c>
      <c r="J96" s="1" t="n">
        <v>14</v>
      </c>
      <c r="K96" s="39" t="n">
        <v>24</v>
      </c>
      <c r="L96" s="1" t="n">
        <v>2017</v>
      </c>
      <c r="M96" s="1" t="n">
        <v>21</v>
      </c>
      <c r="N96" s="39" t="n">
        <v>23.2</v>
      </c>
      <c r="O96" s="1" t="n">
        <v>1987</v>
      </c>
      <c r="P96" s="1" t="n">
        <v>10</v>
      </c>
      <c r="Q96" s="39" t="n">
        <v>22.8</v>
      </c>
      <c r="R96" s="1" t="n">
        <v>1984</v>
      </c>
      <c r="S96" s="1" t="n">
        <v>5</v>
      </c>
      <c r="T96" s="39" t="n">
        <v>23</v>
      </c>
      <c r="U96" s="1" t="n">
        <v>2005</v>
      </c>
      <c r="V96" s="1" t="n">
        <v>20</v>
      </c>
      <c r="W96" s="39" t="n">
        <v>20.8</v>
      </c>
      <c r="X96" s="1" t="n">
        <v>1999</v>
      </c>
      <c r="Y96" s="1" t="n">
        <v>3</v>
      </c>
      <c r="Z96" s="39" t="n">
        <v>19.4</v>
      </c>
      <c r="AA96" s="1" t="n">
        <v>2010</v>
      </c>
      <c r="AB96" s="1" t="n">
        <v>22</v>
      </c>
      <c r="AC96" s="39" t="n">
        <v>20</v>
      </c>
      <c r="AD96" s="1" t="n">
        <v>1999</v>
      </c>
      <c r="AE96" s="1" t="n">
        <v>21</v>
      </c>
      <c r="AF96" s="39" t="n">
        <v>21.2</v>
      </c>
      <c r="AG96" s="1" t="n">
        <v>1999</v>
      </c>
      <c r="AH96" s="1" t="n">
        <v>25</v>
      </c>
      <c r="AI96" s="39" t="n">
        <v>21.6</v>
      </c>
      <c r="AJ96" s="1" t="n">
        <v>1983</v>
      </c>
      <c r="AK96" s="1" t="n">
        <v>17</v>
      </c>
      <c r="AL96" s="39" t="n">
        <v>22.2</v>
      </c>
      <c r="AM96" s="1" t="n">
        <v>2005</v>
      </c>
      <c r="AN96" s="1" t="n">
        <v>29</v>
      </c>
      <c r="AO96" s="39" t="n">
        <v>22.4</v>
      </c>
      <c r="AP96" s="1" t="n">
        <v>2004</v>
      </c>
      <c r="AQ96" s="1" t="n">
        <v>23</v>
      </c>
    </row>
    <row r="97" ht="14.45" customHeight="1">
      <c r="A97" s="1" t="n">
        <v>21205770</v>
      </c>
      <c r="B97" s="1" t="inlineStr">
        <is>
          <t>BASE AEREA MADRID [21205770]</t>
        </is>
      </c>
      <c r="C97" s="1" t="n">
        <v>4.728805556</v>
      </c>
      <c r="D97" s="1" t="n">
        <v>-74.27249999999999</v>
      </c>
      <c r="E97" s="1" t="n">
        <v>2550</v>
      </c>
      <c r="F97" s="1" t="inlineStr">
        <is>
          <t>Madrid</t>
        </is>
      </c>
      <c r="G97" s="1" t="inlineStr">
        <is>
          <t>Cundinamarca</t>
        </is>
      </c>
      <c r="H97" s="39" t="n">
        <v>24</v>
      </c>
      <c r="I97" s="1" t="n">
        <v>2018</v>
      </c>
      <c r="J97" s="1" t="n">
        <v>20</v>
      </c>
      <c r="K97" s="39" t="n">
        <v>24.2</v>
      </c>
      <c r="L97" s="1" t="n">
        <v>1998</v>
      </c>
      <c r="M97" s="1" t="n">
        <v>26</v>
      </c>
      <c r="N97" s="39" t="n">
        <v>25</v>
      </c>
      <c r="O97" s="1" t="n">
        <v>2021</v>
      </c>
      <c r="P97" s="1" t="n">
        <v>18</v>
      </c>
      <c r="Q97" s="39" t="n">
        <v>24.1</v>
      </c>
      <c r="R97" s="1" t="n">
        <v>2020</v>
      </c>
      <c r="S97" s="1" t="n">
        <v>14</v>
      </c>
      <c r="T97" s="39" t="n">
        <v>23.6</v>
      </c>
      <c r="U97" s="1" t="n">
        <v>2020</v>
      </c>
      <c r="V97" s="1" t="n">
        <v>22</v>
      </c>
      <c r="W97" s="39" t="n">
        <v>22.4</v>
      </c>
      <c r="X97" s="1" t="n">
        <v>2005</v>
      </c>
      <c r="Y97" s="1" t="n">
        <v>14</v>
      </c>
      <c r="Z97" s="39" t="n">
        <v>23.4</v>
      </c>
      <c r="AA97" s="1" t="n">
        <v>2023</v>
      </c>
      <c r="AB97" s="1" t="n">
        <v>11</v>
      </c>
      <c r="AC97" s="39" t="n">
        <v>22.5</v>
      </c>
      <c r="AD97" s="1" t="n">
        <v>1994</v>
      </c>
      <c r="AE97" s="1" t="n">
        <v>11</v>
      </c>
      <c r="AF97" s="39" t="n">
        <v>23</v>
      </c>
      <c r="AG97" s="1" t="n">
        <v>2004</v>
      </c>
      <c r="AH97" s="1" t="n">
        <v>2</v>
      </c>
      <c r="AI97" s="39" t="n">
        <v>23</v>
      </c>
      <c r="AJ97" s="1" t="n">
        <v>2021</v>
      </c>
      <c r="AK97" s="1" t="n">
        <v>21</v>
      </c>
      <c r="AL97" s="39" t="n">
        <v>22.4</v>
      </c>
      <c r="AM97" s="1" t="n">
        <v>1996</v>
      </c>
      <c r="AN97" s="1" t="n">
        <v>9</v>
      </c>
      <c r="AO97" s="39" t="n">
        <v>23.8</v>
      </c>
      <c r="AP97" s="1" t="n">
        <v>2021</v>
      </c>
      <c r="AQ97" s="1" t="n">
        <v>8</v>
      </c>
    </row>
    <row r="98" ht="14.45" customHeight="1">
      <c r="A98" s="1" t="n">
        <v>21205791</v>
      </c>
      <c r="B98" s="1" t="inlineStr">
        <is>
          <t>EL DORADO CATAM [21205791]</t>
        </is>
      </c>
      <c r="C98" s="1" t="n">
        <v>4.705583</v>
      </c>
      <c r="D98" s="1" t="n">
        <v>-74.150667</v>
      </c>
      <c r="E98" s="1" t="n">
        <v>2547</v>
      </c>
      <c r="F98" s="1" t="inlineStr">
        <is>
          <t>Bogotá, D.C</t>
        </is>
      </c>
      <c r="G98" s="1" t="inlineStr">
        <is>
          <t>Bogotá</t>
        </is>
      </c>
      <c r="H98" s="39" t="n">
        <v>24.9</v>
      </c>
      <c r="I98" s="1" t="n">
        <v>1995</v>
      </c>
      <c r="J98" s="1" t="n">
        <v>7</v>
      </c>
      <c r="K98" s="39" t="n">
        <v>24.8</v>
      </c>
      <c r="L98" s="1" t="n">
        <v>1995</v>
      </c>
      <c r="M98" s="1" t="n">
        <v>12</v>
      </c>
      <c r="N98" s="39" t="n">
        <v>24.9</v>
      </c>
      <c r="O98" s="1" t="n">
        <v>1992</v>
      </c>
      <c r="P98" s="1" t="n">
        <v>23</v>
      </c>
      <c r="Q98" s="39" t="n">
        <v>23.2</v>
      </c>
      <c r="R98" s="1" t="n">
        <v>1992</v>
      </c>
      <c r="S98" s="1" t="n">
        <v>4</v>
      </c>
      <c r="T98" s="39" t="n">
        <v>23.8</v>
      </c>
      <c r="U98" s="1" t="n">
        <v>2015</v>
      </c>
      <c r="V98" s="1" t="n">
        <v>2</v>
      </c>
      <c r="W98" s="39" t="n">
        <v>23.1</v>
      </c>
      <c r="X98" s="1" t="n">
        <v>1997</v>
      </c>
      <c r="Y98" s="1" t="n">
        <v>29</v>
      </c>
      <c r="Z98" s="39" t="n">
        <v>22.4</v>
      </c>
      <c r="AA98" s="1" t="n">
        <v>1996</v>
      </c>
      <c r="AB98" s="1" t="n">
        <v>25</v>
      </c>
      <c r="AC98" s="39" t="n">
        <v>23.6</v>
      </c>
      <c r="AD98" s="1" t="n">
        <v>1979</v>
      </c>
      <c r="AE98" s="1" t="n">
        <v>1</v>
      </c>
      <c r="AF98" s="39" t="n">
        <v>23.3</v>
      </c>
      <c r="AG98" s="1" t="n">
        <v>1994</v>
      </c>
      <c r="AH98" s="1" t="n">
        <v>21</v>
      </c>
      <c r="AI98" s="39" t="n">
        <v>23.6</v>
      </c>
      <c r="AJ98" s="1" t="n">
        <v>1994</v>
      </c>
      <c r="AK98" s="1" t="n">
        <v>17</v>
      </c>
      <c r="AL98" s="39" t="n">
        <v>24</v>
      </c>
      <c r="AM98" s="1" t="n">
        <v>1997</v>
      </c>
      <c r="AN98" s="1" t="n">
        <v>29</v>
      </c>
      <c r="AO98" s="39" t="n">
        <v>23.8</v>
      </c>
      <c r="AP98" s="1" t="n">
        <v>1997</v>
      </c>
      <c r="AQ98" s="1" t="n">
        <v>21</v>
      </c>
    </row>
    <row r="99" ht="14.45" customHeight="1">
      <c r="A99" s="1" t="n">
        <v>21205910</v>
      </c>
      <c r="B99" s="1" t="inlineStr">
        <is>
          <t>LA COSECHA [21205910]</t>
        </is>
      </c>
      <c r="C99" s="1" t="n">
        <v>4.98922</v>
      </c>
      <c r="D99" s="1" t="n">
        <v>-74.00118999999999</v>
      </c>
      <c r="E99" s="1" t="n">
        <v>2570</v>
      </c>
      <c r="F99" s="1" t="inlineStr">
        <is>
          <t>Zipaquirá</t>
        </is>
      </c>
      <c r="G99" s="1" t="inlineStr">
        <is>
          <t>Cundinamarca</t>
        </is>
      </c>
      <c r="H99" s="39" t="n">
        <v>21.2</v>
      </c>
      <c r="I99" s="1" t="n">
        <v>2011</v>
      </c>
      <c r="J99" s="1" t="n">
        <v>17</v>
      </c>
      <c r="K99" s="39" t="n">
        <v>21</v>
      </c>
      <c r="L99" s="1" t="n">
        <v>2011</v>
      </c>
      <c r="M99" s="1" t="n">
        <v>4</v>
      </c>
      <c r="N99" s="39" t="n">
        <v>24</v>
      </c>
      <c r="O99" s="1" t="n">
        <v>2010</v>
      </c>
      <c r="P99" s="1" t="n">
        <v>10</v>
      </c>
      <c r="Q99" s="39" t="n">
        <v>23.1</v>
      </c>
      <c r="R99" s="1" t="n">
        <v>2010</v>
      </c>
      <c r="S99" s="1" t="n">
        <v>1</v>
      </c>
      <c r="T99" s="39" t="n">
        <v>21.6</v>
      </c>
      <c r="U99" s="1" t="n">
        <v>2009</v>
      </c>
      <c r="V99" s="1" t="n">
        <v>5</v>
      </c>
      <c r="W99" s="39" t="n">
        <v>20.5</v>
      </c>
      <c r="X99" s="1" t="n">
        <v>2011</v>
      </c>
      <c r="Y99" s="1" t="n">
        <v>6</v>
      </c>
      <c r="Z99" s="39" t="n">
        <v>19.5</v>
      </c>
      <c r="AA99" s="1" t="n">
        <v>2010</v>
      </c>
      <c r="AB99" s="1" t="n">
        <v>20</v>
      </c>
      <c r="AC99" s="39" t="n">
        <v>19.2</v>
      </c>
      <c r="AD99" s="1" t="n">
        <v>2010</v>
      </c>
      <c r="AE99" s="1" t="n">
        <v>25</v>
      </c>
      <c r="AF99" s="39" t="n">
        <v>19.1</v>
      </c>
      <c r="AG99" s="1" t="n">
        <v>2010</v>
      </c>
      <c r="AH99" s="1" t="n">
        <v>29</v>
      </c>
      <c r="AI99" s="39" t="n">
        <v>20</v>
      </c>
      <c r="AJ99" s="1" t="n">
        <v>2010</v>
      </c>
      <c r="AK99" s="1" t="n">
        <v>1</v>
      </c>
      <c r="AL99" s="39" t="n">
        <v>21.4</v>
      </c>
      <c r="AM99" s="1" t="n">
        <v>2010</v>
      </c>
      <c r="AN99" s="1" t="n">
        <v>29</v>
      </c>
      <c r="AO99" s="39" t="n">
        <v>21</v>
      </c>
      <c r="AP99" s="1" t="n">
        <v>2010</v>
      </c>
      <c r="AQ99" s="1" t="n">
        <v>31</v>
      </c>
    </row>
    <row r="100" ht="14.45" customHeight="1">
      <c r="A100" s="1" t="n">
        <v>21205920</v>
      </c>
      <c r="B100" s="1" t="inlineStr">
        <is>
          <t>SUASUQUE [21205920]</t>
        </is>
      </c>
      <c r="C100" s="1" t="n">
        <v>4.820833333</v>
      </c>
      <c r="D100" s="1" t="n">
        <v>-73.96388889000001</v>
      </c>
      <c r="E100" s="1" t="n">
        <v>2650</v>
      </c>
      <c r="F100" s="1" t="inlineStr">
        <is>
          <t>Sopó</t>
        </is>
      </c>
      <c r="G100" s="1" t="inlineStr">
        <is>
          <t>Cundinamarca</t>
        </is>
      </c>
      <c r="H100" s="39" t="n">
        <v>25</v>
      </c>
      <c r="I100" s="1" t="n">
        <v>2016</v>
      </c>
      <c r="J100" s="1" t="n">
        <v>17</v>
      </c>
      <c r="K100" s="39" t="n">
        <v>25.6</v>
      </c>
      <c r="L100" s="1" t="n">
        <v>2024</v>
      </c>
      <c r="M100" s="1" t="n">
        <v>19</v>
      </c>
      <c r="N100" s="39" t="n">
        <v>25.2</v>
      </c>
      <c r="O100" s="1" t="n">
        <v>2016</v>
      </c>
      <c r="P100" s="1" t="n">
        <v>10</v>
      </c>
      <c r="Q100" s="39" t="n">
        <v>25</v>
      </c>
      <c r="R100" s="1" t="n">
        <v>2024</v>
      </c>
      <c r="S100" s="1" t="n">
        <v>13</v>
      </c>
      <c r="T100" s="39" t="n">
        <v>23.4</v>
      </c>
      <c r="U100" s="1" t="n">
        <v>2024</v>
      </c>
      <c r="V100" s="1" t="n">
        <v>7</v>
      </c>
      <c r="W100" s="39" t="n">
        <v>24</v>
      </c>
      <c r="X100" s="1" t="n">
        <v>2012</v>
      </c>
      <c r="Y100" s="1" t="n">
        <v>19</v>
      </c>
      <c r="Z100" s="39" t="n">
        <v>21.8</v>
      </c>
      <c r="AA100" s="1" t="n">
        <v>2022</v>
      </c>
      <c r="AB100" s="1" t="n">
        <v>15</v>
      </c>
      <c r="AC100" s="39" t="n">
        <v>23</v>
      </c>
      <c r="AD100" s="1" t="n">
        <v>2011</v>
      </c>
      <c r="AE100" s="1" t="n">
        <v>2</v>
      </c>
      <c r="AF100" s="39" t="n">
        <v>24.4</v>
      </c>
      <c r="AG100" s="1" t="n">
        <v>2012</v>
      </c>
      <c r="AH100" s="1" t="n">
        <v>21</v>
      </c>
      <c r="AI100" s="39" t="n">
        <v>24.8</v>
      </c>
      <c r="AJ100" s="1" t="n">
        <v>2012</v>
      </c>
      <c r="AK100" s="1" t="n">
        <v>10</v>
      </c>
      <c r="AL100" s="39" t="n">
        <v>25.2</v>
      </c>
      <c r="AM100" s="1" t="n">
        <v>2012</v>
      </c>
      <c r="AN100" s="1" t="n">
        <v>3</v>
      </c>
      <c r="AO100" s="39" t="n">
        <v>24.8</v>
      </c>
      <c r="AP100" s="1" t="n">
        <v>2012</v>
      </c>
      <c r="AQ100" s="1" t="n">
        <v>5</v>
      </c>
    </row>
    <row r="101" ht="14.45" customHeight="1">
      <c r="A101" s="1" t="n">
        <v>21205940</v>
      </c>
      <c r="B101" s="1" t="inlineStr">
        <is>
          <t>VILLA INES [21205940]</t>
        </is>
      </c>
      <c r="C101" s="1" t="n">
        <v>4.83211</v>
      </c>
      <c r="D101" s="1" t="n">
        <v>-74.38056</v>
      </c>
      <c r="E101" s="1" t="n">
        <v>2590</v>
      </c>
      <c r="F101" s="1" t="inlineStr">
        <is>
          <t>Facatativá</t>
        </is>
      </c>
      <c r="G101" s="1" t="inlineStr">
        <is>
          <t>Cundinamarca</t>
        </is>
      </c>
      <c r="H101" s="39" t="n">
        <v>23.4</v>
      </c>
      <c r="I101" s="1" t="n">
        <v>2024</v>
      </c>
      <c r="J101" s="1" t="n">
        <v>24</v>
      </c>
      <c r="K101" s="39" t="n">
        <v>22.4</v>
      </c>
      <c r="L101" s="1" t="n">
        <v>2010</v>
      </c>
      <c r="M101" s="1" t="n">
        <v>3</v>
      </c>
      <c r="N101" s="39" t="n">
        <v>22.6</v>
      </c>
      <c r="O101" s="1" t="n">
        <v>2024</v>
      </c>
      <c r="P101" s="1" t="n">
        <v>20</v>
      </c>
      <c r="Q101" s="39" t="n">
        <v>24</v>
      </c>
      <c r="R101" s="1" t="n">
        <v>2024</v>
      </c>
      <c r="S101" s="1" t="n">
        <v>23</v>
      </c>
      <c r="T101" s="39" t="n">
        <v>22.2</v>
      </c>
      <c r="U101" s="1" t="n">
        <v>2018</v>
      </c>
      <c r="V101" s="1" t="n">
        <v>19</v>
      </c>
      <c r="W101" s="39" t="n">
        <v>22</v>
      </c>
      <c r="X101" s="1" t="n">
        <v>2016</v>
      </c>
      <c r="Y101" s="1" t="n">
        <v>6</v>
      </c>
      <c r="Z101" s="39" t="n">
        <v>24</v>
      </c>
      <c r="AA101" s="1" t="n">
        <v>2019</v>
      </c>
      <c r="AB101" s="1" t="n">
        <v>26</v>
      </c>
      <c r="AC101" s="39" t="n">
        <v>22</v>
      </c>
      <c r="AD101" s="1" t="n">
        <v>2024</v>
      </c>
      <c r="AE101" s="1" t="n">
        <v>15</v>
      </c>
      <c r="AF101" s="39" t="n">
        <v>23</v>
      </c>
      <c r="AG101" s="1" t="n">
        <v>2024</v>
      </c>
      <c r="AH101" s="1" t="n">
        <v>14</v>
      </c>
      <c r="AI101" s="39" t="n">
        <v>22.2</v>
      </c>
      <c r="AJ101" s="1" t="n">
        <v>2024</v>
      </c>
      <c r="AK101" s="1" t="n">
        <v>25</v>
      </c>
      <c r="AL101" s="39" t="n">
        <v>22</v>
      </c>
      <c r="AM101" s="1" t="n">
        <v>2024</v>
      </c>
      <c r="AN101" s="1" t="n">
        <v>2</v>
      </c>
      <c r="AO101" s="39" t="n">
        <v>24</v>
      </c>
      <c r="AP101" s="1" t="n">
        <v>2018</v>
      </c>
      <c r="AQ101" s="1" t="n">
        <v>26</v>
      </c>
    </row>
    <row r="102" ht="14.45" customHeight="1">
      <c r="A102" s="1" t="n">
        <v>21205960</v>
      </c>
      <c r="B102" s="1" t="inlineStr">
        <is>
          <t>TACHI [21205960]</t>
        </is>
      </c>
      <c r="C102" s="1" t="n">
        <v>4.939055556</v>
      </c>
      <c r="D102" s="1" t="n">
        <v>-74.15258333</v>
      </c>
      <c r="E102" s="1" t="n">
        <v>2650</v>
      </c>
      <c r="F102" s="1" t="inlineStr">
        <is>
          <t>Subachoque</t>
        </is>
      </c>
      <c r="G102" s="1" t="inlineStr">
        <is>
          <t>Cundinamarca</t>
        </is>
      </c>
      <c r="H102" s="39" t="n">
        <v>25</v>
      </c>
      <c r="I102" s="1" t="n">
        <v>2010</v>
      </c>
      <c r="J102" s="1" t="n">
        <v>12</v>
      </c>
      <c r="K102" s="39" t="n">
        <v>24.8</v>
      </c>
      <c r="L102" s="1" t="n">
        <v>2016</v>
      </c>
      <c r="M102" s="1" t="n">
        <v>28</v>
      </c>
      <c r="N102" s="39" t="n">
        <v>24.8</v>
      </c>
      <c r="O102" s="1" t="n">
        <v>2016</v>
      </c>
      <c r="P102" s="1" t="n">
        <v>25</v>
      </c>
      <c r="Q102" s="39" t="n">
        <v>25</v>
      </c>
      <c r="R102" s="1" t="n">
        <v>2024</v>
      </c>
      <c r="S102" s="1" t="n">
        <v>16</v>
      </c>
      <c r="T102" s="39" t="n">
        <v>23.2</v>
      </c>
      <c r="U102" s="1" t="n">
        <v>2024</v>
      </c>
      <c r="V102" s="1" t="n">
        <v>7</v>
      </c>
      <c r="W102" s="39" t="n">
        <v>23</v>
      </c>
      <c r="X102" s="1" t="n">
        <v>2008</v>
      </c>
      <c r="Y102" s="1" t="n">
        <v>28</v>
      </c>
      <c r="Z102" s="39" t="n">
        <v>22</v>
      </c>
      <c r="AA102" s="1" t="n">
        <v>2008</v>
      </c>
      <c r="AB102" s="1" t="n">
        <v>9</v>
      </c>
      <c r="AC102" s="39" t="n">
        <v>22.8</v>
      </c>
      <c r="AD102" s="1" t="n">
        <v>2021</v>
      </c>
      <c r="AE102" s="1" t="n">
        <v>23</v>
      </c>
      <c r="AF102" s="39" t="n">
        <v>23</v>
      </c>
      <c r="AG102" s="1" t="n">
        <v>2020</v>
      </c>
      <c r="AH102" s="1" t="n">
        <v>19</v>
      </c>
      <c r="AI102" s="39" t="n">
        <v>23</v>
      </c>
      <c r="AJ102" s="1" t="n">
        <v>2020</v>
      </c>
      <c r="AK102" s="1" t="n">
        <v>25</v>
      </c>
      <c r="AL102" s="39" t="n">
        <v>22.6</v>
      </c>
      <c r="AM102" s="1" t="n">
        <v>2008</v>
      </c>
      <c r="AN102" s="1" t="n">
        <v>12</v>
      </c>
      <c r="AO102" s="39" t="n">
        <v>24.8</v>
      </c>
      <c r="AP102" s="1" t="n">
        <v>1987</v>
      </c>
      <c r="AQ102" s="1" t="n">
        <v>21</v>
      </c>
    </row>
    <row r="103" ht="14.45" customHeight="1">
      <c r="A103" s="1" t="n">
        <v>21205980</v>
      </c>
      <c r="B103" s="1" t="inlineStr">
        <is>
          <t>GRANJA PROVIDENCIA [21205980]</t>
        </is>
      </c>
      <c r="C103" s="1" t="n">
        <v>4.792388889</v>
      </c>
      <c r="D103" s="1" t="n">
        <v>-74.20091667</v>
      </c>
      <c r="E103" s="1" t="n">
        <v>2560</v>
      </c>
      <c r="F103" s="1" t="inlineStr">
        <is>
          <t>Tenjo</t>
        </is>
      </c>
      <c r="G103" s="1" t="inlineStr">
        <is>
          <t>Cundinamarca</t>
        </is>
      </c>
      <c r="H103" s="39" t="n">
        <v>26</v>
      </c>
      <c r="I103" s="1" t="n">
        <v>2024</v>
      </c>
      <c r="J103" s="1" t="n">
        <v>25</v>
      </c>
      <c r="K103" s="39" t="n">
        <v>25.5</v>
      </c>
      <c r="L103" s="1" t="n">
        <v>2010</v>
      </c>
      <c r="M103" s="1" t="n">
        <v>17</v>
      </c>
      <c r="N103" s="39" t="n">
        <v>25.4</v>
      </c>
      <c r="O103" s="1" t="n">
        <v>1992</v>
      </c>
      <c r="P103" s="1" t="n">
        <v>24</v>
      </c>
      <c r="Q103" s="39" t="n">
        <v>26.4</v>
      </c>
      <c r="R103" s="1" t="n">
        <v>2024</v>
      </c>
      <c r="S103" s="1" t="n">
        <v>13</v>
      </c>
      <c r="T103" s="39" t="n">
        <v>24.2</v>
      </c>
      <c r="U103" s="1" t="n">
        <v>2015</v>
      </c>
      <c r="V103" s="1" t="n">
        <v>2</v>
      </c>
      <c r="W103" s="39" t="n">
        <v>24</v>
      </c>
      <c r="X103" s="1" t="n">
        <v>2024</v>
      </c>
      <c r="Y103" s="1" t="n">
        <v>30</v>
      </c>
      <c r="Z103" s="39" t="n">
        <v>23.4</v>
      </c>
      <c r="AA103" s="1" t="n">
        <v>2001</v>
      </c>
      <c r="AB103" s="1" t="n">
        <v>17</v>
      </c>
      <c r="AC103" s="39" t="n">
        <v>25.4</v>
      </c>
      <c r="AD103" s="1" t="n">
        <v>2024</v>
      </c>
      <c r="AE103" s="1" t="n">
        <v>22</v>
      </c>
      <c r="AF103" s="39" t="n">
        <v>25.2</v>
      </c>
      <c r="AG103" s="1" t="n">
        <v>2024</v>
      </c>
      <c r="AH103" s="1" t="n">
        <v>13</v>
      </c>
      <c r="AI103" s="39" t="n">
        <v>24.6</v>
      </c>
      <c r="AJ103" s="1" t="n">
        <v>2024</v>
      </c>
      <c r="AK103" s="1" t="n">
        <v>17</v>
      </c>
      <c r="AL103" s="39" t="n">
        <v>24.2</v>
      </c>
      <c r="AM103" s="1" t="n">
        <v>2001</v>
      </c>
      <c r="AN103" s="1" t="n">
        <v>20</v>
      </c>
      <c r="AO103" s="39" t="n">
        <v>24.4</v>
      </c>
      <c r="AP103" s="1" t="n">
        <v>2015</v>
      </c>
      <c r="AQ103" s="1" t="n">
        <v>23</v>
      </c>
    </row>
    <row r="104" ht="14.45" customHeight="1">
      <c r="A104" s="1" t="n">
        <v>21206030</v>
      </c>
      <c r="B104" s="1" t="inlineStr">
        <is>
          <t>SAN CAYETANO [21206030]</t>
        </is>
      </c>
      <c r="C104" s="1" t="n">
        <v>4.916833333</v>
      </c>
      <c r="D104" s="1" t="n">
        <v>-74.18166667</v>
      </c>
      <c r="E104" s="1" t="n">
        <v>2650</v>
      </c>
      <c r="F104" s="1" t="inlineStr">
        <is>
          <t>Subachoque</t>
        </is>
      </c>
      <c r="G104" s="1" t="inlineStr">
        <is>
          <t>Cundinamarca</t>
        </is>
      </c>
      <c r="H104" s="39" t="n">
        <v>25</v>
      </c>
      <c r="I104" s="1" t="n">
        <v>2024</v>
      </c>
      <c r="J104" s="1" t="n">
        <v>26</v>
      </c>
      <c r="K104" s="39" t="n">
        <v>24.8</v>
      </c>
      <c r="L104" s="1" t="n">
        <v>2016</v>
      </c>
      <c r="M104" s="1" t="n">
        <v>2</v>
      </c>
      <c r="N104" s="39" t="n">
        <v>24.2</v>
      </c>
      <c r="O104" s="1" t="n">
        <v>2016</v>
      </c>
      <c r="P104" s="1" t="n">
        <v>23</v>
      </c>
      <c r="Q104" s="39" t="n">
        <v>22</v>
      </c>
      <c r="R104" s="1" t="n">
        <v>2016</v>
      </c>
      <c r="S104" s="1" t="n">
        <v>11</v>
      </c>
      <c r="T104" s="39" t="n">
        <v>22.2</v>
      </c>
      <c r="U104" s="1" t="n">
        <v>2023</v>
      </c>
      <c r="V104" s="1" t="n">
        <v>19</v>
      </c>
      <c r="W104" s="39" t="n">
        <v>21.2</v>
      </c>
      <c r="X104" s="1" t="n">
        <v>2023</v>
      </c>
      <c r="Y104" s="1" t="n">
        <v>25</v>
      </c>
      <c r="Z104" s="39" t="n">
        <v>21.6</v>
      </c>
      <c r="AA104" s="1" t="n">
        <v>2017</v>
      </c>
      <c r="AB104" s="1" t="n">
        <v>17</v>
      </c>
      <c r="AC104" s="39" t="n">
        <v>22</v>
      </c>
      <c r="AD104" s="1" t="n">
        <v>2017</v>
      </c>
      <c r="AE104" s="1" t="n">
        <v>4</v>
      </c>
      <c r="AF104" s="39" t="n">
        <v>21.6</v>
      </c>
      <c r="AG104" s="1" t="n">
        <v>2014</v>
      </c>
      <c r="AH104" s="1" t="n">
        <v>26</v>
      </c>
      <c r="AI104" s="39" t="n">
        <v>23.4</v>
      </c>
      <c r="AJ104" s="1" t="n">
        <v>2017</v>
      </c>
      <c r="AK104" s="1" t="n">
        <v>23</v>
      </c>
      <c r="AL104" s="39" t="n">
        <v>23</v>
      </c>
      <c r="AM104" s="1" t="n">
        <v>2023</v>
      </c>
      <c r="AN104" s="1" t="n">
        <v>18</v>
      </c>
      <c r="AO104" s="39" t="n">
        <v>23</v>
      </c>
      <c r="AP104" s="1" t="n">
        <v>2021</v>
      </c>
      <c r="AQ104" s="1" t="n">
        <v>28</v>
      </c>
    </row>
    <row r="105" ht="14.45" customHeight="1">
      <c r="A105" s="1" t="n">
        <v>21206180</v>
      </c>
      <c r="B105" s="1" t="inlineStr">
        <is>
          <t>PRIMAVERA D' MATIMA [21206180]</t>
        </is>
      </c>
      <c r="C105" s="1" t="n">
        <v>4.8055</v>
      </c>
      <c r="D105" s="1" t="n">
        <v>-74.44347222</v>
      </c>
      <c r="E105" s="1" t="n">
        <v>1850</v>
      </c>
      <c r="F105" s="1" t="inlineStr">
        <is>
          <t>Anolaima</t>
        </is>
      </c>
      <c r="G105" s="1" t="inlineStr">
        <is>
          <t>Cundinamarca</t>
        </is>
      </c>
      <c r="H105" s="39" t="n">
        <v>25.6</v>
      </c>
      <c r="I105" s="1" t="n">
        <v>2016</v>
      </c>
      <c r="J105" s="1" t="n">
        <v>1</v>
      </c>
      <c r="K105" s="39" t="n">
        <v>25.6</v>
      </c>
      <c r="L105" s="1" t="n">
        <v>2010</v>
      </c>
      <c r="M105" s="1" t="n">
        <v>2</v>
      </c>
      <c r="N105" s="39" t="n">
        <v>25.4</v>
      </c>
      <c r="O105" s="1" t="n">
        <v>2020</v>
      </c>
      <c r="P105" s="1" t="n">
        <v>6</v>
      </c>
      <c r="Q105" s="39" t="n">
        <v>25.2</v>
      </c>
      <c r="R105" s="1" t="n">
        <v>2020</v>
      </c>
      <c r="S105" s="1" t="n">
        <v>22</v>
      </c>
      <c r="T105" s="39" t="n">
        <v>25.4</v>
      </c>
      <c r="U105" s="1" t="n">
        <v>2024</v>
      </c>
      <c r="V105" s="1" t="n">
        <v>15</v>
      </c>
      <c r="W105" s="39" t="n">
        <v>24.2</v>
      </c>
      <c r="X105" s="1" t="n">
        <v>2010</v>
      </c>
      <c r="Y105" s="1" t="n">
        <v>29</v>
      </c>
      <c r="Z105" s="39" t="n">
        <v>24.1</v>
      </c>
      <c r="AA105" s="1" t="n">
        <v>2003</v>
      </c>
      <c r="AB105" s="1" t="n">
        <v>2</v>
      </c>
      <c r="AC105" s="39" t="n">
        <v>24.6</v>
      </c>
      <c r="AD105" s="1" t="n">
        <v>1997</v>
      </c>
      <c r="AE105" s="1" t="n">
        <v>24</v>
      </c>
      <c r="AF105" s="39" t="n">
        <v>25.6</v>
      </c>
      <c r="AG105" s="1" t="n">
        <v>2015</v>
      </c>
      <c r="AH105" s="1" t="n">
        <v>21</v>
      </c>
      <c r="AI105" s="39" t="n">
        <v>25.6</v>
      </c>
      <c r="AJ105" s="1" t="n">
        <v>2023</v>
      </c>
      <c r="AK105" s="1" t="n">
        <v>1</v>
      </c>
      <c r="AL105" s="39" t="n">
        <v>25.4</v>
      </c>
      <c r="AM105" s="1" t="n">
        <v>1997</v>
      </c>
      <c r="AN105" s="1" t="n">
        <v>2</v>
      </c>
      <c r="AO105" s="39" t="n">
        <v>25.6</v>
      </c>
      <c r="AP105" s="1" t="n">
        <v>2015</v>
      </c>
      <c r="AQ105" s="1" t="n">
        <v>26</v>
      </c>
    </row>
    <row r="106" ht="14.45" customHeight="1">
      <c r="A106" s="1" t="n">
        <v>21206260</v>
      </c>
      <c r="B106" s="1" t="inlineStr">
        <is>
          <t>C.UNIV.AGROP-UDCA [21206260]</t>
        </is>
      </c>
      <c r="C106" s="1" t="n">
        <v>4.798638889</v>
      </c>
      <c r="D106" s="1" t="n">
        <v>-74.04972222000001</v>
      </c>
      <c r="E106" s="1" t="n">
        <v>2570</v>
      </c>
      <c r="F106" s="1" t="inlineStr">
        <is>
          <t>Bogotá, D.C</t>
        </is>
      </c>
      <c r="G106" s="1" t="inlineStr">
        <is>
          <t>Bogotá</t>
        </is>
      </c>
      <c r="H106" s="39" t="n">
        <v>25.4</v>
      </c>
      <c r="I106" s="1" t="n">
        <v>2024</v>
      </c>
      <c r="J106" s="1" t="n">
        <v>25</v>
      </c>
      <c r="K106" s="39" t="n">
        <v>25.8</v>
      </c>
      <c r="L106" s="1" t="n">
        <v>2019</v>
      </c>
      <c r="M106" s="1" t="n">
        <v>16</v>
      </c>
      <c r="N106" s="39" t="n">
        <v>25</v>
      </c>
      <c r="O106" s="1" t="n">
        <v>1991</v>
      </c>
      <c r="P106" s="1" t="n">
        <v>19</v>
      </c>
      <c r="Q106" s="39" t="n">
        <v>26</v>
      </c>
      <c r="R106" s="1" t="n">
        <v>2024</v>
      </c>
      <c r="S106" s="1" t="n">
        <v>13</v>
      </c>
      <c r="T106" s="39" t="n">
        <v>24.8</v>
      </c>
      <c r="U106" s="1" t="n">
        <v>2024</v>
      </c>
      <c r="V106" s="1" t="n">
        <v>7</v>
      </c>
      <c r="W106" s="39" t="n">
        <v>22.6</v>
      </c>
      <c r="X106" s="1" t="n">
        <v>2016</v>
      </c>
      <c r="Y106" s="1" t="n">
        <v>4</v>
      </c>
      <c r="Z106" s="39" t="n">
        <v>23.4</v>
      </c>
      <c r="AA106" s="1" t="n">
        <v>2017</v>
      </c>
      <c r="AB106" s="1" t="n">
        <v>15</v>
      </c>
      <c r="AC106" s="39" t="n">
        <v>23.8</v>
      </c>
      <c r="AD106" s="1" t="n">
        <v>2022</v>
      </c>
      <c r="AE106" s="1" t="n">
        <v>18</v>
      </c>
      <c r="AF106" s="39" t="n">
        <v>24.4</v>
      </c>
      <c r="AG106" s="1" t="n">
        <v>2023</v>
      </c>
      <c r="AH106" s="1" t="n">
        <v>22</v>
      </c>
      <c r="AI106" s="39" t="n">
        <v>24</v>
      </c>
      <c r="AJ106" s="1" t="n">
        <v>2017</v>
      </c>
      <c r="AK106" s="1" t="n">
        <v>2</v>
      </c>
      <c r="AL106" s="39" t="n">
        <v>24</v>
      </c>
      <c r="AM106" s="1" t="n">
        <v>2009</v>
      </c>
      <c r="AN106" s="1" t="n">
        <v>28</v>
      </c>
      <c r="AO106" s="39" t="n">
        <v>24.5</v>
      </c>
      <c r="AP106" s="1" t="n">
        <v>2005</v>
      </c>
      <c r="AQ106" s="1" t="n">
        <v>17</v>
      </c>
    </row>
    <row r="107" ht="14.45" customHeight="1">
      <c r="A107" s="1" t="n">
        <v>21206280</v>
      </c>
      <c r="B107" s="1" t="inlineStr">
        <is>
          <t>ACAPULCO [21206280]</t>
        </is>
      </c>
      <c r="C107" s="1" t="n">
        <v>4.64823</v>
      </c>
      <c r="D107" s="1" t="n">
        <v>-74.32035</v>
      </c>
      <c r="E107" s="1" t="n">
        <v>2680</v>
      </c>
      <c r="F107" s="1" t="inlineStr">
        <is>
          <t>Bojacá</t>
        </is>
      </c>
      <c r="G107" s="1" t="inlineStr">
        <is>
          <t>Cundinamarca</t>
        </is>
      </c>
      <c r="H107" s="39" t="n">
        <v>20.2</v>
      </c>
      <c r="I107" s="1" t="n">
        <v>1998</v>
      </c>
      <c r="J107" s="1" t="n">
        <v>26</v>
      </c>
      <c r="K107" s="39" t="n">
        <v>20</v>
      </c>
      <c r="L107" s="1" t="n">
        <v>2007</v>
      </c>
      <c r="M107" s="1" t="n">
        <v>27</v>
      </c>
      <c r="N107" s="39" t="n">
        <v>21.8</v>
      </c>
      <c r="O107" s="1" t="n">
        <v>2013</v>
      </c>
      <c r="P107" s="1" t="n">
        <v>10</v>
      </c>
      <c r="Q107" s="39" t="n">
        <v>20.4</v>
      </c>
      <c r="R107" s="1" t="n">
        <v>2015</v>
      </c>
      <c r="S107" s="1" t="n">
        <v>26</v>
      </c>
      <c r="T107" s="39" t="n">
        <v>20.4</v>
      </c>
      <c r="U107" s="1" t="n">
        <v>2015</v>
      </c>
      <c r="V107" s="1" t="n">
        <v>7</v>
      </c>
      <c r="W107" s="39" t="n">
        <v>22.2</v>
      </c>
      <c r="X107" s="1" t="n">
        <v>2013</v>
      </c>
      <c r="Y107" s="1" t="n">
        <v>8</v>
      </c>
      <c r="Z107" s="39" t="n">
        <v>20.8</v>
      </c>
      <c r="AA107" s="1" t="n">
        <v>2005</v>
      </c>
      <c r="AB107" s="1" t="n">
        <v>23</v>
      </c>
      <c r="AC107" s="39" t="n">
        <v>20.8</v>
      </c>
      <c r="AD107" s="1" t="n">
        <v>2014</v>
      </c>
      <c r="AE107" s="1" t="n">
        <v>31</v>
      </c>
      <c r="AF107" s="39" t="n">
        <v>22</v>
      </c>
      <c r="AG107" s="1" t="n">
        <v>2015</v>
      </c>
      <c r="AH107" s="1" t="n">
        <v>22</v>
      </c>
      <c r="AI107" s="39" t="n">
        <v>20.8</v>
      </c>
      <c r="AJ107" s="1" t="n">
        <v>2015</v>
      </c>
      <c r="AK107" s="1" t="n">
        <v>5</v>
      </c>
      <c r="AL107" s="39" t="n">
        <v>20.4</v>
      </c>
      <c r="AM107" s="1" t="n">
        <v>1990</v>
      </c>
      <c r="AN107" s="1" t="n">
        <v>25</v>
      </c>
      <c r="AO107" s="39" t="n">
        <v>19.4</v>
      </c>
      <c r="AP107" s="1" t="n">
        <v>2013</v>
      </c>
      <c r="AQ107" s="1" t="n">
        <v>15</v>
      </c>
    </row>
    <row r="108" ht="14.45" customHeight="1">
      <c r="A108" s="1" t="n">
        <v>21206560</v>
      </c>
      <c r="B108" s="1" t="inlineStr">
        <is>
          <t>INEM KENNEDY [21206560]</t>
        </is>
      </c>
      <c r="C108" s="1" t="n">
        <v>4.62547</v>
      </c>
      <c r="D108" s="1" t="n">
        <v>-74.156066</v>
      </c>
      <c r="E108" s="1" t="n">
        <v>2557</v>
      </c>
      <c r="F108" s="1" t="inlineStr">
        <is>
          <t>Bogotá, D.C</t>
        </is>
      </c>
      <c r="G108" s="1" t="inlineStr">
        <is>
          <t>Bogotá</t>
        </is>
      </c>
      <c r="H108" s="39" t="n">
        <v>25.2</v>
      </c>
      <c r="I108" s="1" t="n">
        <v>2006</v>
      </c>
      <c r="J108" s="1" t="n">
        <v>9</v>
      </c>
      <c r="K108" s="39" t="n">
        <v>25.2</v>
      </c>
      <c r="L108" s="1" t="n">
        <v>2006</v>
      </c>
      <c r="M108" s="1" t="n">
        <v>15</v>
      </c>
      <c r="N108" s="39" t="n">
        <v>25.2</v>
      </c>
      <c r="O108" s="1" t="n">
        <v>2016</v>
      </c>
      <c r="P108" s="1" t="n">
        <v>24</v>
      </c>
      <c r="Q108" s="39" t="n">
        <v>25.8</v>
      </c>
      <c r="R108" s="1" t="n">
        <v>2005</v>
      </c>
      <c r="S108" s="1" t="n">
        <v>19</v>
      </c>
      <c r="T108" s="39" t="n">
        <v>23.6</v>
      </c>
      <c r="U108" s="1" t="n">
        <v>2015</v>
      </c>
      <c r="V108" s="1" t="n">
        <v>3</v>
      </c>
      <c r="W108" s="39" t="n">
        <v>25.4</v>
      </c>
      <c r="X108" s="1" t="n">
        <v>2009</v>
      </c>
      <c r="Y108" s="1" t="n">
        <v>11</v>
      </c>
      <c r="Z108" s="39" t="n">
        <v>24</v>
      </c>
      <c r="AA108" s="1" t="n">
        <v>2002</v>
      </c>
      <c r="AB108" s="1" t="n">
        <v>29</v>
      </c>
      <c r="AC108" s="39" t="n">
        <v>25.2</v>
      </c>
      <c r="AD108" s="1" t="n">
        <v>2009</v>
      </c>
      <c r="AE108" s="1" t="n">
        <v>15</v>
      </c>
      <c r="AF108" s="39" t="n">
        <v>24</v>
      </c>
      <c r="AG108" s="1" t="n">
        <v>2016</v>
      </c>
      <c r="AH108" s="1" t="n">
        <v>3</v>
      </c>
      <c r="AI108" s="39" t="n">
        <v>23.8</v>
      </c>
      <c r="AJ108" s="1" t="n">
        <v>2007</v>
      </c>
      <c r="AK108" s="1" t="n">
        <v>3</v>
      </c>
      <c r="AL108" s="39" t="n">
        <v>23.6</v>
      </c>
      <c r="AM108" s="1" t="n">
        <v>2023</v>
      </c>
      <c r="AN108" s="1" t="n">
        <v>17</v>
      </c>
      <c r="AO108" s="39" t="n">
        <v>24.5</v>
      </c>
      <c r="AP108" s="1" t="n">
        <v>2007</v>
      </c>
      <c r="AQ108" s="1" t="n">
        <v>18</v>
      </c>
    </row>
    <row r="109" ht="14.45" customHeight="1">
      <c r="A109" s="1" t="n">
        <v>21206600</v>
      </c>
      <c r="B109" s="1" t="inlineStr">
        <is>
          <t>NUEVA GENERACION [21206600]</t>
        </is>
      </c>
      <c r="C109" s="1" t="n">
        <v>4.786594</v>
      </c>
      <c r="D109" s="1" t="n">
        <v>-74.10224700000001</v>
      </c>
      <c r="E109" s="1" t="n">
        <v>2590</v>
      </c>
      <c r="F109" s="1" t="inlineStr">
        <is>
          <t>Bogotá, D.C</t>
        </is>
      </c>
      <c r="G109" s="1" t="inlineStr">
        <is>
          <t>Bogotá</t>
        </is>
      </c>
      <c r="H109" s="39" t="n">
        <v>27</v>
      </c>
      <c r="I109" s="1" t="n">
        <v>2010</v>
      </c>
      <c r="J109" s="1" t="n">
        <v>22</v>
      </c>
      <c r="K109" s="39" t="n">
        <v>26.6</v>
      </c>
      <c r="L109" s="1" t="n">
        <v>2016</v>
      </c>
      <c r="M109" s="1" t="n">
        <v>27</v>
      </c>
      <c r="N109" s="39" t="n">
        <v>26.4</v>
      </c>
      <c r="O109" s="1" t="n">
        <v>2010</v>
      </c>
      <c r="P109" s="1" t="n">
        <v>28</v>
      </c>
      <c r="Q109" s="39" t="n">
        <v>26.4</v>
      </c>
      <c r="R109" s="1" t="n">
        <v>2010</v>
      </c>
      <c r="S109" s="1" t="n">
        <v>4</v>
      </c>
      <c r="T109" s="39" t="n">
        <v>25.2</v>
      </c>
      <c r="U109" s="1" t="n">
        <v>2015</v>
      </c>
      <c r="V109" s="1" t="n">
        <v>2</v>
      </c>
      <c r="W109" s="39" t="n">
        <v>26.6</v>
      </c>
      <c r="X109" s="1" t="n">
        <v>2016</v>
      </c>
      <c r="Y109" s="1" t="n">
        <v>17</v>
      </c>
      <c r="Z109" s="39" t="n">
        <v>23.4</v>
      </c>
      <c r="AA109" s="1" t="n">
        <v>2003</v>
      </c>
      <c r="AB109" s="1" t="n">
        <v>5</v>
      </c>
      <c r="AC109" s="39" t="n">
        <v>26</v>
      </c>
      <c r="AD109" s="1" t="n">
        <v>2004</v>
      </c>
      <c r="AE109" s="1" t="n">
        <v>19</v>
      </c>
      <c r="AF109" s="39" t="n">
        <v>24.2</v>
      </c>
      <c r="AG109" s="1" t="n">
        <v>2002</v>
      </c>
      <c r="AH109" s="1" t="n">
        <v>20</v>
      </c>
      <c r="AI109" s="39" t="n">
        <v>25.6</v>
      </c>
      <c r="AJ109" s="1" t="n">
        <v>2024</v>
      </c>
      <c r="AK109" s="1" t="n">
        <v>18</v>
      </c>
      <c r="AL109" s="39" t="n">
        <v>24.6</v>
      </c>
      <c r="AM109" s="1" t="n">
        <v>2007</v>
      </c>
      <c r="AN109" s="1" t="n">
        <v>26</v>
      </c>
      <c r="AO109" s="39" t="n">
        <v>25.2</v>
      </c>
      <c r="AP109" s="1" t="n">
        <v>2014</v>
      </c>
      <c r="AQ109" s="1" t="n">
        <v>3</v>
      </c>
    </row>
    <row r="110" ht="14.45" customHeight="1">
      <c r="A110" s="1" t="n">
        <v>21206650</v>
      </c>
      <c r="B110" s="1" t="inlineStr">
        <is>
          <t>COLEGIO SAN CAYETANO [21206650]</t>
        </is>
      </c>
      <c r="C110" s="1" t="n">
        <v>4.516752778</v>
      </c>
      <c r="D110" s="1" t="n">
        <v>-74.088222222</v>
      </c>
      <c r="E110" s="1" t="n">
        <v>3100</v>
      </c>
      <c r="F110" s="1" t="inlineStr">
        <is>
          <t>Bogotá, D.C</t>
        </is>
      </c>
      <c r="G110" s="1" t="inlineStr">
        <is>
          <t>Bogotá</t>
        </is>
      </c>
      <c r="H110" s="39" t="n">
        <v>22</v>
      </c>
      <c r="I110" s="1" t="n">
        <v>2003</v>
      </c>
      <c r="J110" s="1" t="n">
        <v>6</v>
      </c>
      <c r="K110" s="39" t="n">
        <v>21.1</v>
      </c>
      <c r="L110" s="1" t="n">
        <v>2010</v>
      </c>
      <c r="M110" s="1" t="n">
        <v>13</v>
      </c>
      <c r="N110" s="39" t="n">
        <v>25</v>
      </c>
      <c r="O110" s="1" t="n">
        <v>2007</v>
      </c>
      <c r="P110" s="1" t="n">
        <v>6</v>
      </c>
      <c r="Q110" s="39" t="n">
        <v>20</v>
      </c>
      <c r="R110" s="1" t="n">
        <v>2016</v>
      </c>
      <c r="S110" s="1" t="n">
        <v>17</v>
      </c>
      <c r="T110" s="39" t="n">
        <v>23.4</v>
      </c>
      <c r="U110" s="1" t="n">
        <v>2003</v>
      </c>
      <c r="V110" s="1" t="n">
        <v>13</v>
      </c>
      <c r="W110" s="39" t="n">
        <v>18.6</v>
      </c>
      <c r="X110" s="1" t="n">
        <v>2017</v>
      </c>
      <c r="Y110" s="1" t="n">
        <v>9</v>
      </c>
      <c r="Z110" s="39" t="n">
        <v>18.6</v>
      </c>
      <c r="AA110" s="1" t="n">
        <v>2017</v>
      </c>
      <c r="AB110" s="1" t="n">
        <v>16</v>
      </c>
      <c r="AC110" s="39" t="n">
        <v>19.5</v>
      </c>
      <c r="AD110" s="1" t="n">
        <v>2006</v>
      </c>
      <c r="AE110" s="1" t="n">
        <v>25</v>
      </c>
      <c r="AF110" s="39" t="n">
        <v>19.8</v>
      </c>
      <c r="AG110" s="1" t="n">
        <v>2006</v>
      </c>
      <c r="AH110" s="1" t="n">
        <v>7</v>
      </c>
      <c r="AI110" s="39" t="n">
        <v>24.8</v>
      </c>
      <c r="AJ110" s="1" t="n">
        <v>2002</v>
      </c>
      <c r="AK110" s="1" t="n">
        <v>14</v>
      </c>
      <c r="AL110" s="39" t="n">
        <v>19.6</v>
      </c>
      <c r="AM110" s="1" t="n">
        <v>2017</v>
      </c>
      <c r="AN110" s="1" t="n">
        <v>12</v>
      </c>
      <c r="AO110" s="39" t="n">
        <v>25.8</v>
      </c>
      <c r="AP110" s="1" t="n">
        <v>2003</v>
      </c>
      <c r="AQ110" s="1" t="n">
        <v>4</v>
      </c>
    </row>
    <row r="111" ht="14.45" customHeight="1">
      <c r="A111" s="1" t="n">
        <v>21215080</v>
      </c>
      <c r="B111" s="1" t="inlineStr">
        <is>
          <t>CHICORAL [21215080]</t>
        </is>
      </c>
      <c r="C111" s="1" t="n">
        <v>4.231527778</v>
      </c>
      <c r="D111" s="1" t="n">
        <v>-74.99536111</v>
      </c>
      <c r="E111" s="1" t="n">
        <v>432</v>
      </c>
      <c r="F111" s="1" t="inlineStr">
        <is>
          <t>Espinal</t>
        </is>
      </c>
      <c r="G111" s="1" t="inlineStr">
        <is>
          <t>Tolima</t>
        </is>
      </c>
      <c r="H111" s="39" t="n">
        <v>39</v>
      </c>
      <c r="I111" s="1" t="n">
        <v>2016</v>
      </c>
      <c r="J111" s="1" t="n">
        <v>2</v>
      </c>
      <c r="K111" s="39" t="n">
        <v>38.8</v>
      </c>
      <c r="L111" s="1" t="n">
        <v>2005</v>
      </c>
      <c r="M111" s="1" t="n">
        <v>25</v>
      </c>
      <c r="N111" s="39" t="n">
        <v>37.6</v>
      </c>
      <c r="O111" s="1" t="n">
        <v>2007</v>
      </c>
      <c r="P111" s="1" t="n">
        <v>1</v>
      </c>
      <c r="Q111" s="39" t="n">
        <v>37.4</v>
      </c>
      <c r="R111" s="1" t="n">
        <v>2005</v>
      </c>
      <c r="S111" s="1" t="n">
        <v>19</v>
      </c>
      <c r="T111" s="39" t="n">
        <v>36.2</v>
      </c>
      <c r="U111" s="1" t="n">
        <v>1995</v>
      </c>
      <c r="V111" s="1" t="n">
        <v>21</v>
      </c>
      <c r="W111" s="39" t="n">
        <v>37.6</v>
      </c>
      <c r="X111" s="1" t="n">
        <v>1990</v>
      </c>
      <c r="Y111" s="1" t="n">
        <v>7</v>
      </c>
      <c r="Z111" s="39" t="n">
        <v>38.6</v>
      </c>
      <c r="AA111" s="1" t="n">
        <v>2015</v>
      </c>
      <c r="AB111" s="1" t="n">
        <v>31</v>
      </c>
      <c r="AC111" s="39" t="n">
        <v>39.2</v>
      </c>
      <c r="AD111" s="1" t="n">
        <v>2024</v>
      </c>
      <c r="AE111" s="1" t="n">
        <v>30</v>
      </c>
      <c r="AF111" s="39" t="n">
        <v>39.8</v>
      </c>
      <c r="AG111" s="1" t="n">
        <v>2024</v>
      </c>
      <c r="AH111" s="1" t="n">
        <v>15</v>
      </c>
      <c r="AI111" s="39" t="n">
        <v>37.4</v>
      </c>
      <c r="AJ111" s="1" t="n">
        <v>2002</v>
      </c>
      <c r="AK111" s="1" t="n">
        <v>4</v>
      </c>
      <c r="AL111" s="39" t="n">
        <v>38.2</v>
      </c>
      <c r="AM111" s="1" t="n">
        <v>1995</v>
      </c>
      <c r="AN111" s="1" t="n">
        <v>21</v>
      </c>
      <c r="AO111" s="39" t="n">
        <v>37.6</v>
      </c>
      <c r="AP111" s="1" t="n">
        <v>2015</v>
      </c>
      <c r="AQ111" s="1" t="n">
        <v>31</v>
      </c>
    </row>
    <row r="112" ht="14.45" customHeight="1">
      <c r="A112" s="1" t="n">
        <v>21215130</v>
      </c>
      <c r="B112" s="1" t="inlineStr">
        <is>
          <t>CUCUANA HACIENDA [21215130]</t>
        </is>
      </c>
      <c r="C112" s="1" t="n">
        <v>4.341388889</v>
      </c>
      <c r="D112" s="1" t="n">
        <v>-75.51858333</v>
      </c>
      <c r="E112" s="1" t="n">
        <v>2229</v>
      </c>
      <c r="F112" s="1" t="inlineStr">
        <is>
          <t>Cajamarca</t>
        </is>
      </c>
      <c r="G112" s="1" t="inlineStr">
        <is>
          <t>Tolima</t>
        </is>
      </c>
      <c r="H112" s="39" t="n">
        <v>25</v>
      </c>
      <c r="I112" s="1" t="n">
        <v>2010</v>
      </c>
      <c r="J112" s="1" t="n">
        <v>15</v>
      </c>
      <c r="K112" s="39" t="n">
        <v>27</v>
      </c>
      <c r="L112" s="1" t="n">
        <v>2010</v>
      </c>
      <c r="M112" s="1" t="n">
        <v>2</v>
      </c>
      <c r="N112" s="39" t="n">
        <v>25.8</v>
      </c>
      <c r="O112" s="1" t="n">
        <v>2016</v>
      </c>
      <c r="P112" s="1" t="n">
        <v>26</v>
      </c>
      <c r="Q112" s="39" t="n">
        <v>26.2</v>
      </c>
      <c r="R112" s="1" t="n">
        <v>2010</v>
      </c>
      <c r="S112" s="1" t="n">
        <v>18</v>
      </c>
      <c r="T112" s="39" t="n">
        <v>26</v>
      </c>
      <c r="U112" s="1" t="n">
        <v>2009</v>
      </c>
      <c r="V112" s="1" t="n">
        <v>18</v>
      </c>
      <c r="W112" s="39" t="n">
        <v>24.4</v>
      </c>
      <c r="X112" s="1" t="n">
        <v>2012</v>
      </c>
      <c r="Y112" s="1" t="n">
        <v>6</v>
      </c>
      <c r="Z112" s="39" t="n">
        <v>24.2</v>
      </c>
      <c r="AA112" s="1" t="n">
        <v>2009</v>
      </c>
      <c r="AB112" s="1" t="n">
        <v>28</v>
      </c>
      <c r="AC112" s="39" t="n">
        <v>24.4</v>
      </c>
      <c r="AD112" s="1" t="n">
        <v>2016</v>
      </c>
      <c r="AE112" s="1" t="n">
        <v>14</v>
      </c>
      <c r="AF112" s="39" t="n">
        <v>24.8</v>
      </c>
      <c r="AG112" s="1" t="n">
        <v>2015</v>
      </c>
      <c r="AH112" s="1" t="n">
        <v>16</v>
      </c>
      <c r="AI112" s="39" t="n">
        <v>25</v>
      </c>
      <c r="AJ112" s="1" t="n">
        <v>2009</v>
      </c>
      <c r="AK112" s="1" t="n">
        <v>1</v>
      </c>
      <c r="AL112" s="39" t="n">
        <v>24.2</v>
      </c>
      <c r="AM112" s="1" t="n">
        <v>2012</v>
      </c>
      <c r="AN112" s="1" t="n">
        <v>24</v>
      </c>
      <c r="AO112" s="39" t="n">
        <v>25.4</v>
      </c>
      <c r="AP112" s="1" t="n">
        <v>2015</v>
      </c>
      <c r="AQ112" s="1" t="n">
        <v>23</v>
      </c>
    </row>
    <row r="113" ht="14.45" customHeight="1">
      <c r="A113" s="1" t="n">
        <v>21235010</v>
      </c>
      <c r="B113" s="1" t="inlineStr">
        <is>
          <t>JERUSALEN [21235010]</t>
        </is>
      </c>
      <c r="C113" s="1" t="n">
        <v>4.561805556</v>
      </c>
      <c r="D113" s="1" t="n">
        <v>-74.70238888999999</v>
      </c>
      <c r="E113" s="1" t="n">
        <v>297</v>
      </c>
      <c r="F113" s="1" t="inlineStr">
        <is>
          <t>Jerusalén</t>
        </is>
      </c>
      <c r="G113" s="1" t="inlineStr">
        <is>
          <t>Cundinamarca</t>
        </is>
      </c>
      <c r="H113" s="39" t="n">
        <v>41</v>
      </c>
      <c r="I113" s="1" t="n">
        <v>2024</v>
      </c>
      <c r="J113" s="1" t="n">
        <v>26</v>
      </c>
      <c r="K113" s="39" t="n">
        <v>41.4</v>
      </c>
      <c r="L113" s="1" t="n">
        <v>2020</v>
      </c>
      <c r="M113" s="1" t="n">
        <v>18</v>
      </c>
      <c r="N113" s="39" t="n">
        <v>43.8</v>
      </c>
      <c r="O113" s="1" t="n">
        <v>2024</v>
      </c>
      <c r="P113" s="1" t="n">
        <v>13</v>
      </c>
      <c r="Q113" s="39" t="n">
        <v>41</v>
      </c>
      <c r="R113" s="1" t="n">
        <v>2024</v>
      </c>
      <c r="S113" s="1" t="n">
        <v>7</v>
      </c>
      <c r="T113" s="39" t="n">
        <v>40</v>
      </c>
      <c r="U113" s="1" t="n">
        <v>2020</v>
      </c>
      <c r="V113" s="1" t="n">
        <v>21</v>
      </c>
      <c r="W113" s="39" t="n">
        <v>39.8</v>
      </c>
      <c r="X113" s="1" t="n">
        <v>2011</v>
      </c>
      <c r="Y113" s="1" t="n">
        <v>13</v>
      </c>
      <c r="Z113" s="39" t="n">
        <v>40.6</v>
      </c>
      <c r="AA113" s="1" t="n">
        <v>2024</v>
      </c>
      <c r="AB113" s="1" t="n">
        <v>29</v>
      </c>
      <c r="AC113" s="39" t="n">
        <v>41.6</v>
      </c>
      <c r="AD113" s="1" t="n">
        <v>2023</v>
      </c>
      <c r="AE113" s="1" t="n">
        <v>8</v>
      </c>
      <c r="AF113" s="39" t="n">
        <v>44.2</v>
      </c>
      <c r="AG113" s="1" t="n">
        <v>2024</v>
      </c>
      <c r="AH113" s="1" t="n">
        <v>15</v>
      </c>
      <c r="AI113" s="39" t="n">
        <v>41.8</v>
      </c>
      <c r="AJ113" s="1" t="n">
        <v>2023</v>
      </c>
      <c r="AK113" s="1" t="n">
        <v>12</v>
      </c>
      <c r="AL113" s="39" t="n">
        <v>39.8</v>
      </c>
      <c r="AM113" s="1" t="n">
        <v>2020</v>
      </c>
      <c r="AN113" s="1" t="n">
        <v>7</v>
      </c>
      <c r="AO113" s="39" t="n">
        <v>39.8</v>
      </c>
      <c r="AP113" s="1" t="n">
        <v>2023</v>
      </c>
      <c r="AQ113" s="1" t="n">
        <v>13</v>
      </c>
    </row>
    <row r="114" ht="14.45" customHeight="1">
      <c r="A114" s="1" t="n">
        <v>21240110</v>
      </c>
      <c r="B114" s="1" t="inlineStr">
        <is>
          <t>BODEGA LA [21240110]</t>
        </is>
      </c>
      <c r="C114" s="1" t="n">
        <v>4.735611111</v>
      </c>
      <c r="D114" s="1" t="n">
        <v>-75.13891667</v>
      </c>
      <c r="E114" s="1" t="n">
        <v>2670</v>
      </c>
      <c r="F114" s="1" t="inlineStr">
        <is>
          <t>Santa Isabel</t>
        </is>
      </c>
      <c r="G114" s="1" t="inlineStr">
        <is>
          <t>Tolima</t>
        </is>
      </c>
      <c r="H114" s="39" t="n">
        <v>21.2</v>
      </c>
      <c r="I114" s="1" t="n">
        <v>1998</v>
      </c>
      <c r="J114" s="1" t="n">
        <v>31</v>
      </c>
      <c r="K114" s="39" t="n">
        <v>22</v>
      </c>
      <c r="L114" s="1" t="n">
        <v>1995</v>
      </c>
      <c r="M114" s="1" t="n">
        <v>13</v>
      </c>
      <c r="N114" s="39" t="n">
        <v>22</v>
      </c>
      <c r="O114" s="1" t="n">
        <v>1992</v>
      </c>
      <c r="P114" s="1" t="n">
        <v>23</v>
      </c>
      <c r="Q114" s="39" t="n">
        <v>21</v>
      </c>
      <c r="R114" s="1" t="n">
        <v>1992</v>
      </c>
      <c r="S114" s="1" t="n">
        <v>12</v>
      </c>
      <c r="T114" s="39" t="n">
        <v>21</v>
      </c>
      <c r="U114" s="1" t="n">
        <v>1992</v>
      </c>
      <c r="V114" s="1" t="n">
        <v>11</v>
      </c>
      <c r="W114" s="39" t="n">
        <v>20.2</v>
      </c>
      <c r="X114" s="1" t="n">
        <v>2004</v>
      </c>
      <c r="Y114" s="1" t="n">
        <v>27</v>
      </c>
      <c r="Z114" s="39" t="n">
        <v>22</v>
      </c>
      <c r="AA114" s="1" t="n">
        <v>2004</v>
      </c>
      <c r="AB114" s="1" t="n">
        <v>8</v>
      </c>
      <c r="AC114" s="39" t="n">
        <v>20.4</v>
      </c>
      <c r="AD114" s="1" t="n">
        <v>1997</v>
      </c>
      <c r="AE114" s="1" t="n">
        <v>25</v>
      </c>
      <c r="AF114" s="39" t="n">
        <v>20.2</v>
      </c>
      <c r="AG114" s="1" t="n">
        <v>1997</v>
      </c>
      <c r="AH114" s="1" t="n">
        <v>6</v>
      </c>
      <c r="AI114" s="39" t="n">
        <v>20.4</v>
      </c>
      <c r="AJ114" s="1" t="n">
        <v>1997</v>
      </c>
      <c r="AK114" s="1" t="n">
        <v>25</v>
      </c>
      <c r="AL114" s="39" t="n">
        <v>19.4</v>
      </c>
      <c r="AM114" s="1" t="n">
        <v>2002</v>
      </c>
      <c r="AN114" s="1" t="n">
        <v>24</v>
      </c>
      <c r="AO114" s="39" t="n">
        <v>20</v>
      </c>
      <c r="AP114" s="1" t="n">
        <v>2002</v>
      </c>
      <c r="AQ114" s="1" t="n">
        <v>1</v>
      </c>
    </row>
    <row r="115" ht="14.45" customHeight="1">
      <c r="A115" s="1" t="n">
        <v>21245010</v>
      </c>
      <c r="B115" s="1" t="inlineStr">
        <is>
          <t>PERALES HATO OPIA [21245010]</t>
        </is>
      </c>
      <c r="C115" s="1" t="n">
        <v>4.429666667</v>
      </c>
      <c r="D115" s="1" t="n">
        <v>-75.20052222</v>
      </c>
      <c r="E115" s="1" t="n">
        <v>826</v>
      </c>
      <c r="F115" s="1" t="inlineStr">
        <is>
          <t>Ibagué</t>
        </is>
      </c>
      <c r="G115" s="1" t="inlineStr">
        <is>
          <t>Tolima</t>
        </is>
      </c>
      <c r="H115" s="39" t="n">
        <v>36.2</v>
      </c>
      <c r="I115" s="1" t="n">
        <v>1998</v>
      </c>
      <c r="J115" s="1" t="n">
        <v>6</v>
      </c>
      <c r="K115" s="39" t="n">
        <v>37.2</v>
      </c>
      <c r="L115" s="1" t="n">
        <v>1998</v>
      </c>
      <c r="M115" s="1" t="n">
        <v>3</v>
      </c>
      <c r="N115" s="39" t="n">
        <v>36.6</v>
      </c>
      <c r="O115" s="1" t="n">
        <v>2024</v>
      </c>
      <c r="P115" s="1" t="n">
        <v>13</v>
      </c>
      <c r="Q115" s="39" t="n">
        <v>34.8</v>
      </c>
      <c r="R115" s="1" t="n">
        <v>2013</v>
      </c>
      <c r="S115" s="1" t="n">
        <v>13</v>
      </c>
      <c r="T115" s="39" t="n">
        <v>34.2</v>
      </c>
      <c r="U115" s="1" t="n">
        <v>2002</v>
      </c>
      <c r="V115" s="1" t="n">
        <v>12</v>
      </c>
      <c r="W115" s="39" t="n">
        <v>34.2</v>
      </c>
      <c r="X115" s="1" t="n">
        <v>1999</v>
      </c>
      <c r="Y115" s="1" t="n">
        <v>5</v>
      </c>
      <c r="Z115" s="39" t="n">
        <v>35.8</v>
      </c>
      <c r="AA115" s="1" t="n">
        <v>2012</v>
      </c>
      <c r="AB115" s="1" t="n">
        <v>21</v>
      </c>
      <c r="AC115" s="39" t="n">
        <v>37.6</v>
      </c>
      <c r="AD115" s="1" t="n">
        <v>2001</v>
      </c>
      <c r="AE115" s="1" t="n">
        <v>30</v>
      </c>
      <c r="AF115" s="39" t="n">
        <v>37.2</v>
      </c>
      <c r="AG115" s="1" t="n">
        <v>2021</v>
      </c>
      <c r="AH115" s="1" t="n">
        <v>17</v>
      </c>
      <c r="AI115" s="39" t="n">
        <v>35.8</v>
      </c>
      <c r="AJ115" s="1" t="n">
        <v>1997</v>
      </c>
      <c r="AK115" s="1" t="n">
        <v>4</v>
      </c>
      <c r="AL115" s="39" t="n">
        <v>33.6</v>
      </c>
      <c r="AM115" s="1" t="n">
        <v>2001</v>
      </c>
      <c r="AN115" s="1" t="n">
        <v>5</v>
      </c>
      <c r="AO115" s="39" t="n">
        <v>35.6</v>
      </c>
      <c r="AP115" s="1" t="n">
        <v>2015</v>
      </c>
      <c r="AQ115" s="1" t="n">
        <v>28</v>
      </c>
    </row>
    <row r="116" ht="14.45" customHeight="1">
      <c r="A116" s="1" t="n">
        <v>21245040</v>
      </c>
      <c r="B116" s="1" t="inlineStr">
        <is>
          <t>AEROPUERTO PERALES [21245040]</t>
        </is>
      </c>
      <c r="C116" s="1" t="n">
        <v>4.424138889</v>
      </c>
      <c r="D116" s="1" t="n">
        <v>-75.13941667</v>
      </c>
      <c r="E116" s="1" t="n">
        <v>943</v>
      </c>
      <c r="F116" s="1" t="inlineStr">
        <is>
          <t>Ibagué</t>
        </is>
      </c>
      <c r="G116" s="1" t="inlineStr">
        <is>
          <t>Tolima</t>
        </is>
      </c>
      <c r="H116" s="39" t="n">
        <v>36</v>
      </c>
      <c r="I116" s="1" t="n">
        <v>2016</v>
      </c>
      <c r="J116" s="1" t="n">
        <v>1</v>
      </c>
      <c r="K116" s="39" t="n">
        <v>35.9</v>
      </c>
      <c r="L116" s="1" t="n">
        <v>2020</v>
      </c>
      <c r="M116" s="1" t="n">
        <v>18</v>
      </c>
      <c r="N116" s="39" t="n">
        <v>35.9</v>
      </c>
      <c r="O116" s="1" t="n">
        <v>2024</v>
      </c>
      <c r="P116" s="1" t="n">
        <v>18</v>
      </c>
      <c r="Q116" s="39" t="n">
        <v>33.8</v>
      </c>
      <c r="R116" s="1" t="n">
        <v>2014</v>
      </c>
      <c r="S116" s="1" t="n">
        <v>13</v>
      </c>
      <c r="T116" s="39" t="n">
        <v>34</v>
      </c>
      <c r="U116" s="1" t="n">
        <v>2016</v>
      </c>
      <c r="V116" s="1" t="n">
        <v>22</v>
      </c>
      <c r="W116" s="39" t="n">
        <v>33.6</v>
      </c>
      <c r="X116" s="1" t="n">
        <v>2001</v>
      </c>
      <c r="Y116" s="1" t="n">
        <v>28</v>
      </c>
      <c r="Z116" s="39" t="n">
        <v>35.4</v>
      </c>
      <c r="AA116" s="1" t="n">
        <v>2015</v>
      </c>
      <c r="AB116" s="1" t="n">
        <v>25</v>
      </c>
      <c r="AC116" s="39" t="n">
        <v>36.4</v>
      </c>
      <c r="AD116" s="1" t="n">
        <v>1997</v>
      </c>
      <c r="AE116" s="1" t="n">
        <v>25</v>
      </c>
      <c r="AF116" s="39" t="n">
        <v>36.8</v>
      </c>
      <c r="AG116" s="1" t="n">
        <v>2015</v>
      </c>
      <c r="AH116" s="1" t="n">
        <v>16</v>
      </c>
      <c r="AI116" s="39" t="n">
        <v>36.5</v>
      </c>
      <c r="AJ116" s="1" t="n">
        <v>2009</v>
      </c>
      <c r="AK116" s="1" t="n">
        <v>9</v>
      </c>
      <c r="AL116" s="39" t="n">
        <v>32.4</v>
      </c>
      <c r="AM116" s="1" t="n">
        <v>2015</v>
      </c>
      <c r="AN116" s="1" t="n">
        <v>14</v>
      </c>
      <c r="AO116" s="39" t="n">
        <v>35.7</v>
      </c>
      <c r="AP116" s="1" t="n">
        <v>2015</v>
      </c>
      <c r="AQ116" s="1" t="n">
        <v>31</v>
      </c>
    </row>
    <row r="117" ht="14.45" customHeight="1">
      <c r="A117" s="1" t="n">
        <v>21245140</v>
      </c>
      <c r="B117" s="1" t="inlineStr">
        <is>
          <t>SANTA ISABEL [21245140]</t>
        </is>
      </c>
      <c r="C117" s="1" t="n">
        <v>4.711861111</v>
      </c>
      <c r="D117" s="1" t="n">
        <v>-75.09445556</v>
      </c>
      <c r="E117" s="1" t="n">
        <v>2288</v>
      </c>
      <c r="F117" s="1" t="inlineStr">
        <is>
          <t>Santa Isabel</t>
        </is>
      </c>
      <c r="G117" s="1" t="inlineStr">
        <is>
          <t>Tolima</t>
        </is>
      </c>
      <c r="H117" s="39" t="n">
        <v>24.8</v>
      </c>
      <c r="I117" s="1" t="n">
        <v>2024</v>
      </c>
      <c r="J117" s="1" t="n">
        <v>23</v>
      </c>
      <c r="K117" s="39" t="n">
        <v>23.8</v>
      </c>
      <c r="L117" s="1" t="n">
        <v>2016</v>
      </c>
      <c r="M117" s="1" t="n">
        <v>16</v>
      </c>
      <c r="N117" s="39" t="n">
        <v>23.8</v>
      </c>
      <c r="O117" s="1" t="n">
        <v>2016</v>
      </c>
      <c r="P117" s="1" t="n">
        <v>26</v>
      </c>
      <c r="Q117" s="39" t="n">
        <v>23.2</v>
      </c>
      <c r="R117" s="1" t="n">
        <v>2025</v>
      </c>
      <c r="S117" s="1" t="n">
        <v>8</v>
      </c>
      <c r="T117" s="39" t="n">
        <v>24.2</v>
      </c>
      <c r="U117" s="1" t="n">
        <v>2024</v>
      </c>
      <c r="V117" s="1" t="n">
        <v>13</v>
      </c>
      <c r="W117" s="39" t="n">
        <v>22.6</v>
      </c>
      <c r="X117" s="1" t="n">
        <v>2012</v>
      </c>
      <c r="Y117" s="1" t="n">
        <v>7</v>
      </c>
      <c r="Z117" s="39" t="n">
        <v>23.2</v>
      </c>
      <c r="AA117" s="1" t="n">
        <v>2025</v>
      </c>
      <c r="AB117" s="1" t="n">
        <v>22</v>
      </c>
      <c r="AC117" s="39" t="n">
        <v>23.2</v>
      </c>
      <c r="AD117" s="1" t="n">
        <v>2009</v>
      </c>
      <c r="AE117" s="1" t="n">
        <v>3</v>
      </c>
      <c r="AF117" s="39" t="n">
        <v>23.8</v>
      </c>
      <c r="AG117" s="1" t="n">
        <v>2024</v>
      </c>
      <c r="AH117" s="1" t="n">
        <v>16</v>
      </c>
      <c r="AI117" s="39" t="n">
        <v>24</v>
      </c>
      <c r="AJ117" s="1" t="n">
        <v>2024</v>
      </c>
      <c r="AK117" s="1" t="n">
        <v>11</v>
      </c>
      <c r="AL117" s="39" t="n">
        <v>22</v>
      </c>
      <c r="AM117" s="1" t="n">
        <v>2001</v>
      </c>
      <c r="AN117" s="1" t="n">
        <v>7</v>
      </c>
      <c r="AO117" s="39" t="n">
        <v>23.4</v>
      </c>
      <c r="AP117" s="1" t="n">
        <v>2015</v>
      </c>
      <c r="AQ117" s="1" t="n">
        <v>29</v>
      </c>
    </row>
    <row r="118" ht="14.45" customHeight="1">
      <c r="A118" s="1" t="n">
        <v>21255080</v>
      </c>
      <c r="B118" s="1" t="inlineStr">
        <is>
          <t>SALTO EL [21255080]</t>
        </is>
      </c>
      <c r="C118" s="1" t="n">
        <v>4.783778</v>
      </c>
      <c r="D118" s="1" t="n">
        <v>-74.76794443999999</v>
      </c>
      <c r="E118" s="1" t="n">
        <v>308</v>
      </c>
      <c r="F118" s="1" t="inlineStr">
        <is>
          <t>Ambalema</t>
        </is>
      </c>
      <c r="G118" s="1" t="inlineStr">
        <is>
          <t>Tolima</t>
        </is>
      </c>
      <c r="H118" s="39" t="n">
        <v>40.4</v>
      </c>
      <c r="I118" s="1" t="n">
        <v>2016</v>
      </c>
      <c r="J118" s="1" t="n">
        <v>17</v>
      </c>
      <c r="K118" s="39" t="n">
        <v>40.8</v>
      </c>
      <c r="L118" s="1" t="n">
        <v>1988</v>
      </c>
      <c r="M118" s="1" t="n">
        <v>1</v>
      </c>
      <c r="N118" s="39" t="n">
        <v>42</v>
      </c>
      <c r="O118" s="1" t="n">
        <v>1988</v>
      </c>
      <c r="P118" s="1" t="n">
        <v>19</v>
      </c>
      <c r="Q118" s="39" t="n">
        <v>40</v>
      </c>
      <c r="R118" s="1" t="n">
        <v>1980</v>
      </c>
      <c r="S118" s="1" t="n">
        <v>1</v>
      </c>
      <c r="T118" s="39" t="n">
        <v>39.6</v>
      </c>
      <c r="U118" s="1" t="n">
        <v>2015</v>
      </c>
      <c r="V118" s="1" t="n">
        <v>7</v>
      </c>
      <c r="W118" s="39" t="n">
        <v>39.8</v>
      </c>
      <c r="X118" s="1" t="n">
        <v>1987</v>
      </c>
      <c r="Y118" s="1" t="n">
        <v>10</v>
      </c>
      <c r="Z118" s="39" t="n">
        <v>41</v>
      </c>
      <c r="AA118" s="1" t="n">
        <v>2024</v>
      </c>
      <c r="AB118" s="1" t="n">
        <v>23</v>
      </c>
      <c r="AC118" s="39" t="n">
        <v>42</v>
      </c>
      <c r="AD118" s="1" t="n">
        <v>1983</v>
      </c>
      <c r="AE118" s="1" t="n">
        <v>14</v>
      </c>
      <c r="AF118" s="39" t="n">
        <v>41.8</v>
      </c>
      <c r="AG118" s="1" t="n">
        <v>1987</v>
      </c>
      <c r="AH118" s="1" t="n">
        <v>13</v>
      </c>
      <c r="AI118" s="39" t="n">
        <v>39.8</v>
      </c>
      <c r="AJ118" s="1" t="n">
        <v>2009</v>
      </c>
      <c r="AK118" s="1" t="n">
        <v>1</v>
      </c>
      <c r="AL118" s="39" t="n">
        <v>39.4</v>
      </c>
      <c r="AM118" s="1" t="n">
        <v>2009</v>
      </c>
      <c r="AN118" s="1" t="n">
        <v>20</v>
      </c>
      <c r="AO118" s="39" t="n">
        <v>40.2</v>
      </c>
      <c r="AP118" s="1" t="n">
        <v>2015</v>
      </c>
      <c r="AQ118" s="1" t="n">
        <v>25</v>
      </c>
    </row>
    <row r="119" ht="14.45" customHeight="1">
      <c r="A119" s="1" t="n">
        <v>21255090</v>
      </c>
      <c r="B119" s="1" t="inlineStr">
        <is>
          <t>ARMERO GRANJA [21255090]</t>
        </is>
      </c>
      <c r="C119" s="1" t="n">
        <v>5</v>
      </c>
      <c r="D119" s="1" t="n">
        <v>-74.89999166699999</v>
      </c>
      <c r="E119" s="1" t="n">
        <v>321</v>
      </c>
      <c r="F119" s="1" t="inlineStr">
        <is>
          <t>Armero (Guayabal)</t>
        </is>
      </c>
      <c r="G119" s="1" t="inlineStr">
        <is>
          <t>Tolima</t>
        </is>
      </c>
      <c r="H119" s="39" t="n">
        <v>40.8</v>
      </c>
      <c r="I119" s="1" t="n">
        <v>2016</v>
      </c>
      <c r="J119" s="1" t="n">
        <v>1</v>
      </c>
      <c r="K119" s="39" t="n">
        <v>41.2</v>
      </c>
      <c r="L119" s="1" t="n">
        <v>2016</v>
      </c>
      <c r="M119" s="1" t="n">
        <v>16</v>
      </c>
      <c r="N119" s="39" t="n">
        <v>39.8</v>
      </c>
      <c r="O119" s="1" t="n">
        <v>2024</v>
      </c>
      <c r="P119" s="1" t="n">
        <v>10</v>
      </c>
      <c r="Q119" s="39" t="n">
        <v>39.2</v>
      </c>
      <c r="R119" s="1" t="n">
        <v>2020</v>
      </c>
      <c r="S119" s="1" t="n">
        <v>8</v>
      </c>
      <c r="T119" s="39" t="n">
        <v>38.8</v>
      </c>
      <c r="U119" s="1" t="n">
        <v>2016</v>
      </c>
      <c r="V119" s="1" t="n">
        <v>21</v>
      </c>
      <c r="W119" s="39" t="n">
        <v>39</v>
      </c>
      <c r="X119" s="1" t="n">
        <v>1993</v>
      </c>
      <c r="Y119" s="1" t="n">
        <v>11</v>
      </c>
      <c r="Z119" s="39" t="n">
        <v>39.6</v>
      </c>
      <c r="AA119" s="1" t="n">
        <v>2015</v>
      </c>
      <c r="AB119" s="1" t="n">
        <v>3</v>
      </c>
      <c r="AC119" s="39" t="n">
        <v>41.2</v>
      </c>
      <c r="AD119" s="1" t="n">
        <v>2015</v>
      </c>
      <c r="AE119" s="1" t="n">
        <v>6</v>
      </c>
      <c r="AF119" s="39" t="n">
        <v>41.6</v>
      </c>
      <c r="AG119" s="1" t="n">
        <v>2015</v>
      </c>
      <c r="AH119" s="1" t="n">
        <v>26</v>
      </c>
      <c r="AI119" s="39" t="n">
        <v>38.8</v>
      </c>
      <c r="AJ119" s="1" t="n">
        <v>2015</v>
      </c>
      <c r="AK119" s="1" t="n">
        <v>6</v>
      </c>
      <c r="AL119" s="39" t="n">
        <v>37.8</v>
      </c>
      <c r="AM119" s="1" t="n">
        <v>2002</v>
      </c>
      <c r="AN119" s="1" t="n">
        <v>22</v>
      </c>
      <c r="AO119" s="39" t="n">
        <v>40.6</v>
      </c>
      <c r="AP119" s="1" t="n">
        <v>2015</v>
      </c>
      <c r="AQ119" s="1" t="n">
        <v>26</v>
      </c>
    </row>
    <row r="120" ht="14.45" customHeight="1">
      <c r="A120" s="1" t="n">
        <v>21255110</v>
      </c>
      <c r="B120" s="1" t="inlineStr">
        <is>
          <t>SANTA ISABEL [21255110]</t>
        </is>
      </c>
      <c r="C120" s="1" t="n">
        <v>4.70175</v>
      </c>
      <c r="D120" s="1" t="n">
        <v>-75.13183333000001</v>
      </c>
      <c r="E120" s="1" t="n">
        <v>2817</v>
      </c>
      <c r="F120" s="1" t="inlineStr">
        <is>
          <t>Santa Isabel</t>
        </is>
      </c>
      <c r="G120" s="1" t="inlineStr">
        <is>
          <t>Tolima</t>
        </is>
      </c>
      <c r="H120" s="39" t="n">
        <v>20.4</v>
      </c>
      <c r="I120" s="1" t="n">
        <v>2007</v>
      </c>
      <c r="J120" s="1" t="n">
        <v>29</v>
      </c>
      <c r="K120" s="39" t="n">
        <v>21.4</v>
      </c>
      <c r="L120" s="1" t="n">
        <v>2017</v>
      </c>
      <c r="M120" s="1" t="n">
        <v>8</v>
      </c>
      <c r="N120" s="39" t="n">
        <v>20.4</v>
      </c>
      <c r="O120" s="1" t="n">
        <v>2005</v>
      </c>
      <c r="P120" s="1" t="n">
        <v>2</v>
      </c>
      <c r="Q120" s="39" t="n">
        <v>20.6</v>
      </c>
      <c r="R120" s="1" t="n">
        <v>2015</v>
      </c>
      <c r="S120" s="1" t="n">
        <v>12</v>
      </c>
      <c r="T120" s="39" t="n">
        <v>21.6</v>
      </c>
      <c r="U120" s="1" t="n">
        <v>2022</v>
      </c>
      <c r="V120" s="1" t="n">
        <v>13</v>
      </c>
      <c r="W120" s="39" t="n">
        <v>21.4</v>
      </c>
      <c r="X120" s="1" t="n">
        <v>2024</v>
      </c>
      <c r="Y120" s="1" t="n">
        <v>1</v>
      </c>
      <c r="Z120" s="39" t="n">
        <v>20</v>
      </c>
      <c r="AA120" s="1" t="n">
        <v>2021</v>
      </c>
      <c r="AB120" s="1" t="n">
        <v>15</v>
      </c>
      <c r="AC120" s="39" t="n">
        <v>20</v>
      </c>
      <c r="AD120" s="1" t="n">
        <v>2015</v>
      </c>
      <c r="AE120" s="1" t="n">
        <v>6</v>
      </c>
      <c r="AF120" s="39" t="n">
        <v>20.2</v>
      </c>
      <c r="AG120" s="1" t="n">
        <v>2024</v>
      </c>
      <c r="AH120" s="1" t="n">
        <v>15</v>
      </c>
      <c r="AI120" s="39" t="n">
        <v>20.4</v>
      </c>
      <c r="AJ120" s="1" t="n">
        <v>2023</v>
      </c>
      <c r="AK120" s="1" t="n">
        <v>1</v>
      </c>
      <c r="AL120" s="39" t="n">
        <v>19.8</v>
      </c>
      <c r="AM120" s="1" t="n">
        <v>2013</v>
      </c>
      <c r="AN120" s="1" t="n">
        <v>1</v>
      </c>
      <c r="AO120" s="39" t="n">
        <v>20.8</v>
      </c>
      <c r="AP120" s="1" t="n">
        <v>2015</v>
      </c>
      <c r="AQ120" s="1" t="n">
        <v>29</v>
      </c>
    </row>
    <row r="121" ht="14.45" customHeight="1">
      <c r="A121" s="1" t="n">
        <v>21255120</v>
      </c>
      <c r="B121" s="1" t="inlineStr">
        <is>
          <t>VILLAHERMOSA [21255120]</t>
        </is>
      </c>
      <c r="C121" s="1" t="n">
        <v>5.026761944</v>
      </c>
      <c r="D121" s="1" t="n">
        <v>-75.117336111</v>
      </c>
      <c r="E121" s="1" t="n">
        <v>2069</v>
      </c>
      <c r="F121" s="1" t="inlineStr">
        <is>
          <t>Villahermosa</t>
        </is>
      </c>
      <c r="G121" s="1" t="inlineStr">
        <is>
          <t>Tolima</t>
        </is>
      </c>
      <c r="H121" s="39" t="n">
        <v>26.8</v>
      </c>
      <c r="I121" s="1" t="n">
        <v>2024</v>
      </c>
      <c r="J121" s="1" t="n">
        <v>23</v>
      </c>
      <c r="K121" s="39" t="n">
        <v>25.4</v>
      </c>
      <c r="L121" s="1" t="n">
        <v>2010</v>
      </c>
      <c r="M121" s="1" t="n">
        <v>2</v>
      </c>
      <c r="N121" s="39" t="n">
        <v>26.4</v>
      </c>
      <c r="O121" s="1" t="n">
        <v>2024</v>
      </c>
      <c r="P121" s="1" t="n">
        <v>19</v>
      </c>
      <c r="Q121" s="39" t="n">
        <v>26.6</v>
      </c>
      <c r="R121" s="1" t="n">
        <v>1992</v>
      </c>
      <c r="S121" s="1" t="n">
        <v>25</v>
      </c>
      <c r="T121" s="39" t="n">
        <v>25.6</v>
      </c>
      <c r="U121" s="1" t="n">
        <v>2019</v>
      </c>
      <c r="V121" s="1" t="n">
        <v>5</v>
      </c>
      <c r="W121" s="39" t="n">
        <v>26.8</v>
      </c>
      <c r="X121" s="1" t="n">
        <v>1993</v>
      </c>
      <c r="Y121" s="1" t="n">
        <v>22</v>
      </c>
      <c r="Z121" s="39" t="n">
        <v>25.6</v>
      </c>
      <c r="AA121" s="1" t="n">
        <v>2002</v>
      </c>
      <c r="AB121" s="1" t="n">
        <v>3</v>
      </c>
      <c r="AC121" s="39" t="n">
        <v>24.8</v>
      </c>
      <c r="AD121" s="1" t="n">
        <v>2002</v>
      </c>
      <c r="AE121" s="1" t="n">
        <v>14</v>
      </c>
      <c r="AF121" s="39" t="n">
        <v>25.4</v>
      </c>
      <c r="AG121" s="1" t="n">
        <v>2023</v>
      </c>
      <c r="AH121" s="1" t="n">
        <v>23</v>
      </c>
      <c r="AI121" s="39" t="n">
        <v>25.2</v>
      </c>
      <c r="AJ121" s="1" t="n">
        <v>2002</v>
      </c>
      <c r="AK121" s="1" t="n">
        <v>4</v>
      </c>
      <c r="AL121" s="39" t="n">
        <v>25</v>
      </c>
      <c r="AM121" s="1" t="n">
        <v>2009</v>
      </c>
      <c r="AN121" s="1" t="n">
        <v>23</v>
      </c>
      <c r="AO121" s="39" t="n">
        <v>24.8</v>
      </c>
      <c r="AP121" s="1" t="n">
        <v>2023</v>
      </c>
      <c r="AQ121" s="1" t="n">
        <v>12</v>
      </c>
    </row>
    <row r="122" ht="14.45" customHeight="1">
      <c r="A122" s="1" t="n">
        <v>21255140</v>
      </c>
      <c r="B122" s="1" t="inlineStr">
        <is>
          <t>QUINTA LA [21255140]</t>
        </is>
      </c>
      <c r="C122" s="1" t="n">
        <v>4.8215</v>
      </c>
      <c r="D122" s="1" t="n">
        <v>-74.92063889000001</v>
      </c>
      <c r="E122" s="1" t="n">
        <v>429</v>
      </c>
      <c r="F122" s="1" t="inlineStr">
        <is>
          <t>Lérida</t>
        </is>
      </c>
      <c r="G122" s="1" t="inlineStr">
        <is>
          <t>Tolima</t>
        </is>
      </c>
      <c r="H122" s="39" t="n">
        <v>39.8</v>
      </c>
      <c r="I122" s="1" t="n">
        <v>2010</v>
      </c>
      <c r="J122" s="1" t="n">
        <v>21</v>
      </c>
      <c r="K122" s="39" t="n">
        <v>39.6</v>
      </c>
      <c r="L122" s="1" t="n">
        <v>2010</v>
      </c>
      <c r="M122" s="1" t="n">
        <v>3</v>
      </c>
      <c r="N122" s="39" t="n">
        <v>38.6</v>
      </c>
      <c r="O122" s="1" t="n">
        <v>2010</v>
      </c>
      <c r="P122" s="1" t="n">
        <v>2</v>
      </c>
      <c r="Q122" s="39" t="n">
        <v>39.2</v>
      </c>
      <c r="R122" s="1" t="n">
        <v>2013</v>
      </c>
      <c r="S122" s="1" t="n">
        <v>13</v>
      </c>
      <c r="T122" s="39" t="n">
        <v>37.2</v>
      </c>
      <c r="U122" s="1" t="n">
        <v>2009</v>
      </c>
      <c r="V122" s="1" t="n">
        <v>26</v>
      </c>
      <c r="W122" s="39" t="n">
        <v>38.8</v>
      </c>
      <c r="X122" s="1" t="n">
        <v>2009</v>
      </c>
      <c r="Y122" s="1" t="n">
        <v>3</v>
      </c>
      <c r="Z122" s="39" t="n">
        <v>40</v>
      </c>
      <c r="AA122" s="1" t="n">
        <v>2011</v>
      </c>
      <c r="AB122" s="1" t="n">
        <v>19</v>
      </c>
      <c r="AC122" s="39" t="n">
        <v>39.6</v>
      </c>
      <c r="AD122" s="1" t="n">
        <v>2009</v>
      </c>
      <c r="AE122" s="1" t="n">
        <v>2</v>
      </c>
      <c r="AF122" s="39" t="n">
        <v>41</v>
      </c>
      <c r="AG122" s="1" t="n">
        <v>2012</v>
      </c>
      <c r="AH122" s="1" t="n">
        <v>8</v>
      </c>
      <c r="AI122" s="39" t="n">
        <v>39.6</v>
      </c>
      <c r="AJ122" s="1" t="n">
        <v>2009</v>
      </c>
      <c r="AK122" s="1" t="n">
        <v>9</v>
      </c>
      <c r="AL122" s="39" t="n">
        <v>39.2</v>
      </c>
      <c r="AM122" s="1" t="n">
        <v>1990</v>
      </c>
      <c r="AN122" s="1" t="n">
        <v>13</v>
      </c>
      <c r="AO122" s="39" t="n">
        <v>38.6</v>
      </c>
      <c r="AP122" s="1" t="n">
        <v>2009</v>
      </c>
      <c r="AQ122" s="1" t="n">
        <v>16</v>
      </c>
    </row>
    <row r="123" ht="14.45" customHeight="1">
      <c r="A123" s="1" t="n">
        <v>22015020</v>
      </c>
      <c r="B123" s="1" t="inlineStr">
        <is>
          <t>RELATOR [22015020]</t>
        </is>
      </c>
      <c r="C123" s="1" t="n">
        <v>3.529138889</v>
      </c>
      <c r="D123" s="1" t="n">
        <v>-75.63141666999999</v>
      </c>
      <c r="E123" s="1" t="n">
        <v>1160</v>
      </c>
      <c r="F123" s="1" t="inlineStr">
        <is>
          <t>Rioblanco</t>
        </is>
      </c>
      <c r="G123" s="1" t="inlineStr">
        <is>
          <t>Tolima</t>
        </is>
      </c>
      <c r="H123" s="39" t="n">
        <v>32.8</v>
      </c>
      <c r="I123" s="1" t="n">
        <v>1998</v>
      </c>
      <c r="J123" s="1" t="n">
        <v>24</v>
      </c>
      <c r="K123" s="39" t="n">
        <v>33.4</v>
      </c>
      <c r="L123" s="1" t="n">
        <v>1998</v>
      </c>
      <c r="M123" s="1" t="n">
        <v>2</v>
      </c>
      <c r="N123" s="39" t="n">
        <v>33</v>
      </c>
      <c r="O123" s="1" t="n">
        <v>1992</v>
      </c>
      <c r="P123" s="1" t="n">
        <v>10</v>
      </c>
      <c r="Q123" s="39" t="n">
        <v>34.2</v>
      </c>
      <c r="R123" s="1" t="n">
        <v>2014</v>
      </c>
      <c r="S123" s="1" t="n">
        <v>14</v>
      </c>
      <c r="T123" s="39" t="n">
        <v>33.2</v>
      </c>
      <c r="U123" s="1" t="n">
        <v>2011</v>
      </c>
      <c r="V123" s="1" t="n">
        <v>10</v>
      </c>
      <c r="W123" s="39" t="n">
        <v>32.8</v>
      </c>
      <c r="X123" s="1" t="n">
        <v>2014</v>
      </c>
      <c r="Y123" s="1" t="n">
        <v>29</v>
      </c>
      <c r="Z123" s="39" t="n">
        <v>33.6</v>
      </c>
      <c r="AA123" s="1" t="n">
        <v>2014</v>
      </c>
      <c r="AB123" s="1" t="n">
        <v>4</v>
      </c>
      <c r="AC123" s="39" t="n">
        <v>34.2</v>
      </c>
      <c r="AD123" s="1" t="n">
        <v>1997</v>
      </c>
      <c r="AE123" s="1" t="n">
        <v>25</v>
      </c>
      <c r="AF123" s="39" t="n">
        <v>34.6</v>
      </c>
      <c r="AG123" s="1" t="n">
        <v>2014</v>
      </c>
      <c r="AH123" s="1" t="n">
        <v>9</v>
      </c>
      <c r="AI123" s="39" t="n">
        <v>33.6</v>
      </c>
      <c r="AJ123" s="1" t="n">
        <v>1997</v>
      </c>
      <c r="AK123" s="1" t="n">
        <v>1</v>
      </c>
      <c r="AL123" s="39" t="n">
        <v>31</v>
      </c>
      <c r="AM123" s="1" t="n">
        <v>1997</v>
      </c>
      <c r="AN123" s="1" t="n">
        <v>2</v>
      </c>
      <c r="AO123" s="39" t="n">
        <v>32.4</v>
      </c>
      <c r="AP123" s="1" t="n">
        <v>2015</v>
      </c>
      <c r="AQ123" s="1" t="n">
        <v>30</v>
      </c>
    </row>
    <row r="124" ht="14.45" customHeight="1">
      <c r="A124" s="1" t="n">
        <v>22045010</v>
      </c>
      <c r="B124" s="1" t="inlineStr">
        <is>
          <t>DEMOSTRACION GRANJA  - AUT [22045010]</t>
        </is>
      </c>
      <c r="C124" s="1" t="n">
        <v>3.722444444</v>
      </c>
      <c r="D124" s="1" t="n">
        <v>-75.50344444</v>
      </c>
      <c r="E124" s="1" t="n">
        <v>895</v>
      </c>
      <c r="F124" s="1" t="inlineStr">
        <is>
          <t>Chaparral</t>
        </is>
      </c>
      <c r="G124" s="1" t="inlineStr">
        <is>
          <t>Tolima</t>
        </is>
      </c>
      <c r="H124" s="39" t="n">
        <v>34.6</v>
      </c>
      <c r="I124" s="1" t="n">
        <v>2010</v>
      </c>
      <c r="J124" s="1" t="n">
        <v>31</v>
      </c>
      <c r="K124" s="39" t="n">
        <v>35</v>
      </c>
      <c r="L124" s="1" t="n">
        <v>2010</v>
      </c>
      <c r="M124" s="1" t="n">
        <v>2</v>
      </c>
      <c r="N124" s="39" t="n">
        <v>36.2</v>
      </c>
      <c r="O124" s="1" t="n">
        <v>2007</v>
      </c>
      <c r="P124" s="1" t="n">
        <v>3</v>
      </c>
      <c r="Q124" s="39" t="n">
        <v>34.8</v>
      </c>
      <c r="R124" s="1" t="n">
        <v>2013</v>
      </c>
      <c r="S124" s="1" t="n">
        <v>17</v>
      </c>
      <c r="T124" s="39" t="n">
        <v>34.8</v>
      </c>
      <c r="U124" s="1" t="n">
        <v>2005</v>
      </c>
      <c r="V124" s="1" t="n">
        <v>2</v>
      </c>
      <c r="W124" s="39" t="n">
        <v>34.6</v>
      </c>
      <c r="X124" s="1" t="n">
        <v>1990</v>
      </c>
      <c r="Y124" s="1" t="n">
        <v>6</v>
      </c>
      <c r="Z124" s="39" t="n">
        <v>34.8</v>
      </c>
      <c r="AA124" s="1" t="n">
        <v>1994</v>
      </c>
      <c r="AB124" s="1" t="n">
        <v>30</v>
      </c>
      <c r="AC124" s="39" t="n">
        <v>36.2</v>
      </c>
      <c r="AD124" s="1" t="n">
        <v>1992</v>
      </c>
      <c r="AE124" s="1" t="n">
        <v>11</v>
      </c>
      <c r="AF124" s="39" t="n">
        <v>37</v>
      </c>
      <c r="AG124" s="1" t="n">
        <v>2019</v>
      </c>
      <c r="AH124" s="1" t="n">
        <v>3</v>
      </c>
      <c r="AI124" s="39" t="n">
        <v>35.8</v>
      </c>
      <c r="AJ124" s="1" t="n">
        <v>2006</v>
      </c>
      <c r="AK124" s="1" t="n">
        <v>8</v>
      </c>
      <c r="AL124" s="39" t="n">
        <v>33.2</v>
      </c>
      <c r="AM124" s="1" t="n">
        <v>2006</v>
      </c>
      <c r="AN124" s="1" t="n">
        <v>21</v>
      </c>
      <c r="AO124" s="39" t="n">
        <v>34.6</v>
      </c>
      <c r="AP124" s="1" t="n">
        <v>2015</v>
      </c>
      <c r="AQ124" s="1" t="n">
        <v>29</v>
      </c>
    </row>
    <row r="125" ht="14.45" customHeight="1">
      <c r="A125" s="1" t="n">
        <v>22045020</v>
      </c>
      <c r="B125" s="1" t="inlineStr">
        <is>
          <t>LIMON EL [22045020]</t>
        </is>
      </c>
      <c r="C125" s="1" t="n">
        <v>3.65178</v>
      </c>
      <c r="D125" s="1" t="n">
        <v>-75.58419444</v>
      </c>
      <c r="E125" s="1" t="n">
        <v>1002</v>
      </c>
      <c r="F125" s="1" t="inlineStr">
        <is>
          <t>Chaparral</t>
        </is>
      </c>
      <c r="G125" s="1" t="inlineStr">
        <is>
          <t>Tolima</t>
        </is>
      </c>
      <c r="H125" s="39" t="n">
        <v>33.2</v>
      </c>
      <c r="I125" s="1" t="n">
        <v>2016</v>
      </c>
      <c r="J125" s="1" t="n">
        <v>2</v>
      </c>
      <c r="K125" s="39" t="n">
        <v>33.2</v>
      </c>
      <c r="L125" s="1" t="n">
        <v>1995</v>
      </c>
      <c r="M125" s="1" t="n">
        <v>16</v>
      </c>
      <c r="N125" s="39" t="n">
        <v>33</v>
      </c>
      <c r="O125" s="1" t="n">
        <v>1997</v>
      </c>
      <c r="P125" s="1" t="n">
        <v>10</v>
      </c>
      <c r="Q125" s="39" t="n">
        <v>33</v>
      </c>
      <c r="R125" s="1" t="n">
        <v>2014</v>
      </c>
      <c r="S125" s="1" t="n">
        <v>13</v>
      </c>
      <c r="T125" s="39" t="n">
        <v>32.6</v>
      </c>
      <c r="U125" s="1" t="n">
        <v>1998</v>
      </c>
      <c r="V125" s="1" t="n">
        <v>20</v>
      </c>
      <c r="W125" s="39" t="n">
        <v>32.4</v>
      </c>
      <c r="X125" s="1" t="n">
        <v>1990</v>
      </c>
      <c r="Y125" s="1" t="n">
        <v>6</v>
      </c>
      <c r="Z125" s="39" t="n">
        <v>34</v>
      </c>
      <c r="AA125" s="1" t="n">
        <v>1997</v>
      </c>
      <c r="AB125" s="1" t="n">
        <v>31</v>
      </c>
      <c r="AC125" s="39" t="n">
        <v>35</v>
      </c>
      <c r="AD125" s="1" t="n">
        <v>1997</v>
      </c>
      <c r="AE125" s="1" t="n">
        <v>30</v>
      </c>
      <c r="AF125" s="39" t="n">
        <v>35.2</v>
      </c>
      <c r="AG125" s="1" t="n">
        <v>2015</v>
      </c>
      <c r="AH125" s="1" t="n">
        <v>24</v>
      </c>
      <c r="AI125" s="39" t="n">
        <v>35</v>
      </c>
      <c r="AJ125" s="1" t="n">
        <v>1997</v>
      </c>
      <c r="AK125" s="1" t="n">
        <v>9</v>
      </c>
      <c r="AL125" s="39" t="n">
        <v>32.2</v>
      </c>
      <c r="AM125" s="1" t="n">
        <v>2002</v>
      </c>
      <c r="AN125" s="1" t="n">
        <v>25</v>
      </c>
      <c r="AO125" s="39" t="n">
        <v>33.6</v>
      </c>
      <c r="AP125" s="1" t="n">
        <v>2015</v>
      </c>
      <c r="AQ125" s="1" t="n">
        <v>29</v>
      </c>
    </row>
    <row r="126" ht="14.45" customHeight="1">
      <c r="A126" s="1" t="n">
        <v>22055020</v>
      </c>
      <c r="B126" s="1" t="inlineStr">
        <is>
          <t>MESA DE POLE [22055020]</t>
        </is>
      </c>
      <c r="C126" s="1" t="n">
        <v>3.455777778</v>
      </c>
      <c r="D126" s="1" t="n">
        <v>-75.53636111</v>
      </c>
      <c r="E126" s="1" t="n">
        <v>699</v>
      </c>
      <c r="F126" s="1" t="inlineStr">
        <is>
          <t>Ataco</t>
        </is>
      </c>
      <c r="G126" s="1" t="inlineStr">
        <is>
          <t>Tolima</t>
        </is>
      </c>
      <c r="H126" s="39" t="n">
        <v>37.8</v>
      </c>
      <c r="I126" s="1" t="n">
        <v>1998</v>
      </c>
      <c r="J126" s="1" t="n">
        <v>15</v>
      </c>
      <c r="K126" s="39" t="n">
        <v>37</v>
      </c>
      <c r="L126" s="1" t="n">
        <v>1998</v>
      </c>
      <c r="M126" s="1" t="n">
        <v>2</v>
      </c>
      <c r="N126" s="39" t="n">
        <v>37.6</v>
      </c>
      <c r="O126" s="1" t="n">
        <v>2007</v>
      </c>
      <c r="P126" s="1" t="n">
        <v>1</v>
      </c>
      <c r="Q126" s="39" t="n">
        <v>37.8</v>
      </c>
      <c r="R126" s="1" t="n">
        <v>1987</v>
      </c>
      <c r="S126" s="1" t="n">
        <v>5</v>
      </c>
      <c r="T126" s="39" t="n">
        <v>36.8</v>
      </c>
      <c r="U126" s="1" t="n">
        <v>2003</v>
      </c>
      <c r="V126" s="1" t="n">
        <v>29</v>
      </c>
      <c r="W126" s="39" t="n">
        <v>35.2</v>
      </c>
      <c r="X126" s="1" t="n">
        <v>2023</v>
      </c>
      <c r="Y126" s="1" t="n">
        <v>13</v>
      </c>
      <c r="Z126" s="39" t="n">
        <v>36.2</v>
      </c>
      <c r="AA126" s="1" t="n">
        <v>1998</v>
      </c>
      <c r="AB126" s="1" t="n">
        <v>13</v>
      </c>
      <c r="AC126" s="39" t="n">
        <v>38.8</v>
      </c>
      <c r="AD126" s="1" t="n">
        <v>1993</v>
      </c>
      <c r="AE126" s="1" t="n">
        <v>27</v>
      </c>
      <c r="AF126" s="39" t="n">
        <v>39.8</v>
      </c>
      <c r="AG126" s="1" t="n">
        <v>2015</v>
      </c>
      <c r="AH126" s="1" t="n">
        <v>24</v>
      </c>
      <c r="AI126" s="39" t="n">
        <v>39</v>
      </c>
      <c r="AJ126" s="1" t="n">
        <v>2006</v>
      </c>
      <c r="AK126" s="1" t="n">
        <v>6</v>
      </c>
      <c r="AL126" s="39" t="n">
        <v>34.6</v>
      </c>
      <c r="AM126" s="1" t="n">
        <v>2011</v>
      </c>
      <c r="AN126" s="1" t="n">
        <v>5</v>
      </c>
      <c r="AO126" s="39" t="n">
        <v>38.2</v>
      </c>
      <c r="AP126" s="1" t="n">
        <v>1997</v>
      </c>
      <c r="AQ126" s="1" t="n">
        <v>2</v>
      </c>
    </row>
    <row r="127" ht="14.45" customHeight="1">
      <c r="A127" s="1" t="n">
        <v>22065040</v>
      </c>
      <c r="B127" s="1" t="inlineStr">
        <is>
          <t>SAN ANTONIO QUINTA [22065040]</t>
        </is>
      </c>
      <c r="C127" s="1" t="n">
        <v>3.9212</v>
      </c>
      <c r="D127" s="1" t="n">
        <v>-75.46775</v>
      </c>
      <c r="E127" s="1" t="n">
        <v>1566</v>
      </c>
      <c r="F127" s="1" t="inlineStr">
        <is>
          <t>San Antonio</t>
        </is>
      </c>
      <c r="G127" s="1" t="inlineStr">
        <is>
          <t>Tolima</t>
        </is>
      </c>
      <c r="H127" s="39" t="n">
        <v>30.8</v>
      </c>
      <c r="I127" s="1" t="n">
        <v>2016</v>
      </c>
      <c r="J127" s="1" t="n">
        <v>1</v>
      </c>
      <c r="K127" s="39" t="n">
        <v>31.4</v>
      </c>
      <c r="L127" s="1" t="n">
        <v>2010</v>
      </c>
      <c r="M127" s="1" t="n">
        <v>2</v>
      </c>
      <c r="N127" s="39" t="n">
        <v>31</v>
      </c>
      <c r="O127" s="1" t="n">
        <v>1992</v>
      </c>
      <c r="P127" s="1" t="n">
        <v>10</v>
      </c>
      <c r="Q127" s="39" t="n">
        <v>30.4</v>
      </c>
      <c r="R127" s="1" t="n">
        <v>1992</v>
      </c>
      <c r="S127" s="1" t="n">
        <v>4</v>
      </c>
      <c r="T127" s="39" t="n">
        <v>29.8</v>
      </c>
      <c r="U127" s="1" t="n">
        <v>1992</v>
      </c>
      <c r="V127" s="1" t="n">
        <v>10</v>
      </c>
      <c r="W127" s="39" t="n">
        <v>29.6</v>
      </c>
      <c r="X127" s="1" t="n">
        <v>1994</v>
      </c>
      <c r="Y127" s="1" t="n">
        <v>7</v>
      </c>
      <c r="Z127" s="39" t="n">
        <v>30.4</v>
      </c>
      <c r="AA127" s="1" t="n">
        <v>1993</v>
      </c>
      <c r="AB127" s="1" t="n">
        <v>29</v>
      </c>
      <c r="AC127" s="39" t="n">
        <v>31.8</v>
      </c>
      <c r="AD127" s="1" t="n">
        <v>1994</v>
      </c>
      <c r="AE127" s="1" t="n">
        <v>27</v>
      </c>
      <c r="AF127" s="39" t="n">
        <v>32.2</v>
      </c>
      <c r="AG127" s="1" t="n">
        <v>2015</v>
      </c>
      <c r="AH127" s="1" t="n">
        <v>28</v>
      </c>
      <c r="AI127" s="39" t="n">
        <v>30.6</v>
      </c>
      <c r="AJ127" s="1" t="n">
        <v>2015</v>
      </c>
      <c r="AK127" s="1" t="n">
        <v>21</v>
      </c>
      <c r="AL127" s="39" t="n">
        <v>29.2</v>
      </c>
      <c r="AM127" s="1" t="n">
        <v>1994</v>
      </c>
      <c r="AN127" s="1" t="n">
        <v>14</v>
      </c>
      <c r="AO127" s="39" t="n">
        <v>30</v>
      </c>
      <c r="AP127" s="1" t="n">
        <v>2015</v>
      </c>
      <c r="AQ127" s="1" t="n">
        <v>29</v>
      </c>
    </row>
    <row r="128" ht="14.45" customHeight="1">
      <c r="A128" s="1" t="n">
        <v>22075030</v>
      </c>
      <c r="B128" s="1" t="inlineStr">
        <is>
          <t>RIOMANSO [22075030]</t>
        </is>
      </c>
      <c r="C128" s="1" t="n">
        <v>4.206777778</v>
      </c>
      <c r="D128" s="1" t="n">
        <v>-75.41558333</v>
      </c>
      <c r="E128" s="1" t="n">
        <v>253</v>
      </c>
      <c r="F128" s="1" t="inlineStr">
        <is>
          <t>Rovira</t>
        </is>
      </c>
      <c r="G128" s="1" t="inlineStr">
        <is>
          <t>Tolima</t>
        </is>
      </c>
      <c r="H128" s="39" t="n">
        <v>26.4</v>
      </c>
      <c r="I128" s="1" t="n">
        <v>1998</v>
      </c>
      <c r="J128" s="1" t="n">
        <v>4</v>
      </c>
      <c r="K128" s="39" t="n">
        <v>26.2</v>
      </c>
      <c r="L128" s="1" t="n">
        <v>1998</v>
      </c>
      <c r="M128" s="1" t="n">
        <v>17</v>
      </c>
      <c r="N128" s="39" t="n">
        <v>26.4</v>
      </c>
      <c r="O128" s="1" t="n">
        <v>2005</v>
      </c>
      <c r="P128" s="1" t="n">
        <v>3</v>
      </c>
      <c r="Q128" s="39" t="n">
        <v>26.4</v>
      </c>
      <c r="R128" s="1" t="n">
        <v>2005</v>
      </c>
      <c r="S128" s="1" t="n">
        <v>10</v>
      </c>
      <c r="T128" s="39" t="n">
        <v>26.4</v>
      </c>
      <c r="U128" s="1" t="n">
        <v>2005</v>
      </c>
      <c r="V128" s="1" t="n">
        <v>22</v>
      </c>
      <c r="W128" s="39" t="n">
        <v>26.4</v>
      </c>
      <c r="X128" s="1" t="n">
        <v>2005</v>
      </c>
      <c r="Y128" s="1" t="n">
        <v>14</v>
      </c>
      <c r="Z128" s="39" t="n">
        <v>26.4</v>
      </c>
      <c r="AA128" s="1" t="n">
        <v>2005</v>
      </c>
      <c r="AB128" s="1" t="n">
        <v>6</v>
      </c>
      <c r="AC128" s="39" t="n">
        <v>26.2</v>
      </c>
      <c r="AD128" s="1" t="n">
        <v>1997</v>
      </c>
      <c r="AE128" s="1" t="n">
        <v>21</v>
      </c>
      <c r="AF128" s="39" t="n">
        <v>26.4</v>
      </c>
      <c r="AG128" s="1" t="n">
        <v>2005</v>
      </c>
      <c r="AH128" s="1" t="n">
        <v>2</v>
      </c>
      <c r="AI128" s="39" t="n">
        <v>26.2</v>
      </c>
      <c r="AJ128" s="1" t="n">
        <v>1997</v>
      </c>
      <c r="AK128" s="1" t="n">
        <v>4</v>
      </c>
      <c r="AL128" s="39" t="n">
        <v>26.4</v>
      </c>
      <c r="AM128" s="1" t="n">
        <v>2005</v>
      </c>
      <c r="AN128" s="1" t="n">
        <v>6</v>
      </c>
      <c r="AO128" s="39" t="n">
        <v>26.4</v>
      </c>
      <c r="AP128" s="1" t="n">
        <v>1997</v>
      </c>
      <c r="AQ128" s="1" t="n">
        <v>27</v>
      </c>
    </row>
    <row r="129" ht="14.45" customHeight="1">
      <c r="A129" s="1" t="n">
        <v>23025040</v>
      </c>
      <c r="B129" s="1" t="inlineStr">
        <is>
          <t>ALBANIA [23025040]</t>
        </is>
      </c>
      <c r="C129" s="1" t="n">
        <v>5.301108889</v>
      </c>
      <c r="D129" s="1" t="n">
        <v>-74.914580556</v>
      </c>
      <c r="E129" s="1" t="n">
        <v>788</v>
      </c>
      <c r="F129" s="1" t="inlineStr">
        <is>
          <t>Mariquita</t>
        </is>
      </c>
      <c r="G129" s="1" t="inlineStr">
        <is>
          <t>Tolima</t>
        </is>
      </c>
      <c r="H129" s="39" t="n">
        <v>34.4</v>
      </c>
      <c r="I129" s="1" t="n">
        <v>2020</v>
      </c>
      <c r="J129" s="1" t="n">
        <v>18</v>
      </c>
      <c r="K129" s="39" t="n">
        <v>36.6</v>
      </c>
      <c r="L129" s="1" t="n">
        <v>2020</v>
      </c>
      <c r="M129" s="1" t="n">
        <v>19</v>
      </c>
      <c r="N129" s="39" t="n">
        <v>34.6</v>
      </c>
      <c r="O129" s="1" t="n">
        <v>2024</v>
      </c>
      <c r="P129" s="1" t="n">
        <v>13</v>
      </c>
      <c r="Q129" s="39" t="n">
        <v>33.6</v>
      </c>
      <c r="R129" s="1" t="n">
        <v>2014</v>
      </c>
      <c r="S129" s="1" t="n">
        <v>2</v>
      </c>
      <c r="T129" s="39" t="n">
        <v>33.4</v>
      </c>
      <c r="U129" s="1" t="n">
        <v>2015</v>
      </c>
      <c r="V129" s="1" t="n">
        <v>12</v>
      </c>
      <c r="W129" s="39" t="n">
        <v>33</v>
      </c>
      <c r="X129" s="1" t="n">
        <v>2015</v>
      </c>
      <c r="Y129" s="1" t="n">
        <v>24</v>
      </c>
      <c r="Z129" s="39" t="n">
        <v>35</v>
      </c>
      <c r="AA129" s="1" t="n">
        <v>2015</v>
      </c>
      <c r="AB129" s="1" t="n">
        <v>3</v>
      </c>
      <c r="AC129" s="39" t="n">
        <v>36.4</v>
      </c>
      <c r="AD129" s="1" t="n">
        <v>2015</v>
      </c>
      <c r="AE129" s="1" t="n">
        <v>6</v>
      </c>
      <c r="AF129" s="39" t="n">
        <v>35.6</v>
      </c>
      <c r="AG129" s="1" t="n">
        <v>2024</v>
      </c>
      <c r="AH129" s="1" t="n">
        <v>16</v>
      </c>
      <c r="AI129" s="39" t="n">
        <v>33.2</v>
      </c>
      <c r="AJ129" s="1" t="n">
        <v>2009</v>
      </c>
      <c r="AK129" s="1" t="n">
        <v>1</v>
      </c>
      <c r="AL129" s="39" t="n">
        <v>33.2</v>
      </c>
      <c r="AM129" s="1" t="n">
        <v>1992</v>
      </c>
      <c r="AN129" s="1" t="n">
        <v>6</v>
      </c>
      <c r="AO129" s="39" t="n">
        <v>34.6</v>
      </c>
      <c r="AP129" s="1" t="n">
        <v>2015</v>
      </c>
      <c r="AQ129" s="1" t="n">
        <v>31</v>
      </c>
    </row>
    <row r="130" ht="14.45" customHeight="1">
      <c r="A130" s="1" t="n">
        <v>23035020</v>
      </c>
      <c r="B130" s="1" t="inlineStr">
        <is>
          <t>AEROPUERTO PALANQUERO [23035020]</t>
        </is>
      </c>
      <c r="C130" s="1" t="n">
        <v>5.471388889</v>
      </c>
      <c r="D130" s="1" t="n">
        <v>-74.65472222</v>
      </c>
      <c r="E130" s="1" t="n">
        <v>172</v>
      </c>
      <c r="F130" s="1" t="inlineStr">
        <is>
          <t>Puerto Salgar</t>
        </is>
      </c>
      <c r="G130" s="1" t="inlineStr">
        <is>
          <t>Cundinamarca</t>
        </is>
      </c>
      <c r="H130" s="39" t="n">
        <v>40.4</v>
      </c>
      <c r="I130" s="1" t="n">
        <v>2016</v>
      </c>
      <c r="J130" s="1" t="n">
        <v>1</v>
      </c>
      <c r="K130" s="39" t="n">
        <v>40.2</v>
      </c>
      <c r="L130" s="1" t="n">
        <v>2003</v>
      </c>
      <c r="M130" s="1" t="n">
        <v>4</v>
      </c>
      <c r="N130" s="39" t="n">
        <v>40.8</v>
      </c>
      <c r="O130" s="1" t="n">
        <v>2016</v>
      </c>
      <c r="P130" s="1" t="n">
        <v>27</v>
      </c>
      <c r="Q130" s="39" t="n">
        <v>40</v>
      </c>
      <c r="R130" s="1" t="n">
        <v>2003</v>
      </c>
      <c r="S130" s="1" t="n">
        <v>7</v>
      </c>
      <c r="T130" s="39" t="n">
        <v>41</v>
      </c>
      <c r="U130" s="1" t="n">
        <v>2016</v>
      </c>
      <c r="V130" s="1" t="n">
        <v>5</v>
      </c>
      <c r="W130" s="39" t="n">
        <v>39</v>
      </c>
      <c r="X130" s="1" t="n">
        <v>2007</v>
      </c>
      <c r="Y130" s="1" t="n">
        <v>24</v>
      </c>
      <c r="Z130" s="39" t="n">
        <v>40.6</v>
      </c>
      <c r="AA130" s="1" t="n">
        <v>2004</v>
      </c>
      <c r="AB130" s="1" t="n">
        <v>2</v>
      </c>
      <c r="AC130" s="39" t="n">
        <v>42.4</v>
      </c>
      <c r="AD130" s="1" t="n">
        <v>2001</v>
      </c>
      <c r="AE130" s="1" t="n">
        <v>31</v>
      </c>
      <c r="AF130" s="39" t="n">
        <v>41</v>
      </c>
      <c r="AG130" s="1" t="n">
        <v>2004</v>
      </c>
      <c r="AH130" s="1" t="n">
        <v>2</v>
      </c>
      <c r="AI130" s="39" t="n">
        <v>39.2</v>
      </c>
      <c r="AJ130" s="1" t="n">
        <v>2006</v>
      </c>
      <c r="AK130" s="1" t="n">
        <v>6</v>
      </c>
      <c r="AL130" s="39" t="n">
        <v>40.6</v>
      </c>
      <c r="AM130" s="1" t="n">
        <v>2002</v>
      </c>
      <c r="AN130" s="1" t="n">
        <v>27</v>
      </c>
      <c r="AO130" s="39" t="n">
        <v>39</v>
      </c>
      <c r="AP130" s="1" t="n">
        <v>1997</v>
      </c>
      <c r="AQ130" s="1" t="n">
        <v>9</v>
      </c>
    </row>
    <row r="131" ht="14.45" customHeight="1">
      <c r="A131" s="1" t="n">
        <v>23055040</v>
      </c>
      <c r="B131" s="1" t="inlineStr">
        <is>
          <t>SAMANA [23055040]</t>
        </is>
      </c>
      <c r="C131" s="1" t="n">
        <v>5.418288056</v>
      </c>
      <c r="D131" s="1" t="n">
        <v>-74.99292777799999</v>
      </c>
      <c r="E131" s="1" t="n">
        <v>1532</v>
      </c>
      <c r="F131" s="1" t="inlineStr">
        <is>
          <t>Samaná</t>
        </is>
      </c>
      <c r="G131" s="1" t="inlineStr">
        <is>
          <t>Caldas</t>
        </is>
      </c>
      <c r="H131" s="39" t="n">
        <v>28.2</v>
      </c>
      <c r="I131" s="1" t="n">
        <v>2024</v>
      </c>
      <c r="J131" s="1" t="n">
        <v>23</v>
      </c>
      <c r="K131" s="39" t="n">
        <v>28.6</v>
      </c>
      <c r="L131" s="1" t="n">
        <v>1987</v>
      </c>
      <c r="M131" s="1" t="n">
        <v>27</v>
      </c>
      <c r="N131" s="39" t="n">
        <v>27.8</v>
      </c>
      <c r="O131" s="1" t="n">
        <v>1980</v>
      </c>
      <c r="P131" s="1" t="n">
        <v>29</v>
      </c>
      <c r="Q131" s="39" t="n">
        <v>27.4</v>
      </c>
      <c r="R131" s="1" t="n">
        <v>2012</v>
      </c>
      <c r="S131" s="1" t="n">
        <v>26</v>
      </c>
      <c r="T131" s="39" t="n">
        <v>27.6</v>
      </c>
      <c r="U131" s="1" t="n">
        <v>1986</v>
      </c>
      <c r="V131" s="1" t="n">
        <v>2</v>
      </c>
      <c r="W131" s="39" t="n">
        <v>27.8</v>
      </c>
      <c r="X131" s="1" t="n">
        <v>1983</v>
      </c>
      <c r="Y131" s="1" t="n">
        <v>21</v>
      </c>
      <c r="Z131" s="39" t="n">
        <v>29.2</v>
      </c>
      <c r="AA131" s="1" t="n">
        <v>2014</v>
      </c>
      <c r="AB131" s="1" t="n">
        <v>28</v>
      </c>
      <c r="AC131" s="39" t="n">
        <v>28.4</v>
      </c>
      <c r="AD131" s="1" t="n">
        <v>1983</v>
      </c>
      <c r="AE131" s="1" t="n">
        <v>11</v>
      </c>
      <c r="AF131" s="39" t="n">
        <v>28</v>
      </c>
      <c r="AG131" s="1" t="n">
        <v>1982</v>
      </c>
      <c r="AH131" s="1" t="n">
        <v>3</v>
      </c>
      <c r="AI131" s="39" t="n">
        <v>28</v>
      </c>
      <c r="AJ131" s="1" t="n">
        <v>1983</v>
      </c>
      <c r="AK131" s="1" t="n">
        <v>1</v>
      </c>
      <c r="AL131" s="39" t="n">
        <v>27.2</v>
      </c>
      <c r="AM131" s="1" t="n">
        <v>1983</v>
      </c>
      <c r="AN131" s="1" t="n">
        <v>25</v>
      </c>
      <c r="AO131" s="39" t="n">
        <v>29.2</v>
      </c>
      <c r="AP131" s="1" t="n">
        <v>1990</v>
      </c>
      <c r="AQ131" s="1" t="n">
        <v>16</v>
      </c>
    </row>
    <row r="132" ht="14.45" customHeight="1">
      <c r="A132" s="1" t="n">
        <v>23055070</v>
      </c>
      <c r="B132" s="1" t="inlineStr">
        <is>
          <t>ARGELIA [23055070]</t>
        </is>
      </c>
      <c r="C132" s="1" t="n">
        <v>5.73</v>
      </c>
      <c r="D132" s="1" t="n">
        <v>-75.14</v>
      </c>
      <c r="E132" s="1" t="n">
        <v>1740</v>
      </c>
      <c r="F132" s="1" t="inlineStr">
        <is>
          <t>Argelia</t>
        </is>
      </c>
      <c r="G132" s="1" t="inlineStr">
        <is>
          <t>Antioquia</t>
        </is>
      </c>
      <c r="H132" s="39" t="n">
        <v>26.8</v>
      </c>
      <c r="I132" s="1" t="n">
        <v>2021</v>
      </c>
      <c r="J132" s="1" t="n">
        <v>8</v>
      </c>
      <c r="K132" s="39" t="n">
        <v>27</v>
      </c>
      <c r="L132" s="1" t="n">
        <v>2021</v>
      </c>
      <c r="M132" s="1" t="n">
        <v>12</v>
      </c>
      <c r="N132" s="39" t="n">
        <v>26.8</v>
      </c>
      <c r="O132" s="1" t="n">
        <v>2020</v>
      </c>
      <c r="P132" s="1" t="n">
        <v>12</v>
      </c>
      <c r="Q132" s="39" t="n">
        <v>27.6</v>
      </c>
      <c r="R132" s="1" t="n">
        <v>2018</v>
      </c>
      <c r="S132" s="1" t="n">
        <v>13</v>
      </c>
      <c r="T132" s="39" t="n">
        <v>27.6</v>
      </c>
      <c r="U132" s="1" t="n">
        <v>2021</v>
      </c>
      <c r="V132" s="1" t="n">
        <v>18</v>
      </c>
      <c r="W132" s="39" t="n">
        <v>27</v>
      </c>
      <c r="X132" s="1" t="n">
        <v>2021</v>
      </c>
      <c r="Y132" s="1" t="n">
        <v>16</v>
      </c>
      <c r="Z132" s="39" t="n">
        <v>26.8</v>
      </c>
      <c r="AA132" s="1" t="n">
        <v>2020</v>
      </c>
      <c r="AB132" s="1" t="n">
        <v>10</v>
      </c>
      <c r="AC132" s="39" t="n">
        <v>28</v>
      </c>
      <c r="AD132" s="1" t="n">
        <v>2020</v>
      </c>
      <c r="AE132" s="1" t="n">
        <v>24</v>
      </c>
      <c r="AF132" s="39" t="n">
        <v>27</v>
      </c>
      <c r="AG132" s="1" t="n">
        <v>2020</v>
      </c>
      <c r="AH132" s="1" t="n">
        <v>28</v>
      </c>
      <c r="AI132" s="39" t="n">
        <v>28.2</v>
      </c>
      <c r="AJ132" s="1" t="n">
        <v>2020</v>
      </c>
      <c r="AK132" s="1" t="n">
        <v>15</v>
      </c>
      <c r="AL132" s="39" t="n">
        <v>27.4</v>
      </c>
      <c r="AM132" s="1" t="n">
        <v>2020</v>
      </c>
      <c r="AN132" s="1" t="n">
        <v>11</v>
      </c>
      <c r="AO132" s="39" t="n">
        <v>28</v>
      </c>
      <c r="AP132" s="1" t="n">
        <v>2020</v>
      </c>
      <c r="AQ132" s="1" t="n">
        <v>21</v>
      </c>
    </row>
    <row r="133" ht="14.45" customHeight="1">
      <c r="A133" s="1" t="n">
        <v>23065120</v>
      </c>
      <c r="B133" s="1" t="inlineStr">
        <is>
          <t>LA CABRERA [23065120]</t>
        </is>
      </c>
      <c r="C133" s="1" t="n">
        <v>5.137887</v>
      </c>
      <c r="D133" s="1" t="n">
        <v>-74.136578</v>
      </c>
      <c r="E133" s="1" t="n">
        <v>2018</v>
      </c>
      <c r="F133" s="1" t="inlineStr">
        <is>
          <t>Pacho</t>
        </is>
      </c>
      <c r="G133" s="1" t="inlineStr">
        <is>
          <t>Cundinamarca</t>
        </is>
      </c>
      <c r="H133" s="39" t="n">
        <v>27.6</v>
      </c>
      <c r="I133" s="1" t="n">
        <v>1987</v>
      </c>
      <c r="J133" s="1" t="n">
        <v>28</v>
      </c>
      <c r="K133" s="39" t="n">
        <v>26.8</v>
      </c>
      <c r="L133" s="1" t="n">
        <v>2020</v>
      </c>
      <c r="M133" s="1" t="n">
        <v>18</v>
      </c>
      <c r="N133" s="39" t="n">
        <v>27</v>
      </c>
      <c r="O133" s="1" t="n">
        <v>2016</v>
      </c>
      <c r="P133" s="1" t="n">
        <v>24</v>
      </c>
      <c r="Q133" s="39" t="n">
        <v>26.1</v>
      </c>
      <c r="R133" s="1" t="n">
        <v>2015</v>
      </c>
      <c r="S133" s="1" t="n">
        <v>10</v>
      </c>
      <c r="T133" s="39" t="n">
        <v>27.6</v>
      </c>
      <c r="U133" s="1" t="n">
        <v>1995</v>
      </c>
      <c r="V133" s="1" t="n">
        <v>2</v>
      </c>
      <c r="W133" s="39" t="n">
        <v>27</v>
      </c>
      <c r="X133" s="1" t="n">
        <v>2016</v>
      </c>
      <c r="Y133" s="1" t="n">
        <v>5</v>
      </c>
      <c r="Z133" s="39" t="n">
        <v>27</v>
      </c>
      <c r="AA133" s="1" t="n">
        <v>1999</v>
      </c>
      <c r="AB133" s="1" t="n">
        <v>26</v>
      </c>
      <c r="AC133" s="39" t="n">
        <v>28</v>
      </c>
      <c r="AD133" s="1" t="n">
        <v>2016</v>
      </c>
      <c r="AE133" s="1" t="n">
        <v>8</v>
      </c>
      <c r="AF133" s="39" t="n">
        <v>28</v>
      </c>
      <c r="AG133" s="1" t="n">
        <v>2015</v>
      </c>
      <c r="AH133" s="1" t="n">
        <v>12</v>
      </c>
      <c r="AI133" s="39" t="n">
        <v>27.4</v>
      </c>
      <c r="AJ133" s="1" t="n">
        <v>2015</v>
      </c>
      <c r="AK133" s="1" t="n">
        <v>5</v>
      </c>
      <c r="AL133" s="39" t="n">
        <v>27.6</v>
      </c>
      <c r="AM133" s="1" t="n">
        <v>2001</v>
      </c>
      <c r="AN133" s="1" t="n">
        <v>17</v>
      </c>
      <c r="AO133" s="39" t="n">
        <v>27.8</v>
      </c>
      <c r="AP133" s="1" t="n">
        <v>2015</v>
      </c>
      <c r="AQ133" s="1" t="n">
        <v>29</v>
      </c>
    </row>
    <row r="134" ht="14.45" customHeight="1">
      <c r="A134" s="1" t="n">
        <v>23070020</v>
      </c>
      <c r="B134" s="1" t="inlineStr">
        <is>
          <t>RIO CLARO [23070020]</t>
        </is>
      </c>
      <c r="C134" s="1" t="n">
        <v>5.855527778</v>
      </c>
      <c r="D134" s="1" t="n">
        <v>-74.84836111</v>
      </c>
      <c r="E134" s="1" t="n">
        <v>449</v>
      </c>
      <c r="F134" s="1" t="inlineStr">
        <is>
          <t>Sonsón</t>
        </is>
      </c>
      <c r="G134" s="1" t="inlineStr">
        <is>
          <t>Antioquia</t>
        </is>
      </c>
      <c r="H134" s="39" t="n">
        <v>35.6</v>
      </c>
      <c r="I134" s="1" t="n">
        <v>1994</v>
      </c>
      <c r="J134" s="1" t="n">
        <v>3</v>
      </c>
      <c r="K134" s="39" t="n">
        <v>36</v>
      </c>
      <c r="L134" s="1" t="n">
        <v>1998</v>
      </c>
      <c r="M134" s="1" t="n">
        <v>17</v>
      </c>
      <c r="N134" s="39" t="n">
        <v>36.4</v>
      </c>
      <c r="O134" s="1" t="n">
        <v>2004</v>
      </c>
      <c r="P134" s="1" t="n">
        <v>14</v>
      </c>
      <c r="Q134" s="39" t="n">
        <v>35.8</v>
      </c>
      <c r="R134" s="1" t="n">
        <v>1990</v>
      </c>
      <c r="S134" s="1" t="n">
        <v>24</v>
      </c>
      <c r="T134" s="39" t="n">
        <v>37</v>
      </c>
      <c r="U134" s="1" t="n">
        <v>1998</v>
      </c>
      <c r="V134" s="1" t="n">
        <v>22</v>
      </c>
      <c r="W134" s="39" t="n">
        <v>35.6</v>
      </c>
      <c r="X134" s="1" t="n">
        <v>2002</v>
      </c>
      <c r="Y134" s="1" t="n">
        <v>30</v>
      </c>
      <c r="Z134" s="39" t="n">
        <v>37.8</v>
      </c>
      <c r="AA134" s="1" t="n">
        <v>1997</v>
      </c>
      <c r="AB134" s="1" t="n">
        <v>19</v>
      </c>
      <c r="AC134" s="39" t="n">
        <v>38</v>
      </c>
      <c r="AD134" s="1" t="n">
        <v>1997</v>
      </c>
      <c r="AE134" s="1" t="n">
        <v>21</v>
      </c>
      <c r="AF134" s="39" t="n">
        <v>36</v>
      </c>
      <c r="AG134" s="1" t="n">
        <v>1991</v>
      </c>
      <c r="AH134" s="1" t="n">
        <v>10</v>
      </c>
      <c r="AI134" s="39" t="n">
        <v>35.4</v>
      </c>
      <c r="AJ134" s="1" t="n">
        <v>2009</v>
      </c>
      <c r="AK134" s="1" t="n">
        <v>1</v>
      </c>
      <c r="AL134" s="39" t="n">
        <v>33.6</v>
      </c>
      <c r="AM134" s="1" t="n">
        <v>1991</v>
      </c>
      <c r="AN134" s="1" t="n">
        <v>1</v>
      </c>
      <c r="AO134" s="39" t="n">
        <v>36.6</v>
      </c>
      <c r="AP134" s="1" t="n">
        <v>1995</v>
      </c>
      <c r="AQ134" s="1" t="n">
        <v>22</v>
      </c>
    </row>
    <row r="135" ht="14.45" customHeight="1">
      <c r="A135" s="1" t="n">
        <v>23085030</v>
      </c>
      <c r="B135" s="1" t="inlineStr">
        <is>
          <t>ALEJANDRIA [23085030]</t>
        </is>
      </c>
      <c r="C135" s="1" t="n">
        <v>6.37625</v>
      </c>
      <c r="D135" s="1" t="n">
        <v>-75.14338889</v>
      </c>
      <c r="E135" s="1" t="n">
        <v>1712</v>
      </c>
      <c r="F135" s="1" t="inlineStr">
        <is>
          <t>Alejandría</t>
        </is>
      </c>
      <c r="G135" s="1" t="inlineStr">
        <is>
          <t>Antioquia</t>
        </is>
      </c>
      <c r="H135" s="39" t="n">
        <v>28.6</v>
      </c>
      <c r="I135" s="1" t="n">
        <v>1992</v>
      </c>
      <c r="J135" s="1" t="n">
        <v>16</v>
      </c>
      <c r="K135" s="39" t="n">
        <v>28.6</v>
      </c>
      <c r="L135" s="1" t="n">
        <v>1992</v>
      </c>
      <c r="M135" s="1" t="n">
        <v>5</v>
      </c>
      <c r="N135" s="39" t="n">
        <v>28.6</v>
      </c>
      <c r="O135" s="1" t="n">
        <v>1992</v>
      </c>
      <c r="P135" s="1" t="n">
        <v>16</v>
      </c>
      <c r="Q135" s="39" t="n">
        <v>28.4</v>
      </c>
      <c r="R135" s="1" t="n">
        <v>1990</v>
      </c>
      <c r="S135" s="1" t="n">
        <v>28</v>
      </c>
      <c r="T135" s="39" t="n">
        <v>28.6</v>
      </c>
      <c r="U135" s="1" t="n">
        <v>1992</v>
      </c>
      <c r="V135" s="1" t="n">
        <v>16</v>
      </c>
      <c r="W135" s="39" t="n">
        <v>28.8</v>
      </c>
      <c r="X135" s="1" t="n">
        <v>1992</v>
      </c>
      <c r="Y135" s="1" t="n">
        <v>21</v>
      </c>
      <c r="Z135" s="39" t="n">
        <v>28.6</v>
      </c>
      <c r="AA135" s="1" t="n">
        <v>1992</v>
      </c>
      <c r="AB135" s="1" t="n">
        <v>3</v>
      </c>
      <c r="AC135" s="39" t="n">
        <v>28.8</v>
      </c>
      <c r="AD135" s="1" t="n">
        <v>1992</v>
      </c>
      <c r="AE135" s="1" t="n">
        <v>10</v>
      </c>
      <c r="AF135" s="39" t="n">
        <v>28.2</v>
      </c>
      <c r="AG135" s="1" t="n">
        <v>2024</v>
      </c>
      <c r="AH135" s="1" t="n">
        <v>18</v>
      </c>
      <c r="AI135" s="39" t="n">
        <v>28</v>
      </c>
      <c r="AJ135" s="1" t="n">
        <v>1992</v>
      </c>
      <c r="AK135" s="1" t="n">
        <v>6</v>
      </c>
      <c r="AL135" s="39" t="n">
        <v>27.4</v>
      </c>
      <c r="AM135" s="1" t="n">
        <v>2023</v>
      </c>
      <c r="AN135" s="1" t="n">
        <v>28</v>
      </c>
      <c r="AO135" s="39" t="n">
        <v>27</v>
      </c>
      <c r="AP135" s="1" t="n">
        <v>1992</v>
      </c>
      <c r="AQ135" s="1" t="n">
        <v>24</v>
      </c>
    </row>
    <row r="136" ht="14.45" customHeight="1">
      <c r="A136" s="1" t="n">
        <v>23085080</v>
      </c>
      <c r="B136" s="1" t="inlineStr">
        <is>
          <t>GRANJA EXPERIMENTAL EL NUS [23085080]</t>
        </is>
      </c>
      <c r="C136" s="1" t="n">
        <v>6.483583333</v>
      </c>
      <c r="D136" s="1" t="n">
        <v>-74.83669444</v>
      </c>
      <c r="E136" s="1" t="n">
        <v>859</v>
      </c>
      <c r="F136" s="1" t="inlineStr">
        <is>
          <t>San Roque</t>
        </is>
      </c>
      <c r="G136" s="1" t="inlineStr">
        <is>
          <t>Antioquia</t>
        </is>
      </c>
      <c r="H136" s="39" t="n">
        <v>34.2</v>
      </c>
      <c r="I136" s="1" t="n">
        <v>2016</v>
      </c>
      <c r="J136" s="1" t="n">
        <v>25</v>
      </c>
      <c r="K136" s="39" t="n">
        <v>36</v>
      </c>
      <c r="L136" s="1" t="n">
        <v>2004</v>
      </c>
      <c r="M136" s="1" t="n">
        <v>2</v>
      </c>
      <c r="N136" s="39" t="n">
        <v>35.2</v>
      </c>
      <c r="O136" s="1" t="n">
        <v>2016</v>
      </c>
      <c r="P136" s="1" t="n">
        <v>20</v>
      </c>
      <c r="Q136" s="39" t="n">
        <v>34.2</v>
      </c>
      <c r="R136" s="1" t="n">
        <v>2016</v>
      </c>
      <c r="S136" s="1" t="n">
        <v>18</v>
      </c>
      <c r="T136" s="39" t="n">
        <v>35</v>
      </c>
      <c r="U136" s="1" t="n">
        <v>2016</v>
      </c>
      <c r="V136" s="1" t="n">
        <v>12</v>
      </c>
      <c r="W136" s="39" t="n">
        <v>35</v>
      </c>
      <c r="X136" s="1" t="n">
        <v>2016</v>
      </c>
      <c r="Y136" s="1" t="n">
        <v>29</v>
      </c>
      <c r="Z136" s="39" t="n">
        <v>33.6</v>
      </c>
      <c r="AA136" s="1" t="n">
        <v>2004</v>
      </c>
      <c r="AB136" s="1" t="n">
        <v>17</v>
      </c>
      <c r="AC136" s="39" t="n">
        <v>33.2</v>
      </c>
      <c r="AD136" s="1" t="n">
        <v>1997</v>
      </c>
      <c r="AE136" s="1" t="n">
        <v>28</v>
      </c>
      <c r="AF136" s="39" t="n">
        <v>35.4</v>
      </c>
      <c r="AG136" s="1" t="n">
        <v>2016</v>
      </c>
      <c r="AH136" s="1" t="n">
        <v>15</v>
      </c>
      <c r="AI136" s="39" t="n">
        <v>32.2</v>
      </c>
      <c r="AJ136" s="1" t="n">
        <v>2002</v>
      </c>
      <c r="AK136" s="1" t="n">
        <v>5</v>
      </c>
      <c r="AL136" s="39" t="n">
        <v>33</v>
      </c>
      <c r="AM136" s="1" t="n">
        <v>2022</v>
      </c>
      <c r="AN136" s="1" t="n">
        <v>1</v>
      </c>
      <c r="AO136" s="39" t="n">
        <v>38.4</v>
      </c>
      <c r="AP136" s="1" t="n">
        <v>1997</v>
      </c>
      <c r="AQ136" s="1" t="n">
        <v>17</v>
      </c>
    </row>
    <row r="137" ht="14.45" customHeight="1">
      <c r="A137" s="1" t="n">
        <v>23085110</v>
      </c>
      <c r="B137" s="1" t="inlineStr">
        <is>
          <t>EL PENOL [23085110]</t>
        </is>
      </c>
      <c r="C137" s="1" t="n">
        <v>6.2138889</v>
      </c>
      <c r="D137" s="1" t="n">
        <v>-75.24138888900001</v>
      </c>
      <c r="E137" s="1" t="n">
        <v>2022</v>
      </c>
      <c r="F137" s="1" t="inlineStr">
        <is>
          <t>Peñol</t>
        </is>
      </c>
      <c r="G137" s="1" t="inlineStr">
        <is>
          <t>Antioquia</t>
        </is>
      </c>
      <c r="H137" s="39" t="n">
        <v>31.6</v>
      </c>
      <c r="I137" s="1" t="n">
        <v>2017</v>
      </c>
      <c r="J137" s="1" t="n">
        <v>21</v>
      </c>
      <c r="K137" s="39" t="n">
        <v>28</v>
      </c>
      <c r="L137" s="1" t="n">
        <v>2016</v>
      </c>
      <c r="M137" s="1" t="n">
        <v>16</v>
      </c>
      <c r="N137" s="39" t="n">
        <v>28.6</v>
      </c>
      <c r="O137" s="1" t="n">
        <v>2024</v>
      </c>
      <c r="P137" s="1" t="n">
        <v>22</v>
      </c>
      <c r="Q137" s="39" t="n">
        <v>28.8</v>
      </c>
      <c r="R137" s="1" t="n">
        <v>2018</v>
      </c>
      <c r="S137" s="1" t="n">
        <v>15</v>
      </c>
      <c r="T137" s="39" t="n">
        <v>28.2</v>
      </c>
      <c r="U137" s="1" t="n">
        <v>1998</v>
      </c>
      <c r="V137" s="1" t="n">
        <v>21</v>
      </c>
      <c r="W137" s="39" t="n">
        <v>28.2</v>
      </c>
      <c r="X137" s="1" t="n">
        <v>2012</v>
      </c>
      <c r="Y137" s="1" t="n">
        <v>7</v>
      </c>
      <c r="Z137" s="39" t="n">
        <v>28</v>
      </c>
      <c r="AA137" s="1" t="n">
        <v>2024</v>
      </c>
      <c r="AB137" s="1" t="n">
        <v>26</v>
      </c>
      <c r="AC137" s="39" t="n">
        <v>28.8</v>
      </c>
      <c r="AD137" s="1" t="n">
        <v>2006</v>
      </c>
      <c r="AE137" s="1" t="n">
        <v>10</v>
      </c>
      <c r="AF137" s="39" t="n">
        <v>30.3</v>
      </c>
      <c r="AG137" s="1" t="n">
        <v>2015</v>
      </c>
      <c r="AH137" s="1" t="n">
        <v>11</v>
      </c>
      <c r="AI137" s="39" t="n">
        <v>27.4</v>
      </c>
      <c r="AJ137" s="1" t="n">
        <v>2002</v>
      </c>
      <c r="AK137" s="1" t="n">
        <v>3</v>
      </c>
      <c r="AL137" s="39" t="n">
        <v>26.8</v>
      </c>
      <c r="AM137" s="1" t="n">
        <v>2012</v>
      </c>
      <c r="AN137" s="1" t="n">
        <v>26</v>
      </c>
      <c r="AO137" s="39" t="n">
        <v>26.6</v>
      </c>
      <c r="AP137" s="1" t="n">
        <v>2015</v>
      </c>
      <c r="AQ137" s="1" t="n">
        <v>28</v>
      </c>
    </row>
    <row r="138" ht="14.45" customHeight="1">
      <c r="A138" s="1" t="n">
        <v>23085140</v>
      </c>
      <c r="B138" s="1" t="inlineStr">
        <is>
          <t>SAN FRANCISCO [23085140]</t>
        </is>
      </c>
      <c r="C138" s="1" t="n">
        <v>5.963805556</v>
      </c>
      <c r="D138" s="1" t="n">
        <v>-75.10069444</v>
      </c>
      <c r="E138" s="1" t="n">
        <v>1325</v>
      </c>
      <c r="F138" s="1" t="inlineStr">
        <is>
          <t>San Francisco</t>
        </is>
      </c>
      <c r="G138" s="1" t="inlineStr">
        <is>
          <t>Antioquia</t>
        </is>
      </c>
      <c r="H138" s="39" t="n">
        <v>29.8</v>
      </c>
      <c r="I138" s="1" t="n">
        <v>1998</v>
      </c>
      <c r="J138" s="1" t="n">
        <v>23</v>
      </c>
      <c r="K138" s="39" t="n">
        <v>30</v>
      </c>
      <c r="L138" s="1" t="n">
        <v>1998</v>
      </c>
      <c r="M138" s="1" t="n">
        <v>2</v>
      </c>
      <c r="N138" s="39" t="n">
        <v>29.8</v>
      </c>
      <c r="O138" s="1" t="n">
        <v>2016</v>
      </c>
      <c r="P138" s="1" t="n">
        <v>25</v>
      </c>
      <c r="Q138" s="39" t="n">
        <v>29.4</v>
      </c>
      <c r="R138" s="1" t="n">
        <v>1991</v>
      </c>
      <c r="S138" s="1" t="n">
        <v>7</v>
      </c>
      <c r="T138" s="39" t="n">
        <v>30</v>
      </c>
      <c r="U138" s="1" t="n">
        <v>1990</v>
      </c>
      <c r="V138" s="1" t="n">
        <v>18</v>
      </c>
      <c r="W138" s="39" t="n">
        <v>30.4</v>
      </c>
      <c r="X138" s="1" t="n">
        <v>1990</v>
      </c>
      <c r="Y138" s="1" t="n">
        <v>20</v>
      </c>
      <c r="Z138" s="39" t="n">
        <v>31</v>
      </c>
      <c r="AA138" s="1" t="n">
        <v>2015</v>
      </c>
      <c r="AB138" s="1" t="n">
        <v>2</v>
      </c>
      <c r="AC138" s="39" t="n">
        <v>31.6</v>
      </c>
      <c r="AD138" s="1" t="n">
        <v>2018</v>
      </c>
      <c r="AE138" s="1" t="n">
        <v>26</v>
      </c>
      <c r="AF138" s="39" t="n">
        <v>29.6</v>
      </c>
      <c r="AG138" s="1" t="n">
        <v>1994</v>
      </c>
      <c r="AH138" s="1" t="n">
        <v>18</v>
      </c>
      <c r="AI138" s="39" t="n">
        <v>29.8</v>
      </c>
      <c r="AJ138" s="1" t="n">
        <v>1985</v>
      </c>
      <c r="AK138" s="1" t="n">
        <v>13</v>
      </c>
      <c r="AL138" s="39" t="n">
        <v>29.6</v>
      </c>
      <c r="AM138" s="1" t="n">
        <v>1993</v>
      </c>
      <c r="AN138" s="1" t="n">
        <v>1</v>
      </c>
      <c r="AO138" s="39" t="n">
        <v>29.8</v>
      </c>
      <c r="AP138" s="1" t="n">
        <v>2015</v>
      </c>
      <c r="AQ138" s="1" t="n">
        <v>29</v>
      </c>
    </row>
    <row r="139" ht="14.45" customHeight="1">
      <c r="A139" s="1" t="n">
        <v>23085160</v>
      </c>
      <c r="B139" s="1" t="inlineStr">
        <is>
          <t>CORRIENTES [23085160]</t>
        </is>
      </c>
      <c r="C139" s="1" t="n">
        <v>6.311944444</v>
      </c>
      <c r="D139" s="1" t="n">
        <v>-75.25355556</v>
      </c>
      <c r="E139" s="1" t="n">
        <v>1965</v>
      </c>
      <c r="F139" s="1" t="inlineStr">
        <is>
          <t>San Vicente</t>
        </is>
      </c>
      <c r="G139" s="1" t="inlineStr">
        <is>
          <t>Antioquia</t>
        </is>
      </c>
      <c r="H139" s="39" t="n">
        <v>25.8</v>
      </c>
      <c r="I139" s="1" t="n">
        <v>2016</v>
      </c>
      <c r="J139" s="1" t="n">
        <v>17</v>
      </c>
      <c r="K139" s="39" t="n">
        <v>26</v>
      </c>
      <c r="L139" s="1" t="n">
        <v>2016</v>
      </c>
      <c r="M139" s="1" t="n">
        <v>16</v>
      </c>
      <c r="N139" s="39" t="n">
        <v>26.6</v>
      </c>
      <c r="O139" s="1" t="n">
        <v>2015</v>
      </c>
      <c r="P139" s="1" t="n">
        <v>19</v>
      </c>
      <c r="Q139" s="39" t="n">
        <v>28.6</v>
      </c>
      <c r="R139" s="1" t="n">
        <v>2016</v>
      </c>
      <c r="S139" s="1" t="n">
        <v>10</v>
      </c>
      <c r="T139" s="39" t="n">
        <v>26.6</v>
      </c>
      <c r="U139" s="1" t="n">
        <v>2024</v>
      </c>
      <c r="V139" s="1" t="n">
        <v>13</v>
      </c>
      <c r="W139" s="39" t="n">
        <v>26.4</v>
      </c>
      <c r="X139" s="1" t="n">
        <v>2024</v>
      </c>
      <c r="Y139" s="1" t="n">
        <v>2</v>
      </c>
      <c r="Z139" s="39" t="n">
        <v>26</v>
      </c>
      <c r="AA139" s="1" t="n">
        <v>2024</v>
      </c>
      <c r="AB139" s="1" t="n">
        <v>29</v>
      </c>
      <c r="AC139" s="39" t="n">
        <v>25.8</v>
      </c>
      <c r="AD139" s="1" t="n">
        <v>2010</v>
      </c>
      <c r="AE139" s="1" t="n">
        <v>5</v>
      </c>
      <c r="AF139" s="39" t="n">
        <v>26.6</v>
      </c>
      <c r="AG139" s="1" t="n">
        <v>2024</v>
      </c>
      <c r="AH139" s="1" t="n">
        <v>10</v>
      </c>
      <c r="AI139" s="39" t="n">
        <v>25.8</v>
      </c>
      <c r="AJ139" s="1" t="n">
        <v>2010</v>
      </c>
      <c r="AK139" s="1" t="n">
        <v>8</v>
      </c>
      <c r="AL139" s="39" t="n">
        <v>25.8</v>
      </c>
      <c r="AM139" s="1" t="n">
        <v>2010</v>
      </c>
      <c r="AN139" s="1" t="n">
        <v>4</v>
      </c>
      <c r="AO139" s="39" t="n">
        <v>25.6</v>
      </c>
      <c r="AP139" s="1" t="n">
        <v>2011</v>
      </c>
      <c r="AQ139" s="1" t="n">
        <v>24</v>
      </c>
    </row>
    <row r="140" ht="14.45" customHeight="1">
      <c r="A140" s="1" t="n">
        <v>23085220</v>
      </c>
      <c r="B140" s="1" t="inlineStr">
        <is>
          <t>SAN CARLOS [23085220]</t>
        </is>
      </c>
      <c r="C140" s="1" t="n">
        <v>6.157666667</v>
      </c>
      <c r="D140" s="1" t="n">
        <v>-75.03891667000001</v>
      </c>
      <c r="E140" s="1" t="n">
        <v>1113</v>
      </c>
      <c r="F140" s="1" t="inlineStr">
        <is>
          <t>San Carlos</t>
        </is>
      </c>
      <c r="G140" s="1" t="inlineStr">
        <is>
          <t>Antioquia</t>
        </is>
      </c>
      <c r="H140" s="39" t="n">
        <v>32</v>
      </c>
      <c r="I140" s="1" t="n">
        <v>1994</v>
      </c>
      <c r="J140" s="1" t="n">
        <v>28</v>
      </c>
      <c r="K140" s="39" t="n">
        <v>33</v>
      </c>
      <c r="L140" s="1" t="n">
        <v>1998</v>
      </c>
      <c r="M140" s="1" t="n">
        <v>2</v>
      </c>
      <c r="N140" s="39" t="n">
        <v>33</v>
      </c>
      <c r="O140" s="1" t="n">
        <v>1988</v>
      </c>
      <c r="P140" s="1" t="n">
        <v>21</v>
      </c>
      <c r="Q140" s="39" t="n">
        <v>33</v>
      </c>
      <c r="R140" s="1" t="n">
        <v>2016</v>
      </c>
      <c r="S140" s="1" t="n">
        <v>19</v>
      </c>
      <c r="T140" s="39" t="n">
        <v>35</v>
      </c>
      <c r="U140" s="1" t="n">
        <v>2016</v>
      </c>
      <c r="V140" s="1" t="n">
        <v>16</v>
      </c>
      <c r="W140" s="39" t="n">
        <v>35.2</v>
      </c>
      <c r="X140" s="1" t="n">
        <v>2016</v>
      </c>
      <c r="Y140" s="1" t="n">
        <v>5</v>
      </c>
      <c r="Z140" s="39" t="n">
        <v>33.6</v>
      </c>
      <c r="AA140" s="1" t="n">
        <v>2016</v>
      </c>
      <c r="AB140" s="1" t="n">
        <v>8</v>
      </c>
      <c r="AC140" s="39" t="n">
        <v>33.2</v>
      </c>
      <c r="AD140" s="1" t="n">
        <v>2004</v>
      </c>
      <c r="AE140" s="1" t="n">
        <v>18</v>
      </c>
      <c r="AF140" s="39" t="n">
        <v>33.2</v>
      </c>
      <c r="AG140" s="1" t="n">
        <v>2024</v>
      </c>
      <c r="AH140" s="1" t="n">
        <v>18</v>
      </c>
      <c r="AI140" s="39" t="n">
        <v>32</v>
      </c>
      <c r="AJ140" s="1" t="n">
        <v>2001</v>
      </c>
      <c r="AK140" s="1" t="n">
        <v>3</v>
      </c>
      <c r="AL140" s="39" t="n">
        <v>31.4</v>
      </c>
      <c r="AM140" s="1" t="n">
        <v>2002</v>
      </c>
      <c r="AN140" s="1" t="n">
        <v>1</v>
      </c>
      <c r="AO140" s="39" t="n">
        <v>32</v>
      </c>
      <c r="AP140" s="1" t="n">
        <v>1997</v>
      </c>
      <c r="AQ140" s="1" t="n">
        <v>10</v>
      </c>
    </row>
    <row r="141" ht="14.45" customHeight="1">
      <c r="A141" s="1" t="n">
        <v>23085260</v>
      </c>
      <c r="B141" s="1" t="inlineStr">
        <is>
          <t>LA SELVA [23085260]</t>
        </is>
      </c>
      <c r="C141" s="1" t="n">
        <v>6.131916667</v>
      </c>
      <c r="D141" s="1" t="n">
        <v>-75.41455556</v>
      </c>
      <c r="E141" s="1" t="n">
        <v>2125</v>
      </c>
      <c r="F141" s="1" t="inlineStr">
        <is>
          <t>Rionegro</t>
        </is>
      </c>
      <c r="G141" s="1" t="inlineStr">
        <is>
          <t>Antioquia</t>
        </is>
      </c>
      <c r="H141" s="39" t="n">
        <v>26</v>
      </c>
      <c r="I141" s="1" t="n">
        <v>1998</v>
      </c>
      <c r="J141" s="1" t="n">
        <v>5</v>
      </c>
      <c r="K141" s="39" t="n">
        <v>27</v>
      </c>
      <c r="L141" s="1" t="n">
        <v>1983</v>
      </c>
      <c r="M141" s="1" t="n">
        <v>25</v>
      </c>
      <c r="N141" s="39" t="n">
        <v>26.8</v>
      </c>
      <c r="O141" s="1" t="n">
        <v>1998</v>
      </c>
      <c r="P141" s="1" t="n">
        <v>19</v>
      </c>
      <c r="Q141" s="39" t="n">
        <v>25.8</v>
      </c>
      <c r="R141" s="1" t="n">
        <v>1983</v>
      </c>
      <c r="S141" s="1" t="n">
        <v>19</v>
      </c>
      <c r="T141" s="39" t="n">
        <v>26.4</v>
      </c>
      <c r="U141" s="1" t="n">
        <v>1998</v>
      </c>
      <c r="V141" s="1" t="n">
        <v>21</v>
      </c>
      <c r="W141" s="39" t="n">
        <v>26</v>
      </c>
      <c r="X141" s="1" t="n">
        <v>1997</v>
      </c>
      <c r="Y141" s="1" t="n">
        <v>16</v>
      </c>
      <c r="Z141" s="39" t="n">
        <v>26</v>
      </c>
      <c r="AA141" s="1" t="n">
        <v>1999</v>
      </c>
      <c r="AB141" s="1" t="n">
        <v>7</v>
      </c>
      <c r="AC141" s="39" t="n">
        <v>27</v>
      </c>
      <c r="AD141" s="1" t="n">
        <v>1997</v>
      </c>
      <c r="AE141" s="1" t="n">
        <v>24</v>
      </c>
      <c r="AF141" s="39" t="n">
        <v>27</v>
      </c>
      <c r="AG141" s="1" t="n">
        <v>1997</v>
      </c>
      <c r="AH141" s="1" t="n">
        <v>12</v>
      </c>
      <c r="AI141" s="39" t="n">
        <v>27</v>
      </c>
      <c r="AJ141" s="1" t="n">
        <v>2003</v>
      </c>
      <c r="AK141" s="1" t="n">
        <v>19</v>
      </c>
      <c r="AL141" s="39" t="n">
        <v>25.8</v>
      </c>
      <c r="AM141" s="1" t="n">
        <v>1990</v>
      </c>
      <c r="AN141" s="1" t="n">
        <v>13</v>
      </c>
      <c r="AO141" s="39" t="n">
        <v>26</v>
      </c>
      <c r="AP141" s="1" t="n">
        <v>1987</v>
      </c>
      <c r="AQ141" s="1" t="n">
        <v>23</v>
      </c>
    </row>
    <row r="142" ht="14.45" customHeight="1">
      <c r="A142" s="1" t="n">
        <v>23085270</v>
      </c>
      <c r="B142" s="1" t="inlineStr">
        <is>
          <t>AEROPUERTO J.M. CORDOVA [23085270]</t>
        </is>
      </c>
      <c r="C142" s="1" t="n">
        <v>6.1686111</v>
      </c>
      <c r="D142" s="1" t="n">
        <v>-75.426111111</v>
      </c>
      <c r="E142" s="1" t="n">
        <v>2073</v>
      </c>
      <c r="F142" s="1" t="inlineStr">
        <is>
          <t>Rionegro</t>
        </is>
      </c>
      <c r="G142" s="1" t="inlineStr">
        <is>
          <t>Antioquia</t>
        </is>
      </c>
      <c r="H142" s="39" t="n">
        <v>26.7</v>
      </c>
      <c r="I142" s="1" t="n">
        <v>2024</v>
      </c>
      <c r="J142" s="1" t="n">
        <v>24</v>
      </c>
      <c r="K142" s="39" t="n">
        <v>27.8</v>
      </c>
      <c r="L142" s="1" t="n">
        <v>1998</v>
      </c>
      <c r="M142" s="1" t="n">
        <v>2</v>
      </c>
      <c r="N142" s="39" t="n">
        <v>26.8</v>
      </c>
      <c r="O142" s="1" t="n">
        <v>1992</v>
      </c>
      <c r="P142" s="1" t="n">
        <v>23</v>
      </c>
      <c r="Q142" s="39" t="n">
        <v>26.3</v>
      </c>
      <c r="R142" s="1" t="n">
        <v>2024</v>
      </c>
      <c r="S142" s="1" t="n">
        <v>8</v>
      </c>
      <c r="T142" s="39" t="n">
        <v>27.3</v>
      </c>
      <c r="U142" s="1" t="n">
        <v>2024</v>
      </c>
      <c r="V142" s="1" t="n">
        <v>13</v>
      </c>
      <c r="W142" s="39" t="n">
        <v>26.8</v>
      </c>
      <c r="X142" s="1" t="n">
        <v>2024</v>
      </c>
      <c r="Y142" s="1" t="n">
        <v>2</v>
      </c>
      <c r="Z142" s="39" t="n">
        <v>25.8</v>
      </c>
      <c r="AA142" s="1" t="n">
        <v>2024</v>
      </c>
      <c r="AB142" s="1" t="n">
        <v>29</v>
      </c>
      <c r="AC142" s="39" t="n">
        <v>25.9</v>
      </c>
      <c r="AD142" s="1" t="n">
        <v>2023</v>
      </c>
      <c r="AE142" s="1" t="n">
        <v>5</v>
      </c>
      <c r="AF142" s="39" t="n">
        <v>26.9</v>
      </c>
      <c r="AG142" s="1" t="n">
        <v>2024</v>
      </c>
      <c r="AH142" s="1" t="n">
        <v>16</v>
      </c>
      <c r="AI142" s="39" t="n">
        <v>25.6</v>
      </c>
      <c r="AJ142" s="1" t="n">
        <v>2023</v>
      </c>
      <c r="AK142" s="1" t="n">
        <v>1</v>
      </c>
      <c r="AL142" s="39" t="n">
        <v>25.9</v>
      </c>
      <c r="AM142" s="1" t="n">
        <v>2023</v>
      </c>
      <c r="AN142" s="1" t="n">
        <v>14</v>
      </c>
      <c r="AO142" s="39" t="n">
        <v>25.6</v>
      </c>
      <c r="AP142" s="1" t="n">
        <v>1997</v>
      </c>
      <c r="AQ142" s="1" t="n">
        <v>27</v>
      </c>
    </row>
    <row r="143" ht="14.45" customHeight="1">
      <c r="A143" s="1" t="n">
        <v>23115010</v>
      </c>
      <c r="B143" s="1" t="inlineStr">
        <is>
          <t>PUERTO BOYACA [23115010]</t>
        </is>
      </c>
      <c r="C143" s="1" t="n">
        <v>5.978333333</v>
      </c>
      <c r="D143" s="1" t="n">
        <v>-74.56666667</v>
      </c>
      <c r="E143" s="1" t="n">
        <v>350</v>
      </c>
      <c r="F143" s="1" t="inlineStr">
        <is>
          <t>Puerto Boyacá</t>
        </is>
      </c>
      <c r="G143" s="1" t="inlineStr">
        <is>
          <t>Boyacá</t>
        </is>
      </c>
      <c r="H143" s="39" t="n">
        <v>38.6</v>
      </c>
      <c r="I143" s="1" t="n">
        <v>1998</v>
      </c>
      <c r="J143" s="1" t="n">
        <v>4</v>
      </c>
      <c r="K143" s="39" t="n">
        <v>39.4</v>
      </c>
      <c r="L143" s="1" t="n">
        <v>1998</v>
      </c>
      <c r="M143" s="1" t="n">
        <v>17</v>
      </c>
      <c r="N143" s="39" t="n">
        <v>40</v>
      </c>
      <c r="O143" s="1" t="n">
        <v>1993</v>
      </c>
      <c r="P143" s="1" t="n">
        <v>13</v>
      </c>
      <c r="Q143" s="39" t="n">
        <v>38</v>
      </c>
      <c r="R143" s="1" t="n">
        <v>2020</v>
      </c>
      <c r="S143" s="1" t="n">
        <v>8</v>
      </c>
      <c r="T143" s="39" t="n">
        <v>37</v>
      </c>
      <c r="U143" s="1" t="n">
        <v>1997</v>
      </c>
      <c r="V143" s="1" t="n">
        <v>18</v>
      </c>
      <c r="W143" s="39" t="n">
        <v>40.1</v>
      </c>
      <c r="X143" s="1" t="n">
        <v>2009</v>
      </c>
      <c r="Y143" s="1" t="n">
        <v>2</v>
      </c>
      <c r="Z143" s="39" t="n">
        <v>41.2</v>
      </c>
      <c r="AA143" s="1" t="n">
        <v>1997</v>
      </c>
      <c r="AB143" s="1" t="n">
        <v>23</v>
      </c>
      <c r="AC143" s="39" t="n">
        <v>41.2</v>
      </c>
      <c r="AD143" s="1" t="n">
        <v>2001</v>
      </c>
      <c r="AE143" s="1" t="n">
        <v>18</v>
      </c>
      <c r="AF143" s="39" t="n">
        <v>39</v>
      </c>
      <c r="AG143" s="1" t="n">
        <v>1991</v>
      </c>
      <c r="AH143" s="1" t="n">
        <v>10</v>
      </c>
      <c r="AI143" s="39" t="n">
        <v>37</v>
      </c>
      <c r="AJ143" s="1" t="n">
        <v>1986</v>
      </c>
      <c r="AK143" s="1" t="n">
        <v>1</v>
      </c>
      <c r="AL143" s="39" t="n">
        <v>39.6</v>
      </c>
      <c r="AM143" s="1" t="n">
        <v>2008</v>
      </c>
      <c r="AN143" s="1" t="n">
        <v>21</v>
      </c>
      <c r="AO143" s="39" t="n">
        <v>37</v>
      </c>
      <c r="AP143" s="1" t="n">
        <v>1997</v>
      </c>
      <c r="AQ143" s="1" t="n">
        <v>24</v>
      </c>
    </row>
    <row r="144" ht="14.45" customHeight="1">
      <c r="A144" s="1" t="n">
        <v>23125040</v>
      </c>
      <c r="B144" s="1" t="inlineStr">
        <is>
          <t>CAMPO CAPOTE [23125040]</t>
        </is>
      </c>
      <c r="C144" s="1" t="n">
        <v>6.616111111</v>
      </c>
      <c r="D144" s="1" t="n">
        <v>-73.92055556</v>
      </c>
      <c r="E144" s="1" t="n">
        <v>180</v>
      </c>
      <c r="F144" s="1" t="inlineStr">
        <is>
          <t>Puerto Parra</t>
        </is>
      </c>
      <c r="G144" s="1" t="inlineStr">
        <is>
          <t>Santander</t>
        </is>
      </c>
      <c r="H144" s="39" t="n">
        <v>37.2</v>
      </c>
      <c r="I144" s="1" t="n">
        <v>1991</v>
      </c>
      <c r="J144" s="1" t="n">
        <v>28</v>
      </c>
      <c r="K144" s="39" t="n">
        <v>37.4</v>
      </c>
      <c r="L144" s="1" t="n">
        <v>1991</v>
      </c>
      <c r="M144" s="1" t="n">
        <v>25</v>
      </c>
      <c r="N144" s="39" t="n">
        <v>37.8</v>
      </c>
      <c r="O144" s="1" t="n">
        <v>1980</v>
      </c>
      <c r="P144" s="1" t="n">
        <v>27</v>
      </c>
      <c r="Q144" s="39" t="n">
        <v>37.6</v>
      </c>
      <c r="R144" s="1" t="n">
        <v>1980</v>
      </c>
      <c r="S144" s="1" t="n">
        <v>19</v>
      </c>
      <c r="T144" s="39" t="n">
        <v>36.6</v>
      </c>
      <c r="U144" s="1" t="n">
        <v>1982</v>
      </c>
      <c r="V144" s="1" t="n">
        <v>2</v>
      </c>
      <c r="W144" s="39" t="n">
        <v>38.4</v>
      </c>
      <c r="X144" s="1" t="n">
        <v>1991</v>
      </c>
      <c r="Y144" s="1" t="n">
        <v>23</v>
      </c>
      <c r="Z144" s="39" t="n">
        <v>38.2</v>
      </c>
      <c r="AA144" s="1" t="n">
        <v>1995</v>
      </c>
      <c r="AB144" s="1" t="n">
        <v>11</v>
      </c>
      <c r="AC144" s="39" t="n">
        <v>39.2</v>
      </c>
      <c r="AD144" s="1" t="n">
        <v>1986</v>
      </c>
      <c r="AE144" s="1" t="n">
        <v>9</v>
      </c>
      <c r="AF144" s="39" t="n">
        <v>36.4</v>
      </c>
      <c r="AG144" s="1" t="n">
        <v>1994</v>
      </c>
      <c r="AH144" s="1" t="n">
        <v>13</v>
      </c>
      <c r="AI144" s="39" t="n">
        <v>35.4</v>
      </c>
      <c r="AJ144" s="1" t="n">
        <v>2006</v>
      </c>
      <c r="AK144" s="1" t="n">
        <v>14</v>
      </c>
      <c r="AL144" s="39" t="n">
        <v>36.6</v>
      </c>
      <c r="AM144" s="1" t="n">
        <v>2005</v>
      </c>
      <c r="AN144" s="1" t="n">
        <v>13</v>
      </c>
      <c r="AO144" s="39" t="n">
        <v>35.6</v>
      </c>
      <c r="AP144" s="1" t="n">
        <v>1979</v>
      </c>
      <c r="AQ144" s="1" t="n">
        <v>6</v>
      </c>
    </row>
    <row r="145" ht="14.45" customHeight="1">
      <c r="A145" s="1" t="n">
        <v>23125050</v>
      </c>
      <c r="B145" s="1" t="inlineStr">
        <is>
          <t>CARARE [23125050]</t>
        </is>
      </c>
      <c r="C145" s="1" t="n">
        <v>6.649444444</v>
      </c>
      <c r="D145" s="1" t="n">
        <v>-74.06138889</v>
      </c>
      <c r="E145" s="1" t="n">
        <v>168</v>
      </c>
      <c r="F145" s="1" t="inlineStr">
        <is>
          <t>Puerto Parra</t>
        </is>
      </c>
      <c r="G145" s="1" t="inlineStr">
        <is>
          <t>Santander</t>
        </is>
      </c>
      <c r="H145" s="39" t="n">
        <v>37.8</v>
      </c>
      <c r="I145" s="1" t="n">
        <v>2013</v>
      </c>
      <c r="J145" s="1" t="n">
        <v>28</v>
      </c>
      <c r="K145" s="39" t="n">
        <v>38.4</v>
      </c>
      <c r="L145" s="1" t="n">
        <v>2007</v>
      </c>
      <c r="M145" s="1" t="n">
        <v>28</v>
      </c>
      <c r="N145" s="39" t="n">
        <v>38</v>
      </c>
      <c r="O145" s="1" t="n">
        <v>2003</v>
      </c>
      <c r="P145" s="1" t="n">
        <v>5</v>
      </c>
      <c r="Q145" s="39" t="n">
        <v>38.4</v>
      </c>
      <c r="R145" s="1" t="n">
        <v>2018</v>
      </c>
      <c r="S145" s="1" t="n">
        <v>17</v>
      </c>
      <c r="T145" s="39" t="n">
        <v>36.8</v>
      </c>
      <c r="U145" s="1" t="n">
        <v>2023</v>
      </c>
      <c r="V145" s="1" t="n">
        <v>4</v>
      </c>
      <c r="W145" s="39" t="n">
        <v>37.2</v>
      </c>
      <c r="X145" s="1" t="n">
        <v>2023</v>
      </c>
      <c r="Y145" s="1" t="n">
        <v>20</v>
      </c>
      <c r="Z145" s="39" t="n">
        <v>37.6</v>
      </c>
      <c r="AA145" s="1" t="n">
        <v>2014</v>
      </c>
      <c r="AB145" s="1" t="n">
        <v>19</v>
      </c>
      <c r="AC145" s="39" t="n">
        <v>38.8</v>
      </c>
      <c r="AD145" s="1" t="n">
        <v>2018</v>
      </c>
      <c r="AE145" s="1" t="n">
        <v>21</v>
      </c>
      <c r="AF145" s="39" t="n">
        <v>36.8</v>
      </c>
      <c r="AG145" s="1" t="n">
        <v>1991</v>
      </c>
      <c r="AH145" s="1" t="n">
        <v>12</v>
      </c>
      <c r="AI145" s="39" t="n">
        <v>36.6</v>
      </c>
      <c r="AJ145" s="1" t="n">
        <v>2014</v>
      </c>
      <c r="AK145" s="1" t="n">
        <v>1</v>
      </c>
      <c r="AL145" s="39" t="n">
        <v>36</v>
      </c>
      <c r="AM145" s="1" t="n">
        <v>2023</v>
      </c>
      <c r="AN145" s="1" t="n">
        <v>13</v>
      </c>
      <c r="AO145" s="39" t="n">
        <v>37.4</v>
      </c>
      <c r="AP145" s="1" t="n">
        <v>2013</v>
      </c>
      <c r="AQ145" s="1" t="n">
        <v>31</v>
      </c>
    </row>
    <row r="146" ht="14.45" customHeight="1">
      <c r="A146" s="1" t="n">
        <v>23125060</v>
      </c>
      <c r="B146" s="1" t="inlineStr">
        <is>
          <t>ALBANIA [23125060]</t>
        </is>
      </c>
      <c r="C146" s="1" t="n">
        <v>5.758333333</v>
      </c>
      <c r="D146" s="1" t="n">
        <v>-73.91333333</v>
      </c>
      <c r="E146" s="1" t="n">
        <v>1690</v>
      </c>
      <c r="F146" s="1" t="inlineStr">
        <is>
          <t>Albania</t>
        </is>
      </c>
      <c r="G146" s="1" t="inlineStr">
        <is>
          <t>Santander</t>
        </is>
      </c>
      <c r="H146" s="39" t="n">
        <v>28.6</v>
      </c>
      <c r="I146" s="1" t="n">
        <v>2020</v>
      </c>
      <c r="J146" s="1" t="n">
        <v>18</v>
      </c>
      <c r="K146" s="39" t="n">
        <v>28.4</v>
      </c>
      <c r="L146" s="1" t="n">
        <v>1987</v>
      </c>
      <c r="M146" s="1" t="n">
        <v>28</v>
      </c>
      <c r="N146" s="39" t="n">
        <v>28</v>
      </c>
      <c r="O146" s="1" t="n">
        <v>2020</v>
      </c>
      <c r="P146" s="1" t="n">
        <v>4</v>
      </c>
      <c r="Q146" s="39" t="n">
        <v>27</v>
      </c>
      <c r="R146" s="1" t="n">
        <v>2020</v>
      </c>
      <c r="S146" s="1" t="n">
        <v>27</v>
      </c>
      <c r="T146" s="39" t="n">
        <v>27.8</v>
      </c>
      <c r="U146" s="1" t="n">
        <v>2020</v>
      </c>
      <c r="V146" s="1" t="n">
        <v>24</v>
      </c>
      <c r="W146" s="39" t="n">
        <v>28.2</v>
      </c>
      <c r="X146" s="1" t="n">
        <v>2015</v>
      </c>
      <c r="Y146" s="1" t="n">
        <v>24</v>
      </c>
      <c r="Z146" s="39" t="n">
        <v>29.2</v>
      </c>
      <c r="AA146" s="1" t="n">
        <v>2023</v>
      </c>
      <c r="AB146" s="1" t="n">
        <v>20</v>
      </c>
      <c r="AC146" s="39" t="n">
        <v>29.4</v>
      </c>
      <c r="AD146" s="1" t="n">
        <v>1986</v>
      </c>
      <c r="AE146" s="1" t="n">
        <v>9</v>
      </c>
      <c r="AF146" s="39" t="n">
        <v>28.4</v>
      </c>
      <c r="AG146" s="1" t="n">
        <v>2015</v>
      </c>
      <c r="AH146" s="1" t="n">
        <v>15</v>
      </c>
      <c r="AI146" s="39" t="n">
        <v>28</v>
      </c>
      <c r="AJ146" s="1" t="n">
        <v>2015</v>
      </c>
      <c r="AK146" s="1" t="n">
        <v>5</v>
      </c>
      <c r="AL146" s="39" t="n">
        <v>27.8</v>
      </c>
      <c r="AM146" s="1" t="n">
        <v>2020</v>
      </c>
      <c r="AN146" s="1" t="n">
        <v>16</v>
      </c>
      <c r="AO146" s="39" t="n">
        <v>27.8</v>
      </c>
      <c r="AP146" s="1" t="n">
        <v>2015</v>
      </c>
      <c r="AQ146" s="1" t="n">
        <v>2</v>
      </c>
    </row>
    <row r="147" ht="14.45" customHeight="1">
      <c r="A147" s="1" t="n">
        <v>23125080</v>
      </c>
      <c r="B147" s="1" t="inlineStr">
        <is>
          <t>OTANCHE [23125080]</t>
        </is>
      </c>
      <c r="C147" s="1" t="n">
        <v>5.661722222</v>
      </c>
      <c r="D147" s="1" t="n">
        <v>-74.18461111000001</v>
      </c>
      <c r="E147" s="1" t="n">
        <v>1100</v>
      </c>
      <c r="F147" s="1" t="inlineStr">
        <is>
          <t>Otanche</t>
        </is>
      </c>
      <c r="G147" s="1" t="inlineStr">
        <is>
          <t>Boyacá</t>
        </is>
      </c>
      <c r="H147" s="39" t="n">
        <v>31</v>
      </c>
      <c r="I147" s="1" t="n">
        <v>2020</v>
      </c>
      <c r="J147" s="1" t="n">
        <v>18</v>
      </c>
      <c r="K147" s="39" t="n">
        <v>31.2</v>
      </c>
      <c r="L147" s="1" t="n">
        <v>1998</v>
      </c>
      <c r="M147" s="1" t="n">
        <v>2</v>
      </c>
      <c r="N147" s="39" t="n">
        <v>32.2</v>
      </c>
      <c r="O147" s="1" t="n">
        <v>1983</v>
      </c>
      <c r="P147" s="1" t="n">
        <v>28</v>
      </c>
      <c r="Q147" s="39" t="n">
        <v>30.4</v>
      </c>
      <c r="R147" s="1" t="n">
        <v>2012</v>
      </c>
      <c r="S147" s="1" t="n">
        <v>8</v>
      </c>
      <c r="T147" s="39" t="n">
        <v>30.6</v>
      </c>
      <c r="U147" s="1" t="n">
        <v>2003</v>
      </c>
      <c r="V147" s="1" t="n">
        <v>1</v>
      </c>
      <c r="W147" s="39" t="n">
        <v>33.4</v>
      </c>
      <c r="X147" s="1" t="n">
        <v>1983</v>
      </c>
      <c r="Y147" s="1" t="n">
        <v>1</v>
      </c>
      <c r="Z147" s="39" t="n">
        <v>31</v>
      </c>
      <c r="AA147" s="1" t="n">
        <v>2002</v>
      </c>
      <c r="AB147" s="1" t="n">
        <v>29</v>
      </c>
      <c r="AC147" s="39" t="n">
        <v>31.6</v>
      </c>
      <c r="AD147" s="1" t="n">
        <v>2002</v>
      </c>
      <c r="AE147" s="1" t="n">
        <v>17</v>
      </c>
      <c r="AF147" s="39" t="n">
        <v>32.8</v>
      </c>
      <c r="AG147" s="1" t="n">
        <v>1991</v>
      </c>
      <c r="AH147" s="1" t="n">
        <v>10</v>
      </c>
      <c r="AI147" s="39" t="n">
        <v>31.6</v>
      </c>
      <c r="AJ147" s="1" t="n">
        <v>1992</v>
      </c>
      <c r="AK147" s="1" t="n">
        <v>24</v>
      </c>
      <c r="AL147" s="39" t="n">
        <v>30.8</v>
      </c>
      <c r="AM147" s="1" t="n">
        <v>1992</v>
      </c>
      <c r="AN147" s="1" t="n">
        <v>24</v>
      </c>
      <c r="AO147" s="39" t="n">
        <v>31.2</v>
      </c>
      <c r="AP147" s="1" t="n">
        <v>1999</v>
      </c>
      <c r="AQ147" s="1" t="n">
        <v>29</v>
      </c>
    </row>
    <row r="148" ht="14.45" customHeight="1">
      <c r="A148" s="1" t="n">
        <v>23125100</v>
      </c>
      <c r="B148" s="1" t="inlineStr">
        <is>
          <t>BUENAVISTA [23125100]</t>
        </is>
      </c>
      <c r="C148" s="1" t="n">
        <v>5.514916667</v>
      </c>
      <c r="D148" s="1" t="n">
        <v>-73.94311111</v>
      </c>
      <c r="E148" s="1" t="n">
        <v>2200</v>
      </c>
      <c r="F148" s="1" t="inlineStr">
        <is>
          <t>Buenavista</t>
        </is>
      </c>
      <c r="G148" s="1" t="inlineStr">
        <is>
          <t>Boyacá</t>
        </is>
      </c>
      <c r="H148" s="39" t="n">
        <v>24.6</v>
      </c>
      <c r="I148" s="1" t="n">
        <v>2024</v>
      </c>
      <c r="J148" s="1" t="n">
        <v>24</v>
      </c>
      <c r="K148" s="39" t="n">
        <v>25.2</v>
      </c>
      <c r="L148" s="1" t="n">
        <v>2024</v>
      </c>
      <c r="M148" s="1" t="n">
        <v>15</v>
      </c>
      <c r="N148" s="39" t="n">
        <v>24.8</v>
      </c>
      <c r="O148" s="1" t="n">
        <v>2024</v>
      </c>
      <c r="P148" s="1" t="n">
        <v>18</v>
      </c>
      <c r="Q148" s="39" t="n">
        <v>24.4</v>
      </c>
      <c r="R148" s="1" t="n">
        <v>2024</v>
      </c>
      <c r="S148" s="1" t="n">
        <v>9</v>
      </c>
      <c r="T148" s="39" t="n">
        <v>24</v>
      </c>
      <c r="U148" s="1" t="n">
        <v>2020</v>
      </c>
      <c r="V148" s="1" t="n">
        <v>23</v>
      </c>
      <c r="W148" s="39" t="n">
        <v>24.8</v>
      </c>
      <c r="X148" s="1" t="n">
        <v>2024</v>
      </c>
      <c r="Y148" s="1" t="n">
        <v>1</v>
      </c>
      <c r="Z148" s="39" t="n">
        <v>24</v>
      </c>
      <c r="AA148" s="1" t="n">
        <v>2007</v>
      </c>
      <c r="AB148" s="1" t="n">
        <v>12</v>
      </c>
      <c r="AC148" s="39" t="n">
        <v>25</v>
      </c>
      <c r="AD148" s="1" t="n">
        <v>2023</v>
      </c>
      <c r="AE148" s="1" t="n">
        <v>31</v>
      </c>
      <c r="AF148" s="39" t="n">
        <v>26.2</v>
      </c>
      <c r="AG148" s="1" t="n">
        <v>2024</v>
      </c>
      <c r="AH148" s="1" t="n">
        <v>16</v>
      </c>
      <c r="AI148" s="39" t="n">
        <v>24.4</v>
      </c>
      <c r="AJ148" s="1" t="n">
        <v>2015</v>
      </c>
      <c r="AK148" s="1" t="n">
        <v>5</v>
      </c>
      <c r="AL148" s="39" t="n">
        <v>22.8</v>
      </c>
      <c r="AM148" s="1" t="n">
        <v>2023</v>
      </c>
      <c r="AN148" s="1" t="n">
        <v>9</v>
      </c>
      <c r="AO148" s="39" t="n">
        <v>23.4</v>
      </c>
      <c r="AP148" s="1" t="n">
        <v>1997</v>
      </c>
      <c r="AQ148" s="1" t="n">
        <v>23</v>
      </c>
    </row>
    <row r="149" ht="14.45" customHeight="1">
      <c r="A149" s="1" t="n">
        <v>23125120</v>
      </c>
      <c r="B149" s="1" t="inlineStr">
        <is>
          <t>CIMITARRA [23125120]</t>
        </is>
      </c>
      <c r="C149" s="1" t="n">
        <v>6.308611111</v>
      </c>
      <c r="D149" s="1" t="n">
        <v>-73.95222222</v>
      </c>
      <c r="E149" s="1" t="n">
        <v>198</v>
      </c>
      <c r="F149" s="1" t="inlineStr">
        <is>
          <t>Cimitarra</t>
        </is>
      </c>
      <c r="G149" s="1" t="inlineStr">
        <is>
          <t>Santander</t>
        </is>
      </c>
      <c r="H149" s="39" t="n">
        <v>36.6</v>
      </c>
      <c r="I149" s="1" t="n">
        <v>2020</v>
      </c>
      <c r="J149" s="1" t="n">
        <v>17</v>
      </c>
      <c r="K149" s="39" t="n">
        <v>37.8</v>
      </c>
      <c r="L149" s="1" t="n">
        <v>2020</v>
      </c>
      <c r="M149" s="1" t="n">
        <v>18</v>
      </c>
      <c r="N149" s="39" t="n">
        <v>37.2</v>
      </c>
      <c r="O149" s="1" t="n">
        <v>2018</v>
      </c>
      <c r="P149" s="1" t="n">
        <v>12</v>
      </c>
      <c r="Q149" s="39" t="n">
        <v>37.8</v>
      </c>
      <c r="R149" s="1" t="n">
        <v>2004</v>
      </c>
      <c r="S149" s="1" t="n">
        <v>6</v>
      </c>
      <c r="T149" s="39" t="n">
        <v>36</v>
      </c>
      <c r="U149" s="1" t="n">
        <v>2020</v>
      </c>
      <c r="V149" s="1" t="n">
        <v>10</v>
      </c>
      <c r="W149" s="39" t="n">
        <v>35.8</v>
      </c>
      <c r="X149" s="1" t="n">
        <v>2015</v>
      </c>
      <c r="Y149" s="1" t="n">
        <v>25</v>
      </c>
      <c r="Z149" s="39" t="n">
        <v>37.8</v>
      </c>
      <c r="AA149" s="1" t="n">
        <v>1997</v>
      </c>
      <c r="AB149" s="1" t="n">
        <v>24</v>
      </c>
      <c r="AC149" s="39" t="n">
        <v>36.8</v>
      </c>
      <c r="AD149" s="1" t="n">
        <v>1986</v>
      </c>
      <c r="AE149" s="1" t="n">
        <v>9</v>
      </c>
      <c r="AF149" s="39" t="n">
        <v>36.8</v>
      </c>
      <c r="AG149" s="1" t="n">
        <v>2024</v>
      </c>
      <c r="AH149" s="1" t="n">
        <v>15</v>
      </c>
      <c r="AI149" s="39" t="n">
        <v>36</v>
      </c>
      <c r="AJ149" s="1" t="n">
        <v>2015</v>
      </c>
      <c r="AK149" s="1" t="n">
        <v>6</v>
      </c>
      <c r="AL149" s="39" t="n">
        <v>35.4</v>
      </c>
      <c r="AM149" s="1" t="n">
        <v>2019</v>
      </c>
      <c r="AN149" s="1" t="n">
        <v>27</v>
      </c>
      <c r="AO149" s="39" t="n">
        <v>36</v>
      </c>
      <c r="AP149" s="1" t="n">
        <v>2015</v>
      </c>
      <c r="AQ149" s="1" t="n">
        <v>29</v>
      </c>
    </row>
    <row r="150" ht="14.45" customHeight="1">
      <c r="A150" s="1" t="n">
        <v>23125130</v>
      </c>
      <c r="B150" s="1" t="inlineStr">
        <is>
          <t>LANDAZURI [23125130]</t>
        </is>
      </c>
      <c r="C150" s="1" t="n">
        <v>6.221388889</v>
      </c>
      <c r="D150" s="1" t="n">
        <v>-73.80888889000001</v>
      </c>
      <c r="E150" s="1" t="n">
        <v>935</v>
      </c>
      <c r="F150" s="1" t="inlineStr">
        <is>
          <t>Landázuri</t>
        </is>
      </c>
      <c r="G150" s="1" t="inlineStr">
        <is>
          <t>Santander</t>
        </is>
      </c>
      <c r="H150" s="39" t="n">
        <v>31</v>
      </c>
      <c r="I150" s="1" t="n">
        <v>1998</v>
      </c>
      <c r="J150" s="1" t="n">
        <v>26</v>
      </c>
      <c r="K150" s="39" t="n">
        <v>31.2</v>
      </c>
      <c r="L150" s="1" t="n">
        <v>1998</v>
      </c>
      <c r="M150" s="1" t="n">
        <v>17</v>
      </c>
      <c r="N150" s="39" t="n">
        <v>30.4</v>
      </c>
      <c r="O150" s="1" t="n">
        <v>1980</v>
      </c>
      <c r="P150" s="1" t="n">
        <v>29</v>
      </c>
      <c r="Q150" s="39" t="n">
        <v>31.8</v>
      </c>
      <c r="R150" s="1" t="n">
        <v>1990</v>
      </c>
      <c r="S150" s="1" t="n">
        <v>10</v>
      </c>
      <c r="T150" s="39" t="n">
        <v>30</v>
      </c>
      <c r="U150" s="1" t="n">
        <v>1991</v>
      </c>
      <c r="V150" s="1" t="n">
        <v>9</v>
      </c>
      <c r="W150" s="39" t="n">
        <v>30.8</v>
      </c>
      <c r="X150" s="1" t="n">
        <v>1990</v>
      </c>
      <c r="Y150" s="1" t="n">
        <v>8</v>
      </c>
      <c r="Z150" s="39" t="n">
        <v>31</v>
      </c>
      <c r="AA150" s="1" t="n">
        <v>1997</v>
      </c>
      <c r="AB150" s="1" t="n">
        <v>24</v>
      </c>
      <c r="AC150" s="39" t="n">
        <v>31</v>
      </c>
      <c r="AD150" s="1" t="n">
        <v>2001</v>
      </c>
      <c r="AE150" s="1" t="n">
        <v>21</v>
      </c>
      <c r="AF150" s="39" t="n">
        <v>30.2</v>
      </c>
      <c r="AG150" s="1" t="n">
        <v>2009</v>
      </c>
      <c r="AH150" s="1" t="n">
        <v>30</v>
      </c>
      <c r="AI150" s="39" t="n">
        <v>30</v>
      </c>
      <c r="AJ150" s="1" t="n">
        <v>1985</v>
      </c>
      <c r="AK150" s="1" t="n">
        <v>4</v>
      </c>
      <c r="AL150" s="39" t="n">
        <v>29.8</v>
      </c>
      <c r="AM150" s="1" t="n">
        <v>1989</v>
      </c>
      <c r="AN150" s="1" t="n">
        <v>18</v>
      </c>
      <c r="AO150" s="39" t="n">
        <v>30</v>
      </c>
      <c r="AP150" s="1" t="n">
        <v>2008</v>
      </c>
      <c r="AQ150" s="1" t="n">
        <v>27</v>
      </c>
    </row>
    <row r="151" ht="14.45" customHeight="1">
      <c r="A151" s="1" t="n">
        <v>23125140</v>
      </c>
      <c r="B151" s="1" t="inlineStr">
        <is>
          <t>AEROPUERTO FURATENA  - AUT [23125140]</t>
        </is>
      </c>
      <c r="C151" s="1" t="n">
        <v>5.520833333</v>
      </c>
      <c r="D151" s="1" t="n">
        <v>-74.18241666999999</v>
      </c>
      <c r="E151" s="1" t="n">
        <v>1250</v>
      </c>
      <c r="F151" s="1" t="inlineStr">
        <is>
          <t>Quípama</t>
        </is>
      </c>
      <c r="G151" s="1" t="inlineStr">
        <is>
          <t>Boyacá</t>
        </is>
      </c>
      <c r="H151" s="39" t="n">
        <v>34.4</v>
      </c>
      <c r="I151" s="1" t="n">
        <v>2010</v>
      </c>
      <c r="J151" s="1" t="n">
        <v>21</v>
      </c>
      <c r="K151" s="39" t="n">
        <v>34.2</v>
      </c>
      <c r="L151" s="1" t="n">
        <v>2010</v>
      </c>
      <c r="M151" s="1" t="n">
        <v>12</v>
      </c>
      <c r="N151" s="39" t="n">
        <v>33.4</v>
      </c>
      <c r="O151" s="1" t="n">
        <v>2010</v>
      </c>
      <c r="P151" s="1" t="n">
        <v>20</v>
      </c>
      <c r="Q151" s="39" t="n">
        <v>34.2</v>
      </c>
      <c r="R151" s="1" t="n">
        <v>2010</v>
      </c>
      <c r="S151" s="1" t="n">
        <v>24</v>
      </c>
      <c r="T151" s="39" t="n">
        <v>35</v>
      </c>
      <c r="U151" s="1" t="n">
        <v>2010</v>
      </c>
      <c r="V151" s="1" t="n">
        <v>9</v>
      </c>
      <c r="W151" s="39" t="n">
        <v>34</v>
      </c>
      <c r="X151" s="1" t="n">
        <v>2018</v>
      </c>
      <c r="Y151" s="1" t="n">
        <v>26</v>
      </c>
      <c r="Z151" s="39" t="n">
        <v>33.8</v>
      </c>
      <c r="AA151" s="1" t="n">
        <v>2000</v>
      </c>
      <c r="AB151" s="1" t="n">
        <v>4</v>
      </c>
      <c r="AC151" s="39" t="n">
        <v>33.4</v>
      </c>
      <c r="AD151" s="1" t="n">
        <v>2000</v>
      </c>
      <c r="AE151" s="1" t="n">
        <v>11</v>
      </c>
      <c r="AF151" s="39" t="n">
        <v>33.2</v>
      </c>
      <c r="AG151" s="1" t="n">
        <v>2002</v>
      </c>
      <c r="AH151" s="1" t="n">
        <v>8</v>
      </c>
      <c r="AI151" s="39" t="n">
        <v>31.8</v>
      </c>
      <c r="AJ151" s="1" t="n">
        <v>1998</v>
      </c>
      <c r="AK151" s="1" t="n">
        <v>11</v>
      </c>
      <c r="AL151" s="39" t="n">
        <v>35</v>
      </c>
      <c r="AM151" s="1" t="n">
        <v>2000</v>
      </c>
      <c r="AN151" s="1" t="n">
        <v>30</v>
      </c>
      <c r="AO151" s="39" t="n">
        <v>32.4</v>
      </c>
      <c r="AP151" s="1" t="n">
        <v>2009</v>
      </c>
      <c r="AQ151" s="1" t="n">
        <v>5</v>
      </c>
    </row>
    <row r="152" ht="14.45" customHeight="1">
      <c r="A152" s="1" t="n">
        <v>23145020</v>
      </c>
      <c r="B152" s="1" t="inlineStr">
        <is>
          <t>CARMEN EL [23145020]</t>
        </is>
      </c>
      <c r="C152" s="1" t="n">
        <v>6.696388889</v>
      </c>
      <c r="D152" s="1" t="n">
        <v>-73.51000000000001</v>
      </c>
      <c r="E152" s="1" t="n">
        <v>805</v>
      </c>
      <c r="F152" s="1" t="inlineStr">
        <is>
          <t>El Carmen</t>
        </is>
      </c>
      <c r="G152" s="1" t="inlineStr">
        <is>
          <t>Santander</t>
        </is>
      </c>
      <c r="H152" s="39" t="n">
        <v>32.6</v>
      </c>
      <c r="I152" s="1" t="n">
        <v>1998</v>
      </c>
      <c r="J152" s="1" t="n">
        <v>26</v>
      </c>
      <c r="K152" s="39" t="n">
        <v>33.4</v>
      </c>
      <c r="L152" s="1" t="n">
        <v>2017</v>
      </c>
      <c r="M152" s="1" t="n">
        <v>7</v>
      </c>
      <c r="N152" s="39" t="n">
        <v>32.8</v>
      </c>
      <c r="O152" s="1" t="n">
        <v>2016</v>
      </c>
      <c r="P152" s="1" t="n">
        <v>26</v>
      </c>
      <c r="Q152" s="39" t="n">
        <v>33.6</v>
      </c>
      <c r="R152" s="1" t="n">
        <v>2017</v>
      </c>
      <c r="S152" s="1" t="n">
        <v>6</v>
      </c>
      <c r="T152" s="39" t="n">
        <v>32.4</v>
      </c>
      <c r="U152" s="1" t="n">
        <v>2017</v>
      </c>
      <c r="V152" s="1" t="n">
        <v>19</v>
      </c>
      <c r="W152" s="39" t="n">
        <v>33.6</v>
      </c>
      <c r="X152" s="1" t="n">
        <v>2017</v>
      </c>
      <c r="Y152" s="1" t="n">
        <v>30</v>
      </c>
      <c r="Z152" s="39" t="n">
        <v>33.2</v>
      </c>
      <c r="AA152" s="1" t="n">
        <v>2015</v>
      </c>
      <c r="AB152" s="1" t="n">
        <v>29</v>
      </c>
      <c r="AC152" s="39" t="n">
        <v>34</v>
      </c>
      <c r="AD152" s="1" t="n">
        <v>2004</v>
      </c>
      <c r="AE152" s="1" t="n">
        <v>9</v>
      </c>
      <c r="AF152" s="39" t="n">
        <v>31.6</v>
      </c>
      <c r="AG152" s="1" t="n">
        <v>1994</v>
      </c>
      <c r="AH152" s="1" t="n">
        <v>6</v>
      </c>
      <c r="AI152" s="39" t="n">
        <v>32</v>
      </c>
      <c r="AJ152" s="1" t="n">
        <v>2004</v>
      </c>
      <c r="AK152" s="1" t="n">
        <v>3</v>
      </c>
      <c r="AL152" s="39" t="n">
        <v>31</v>
      </c>
      <c r="AM152" s="1" t="n">
        <v>1997</v>
      </c>
      <c r="AN152" s="1" t="n">
        <v>4</v>
      </c>
      <c r="AO152" s="39" t="n">
        <v>32.6</v>
      </c>
      <c r="AP152" s="1" t="n">
        <v>2004</v>
      </c>
      <c r="AQ152" s="1" t="n">
        <v>29</v>
      </c>
    </row>
    <row r="153" ht="14.45" customHeight="1">
      <c r="A153" s="1" t="n">
        <v>23155030</v>
      </c>
      <c r="B153" s="1" t="inlineStr">
        <is>
          <t>AEROPUERTO YARIGUIES AUT [23155030]</t>
        </is>
      </c>
      <c r="C153" s="1" t="n">
        <v>7.026388889</v>
      </c>
      <c r="D153" s="1" t="n">
        <v>-73.80861111</v>
      </c>
      <c r="E153" s="1" t="n">
        <v>126</v>
      </c>
      <c r="F153" s="1" t="inlineStr">
        <is>
          <t>Barrancabermeja</t>
        </is>
      </c>
      <c r="G153" s="1" t="inlineStr">
        <is>
          <t>Santander</t>
        </is>
      </c>
      <c r="H153" s="39" t="n">
        <v>37.6</v>
      </c>
      <c r="I153" s="1" t="n">
        <v>2019</v>
      </c>
      <c r="J153" s="1" t="n">
        <v>24</v>
      </c>
      <c r="K153" s="39" t="n">
        <v>38</v>
      </c>
      <c r="L153" s="1" t="n">
        <v>2016</v>
      </c>
      <c r="M153" s="1" t="n">
        <v>16</v>
      </c>
      <c r="N153" s="39" t="n">
        <v>38.4</v>
      </c>
      <c r="O153" s="1" t="n">
        <v>2024</v>
      </c>
      <c r="P153" s="1" t="n">
        <v>18</v>
      </c>
      <c r="Q153" s="39" t="n">
        <v>37.7</v>
      </c>
      <c r="R153" s="1" t="n">
        <v>1998</v>
      </c>
      <c r="S153" s="1" t="n">
        <v>10</v>
      </c>
      <c r="T153" s="39" t="n">
        <v>36.4</v>
      </c>
      <c r="U153" s="1" t="n">
        <v>2025</v>
      </c>
      <c r="V153" s="1" t="n">
        <v>29</v>
      </c>
      <c r="W153" s="39" t="n">
        <v>37</v>
      </c>
      <c r="X153" s="1" t="n">
        <v>2024</v>
      </c>
      <c r="Y153" s="1" t="n">
        <v>2</v>
      </c>
      <c r="Z153" s="39" t="n">
        <v>37.6</v>
      </c>
      <c r="AA153" s="1" t="n">
        <v>2015</v>
      </c>
      <c r="AB153" s="1" t="n">
        <v>2</v>
      </c>
      <c r="AC153" s="39" t="n">
        <v>37.2</v>
      </c>
      <c r="AD153" s="1" t="n">
        <v>2015</v>
      </c>
      <c r="AE153" s="1" t="n">
        <v>5</v>
      </c>
      <c r="AF153" s="39" t="n">
        <v>36.6</v>
      </c>
      <c r="AG153" s="1" t="n">
        <v>2023</v>
      </c>
      <c r="AH153" s="1" t="n">
        <v>6</v>
      </c>
      <c r="AI153" s="39" t="n">
        <v>35.8</v>
      </c>
      <c r="AJ153" s="1" t="n">
        <v>2015</v>
      </c>
      <c r="AK153" s="1" t="n">
        <v>6</v>
      </c>
      <c r="AL153" s="39" t="n">
        <v>35.8</v>
      </c>
      <c r="AM153" s="1" t="n">
        <v>2023</v>
      </c>
      <c r="AN153" s="1" t="n">
        <v>28</v>
      </c>
      <c r="AO153" s="39" t="n">
        <v>36.4</v>
      </c>
      <c r="AP153" s="1" t="n">
        <v>2015</v>
      </c>
      <c r="AQ153" s="1" t="n">
        <v>31</v>
      </c>
    </row>
    <row r="154" ht="14.45" customHeight="1">
      <c r="A154" s="1" t="n">
        <v>23155040</v>
      </c>
      <c r="B154" s="1" t="inlineStr">
        <is>
          <t>CENTRO EL [23155040]</t>
        </is>
      </c>
      <c r="C154" s="1" t="n">
        <v>6.859555556</v>
      </c>
      <c r="D154" s="1" t="n">
        <v>-73.76508333</v>
      </c>
      <c r="E154" s="1" t="n">
        <v>114</v>
      </c>
      <c r="F154" s="1" t="inlineStr">
        <is>
          <t>Barrancabermeja</t>
        </is>
      </c>
      <c r="G154" s="1" t="inlineStr">
        <is>
          <t>Santander</t>
        </is>
      </c>
      <c r="H154" s="39" t="n">
        <v>37.6</v>
      </c>
      <c r="I154" s="1" t="n">
        <v>1998</v>
      </c>
      <c r="J154" s="1" t="n">
        <v>5</v>
      </c>
      <c r="K154" s="39" t="n">
        <v>38</v>
      </c>
      <c r="L154" s="1" t="n">
        <v>2003</v>
      </c>
      <c r="M154" s="1" t="n">
        <v>18</v>
      </c>
      <c r="N154" s="39" t="n">
        <v>38.2</v>
      </c>
      <c r="O154" s="1" t="n">
        <v>2024</v>
      </c>
      <c r="P154" s="1" t="n">
        <v>13</v>
      </c>
      <c r="Q154" s="39" t="n">
        <v>37</v>
      </c>
      <c r="R154" s="1" t="n">
        <v>1980</v>
      </c>
      <c r="S154" s="1" t="n">
        <v>19</v>
      </c>
      <c r="T154" s="39" t="n">
        <v>37.8</v>
      </c>
      <c r="U154" s="1" t="n">
        <v>2023</v>
      </c>
      <c r="V154" s="1" t="n">
        <v>31</v>
      </c>
      <c r="W154" s="39" t="n">
        <v>37</v>
      </c>
      <c r="X154" s="1" t="n">
        <v>2001</v>
      </c>
      <c r="Y154" s="1" t="n">
        <v>28</v>
      </c>
      <c r="Z154" s="39" t="n">
        <v>37.8</v>
      </c>
      <c r="AA154" s="1" t="n">
        <v>1997</v>
      </c>
      <c r="AB154" s="1" t="n">
        <v>24</v>
      </c>
      <c r="AC154" s="39" t="n">
        <v>38.4</v>
      </c>
      <c r="AD154" s="1" t="n">
        <v>2001</v>
      </c>
      <c r="AE154" s="1" t="n">
        <v>23</v>
      </c>
      <c r="AF154" s="39" t="n">
        <v>36.8</v>
      </c>
      <c r="AG154" s="1" t="n">
        <v>2023</v>
      </c>
      <c r="AH154" s="1" t="n">
        <v>25</v>
      </c>
      <c r="AI154" s="39" t="n">
        <v>36.6</v>
      </c>
      <c r="AJ154" s="1" t="n">
        <v>2025</v>
      </c>
      <c r="AK154" s="1" t="n">
        <v>18</v>
      </c>
      <c r="AL154" s="39" t="n">
        <v>35.8</v>
      </c>
      <c r="AM154" s="1" t="n">
        <v>1981</v>
      </c>
      <c r="AN154" s="1" t="n">
        <v>27</v>
      </c>
      <c r="AO154" s="39" t="n">
        <v>36.2</v>
      </c>
      <c r="AP154" s="1" t="n">
        <v>2009</v>
      </c>
      <c r="AQ154" s="1" t="n">
        <v>17</v>
      </c>
    </row>
    <row r="155" ht="14.45" customHeight="1">
      <c r="A155" s="1" t="n">
        <v>23175020</v>
      </c>
      <c r="B155" s="1" t="inlineStr">
        <is>
          <t>AEROPUERTO OTU [23175020]</t>
        </is>
      </c>
      <c r="C155" s="1" t="n">
        <v>7.01175</v>
      </c>
      <c r="D155" s="1" t="n">
        <v>-74.71630556</v>
      </c>
      <c r="E155" s="1" t="n">
        <v>643</v>
      </c>
      <c r="F155" s="1" t="inlineStr">
        <is>
          <t>Remedios</t>
        </is>
      </c>
      <c r="G155" s="1" t="inlineStr">
        <is>
          <t>Antioquia</t>
        </is>
      </c>
      <c r="H155" s="39" t="n">
        <v>35.2</v>
      </c>
      <c r="I155" s="1" t="n">
        <v>1998</v>
      </c>
      <c r="J155" s="1" t="n">
        <v>4</v>
      </c>
      <c r="K155" s="39" t="n">
        <v>35.6</v>
      </c>
      <c r="L155" s="1" t="n">
        <v>1998</v>
      </c>
      <c r="M155" s="1" t="n">
        <v>17</v>
      </c>
      <c r="N155" s="39" t="n">
        <v>34.8</v>
      </c>
      <c r="O155" s="1" t="n">
        <v>2003</v>
      </c>
      <c r="P155" s="1" t="n">
        <v>5</v>
      </c>
      <c r="Q155" s="39" t="n">
        <v>33.8</v>
      </c>
      <c r="R155" s="1" t="n">
        <v>2013</v>
      </c>
      <c r="S155" s="1" t="n">
        <v>1</v>
      </c>
      <c r="T155" s="39" t="n">
        <v>32.9</v>
      </c>
      <c r="U155" s="1" t="n">
        <v>1984</v>
      </c>
      <c r="V155" s="1" t="n">
        <v>10</v>
      </c>
      <c r="W155" s="39" t="n">
        <v>34</v>
      </c>
      <c r="X155" s="1" t="n">
        <v>2013</v>
      </c>
      <c r="Y155" s="1" t="n">
        <v>14</v>
      </c>
      <c r="Z155" s="39" t="n">
        <v>34.6</v>
      </c>
      <c r="AA155" s="1" t="n">
        <v>2015</v>
      </c>
      <c r="AB155" s="1" t="n">
        <v>4</v>
      </c>
      <c r="AC155" s="39" t="n">
        <v>34.6</v>
      </c>
      <c r="AD155" s="1" t="n">
        <v>2023</v>
      </c>
      <c r="AE155" s="1" t="n">
        <v>2</v>
      </c>
      <c r="AF155" s="39" t="n">
        <v>33</v>
      </c>
      <c r="AG155" s="1" t="n">
        <v>2015</v>
      </c>
      <c r="AH155" s="1" t="n">
        <v>13</v>
      </c>
      <c r="AI155" s="39" t="n">
        <v>32</v>
      </c>
      <c r="AJ155" s="1" t="n">
        <v>1997</v>
      </c>
      <c r="AK155" s="1" t="n">
        <v>25</v>
      </c>
      <c r="AL155" s="39" t="n">
        <v>32</v>
      </c>
      <c r="AM155" s="1" t="n">
        <v>2003</v>
      </c>
      <c r="AN155" s="1" t="n">
        <v>27</v>
      </c>
      <c r="AO155" s="39" t="n">
        <v>32.8</v>
      </c>
      <c r="AP155" s="1" t="n">
        <v>1997</v>
      </c>
      <c r="AQ155" s="1" t="n">
        <v>25</v>
      </c>
    </row>
    <row r="156" ht="14.45" customHeight="1">
      <c r="A156" s="1" t="n">
        <v>23185010</v>
      </c>
      <c r="B156" s="1" t="inlineStr">
        <is>
          <t>VILLA LEIVA [23185010]</t>
        </is>
      </c>
      <c r="C156" s="1" t="n">
        <v>7.456111111</v>
      </c>
      <c r="D156" s="1" t="n">
        <v>-73.53722222</v>
      </c>
      <c r="E156" s="1" t="n">
        <v>328</v>
      </c>
      <c r="F156" s="1" t="inlineStr">
        <is>
          <t>Sabana De Torres</t>
        </is>
      </c>
      <c r="G156" s="1" t="inlineStr">
        <is>
          <t>Santander</t>
        </is>
      </c>
      <c r="H156" s="39" t="n">
        <v>38.6</v>
      </c>
      <c r="I156" s="1" t="n">
        <v>1998</v>
      </c>
      <c r="J156" s="1" t="n">
        <v>27</v>
      </c>
      <c r="K156" s="39" t="n">
        <v>39.4</v>
      </c>
      <c r="L156" s="1" t="n">
        <v>2003</v>
      </c>
      <c r="M156" s="1" t="n">
        <v>24</v>
      </c>
      <c r="N156" s="39" t="n">
        <v>39.8</v>
      </c>
      <c r="O156" s="1" t="n">
        <v>2007</v>
      </c>
      <c r="P156" s="1" t="n">
        <v>7</v>
      </c>
      <c r="Q156" s="39" t="n">
        <v>37.6</v>
      </c>
      <c r="R156" s="1" t="n">
        <v>1979</v>
      </c>
      <c r="S156" s="1" t="n">
        <v>11</v>
      </c>
      <c r="T156" s="39" t="n">
        <v>38.4</v>
      </c>
      <c r="U156" s="1" t="n">
        <v>2004</v>
      </c>
      <c r="V156" s="1" t="n">
        <v>8</v>
      </c>
      <c r="W156" s="39" t="n">
        <v>38</v>
      </c>
      <c r="X156" s="1" t="n">
        <v>2012</v>
      </c>
      <c r="Y156" s="1" t="n">
        <v>8</v>
      </c>
      <c r="Z156" s="39" t="n">
        <v>38.8</v>
      </c>
      <c r="AA156" s="1" t="n">
        <v>2012</v>
      </c>
      <c r="AB156" s="1" t="n">
        <v>28</v>
      </c>
      <c r="AC156" s="39" t="n">
        <v>38</v>
      </c>
      <c r="AD156" s="1" t="n">
        <v>1997</v>
      </c>
      <c r="AE156" s="1" t="n">
        <v>20</v>
      </c>
      <c r="AF156" s="39" t="n">
        <v>37.8</v>
      </c>
      <c r="AG156" s="1" t="n">
        <v>2014</v>
      </c>
      <c r="AH156" s="1" t="n">
        <v>1</v>
      </c>
      <c r="AI156" s="39" t="n">
        <v>37.4</v>
      </c>
      <c r="AJ156" s="1" t="n">
        <v>2003</v>
      </c>
      <c r="AK156" s="1" t="n">
        <v>15</v>
      </c>
      <c r="AL156" s="39" t="n">
        <v>37.2</v>
      </c>
      <c r="AM156" s="1" t="n">
        <v>2001</v>
      </c>
      <c r="AN156" s="1" t="n">
        <v>23</v>
      </c>
      <c r="AO156" s="39" t="n">
        <v>36.6</v>
      </c>
      <c r="AP156" s="1" t="n">
        <v>1997</v>
      </c>
      <c r="AQ156" s="1" t="n">
        <v>27</v>
      </c>
    </row>
    <row r="157" ht="14.45" customHeight="1">
      <c r="A157" s="1" t="n">
        <v>23195040</v>
      </c>
      <c r="B157" s="1" t="inlineStr">
        <is>
          <t>UNIVERSIDAD INDUSTRIAL SANTANDER [23195040]</t>
        </is>
      </c>
      <c r="C157" s="1" t="n">
        <v>7.144722222</v>
      </c>
      <c r="D157" s="1" t="n">
        <v>-73.12222222</v>
      </c>
      <c r="E157" s="1" t="n">
        <v>118</v>
      </c>
      <c r="F157" s="1" t="inlineStr">
        <is>
          <t>Bucaramanga</t>
        </is>
      </c>
      <c r="G157" s="1" t="inlineStr">
        <is>
          <t>Santander</t>
        </is>
      </c>
      <c r="H157" s="39" t="n">
        <v>32</v>
      </c>
      <c r="I157" s="1" t="n">
        <v>1993</v>
      </c>
      <c r="J157" s="1" t="n">
        <v>20</v>
      </c>
      <c r="K157" s="39" t="n">
        <v>33</v>
      </c>
      <c r="L157" s="1" t="n">
        <v>1987</v>
      </c>
      <c r="M157" s="1" t="n">
        <v>26</v>
      </c>
      <c r="N157" s="39" t="n">
        <v>35.2</v>
      </c>
      <c r="O157" s="1" t="n">
        <v>1993</v>
      </c>
      <c r="P157" s="1" t="n">
        <v>17</v>
      </c>
      <c r="Q157" s="39" t="n">
        <v>33.8</v>
      </c>
      <c r="R157" s="1" t="n">
        <v>1992</v>
      </c>
      <c r="S157" s="1" t="n">
        <v>9</v>
      </c>
      <c r="T157" s="39" t="n">
        <v>32.4</v>
      </c>
      <c r="U157" s="1" t="n">
        <v>1991</v>
      </c>
      <c r="V157" s="1" t="n">
        <v>9</v>
      </c>
      <c r="W157" s="39" t="n">
        <v>33.8</v>
      </c>
      <c r="X157" s="1" t="n">
        <v>1992</v>
      </c>
      <c r="Y157" s="1" t="n">
        <v>24</v>
      </c>
      <c r="Z157" s="39" t="n">
        <v>32.6</v>
      </c>
      <c r="AA157" s="1" t="n">
        <v>1992</v>
      </c>
      <c r="AB157" s="1" t="n">
        <v>19</v>
      </c>
      <c r="AC157" s="39" t="n">
        <v>33.8</v>
      </c>
      <c r="AD157" s="1" t="n">
        <v>1992</v>
      </c>
      <c r="AE157" s="1" t="n">
        <v>20</v>
      </c>
      <c r="AF157" s="39" t="n">
        <v>32.6</v>
      </c>
      <c r="AG157" s="1" t="n">
        <v>1992</v>
      </c>
      <c r="AH157" s="1" t="n">
        <v>11</v>
      </c>
      <c r="AI157" s="39" t="n">
        <v>32.4</v>
      </c>
      <c r="AJ157" s="1" t="n">
        <v>1992</v>
      </c>
      <c r="AK157" s="1" t="n">
        <v>28</v>
      </c>
      <c r="AL157" s="39" t="n">
        <v>32.4</v>
      </c>
      <c r="AM157" s="1" t="n">
        <v>1981</v>
      </c>
      <c r="AN157" s="1" t="n">
        <v>20</v>
      </c>
      <c r="AO157" s="39" t="n">
        <v>31</v>
      </c>
      <c r="AP157" s="1" t="n">
        <v>1992</v>
      </c>
      <c r="AQ157" s="1" t="n">
        <v>27</v>
      </c>
    </row>
    <row r="158" ht="14.45" customHeight="1">
      <c r="A158" s="1" t="n">
        <v>23195090</v>
      </c>
      <c r="B158" s="1" t="inlineStr">
        <is>
          <t>VIVERO SURATA  - AUT [23195090]</t>
        </is>
      </c>
      <c r="C158" s="1" t="n">
        <v>7.36583</v>
      </c>
      <c r="D158" s="1" t="n">
        <v>-72.9875</v>
      </c>
      <c r="E158" s="1" t="n">
        <v>1791</v>
      </c>
      <c r="F158" s="1" t="inlineStr">
        <is>
          <t>Suratá</t>
        </is>
      </c>
      <c r="G158" s="1" t="inlineStr">
        <is>
          <t>Santander</t>
        </is>
      </c>
      <c r="H158" s="39" t="n">
        <v>28.8</v>
      </c>
      <c r="I158" s="1" t="n">
        <v>1983</v>
      </c>
      <c r="J158" s="1" t="n">
        <v>22</v>
      </c>
      <c r="K158" s="39" t="n">
        <v>30.2</v>
      </c>
      <c r="L158" s="1" t="n">
        <v>1983</v>
      </c>
      <c r="M158" s="1" t="n">
        <v>15</v>
      </c>
      <c r="N158" s="39" t="n">
        <v>30</v>
      </c>
      <c r="O158" s="1" t="n">
        <v>1980</v>
      </c>
      <c r="P158" s="1" t="n">
        <v>27</v>
      </c>
      <c r="Q158" s="39" t="n">
        <v>29.8</v>
      </c>
      <c r="R158" s="1" t="n">
        <v>2024</v>
      </c>
      <c r="S158" s="1" t="n">
        <v>15</v>
      </c>
      <c r="T158" s="39" t="n">
        <v>29</v>
      </c>
      <c r="U158" s="1" t="n">
        <v>2020</v>
      </c>
      <c r="V158" s="1" t="n">
        <v>10</v>
      </c>
      <c r="W158" s="39" t="n">
        <v>30.2</v>
      </c>
      <c r="X158" s="1" t="n">
        <v>2015</v>
      </c>
      <c r="Y158" s="1" t="n">
        <v>24</v>
      </c>
      <c r="Z158" s="39" t="n">
        <v>30</v>
      </c>
      <c r="AA158" s="1" t="n">
        <v>2012</v>
      </c>
      <c r="AB158" s="1" t="n">
        <v>15</v>
      </c>
      <c r="AC158" s="39" t="n">
        <v>29.4</v>
      </c>
      <c r="AD158" s="1" t="n">
        <v>2004</v>
      </c>
      <c r="AE158" s="1" t="n">
        <v>16</v>
      </c>
      <c r="AF158" s="39" t="n">
        <v>30</v>
      </c>
      <c r="AG158" s="1" t="n">
        <v>2015</v>
      </c>
      <c r="AH158" s="1" t="n">
        <v>15</v>
      </c>
      <c r="AI158" s="39" t="n">
        <v>28.8</v>
      </c>
      <c r="AJ158" s="1" t="n">
        <v>2011</v>
      </c>
      <c r="AK158" s="1" t="n">
        <v>28</v>
      </c>
      <c r="AL158" s="39" t="n">
        <v>27.6</v>
      </c>
      <c r="AM158" s="1" t="n">
        <v>2009</v>
      </c>
      <c r="AN158" s="1" t="n">
        <v>10</v>
      </c>
      <c r="AO158" s="39" t="n">
        <v>34.4</v>
      </c>
      <c r="AP158" s="1" t="n">
        <v>2019</v>
      </c>
      <c r="AQ158" s="1" t="n">
        <v>16</v>
      </c>
    </row>
    <row r="159" ht="14.45" customHeight="1">
      <c r="A159" s="1" t="n">
        <v>23195110</v>
      </c>
      <c r="B159" s="1" t="inlineStr">
        <is>
          <t>LLANO GRANDE  - AUT [23195110]</t>
        </is>
      </c>
      <c r="C159" s="1" t="n">
        <v>7.025555556</v>
      </c>
      <c r="D159" s="1" t="n">
        <v>-73.16722222</v>
      </c>
      <c r="E159" s="1" t="n">
        <v>777</v>
      </c>
      <c r="F159" s="1" t="inlineStr">
        <is>
          <t>Girón</t>
        </is>
      </c>
      <c r="G159" s="1" t="inlineStr">
        <is>
          <t>Santander</t>
        </is>
      </c>
      <c r="H159" s="39" t="n">
        <v>36.5</v>
      </c>
      <c r="I159" s="1" t="n">
        <v>1998</v>
      </c>
      <c r="J159" s="1" t="n">
        <v>2</v>
      </c>
      <c r="K159" s="39" t="n">
        <v>36.4</v>
      </c>
      <c r="L159" s="1" t="n">
        <v>2020</v>
      </c>
      <c r="M159" s="1" t="n">
        <v>19</v>
      </c>
      <c r="N159" s="39" t="n">
        <v>36.2</v>
      </c>
      <c r="O159" s="1" t="n">
        <v>2024</v>
      </c>
      <c r="P159" s="1" t="n">
        <v>18</v>
      </c>
      <c r="Q159" s="39" t="n">
        <v>36.4</v>
      </c>
      <c r="R159" s="1" t="n">
        <v>1983</v>
      </c>
      <c r="S159" s="1" t="n">
        <v>9</v>
      </c>
      <c r="T159" s="39" t="n">
        <v>36.6</v>
      </c>
      <c r="U159" s="1" t="n">
        <v>2020</v>
      </c>
      <c r="V159" s="1" t="n">
        <v>24</v>
      </c>
      <c r="W159" s="39" t="n">
        <v>36</v>
      </c>
      <c r="X159" s="1" t="n">
        <v>2015</v>
      </c>
      <c r="Y159" s="1" t="n">
        <v>24</v>
      </c>
      <c r="Z159" s="39" t="n">
        <v>35</v>
      </c>
      <c r="AA159" s="1" t="n">
        <v>2009</v>
      </c>
      <c r="AB159" s="1" t="n">
        <v>23</v>
      </c>
      <c r="AC159" s="39" t="n">
        <v>35.5</v>
      </c>
      <c r="AD159" s="1" t="n">
        <v>1998</v>
      </c>
      <c r="AE159" s="1" t="n">
        <v>23</v>
      </c>
      <c r="AF159" s="39" t="n">
        <v>36</v>
      </c>
      <c r="AG159" s="1" t="n">
        <v>2024</v>
      </c>
      <c r="AH159" s="1" t="n">
        <v>15</v>
      </c>
      <c r="AI159" s="39" t="n">
        <v>35</v>
      </c>
      <c r="AJ159" s="1" t="n">
        <v>2023</v>
      </c>
      <c r="AK159" s="1" t="n">
        <v>13</v>
      </c>
      <c r="AL159" s="39" t="n">
        <v>35.1</v>
      </c>
      <c r="AM159" s="1" t="n">
        <v>1997</v>
      </c>
      <c r="AN159" s="1" t="n">
        <v>6</v>
      </c>
      <c r="AO159" s="39" t="n">
        <v>36.2</v>
      </c>
      <c r="AP159" s="1" t="n">
        <v>1983</v>
      </c>
      <c r="AQ159" s="1" t="n">
        <v>8</v>
      </c>
    </row>
    <row r="160" ht="14.45" customHeight="1">
      <c r="A160" s="1" t="n">
        <v>23195180</v>
      </c>
      <c r="B160" s="1" t="inlineStr">
        <is>
          <t>ESCUELA AGRICOLA CACHIRA [23195180]</t>
        </is>
      </c>
      <c r="C160" s="1" t="n">
        <v>7.735277778</v>
      </c>
      <c r="D160" s="1" t="n">
        <v>-73.05166667</v>
      </c>
      <c r="E160" s="1" t="n">
        <v>1882</v>
      </c>
      <c r="F160" s="1" t="inlineStr">
        <is>
          <t>Cáchira</t>
        </is>
      </c>
      <c r="G160" s="1" t="inlineStr">
        <is>
          <t>Norte De Santander</t>
        </is>
      </c>
      <c r="H160" s="39" t="n">
        <v>27</v>
      </c>
      <c r="I160" s="1" t="n">
        <v>1979</v>
      </c>
      <c r="J160" s="1" t="n">
        <v>29</v>
      </c>
      <c r="K160" s="39" t="n">
        <v>27.4</v>
      </c>
      <c r="L160" s="1" t="n">
        <v>1998</v>
      </c>
      <c r="M160" s="1" t="n">
        <v>17</v>
      </c>
      <c r="N160" s="39" t="n">
        <v>27.4</v>
      </c>
      <c r="O160" s="1" t="n">
        <v>2016</v>
      </c>
      <c r="P160" s="1" t="n">
        <v>23</v>
      </c>
      <c r="Q160" s="39" t="n">
        <v>26.7</v>
      </c>
      <c r="R160" s="1" t="n">
        <v>2010</v>
      </c>
      <c r="S160" s="1" t="n">
        <v>23</v>
      </c>
      <c r="T160" s="39" t="n">
        <v>27.4</v>
      </c>
      <c r="U160" s="1" t="n">
        <v>2015</v>
      </c>
      <c r="V160" s="1" t="n">
        <v>10</v>
      </c>
      <c r="W160" s="39" t="n">
        <v>26.8</v>
      </c>
      <c r="X160" s="1" t="n">
        <v>2015</v>
      </c>
      <c r="Y160" s="1" t="n">
        <v>24</v>
      </c>
      <c r="Z160" s="39" t="n">
        <v>27</v>
      </c>
      <c r="AA160" s="1" t="n">
        <v>2021</v>
      </c>
      <c r="AB160" s="1" t="n">
        <v>31</v>
      </c>
      <c r="AC160" s="39" t="n">
        <v>27.4</v>
      </c>
      <c r="AD160" s="1" t="n">
        <v>2004</v>
      </c>
      <c r="AE160" s="1" t="n">
        <v>1</v>
      </c>
      <c r="AF160" s="39" t="n">
        <v>26.9</v>
      </c>
      <c r="AG160" s="1" t="n">
        <v>1989</v>
      </c>
      <c r="AH160" s="1" t="n">
        <v>12</v>
      </c>
      <c r="AI160" s="39" t="n">
        <v>26.4</v>
      </c>
      <c r="AJ160" s="1" t="n">
        <v>1982</v>
      </c>
      <c r="AK160" s="1" t="n">
        <v>1</v>
      </c>
      <c r="AL160" s="39" t="n">
        <v>25.6</v>
      </c>
      <c r="AM160" s="1" t="n">
        <v>2009</v>
      </c>
      <c r="AN160" s="1" t="n">
        <v>22</v>
      </c>
      <c r="AO160" s="39" t="n">
        <v>26.4</v>
      </c>
      <c r="AP160" s="1" t="n">
        <v>2015</v>
      </c>
      <c r="AQ160" s="1" t="n">
        <v>29</v>
      </c>
    </row>
    <row r="161" ht="14.45" customHeight="1">
      <c r="A161" s="1" t="n">
        <v>23195200</v>
      </c>
      <c r="B161" s="1" t="inlineStr">
        <is>
          <t>CACHIRI  - AUT [23195200]</t>
        </is>
      </c>
      <c r="C161" s="1" t="n">
        <v>7.47389</v>
      </c>
      <c r="D161" s="1" t="n">
        <v>-72.99111000000001</v>
      </c>
      <c r="E161" s="1" t="n">
        <v>1885</v>
      </c>
      <c r="F161" s="1" t="inlineStr">
        <is>
          <t>Suratá</t>
        </is>
      </c>
      <c r="G161" s="1" t="inlineStr">
        <is>
          <t>Santander</t>
        </is>
      </c>
      <c r="H161" s="39" t="n">
        <v>28</v>
      </c>
      <c r="I161" s="1" t="n">
        <v>2024</v>
      </c>
      <c r="J161" s="1" t="n">
        <v>22</v>
      </c>
      <c r="K161" s="39" t="n">
        <v>27.8</v>
      </c>
      <c r="L161" s="1" t="n">
        <v>1983</v>
      </c>
      <c r="M161" s="1" t="n">
        <v>22</v>
      </c>
      <c r="N161" s="39" t="n">
        <v>29.4</v>
      </c>
      <c r="O161" s="1" t="n">
        <v>2024</v>
      </c>
      <c r="P161" s="1" t="n">
        <v>15</v>
      </c>
      <c r="Q161" s="39" t="n">
        <v>29.4</v>
      </c>
      <c r="R161" s="1" t="n">
        <v>1984</v>
      </c>
      <c r="S161" s="1" t="n">
        <v>30</v>
      </c>
      <c r="T161" s="39" t="n">
        <v>29.2</v>
      </c>
      <c r="U161" s="1" t="n">
        <v>1991</v>
      </c>
      <c r="V161" s="1" t="n">
        <v>28</v>
      </c>
      <c r="W161" s="39" t="n">
        <v>28.6</v>
      </c>
      <c r="X161" s="1" t="n">
        <v>2015</v>
      </c>
      <c r="Y161" s="1" t="n">
        <v>24</v>
      </c>
      <c r="Z161" s="39" t="n">
        <v>29.3</v>
      </c>
      <c r="AA161" s="1" t="n">
        <v>1991</v>
      </c>
      <c r="AB161" s="1" t="n">
        <v>19</v>
      </c>
      <c r="AC161" s="39" t="n">
        <v>28.8</v>
      </c>
      <c r="AD161" s="1" t="n">
        <v>2001</v>
      </c>
      <c r="AE161" s="1" t="n">
        <v>17</v>
      </c>
      <c r="AF161" s="39" t="n">
        <v>28.6</v>
      </c>
      <c r="AG161" s="1" t="n">
        <v>2004</v>
      </c>
      <c r="AH161" s="1" t="n">
        <v>23</v>
      </c>
      <c r="AI161" s="39" t="n">
        <v>25.8</v>
      </c>
      <c r="AJ161" s="1" t="n">
        <v>1990</v>
      </c>
      <c r="AK161" s="1" t="n">
        <v>7</v>
      </c>
      <c r="AL161" s="39" t="n">
        <v>28.4</v>
      </c>
      <c r="AM161" s="1" t="n">
        <v>2001</v>
      </c>
      <c r="AN161" s="1" t="n">
        <v>22</v>
      </c>
      <c r="AO161" s="39" t="n">
        <v>26.2</v>
      </c>
      <c r="AP161" s="1" t="n">
        <v>1997</v>
      </c>
      <c r="AQ161" s="1" t="n">
        <v>24</v>
      </c>
    </row>
    <row r="162" ht="14.45" customHeight="1">
      <c r="A162" s="1" t="n">
        <v>23195502</v>
      </c>
      <c r="B162" s="1" t="inlineStr">
        <is>
          <t>AEROPUERTO PALONEGRO AUT [23195502]</t>
        </is>
      </c>
      <c r="C162" s="1" t="n">
        <v>7.121472222</v>
      </c>
      <c r="D162" s="1" t="n">
        <v>-73.18452778</v>
      </c>
      <c r="E162" s="1" t="n">
        <v>1189</v>
      </c>
      <c r="F162" s="1" t="inlineStr">
        <is>
          <t>Lebrija</t>
        </is>
      </c>
      <c r="G162" s="1" t="inlineStr">
        <is>
          <t>Santander</t>
        </is>
      </c>
      <c r="H162" s="39" t="n">
        <v>30.4</v>
      </c>
      <c r="I162" s="1" t="n">
        <v>2016</v>
      </c>
      <c r="J162" s="1" t="n">
        <v>1</v>
      </c>
      <c r="K162" s="39" t="n">
        <v>32.2</v>
      </c>
      <c r="L162" s="1" t="n">
        <v>1998</v>
      </c>
      <c r="M162" s="1" t="n">
        <v>2</v>
      </c>
      <c r="N162" s="39" t="n">
        <v>30.8</v>
      </c>
      <c r="O162" s="1" t="n">
        <v>2016</v>
      </c>
      <c r="P162" s="1" t="n">
        <v>25</v>
      </c>
      <c r="Q162" s="39" t="n">
        <v>30</v>
      </c>
      <c r="R162" s="1" t="n">
        <v>2010</v>
      </c>
      <c r="S162" s="1" t="n">
        <v>23</v>
      </c>
      <c r="T162" s="39" t="n">
        <v>29.8</v>
      </c>
      <c r="U162" s="1" t="n">
        <v>2004</v>
      </c>
      <c r="V162" s="1" t="n">
        <v>6</v>
      </c>
      <c r="W162" s="39" t="n">
        <v>29.4</v>
      </c>
      <c r="X162" s="1" t="n">
        <v>1991</v>
      </c>
      <c r="Y162" s="1" t="n">
        <v>18</v>
      </c>
      <c r="Z162" s="39" t="n">
        <v>30</v>
      </c>
      <c r="AA162" s="1" t="n">
        <v>2019</v>
      </c>
      <c r="AB162" s="1" t="n">
        <v>6</v>
      </c>
      <c r="AC162" s="39" t="n">
        <v>30.3</v>
      </c>
      <c r="AD162" s="1" t="n">
        <v>2003</v>
      </c>
      <c r="AE162" s="1" t="n">
        <v>26</v>
      </c>
      <c r="AF162" s="39" t="n">
        <v>31.8</v>
      </c>
      <c r="AG162" s="1" t="n">
        <v>2015</v>
      </c>
      <c r="AH162" s="1" t="n">
        <v>15</v>
      </c>
      <c r="AI162" s="39" t="n">
        <v>32.4</v>
      </c>
      <c r="AJ162" s="1" t="n">
        <v>1986</v>
      </c>
      <c r="AK162" s="1" t="n">
        <v>31</v>
      </c>
      <c r="AL162" s="39" t="n">
        <v>29</v>
      </c>
      <c r="AM162" s="1" t="n">
        <v>1983</v>
      </c>
      <c r="AN162" s="1" t="n">
        <v>18</v>
      </c>
      <c r="AO162" s="39" t="n">
        <v>30.6</v>
      </c>
      <c r="AP162" s="1" t="n">
        <v>2015</v>
      </c>
      <c r="AQ162" s="1" t="n">
        <v>24</v>
      </c>
    </row>
    <row r="163" ht="14.45" customHeight="1">
      <c r="A163" s="1" t="n">
        <v>23205020</v>
      </c>
      <c r="B163" s="1" t="inlineStr">
        <is>
          <t>COLEGIO COOPERATIVO [23205020]</t>
        </is>
      </c>
      <c r="C163" s="1" t="n">
        <v>7.475</v>
      </c>
      <c r="D163" s="1" t="n">
        <v>-73.92555556000001</v>
      </c>
      <c r="E163" s="1" t="n">
        <v>165</v>
      </c>
      <c r="F163" s="1" t="inlineStr">
        <is>
          <t>San Pablo</t>
        </is>
      </c>
      <c r="G163" s="1" t="inlineStr">
        <is>
          <t>Bolivar</t>
        </is>
      </c>
      <c r="H163" s="39" t="n">
        <v>37.2</v>
      </c>
      <c r="I163" s="1" t="n">
        <v>2003</v>
      </c>
      <c r="J163" s="1" t="n">
        <v>30</v>
      </c>
      <c r="K163" s="39" t="n">
        <v>38.2</v>
      </c>
      <c r="L163" s="1" t="n">
        <v>2003</v>
      </c>
      <c r="M163" s="1" t="n">
        <v>21</v>
      </c>
      <c r="N163" s="39" t="n">
        <v>38.4</v>
      </c>
      <c r="O163" s="1" t="n">
        <v>1980</v>
      </c>
      <c r="P163" s="1" t="n">
        <v>29</v>
      </c>
      <c r="Q163" s="39" t="n">
        <v>38</v>
      </c>
      <c r="R163" s="1" t="n">
        <v>2004</v>
      </c>
      <c r="S163" s="1" t="n">
        <v>6</v>
      </c>
      <c r="T163" s="39" t="n">
        <v>38.8</v>
      </c>
      <c r="U163" s="1" t="n">
        <v>1982</v>
      </c>
      <c r="V163" s="1" t="n">
        <v>15</v>
      </c>
      <c r="W163" s="39" t="n">
        <v>36.8</v>
      </c>
      <c r="X163" s="1" t="n">
        <v>2004</v>
      </c>
      <c r="Y163" s="1" t="n">
        <v>24</v>
      </c>
      <c r="Z163" s="39" t="n">
        <v>37.2</v>
      </c>
      <c r="AA163" s="1" t="n">
        <v>2015</v>
      </c>
      <c r="AB163" s="1" t="n">
        <v>4</v>
      </c>
      <c r="AC163" s="39" t="n">
        <v>36.8</v>
      </c>
      <c r="AD163" s="1" t="n">
        <v>1997</v>
      </c>
      <c r="AE163" s="1" t="n">
        <v>21</v>
      </c>
      <c r="AF163" s="39" t="n">
        <v>39</v>
      </c>
      <c r="AG163" s="1" t="n">
        <v>1991</v>
      </c>
      <c r="AH163" s="1" t="n">
        <v>20</v>
      </c>
      <c r="AI163" s="39" t="n">
        <v>36.4</v>
      </c>
      <c r="AJ163" s="1" t="n">
        <v>2006</v>
      </c>
      <c r="AK163" s="1" t="n">
        <v>6</v>
      </c>
      <c r="AL163" s="39" t="n">
        <v>37</v>
      </c>
      <c r="AM163" s="1" t="n">
        <v>1985</v>
      </c>
      <c r="AN163" s="1" t="n">
        <v>2</v>
      </c>
      <c r="AO163" s="39" t="n">
        <v>37</v>
      </c>
      <c r="AP163" s="1" t="n">
        <v>1983</v>
      </c>
      <c r="AQ163" s="1" t="n">
        <v>14</v>
      </c>
    </row>
    <row r="164" ht="14.45" customHeight="1">
      <c r="A164" s="1" t="n">
        <v>23205030</v>
      </c>
      <c r="B164" s="1" t="inlineStr">
        <is>
          <t>SANTA ROSA D SIMITI [23205030]</t>
        </is>
      </c>
      <c r="C164" s="1" t="n">
        <v>7.965277778</v>
      </c>
      <c r="D164" s="1" t="n">
        <v>-74.05916667</v>
      </c>
      <c r="E164" s="1" t="n">
        <v>650</v>
      </c>
      <c r="F164" s="1" t="inlineStr">
        <is>
          <t>Santa Rosa Del Sur</t>
        </is>
      </c>
      <c r="G164" s="1" t="inlineStr">
        <is>
          <t>Bolivar</t>
        </is>
      </c>
      <c r="H164" s="39" t="n">
        <v>36</v>
      </c>
      <c r="I164" s="1" t="n">
        <v>2020</v>
      </c>
      <c r="J164" s="1" t="n">
        <v>12</v>
      </c>
      <c r="K164" s="39" t="n">
        <v>35.4</v>
      </c>
      <c r="L164" s="1" t="n">
        <v>2020</v>
      </c>
      <c r="M164" s="1" t="n">
        <v>19</v>
      </c>
      <c r="N164" s="39" t="n">
        <v>36.4</v>
      </c>
      <c r="O164" s="1" t="n">
        <v>2018</v>
      </c>
      <c r="P164" s="1" t="n">
        <v>12</v>
      </c>
      <c r="Q164" s="39" t="n">
        <v>34.6</v>
      </c>
      <c r="R164" s="1" t="n">
        <v>2014</v>
      </c>
      <c r="S164" s="1" t="n">
        <v>12</v>
      </c>
      <c r="T164" s="39" t="n">
        <v>34.2</v>
      </c>
      <c r="U164" s="1" t="n">
        <v>2019</v>
      </c>
      <c r="V164" s="1" t="n">
        <v>2</v>
      </c>
      <c r="W164" s="39" t="n">
        <v>34.4</v>
      </c>
      <c r="X164" s="1" t="n">
        <v>2015</v>
      </c>
      <c r="Y164" s="1" t="n">
        <v>24</v>
      </c>
      <c r="Z164" s="39" t="n">
        <v>35.4</v>
      </c>
      <c r="AA164" s="1" t="n">
        <v>2015</v>
      </c>
      <c r="AB164" s="1" t="n">
        <v>4</v>
      </c>
      <c r="AC164" s="39" t="n">
        <v>34.2</v>
      </c>
      <c r="AD164" s="1" t="n">
        <v>2015</v>
      </c>
      <c r="AE164" s="1" t="n">
        <v>5</v>
      </c>
      <c r="AF164" s="39" t="n">
        <v>33.4</v>
      </c>
      <c r="AG164" s="1" t="n">
        <v>2009</v>
      </c>
      <c r="AH164" s="1" t="n">
        <v>30</v>
      </c>
      <c r="AI164" s="39" t="n">
        <v>32.4</v>
      </c>
      <c r="AJ164" s="1" t="n">
        <v>2006</v>
      </c>
      <c r="AK164" s="1" t="n">
        <v>6</v>
      </c>
      <c r="AL164" s="39" t="n">
        <v>33.4</v>
      </c>
      <c r="AM164" s="1" t="n">
        <v>1987</v>
      </c>
      <c r="AN164" s="1" t="n">
        <v>12</v>
      </c>
      <c r="AO164" s="39" t="n">
        <v>34.4</v>
      </c>
      <c r="AP164" s="1" t="n">
        <v>1987</v>
      </c>
      <c r="AQ164" s="1" t="n">
        <v>22</v>
      </c>
    </row>
    <row r="165" ht="14.45" customHeight="1">
      <c r="A165" s="1" t="n">
        <v>23215030</v>
      </c>
      <c r="B165" s="1" t="inlineStr">
        <is>
          <t>AGUAS CLARAS [23215030]</t>
        </is>
      </c>
      <c r="C165" s="1" t="n">
        <v>8.228888889</v>
      </c>
      <c r="D165" s="1" t="n">
        <v>-73.60277778</v>
      </c>
      <c r="E165" s="1" t="n">
        <v>208</v>
      </c>
      <c r="F165" s="1" t="inlineStr">
        <is>
          <t>Aguachica</t>
        </is>
      </c>
      <c r="G165" s="1" t="inlineStr">
        <is>
          <t>Cesar</t>
        </is>
      </c>
      <c r="H165" s="39" t="n">
        <v>38.6</v>
      </c>
      <c r="I165" s="1" t="n">
        <v>2002</v>
      </c>
      <c r="J165" s="1" t="n">
        <v>25</v>
      </c>
      <c r="K165" s="39" t="n">
        <v>39.6</v>
      </c>
      <c r="L165" s="1" t="n">
        <v>2010</v>
      </c>
      <c r="M165" s="1" t="n">
        <v>2</v>
      </c>
      <c r="N165" s="39" t="n">
        <v>39.8</v>
      </c>
      <c r="O165" s="1" t="n">
        <v>2003</v>
      </c>
      <c r="P165" s="1" t="n">
        <v>5</v>
      </c>
      <c r="Q165" s="39" t="n">
        <v>39</v>
      </c>
      <c r="R165" s="1" t="n">
        <v>2003</v>
      </c>
      <c r="S165" s="1" t="n">
        <v>3</v>
      </c>
      <c r="T165" s="39" t="n">
        <v>37.6</v>
      </c>
      <c r="U165" s="1" t="n">
        <v>1980</v>
      </c>
      <c r="V165" s="1" t="n">
        <v>16</v>
      </c>
      <c r="W165" s="39" t="n">
        <v>38</v>
      </c>
      <c r="X165" s="1" t="n">
        <v>1980</v>
      </c>
      <c r="Y165" s="1" t="n">
        <v>26</v>
      </c>
      <c r="Z165" s="39" t="n">
        <v>37.8</v>
      </c>
      <c r="AA165" s="1" t="n">
        <v>1992</v>
      </c>
      <c r="AB165" s="1" t="n">
        <v>13</v>
      </c>
      <c r="AC165" s="39" t="n">
        <v>37.8</v>
      </c>
      <c r="AD165" s="1" t="n">
        <v>1997</v>
      </c>
      <c r="AE165" s="1" t="n">
        <v>26</v>
      </c>
      <c r="AF165" s="39" t="n">
        <v>37.2</v>
      </c>
      <c r="AG165" s="1" t="n">
        <v>1980</v>
      </c>
      <c r="AH165" s="1" t="n">
        <v>14</v>
      </c>
      <c r="AI165" s="39" t="n">
        <v>36.8</v>
      </c>
      <c r="AJ165" s="1" t="n">
        <v>1992</v>
      </c>
      <c r="AK165" s="1" t="n">
        <v>28</v>
      </c>
      <c r="AL165" s="39" t="n">
        <v>38.4</v>
      </c>
      <c r="AM165" s="1" t="n">
        <v>1980</v>
      </c>
      <c r="AN165" s="1" t="n">
        <v>24</v>
      </c>
      <c r="AO165" s="39" t="n">
        <v>37.4</v>
      </c>
      <c r="AP165" s="1" t="n">
        <v>1995</v>
      </c>
      <c r="AQ165" s="1" t="n">
        <v>22</v>
      </c>
    </row>
    <row r="166" ht="14.45" customHeight="1">
      <c r="A166" s="1" t="n">
        <v>23215050</v>
      </c>
      <c r="B166" s="1" t="inlineStr">
        <is>
          <t>MATA LA [23215050]</t>
        </is>
      </c>
      <c r="C166" s="1" t="n">
        <v>8.614444444</v>
      </c>
      <c r="D166" s="1" t="n">
        <v>-73.63638889000001</v>
      </c>
      <c r="E166" s="1" t="n">
        <v>163</v>
      </c>
      <c r="F166" s="1" t="inlineStr">
        <is>
          <t>La Gloria</t>
        </is>
      </c>
      <c r="G166" s="1" t="inlineStr">
        <is>
          <t>Cesar</t>
        </is>
      </c>
      <c r="H166" s="39" t="n">
        <v>38</v>
      </c>
      <c r="I166" s="1" t="n">
        <v>1995</v>
      </c>
      <c r="J166" s="1" t="n">
        <v>24</v>
      </c>
      <c r="K166" s="39" t="n">
        <v>38.8</v>
      </c>
      <c r="L166" s="1" t="n">
        <v>1987</v>
      </c>
      <c r="M166" s="1" t="n">
        <v>27</v>
      </c>
      <c r="N166" s="39" t="n">
        <v>39.2</v>
      </c>
      <c r="O166" s="1" t="n">
        <v>1988</v>
      </c>
      <c r="P166" s="1" t="n">
        <v>22</v>
      </c>
      <c r="Q166" s="39" t="n">
        <v>38.6</v>
      </c>
      <c r="R166" s="1" t="n">
        <v>1984</v>
      </c>
      <c r="S166" s="1" t="n">
        <v>15</v>
      </c>
      <c r="T166" s="39" t="n">
        <v>36.8</v>
      </c>
      <c r="U166" s="1" t="n">
        <v>2002</v>
      </c>
      <c r="V166" s="1" t="n">
        <v>3</v>
      </c>
      <c r="W166" s="39" t="n">
        <v>37.4</v>
      </c>
      <c r="X166" s="1" t="n">
        <v>1985</v>
      </c>
      <c r="Y166" s="1" t="n">
        <v>21</v>
      </c>
      <c r="Z166" s="39" t="n">
        <v>38.6</v>
      </c>
      <c r="AA166" s="1" t="n">
        <v>1986</v>
      </c>
      <c r="AB166" s="1" t="n">
        <v>28</v>
      </c>
      <c r="AC166" s="39" t="n">
        <v>38.4</v>
      </c>
      <c r="AD166" s="1" t="n">
        <v>1986</v>
      </c>
      <c r="AE166" s="1" t="n">
        <v>3</v>
      </c>
      <c r="AF166" s="39" t="n">
        <v>36.8</v>
      </c>
      <c r="AG166" s="1" t="n">
        <v>2009</v>
      </c>
      <c r="AH166" s="1" t="n">
        <v>30</v>
      </c>
      <c r="AI166" s="39" t="n">
        <v>36.4</v>
      </c>
      <c r="AJ166" s="1" t="n">
        <v>2005</v>
      </c>
      <c r="AK166" s="1" t="n">
        <v>13</v>
      </c>
      <c r="AL166" s="39" t="n">
        <v>36</v>
      </c>
      <c r="AM166" s="1" t="n">
        <v>2001</v>
      </c>
      <c r="AN166" s="1" t="n">
        <v>11</v>
      </c>
      <c r="AO166" s="39" t="n">
        <v>36.8</v>
      </c>
      <c r="AP166" s="1" t="n">
        <v>2009</v>
      </c>
      <c r="AQ166" s="1" t="n">
        <v>7</v>
      </c>
    </row>
    <row r="167" ht="14.45" customHeight="1">
      <c r="A167" s="1" t="n">
        <v>24015090</v>
      </c>
      <c r="B167" s="1" t="inlineStr">
        <is>
          <t>INSTITUCION AGRICOLA SANTA SOFIA [24015090]</t>
        </is>
      </c>
      <c r="C167" s="1" t="n">
        <v>5.710666667</v>
      </c>
      <c r="D167" s="1" t="n">
        <v>-73.60227777999999</v>
      </c>
      <c r="E167" s="1" t="n">
        <v>2300</v>
      </c>
      <c r="F167" s="1" t="inlineStr">
        <is>
          <t>Santa Sofía</t>
        </is>
      </c>
      <c r="G167" s="1" t="inlineStr">
        <is>
          <t>Boyacá</t>
        </is>
      </c>
      <c r="H167" s="39" t="n">
        <v>28.6</v>
      </c>
      <c r="I167" s="1" t="n">
        <v>2024</v>
      </c>
      <c r="J167" s="1" t="n">
        <v>29</v>
      </c>
      <c r="K167" s="39" t="n">
        <v>27.4</v>
      </c>
      <c r="L167" s="1" t="n">
        <v>2024</v>
      </c>
      <c r="M167" s="1" t="n">
        <v>11</v>
      </c>
      <c r="N167" s="39" t="n">
        <v>28.4</v>
      </c>
      <c r="O167" s="1" t="n">
        <v>1998</v>
      </c>
      <c r="P167" s="1" t="n">
        <v>18</v>
      </c>
      <c r="Q167" s="39" t="n">
        <v>27.8</v>
      </c>
      <c r="R167" s="1" t="n">
        <v>2024</v>
      </c>
      <c r="S167" s="1" t="n">
        <v>16</v>
      </c>
      <c r="T167" s="39" t="n">
        <v>26.8</v>
      </c>
      <c r="U167" s="1" t="n">
        <v>2020</v>
      </c>
      <c r="V167" s="1" t="n">
        <v>11</v>
      </c>
      <c r="W167" s="39" t="n">
        <v>26.4</v>
      </c>
      <c r="X167" s="1" t="n">
        <v>2003</v>
      </c>
      <c r="Y167" s="1" t="n">
        <v>7</v>
      </c>
      <c r="Z167" s="39" t="n">
        <v>27.8</v>
      </c>
      <c r="AA167" s="1" t="n">
        <v>2013</v>
      </c>
      <c r="AB167" s="1" t="n">
        <v>24</v>
      </c>
      <c r="AC167" s="39" t="n">
        <v>28.6</v>
      </c>
      <c r="AD167" s="1" t="n">
        <v>2016</v>
      </c>
      <c r="AE167" s="1" t="n">
        <v>6</v>
      </c>
      <c r="AF167" s="39" t="n">
        <v>26.8</v>
      </c>
      <c r="AG167" s="1" t="n">
        <v>2024</v>
      </c>
      <c r="AH167" s="1" t="n">
        <v>5</v>
      </c>
      <c r="AI167" s="39" t="n">
        <v>27.8</v>
      </c>
      <c r="AJ167" s="1" t="n">
        <v>2009</v>
      </c>
      <c r="AK167" s="1" t="n">
        <v>13</v>
      </c>
      <c r="AL167" s="39" t="n">
        <v>27.2</v>
      </c>
      <c r="AM167" s="1" t="n">
        <v>2017</v>
      </c>
      <c r="AN167" s="1" t="n">
        <v>28</v>
      </c>
      <c r="AO167" s="39" t="n">
        <v>26.2</v>
      </c>
      <c r="AP167" s="1" t="n">
        <v>1997</v>
      </c>
      <c r="AQ167" s="1" t="n">
        <v>29</v>
      </c>
    </row>
    <row r="168" ht="14.45" customHeight="1">
      <c r="A168" s="1" t="n">
        <v>24015220</v>
      </c>
      <c r="B168" s="1" t="inlineStr">
        <is>
          <t>VILLA CARMEN [24015220]</t>
        </is>
      </c>
      <c r="C168" s="1" t="n">
        <v>5.509388889</v>
      </c>
      <c r="D168" s="1" t="n">
        <v>-73.49577778</v>
      </c>
      <c r="E168" s="1" t="n">
        <v>2600</v>
      </c>
      <c r="F168" s="1" t="inlineStr">
        <is>
          <t>Samacá</t>
        </is>
      </c>
      <c r="G168" s="1" t="inlineStr">
        <is>
          <t>Boyacá</t>
        </is>
      </c>
      <c r="H168" s="39" t="n">
        <v>25.4</v>
      </c>
      <c r="I168" s="1" t="n">
        <v>1990</v>
      </c>
      <c r="J168" s="1" t="n">
        <v>17</v>
      </c>
      <c r="K168" s="39" t="n">
        <v>25.6</v>
      </c>
      <c r="L168" s="1" t="n">
        <v>1998</v>
      </c>
      <c r="M168" s="1" t="n">
        <v>28</v>
      </c>
      <c r="N168" s="39" t="n">
        <v>25.4</v>
      </c>
      <c r="O168" s="1" t="n">
        <v>2010</v>
      </c>
      <c r="P168" s="1" t="n">
        <v>23</v>
      </c>
      <c r="Q168" s="39" t="n">
        <v>24.4</v>
      </c>
      <c r="R168" s="1" t="n">
        <v>2010</v>
      </c>
      <c r="S168" s="1" t="n">
        <v>10</v>
      </c>
      <c r="T168" s="39" t="n">
        <v>23</v>
      </c>
      <c r="U168" s="1" t="n">
        <v>2015</v>
      </c>
      <c r="V168" s="1" t="n">
        <v>2</v>
      </c>
      <c r="W168" s="39" t="n">
        <v>22</v>
      </c>
      <c r="X168" s="1" t="n">
        <v>1991</v>
      </c>
      <c r="Y168" s="1" t="n">
        <v>3</v>
      </c>
      <c r="Z168" s="39" t="n">
        <v>22.8</v>
      </c>
      <c r="AA168" s="1" t="n">
        <v>2023</v>
      </c>
      <c r="AB168" s="1" t="n">
        <v>26</v>
      </c>
      <c r="AC168" s="39" t="n">
        <v>23.4</v>
      </c>
      <c r="AD168" s="1" t="n">
        <v>2023</v>
      </c>
      <c r="AE168" s="1" t="n">
        <v>19</v>
      </c>
      <c r="AF168" s="39" t="n">
        <v>23.4</v>
      </c>
      <c r="AG168" s="1" t="n">
        <v>2023</v>
      </c>
      <c r="AH168" s="1" t="n">
        <v>27</v>
      </c>
      <c r="AI168" s="39" t="n">
        <v>23.1</v>
      </c>
      <c r="AJ168" s="1" t="n">
        <v>1990</v>
      </c>
      <c r="AK168" s="1" t="n">
        <v>15</v>
      </c>
      <c r="AL168" s="39" t="n">
        <v>23</v>
      </c>
      <c r="AM168" s="1" t="n">
        <v>2000</v>
      </c>
      <c r="AN168" s="1" t="n">
        <v>1</v>
      </c>
      <c r="AO168" s="39" t="n">
        <v>24.4</v>
      </c>
      <c r="AP168" s="1" t="n">
        <v>1990</v>
      </c>
      <c r="AQ168" s="1" t="n">
        <v>23</v>
      </c>
    </row>
    <row r="169" ht="14.45" customHeight="1">
      <c r="A169" s="1" t="n">
        <v>24015250</v>
      </c>
      <c r="B169" s="1" t="inlineStr">
        <is>
          <t>LAJA LA [24015250]</t>
        </is>
      </c>
      <c r="C169" s="1" t="n">
        <v>6.237166667</v>
      </c>
      <c r="D169" s="1" t="n">
        <v>-73.41538889</v>
      </c>
      <c r="E169" s="1" t="n">
        <v>1400</v>
      </c>
      <c r="F169" s="1" t="inlineStr">
        <is>
          <t>Guadalupe</t>
        </is>
      </c>
      <c r="G169" s="1" t="inlineStr">
        <is>
          <t>Santander</t>
        </is>
      </c>
      <c r="H169" s="39" t="n">
        <v>31.2</v>
      </c>
      <c r="I169" s="1" t="n">
        <v>2024</v>
      </c>
      <c r="J169" s="1" t="n">
        <v>23</v>
      </c>
      <c r="K169" s="39" t="n">
        <v>31.8</v>
      </c>
      <c r="L169" s="1" t="n">
        <v>1998</v>
      </c>
      <c r="M169" s="1" t="n">
        <v>2</v>
      </c>
      <c r="N169" s="39" t="n">
        <v>30.8</v>
      </c>
      <c r="O169" s="1" t="n">
        <v>2003</v>
      </c>
      <c r="P169" s="1" t="n">
        <v>9</v>
      </c>
      <c r="Q169" s="39" t="n">
        <v>30</v>
      </c>
      <c r="R169" s="1" t="n">
        <v>2024</v>
      </c>
      <c r="S169" s="1" t="n">
        <v>13</v>
      </c>
      <c r="T169" s="39" t="n">
        <v>29.6</v>
      </c>
      <c r="U169" s="1" t="n">
        <v>2003</v>
      </c>
      <c r="V169" s="1" t="n">
        <v>1</v>
      </c>
      <c r="W169" s="39" t="n">
        <v>30.2</v>
      </c>
      <c r="X169" s="1" t="n">
        <v>1990</v>
      </c>
      <c r="Y169" s="1" t="n">
        <v>7</v>
      </c>
      <c r="Z169" s="39" t="n">
        <v>30</v>
      </c>
      <c r="AA169" s="1" t="n">
        <v>2023</v>
      </c>
      <c r="AB169" s="1" t="n">
        <v>20</v>
      </c>
      <c r="AC169" s="39" t="n">
        <v>30</v>
      </c>
      <c r="AD169" s="1" t="n">
        <v>1982</v>
      </c>
      <c r="AE169" s="1" t="n">
        <v>5</v>
      </c>
      <c r="AF169" s="39" t="n">
        <v>30</v>
      </c>
      <c r="AG169" s="1" t="n">
        <v>2013</v>
      </c>
      <c r="AH169" s="1" t="n">
        <v>23</v>
      </c>
      <c r="AI169" s="39" t="n">
        <v>29.2</v>
      </c>
      <c r="AJ169" s="1" t="n">
        <v>2009</v>
      </c>
      <c r="AK169" s="1" t="n">
        <v>8</v>
      </c>
      <c r="AL169" s="39" t="n">
        <v>29</v>
      </c>
      <c r="AM169" s="1" t="n">
        <v>2002</v>
      </c>
      <c r="AN169" s="1" t="n">
        <v>27</v>
      </c>
      <c r="AO169" s="39" t="n">
        <v>29.4</v>
      </c>
      <c r="AP169" s="1" t="n">
        <v>2015</v>
      </c>
      <c r="AQ169" s="1" t="n">
        <v>29</v>
      </c>
    </row>
    <row r="170" ht="14.45" customHeight="1">
      <c r="A170" s="1" t="n">
        <v>24015260</v>
      </c>
      <c r="B170" s="1" t="inlineStr">
        <is>
          <t>CHIMA [24015260]</t>
        </is>
      </c>
      <c r="C170" s="1" t="n">
        <v>6.355</v>
      </c>
      <c r="D170" s="1" t="n">
        <v>-73.36833333</v>
      </c>
      <c r="E170" s="1" t="n">
        <v>190</v>
      </c>
      <c r="F170" s="1" t="inlineStr">
        <is>
          <t>Chima</t>
        </is>
      </c>
      <c r="G170" s="1" t="inlineStr">
        <is>
          <t>Santander</t>
        </is>
      </c>
      <c r="H170" s="39" t="n">
        <v>36</v>
      </c>
      <c r="I170" s="1" t="n">
        <v>1983</v>
      </c>
      <c r="J170" s="1" t="n">
        <v>2</v>
      </c>
      <c r="K170" s="39" t="n">
        <v>36.8</v>
      </c>
      <c r="L170" s="1" t="n">
        <v>2016</v>
      </c>
      <c r="M170" s="1" t="n">
        <v>16</v>
      </c>
      <c r="N170" s="39" t="n">
        <v>36.8</v>
      </c>
      <c r="O170" s="1" t="n">
        <v>2016</v>
      </c>
      <c r="P170" s="1" t="n">
        <v>26</v>
      </c>
      <c r="Q170" s="39" t="n">
        <v>34.8</v>
      </c>
      <c r="R170" s="1" t="n">
        <v>2024</v>
      </c>
      <c r="S170" s="1" t="n">
        <v>13</v>
      </c>
      <c r="T170" s="39" t="n">
        <v>34.6</v>
      </c>
      <c r="U170" s="1" t="n">
        <v>1983</v>
      </c>
      <c r="V170" s="1" t="n">
        <v>10</v>
      </c>
      <c r="W170" s="39" t="n">
        <v>34.6</v>
      </c>
      <c r="X170" s="1" t="n">
        <v>1983</v>
      </c>
      <c r="Y170" s="1" t="n">
        <v>9</v>
      </c>
      <c r="Z170" s="39" t="n">
        <v>34.2</v>
      </c>
      <c r="AA170" s="1" t="n">
        <v>1997</v>
      </c>
      <c r="AB170" s="1" t="n">
        <v>26</v>
      </c>
      <c r="AC170" s="39" t="n">
        <v>35.5</v>
      </c>
      <c r="AD170" s="1" t="n">
        <v>2004</v>
      </c>
      <c r="AE170" s="1" t="n">
        <v>13</v>
      </c>
      <c r="AF170" s="39" t="n">
        <v>34.2</v>
      </c>
      <c r="AG170" s="1" t="n">
        <v>2013</v>
      </c>
      <c r="AH170" s="1" t="n">
        <v>23</v>
      </c>
      <c r="AI170" s="39" t="n">
        <v>33.8</v>
      </c>
      <c r="AJ170" s="1" t="n">
        <v>2015</v>
      </c>
      <c r="AK170" s="1" t="n">
        <v>17</v>
      </c>
      <c r="AL170" s="39" t="n">
        <v>35.6</v>
      </c>
      <c r="AM170" s="1" t="n">
        <v>1982</v>
      </c>
      <c r="AN170" s="1" t="n">
        <v>13</v>
      </c>
      <c r="AO170" s="39" t="n">
        <v>35</v>
      </c>
      <c r="AP170" s="1" t="n">
        <v>2015</v>
      </c>
      <c r="AQ170" s="1" t="n">
        <v>29</v>
      </c>
    </row>
    <row r="171" ht="14.45" customHeight="1">
      <c r="A171" s="1" t="n">
        <v>24015280</v>
      </c>
      <c r="B171" s="1" t="inlineStr">
        <is>
          <t>GAMBITA [24015280]</t>
        </is>
      </c>
      <c r="C171" s="1" t="n">
        <v>5.944722222</v>
      </c>
      <c r="D171" s="1" t="n">
        <v>-73.34361111</v>
      </c>
      <c r="E171" s="1" t="n">
        <v>1900</v>
      </c>
      <c r="F171" s="1" t="inlineStr">
        <is>
          <t>Gámbita</t>
        </is>
      </c>
      <c r="G171" s="1" t="inlineStr">
        <is>
          <t>Santander</t>
        </is>
      </c>
      <c r="H171" s="39" t="n">
        <v>28.8</v>
      </c>
      <c r="I171" s="1" t="n">
        <v>2024</v>
      </c>
      <c r="J171" s="1" t="n">
        <v>18</v>
      </c>
      <c r="K171" s="39" t="n">
        <v>30.4</v>
      </c>
      <c r="L171" s="1" t="n">
        <v>1998</v>
      </c>
      <c r="M171" s="1" t="n">
        <v>21</v>
      </c>
      <c r="N171" s="39" t="n">
        <v>28</v>
      </c>
      <c r="O171" s="1" t="n">
        <v>1988</v>
      </c>
      <c r="P171" s="1" t="n">
        <v>21</v>
      </c>
      <c r="Q171" s="39" t="n">
        <v>28</v>
      </c>
      <c r="R171" s="1" t="n">
        <v>1980</v>
      </c>
      <c r="S171" s="1" t="n">
        <v>19</v>
      </c>
      <c r="T171" s="39" t="n">
        <v>27.8</v>
      </c>
      <c r="U171" s="1" t="n">
        <v>2015</v>
      </c>
      <c r="V171" s="1" t="n">
        <v>11</v>
      </c>
      <c r="W171" s="39" t="n">
        <v>28</v>
      </c>
      <c r="X171" s="1" t="n">
        <v>2008</v>
      </c>
      <c r="Y171" s="1" t="n">
        <v>29</v>
      </c>
      <c r="Z171" s="39" t="n">
        <v>28</v>
      </c>
      <c r="AA171" s="1" t="n">
        <v>1990</v>
      </c>
      <c r="AB171" s="1" t="n">
        <v>20</v>
      </c>
      <c r="AC171" s="39" t="n">
        <v>28.8</v>
      </c>
      <c r="AD171" s="1" t="n">
        <v>2023</v>
      </c>
      <c r="AE171" s="1" t="n">
        <v>28</v>
      </c>
      <c r="AF171" s="39" t="n">
        <v>28.8</v>
      </c>
      <c r="AG171" s="1" t="n">
        <v>2023</v>
      </c>
      <c r="AH171" s="1" t="n">
        <v>23</v>
      </c>
      <c r="AI171" s="39" t="n">
        <v>27.8</v>
      </c>
      <c r="AJ171" s="1" t="n">
        <v>2023</v>
      </c>
      <c r="AK171" s="1" t="n">
        <v>18</v>
      </c>
      <c r="AL171" s="39" t="n">
        <v>27.6</v>
      </c>
      <c r="AM171" s="1" t="n">
        <v>2016</v>
      </c>
      <c r="AN171" s="1" t="n">
        <v>18</v>
      </c>
      <c r="AO171" s="39" t="n">
        <v>27.6</v>
      </c>
      <c r="AP171" s="1" t="n">
        <v>2023</v>
      </c>
      <c r="AQ171" s="1" t="n">
        <v>12</v>
      </c>
    </row>
    <row r="172" ht="14.45" customHeight="1">
      <c r="A172" s="1" t="n">
        <v>24015360</v>
      </c>
      <c r="B172" s="1" t="inlineStr">
        <is>
          <t>SABOYA LA GRANJA [24015360]</t>
        </is>
      </c>
      <c r="C172" s="1" t="n">
        <v>5.696222222</v>
      </c>
      <c r="D172" s="1" t="n">
        <v>-73.759</v>
      </c>
      <c r="E172" s="1" t="n">
        <v>2550</v>
      </c>
      <c r="F172" s="1" t="inlineStr">
        <is>
          <t>Saboyá</t>
        </is>
      </c>
      <c r="G172" s="1" t="inlineStr">
        <is>
          <t>Boyacá</t>
        </is>
      </c>
      <c r="H172" s="39" t="n">
        <v>27.2</v>
      </c>
      <c r="I172" s="1" t="n">
        <v>2024</v>
      </c>
      <c r="J172" s="1" t="n">
        <v>24</v>
      </c>
      <c r="K172" s="39" t="n">
        <v>27</v>
      </c>
      <c r="L172" s="1" t="n">
        <v>2020</v>
      </c>
      <c r="M172" s="1" t="n">
        <v>13</v>
      </c>
      <c r="N172" s="39" t="n">
        <v>26.8</v>
      </c>
      <c r="O172" s="1" t="n">
        <v>2020</v>
      </c>
      <c r="P172" s="1" t="n">
        <v>5</v>
      </c>
      <c r="Q172" s="39" t="n">
        <v>25.4</v>
      </c>
      <c r="R172" s="1" t="n">
        <v>2020</v>
      </c>
      <c r="S172" s="1" t="n">
        <v>6</v>
      </c>
      <c r="T172" s="39" t="n">
        <v>25.4</v>
      </c>
      <c r="U172" s="1" t="n">
        <v>2016</v>
      </c>
      <c r="V172" s="1" t="n">
        <v>23</v>
      </c>
      <c r="W172" s="39" t="n">
        <v>25.4</v>
      </c>
      <c r="X172" s="1" t="n">
        <v>2016</v>
      </c>
      <c r="Y172" s="1" t="n">
        <v>12</v>
      </c>
      <c r="Z172" s="39" t="n">
        <v>26</v>
      </c>
      <c r="AA172" s="1" t="n">
        <v>2022</v>
      </c>
      <c r="AB172" s="1" t="n">
        <v>2</v>
      </c>
      <c r="AC172" s="39" t="n">
        <v>24.8</v>
      </c>
      <c r="AD172" s="1" t="n">
        <v>2016</v>
      </c>
      <c r="AE172" s="1" t="n">
        <v>21</v>
      </c>
      <c r="AF172" s="39" t="n">
        <v>26.2</v>
      </c>
      <c r="AG172" s="1" t="n">
        <v>2009</v>
      </c>
      <c r="AH172" s="1" t="n">
        <v>17</v>
      </c>
      <c r="AI172" s="39" t="n">
        <v>25.8</v>
      </c>
      <c r="AJ172" s="1" t="n">
        <v>2015</v>
      </c>
      <c r="AK172" s="1" t="n">
        <v>8</v>
      </c>
      <c r="AL172" s="39" t="n">
        <v>25.4</v>
      </c>
      <c r="AM172" s="1" t="n">
        <v>2023</v>
      </c>
      <c r="AN172" s="1" t="n">
        <v>17</v>
      </c>
      <c r="AO172" s="39" t="n">
        <v>25.4</v>
      </c>
      <c r="AP172" s="1" t="n">
        <v>2023</v>
      </c>
      <c r="AQ172" s="1" t="n">
        <v>13</v>
      </c>
    </row>
    <row r="173" ht="14.45" customHeight="1">
      <c r="A173" s="1" t="n">
        <v>24015380</v>
      </c>
      <c r="B173" s="1" t="inlineStr">
        <is>
          <t>CARMEN DE CARUPA [24015380]</t>
        </is>
      </c>
      <c r="C173" s="1" t="n">
        <v>5.34819</v>
      </c>
      <c r="D173" s="1" t="n">
        <v>-73.89816999999999</v>
      </c>
      <c r="E173" s="1" t="n">
        <v>2960</v>
      </c>
      <c r="F173" s="1" t="inlineStr">
        <is>
          <t>Carmen De Carupa</t>
        </is>
      </c>
      <c r="G173" s="1" t="inlineStr">
        <is>
          <t>Cundinamarca</t>
        </is>
      </c>
      <c r="H173" s="39" t="n">
        <v>23.4</v>
      </c>
      <c r="I173" s="1" t="n">
        <v>2016</v>
      </c>
      <c r="J173" s="1" t="n">
        <v>17</v>
      </c>
      <c r="K173" s="39" t="n">
        <v>22.4</v>
      </c>
      <c r="L173" s="1" t="n">
        <v>2016</v>
      </c>
      <c r="M173" s="1" t="n">
        <v>3</v>
      </c>
      <c r="N173" s="39" t="n">
        <v>23</v>
      </c>
      <c r="O173" s="1" t="n">
        <v>2016</v>
      </c>
      <c r="P173" s="1" t="n">
        <v>5</v>
      </c>
      <c r="Q173" s="39" t="n">
        <v>23.2</v>
      </c>
      <c r="R173" s="1" t="n">
        <v>2024</v>
      </c>
      <c r="S173" s="1" t="n">
        <v>13</v>
      </c>
      <c r="T173" s="39" t="n">
        <v>21</v>
      </c>
      <c r="U173" s="1" t="n">
        <v>2015</v>
      </c>
      <c r="V173" s="1" t="n">
        <v>2</v>
      </c>
      <c r="W173" s="39" t="n">
        <v>19.4</v>
      </c>
      <c r="X173" s="1" t="n">
        <v>2016</v>
      </c>
      <c r="Y173" s="1" t="n">
        <v>3</v>
      </c>
      <c r="Z173" s="39" t="n">
        <v>19.8</v>
      </c>
      <c r="AA173" s="1" t="n">
        <v>2023</v>
      </c>
      <c r="AB173" s="1" t="n">
        <v>26</v>
      </c>
      <c r="AC173" s="39" t="n">
        <v>20.6</v>
      </c>
      <c r="AD173" s="1" t="n">
        <v>2012</v>
      </c>
      <c r="AE173" s="1" t="n">
        <v>23</v>
      </c>
      <c r="AF173" s="39" t="n">
        <v>21.2</v>
      </c>
      <c r="AG173" s="1" t="n">
        <v>2011</v>
      </c>
      <c r="AH173" s="1" t="n">
        <v>10</v>
      </c>
      <c r="AI173" s="39" t="n">
        <v>21.6</v>
      </c>
      <c r="AJ173" s="1" t="n">
        <v>2023</v>
      </c>
      <c r="AK173" s="1" t="n">
        <v>2</v>
      </c>
      <c r="AL173" s="39" t="n">
        <v>20.2</v>
      </c>
      <c r="AM173" s="1" t="n">
        <v>2018</v>
      </c>
      <c r="AN173" s="1" t="n">
        <v>15</v>
      </c>
      <c r="AO173" s="39" t="n">
        <v>20.4</v>
      </c>
      <c r="AP173" s="1" t="n">
        <v>2019</v>
      </c>
      <c r="AQ173" s="1" t="n">
        <v>29</v>
      </c>
    </row>
    <row r="174" ht="14.45" customHeight="1">
      <c r="A174" s="1" t="n">
        <v>24025020</v>
      </c>
      <c r="B174" s="1" t="inlineStr">
        <is>
          <t>CUCHARO EL [24025020]</t>
        </is>
      </c>
      <c r="C174" s="1" t="n">
        <v>6.532222222</v>
      </c>
      <c r="D174" s="1" t="n">
        <v>-73.19916667</v>
      </c>
      <c r="E174" s="1" t="n">
        <v>975</v>
      </c>
      <c r="F174" s="1" t="inlineStr">
        <is>
          <t>Pinchote</t>
        </is>
      </c>
      <c r="G174" s="1" t="inlineStr">
        <is>
          <t>Santander</t>
        </is>
      </c>
      <c r="H174" s="39" t="n">
        <v>38</v>
      </c>
      <c r="I174" s="1" t="n">
        <v>1998</v>
      </c>
      <c r="J174" s="1" t="n">
        <v>23</v>
      </c>
      <c r="K174" s="39" t="n">
        <v>39.8</v>
      </c>
      <c r="L174" s="1" t="n">
        <v>1995</v>
      </c>
      <c r="M174" s="1" t="n">
        <v>14</v>
      </c>
      <c r="N174" s="39" t="n">
        <v>37.4</v>
      </c>
      <c r="O174" s="1" t="n">
        <v>1988</v>
      </c>
      <c r="P174" s="1" t="n">
        <v>19</v>
      </c>
      <c r="Q174" s="39" t="n">
        <v>37.4</v>
      </c>
      <c r="R174" s="1" t="n">
        <v>1992</v>
      </c>
      <c r="S174" s="1" t="n">
        <v>9</v>
      </c>
      <c r="T174" s="39" t="n">
        <v>38</v>
      </c>
      <c r="U174" s="1" t="n">
        <v>1980</v>
      </c>
      <c r="V174" s="1" t="n">
        <v>8</v>
      </c>
      <c r="W174" s="39" t="n">
        <v>39.2</v>
      </c>
      <c r="X174" s="1" t="n">
        <v>1988</v>
      </c>
      <c r="Y174" s="1" t="n">
        <v>23</v>
      </c>
      <c r="Z174" s="39" t="n">
        <v>37</v>
      </c>
      <c r="AA174" s="1" t="n">
        <v>1997</v>
      </c>
      <c r="AB174" s="1" t="n">
        <v>24</v>
      </c>
      <c r="AC174" s="39" t="n">
        <v>36</v>
      </c>
      <c r="AD174" s="1" t="n">
        <v>2001</v>
      </c>
      <c r="AE174" s="1" t="n">
        <v>21</v>
      </c>
      <c r="AF174" s="39" t="n">
        <v>36.2</v>
      </c>
      <c r="AG174" s="1" t="n">
        <v>2004</v>
      </c>
      <c r="AH174" s="1" t="n">
        <v>2</v>
      </c>
      <c r="AI174" s="39" t="n">
        <v>35.4</v>
      </c>
      <c r="AJ174" s="1" t="n">
        <v>2006</v>
      </c>
      <c r="AK174" s="1" t="n">
        <v>18</v>
      </c>
      <c r="AL174" s="39" t="n">
        <v>34</v>
      </c>
      <c r="AM174" s="1" t="n">
        <v>2003</v>
      </c>
      <c r="AN174" s="1" t="n">
        <v>27</v>
      </c>
      <c r="AO174" s="39" t="n">
        <v>36.4</v>
      </c>
      <c r="AP174" s="1" t="n">
        <v>1997</v>
      </c>
      <c r="AQ174" s="1" t="n">
        <v>24</v>
      </c>
    </row>
    <row r="175" ht="14.45" customHeight="1">
      <c r="A175" s="1" t="n">
        <v>24025040</v>
      </c>
      <c r="B175" s="1" t="inlineStr">
        <is>
          <t>ESCUELA AGRICOLA MOGOTES [24025040]</t>
        </is>
      </c>
      <c r="C175" s="1" t="n">
        <v>6.47</v>
      </c>
      <c r="D175" s="1" t="n">
        <v>-72.96888889</v>
      </c>
      <c r="E175" s="1" t="n">
        <v>1673</v>
      </c>
      <c r="F175" s="1" t="inlineStr">
        <is>
          <t>Mogotes</t>
        </is>
      </c>
      <c r="G175" s="1" t="inlineStr">
        <is>
          <t>Santander</t>
        </is>
      </c>
      <c r="H175" s="39" t="n">
        <v>31</v>
      </c>
      <c r="I175" s="1" t="n">
        <v>2020</v>
      </c>
      <c r="J175" s="1" t="n">
        <v>19</v>
      </c>
      <c r="K175" s="39" t="n">
        <v>32.4</v>
      </c>
      <c r="L175" s="1" t="n">
        <v>1998</v>
      </c>
      <c r="M175" s="1" t="n">
        <v>2</v>
      </c>
      <c r="N175" s="39" t="n">
        <v>32</v>
      </c>
      <c r="O175" s="1" t="n">
        <v>2016</v>
      </c>
      <c r="P175" s="1" t="n">
        <v>26</v>
      </c>
      <c r="Q175" s="39" t="n">
        <v>31.8</v>
      </c>
      <c r="R175" s="1" t="n">
        <v>1992</v>
      </c>
      <c r="S175" s="1" t="n">
        <v>9</v>
      </c>
      <c r="T175" s="39" t="n">
        <v>30.4</v>
      </c>
      <c r="U175" s="1" t="n">
        <v>2020</v>
      </c>
      <c r="V175" s="1" t="n">
        <v>10</v>
      </c>
      <c r="W175" s="39" t="n">
        <v>31</v>
      </c>
      <c r="X175" s="1" t="n">
        <v>2015</v>
      </c>
      <c r="Y175" s="1" t="n">
        <v>24</v>
      </c>
      <c r="Z175" s="39" t="n">
        <v>32</v>
      </c>
      <c r="AA175" s="1" t="n">
        <v>2015</v>
      </c>
      <c r="AB175" s="1" t="n">
        <v>14</v>
      </c>
      <c r="AC175" s="39" t="n">
        <v>31.4</v>
      </c>
      <c r="AD175" s="1" t="n">
        <v>2015</v>
      </c>
      <c r="AE175" s="1" t="n">
        <v>29</v>
      </c>
      <c r="AF175" s="39" t="n">
        <v>30.6</v>
      </c>
      <c r="AG175" s="1" t="n">
        <v>2015</v>
      </c>
      <c r="AH175" s="1" t="n">
        <v>17</v>
      </c>
      <c r="AI175" s="39" t="n">
        <v>30.6</v>
      </c>
      <c r="AJ175" s="1" t="n">
        <v>2016</v>
      </c>
      <c r="AK175" s="1" t="n">
        <v>16</v>
      </c>
      <c r="AL175" s="39" t="n">
        <v>28</v>
      </c>
      <c r="AM175" s="1" t="n">
        <v>2002</v>
      </c>
      <c r="AN175" s="1" t="n">
        <v>21</v>
      </c>
      <c r="AO175" s="39" t="n">
        <v>31.2</v>
      </c>
      <c r="AP175" s="1" t="n">
        <v>2015</v>
      </c>
      <c r="AQ175" s="1" t="n">
        <v>30</v>
      </c>
    </row>
    <row r="176" ht="14.45" customHeight="1">
      <c r="A176" s="1" t="n">
        <v>24025050</v>
      </c>
      <c r="B176" s="1" t="inlineStr">
        <is>
          <t>CHARALA [24025050]</t>
        </is>
      </c>
      <c r="C176" s="1" t="n">
        <v>6.274166667</v>
      </c>
      <c r="D176" s="1" t="n">
        <v>-73.15055556</v>
      </c>
      <c r="E176" s="1" t="n">
        <v>1350</v>
      </c>
      <c r="F176" s="1" t="inlineStr">
        <is>
          <t>Charalá</t>
        </is>
      </c>
      <c r="G176" s="1" t="inlineStr">
        <is>
          <t>Santander</t>
        </is>
      </c>
      <c r="H176" s="39" t="n">
        <v>38</v>
      </c>
      <c r="I176" s="1" t="n">
        <v>2024</v>
      </c>
      <c r="J176" s="1" t="n">
        <v>23</v>
      </c>
      <c r="K176" s="39" t="n">
        <v>35.6</v>
      </c>
      <c r="L176" s="1" t="n">
        <v>2016</v>
      </c>
      <c r="M176" s="1" t="n">
        <v>16</v>
      </c>
      <c r="N176" s="39" t="n">
        <v>35.2</v>
      </c>
      <c r="O176" s="1" t="n">
        <v>2016</v>
      </c>
      <c r="P176" s="1" t="n">
        <v>5</v>
      </c>
      <c r="Q176" s="39" t="n">
        <v>34.2</v>
      </c>
      <c r="R176" s="1" t="n">
        <v>2023</v>
      </c>
      <c r="S176" s="1" t="n">
        <v>14</v>
      </c>
      <c r="T176" s="39" t="n">
        <v>34.2</v>
      </c>
      <c r="U176" s="1" t="n">
        <v>2025</v>
      </c>
      <c r="V176" s="1" t="n">
        <v>12</v>
      </c>
      <c r="W176" s="39" t="n">
        <v>32.8</v>
      </c>
      <c r="X176" s="1" t="n">
        <v>2006</v>
      </c>
      <c r="Y176" s="1" t="n">
        <v>30</v>
      </c>
      <c r="Z176" s="39" t="n">
        <v>33.6</v>
      </c>
      <c r="AA176" s="1" t="n">
        <v>2015</v>
      </c>
      <c r="AB176" s="1" t="n">
        <v>2</v>
      </c>
      <c r="AC176" s="39" t="n">
        <v>33.6</v>
      </c>
      <c r="AD176" s="1" t="n">
        <v>2016</v>
      </c>
      <c r="AE176" s="1" t="n">
        <v>22</v>
      </c>
      <c r="AF176" s="39" t="n">
        <v>33.2</v>
      </c>
      <c r="AG176" s="1" t="n">
        <v>2013</v>
      </c>
      <c r="AH176" s="1" t="n">
        <v>23</v>
      </c>
      <c r="AI176" s="39" t="n">
        <v>32.4</v>
      </c>
      <c r="AJ176" s="1" t="n">
        <v>2015</v>
      </c>
      <c r="AK176" s="1" t="n">
        <v>6</v>
      </c>
      <c r="AL176" s="39" t="n">
        <v>32</v>
      </c>
      <c r="AM176" s="1" t="n">
        <v>2023</v>
      </c>
      <c r="AN176" s="1" t="n">
        <v>28</v>
      </c>
      <c r="AO176" s="39" t="n">
        <v>34.2</v>
      </c>
      <c r="AP176" s="1" t="n">
        <v>2023</v>
      </c>
      <c r="AQ176" s="1" t="n">
        <v>9</v>
      </c>
    </row>
    <row r="177" ht="14.45" customHeight="1">
      <c r="A177" s="1" t="n">
        <v>24035010</v>
      </c>
      <c r="B177" s="1" t="inlineStr">
        <is>
          <t>CUSAGUI [24035010]</t>
        </is>
      </c>
      <c r="C177" s="1" t="n">
        <v>6.248111111</v>
      </c>
      <c r="D177" s="1" t="n">
        <v>-72.54888889</v>
      </c>
      <c r="E177" s="1" t="n">
        <v>2950</v>
      </c>
      <c r="F177" s="1" t="inlineStr">
        <is>
          <t>La Uvita</t>
        </is>
      </c>
      <c r="G177" s="1" t="inlineStr">
        <is>
          <t>Boyacá</t>
        </is>
      </c>
      <c r="H177" s="39" t="n">
        <v>24</v>
      </c>
      <c r="I177" s="1" t="n">
        <v>2024</v>
      </c>
      <c r="J177" s="1" t="n">
        <v>27</v>
      </c>
      <c r="K177" s="39" t="n">
        <v>24.8</v>
      </c>
      <c r="L177" s="1" t="n">
        <v>2024</v>
      </c>
      <c r="M177" s="1" t="n">
        <v>19</v>
      </c>
      <c r="N177" s="39" t="n">
        <v>24.8</v>
      </c>
      <c r="O177" s="1" t="n">
        <v>2002</v>
      </c>
      <c r="P177" s="1" t="n">
        <v>8</v>
      </c>
      <c r="Q177" s="39" t="n">
        <v>22.4</v>
      </c>
      <c r="R177" s="1" t="n">
        <v>2019</v>
      </c>
      <c r="S177" s="1" t="n">
        <v>8</v>
      </c>
      <c r="T177" s="39" t="n">
        <v>22.2</v>
      </c>
      <c r="U177" s="1" t="n">
        <v>2020</v>
      </c>
      <c r="V177" s="1" t="n">
        <v>1</v>
      </c>
      <c r="W177" s="39" t="n">
        <v>20</v>
      </c>
      <c r="X177" s="1" t="n">
        <v>2016</v>
      </c>
      <c r="Y177" s="1" t="n">
        <v>3</v>
      </c>
      <c r="Z177" s="39" t="n">
        <v>22.4</v>
      </c>
      <c r="AA177" s="1" t="n">
        <v>2024</v>
      </c>
      <c r="AB177" s="1" t="n">
        <v>18</v>
      </c>
      <c r="AC177" s="39" t="n">
        <v>22.8</v>
      </c>
      <c r="AD177" s="1" t="n">
        <v>2024</v>
      </c>
      <c r="AE177" s="1" t="n">
        <v>5</v>
      </c>
      <c r="AF177" s="39" t="n">
        <v>23.6</v>
      </c>
      <c r="AG177" s="1" t="n">
        <v>2023</v>
      </c>
      <c r="AH177" s="1" t="n">
        <v>18</v>
      </c>
      <c r="AI177" s="39" t="n">
        <v>22.8</v>
      </c>
      <c r="AJ177" s="1" t="n">
        <v>2023</v>
      </c>
      <c r="AK177" s="1" t="n">
        <v>15</v>
      </c>
      <c r="AL177" s="39" t="n">
        <v>22.4</v>
      </c>
      <c r="AM177" s="1" t="n">
        <v>2023</v>
      </c>
      <c r="AN177" s="1" t="n">
        <v>12</v>
      </c>
      <c r="AO177" s="39" t="n">
        <v>22.8</v>
      </c>
      <c r="AP177" s="1" t="n">
        <v>2023</v>
      </c>
      <c r="AQ177" s="1" t="n">
        <v>14</v>
      </c>
    </row>
    <row r="178" ht="14.45" customHeight="1">
      <c r="A178" s="1" t="n">
        <v>24035040</v>
      </c>
      <c r="B178" s="1" t="inlineStr">
        <is>
          <t>LA COPA [24035040]</t>
        </is>
      </c>
      <c r="C178" s="1" t="n">
        <v>5.579194444</v>
      </c>
      <c r="D178" s="1" t="n">
        <v>-73.208777778</v>
      </c>
      <c r="E178" s="1" t="n">
        <v>2700</v>
      </c>
      <c r="F178" s="1" t="inlineStr">
        <is>
          <t>Toca</t>
        </is>
      </c>
      <c r="G178" s="1" t="inlineStr">
        <is>
          <t>Boyacá</t>
        </is>
      </c>
      <c r="H178" s="39" t="n">
        <v>25.4</v>
      </c>
      <c r="I178" s="1" t="n">
        <v>2024</v>
      </c>
      <c r="J178" s="1" t="n">
        <v>28</v>
      </c>
      <c r="K178" s="39" t="n">
        <v>25.2</v>
      </c>
      <c r="L178" s="1" t="n">
        <v>2010</v>
      </c>
      <c r="M178" s="1" t="n">
        <v>21</v>
      </c>
      <c r="N178" s="39" t="n">
        <v>24.8</v>
      </c>
      <c r="O178" s="1" t="n">
        <v>1992</v>
      </c>
      <c r="P178" s="1" t="n">
        <v>20</v>
      </c>
      <c r="Q178" s="39" t="n">
        <v>25.6</v>
      </c>
      <c r="R178" s="1" t="n">
        <v>2007</v>
      </c>
      <c r="S178" s="1" t="n">
        <v>24</v>
      </c>
      <c r="T178" s="39" t="n">
        <v>23.4</v>
      </c>
      <c r="U178" s="1" t="n">
        <v>2005</v>
      </c>
      <c r="V178" s="1" t="n">
        <v>6</v>
      </c>
      <c r="W178" s="39" t="n">
        <v>25.2</v>
      </c>
      <c r="X178" s="1" t="n">
        <v>2007</v>
      </c>
      <c r="Y178" s="1" t="n">
        <v>11</v>
      </c>
      <c r="Z178" s="39" t="n">
        <v>21.6</v>
      </c>
      <c r="AA178" s="1" t="n">
        <v>2005</v>
      </c>
      <c r="AB178" s="1" t="n">
        <v>31</v>
      </c>
      <c r="AC178" s="39" t="n">
        <v>24.4</v>
      </c>
      <c r="AD178" s="1" t="n">
        <v>2006</v>
      </c>
      <c r="AE178" s="1" t="n">
        <v>19</v>
      </c>
      <c r="AF178" s="39" t="n">
        <v>23</v>
      </c>
      <c r="AG178" s="1" t="n">
        <v>2007</v>
      </c>
      <c r="AH178" s="1" t="n">
        <v>9</v>
      </c>
      <c r="AI178" s="39" t="n">
        <v>24.8</v>
      </c>
      <c r="AJ178" s="1" t="n">
        <v>2007</v>
      </c>
      <c r="AK178" s="1" t="n">
        <v>16</v>
      </c>
      <c r="AL178" s="39" t="n">
        <v>23.2</v>
      </c>
      <c r="AM178" s="1" t="n">
        <v>2006</v>
      </c>
      <c r="AN178" s="1" t="n">
        <v>9</v>
      </c>
      <c r="AO178" s="39" t="n">
        <v>24.2</v>
      </c>
      <c r="AP178" s="1" t="n">
        <v>2001</v>
      </c>
      <c r="AQ178" s="1" t="n">
        <v>1</v>
      </c>
    </row>
    <row r="179" ht="14.45" customHeight="1">
      <c r="A179" s="1" t="n">
        <v>24035070</v>
      </c>
      <c r="B179" s="1" t="inlineStr">
        <is>
          <t>GUICAN [24035070]</t>
        </is>
      </c>
      <c r="C179" s="1" t="n">
        <v>6.463472222</v>
      </c>
      <c r="D179" s="1" t="n">
        <v>-72.40919443999999</v>
      </c>
      <c r="E179" s="1" t="n">
        <v>2963</v>
      </c>
      <c r="F179" s="1" t="inlineStr">
        <is>
          <t>Guicán</t>
        </is>
      </c>
      <c r="G179" s="1" t="inlineStr">
        <is>
          <t>Boyacá</t>
        </is>
      </c>
      <c r="H179" s="39" t="n">
        <v>25.2</v>
      </c>
      <c r="I179" s="1" t="n">
        <v>2024</v>
      </c>
      <c r="J179" s="1" t="n">
        <v>23</v>
      </c>
      <c r="K179" s="39" t="n">
        <v>24.8</v>
      </c>
      <c r="L179" s="1" t="n">
        <v>2024</v>
      </c>
      <c r="M179" s="1" t="n">
        <v>17</v>
      </c>
      <c r="N179" s="39" t="n">
        <v>25.6</v>
      </c>
      <c r="O179" s="1" t="n">
        <v>2024</v>
      </c>
      <c r="P179" s="1" t="n">
        <v>13</v>
      </c>
      <c r="Q179" s="39" t="n">
        <v>25</v>
      </c>
      <c r="R179" s="1" t="n">
        <v>2024</v>
      </c>
      <c r="S179" s="1" t="n">
        <v>12</v>
      </c>
      <c r="T179" s="39" t="n">
        <v>23</v>
      </c>
      <c r="U179" s="1" t="n">
        <v>2024</v>
      </c>
      <c r="V179" s="1" t="n">
        <v>13</v>
      </c>
      <c r="W179" s="39" t="n">
        <v>23.6</v>
      </c>
      <c r="X179" s="1" t="n">
        <v>2012</v>
      </c>
      <c r="Y179" s="1" t="n">
        <v>7</v>
      </c>
      <c r="Z179" s="39" t="n">
        <v>23</v>
      </c>
      <c r="AA179" s="1" t="n">
        <v>2012</v>
      </c>
      <c r="AB179" s="1" t="n">
        <v>2</v>
      </c>
      <c r="AC179" s="39" t="n">
        <v>22.2</v>
      </c>
      <c r="AD179" s="1" t="n">
        <v>2012</v>
      </c>
      <c r="AE179" s="1" t="n">
        <v>8</v>
      </c>
      <c r="AF179" s="39" t="n">
        <v>23.6</v>
      </c>
      <c r="AG179" s="1" t="n">
        <v>2023</v>
      </c>
      <c r="AH179" s="1" t="n">
        <v>30</v>
      </c>
      <c r="AI179" s="39" t="n">
        <v>24.2</v>
      </c>
      <c r="AJ179" s="1" t="n">
        <v>2012</v>
      </c>
      <c r="AK179" s="1" t="n">
        <v>17</v>
      </c>
      <c r="AL179" s="39" t="n">
        <v>23.6</v>
      </c>
      <c r="AM179" s="1" t="n">
        <v>2012</v>
      </c>
      <c r="AN179" s="1" t="n">
        <v>3</v>
      </c>
      <c r="AO179" s="39" t="n">
        <v>24.6</v>
      </c>
      <c r="AP179" s="1" t="n">
        <v>2012</v>
      </c>
      <c r="AQ179" s="1" t="n">
        <v>27</v>
      </c>
    </row>
    <row r="180" ht="14.45" customHeight="1">
      <c r="A180" s="1" t="n">
        <v>24035120</v>
      </c>
      <c r="B180" s="1" t="inlineStr">
        <is>
          <t>SURBATA BONZA [24035120]</t>
        </is>
      </c>
      <c r="C180" s="1" t="n">
        <v>5.802444444</v>
      </c>
      <c r="D180" s="1" t="n">
        <v>-73.07447222</v>
      </c>
      <c r="E180" s="1" t="n">
        <v>2485</v>
      </c>
      <c r="F180" s="1" t="inlineStr">
        <is>
          <t>Duitama</t>
        </is>
      </c>
      <c r="G180" s="1" t="inlineStr">
        <is>
          <t>Boyacá</t>
        </is>
      </c>
      <c r="H180" s="39" t="n">
        <v>26.8</v>
      </c>
      <c r="I180" s="1" t="n">
        <v>2010</v>
      </c>
      <c r="J180" s="1" t="n">
        <v>10</v>
      </c>
      <c r="K180" s="39" t="n">
        <v>26.9</v>
      </c>
      <c r="L180" s="1" t="n">
        <v>2016</v>
      </c>
      <c r="M180" s="1" t="n">
        <v>27</v>
      </c>
      <c r="N180" s="39" t="n">
        <v>27.6</v>
      </c>
      <c r="O180" s="1" t="n">
        <v>2010</v>
      </c>
      <c r="P180" s="1" t="n">
        <v>23</v>
      </c>
      <c r="Q180" s="39" t="n">
        <v>26.8</v>
      </c>
      <c r="R180" s="1" t="n">
        <v>2024</v>
      </c>
      <c r="S180" s="1" t="n">
        <v>15</v>
      </c>
      <c r="T180" s="39" t="n">
        <v>25.4</v>
      </c>
      <c r="U180" s="1" t="n">
        <v>2024</v>
      </c>
      <c r="V180" s="1" t="n">
        <v>8</v>
      </c>
      <c r="W180" s="39" t="n">
        <v>27</v>
      </c>
      <c r="X180" s="1" t="n">
        <v>1984</v>
      </c>
      <c r="Y180" s="1" t="n">
        <v>7</v>
      </c>
      <c r="Z180" s="39" t="n">
        <v>24.4</v>
      </c>
      <c r="AA180" s="1" t="n">
        <v>2022</v>
      </c>
      <c r="AB180" s="1" t="n">
        <v>17</v>
      </c>
      <c r="AC180" s="39" t="n">
        <v>26.6</v>
      </c>
      <c r="AD180" s="1" t="n">
        <v>2023</v>
      </c>
      <c r="AE180" s="1" t="n">
        <v>16</v>
      </c>
      <c r="AF180" s="39" t="n">
        <v>26.8</v>
      </c>
      <c r="AG180" s="1" t="n">
        <v>2009</v>
      </c>
      <c r="AH180" s="1" t="n">
        <v>29</v>
      </c>
      <c r="AI180" s="39" t="n">
        <v>26</v>
      </c>
      <c r="AJ180" s="1" t="n">
        <v>2023</v>
      </c>
      <c r="AK180" s="1" t="n">
        <v>2</v>
      </c>
      <c r="AL180" s="39" t="n">
        <v>26.4</v>
      </c>
      <c r="AM180" s="1" t="n">
        <v>2009</v>
      </c>
      <c r="AN180" s="1" t="n">
        <v>29</v>
      </c>
      <c r="AO180" s="39" t="n">
        <v>25.6</v>
      </c>
      <c r="AP180" s="1" t="n">
        <v>2009</v>
      </c>
      <c r="AQ180" s="1" t="n">
        <v>3</v>
      </c>
    </row>
    <row r="181" ht="14.45" customHeight="1">
      <c r="A181" s="1" t="n">
        <v>24035130</v>
      </c>
      <c r="B181" s="1" t="inlineStr">
        <is>
          <t>U P T C [24035130]</t>
        </is>
      </c>
      <c r="C181" s="1" t="n">
        <v>5.5430775</v>
      </c>
      <c r="D181" s="1" t="n">
        <v>-73.36081306</v>
      </c>
      <c r="E181" s="1" t="n">
        <v>2690</v>
      </c>
      <c r="F181" s="1" t="inlineStr">
        <is>
          <t>Tunja</t>
        </is>
      </c>
      <c r="G181" s="1" t="inlineStr">
        <is>
          <t>Boyacá</t>
        </is>
      </c>
      <c r="H181" s="39" t="n">
        <v>25.2</v>
      </c>
      <c r="I181" s="1" t="n">
        <v>2021</v>
      </c>
      <c r="J181" s="1" t="n">
        <v>16</v>
      </c>
      <c r="K181" s="39" t="n">
        <v>26.8</v>
      </c>
      <c r="L181" s="1" t="n">
        <v>2024</v>
      </c>
      <c r="M181" s="1" t="n">
        <v>20</v>
      </c>
      <c r="N181" s="39" t="n">
        <v>26.6</v>
      </c>
      <c r="O181" s="1" t="n">
        <v>2021</v>
      </c>
      <c r="P181" s="1" t="n">
        <v>10</v>
      </c>
      <c r="Q181" s="39" t="n">
        <v>24.4</v>
      </c>
      <c r="R181" s="1" t="n">
        <v>1996</v>
      </c>
      <c r="S181" s="1" t="n">
        <v>10</v>
      </c>
      <c r="T181" s="39" t="n">
        <v>23</v>
      </c>
      <c r="U181" s="1" t="n">
        <v>2005</v>
      </c>
      <c r="V181" s="1" t="n">
        <v>20</v>
      </c>
      <c r="W181" s="39" t="n">
        <v>21.6</v>
      </c>
      <c r="X181" s="1" t="n">
        <v>2008</v>
      </c>
      <c r="Y181" s="1" t="n">
        <v>20</v>
      </c>
      <c r="Z181" s="39" t="n">
        <v>21.4</v>
      </c>
      <c r="AA181" s="1" t="n">
        <v>2017</v>
      </c>
      <c r="AB181" s="1" t="n">
        <v>16</v>
      </c>
      <c r="AC181" s="39" t="n">
        <v>22.4</v>
      </c>
      <c r="AD181" s="1" t="n">
        <v>2023</v>
      </c>
      <c r="AE181" s="1" t="n">
        <v>21</v>
      </c>
      <c r="AF181" s="39" t="n">
        <v>23.4</v>
      </c>
      <c r="AG181" s="1" t="n">
        <v>1995</v>
      </c>
      <c r="AH181" s="1" t="n">
        <v>12</v>
      </c>
      <c r="AI181" s="39" t="n">
        <v>24</v>
      </c>
      <c r="AJ181" s="1" t="n">
        <v>2017</v>
      </c>
      <c r="AK181" s="1" t="n">
        <v>28</v>
      </c>
      <c r="AL181" s="39" t="n">
        <v>24.4</v>
      </c>
      <c r="AM181" s="1" t="n">
        <v>2023</v>
      </c>
      <c r="AN181" s="1" t="n">
        <v>22</v>
      </c>
      <c r="AO181" s="39" t="n">
        <v>23.8</v>
      </c>
      <c r="AP181" s="1" t="n">
        <v>1980</v>
      </c>
      <c r="AQ181" s="1" t="n">
        <v>17</v>
      </c>
    </row>
    <row r="182" ht="14.45" customHeight="1">
      <c r="A182" s="1" t="n">
        <v>24035240</v>
      </c>
      <c r="B182" s="1" t="inlineStr">
        <is>
          <t>SIERRA NEVAD COCUY [24035240]</t>
        </is>
      </c>
      <c r="C182" s="1" t="n">
        <v>6.410083333</v>
      </c>
      <c r="D182" s="1" t="n">
        <v>-72.37519444</v>
      </c>
      <c r="E182" s="1" t="n">
        <v>3716</v>
      </c>
      <c r="F182" s="1" t="inlineStr">
        <is>
          <t>Guicán</t>
        </is>
      </c>
      <c r="G182" s="1" t="inlineStr">
        <is>
          <t>Boyacá</t>
        </is>
      </c>
      <c r="H182" s="39" t="n">
        <v>19.8</v>
      </c>
      <c r="I182" s="1" t="n">
        <v>2021</v>
      </c>
      <c r="J182" s="1" t="n">
        <v>12</v>
      </c>
      <c r="K182" s="39" t="n">
        <v>20.2</v>
      </c>
      <c r="L182" s="1" t="n">
        <v>2020</v>
      </c>
      <c r="M182" s="1" t="n">
        <v>20</v>
      </c>
      <c r="N182" s="39" t="n">
        <v>18.8</v>
      </c>
      <c r="O182" s="1" t="n">
        <v>2022</v>
      </c>
      <c r="P182" s="1" t="n">
        <v>10</v>
      </c>
      <c r="Q182" s="39" t="n">
        <v>18.2</v>
      </c>
      <c r="R182" s="1" t="n">
        <v>2021</v>
      </c>
      <c r="S182" s="1" t="n">
        <v>30</v>
      </c>
      <c r="T182" s="39" t="n">
        <v>18.8</v>
      </c>
      <c r="U182" s="1" t="n">
        <v>2023</v>
      </c>
      <c r="V182" s="1" t="n">
        <v>13</v>
      </c>
      <c r="W182" s="39" t="n">
        <v>18.8</v>
      </c>
      <c r="X182" s="1" t="n">
        <v>2012</v>
      </c>
      <c r="Y182" s="1" t="n">
        <v>7</v>
      </c>
      <c r="Z182" s="39" t="n">
        <v>17</v>
      </c>
      <c r="AA182" s="1" t="n">
        <v>1988</v>
      </c>
      <c r="AB182" s="1" t="n">
        <v>15</v>
      </c>
      <c r="AC182" s="39" t="n">
        <v>18.8</v>
      </c>
      <c r="AD182" s="1" t="n">
        <v>2021</v>
      </c>
      <c r="AE182" s="1" t="n">
        <v>4</v>
      </c>
      <c r="AF182" s="39" t="n">
        <v>18</v>
      </c>
      <c r="AG182" s="1" t="n">
        <v>2014</v>
      </c>
      <c r="AH182" s="1" t="n">
        <v>13</v>
      </c>
      <c r="AI182" s="39" t="n">
        <v>16.8</v>
      </c>
      <c r="AJ182" s="1" t="n">
        <v>2005</v>
      </c>
      <c r="AK182" s="1" t="n">
        <v>28</v>
      </c>
      <c r="AL182" s="39" t="n">
        <v>17</v>
      </c>
      <c r="AM182" s="1" t="n">
        <v>1995</v>
      </c>
      <c r="AN182" s="1" t="n">
        <v>28</v>
      </c>
      <c r="AO182" s="39" t="n">
        <v>18.8</v>
      </c>
      <c r="AP182" s="1" t="n">
        <v>2018</v>
      </c>
      <c r="AQ182" s="1" t="n">
        <v>6</v>
      </c>
    </row>
    <row r="183" ht="14.45" customHeight="1">
      <c r="A183" s="1" t="n">
        <v>24035260</v>
      </c>
      <c r="B183" s="1" t="inlineStr">
        <is>
          <t>CAPITANEJO [24035260]</t>
        </is>
      </c>
      <c r="C183" s="1" t="n">
        <v>6.520722222</v>
      </c>
      <c r="D183" s="1" t="n">
        <v>-72.69661111000001</v>
      </c>
      <c r="E183" s="1" t="n">
        <v>1160</v>
      </c>
      <c r="F183" s="1" t="inlineStr">
        <is>
          <t>Capitanejo</t>
        </is>
      </c>
      <c r="G183" s="1" t="inlineStr">
        <is>
          <t>Santander</t>
        </is>
      </c>
      <c r="H183" s="39" t="n">
        <v>40.4</v>
      </c>
      <c r="I183" s="1" t="n">
        <v>2024</v>
      </c>
      <c r="J183" s="1" t="n">
        <v>23</v>
      </c>
      <c r="K183" s="39" t="n">
        <v>42.2</v>
      </c>
      <c r="L183" s="1" t="n">
        <v>2020</v>
      </c>
      <c r="M183" s="1" t="n">
        <v>17</v>
      </c>
      <c r="N183" s="39" t="n">
        <v>40.8</v>
      </c>
      <c r="O183" s="1" t="n">
        <v>2016</v>
      </c>
      <c r="P183" s="1" t="n">
        <v>26</v>
      </c>
      <c r="Q183" s="39" t="n">
        <v>40</v>
      </c>
      <c r="R183" s="1" t="n">
        <v>2024</v>
      </c>
      <c r="S183" s="1" t="n">
        <v>12</v>
      </c>
      <c r="T183" s="39" t="n">
        <v>38.2</v>
      </c>
      <c r="U183" s="1" t="n">
        <v>2015</v>
      </c>
      <c r="V183" s="1" t="n">
        <v>14</v>
      </c>
      <c r="W183" s="39" t="n">
        <v>39.2</v>
      </c>
      <c r="X183" s="1" t="n">
        <v>2023</v>
      </c>
      <c r="Y183" s="1" t="n">
        <v>29</v>
      </c>
      <c r="Z183" s="39" t="n">
        <v>39.4</v>
      </c>
      <c r="AA183" s="1" t="n">
        <v>2015</v>
      </c>
      <c r="AB183" s="1" t="n">
        <v>3</v>
      </c>
      <c r="AC183" s="39" t="n">
        <v>40.6</v>
      </c>
      <c r="AD183" s="1" t="n">
        <v>2016</v>
      </c>
      <c r="AE183" s="1" t="n">
        <v>17</v>
      </c>
      <c r="AF183" s="39" t="n">
        <v>40.2</v>
      </c>
      <c r="AG183" s="1" t="n">
        <v>2023</v>
      </c>
      <c r="AH183" s="1" t="n">
        <v>25</v>
      </c>
      <c r="AI183" s="39" t="n">
        <v>39.4</v>
      </c>
      <c r="AJ183" s="1" t="n">
        <v>2017</v>
      </c>
      <c r="AK183" s="1" t="n">
        <v>18</v>
      </c>
      <c r="AL183" s="39" t="n">
        <v>39.4</v>
      </c>
      <c r="AM183" s="1" t="n">
        <v>2023</v>
      </c>
      <c r="AN183" s="1" t="n">
        <v>14</v>
      </c>
      <c r="AO183" s="39" t="n">
        <v>39</v>
      </c>
      <c r="AP183" s="1" t="n">
        <v>2023</v>
      </c>
      <c r="AQ183" s="1" t="n">
        <v>11</v>
      </c>
    </row>
    <row r="184" ht="14.45" customHeight="1">
      <c r="A184" s="1" t="n">
        <v>24035310</v>
      </c>
      <c r="B184" s="1" t="inlineStr">
        <is>
          <t>CHISCAS [24035310]</t>
        </is>
      </c>
      <c r="C184" s="1" t="n">
        <v>6.549527778</v>
      </c>
      <c r="D184" s="1" t="n">
        <v>-72.50472222</v>
      </c>
      <c r="E184" s="1" t="n">
        <v>2350</v>
      </c>
      <c r="F184" s="1" t="inlineStr">
        <is>
          <t>Chiscas</t>
        </is>
      </c>
      <c r="G184" s="1" t="inlineStr">
        <is>
          <t>Boyacá</t>
        </is>
      </c>
      <c r="H184" s="39" t="n">
        <v>27.2</v>
      </c>
      <c r="I184" s="1" t="n">
        <v>1998</v>
      </c>
      <c r="J184" s="1" t="n">
        <v>22</v>
      </c>
      <c r="K184" s="39" t="n">
        <v>28.4</v>
      </c>
      <c r="L184" s="1" t="n">
        <v>2016</v>
      </c>
      <c r="M184" s="1" t="n">
        <v>15</v>
      </c>
      <c r="N184" s="39" t="n">
        <v>28.2</v>
      </c>
      <c r="O184" s="1" t="n">
        <v>2016</v>
      </c>
      <c r="P184" s="1" t="n">
        <v>23</v>
      </c>
      <c r="Q184" s="39" t="n">
        <v>26.4</v>
      </c>
      <c r="R184" s="1" t="n">
        <v>2016</v>
      </c>
      <c r="S184" s="1" t="n">
        <v>15</v>
      </c>
      <c r="T184" s="39" t="n">
        <v>25.8</v>
      </c>
      <c r="U184" s="1" t="n">
        <v>2015</v>
      </c>
      <c r="V184" s="1" t="n">
        <v>11</v>
      </c>
      <c r="W184" s="39" t="n">
        <v>25.6</v>
      </c>
      <c r="X184" s="1" t="n">
        <v>2016</v>
      </c>
      <c r="Y184" s="1" t="n">
        <v>12</v>
      </c>
      <c r="Z184" s="39" t="n">
        <v>26.6</v>
      </c>
      <c r="AA184" s="1" t="n">
        <v>2014</v>
      </c>
      <c r="AB184" s="1" t="n">
        <v>31</v>
      </c>
      <c r="AC184" s="39" t="n">
        <v>25.6</v>
      </c>
      <c r="AD184" s="1" t="n">
        <v>2000</v>
      </c>
      <c r="AE184" s="1" t="n">
        <v>22</v>
      </c>
      <c r="AF184" s="39" t="n">
        <v>26.4</v>
      </c>
      <c r="AG184" s="1" t="n">
        <v>1997</v>
      </c>
      <c r="AH184" s="1" t="n">
        <v>5</v>
      </c>
      <c r="AI184" s="39" t="n">
        <v>25.6</v>
      </c>
      <c r="AJ184" s="1" t="n">
        <v>1995</v>
      </c>
      <c r="AK184" s="1" t="n">
        <v>8</v>
      </c>
      <c r="AL184" s="39" t="n">
        <v>25.2</v>
      </c>
      <c r="AM184" s="1" t="n">
        <v>2016</v>
      </c>
      <c r="AN184" s="1" t="n">
        <v>5</v>
      </c>
      <c r="AO184" s="39" t="n">
        <v>28</v>
      </c>
      <c r="AP184" s="1" t="n">
        <v>2020</v>
      </c>
      <c r="AQ184" s="1" t="n">
        <v>8</v>
      </c>
    </row>
    <row r="185" ht="14.45" customHeight="1">
      <c r="A185" s="1" t="n">
        <v>24035320</v>
      </c>
      <c r="B185" s="1" t="inlineStr">
        <is>
          <t>SATIVANORTE [24035320]</t>
        </is>
      </c>
      <c r="C185" s="1" t="n">
        <v>6.116861111</v>
      </c>
      <c r="D185" s="1" t="n">
        <v>-72.70483333</v>
      </c>
      <c r="E185" s="1" t="n">
        <v>2594</v>
      </c>
      <c r="F185" s="1" t="inlineStr">
        <is>
          <t>Sativanorte</t>
        </is>
      </c>
      <c r="G185" s="1" t="inlineStr">
        <is>
          <t>Boyacá</t>
        </is>
      </c>
      <c r="H185" s="39" t="n">
        <v>25.6</v>
      </c>
      <c r="I185" s="1" t="n">
        <v>2024</v>
      </c>
      <c r="J185" s="1" t="n">
        <v>29</v>
      </c>
      <c r="K185" s="39" t="n">
        <v>25</v>
      </c>
      <c r="L185" s="1" t="n">
        <v>1988</v>
      </c>
      <c r="M185" s="1" t="n">
        <v>23</v>
      </c>
      <c r="N185" s="39" t="n">
        <v>25</v>
      </c>
      <c r="O185" s="1" t="n">
        <v>1992</v>
      </c>
      <c r="P185" s="1" t="n">
        <v>23</v>
      </c>
      <c r="Q185" s="39" t="n">
        <v>25.6</v>
      </c>
      <c r="R185" s="1" t="n">
        <v>2024</v>
      </c>
      <c r="S185" s="1" t="n">
        <v>16</v>
      </c>
      <c r="T185" s="39" t="n">
        <v>24.4</v>
      </c>
      <c r="U185" s="1" t="n">
        <v>1992</v>
      </c>
      <c r="V185" s="1" t="n">
        <v>2</v>
      </c>
      <c r="W185" s="39" t="n">
        <v>23.6</v>
      </c>
      <c r="X185" s="1" t="n">
        <v>2010</v>
      </c>
      <c r="Y185" s="1" t="n">
        <v>8</v>
      </c>
      <c r="Z185" s="39" t="n">
        <v>23.6</v>
      </c>
      <c r="AA185" s="1" t="n">
        <v>2010</v>
      </c>
      <c r="AB185" s="1" t="n">
        <v>5</v>
      </c>
      <c r="AC185" s="39" t="n">
        <v>23.6</v>
      </c>
      <c r="AD185" s="1" t="n">
        <v>2010</v>
      </c>
      <c r="AE185" s="1" t="n">
        <v>5</v>
      </c>
      <c r="AF185" s="39" t="n">
        <v>26</v>
      </c>
      <c r="AG185" s="1" t="n">
        <v>1987</v>
      </c>
      <c r="AH185" s="1" t="n">
        <v>5</v>
      </c>
      <c r="AI185" s="39" t="n">
        <v>23.8</v>
      </c>
      <c r="AJ185" s="1" t="n">
        <v>2016</v>
      </c>
      <c r="AK185" s="1" t="n">
        <v>22</v>
      </c>
      <c r="AL185" s="39" t="n">
        <v>24</v>
      </c>
      <c r="AM185" s="1" t="n">
        <v>1983</v>
      </c>
      <c r="AN185" s="1" t="n">
        <v>13</v>
      </c>
      <c r="AO185" s="39" t="n">
        <v>23.8</v>
      </c>
      <c r="AP185" s="1" t="n">
        <v>2020</v>
      </c>
      <c r="AQ185" s="1" t="n">
        <v>20</v>
      </c>
    </row>
    <row r="186" ht="14.45" customHeight="1">
      <c r="A186" s="1" t="n">
        <v>24035330</v>
      </c>
      <c r="B186" s="1" t="inlineStr">
        <is>
          <t>BOAVITA [24035330]</t>
        </is>
      </c>
      <c r="C186" s="1" t="n">
        <v>6.328972222</v>
      </c>
      <c r="D186" s="1" t="n">
        <v>-72.58227778</v>
      </c>
      <c r="E186" s="1" t="n">
        <v>2150</v>
      </c>
      <c r="F186" s="1" t="inlineStr">
        <is>
          <t>Boavita</t>
        </is>
      </c>
      <c r="G186" s="1" t="inlineStr">
        <is>
          <t>Boyacá</t>
        </is>
      </c>
      <c r="H186" s="39" t="n">
        <v>31.6</v>
      </c>
      <c r="I186" s="1" t="n">
        <v>2024</v>
      </c>
      <c r="J186" s="1" t="n">
        <v>24</v>
      </c>
      <c r="K186" s="39" t="n">
        <v>31</v>
      </c>
      <c r="L186" s="1" t="n">
        <v>2000</v>
      </c>
      <c r="M186" s="1" t="n">
        <v>7</v>
      </c>
      <c r="N186" s="39" t="n">
        <v>31</v>
      </c>
      <c r="O186" s="1" t="n">
        <v>2024</v>
      </c>
      <c r="P186" s="1" t="n">
        <v>20</v>
      </c>
      <c r="Q186" s="39" t="n">
        <v>30.8</v>
      </c>
      <c r="R186" s="1" t="n">
        <v>2024</v>
      </c>
      <c r="S186" s="1" t="n">
        <v>13</v>
      </c>
      <c r="T186" s="39" t="n">
        <v>29</v>
      </c>
      <c r="U186" s="1" t="n">
        <v>2020</v>
      </c>
      <c r="V186" s="1" t="n">
        <v>10</v>
      </c>
      <c r="W186" s="39" t="n">
        <v>28.2</v>
      </c>
      <c r="X186" s="1" t="n">
        <v>2024</v>
      </c>
      <c r="Y186" s="1" t="n">
        <v>2</v>
      </c>
      <c r="Z186" s="39" t="n">
        <v>28</v>
      </c>
      <c r="AA186" s="1" t="n">
        <v>2005</v>
      </c>
      <c r="AB186" s="1" t="n">
        <v>31</v>
      </c>
      <c r="AC186" s="39" t="n">
        <v>29.6</v>
      </c>
      <c r="AD186" s="1" t="n">
        <v>1997</v>
      </c>
      <c r="AE186" s="1" t="n">
        <v>25</v>
      </c>
      <c r="AF186" s="39" t="n">
        <v>29</v>
      </c>
      <c r="AG186" s="1" t="n">
        <v>2009</v>
      </c>
      <c r="AH186" s="1" t="n">
        <v>19</v>
      </c>
      <c r="AI186" s="39" t="n">
        <v>29.6</v>
      </c>
      <c r="AJ186" s="1" t="n">
        <v>2023</v>
      </c>
      <c r="AK186" s="1" t="n">
        <v>1</v>
      </c>
      <c r="AL186" s="39" t="n">
        <v>28</v>
      </c>
      <c r="AM186" s="1" t="n">
        <v>1992</v>
      </c>
      <c r="AN186" s="1" t="n">
        <v>3</v>
      </c>
      <c r="AO186" s="39" t="n">
        <v>29</v>
      </c>
      <c r="AP186" s="1" t="n">
        <v>2023</v>
      </c>
      <c r="AQ186" s="1" t="n">
        <v>12</v>
      </c>
    </row>
    <row r="187" ht="14.45" customHeight="1">
      <c r="A187" s="1" t="n">
        <v>24035340</v>
      </c>
      <c r="B187" s="1" t="inlineStr">
        <is>
          <t>AEROPUERTO A LLERAS C AUT [24035340]</t>
        </is>
      </c>
      <c r="C187" s="1" t="n">
        <v>5.676944444</v>
      </c>
      <c r="D187" s="1" t="n">
        <v>-72.96791666999999</v>
      </c>
      <c r="E187" s="1" t="n">
        <v>2500</v>
      </c>
      <c r="F187" s="1" t="inlineStr">
        <is>
          <t>Sogamoso</t>
        </is>
      </c>
      <c r="G187" s="1" t="inlineStr">
        <is>
          <t>Boyacá</t>
        </is>
      </c>
      <c r="H187" s="39" t="n">
        <v>26.6</v>
      </c>
      <c r="I187" s="1" t="n">
        <v>2016</v>
      </c>
      <c r="J187" s="1" t="n">
        <v>26</v>
      </c>
      <c r="K187" s="39" t="n">
        <v>27.4</v>
      </c>
      <c r="L187" s="1" t="n">
        <v>1998</v>
      </c>
      <c r="M187" s="1" t="n">
        <v>18</v>
      </c>
      <c r="N187" s="39" t="n">
        <v>27.2</v>
      </c>
      <c r="O187" s="1" t="n">
        <v>1998</v>
      </c>
      <c r="P187" s="1" t="n">
        <v>1</v>
      </c>
      <c r="Q187" s="39" t="n">
        <v>27</v>
      </c>
      <c r="R187" s="1" t="n">
        <v>2001</v>
      </c>
      <c r="S187" s="1" t="n">
        <v>21</v>
      </c>
      <c r="T187" s="39" t="n">
        <v>26.1</v>
      </c>
      <c r="U187" s="1" t="n">
        <v>2009</v>
      </c>
      <c r="V187" s="1" t="n">
        <v>20</v>
      </c>
      <c r="W187" s="39" t="n">
        <v>24.8</v>
      </c>
      <c r="X187" s="1" t="n">
        <v>2019</v>
      </c>
      <c r="Y187" s="1" t="n">
        <v>27</v>
      </c>
      <c r="Z187" s="39" t="n">
        <v>25.2</v>
      </c>
      <c r="AA187" s="1" t="n">
        <v>2019</v>
      </c>
      <c r="AB187" s="1" t="n">
        <v>4</v>
      </c>
      <c r="AC187" s="39" t="n">
        <v>26</v>
      </c>
      <c r="AD187" s="1" t="n">
        <v>2015</v>
      </c>
      <c r="AE187" s="1" t="n">
        <v>7</v>
      </c>
      <c r="AF187" s="39" t="n">
        <v>27</v>
      </c>
      <c r="AG187" s="1" t="n">
        <v>1984</v>
      </c>
      <c r="AH187" s="1" t="n">
        <v>3</v>
      </c>
      <c r="AI187" s="39" t="n">
        <v>25.8</v>
      </c>
      <c r="AJ187" s="1" t="n">
        <v>2024</v>
      </c>
      <c r="AK187" s="1" t="n">
        <v>24</v>
      </c>
      <c r="AL187" s="39" t="n">
        <v>25.4</v>
      </c>
      <c r="AM187" s="1" t="n">
        <v>1997</v>
      </c>
      <c r="AN187" s="1" t="n">
        <v>12</v>
      </c>
      <c r="AO187" s="39" t="n">
        <v>25.2</v>
      </c>
      <c r="AP187" s="1" t="n">
        <v>2000</v>
      </c>
      <c r="AQ187" s="1" t="n">
        <v>13</v>
      </c>
    </row>
    <row r="188" ht="14.45" customHeight="1">
      <c r="A188" s="1" t="n">
        <v>24035350</v>
      </c>
      <c r="B188" s="1" t="inlineStr">
        <is>
          <t>ANDALUCIA [24035350]</t>
        </is>
      </c>
      <c r="C188" s="1" t="n">
        <v>5.901138889</v>
      </c>
      <c r="D188" s="1" t="n">
        <v>-73.05833333</v>
      </c>
      <c r="E188" s="1" t="n">
        <v>3265</v>
      </c>
      <c r="F188" s="1" t="inlineStr">
        <is>
          <t>Duitama</t>
        </is>
      </c>
      <c r="G188" s="1" t="inlineStr">
        <is>
          <t>Boyacá</t>
        </is>
      </c>
      <c r="H188" s="39" t="n">
        <v>25</v>
      </c>
      <c r="I188" s="1" t="n">
        <v>2016</v>
      </c>
      <c r="J188" s="1" t="n">
        <v>28</v>
      </c>
      <c r="K188" s="39" t="n">
        <v>25.4</v>
      </c>
      <c r="L188" s="1" t="n">
        <v>2016</v>
      </c>
      <c r="M188" s="1" t="n">
        <v>27</v>
      </c>
      <c r="N188" s="39" t="n">
        <v>25.2</v>
      </c>
      <c r="O188" s="1" t="n">
        <v>2010</v>
      </c>
      <c r="P188" s="1" t="n">
        <v>23</v>
      </c>
      <c r="Q188" s="39" t="n">
        <v>23.2</v>
      </c>
      <c r="R188" s="1" t="n">
        <v>2010</v>
      </c>
      <c r="S188" s="1" t="n">
        <v>30</v>
      </c>
      <c r="T188" s="39" t="n">
        <v>22.4</v>
      </c>
      <c r="U188" s="1" t="n">
        <v>2008</v>
      </c>
      <c r="V188" s="1" t="n">
        <v>9</v>
      </c>
      <c r="W188" s="39" t="n">
        <v>19.6</v>
      </c>
      <c r="X188" s="1" t="n">
        <v>2008</v>
      </c>
      <c r="Y188" s="1" t="n">
        <v>19</v>
      </c>
      <c r="Z188" s="39" t="n">
        <v>19.8</v>
      </c>
      <c r="AA188" s="1" t="n">
        <v>2010</v>
      </c>
      <c r="AB188" s="1" t="n">
        <v>26</v>
      </c>
      <c r="AC188" s="39" t="n">
        <v>21.6</v>
      </c>
      <c r="AD188" s="1" t="n">
        <v>2004</v>
      </c>
      <c r="AE188" s="1" t="n">
        <v>20</v>
      </c>
      <c r="AF188" s="39" t="n">
        <v>21.8</v>
      </c>
      <c r="AG188" s="1" t="n">
        <v>2016</v>
      </c>
      <c r="AH188" s="1" t="n">
        <v>29</v>
      </c>
      <c r="AI188" s="39" t="n">
        <v>20.2</v>
      </c>
      <c r="AJ188" s="1" t="n">
        <v>1998</v>
      </c>
      <c r="AK188" s="1" t="n">
        <v>27</v>
      </c>
      <c r="AL188" s="39" t="n">
        <v>21.4</v>
      </c>
      <c r="AM188" s="1" t="n">
        <v>2012</v>
      </c>
      <c r="AN188" s="1" t="n">
        <v>19</v>
      </c>
      <c r="AO188" s="39" t="n">
        <v>22.4</v>
      </c>
      <c r="AP188" s="1" t="n">
        <v>2011</v>
      </c>
      <c r="AQ188" s="1" t="n">
        <v>28</v>
      </c>
    </row>
    <row r="189" ht="14.45" customHeight="1">
      <c r="A189" s="1" t="n">
        <v>24035400</v>
      </c>
      <c r="B189" s="1" t="inlineStr">
        <is>
          <t>VOLCAN EL [24035400]</t>
        </is>
      </c>
      <c r="C189" s="1" t="n">
        <v>6.845277778</v>
      </c>
      <c r="D189" s="1" t="n">
        <v>-72.67777778</v>
      </c>
      <c r="E189" s="1" t="n">
        <v>2841</v>
      </c>
      <c r="F189" s="1" t="inlineStr">
        <is>
          <t>Cerrito</t>
        </is>
      </c>
      <c r="G189" s="1" t="inlineStr">
        <is>
          <t>Santander</t>
        </is>
      </c>
      <c r="H189" s="39" t="n">
        <v>23</v>
      </c>
      <c r="I189" s="1" t="n">
        <v>2016</v>
      </c>
      <c r="J189" s="1" t="n">
        <v>25</v>
      </c>
      <c r="K189" s="39" t="n">
        <v>23.2</v>
      </c>
      <c r="L189" s="1" t="n">
        <v>2007</v>
      </c>
      <c r="M189" s="1" t="n">
        <v>2</v>
      </c>
      <c r="N189" s="39" t="n">
        <v>24</v>
      </c>
      <c r="O189" s="1" t="n">
        <v>2016</v>
      </c>
      <c r="P189" s="1" t="n">
        <v>25</v>
      </c>
      <c r="Q189" s="39" t="n">
        <v>23.8</v>
      </c>
      <c r="R189" s="1" t="n">
        <v>2024</v>
      </c>
      <c r="S189" s="1" t="n">
        <v>13</v>
      </c>
      <c r="T189" s="39" t="n">
        <v>23</v>
      </c>
      <c r="U189" s="1" t="n">
        <v>2020</v>
      </c>
      <c r="V189" s="1" t="n">
        <v>24</v>
      </c>
      <c r="W189" s="39" t="n">
        <v>21.8</v>
      </c>
      <c r="X189" s="1" t="n">
        <v>2013</v>
      </c>
      <c r="Y189" s="1" t="n">
        <v>26</v>
      </c>
      <c r="Z189" s="39" t="n">
        <v>21</v>
      </c>
      <c r="AA189" s="1" t="n">
        <v>2019</v>
      </c>
      <c r="AB189" s="1" t="n">
        <v>4</v>
      </c>
      <c r="AC189" s="39" t="n">
        <v>21.8</v>
      </c>
      <c r="AD189" s="1" t="n">
        <v>2017</v>
      </c>
      <c r="AE189" s="1" t="n">
        <v>17</v>
      </c>
      <c r="AF189" s="39" t="n">
        <v>21.6</v>
      </c>
      <c r="AG189" s="1" t="n">
        <v>2023</v>
      </c>
      <c r="AH189" s="1" t="n">
        <v>28</v>
      </c>
      <c r="AI189" s="39" t="n">
        <v>22</v>
      </c>
      <c r="AJ189" s="1" t="n">
        <v>2017</v>
      </c>
      <c r="AK189" s="1" t="n">
        <v>20</v>
      </c>
      <c r="AL189" s="39" t="n">
        <v>21.8</v>
      </c>
      <c r="AM189" s="1" t="n">
        <v>2008</v>
      </c>
      <c r="AN189" s="1" t="n">
        <v>25</v>
      </c>
      <c r="AO189" s="39" t="n">
        <v>22</v>
      </c>
      <c r="AP189" s="1" t="n">
        <v>2006</v>
      </c>
      <c r="AQ189" s="1" t="n">
        <v>22</v>
      </c>
    </row>
    <row r="190" ht="14.45" customHeight="1">
      <c r="A190" s="1" t="n">
        <v>24055030</v>
      </c>
      <c r="B190" s="1" t="inlineStr">
        <is>
          <t>ZAPATOCA [24055030]</t>
        </is>
      </c>
      <c r="C190" s="1" t="n">
        <v>6.792777778</v>
      </c>
      <c r="D190" s="1" t="n">
        <v>-73.28274999999999</v>
      </c>
      <c r="E190" s="1" t="n">
        <v>1810</v>
      </c>
      <c r="F190" s="1" t="inlineStr">
        <is>
          <t>Zapatoca</t>
        </is>
      </c>
      <c r="G190" s="1" t="inlineStr">
        <is>
          <t>Santander</t>
        </is>
      </c>
      <c r="H190" s="39" t="n">
        <v>28</v>
      </c>
      <c r="I190" s="1" t="n">
        <v>2024</v>
      </c>
      <c r="J190" s="1" t="n">
        <v>22</v>
      </c>
      <c r="K190" s="39" t="n">
        <v>29.8</v>
      </c>
      <c r="L190" s="1" t="n">
        <v>2016</v>
      </c>
      <c r="M190" s="1" t="n">
        <v>16</v>
      </c>
      <c r="N190" s="39" t="n">
        <v>29.6</v>
      </c>
      <c r="O190" s="1" t="n">
        <v>2024</v>
      </c>
      <c r="P190" s="1" t="n">
        <v>18</v>
      </c>
      <c r="Q190" s="39" t="n">
        <v>28.8</v>
      </c>
      <c r="R190" s="1" t="n">
        <v>2024</v>
      </c>
      <c r="S190" s="1" t="n">
        <v>10</v>
      </c>
      <c r="T190" s="39" t="n">
        <v>28.6</v>
      </c>
      <c r="U190" s="1" t="n">
        <v>2020</v>
      </c>
      <c r="V190" s="1" t="n">
        <v>10</v>
      </c>
      <c r="W190" s="39" t="n">
        <v>28.4</v>
      </c>
      <c r="X190" s="1" t="n">
        <v>1998</v>
      </c>
      <c r="Y190" s="1" t="n">
        <v>14</v>
      </c>
      <c r="Z190" s="39" t="n">
        <v>27</v>
      </c>
      <c r="AA190" s="1" t="n">
        <v>2015</v>
      </c>
      <c r="AB190" s="1" t="n">
        <v>3</v>
      </c>
      <c r="AC190" s="39" t="n">
        <v>31.6</v>
      </c>
      <c r="AD190" s="1" t="n">
        <v>2025</v>
      </c>
      <c r="AE190" s="1" t="n">
        <v>27</v>
      </c>
      <c r="AF190" s="39" t="n">
        <v>27.8</v>
      </c>
      <c r="AG190" s="1" t="n">
        <v>2015</v>
      </c>
      <c r="AH190" s="1" t="n">
        <v>15</v>
      </c>
      <c r="AI190" s="39" t="n">
        <v>28</v>
      </c>
      <c r="AJ190" s="1" t="n">
        <v>2002</v>
      </c>
      <c r="AK190" s="1" t="n">
        <v>16</v>
      </c>
      <c r="AL190" s="39" t="n">
        <v>27.2</v>
      </c>
      <c r="AM190" s="1" t="n">
        <v>2015</v>
      </c>
      <c r="AN190" s="1" t="n">
        <v>26</v>
      </c>
      <c r="AO190" s="39" t="n">
        <v>27</v>
      </c>
      <c r="AP190" s="1" t="n">
        <v>2015</v>
      </c>
      <c r="AQ190" s="1" t="n">
        <v>31</v>
      </c>
    </row>
    <row r="191" ht="14.45" customHeight="1">
      <c r="A191" s="1" t="n">
        <v>24055040</v>
      </c>
      <c r="B191" s="1" t="inlineStr">
        <is>
          <t>PALMAR EL [24055040]</t>
        </is>
      </c>
      <c r="C191" s="1" t="n">
        <v>6.549722222</v>
      </c>
      <c r="D191" s="1" t="n">
        <v>-73.292</v>
      </c>
      <c r="E191" s="1" t="n">
        <v>940</v>
      </c>
      <c r="F191" s="1" t="inlineStr">
        <is>
          <t>Palmar</t>
        </is>
      </c>
      <c r="G191" s="1" t="inlineStr">
        <is>
          <t>Santander</t>
        </is>
      </c>
      <c r="H191" s="39" t="n">
        <v>38.2</v>
      </c>
      <c r="I191" s="1" t="n">
        <v>1998</v>
      </c>
      <c r="J191" s="1" t="n">
        <v>23</v>
      </c>
      <c r="K191" s="39" t="n">
        <v>38.8</v>
      </c>
      <c r="L191" s="1" t="n">
        <v>2016</v>
      </c>
      <c r="M191" s="1" t="n">
        <v>16</v>
      </c>
      <c r="N191" s="39" t="n">
        <v>39.2</v>
      </c>
      <c r="O191" s="1" t="n">
        <v>2016</v>
      </c>
      <c r="P191" s="1" t="n">
        <v>26</v>
      </c>
      <c r="Q191" s="39" t="n">
        <v>38.4</v>
      </c>
      <c r="R191" s="1" t="n">
        <v>2016</v>
      </c>
      <c r="S191" s="1" t="n">
        <v>20</v>
      </c>
      <c r="T191" s="39" t="n">
        <v>36.8</v>
      </c>
      <c r="U191" s="1" t="n">
        <v>1993</v>
      </c>
      <c r="V191" s="1" t="n">
        <v>27</v>
      </c>
      <c r="W191" s="39" t="n">
        <v>37</v>
      </c>
      <c r="X191" s="1" t="n">
        <v>2014</v>
      </c>
      <c r="Y191" s="1" t="n">
        <v>29</v>
      </c>
      <c r="Z191" s="39" t="n">
        <v>37.6</v>
      </c>
      <c r="AA191" s="1" t="n">
        <v>2015</v>
      </c>
      <c r="AB191" s="1" t="n">
        <v>2</v>
      </c>
      <c r="AC191" s="39" t="n">
        <v>37.2</v>
      </c>
      <c r="AD191" s="1" t="n">
        <v>2015</v>
      </c>
      <c r="AE191" s="1" t="n">
        <v>5</v>
      </c>
      <c r="AF191" s="39" t="n">
        <v>37</v>
      </c>
      <c r="AG191" s="1" t="n">
        <v>2023</v>
      </c>
      <c r="AH191" s="1" t="n">
        <v>16</v>
      </c>
      <c r="AI191" s="39" t="n">
        <v>38.6</v>
      </c>
      <c r="AJ191" s="1" t="n">
        <v>1992</v>
      </c>
      <c r="AK191" s="1" t="n">
        <v>28</v>
      </c>
      <c r="AL191" s="39" t="n">
        <v>38.6</v>
      </c>
      <c r="AM191" s="1" t="n">
        <v>1992</v>
      </c>
      <c r="AN191" s="1" t="n">
        <v>26</v>
      </c>
      <c r="AO191" s="39" t="n">
        <v>37.2</v>
      </c>
      <c r="AP191" s="1" t="n">
        <v>2015</v>
      </c>
      <c r="AQ191" s="1" t="n">
        <v>29</v>
      </c>
    </row>
    <row r="192" ht="14.45" customHeight="1">
      <c r="A192" s="1" t="n">
        <v>24065010</v>
      </c>
      <c r="B192" s="1" t="inlineStr">
        <is>
          <t>HACIENDA LAS BRISAS [24065010]</t>
        </is>
      </c>
      <c r="C192" s="1" t="n">
        <v>7.246111111</v>
      </c>
      <c r="D192" s="1" t="n">
        <v>-73.79000000000001</v>
      </c>
      <c r="E192" s="1" t="n">
        <v>138</v>
      </c>
      <c r="F192" s="1" t="inlineStr">
        <is>
          <t>Puerto Wilches</t>
        </is>
      </c>
      <c r="G192" s="1" t="inlineStr">
        <is>
          <t>Santander</t>
        </is>
      </c>
      <c r="H192" s="39" t="n">
        <v>38.8</v>
      </c>
      <c r="I192" s="1" t="n">
        <v>1998</v>
      </c>
      <c r="J192" s="1" t="n">
        <v>26</v>
      </c>
      <c r="K192" s="39" t="n">
        <v>39</v>
      </c>
      <c r="L192" s="1" t="n">
        <v>1998</v>
      </c>
      <c r="M192" s="1" t="n">
        <v>17</v>
      </c>
      <c r="N192" s="39" t="n">
        <v>38.6</v>
      </c>
      <c r="O192" s="1" t="n">
        <v>1990</v>
      </c>
      <c r="P192" s="1" t="n">
        <v>13</v>
      </c>
      <c r="Q192" s="39" t="n">
        <v>38</v>
      </c>
      <c r="R192" s="1" t="n">
        <v>2004</v>
      </c>
      <c r="S192" s="1" t="n">
        <v>6</v>
      </c>
      <c r="T192" s="39" t="n">
        <v>38.4</v>
      </c>
      <c r="U192" s="1" t="n">
        <v>1979</v>
      </c>
      <c r="V192" s="1" t="n">
        <v>7</v>
      </c>
      <c r="W192" s="39" t="n">
        <v>37.8</v>
      </c>
      <c r="X192" s="1" t="n">
        <v>1980</v>
      </c>
      <c r="Y192" s="1" t="n">
        <v>26</v>
      </c>
      <c r="Z192" s="39" t="n">
        <v>38.8</v>
      </c>
      <c r="AA192" s="1" t="n">
        <v>1997</v>
      </c>
      <c r="AB192" s="1" t="n">
        <v>20</v>
      </c>
      <c r="AC192" s="39" t="n">
        <v>38.6</v>
      </c>
      <c r="AD192" s="1" t="n">
        <v>1979</v>
      </c>
      <c r="AE192" s="1" t="n">
        <v>10</v>
      </c>
      <c r="AF192" s="39" t="n">
        <v>37.6</v>
      </c>
      <c r="AG192" s="1" t="n">
        <v>1991</v>
      </c>
      <c r="AH192" s="1" t="n">
        <v>3</v>
      </c>
      <c r="AI192" s="39" t="n">
        <v>37.8</v>
      </c>
      <c r="AJ192" s="1" t="n">
        <v>1997</v>
      </c>
      <c r="AK192" s="1" t="n">
        <v>27</v>
      </c>
      <c r="AL192" s="39" t="n">
        <v>36.8</v>
      </c>
      <c r="AM192" s="1" t="n">
        <v>1979</v>
      </c>
      <c r="AN192" s="1" t="n">
        <v>23</v>
      </c>
      <c r="AO192" s="39" t="n">
        <v>37.8</v>
      </c>
      <c r="AP192" s="1" t="n">
        <v>1978</v>
      </c>
      <c r="AQ192" s="1" t="n">
        <v>31</v>
      </c>
    </row>
    <row r="193" ht="14.45" customHeight="1">
      <c r="A193" s="1" t="n">
        <v>25015010</v>
      </c>
      <c r="B193" s="1" t="inlineStr">
        <is>
          <t>CENTRO ALEGRE [25015010]</t>
        </is>
      </c>
      <c r="C193" s="1" t="n">
        <v>8.180777778</v>
      </c>
      <c r="D193" s="1" t="n">
        <v>-75.63227778</v>
      </c>
      <c r="E193" s="1" t="n">
        <v>170</v>
      </c>
      <c r="F193" s="1" t="inlineStr">
        <is>
          <t>Planeta Rica</t>
        </is>
      </c>
      <c r="G193" s="1" t="inlineStr">
        <is>
          <t>Cordoba</t>
        </is>
      </c>
      <c r="H193" s="39" t="n">
        <v>37</v>
      </c>
      <c r="I193" s="1" t="n">
        <v>1998</v>
      </c>
      <c r="J193" s="1" t="n">
        <v>13</v>
      </c>
      <c r="K193" s="39" t="n">
        <v>38</v>
      </c>
      <c r="L193" s="1" t="n">
        <v>1992</v>
      </c>
      <c r="M193" s="1" t="n">
        <v>25</v>
      </c>
      <c r="N193" s="39" t="n">
        <v>38.6</v>
      </c>
      <c r="O193" s="1" t="n">
        <v>1990</v>
      </c>
      <c r="P193" s="1" t="n">
        <v>25</v>
      </c>
      <c r="Q193" s="39" t="n">
        <v>37.8</v>
      </c>
      <c r="R193" s="1" t="n">
        <v>1990</v>
      </c>
      <c r="S193" s="1" t="n">
        <v>10</v>
      </c>
      <c r="T193" s="39" t="n">
        <v>38.7</v>
      </c>
      <c r="U193" s="1" t="n">
        <v>1990</v>
      </c>
      <c r="V193" s="1" t="n">
        <v>1</v>
      </c>
      <c r="W193" s="39" t="n">
        <v>39.8</v>
      </c>
      <c r="X193" s="1" t="n">
        <v>1992</v>
      </c>
      <c r="Y193" s="1" t="n">
        <v>24</v>
      </c>
      <c r="Z193" s="39" t="n">
        <v>37.8</v>
      </c>
      <c r="AA193" s="1" t="n">
        <v>1992</v>
      </c>
      <c r="AB193" s="1" t="n">
        <v>20</v>
      </c>
      <c r="AC193" s="39" t="n">
        <v>37.8</v>
      </c>
      <c r="AD193" s="1" t="n">
        <v>1987</v>
      </c>
      <c r="AE193" s="1" t="n">
        <v>11</v>
      </c>
      <c r="AF193" s="39" t="n">
        <v>39.6</v>
      </c>
      <c r="AG193" s="1" t="n">
        <v>1992</v>
      </c>
      <c r="AH193" s="1" t="n">
        <v>15</v>
      </c>
      <c r="AI193" s="39" t="n">
        <v>38.5</v>
      </c>
      <c r="AJ193" s="1" t="n">
        <v>1989</v>
      </c>
      <c r="AK193" s="1" t="n">
        <v>30</v>
      </c>
      <c r="AL193" s="39" t="n">
        <v>38.1</v>
      </c>
      <c r="AM193" s="1" t="n">
        <v>1991</v>
      </c>
      <c r="AN193" s="1" t="n">
        <v>8</v>
      </c>
      <c r="AO193" s="39" t="n">
        <v>39.6</v>
      </c>
      <c r="AP193" s="1" t="n">
        <v>1990</v>
      </c>
      <c r="AQ193" s="1" t="n">
        <v>10</v>
      </c>
    </row>
    <row r="194" ht="14.45" customHeight="1">
      <c r="A194" s="1" t="n">
        <v>25025002</v>
      </c>
      <c r="B194" s="1" t="inlineStr">
        <is>
          <t>LOS ALAMOS - AUT [25025002]</t>
        </is>
      </c>
      <c r="C194" s="1" t="n">
        <v>9.304055556</v>
      </c>
      <c r="D194" s="1" t="n">
        <v>-74.27363889</v>
      </c>
      <c r="E194" s="1" t="n">
        <v>25</v>
      </c>
      <c r="F194" s="1" t="inlineStr">
        <is>
          <t>San Sebastián De Buenavista</t>
        </is>
      </c>
      <c r="G194" s="1" t="inlineStr">
        <is>
          <t>Magdalena</t>
        </is>
      </c>
      <c r="H194" s="39" t="n">
        <v>40.4</v>
      </c>
      <c r="I194" s="1" t="n">
        <v>2020</v>
      </c>
      <c r="J194" s="1" t="n">
        <v>17</v>
      </c>
      <c r="K194" s="39" t="n">
        <v>44</v>
      </c>
      <c r="L194" s="1" t="n">
        <v>2017</v>
      </c>
      <c r="M194" s="1" t="n">
        <v>15</v>
      </c>
      <c r="N194" s="39" t="n">
        <v>41.2</v>
      </c>
      <c r="O194" s="1" t="n">
        <v>2016</v>
      </c>
      <c r="P194" s="1" t="n">
        <v>23</v>
      </c>
      <c r="Q194" s="39" t="n">
        <v>40.8</v>
      </c>
      <c r="R194" s="1" t="n">
        <v>2024</v>
      </c>
      <c r="S194" s="1" t="n">
        <v>13</v>
      </c>
      <c r="T194" s="39" t="n">
        <v>39.6</v>
      </c>
      <c r="U194" s="1" t="n">
        <v>1997</v>
      </c>
      <c r="V194" s="1" t="n">
        <v>24</v>
      </c>
      <c r="W194" s="39" t="n">
        <v>41</v>
      </c>
      <c r="X194" s="1" t="n">
        <v>2015</v>
      </c>
      <c r="Y194" s="1" t="n">
        <v>24</v>
      </c>
      <c r="Z194" s="39" t="n">
        <v>41.8</v>
      </c>
      <c r="AA194" s="1" t="n">
        <v>1997</v>
      </c>
      <c r="AB194" s="1" t="n">
        <v>25</v>
      </c>
      <c r="AC194" s="39" t="n">
        <v>40</v>
      </c>
      <c r="AD194" s="1" t="n">
        <v>2015</v>
      </c>
      <c r="AE194" s="1" t="n">
        <v>3</v>
      </c>
      <c r="AF194" s="39" t="n">
        <v>38.8</v>
      </c>
      <c r="AG194" s="1" t="n">
        <v>2023</v>
      </c>
      <c r="AH194" s="1" t="n">
        <v>4</v>
      </c>
      <c r="AI194" s="39" t="n">
        <v>37.2</v>
      </c>
      <c r="AJ194" s="1" t="n">
        <v>1997</v>
      </c>
      <c r="AK194" s="1" t="n">
        <v>30</v>
      </c>
      <c r="AL194" s="39" t="n">
        <v>37.7</v>
      </c>
      <c r="AM194" s="1" t="n">
        <v>1998</v>
      </c>
      <c r="AN194" s="1" t="n">
        <v>2</v>
      </c>
      <c r="AO194" s="39" t="n">
        <v>39.4</v>
      </c>
      <c r="AP194" s="1" t="n">
        <v>2015</v>
      </c>
      <c r="AQ194" s="1" t="n">
        <v>31</v>
      </c>
    </row>
    <row r="195" ht="14.45" customHeight="1">
      <c r="A195" s="1" t="n">
        <v>25025030</v>
      </c>
      <c r="B195" s="1" t="inlineStr">
        <is>
          <t>AYAPEL - AUT [25025030]</t>
        </is>
      </c>
      <c r="C195" s="1" t="n">
        <v>8.295063889</v>
      </c>
      <c r="D195" s="1" t="n">
        <v>-75.16455556</v>
      </c>
      <c r="E195" s="1" t="n">
        <v>20</v>
      </c>
      <c r="F195" s="1" t="inlineStr">
        <is>
          <t>Ayapel</t>
        </is>
      </c>
      <c r="G195" s="1" t="inlineStr">
        <is>
          <t>Cordoba</t>
        </is>
      </c>
      <c r="H195" s="39" t="n">
        <v>37.2</v>
      </c>
      <c r="I195" s="1" t="n">
        <v>1991</v>
      </c>
      <c r="J195" s="1" t="n">
        <v>11</v>
      </c>
      <c r="K195" s="39" t="n">
        <v>39.6</v>
      </c>
      <c r="L195" s="1" t="n">
        <v>1998</v>
      </c>
      <c r="M195" s="1" t="n">
        <v>17</v>
      </c>
      <c r="N195" s="39" t="n">
        <v>39.9</v>
      </c>
      <c r="O195" s="1" t="n">
        <v>1992</v>
      </c>
      <c r="P195" s="1" t="n">
        <v>27</v>
      </c>
      <c r="Q195" s="39" t="n">
        <v>39.2</v>
      </c>
      <c r="R195" s="1" t="n">
        <v>2017</v>
      </c>
      <c r="S195" s="1" t="n">
        <v>6</v>
      </c>
      <c r="T195" s="39" t="n">
        <v>38.8</v>
      </c>
      <c r="U195" s="1" t="n">
        <v>2017</v>
      </c>
      <c r="V195" s="1" t="n">
        <v>23</v>
      </c>
      <c r="W195" s="39" t="n">
        <v>38.4</v>
      </c>
      <c r="X195" s="1" t="n">
        <v>2017</v>
      </c>
      <c r="Y195" s="1" t="n">
        <v>4</v>
      </c>
      <c r="Z195" s="39" t="n">
        <v>38.8</v>
      </c>
      <c r="AA195" s="1" t="n">
        <v>1995</v>
      </c>
      <c r="AB195" s="1" t="n">
        <v>1</v>
      </c>
      <c r="AC195" s="39" t="n">
        <v>38.2</v>
      </c>
      <c r="AD195" s="1" t="n">
        <v>2023</v>
      </c>
      <c r="AE195" s="1" t="n">
        <v>9</v>
      </c>
      <c r="AF195" s="39" t="n">
        <v>37.4</v>
      </c>
      <c r="AG195" s="1" t="n">
        <v>2015</v>
      </c>
      <c r="AH195" s="1" t="n">
        <v>20</v>
      </c>
      <c r="AI195" s="39" t="n">
        <v>36.6</v>
      </c>
      <c r="AJ195" s="1" t="n">
        <v>2017</v>
      </c>
      <c r="AK195" s="1" t="n">
        <v>20</v>
      </c>
      <c r="AL195" s="39" t="n">
        <v>36.4</v>
      </c>
      <c r="AM195" s="1" t="n">
        <v>2000</v>
      </c>
      <c r="AN195" s="1" t="n">
        <v>6</v>
      </c>
      <c r="AO195" s="39" t="n">
        <v>37.8</v>
      </c>
      <c r="AP195" s="1" t="n">
        <v>1994</v>
      </c>
      <c r="AQ195" s="1" t="n">
        <v>23</v>
      </c>
    </row>
    <row r="196" ht="14.45" customHeight="1">
      <c r="A196" s="1" t="n">
        <v>25025080</v>
      </c>
      <c r="B196" s="1" t="inlineStr">
        <is>
          <t>AEROPUERTO RAFAEL BARVO [25025080]</t>
        </is>
      </c>
      <c r="C196" s="1" t="n">
        <v>9.333888889000001</v>
      </c>
      <c r="D196" s="1" t="n">
        <v>-75.28305555999999</v>
      </c>
      <c r="E196" s="1" t="n">
        <v>166</v>
      </c>
      <c r="F196" s="1" t="inlineStr">
        <is>
          <t>Corozal</t>
        </is>
      </c>
      <c r="G196" s="1" t="inlineStr">
        <is>
          <t>Sucre</t>
        </is>
      </c>
      <c r="H196" s="39" t="n">
        <v>38.4</v>
      </c>
      <c r="I196" s="1" t="n">
        <v>2020</v>
      </c>
      <c r="J196" s="1" t="n">
        <v>17</v>
      </c>
      <c r="K196" s="39" t="n">
        <v>40</v>
      </c>
      <c r="L196" s="1" t="n">
        <v>1998</v>
      </c>
      <c r="M196" s="1" t="n">
        <v>17</v>
      </c>
      <c r="N196" s="39" t="n">
        <v>39.2</v>
      </c>
      <c r="O196" s="1" t="n">
        <v>2016</v>
      </c>
      <c r="P196" s="1" t="n">
        <v>25</v>
      </c>
      <c r="Q196" s="39" t="n">
        <v>39.2</v>
      </c>
      <c r="R196" s="1" t="n">
        <v>2024</v>
      </c>
      <c r="S196" s="1" t="n">
        <v>13</v>
      </c>
      <c r="T196" s="39" t="n">
        <v>37.6</v>
      </c>
      <c r="U196" s="1" t="n">
        <v>2010</v>
      </c>
      <c r="V196" s="1" t="n">
        <v>10</v>
      </c>
      <c r="W196" s="39" t="n">
        <v>36.8</v>
      </c>
      <c r="X196" s="1" t="n">
        <v>2015</v>
      </c>
      <c r="Y196" s="1" t="n">
        <v>19</v>
      </c>
      <c r="Z196" s="39" t="n">
        <v>38.2</v>
      </c>
      <c r="AA196" s="1" t="n">
        <v>1997</v>
      </c>
      <c r="AB196" s="1" t="n">
        <v>24</v>
      </c>
      <c r="AC196" s="39" t="n">
        <v>38.2</v>
      </c>
      <c r="AD196" s="1" t="n">
        <v>2015</v>
      </c>
      <c r="AE196" s="1" t="n">
        <v>5</v>
      </c>
      <c r="AF196" s="39" t="n">
        <v>37.4</v>
      </c>
      <c r="AG196" s="1" t="n">
        <v>2019</v>
      </c>
      <c r="AH196" s="1" t="n">
        <v>11</v>
      </c>
      <c r="AI196" s="39" t="n">
        <v>35.8</v>
      </c>
      <c r="AJ196" s="1" t="n">
        <v>2014</v>
      </c>
      <c r="AK196" s="1" t="n">
        <v>1</v>
      </c>
      <c r="AL196" s="39" t="n">
        <v>35.6</v>
      </c>
      <c r="AM196" s="1" t="n">
        <v>2023</v>
      </c>
      <c r="AN196" s="1" t="n">
        <v>9</v>
      </c>
      <c r="AO196" s="39" t="n">
        <v>37.4</v>
      </c>
      <c r="AP196" s="1" t="n">
        <v>2015</v>
      </c>
      <c r="AQ196" s="1" t="n">
        <v>26</v>
      </c>
    </row>
    <row r="197" ht="14.45" customHeight="1">
      <c r="A197" s="1" t="n">
        <v>25025090</v>
      </c>
      <c r="B197" s="1" t="inlineStr">
        <is>
          <t>AEROPUERTO LAS FLORES [25025090]</t>
        </is>
      </c>
      <c r="C197" s="1" t="n">
        <v>9.046333333</v>
      </c>
      <c r="D197" s="1" t="n">
        <v>-73.97083333</v>
      </c>
      <c r="E197" s="1" t="n">
        <v>34</v>
      </c>
      <c r="F197" s="1" t="inlineStr">
        <is>
          <t>El Banco</t>
        </is>
      </c>
      <c r="G197" s="1" t="inlineStr">
        <is>
          <t>Magdalena</t>
        </is>
      </c>
      <c r="H197" s="39" t="n">
        <v>38.6</v>
      </c>
      <c r="I197" s="1" t="n">
        <v>1995</v>
      </c>
      <c r="J197" s="1" t="n">
        <v>24</v>
      </c>
      <c r="K197" s="39" t="n">
        <v>39.4</v>
      </c>
      <c r="L197" s="1" t="n">
        <v>2004</v>
      </c>
      <c r="M197" s="1" t="n">
        <v>9</v>
      </c>
      <c r="N197" s="39" t="n">
        <v>40</v>
      </c>
      <c r="O197" s="1" t="n">
        <v>2016</v>
      </c>
      <c r="P197" s="1" t="n">
        <v>23</v>
      </c>
      <c r="Q197" s="39" t="n">
        <v>39.4</v>
      </c>
      <c r="R197" s="1" t="n">
        <v>2001</v>
      </c>
      <c r="S197" s="1" t="n">
        <v>28</v>
      </c>
      <c r="T197" s="39" t="n">
        <v>38.4</v>
      </c>
      <c r="U197" s="1" t="n">
        <v>2002</v>
      </c>
      <c r="V197" s="1" t="n">
        <v>12</v>
      </c>
      <c r="W197" s="39" t="n">
        <v>39.4</v>
      </c>
      <c r="X197" s="1" t="n">
        <v>2001</v>
      </c>
      <c r="Y197" s="1" t="n">
        <v>28</v>
      </c>
      <c r="Z197" s="39" t="n">
        <v>40</v>
      </c>
      <c r="AA197" s="1" t="n">
        <v>2014</v>
      </c>
      <c r="AB197" s="1" t="n">
        <v>25</v>
      </c>
      <c r="AC197" s="39" t="n">
        <v>40</v>
      </c>
      <c r="AD197" s="1" t="n">
        <v>2002</v>
      </c>
      <c r="AE197" s="1" t="n">
        <v>17</v>
      </c>
      <c r="AF197" s="39" t="n">
        <v>39</v>
      </c>
      <c r="AG197" s="1" t="n">
        <v>1993</v>
      </c>
      <c r="AH197" s="1" t="n">
        <v>1</v>
      </c>
      <c r="AI197" s="39" t="n">
        <v>37.8</v>
      </c>
      <c r="AJ197" s="1" t="n">
        <v>1994</v>
      </c>
      <c r="AK197" s="1" t="n">
        <v>7</v>
      </c>
      <c r="AL197" s="39" t="n">
        <v>39</v>
      </c>
      <c r="AM197" s="1" t="n">
        <v>1978</v>
      </c>
      <c r="AN197" s="1" t="n">
        <v>5</v>
      </c>
      <c r="AO197" s="39" t="n">
        <v>38.2</v>
      </c>
      <c r="AP197" s="1" t="n">
        <v>2015</v>
      </c>
      <c r="AQ197" s="1" t="n">
        <v>31</v>
      </c>
    </row>
    <row r="198" ht="14.45" customHeight="1">
      <c r="A198" s="1" t="n">
        <v>25025100</v>
      </c>
      <c r="B198" s="1" t="inlineStr">
        <is>
          <t>AEROPUERTO BARACOA [25025100]</t>
        </is>
      </c>
      <c r="C198" s="1" t="n">
        <v>9.281944444000001</v>
      </c>
      <c r="D198" s="1" t="n">
        <v>-74.84527778</v>
      </c>
      <c r="E198" s="1" t="n">
        <v>18</v>
      </c>
      <c r="F198" s="1" t="inlineStr">
        <is>
          <t>Magangué</t>
        </is>
      </c>
      <c r="G198" s="1" t="inlineStr">
        <is>
          <t>Bolivar</t>
        </is>
      </c>
      <c r="H198" s="39" t="n">
        <v>38.4</v>
      </c>
      <c r="I198" s="1" t="n">
        <v>2020</v>
      </c>
      <c r="J198" s="1" t="n">
        <v>18</v>
      </c>
      <c r="K198" s="39" t="n">
        <v>39</v>
      </c>
      <c r="L198" s="1" t="n">
        <v>2016</v>
      </c>
      <c r="M198" s="1" t="n">
        <v>16</v>
      </c>
      <c r="N198" s="39" t="n">
        <v>40</v>
      </c>
      <c r="O198" s="1" t="n">
        <v>2016</v>
      </c>
      <c r="P198" s="1" t="n">
        <v>23</v>
      </c>
      <c r="Q198" s="39" t="n">
        <v>39.6</v>
      </c>
      <c r="R198" s="1" t="n">
        <v>2024</v>
      </c>
      <c r="S198" s="1" t="n">
        <v>13</v>
      </c>
      <c r="T198" s="39" t="n">
        <v>38.4</v>
      </c>
      <c r="U198" s="1" t="n">
        <v>2020</v>
      </c>
      <c r="V198" s="1" t="n">
        <v>10</v>
      </c>
      <c r="W198" s="39" t="n">
        <v>38.4</v>
      </c>
      <c r="X198" s="1" t="n">
        <v>2015</v>
      </c>
      <c r="Y198" s="1" t="n">
        <v>24</v>
      </c>
      <c r="Z198" s="39" t="n">
        <v>39.6</v>
      </c>
      <c r="AA198" s="1" t="n">
        <v>1997</v>
      </c>
      <c r="AB198" s="1" t="n">
        <v>24</v>
      </c>
      <c r="AC198" s="39" t="n">
        <v>39.2</v>
      </c>
      <c r="AD198" s="1" t="n">
        <v>2015</v>
      </c>
      <c r="AE198" s="1" t="n">
        <v>5</v>
      </c>
      <c r="AF198" s="39" t="n">
        <v>38</v>
      </c>
      <c r="AG198" s="1" t="n">
        <v>1978</v>
      </c>
      <c r="AH198" s="1" t="n">
        <v>3</v>
      </c>
      <c r="AI198" s="39" t="n">
        <v>35.8</v>
      </c>
      <c r="AJ198" s="1" t="n">
        <v>2017</v>
      </c>
      <c r="AK198" s="1" t="n">
        <v>17</v>
      </c>
      <c r="AL198" s="39" t="n">
        <v>36.4</v>
      </c>
      <c r="AM198" s="1" t="n">
        <v>1992</v>
      </c>
      <c r="AN198" s="1" t="n">
        <v>15</v>
      </c>
      <c r="AO198" s="39" t="n">
        <v>37.6</v>
      </c>
      <c r="AP198" s="1" t="n">
        <v>2015</v>
      </c>
      <c r="AQ198" s="1" t="n">
        <v>31</v>
      </c>
    </row>
    <row r="199" ht="14.45" customHeight="1">
      <c r="A199" s="1" t="n">
        <v>25025160</v>
      </c>
      <c r="B199" s="1" t="inlineStr">
        <is>
          <t>CUBA HACIENDA [25025160]</t>
        </is>
      </c>
      <c r="C199" s="1" t="n">
        <v>8.003888889000001</v>
      </c>
      <c r="D199" s="1" t="n">
        <v>-75.40277777999999</v>
      </c>
      <c r="E199" s="1" t="n">
        <v>50</v>
      </c>
      <c r="F199" s="1" t="inlineStr">
        <is>
          <t>Montelíbano</t>
        </is>
      </c>
      <c r="G199" s="1" t="inlineStr">
        <is>
          <t>Cordoba</t>
        </is>
      </c>
      <c r="H199" s="39" t="n">
        <v>38.4</v>
      </c>
      <c r="I199" s="1" t="n">
        <v>1978</v>
      </c>
      <c r="J199" s="1" t="n">
        <v>7</v>
      </c>
      <c r="K199" s="39" t="n">
        <v>38.6</v>
      </c>
      <c r="L199" s="1" t="n">
        <v>1978</v>
      </c>
      <c r="M199" s="1" t="n">
        <v>24</v>
      </c>
      <c r="N199" s="39" t="n">
        <v>38.6</v>
      </c>
      <c r="O199" s="1" t="n">
        <v>1978</v>
      </c>
      <c r="P199" s="1" t="n">
        <v>12</v>
      </c>
      <c r="Q199" s="39" t="n">
        <v>37.8</v>
      </c>
      <c r="R199" s="1" t="n">
        <v>2024</v>
      </c>
      <c r="S199" s="1" t="n">
        <v>10</v>
      </c>
      <c r="T199" s="39" t="n">
        <v>38.6</v>
      </c>
      <c r="U199" s="1" t="n">
        <v>1978</v>
      </c>
      <c r="V199" s="1" t="n">
        <v>23</v>
      </c>
      <c r="W199" s="39" t="n">
        <v>36.2</v>
      </c>
      <c r="X199" s="1" t="n">
        <v>2002</v>
      </c>
      <c r="Y199" s="1" t="n">
        <v>2</v>
      </c>
      <c r="Z199" s="39" t="n">
        <v>36</v>
      </c>
      <c r="AA199" s="1" t="n">
        <v>2023</v>
      </c>
      <c r="AB199" s="1" t="n">
        <v>20</v>
      </c>
      <c r="AC199" s="39" t="n">
        <v>37.2</v>
      </c>
      <c r="AD199" s="1" t="n">
        <v>1990</v>
      </c>
      <c r="AE199" s="1" t="n">
        <v>7</v>
      </c>
      <c r="AF199" s="39" t="n">
        <v>38.2</v>
      </c>
      <c r="AG199" s="1" t="n">
        <v>1985</v>
      </c>
      <c r="AH199" s="1" t="n">
        <v>20</v>
      </c>
      <c r="AI199" s="39" t="n">
        <v>36.2</v>
      </c>
      <c r="AJ199" s="1" t="n">
        <v>2001</v>
      </c>
      <c r="AK199" s="1" t="n">
        <v>26</v>
      </c>
      <c r="AL199" s="39" t="n">
        <v>35.2</v>
      </c>
      <c r="AM199" s="1" t="n">
        <v>2023</v>
      </c>
      <c r="AN199" s="1" t="n">
        <v>27</v>
      </c>
      <c r="AO199" s="39" t="n">
        <v>35.4</v>
      </c>
      <c r="AP199" s="1" t="n">
        <v>2015</v>
      </c>
      <c r="AQ199" s="1" t="n">
        <v>26</v>
      </c>
    </row>
    <row r="200" ht="14.45" customHeight="1">
      <c r="A200" s="1" t="n">
        <v>25025170</v>
      </c>
      <c r="B200" s="1" t="inlineStr">
        <is>
          <t>COLOMBOY [25025170]</t>
        </is>
      </c>
      <c r="C200" s="1" t="n">
        <v>8.740861110999999</v>
      </c>
      <c r="D200" s="1" t="n">
        <v>-75.49883333</v>
      </c>
      <c r="E200" s="1" t="n">
        <v>125</v>
      </c>
      <c r="F200" s="1" t="inlineStr">
        <is>
          <t>Sahagún</t>
        </is>
      </c>
      <c r="G200" s="1" t="inlineStr">
        <is>
          <t>Cordoba</t>
        </is>
      </c>
      <c r="H200" s="39" t="n">
        <v>38.8</v>
      </c>
      <c r="I200" s="1" t="n">
        <v>2024</v>
      </c>
      <c r="J200" s="1" t="n">
        <v>23</v>
      </c>
      <c r="K200" s="39" t="n">
        <v>40.4</v>
      </c>
      <c r="L200" s="1" t="n">
        <v>1998</v>
      </c>
      <c r="M200" s="1" t="n">
        <v>17</v>
      </c>
      <c r="N200" s="39" t="n">
        <v>38.2</v>
      </c>
      <c r="O200" s="1" t="n">
        <v>2016</v>
      </c>
      <c r="P200" s="1" t="n">
        <v>23</v>
      </c>
      <c r="Q200" s="39" t="n">
        <v>38.6</v>
      </c>
      <c r="R200" s="1" t="n">
        <v>1992</v>
      </c>
      <c r="S200" s="1" t="n">
        <v>9</v>
      </c>
      <c r="T200" s="39" t="n">
        <v>37.2</v>
      </c>
      <c r="U200" s="1" t="n">
        <v>1997</v>
      </c>
      <c r="V200" s="1" t="n">
        <v>21</v>
      </c>
      <c r="W200" s="39" t="n">
        <v>36.2</v>
      </c>
      <c r="X200" s="1" t="n">
        <v>1993</v>
      </c>
      <c r="Y200" s="1" t="n">
        <v>3</v>
      </c>
      <c r="Z200" s="39" t="n">
        <v>37.2</v>
      </c>
      <c r="AA200" s="1" t="n">
        <v>2014</v>
      </c>
      <c r="AB200" s="1" t="n">
        <v>19</v>
      </c>
      <c r="AC200" s="39" t="n">
        <v>37.4</v>
      </c>
      <c r="AD200" s="1" t="n">
        <v>2023</v>
      </c>
      <c r="AE200" s="1" t="n">
        <v>30</v>
      </c>
      <c r="AF200" s="39" t="n">
        <v>36.8</v>
      </c>
      <c r="AG200" s="1" t="n">
        <v>2023</v>
      </c>
      <c r="AH200" s="1" t="n">
        <v>22</v>
      </c>
      <c r="AI200" s="39" t="n">
        <v>35.8</v>
      </c>
      <c r="AJ200" s="1" t="n">
        <v>2023</v>
      </c>
      <c r="AK200" s="1" t="n">
        <v>19</v>
      </c>
      <c r="AL200" s="39" t="n">
        <v>36</v>
      </c>
      <c r="AM200" s="1" t="n">
        <v>2023</v>
      </c>
      <c r="AN200" s="1" t="n">
        <v>9</v>
      </c>
      <c r="AO200" s="39" t="n">
        <v>37.2</v>
      </c>
      <c r="AP200" s="1" t="n">
        <v>2023</v>
      </c>
      <c r="AQ200" s="1" t="n">
        <v>9</v>
      </c>
    </row>
    <row r="201" ht="14.45" customHeight="1">
      <c r="A201" s="1" t="n">
        <v>25025190</v>
      </c>
      <c r="B201" s="1" t="inlineStr">
        <is>
          <t>PLANETA RICA  - AUT [25025190]</t>
        </is>
      </c>
      <c r="C201" s="1" t="n">
        <v>8.399333333</v>
      </c>
      <c r="D201" s="1" t="n">
        <v>-75.58372222</v>
      </c>
      <c r="E201" s="1" t="n">
        <v>90</v>
      </c>
      <c r="F201" s="1" t="inlineStr">
        <is>
          <t>Planeta Rica</t>
        </is>
      </c>
      <c r="G201" s="1" t="inlineStr">
        <is>
          <t>Cordoba</t>
        </is>
      </c>
      <c r="H201" s="39" t="n">
        <v>38.1</v>
      </c>
      <c r="I201" s="1" t="n">
        <v>2020</v>
      </c>
      <c r="J201" s="1" t="n">
        <v>18</v>
      </c>
      <c r="K201" s="39" t="n">
        <v>38.8</v>
      </c>
      <c r="L201" s="1" t="n">
        <v>2024</v>
      </c>
      <c r="M201" s="1" t="n">
        <v>16</v>
      </c>
      <c r="N201" s="39" t="n">
        <v>38.8</v>
      </c>
      <c r="O201" s="1" t="n">
        <v>2004</v>
      </c>
      <c r="P201" s="1" t="n">
        <v>13</v>
      </c>
      <c r="Q201" s="39" t="n">
        <v>38.8</v>
      </c>
      <c r="R201" s="1" t="n">
        <v>1992</v>
      </c>
      <c r="S201" s="1" t="n">
        <v>9</v>
      </c>
      <c r="T201" s="39" t="n">
        <v>37.6</v>
      </c>
      <c r="U201" s="1" t="n">
        <v>2016</v>
      </c>
      <c r="V201" s="1" t="n">
        <v>5</v>
      </c>
      <c r="W201" s="39" t="n">
        <v>37.1</v>
      </c>
      <c r="X201" s="1" t="n">
        <v>2015</v>
      </c>
      <c r="Y201" s="1" t="n">
        <v>24</v>
      </c>
      <c r="Z201" s="39" t="n">
        <v>37</v>
      </c>
      <c r="AA201" s="1" t="n">
        <v>2015</v>
      </c>
      <c r="AB201" s="1" t="n">
        <v>3</v>
      </c>
      <c r="AC201" s="39" t="n">
        <v>36.6</v>
      </c>
      <c r="AD201" s="1" t="n">
        <v>1987</v>
      </c>
      <c r="AE201" s="1" t="n">
        <v>11</v>
      </c>
      <c r="AF201" s="39" t="n">
        <v>36.5</v>
      </c>
      <c r="AG201" s="1" t="n">
        <v>2024</v>
      </c>
      <c r="AH201" s="1" t="n">
        <v>19</v>
      </c>
      <c r="AI201" s="39" t="n">
        <v>35.9</v>
      </c>
      <c r="AJ201" s="1" t="n">
        <v>2015</v>
      </c>
      <c r="AK201" s="1" t="n">
        <v>5</v>
      </c>
      <c r="AL201" s="39" t="n">
        <v>35.6</v>
      </c>
      <c r="AM201" s="1" t="n">
        <v>2023</v>
      </c>
      <c r="AN201" s="1" t="n">
        <v>9</v>
      </c>
      <c r="AO201" s="39" t="n">
        <v>36.6</v>
      </c>
      <c r="AP201" s="1" t="n">
        <v>1987</v>
      </c>
      <c r="AQ201" s="1" t="n">
        <v>28</v>
      </c>
    </row>
    <row r="202" ht="14.45" customHeight="1">
      <c r="A202" s="1" t="n">
        <v>25025210</v>
      </c>
      <c r="B202" s="1" t="inlineStr">
        <is>
          <t>PINILLOS [25025210]</t>
        </is>
      </c>
      <c r="C202" s="1" t="n">
        <v>8.911388888999999</v>
      </c>
      <c r="D202" s="1" t="n">
        <v>-74.45777778</v>
      </c>
      <c r="E202" s="1" t="n">
        <v>10</v>
      </c>
      <c r="F202" s="1" t="inlineStr">
        <is>
          <t>Pinillos</t>
        </is>
      </c>
      <c r="G202" s="1" t="inlineStr">
        <is>
          <t>Bolivar</t>
        </is>
      </c>
      <c r="H202" s="39" t="n">
        <v>38.3</v>
      </c>
      <c r="I202" s="1" t="n">
        <v>2020</v>
      </c>
      <c r="J202" s="1" t="n">
        <v>17</v>
      </c>
      <c r="K202" s="39" t="n">
        <v>38.4</v>
      </c>
      <c r="L202" s="1" t="n">
        <v>2016</v>
      </c>
      <c r="M202" s="1" t="n">
        <v>26</v>
      </c>
      <c r="N202" s="39" t="n">
        <v>40.2</v>
      </c>
      <c r="O202" s="1" t="n">
        <v>2016</v>
      </c>
      <c r="P202" s="1" t="n">
        <v>23</v>
      </c>
      <c r="Q202" s="39" t="n">
        <v>38.4</v>
      </c>
      <c r="R202" s="1" t="n">
        <v>2016</v>
      </c>
      <c r="S202" s="1" t="n">
        <v>9</v>
      </c>
      <c r="T202" s="39" t="n">
        <v>39.2</v>
      </c>
      <c r="U202" s="1" t="n">
        <v>2016</v>
      </c>
      <c r="V202" s="1" t="n">
        <v>21</v>
      </c>
      <c r="W202" s="39" t="n">
        <v>38.8</v>
      </c>
      <c r="X202" s="1" t="n">
        <v>2015</v>
      </c>
      <c r="Y202" s="1" t="n">
        <v>24</v>
      </c>
      <c r="Z202" s="39" t="n">
        <v>38.1</v>
      </c>
      <c r="AA202" s="1" t="n">
        <v>2023</v>
      </c>
      <c r="AB202" s="1" t="n">
        <v>29</v>
      </c>
      <c r="AC202" s="39" t="n">
        <v>39.6</v>
      </c>
      <c r="AD202" s="1" t="n">
        <v>1997</v>
      </c>
      <c r="AE202" s="1" t="n">
        <v>8</v>
      </c>
      <c r="AF202" s="39" t="n">
        <v>38.2</v>
      </c>
      <c r="AG202" s="1" t="n">
        <v>1980</v>
      </c>
      <c r="AH202" s="1" t="n">
        <v>6</v>
      </c>
      <c r="AI202" s="39" t="n">
        <v>37.4</v>
      </c>
      <c r="AJ202" s="1" t="n">
        <v>1984</v>
      </c>
      <c r="AK202" s="1" t="n">
        <v>2</v>
      </c>
      <c r="AL202" s="39" t="n">
        <v>37.8</v>
      </c>
      <c r="AM202" s="1" t="n">
        <v>1984</v>
      </c>
      <c r="AN202" s="1" t="n">
        <v>28</v>
      </c>
      <c r="AO202" s="39" t="n">
        <v>37.8</v>
      </c>
      <c r="AP202" s="1" t="n">
        <v>1983</v>
      </c>
      <c r="AQ202" s="1" t="n">
        <v>6</v>
      </c>
    </row>
    <row r="203" ht="14.45" customHeight="1">
      <c r="A203" s="1" t="n">
        <v>25025250</v>
      </c>
      <c r="B203" s="1" t="inlineStr">
        <is>
          <t>CHIRIGUANA [25025250]</t>
        </is>
      </c>
      <c r="C203" s="1" t="n">
        <v>9.361027778</v>
      </c>
      <c r="D203" s="1" t="n">
        <v>-73.59338889</v>
      </c>
      <c r="E203" s="1" t="n">
        <v>40</v>
      </c>
      <c r="F203" s="1" t="inlineStr">
        <is>
          <t>Chiriguaná</t>
        </is>
      </c>
      <c r="G203" s="1" t="inlineStr">
        <is>
          <t>Cesar</t>
        </is>
      </c>
      <c r="H203" s="39" t="n">
        <v>39.6</v>
      </c>
      <c r="I203" s="1" t="n">
        <v>1998</v>
      </c>
      <c r="J203" s="1" t="n">
        <v>22</v>
      </c>
      <c r="K203" s="39" t="n">
        <v>42.6</v>
      </c>
      <c r="L203" s="1" t="n">
        <v>1998</v>
      </c>
      <c r="M203" s="1" t="n">
        <v>17</v>
      </c>
      <c r="N203" s="39" t="n">
        <v>42</v>
      </c>
      <c r="O203" s="1" t="n">
        <v>1992</v>
      </c>
      <c r="P203" s="1" t="n">
        <v>18</v>
      </c>
      <c r="Q203" s="39" t="n">
        <v>42</v>
      </c>
      <c r="R203" s="1" t="n">
        <v>1992</v>
      </c>
      <c r="S203" s="1" t="n">
        <v>10</v>
      </c>
      <c r="T203" s="39" t="n">
        <v>39</v>
      </c>
      <c r="U203" s="1" t="n">
        <v>2002</v>
      </c>
      <c r="V203" s="1" t="n">
        <v>14</v>
      </c>
      <c r="W203" s="39" t="n">
        <v>37.6</v>
      </c>
      <c r="X203" s="1" t="n">
        <v>2001</v>
      </c>
      <c r="Y203" s="1" t="n">
        <v>27</v>
      </c>
      <c r="Z203" s="39" t="n">
        <v>41</v>
      </c>
      <c r="AA203" s="1" t="n">
        <v>1997</v>
      </c>
      <c r="AB203" s="1" t="n">
        <v>27</v>
      </c>
      <c r="AC203" s="39" t="n">
        <v>40.2</v>
      </c>
      <c r="AD203" s="1" t="n">
        <v>1986</v>
      </c>
      <c r="AE203" s="1" t="n">
        <v>10</v>
      </c>
      <c r="AF203" s="39" t="n">
        <v>38.6</v>
      </c>
      <c r="AG203" s="1" t="n">
        <v>1991</v>
      </c>
      <c r="AH203" s="1" t="n">
        <v>18</v>
      </c>
      <c r="AI203" s="39" t="n">
        <v>36.8</v>
      </c>
      <c r="AJ203" s="1" t="n">
        <v>2017</v>
      </c>
      <c r="AK203" s="1" t="n">
        <v>16</v>
      </c>
      <c r="AL203" s="39" t="n">
        <v>39</v>
      </c>
      <c r="AM203" s="1" t="n">
        <v>1993</v>
      </c>
      <c r="AN203" s="1" t="n">
        <v>21</v>
      </c>
      <c r="AO203" s="39" t="n">
        <v>38.2</v>
      </c>
      <c r="AP203" s="1" t="n">
        <v>1997</v>
      </c>
      <c r="AQ203" s="1" t="n">
        <v>24</v>
      </c>
    </row>
    <row r="204" ht="14.45" customHeight="1">
      <c r="A204" s="1" t="n">
        <v>25025270</v>
      </c>
      <c r="B204" s="1" t="inlineStr">
        <is>
          <t>UNISUCRE AUT [25025270]</t>
        </is>
      </c>
      <c r="C204" s="1" t="n">
        <v>9.316388889000001</v>
      </c>
      <c r="D204" s="1" t="n">
        <v>-75.3875</v>
      </c>
      <c r="E204" s="1" t="n">
        <v>160</v>
      </c>
      <c r="F204" s="1" t="inlineStr">
        <is>
          <t>Sampués</t>
        </is>
      </c>
      <c r="G204" s="1" t="inlineStr">
        <is>
          <t>Sucre</t>
        </is>
      </c>
      <c r="H204" s="39" t="n">
        <v>37.6</v>
      </c>
      <c r="I204" s="1" t="n">
        <v>2020</v>
      </c>
      <c r="J204" s="1" t="n">
        <v>17</v>
      </c>
      <c r="K204" s="39" t="n">
        <v>39.6</v>
      </c>
      <c r="L204" s="1" t="n">
        <v>1998</v>
      </c>
      <c r="M204" s="1" t="n">
        <v>17</v>
      </c>
      <c r="N204" s="39" t="n">
        <v>38.4</v>
      </c>
      <c r="O204" s="1" t="n">
        <v>2016</v>
      </c>
      <c r="P204" s="1" t="n">
        <v>23</v>
      </c>
      <c r="Q204" s="39" t="n">
        <v>39.8</v>
      </c>
      <c r="R204" s="1" t="n">
        <v>2024</v>
      </c>
      <c r="S204" s="1" t="n">
        <v>13</v>
      </c>
      <c r="T204" s="39" t="n">
        <v>37</v>
      </c>
      <c r="U204" s="1" t="n">
        <v>2002</v>
      </c>
      <c r="V204" s="1" t="n">
        <v>12</v>
      </c>
      <c r="W204" s="39" t="n">
        <v>37.8</v>
      </c>
      <c r="X204" s="1" t="n">
        <v>2015</v>
      </c>
      <c r="Y204" s="1" t="n">
        <v>25</v>
      </c>
      <c r="Z204" s="39" t="n">
        <v>39.4</v>
      </c>
      <c r="AA204" s="1" t="n">
        <v>1997</v>
      </c>
      <c r="AB204" s="1" t="n">
        <v>24</v>
      </c>
      <c r="AC204" s="39" t="n">
        <v>37.4</v>
      </c>
      <c r="AD204" s="1" t="n">
        <v>2015</v>
      </c>
      <c r="AE204" s="1" t="n">
        <v>5</v>
      </c>
      <c r="AF204" s="39" t="n">
        <v>36</v>
      </c>
      <c r="AG204" s="1" t="n">
        <v>2023</v>
      </c>
      <c r="AH204" s="1" t="n">
        <v>6</v>
      </c>
      <c r="AI204" s="39" t="n">
        <v>35.4</v>
      </c>
      <c r="AJ204" s="1" t="n">
        <v>2015</v>
      </c>
      <c r="AK204" s="1" t="n">
        <v>6</v>
      </c>
      <c r="AL204" s="39" t="n">
        <v>35.6</v>
      </c>
      <c r="AM204" s="1" t="n">
        <v>1997</v>
      </c>
      <c r="AN204" s="1" t="n">
        <v>2</v>
      </c>
      <c r="AO204" s="39" t="n">
        <v>37.2</v>
      </c>
      <c r="AP204" s="1" t="n">
        <v>2015</v>
      </c>
      <c r="AQ204" s="1" t="n">
        <v>31</v>
      </c>
    </row>
    <row r="205" ht="14.45" customHeight="1">
      <c r="A205" s="1" t="n">
        <v>25025330</v>
      </c>
      <c r="B205" s="1" t="inlineStr">
        <is>
          <t>COLEGIO AGROPECUARIO PAILITAS  - AUT [25025330]</t>
        </is>
      </c>
      <c r="C205" s="1" t="n">
        <v>8.954222222</v>
      </c>
      <c r="D205" s="1" t="n">
        <v>-73.63008333000001</v>
      </c>
      <c r="E205" s="1" t="n">
        <v>50</v>
      </c>
      <c r="F205" s="1" t="inlineStr">
        <is>
          <t>Pailitas</t>
        </is>
      </c>
      <c r="G205" s="1" t="inlineStr">
        <is>
          <t>Cesar</t>
        </is>
      </c>
      <c r="H205" s="39" t="n">
        <v>40.4</v>
      </c>
      <c r="I205" s="1" t="n">
        <v>1999</v>
      </c>
      <c r="J205" s="1" t="n">
        <v>7</v>
      </c>
      <c r="K205" s="39" t="n">
        <v>41.6</v>
      </c>
      <c r="L205" s="1" t="n">
        <v>2020</v>
      </c>
      <c r="M205" s="1" t="n">
        <v>19</v>
      </c>
      <c r="N205" s="39" t="n">
        <v>41.2</v>
      </c>
      <c r="O205" s="1" t="n">
        <v>2002</v>
      </c>
      <c r="P205" s="1" t="n">
        <v>23</v>
      </c>
      <c r="Q205" s="39" t="n">
        <v>41.4</v>
      </c>
      <c r="R205" s="1" t="n">
        <v>1992</v>
      </c>
      <c r="S205" s="1" t="n">
        <v>9</v>
      </c>
      <c r="T205" s="39" t="n">
        <v>39.8</v>
      </c>
      <c r="U205" s="1" t="n">
        <v>2002</v>
      </c>
      <c r="V205" s="1" t="n">
        <v>5</v>
      </c>
      <c r="W205" s="39" t="n">
        <v>39</v>
      </c>
      <c r="X205" s="1" t="n">
        <v>2014</v>
      </c>
      <c r="Y205" s="1" t="n">
        <v>29</v>
      </c>
      <c r="Z205" s="39" t="n">
        <v>41</v>
      </c>
      <c r="AA205" s="1" t="n">
        <v>1997</v>
      </c>
      <c r="AB205" s="1" t="n">
        <v>24</v>
      </c>
      <c r="AC205" s="39" t="n">
        <v>40</v>
      </c>
      <c r="AD205" s="1" t="n">
        <v>2002</v>
      </c>
      <c r="AE205" s="1" t="n">
        <v>17</v>
      </c>
      <c r="AF205" s="39" t="n">
        <v>38.2</v>
      </c>
      <c r="AG205" s="1" t="n">
        <v>1991</v>
      </c>
      <c r="AH205" s="1" t="n">
        <v>14</v>
      </c>
      <c r="AI205" s="39" t="n">
        <v>37.4</v>
      </c>
      <c r="AJ205" s="1" t="n">
        <v>1993</v>
      </c>
      <c r="AK205" s="1" t="n">
        <v>5</v>
      </c>
      <c r="AL205" s="39" t="n">
        <v>37.4</v>
      </c>
      <c r="AM205" s="1" t="n">
        <v>2002</v>
      </c>
      <c r="AN205" s="1" t="n">
        <v>28</v>
      </c>
      <c r="AO205" s="39" t="n">
        <v>37.6</v>
      </c>
      <c r="AP205" s="1" t="n">
        <v>2009</v>
      </c>
      <c r="AQ205" s="1" t="n">
        <v>12</v>
      </c>
    </row>
    <row r="206" ht="14.45" customHeight="1">
      <c r="A206" s="1" t="n">
        <v>25025380</v>
      </c>
      <c r="B206" s="1" t="inlineStr">
        <is>
          <t>SAN BENITO - AUT [25025380]</t>
        </is>
      </c>
      <c r="C206" s="1" t="n">
        <v>9.163888889000001</v>
      </c>
      <c r="D206" s="1" t="n">
        <v>-75.04472222</v>
      </c>
      <c r="E206" s="1" t="n">
        <v>20</v>
      </c>
      <c r="F206" s="1" t="inlineStr">
        <is>
          <t>San Benito Abad</t>
        </is>
      </c>
      <c r="G206" s="1" t="inlineStr">
        <is>
          <t>Sucre</t>
        </is>
      </c>
      <c r="H206" s="39" t="n">
        <v>36.8</v>
      </c>
      <c r="I206" s="1" t="n">
        <v>2025</v>
      </c>
      <c r="J206" s="1" t="n">
        <v>26</v>
      </c>
      <c r="K206" s="39" t="n">
        <v>39.4</v>
      </c>
      <c r="L206" s="1" t="n">
        <v>2016</v>
      </c>
      <c r="M206" s="1" t="n">
        <v>21</v>
      </c>
      <c r="N206" s="39" t="n">
        <v>39.4</v>
      </c>
      <c r="O206" s="1" t="n">
        <v>2016</v>
      </c>
      <c r="P206" s="1" t="n">
        <v>31</v>
      </c>
      <c r="Q206" s="39" t="n">
        <v>39.9</v>
      </c>
      <c r="R206" s="1" t="n">
        <v>2016</v>
      </c>
      <c r="S206" s="1" t="n">
        <v>15</v>
      </c>
      <c r="T206" s="39" t="n">
        <v>39.8</v>
      </c>
      <c r="U206" s="1" t="n">
        <v>2016</v>
      </c>
      <c r="V206" s="1" t="n">
        <v>19</v>
      </c>
      <c r="W206" s="39" t="n">
        <v>38.8</v>
      </c>
      <c r="X206" s="1" t="n">
        <v>2016</v>
      </c>
      <c r="Y206" s="1" t="n">
        <v>28</v>
      </c>
      <c r="Z206" s="39" t="n">
        <v>38.6</v>
      </c>
      <c r="AA206" s="1" t="n">
        <v>2015</v>
      </c>
      <c r="AB206" s="1" t="n">
        <v>3</v>
      </c>
      <c r="AC206" s="39" t="n">
        <v>39</v>
      </c>
      <c r="AD206" s="1" t="n">
        <v>2015</v>
      </c>
      <c r="AE206" s="1" t="n">
        <v>20</v>
      </c>
      <c r="AF206" s="39" t="n">
        <v>38.8</v>
      </c>
      <c r="AG206" s="1" t="n">
        <v>2015</v>
      </c>
      <c r="AH206" s="1" t="n">
        <v>9</v>
      </c>
      <c r="AI206" s="39" t="n">
        <v>39.6</v>
      </c>
      <c r="AJ206" s="1" t="n">
        <v>2015</v>
      </c>
      <c r="AK206" s="1" t="n">
        <v>5</v>
      </c>
      <c r="AL206" s="39" t="n">
        <v>36.8</v>
      </c>
      <c r="AM206" s="1" t="n">
        <v>2023</v>
      </c>
      <c r="AN206" s="1" t="n">
        <v>27</v>
      </c>
      <c r="AO206" s="39" t="n">
        <v>35.8</v>
      </c>
      <c r="AP206" s="1" t="n">
        <v>1986</v>
      </c>
      <c r="AQ206" s="1" t="n">
        <v>21</v>
      </c>
    </row>
    <row r="207" ht="14.45" customHeight="1">
      <c r="A207" s="1" t="n">
        <v>26015020</v>
      </c>
      <c r="B207" s="1" t="inlineStr">
        <is>
          <t>PALETARA [26015020]</t>
        </is>
      </c>
      <c r="C207" s="1" t="n">
        <v>2.191722</v>
      </c>
      <c r="D207" s="1" t="n">
        <v>-76.482028</v>
      </c>
      <c r="E207" s="1" t="n">
        <v>2900</v>
      </c>
      <c r="F207" s="1" t="inlineStr">
        <is>
          <t>Puracé (Coconuco)</t>
        </is>
      </c>
      <c r="G207" s="1" t="inlineStr">
        <is>
          <t>Cauca</t>
        </is>
      </c>
      <c r="H207" s="39" t="n">
        <v>21.4</v>
      </c>
      <c r="I207" s="1" t="n">
        <v>1983</v>
      </c>
      <c r="J207" s="1" t="n">
        <v>1</v>
      </c>
      <c r="K207" s="39" t="n">
        <v>21.4</v>
      </c>
      <c r="L207" s="1" t="n">
        <v>1983</v>
      </c>
      <c r="M207" s="1" t="n">
        <v>12</v>
      </c>
      <c r="N207" s="39" t="n">
        <v>21.8</v>
      </c>
      <c r="O207" s="1" t="n">
        <v>1981</v>
      </c>
      <c r="P207" s="1" t="n">
        <v>28</v>
      </c>
      <c r="Q207" s="39" t="n">
        <v>21.4</v>
      </c>
      <c r="R207" s="1" t="n">
        <v>1982</v>
      </c>
      <c r="S207" s="1" t="n">
        <v>25</v>
      </c>
      <c r="T207" s="39" t="n">
        <v>23.2</v>
      </c>
      <c r="U207" s="1" t="n">
        <v>1995</v>
      </c>
      <c r="V207" s="1" t="n">
        <v>25</v>
      </c>
      <c r="W207" s="39" t="n">
        <v>20.8</v>
      </c>
      <c r="X207" s="1" t="n">
        <v>1983</v>
      </c>
      <c r="Y207" s="1" t="n">
        <v>18</v>
      </c>
      <c r="Z207" s="39" t="n">
        <v>20.2</v>
      </c>
      <c r="AA207" s="1" t="n">
        <v>1981</v>
      </c>
      <c r="AB207" s="1" t="n">
        <v>22</v>
      </c>
      <c r="AC207" s="39" t="n">
        <v>20.2</v>
      </c>
      <c r="AD207" s="1" t="n">
        <v>1982</v>
      </c>
      <c r="AE207" s="1" t="n">
        <v>22</v>
      </c>
      <c r="AF207" s="39" t="n">
        <v>21.8</v>
      </c>
      <c r="AG207" s="1" t="n">
        <v>1998</v>
      </c>
      <c r="AH207" s="1" t="n">
        <v>28</v>
      </c>
      <c r="AI207" s="39" t="n">
        <v>21.6</v>
      </c>
      <c r="AJ207" s="1" t="n">
        <v>1998</v>
      </c>
      <c r="AK207" s="1" t="n">
        <v>14</v>
      </c>
      <c r="AL207" s="39" t="n">
        <v>21.4</v>
      </c>
      <c r="AM207" s="1" t="n">
        <v>1982</v>
      </c>
      <c r="AN207" s="1" t="n">
        <v>7</v>
      </c>
      <c r="AO207" s="39" t="n">
        <v>20.2</v>
      </c>
      <c r="AP207" s="1" t="n">
        <v>1982</v>
      </c>
      <c r="AQ207" s="1" t="n">
        <v>25</v>
      </c>
    </row>
    <row r="208" ht="14.45" customHeight="1">
      <c r="A208" s="1" t="n">
        <v>26025070</v>
      </c>
      <c r="B208" s="1" t="inlineStr">
        <is>
          <t>GABRIEL LOPEZ [26025070]</t>
        </is>
      </c>
      <c r="C208" s="1" t="n">
        <v>2.50975</v>
      </c>
      <c r="D208" s="1" t="n">
        <v>-76.28905555599999</v>
      </c>
      <c r="E208" s="1" t="n">
        <v>3071</v>
      </c>
      <c r="F208" s="1" t="inlineStr">
        <is>
          <t>Totoró</t>
        </is>
      </c>
      <c r="G208" s="1" t="inlineStr">
        <is>
          <t>Cauca</t>
        </is>
      </c>
      <c r="H208" s="39" t="n">
        <v>20.2</v>
      </c>
      <c r="I208" s="1" t="n">
        <v>2003</v>
      </c>
      <c r="J208" s="1" t="n">
        <v>13</v>
      </c>
      <c r="K208" s="39" t="n">
        <v>21.4</v>
      </c>
      <c r="L208" s="1" t="n">
        <v>2004</v>
      </c>
      <c r="M208" s="1" t="n">
        <v>3</v>
      </c>
      <c r="N208" s="39" t="n">
        <v>20.2</v>
      </c>
      <c r="O208" s="1" t="n">
        <v>2013</v>
      </c>
      <c r="P208" s="1" t="n">
        <v>25</v>
      </c>
      <c r="Q208" s="39" t="n">
        <v>19.8</v>
      </c>
      <c r="R208" s="1" t="n">
        <v>2001</v>
      </c>
      <c r="S208" s="1" t="n">
        <v>1</v>
      </c>
      <c r="T208" s="39" t="n">
        <v>20.1</v>
      </c>
      <c r="U208" s="1" t="n">
        <v>2015</v>
      </c>
      <c r="V208" s="1" t="n">
        <v>2</v>
      </c>
      <c r="W208" s="39" t="n">
        <v>19.6</v>
      </c>
      <c r="X208" s="1" t="n">
        <v>1991</v>
      </c>
      <c r="Y208" s="1" t="n">
        <v>30</v>
      </c>
      <c r="Z208" s="39" t="n">
        <v>19.8</v>
      </c>
      <c r="AA208" s="1" t="n">
        <v>1995</v>
      </c>
      <c r="AB208" s="1" t="n">
        <v>17</v>
      </c>
      <c r="AC208" s="39" t="n">
        <v>19.4</v>
      </c>
      <c r="AD208" s="1" t="n">
        <v>2012</v>
      </c>
      <c r="AE208" s="1" t="n">
        <v>8</v>
      </c>
      <c r="AF208" s="39" t="n">
        <v>19.8</v>
      </c>
      <c r="AG208" s="1" t="n">
        <v>1993</v>
      </c>
      <c r="AH208" s="1" t="n">
        <v>20</v>
      </c>
      <c r="AI208" s="39" t="n">
        <v>19.6</v>
      </c>
      <c r="AJ208" s="1" t="n">
        <v>2013</v>
      </c>
      <c r="AK208" s="1" t="n">
        <v>2</v>
      </c>
      <c r="AL208" s="39" t="n">
        <v>20.4</v>
      </c>
      <c r="AM208" s="1" t="n">
        <v>2003</v>
      </c>
      <c r="AN208" s="1" t="n">
        <v>19</v>
      </c>
      <c r="AO208" s="39" t="n">
        <v>20</v>
      </c>
      <c r="AP208" s="1" t="n">
        <v>1997</v>
      </c>
      <c r="AQ208" s="1" t="n">
        <v>31</v>
      </c>
    </row>
    <row r="209" ht="14.45" customHeight="1">
      <c r="A209" s="1" t="n">
        <v>26025090</v>
      </c>
      <c r="B209" s="1" t="inlineStr">
        <is>
          <t>VENTA DE CAJIBIO [26025090]</t>
        </is>
      </c>
      <c r="C209" s="1" t="n">
        <v>2.58475</v>
      </c>
      <c r="D209" s="1" t="n">
        <v>-76.561833333</v>
      </c>
      <c r="E209" s="1" t="n">
        <v>1850</v>
      </c>
      <c r="F209" s="1" t="inlineStr">
        <is>
          <t>Cajibío</t>
        </is>
      </c>
      <c r="G209" s="1" t="inlineStr">
        <is>
          <t>Cauca</t>
        </is>
      </c>
      <c r="H209" s="39" t="n">
        <v>29.6</v>
      </c>
      <c r="I209" s="1" t="n">
        <v>1996</v>
      </c>
      <c r="J209" s="1" t="n">
        <v>28</v>
      </c>
      <c r="K209" s="39" t="n">
        <v>30.2</v>
      </c>
      <c r="L209" s="1" t="n">
        <v>2010</v>
      </c>
      <c r="M209" s="1" t="n">
        <v>2</v>
      </c>
      <c r="N209" s="39" t="n">
        <v>30.4</v>
      </c>
      <c r="O209" s="1" t="n">
        <v>2024</v>
      </c>
      <c r="P209" s="1" t="n">
        <v>17</v>
      </c>
      <c r="Q209" s="39" t="n">
        <v>28.4</v>
      </c>
      <c r="R209" s="1" t="n">
        <v>1986</v>
      </c>
      <c r="S209" s="1" t="n">
        <v>13</v>
      </c>
      <c r="T209" s="39" t="n">
        <v>29.8</v>
      </c>
      <c r="U209" s="1" t="n">
        <v>1998</v>
      </c>
      <c r="V209" s="1" t="n">
        <v>20</v>
      </c>
      <c r="W209" s="39" t="n">
        <v>29.8</v>
      </c>
      <c r="X209" s="1" t="n">
        <v>1987</v>
      </c>
      <c r="Y209" s="1" t="n">
        <v>16</v>
      </c>
      <c r="Z209" s="39" t="n">
        <v>29.8</v>
      </c>
      <c r="AA209" s="1" t="n">
        <v>1997</v>
      </c>
      <c r="AB209" s="1" t="n">
        <v>15</v>
      </c>
      <c r="AC209" s="39" t="n">
        <v>30.4</v>
      </c>
      <c r="AD209" s="1" t="n">
        <v>1990</v>
      </c>
      <c r="AE209" s="1" t="n">
        <v>17</v>
      </c>
      <c r="AF209" s="39" t="n">
        <v>31.8</v>
      </c>
      <c r="AG209" s="1" t="n">
        <v>1990</v>
      </c>
      <c r="AH209" s="1" t="n">
        <v>18</v>
      </c>
      <c r="AI209" s="39" t="n">
        <v>29.6</v>
      </c>
      <c r="AJ209" s="1" t="n">
        <v>2022</v>
      </c>
      <c r="AK209" s="1" t="n">
        <v>4</v>
      </c>
      <c r="AL209" s="39" t="n">
        <v>29.8</v>
      </c>
      <c r="AM209" s="1" t="n">
        <v>1987</v>
      </c>
      <c r="AN209" s="1" t="n">
        <v>9</v>
      </c>
      <c r="AO209" s="39" t="n">
        <v>30</v>
      </c>
      <c r="AP209" s="1" t="n">
        <v>2015</v>
      </c>
      <c r="AQ209" s="1" t="n">
        <v>30</v>
      </c>
    </row>
    <row r="210" ht="14.45" customHeight="1">
      <c r="A210" s="1" t="n">
        <v>26025100</v>
      </c>
      <c r="B210" s="1" t="inlineStr">
        <is>
          <t>TUNIA [26025100]</t>
        </is>
      </c>
      <c r="C210" s="1" t="n">
        <v>2.674472222</v>
      </c>
      <c r="D210" s="1" t="n">
        <v>-76.52633333</v>
      </c>
      <c r="E210" s="1" t="n">
        <v>1822</v>
      </c>
      <c r="F210" s="1" t="inlineStr">
        <is>
          <t>Piendamó</t>
        </is>
      </c>
      <c r="G210" s="1" t="inlineStr">
        <is>
          <t>Cauca</t>
        </is>
      </c>
      <c r="H210" s="39" t="n">
        <v>29.6</v>
      </c>
      <c r="I210" s="1" t="n">
        <v>2020</v>
      </c>
      <c r="J210" s="1" t="n">
        <v>18</v>
      </c>
      <c r="K210" s="39" t="n">
        <v>29.8</v>
      </c>
      <c r="L210" s="1" t="n">
        <v>2010</v>
      </c>
      <c r="M210" s="1" t="n">
        <v>1</v>
      </c>
      <c r="N210" s="39" t="n">
        <v>29</v>
      </c>
      <c r="O210" s="1" t="n">
        <v>2016</v>
      </c>
      <c r="P210" s="1" t="n">
        <v>25</v>
      </c>
      <c r="Q210" s="39" t="n">
        <v>29.2</v>
      </c>
      <c r="R210" s="1" t="n">
        <v>2000</v>
      </c>
      <c r="S210" s="1" t="n">
        <v>24</v>
      </c>
      <c r="T210" s="39" t="n">
        <v>29.2</v>
      </c>
      <c r="U210" s="1" t="n">
        <v>2023</v>
      </c>
      <c r="V210" s="1" t="n">
        <v>4</v>
      </c>
      <c r="W210" s="39" t="n">
        <v>29.6</v>
      </c>
      <c r="X210" s="1" t="n">
        <v>2012</v>
      </c>
      <c r="Y210" s="1" t="n">
        <v>3</v>
      </c>
      <c r="Z210" s="39" t="n">
        <v>29.8</v>
      </c>
      <c r="AA210" s="1" t="n">
        <v>2019</v>
      </c>
      <c r="AB210" s="1" t="n">
        <v>31</v>
      </c>
      <c r="AC210" s="39" t="n">
        <v>29.8</v>
      </c>
      <c r="AD210" s="1" t="n">
        <v>1993</v>
      </c>
      <c r="AE210" s="1" t="n">
        <v>29</v>
      </c>
      <c r="AF210" s="39" t="n">
        <v>30.8</v>
      </c>
      <c r="AG210" s="1" t="n">
        <v>2019</v>
      </c>
      <c r="AH210" s="1" t="n">
        <v>3</v>
      </c>
      <c r="AI210" s="39" t="n">
        <v>29.4</v>
      </c>
      <c r="AJ210" s="1" t="n">
        <v>2015</v>
      </c>
      <c r="AK210" s="1" t="n">
        <v>5</v>
      </c>
      <c r="AL210" s="39" t="n">
        <v>29.2</v>
      </c>
      <c r="AM210" s="1" t="n">
        <v>2015</v>
      </c>
      <c r="AN210" s="1" t="n">
        <v>28</v>
      </c>
      <c r="AO210" s="39" t="n">
        <v>29.8</v>
      </c>
      <c r="AP210" s="1" t="n">
        <v>2015</v>
      </c>
      <c r="AQ210" s="1" t="n">
        <v>30</v>
      </c>
    </row>
    <row r="211" ht="14.45" customHeight="1">
      <c r="A211" s="1" t="n">
        <v>26025110</v>
      </c>
      <c r="B211" s="1" t="inlineStr">
        <is>
          <t>LOMITAS [26025110]</t>
        </is>
      </c>
      <c r="C211" s="1" t="n">
        <v>3.075388889</v>
      </c>
      <c r="D211" s="1" t="n">
        <v>-76.55625000000001</v>
      </c>
      <c r="E211" s="1" t="n">
        <v>1009</v>
      </c>
      <c r="F211" s="1" t="inlineStr">
        <is>
          <t>Santander De Quilichao</t>
        </is>
      </c>
      <c r="G211" s="1" t="inlineStr">
        <is>
          <t>Cauca</t>
        </is>
      </c>
      <c r="H211" s="39" t="n">
        <v>33.2</v>
      </c>
      <c r="I211" s="1" t="n">
        <v>2024</v>
      </c>
      <c r="J211" s="1" t="n">
        <v>23</v>
      </c>
      <c r="K211" s="39" t="n">
        <v>33.8</v>
      </c>
      <c r="L211" s="1" t="n">
        <v>2024</v>
      </c>
      <c r="M211" s="1" t="n">
        <v>23</v>
      </c>
      <c r="N211" s="39" t="n">
        <v>34.4</v>
      </c>
      <c r="O211" s="1" t="n">
        <v>2024</v>
      </c>
      <c r="P211" s="1" t="n">
        <v>16</v>
      </c>
      <c r="Q211" s="39" t="n">
        <v>33.2</v>
      </c>
      <c r="R211" s="1" t="n">
        <v>2024</v>
      </c>
      <c r="S211" s="1" t="n">
        <v>11</v>
      </c>
      <c r="T211" s="39" t="n">
        <v>32.4</v>
      </c>
      <c r="U211" s="1" t="n">
        <v>2023</v>
      </c>
      <c r="V211" s="1" t="n">
        <v>4</v>
      </c>
      <c r="W211" s="39" t="n">
        <v>33.2</v>
      </c>
      <c r="X211" s="1" t="n">
        <v>2023</v>
      </c>
      <c r="Y211" s="1" t="n">
        <v>30</v>
      </c>
      <c r="Z211" s="39" t="n">
        <v>34</v>
      </c>
      <c r="AA211" s="1" t="n">
        <v>2005</v>
      </c>
      <c r="AB211" s="1" t="n">
        <v>27</v>
      </c>
      <c r="AC211" s="39" t="n">
        <v>33.8</v>
      </c>
      <c r="AD211" s="1" t="n">
        <v>2024</v>
      </c>
      <c r="AE211" s="1" t="n">
        <v>16</v>
      </c>
      <c r="AF211" s="39" t="n">
        <v>34.2</v>
      </c>
      <c r="AG211" s="1" t="n">
        <v>2012</v>
      </c>
      <c r="AH211" s="1" t="n">
        <v>8</v>
      </c>
      <c r="AI211" s="39" t="n">
        <v>34</v>
      </c>
      <c r="AJ211" s="1" t="n">
        <v>2006</v>
      </c>
      <c r="AK211" s="1" t="n">
        <v>6</v>
      </c>
      <c r="AL211" s="39" t="n">
        <v>32.4</v>
      </c>
      <c r="AM211" s="1" t="n">
        <v>2002</v>
      </c>
      <c r="AN211" s="1" t="n">
        <v>28</v>
      </c>
      <c r="AO211" s="39" t="n">
        <v>32.6</v>
      </c>
      <c r="AP211" s="1" t="n">
        <v>2018</v>
      </c>
      <c r="AQ211" s="1" t="n">
        <v>30</v>
      </c>
    </row>
    <row r="212" ht="14.45" customHeight="1">
      <c r="A212" s="1" t="n">
        <v>26045010</v>
      </c>
      <c r="B212" s="1" t="inlineStr">
        <is>
          <t>INGENIO BENGALA [26045010]</t>
        </is>
      </c>
      <c r="C212" s="1" t="n">
        <v>3.262805556</v>
      </c>
      <c r="D212" s="1" t="n">
        <v>-76.41447221999999</v>
      </c>
      <c r="E212" s="1" t="n">
        <v>983</v>
      </c>
      <c r="F212" s="1" t="inlineStr">
        <is>
          <t>Puerto Tejada</t>
        </is>
      </c>
      <c r="G212" s="1" t="inlineStr">
        <is>
          <t>Cauca</t>
        </is>
      </c>
      <c r="H212" s="39" t="n">
        <v>36</v>
      </c>
      <c r="I212" s="1" t="n">
        <v>2014</v>
      </c>
      <c r="J212" s="1" t="n">
        <v>25</v>
      </c>
      <c r="K212" s="39" t="n">
        <v>34.8</v>
      </c>
      <c r="L212" s="1" t="n">
        <v>1987</v>
      </c>
      <c r="M212" s="1" t="n">
        <v>27</v>
      </c>
      <c r="N212" s="39" t="n">
        <v>35.2</v>
      </c>
      <c r="O212" s="1" t="n">
        <v>2002</v>
      </c>
      <c r="P212" s="1" t="n">
        <v>5</v>
      </c>
      <c r="Q212" s="39" t="n">
        <v>36.4</v>
      </c>
      <c r="R212" s="1" t="n">
        <v>2013</v>
      </c>
      <c r="S212" s="1" t="n">
        <v>24</v>
      </c>
      <c r="T212" s="39" t="n">
        <v>34.6</v>
      </c>
      <c r="U212" s="1" t="n">
        <v>2014</v>
      </c>
      <c r="V212" s="1" t="n">
        <v>1</v>
      </c>
      <c r="W212" s="39" t="n">
        <v>36</v>
      </c>
      <c r="X212" s="1" t="n">
        <v>2014</v>
      </c>
      <c r="Y212" s="1" t="n">
        <v>16</v>
      </c>
      <c r="Z212" s="39" t="n">
        <v>36.2</v>
      </c>
      <c r="AA212" s="1" t="n">
        <v>2014</v>
      </c>
      <c r="AB212" s="1" t="n">
        <v>29</v>
      </c>
      <c r="AC212" s="39" t="n">
        <v>37.2</v>
      </c>
      <c r="AD212" s="1" t="n">
        <v>2001</v>
      </c>
      <c r="AE212" s="1" t="n">
        <v>25</v>
      </c>
      <c r="AF212" s="39" t="n">
        <v>35.6</v>
      </c>
      <c r="AG212" s="1" t="n">
        <v>2006</v>
      </c>
      <c r="AH212" s="1" t="n">
        <v>27</v>
      </c>
      <c r="AI212" s="39" t="n">
        <v>36</v>
      </c>
      <c r="AJ212" s="1" t="n">
        <v>2013</v>
      </c>
      <c r="AK212" s="1" t="n">
        <v>28</v>
      </c>
      <c r="AL212" s="39" t="n">
        <v>36.8</v>
      </c>
      <c r="AM212" s="1" t="n">
        <v>2001</v>
      </c>
      <c r="AN212" s="1" t="n">
        <v>24</v>
      </c>
      <c r="AO212" s="39" t="n">
        <v>37.2</v>
      </c>
      <c r="AP212" s="1" t="n">
        <v>2001</v>
      </c>
      <c r="AQ212" s="1" t="n">
        <v>2</v>
      </c>
    </row>
    <row r="213" ht="14.45" customHeight="1">
      <c r="A213" s="1" t="n">
        <v>26055120</v>
      </c>
      <c r="B213" s="1" t="inlineStr">
        <is>
          <t>UNIVERSIDAD DEL VALLE  - AUT [26055120]</t>
        </is>
      </c>
      <c r="C213" s="1" t="n">
        <v>3.378</v>
      </c>
      <c r="D213" s="1" t="n">
        <v>-76.53388889</v>
      </c>
      <c r="E213" s="1" t="n">
        <v>996</v>
      </c>
      <c r="F213" s="1" t="inlineStr">
        <is>
          <t>Cali</t>
        </is>
      </c>
      <c r="G213" s="1" t="inlineStr">
        <is>
          <t>Valle Del Cauca</t>
        </is>
      </c>
      <c r="H213" s="39" t="n">
        <v>36.1</v>
      </c>
      <c r="I213" s="1" t="n">
        <v>2019</v>
      </c>
      <c r="J213" s="1" t="n">
        <v>1</v>
      </c>
      <c r="K213" s="39" t="n">
        <v>35.2</v>
      </c>
      <c r="L213" s="1" t="n">
        <v>1987</v>
      </c>
      <c r="M213" s="1" t="n">
        <v>24</v>
      </c>
      <c r="N213" s="39" t="n">
        <v>36.2</v>
      </c>
      <c r="O213" s="1" t="n">
        <v>2018</v>
      </c>
      <c r="P213" s="1" t="n">
        <v>11</v>
      </c>
      <c r="Q213" s="39" t="n">
        <v>34.5</v>
      </c>
      <c r="R213" s="1" t="n">
        <v>1980</v>
      </c>
      <c r="S213" s="1" t="n">
        <v>1</v>
      </c>
      <c r="T213" s="39" t="n">
        <v>33.7</v>
      </c>
      <c r="U213" s="1" t="n">
        <v>2019</v>
      </c>
      <c r="V213" s="1" t="n">
        <v>5</v>
      </c>
      <c r="W213" s="39" t="n">
        <v>35.6</v>
      </c>
      <c r="X213" s="1" t="n">
        <v>2015</v>
      </c>
      <c r="Y213" s="1" t="n">
        <v>24</v>
      </c>
      <c r="Z213" s="39" t="n">
        <v>35.6</v>
      </c>
      <c r="AA213" s="1" t="n">
        <v>1997</v>
      </c>
      <c r="AB213" s="1" t="n">
        <v>24</v>
      </c>
      <c r="AC213" s="39" t="n">
        <v>38.1</v>
      </c>
      <c r="AD213" s="1" t="n">
        <v>2019</v>
      </c>
      <c r="AE213" s="1" t="n">
        <v>27</v>
      </c>
      <c r="AF213" s="39" t="n">
        <v>37.3</v>
      </c>
      <c r="AG213" s="1" t="n">
        <v>2019</v>
      </c>
      <c r="AH213" s="1" t="n">
        <v>8</v>
      </c>
      <c r="AI213" s="39" t="n">
        <v>34.6</v>
      </c>
      <c r="AJ213" s="1" t="n">
        <v>2009</v>
      </c>
      <c r="AK213" s="1" t="n">
        <v>9</v>
      </c>
      <c r="AL213" s="39" t="n">
        <v>33.7</v>
      </c>
      <c r="AM213" s="1" t="n">
        <v>2019</v>
      </c>
      <c r="AN213" s="1" t="n">
        <v>25</v>
      </c>
      <c r="AO213" s="39" t="n">
        <v>35</v>
      </c>
      <c r="AP213" s="1" t="n">
        <v>2015</v>
      </c>
      <c r="AQ213" s="1" t="n">
        <v>31</v>
      </c>
    </row>
    <row r="214" ht="14.45" customHeight="1">
      <c r="A214" s="1" t="n">
        <v>26065020</v>
      </c>
      <c r="B214" s="1" t="inlineStr">
        <is>
          <t>MIRANDA [26065020]</t>
        </is>
      </c>
      <c r="C214" s="1" t="n">
        <v>3.245666667</v>
      </c>
      <c r="D214" s="1" t="n">
        <v>-76.22305556000001</v>
      </c>
      <c r="E214" s="1" t="n">
        <v>1133</v>
      </c>
      <c r="F214" s="1" t="inlineStr">
        <is>
          <t>Miranda</t>
        </is>
      </c>
      <c r="G214" s="1" t="inlineStr">
        <is>
          <t>Cauca</t>
        </is>
      </c>
      <c r="H214" s="39" t="n">
        <v>33.5</v>
      </c>
      <c r="I214" s="1" t="n">
        <v>2002</v>
      </c>
      <c r="J214" s="1" t="n">
        <v>16</v>
      </c>
      <c r="K214" s="39" t="n">
        <v>33.6</v>
      </c>
      <c r="L214" s="1" t="n">
        <v>1995</v>
      </c>
      <c r="M214" s="1" t="n">
        <v>11</v>
      </c>
      <c r="N214" s="39" t="n">
        <v>33.6</v>
      </c>
      <c r="O214" s="1" t="n">
        <v>1987</v>
      </c>
      <c r="P214" s="1" t="n">
        <v>2</v>
      </c>
      <c r="Q214" s="39" t="n">
        <v>33.8</v>
      </c>
      <c r="R214" s="1" t="n">
        <v>1983</v>
      </c>
      <c r="S214" s="1" t="n">
        <v>22</v>
      </c>
      <c r="T214" s="39" t="n">
        <v>33.2</v>
      </c>
      <c r="U214" s="1" t="n">
        <v>1982</v>
      </c>
      <c r="V214" s="1" t="n">
        <v>31</v>
      </c>
      <c r="W214" s="39" t="n">
        <v>33.5</v>
      </c>
      <c r="X214" s="1" t="n">
        <v>2002</v>
      </c>
      <c r="Y214" s="1" t="n">
        <v>4</v>
      </c>
      <c r="Z214" s="39" t="n">
        <v>33.6</v>
      </c>
      <c r="AA214" s="1" t="n">
        <v>2005</v>
      </c>
      <c r="AB214" s="1" t="n">
        <v>7</v>
      </c>
      <c r="AC214" s="39" t="n">
        <v>34</v>
      </c>
      <c r="AD214" s="1" t="n">
        <v>1979</v>
      </c>
      <c r="AE214" s="1" t="n">
        <v>10</v>
      </c>
      <c r="AF214" s="39" t="n">
        <v>33.6</v>
      </c>
      <c r="AG214" s="1" t="n">
        <v>1991</v>
      </c>
      <c r="AH214" s="1" t="n">
        <v>11</v>
      </c>
      <c r="AI214" s="39" t="n">
        <v>33.5</v>
      </c>
      <c r="AJ214" s="1" t="n">
        <v>2001</v>
      </c>
      <c r="AK214" s="1" t="n">
        <v>28</v>
      </c>
      <c r="AL214" s="39" t="n">
        <v>33.5</v>
      </c>
      <c r="AM214" s="1" t="n">
        <v>2001</v>
      </c>
      <c r="AN214" s="1" t="n">
        <v>9</v>
      </c>
      <c r="AO214" s="39" t="n">
        <v>33</v>
      </c>
      <c r="AP214" s="1" t="n">
        <v>2001</v>
      </c>
      <c r="AQ214" s="1" t="n">
        <v>20</v>
      </c>
    </row>
    <row r="215" ht="14.45" customHeight="1">
      <c r="A215" s="1" t="n">
        <v>26075010</v>
      </c>
      <c r="B215" s="1" t="inlineStr">
        <is>
          <t>PALMIRA ICA [26075010]</t>
        </is>
      </c>
      <c r="C215" s="1" t="n">
        <v>3.513472222</v>
      </c>
      <c r="D215" s="1" t="n">
        <v>-76.314888889</v>
      </c>
      <c r="E215" s="1" t="n">
        <v>1018</v>
      </c>
      <c r="F215" s="1" t="inlineStr">
        <is>
          <t>Palmira</t>
        </is>
      </c>
      <c r="G215" s="1" t="inlineStr">
        <is>
          <t>Valle Del Cauca</t>
        </is>
      </c>
      <c r="H215" s="39" t="n">
        <v>34.6</v>
      </c>
      <c r="I215" s="1" t="n">
        <v>2024</v>
      </c>
      <c r="J215" s="1" t="n">
        <v>26</v>
      </c>
      <c r="K215" s="39" t="n">
        <v>34.8</v>
      </c>
      <c r="L215" s="1" t="n">
        <v>1987</v>
      </c>
      <c r="M215" s="1" t="n">
        <v>26</v>
      </c>
      <c r="N215" s="39" t="n">
        <v>35.3</v>
      </c>
      <c r="O215" s="1" t="n">
        <v>2024</v>
      </c>
      <c r="P215" s="1" t="n">
        <v>18</v>
      </c>
      <c r="Q215" s="39" t="n">
        <v>33.8</v>
      </c>
      <c r="R215" s="1" t="n">
        <v>2001</v>
      </c>
      <c r="S215" s="1" t="n">
        <v>21</v>
      </c>
      <c r="T215" s="39" t="n">
        <v>33.4</v>
      </c>
      <c r="U215" s="1" t="n">
        <v>2023</v>
      </c>
      <c r="V215" s="1" t="n">
        <v>4</v>
      </c>
      <c r="W215" s="39" t="n">
        <v>34.8</v>
      </c>
      <c r="X215" s="1" t="n">
        <v>2015</v>
      </c>
      <c r="Y215" s="1" t="n">
        <v>24</v>
      </c>
      <c r="Z215" s="39" t="n">
        <v>35.9</v>
      </c>
      <c r="AA215" s="1" t="n">
        <v>1997</v>
      </c>
      <c r="AB215" s="1" t="n">
        <v>24</v>
      </c>
      <c r="AC215" s="39" t="n">
        <v>35</v>
      </c>
      <c r="AD215" s="1" t="n">
        <v>2019</v>
      </c>
      <c r="AE215" s="1" t="n">
        <v>27</v>
      </c>
      <c r="AF215" s="39" t="n">
        <v>35.1</v>
      </c>
      <c r="AG215" s="1" t="n">
        <v>2015</v>
      </c>
      <c r="AH215" s="1" t="n">
        <v>27</v>
      </c>
      <c r="AI215" s="39" t="n">
        <v>34.6</v>
      </c>
      <c r="AJ215" s="1" t="n">
        <v>2015</v>
      </c>
      <c r="AK215" s="1" t="n">
        <v>4</v>
      </c>
      <c r="AL215" s="39" t="n">
        <v>32.4</v>
      </c>
      <c r="AM215" s="1" t="n">
        <v>2009</v>
      </c>
      <c r="AN215" s="1" t="n">
        <v>20</v>
      </c>
      <c r="AO215" s="39" t="n">
        <v>33.6</v>
      </c>
      <c r="AP215" s="1" t="n">
        <v>2015</v>
      </c>
      <c r="AQ215" s="1" t="n">
        <v>30</v>
      </c>
    </row>
    <row r="216" ht="14.45" customHeight="1">
      <c r="A216" s="1" t="n">
        <v>26075040</v>
      </c>
      <c r="B216" s="1" t="inlineStr">
        <is>
          <t>AEROPUERTO A BONILLA [26075040]</t>
        </is>
      </c>
      <c r="C216" s="1" t="n">
        <v>3.536688889</v>
      </c>
      <c r="D216" s="1" t="n">
        <v>-76.386638889</v>
      </c>
      <c r="E216" s="1" t="n">
        <v>970</v>
      </c>
      <c r="F216" s="1" t="inlineStr">
        <is>
          <t>Palmira</t>
        </is>
      </c>
      <c r="G216" s="1" t="inlineStr">
        <is>
          <t>Valle Del Cauca</t>
        </is>
      </c>
      <c r="H216" s="39" t="n">
        <v>34.7</v>
      </c>
      <c r="I216" s="1" t="n">
        <v>2019</v>
      </c>
      <c r="J216" s="1" t="n">
        <v>1</v>
      </c>
      <c r="K216" s="39" t="n">
        <v>33.9</v>
      </c>
      <c r="L216" s="1" t="n">
        <v>2019</v>
      </c>
      <c r="M216" s="1" t="n">
        <v>6</v>
      </c>
      <c r="N216" s="39" t="n">
        <v>34.8</v>
      </c>
      <c r="O216" s="1" t="n">
        <v>2019</v>
      </c>
      <c r="P216" s="1" t="n">
        <v>9</v>
      </c>
      <c r="Q216" s="39" t="n">
        <v>32.4</v>
      </c>
      <c r="R216" s="1" t="n">
        <v>2019</v>
      </c>
      <c r="S216" s="1" t="n">
        <v>14</v>
      </c>
      <c r="T216" s="39" t="n">
        <v>33.2</v>
      </c>
      <c r="U216" s="1" t="n">
        <v>2019</v>
      </c>
      <c r="V216" s="1" t="n">
        <v>5</v>
      </c>
      <c r="W216" s="39" t="n">
        <v>33.2</v>
      </c>
      <c r="X216" s="1" t="n">
        <v>2019</v>
      </c>
      <c r="Y216" s="1" t="n">
        <v>5</v>
      </c>
      <c r="Z216" s="39" t="n">
        <v>34.5</v>
      </c>
      <c r="AA216" s="1" t="n">
        <v>2019</v>
      </c>
      <c r="AB216" s="1" t="n">
        <v>17</v>
      </c>
      <c r="AC216" s="39" t="n">
        <v>36.1</v>
      </c>
      <c r="AD216" s="1" t="n">
        <v>2019</v>
      </c>
      <c r="AE216" s="1" t="n">
        <v>27</v>
      </c>
      <c r="AF216" s="39" t="n">
        <v>35.1</v>
      </c>
      <c r="AG216" s="1" t="n">
        <v>2019</v>
      </c>
      <c r="AH216" s="1" t="n">
        <v>8</v>
      </c>
      <c r="AI216" s="39" t="n">
        <v>33.2</v>
      </c>
      <c r="AJ216" s="1" t="n">
        <v>2018</v>
      </c>
      <c r="AK216" s="1" t="n">
        <v>27</v>
      </c>
      <c r="AL216" s="39" t="n">
        <v>32.6</v>
      </c>
      <c r="AM216" s="1" t="n">
        <v>2019</v>
      </c>
      <c r="AN216" s="1" t="n">
        <v>7</v>
      </c>
      <c r="AO216" s="39" t="n">
        <v>33.7</v>
      </c>
      <c r="AP216" s="1" t="n">
        <v>2019</v>
      </c>
      <c r="AQ216" s="1" t="n">
        <v>19</v>
      </c>
    </row>
    <row r="217" ht="14.45" customHeight="1">
      <c r="A217" s="1" t="n">
        <v>26075050</v>
      </c>
      <c r="B217" s="1" t="inlineStr">
        <is>
          <t>INGENIO MANUELITA [26075050]</t>
        </is>
      </c>
      <c r="C217" s="1" t="n">
        <v>3.574055556</v>
      </c>
      <c r="D217" s="1" t="n">
        <v>-76.277805556</v>
      </c>
      <c r="E217" s="1" t="n">
        <v>1059</v>
      </c>
      <c r="F217" s="1" t="inlineStr">
        <is>
          <t>Palmira</t>
        </is>
      </c>
      <c r="G217" s="1" t="inlineStr">
        <is>
          <t>Valle Del Cauca</t>
        </is>
      </c>
      <c r="H217" s="39" t="n">
        <v>33.8</v>
      </c>
      <c r="I217" s="1" t="n">
        <v>1998</v>
      </c>
      <c r="J217" s="1" t="n">
        <v>29</v>
      </c>
      <c r="K217" s="39" t="n">
        <v>34</v>
      </c>
      <c r="L217" s="1" t="n">
        <v>1998</v>
      </c>
      <c r="M217" s="1" t="n">
        <v>1</v>
      </c>
      <c r="N217" s="39" t="n">
        <v>34.4</v>
      </c>
      <c r="O217" s="1" t="n">
        <v>1998</v>
      </c>
      <c r="P217" s="1" t="n">
        <v>19</v>
      </c>
      <c r="Q217" s="39" t="n">
        <v>33</v>
      </c>
      <c r="R217" s="1" t="n">
        <v>2004</v>
      </c>
      <c r="S217" s="1" t="n">
        <v>6</v>
      </c>
      <c r="T217" s="39" t="n">
        <v>34.2</v>
      </c>
      <c r="U217" s="1" t="n">
        <v>1998</v>
      </c>
      <c r="V217" s="1" t="n">
        <v>14</v>
      </c>
      <c r="W217" s="39" t="n">
        <v>33.2</v>
      </c>
      <c r="X217" s="1" t="n">
        <v>2001</v>
      </c>
      <c r="Y217" s="1" t="n">
        <v>27</v>
      </c>
      <c r="Z217" s="39" t="n">
        <v>33.4</v>
      </c>
      <c r="AA217" s="1" t="n">
        <v>1997</v>
      </c>
      <c r="AB217" s="1" t="n">
        <v>23</v>
      </c>
      <c r="AC217" s="39" t="n">
        <v>34</v>
      </c>
      <c r="AD217" s="1" t="n">
        <v>2004</v>
      </c>
      <c r="AE217" s="1" t="n">
        <v>8</v>
      </c>
      <c r="AF217" s="39" t="n">
        <v>34.6</v>
      </c>
      <c r="AG217" s="1" t="n">
        <v>2009</v>
      </c>
      <c r="AH217" s="1" t="n">
        <v>30</v>
      </c>
      <c r="AI217" s="39" t="n">
        <v>35</v>
      </c>
      <c r="AJ217" s="1" t="n">
        <v>2002</v>
      </c>
      <c r="AK217" s="1" t="n">
        <v>9</v>
      </c>
      <c r="AL217" s="39" t="n">
        <v>31.8</v>
      </c>
      <c r="AM217" s="1" t="n">
        <v>2009</v>
      </c>
      <c r="AN217" s="1" t="n">
        <v>20</v>
      </c>
      <c r="AO217" s="39" t="n">
        <v>32.2</v>
      </c>
      <c r="AP217" s="1" t="n">
        <v>2009</v>
      </c>
      <c r="AQ217" s="1" t="n">
        <v>15</v>
      </c>
    </row>
    <row r="218" ht="14.45" customHeight="1">
      <c r="A218" s="1" t="n">
        <v>26075080</v>
      </c>
      <c r="B218" s="1" t="inlineStr">
        <is>
          <t>CENICANA [26075080]</t>
        </is>
      </c>
      <c r="C218" s="1" t="n">
        <v>3.360416667</v>
      </c>
      <c r="D218" s="1" t="n">
        <v>-76.299722222</v>
      </c>
      <c r="E218" s="1" t="n">
        <v>128</v>
      </c>
      <c r="F218" s="1" t="inlineStr">
        <is>
          <t>Florida</t>
        </is>
      </c>
      <c r="G218" s="1" t="inlineStr">
        <is>
          <t>Valle Del Cauca</t>
        </is>
      </c>
      <c r="H218" s="39" t="n">
        <v>34</v>
      </c>
      <c r="I218" s="1" t="n">
        <v>2024</v>
      </c>
      <c r="J218" s="1" t="n">
        <v>24</v>
      </c>
      <c r="K218" s="39" t="n">
        <v>35.5</v>
      </c>
      <c r="L218" s="1" t="n">
        <v>2016</v>
      </c>
      <c r="M218" s="1" t="n">
        <v>28</v>
      </c>
      <c r="N218" s="39" t="n">
        <v>35</v>
      </c>
      <c r="O218" s="1" t="n">
        <v>2024</v>
      </c>
      <c r="P218" s="1" t="n">
        <v>18</v>
      </c>
      <c r="Q218" s="39" t="n">
        <v>33.6</v>
      </c>
      <c r="R218" s="1" t="n">
        <v>2024</v>
      </c>
      <c r="S218" s="1" t="n">
        <v>16</v>
      </c>
      <c r="T218" s="39" t="n">
        <v>35.5</v>
      </c>
      <c r="U218" s="1" t="n">
        <v>2016</v>
      </c>
      <c r="V218" s="1" t="n">
        <v>22</v>
      </c>
      <c r="W218" s="39" t="n">
        <v>35</v>
      </c>
      <c r="X218" s="1" t="n">
        <v>2015</v>
      </c>
      <c r="Y218" s="1" t="n">
        <v>25</v>
      </c>
      <c r="Z218" s="39" t="n">
        <v>35.6</v>
      </c>
      <c r="AA218" s="1" t="n">
        <v>2024</v>
      </c>
      <c r="AB218" s="1" t="n">
        <v>29</v>
      </c>
      <c r="AC218" s="39" t="n">
        <v>35.6</v>
      </c>
      <c r="AD218" s="1" t="n">
        <v>2019</v>
      </c>
      <c r="AE218" s="1" t="n">
        <v>27</v>
      </c>
      <c r="AF218" s="39" t="n">
        <v>34.6</v>
      </c>
      <c r="AG218" s="1" t="n">
        <v>2023</v>
      </c>
      <c r="AH218" s="1" t="n">
        <v>21</v>
      </c>
      <c r="AI218" s="39" t="n">
        <v>33.7</v>
      </c>
      <c r="AJ218" s="1" t="n">
        <v>1983</v>
      </c>
      <c r="AK218" s="1" t="n">
        <v>6</v>
      </c>
      <c r="AL218" s="39" t="n">
        <v>32.5</v>
      </c>
      <c r="AM218" s="1" t="n">
        <v>2019</v>
      </c>
      <c r="AN218" s="1" t="n">
        <v>8</v>
      </c>
      <c r="AO218" s="39" t="n">
        <v>34.5</v>
      </c>
      <c r="AP218" s="1" t="n">
        <v>2019</v>
      </c>
      <c r="AQ218" s="1" t="n">
        <v>26</v>
      </c>
    </row>
    <row r="219" ht="14.45" customHeight="1">
      <c r="A219" s="1" t="n">
        <v>26085170</v>
      </c>
      <c r="B219" s="1" t="inlineStr">
        <is>
          <t>BASE AEREA MARCO FIDEL SUAREZ  - AUT [26085170]</t>
        </is>
      </c>
      <c r="C219" s="1" t="n">
        <v>3.454414</v>
      </c>
      <c r="D219" s="1" t="n">
        <v>-76.499948</v>
      </c>
      <c r="E219" s="1" t="n">
        <v>971</v>
      </c>
      <c r="F219" s="1" t="inlineStr">
        <is>
          <t>Cali</t>
        </is>
      </c>
      <c r="G219" s="1" t="inlineStr">
        <is>
          <t>Valle Del Cauca</t>
        </is>
      </c>
      <c r="H219" s="39" t="n">
        <v>35.4</v>
      </c>
      <c r="I219" s="1" t="n">
        <v>1998</v>
      </c>
      <c r="J219" s="1" t="n">
        <v>29</v>
      </c>
      <c r="K219" s="39" t="n">
        <v>34.2</v>
      </c>
      <c r="L219" s="1" t="n">
        <v>2010</v>
      </c>
      <c r="M219" s="1" t="n">
        <v>4</v>
      </c>
      <c r="N219" s="39" t="n">
        <v>35</v>
      </c>
      <c r="O219" s="1" t="n">
        <v>2004</v>
      </c>
      <c r="P219" s="1" t="n">
        <v>24</v>
      </c>
      <c r="Q219" s="39" t="n">
        <v>34.2</v>
      </c>
      <c r="R219" s="1" t="n">
        <v>2004</v>
      </c>
      <c r="S219" s="1" t="n">
        <v>6</v>
      </c>
      <c r="T219" s="39" t="n">
        <v>34.4</v>
      </c>
      <c r="U219" s="1" t="n">
        <v>2005</v>
      </c>
      <c r="V219" s="1" t="n">
        <v>15</v>
      </c>
      <c r="W219" s="39" t="n">
        <v>34.6</v>
      </c>
      <c r="X219" s="1" t="n">
        <v>2001</v>
      </c>
      <c r="Y219" s="1" t="n">
        <v>27</v>
      </c>
      <c r="Z219" s="39" t="n">
        <v>37.4</v>
      </c>
      <c r="AA219" s="1" t="n">
        <v>1997</v>
      </c>
      <c r="AB219" s="1" t="n">
        <v>24</v>
      </c>
      <c r="AC219" s="39" t="n">
        <v>36</v>
      </c>
      <c r="AD219" s="1" t="n">
        <v>2009</v>
      </c>
      <c r="AE219" s="1" t="n">
        <v>3</v>
      </c>
      <c r="AF219" s="39" t="n">
        <v>35.8</v>
      </c>
      <c r="AG219" s="1" t="n">
        <v>2009</v>
      </c>
      <c r="AH219" s="1" t="n">
        <v>6</v>
      </c>
      <c r="AI219" s="39" t="n">
        <v>35.8</v>
      </c>
      <c r="AJ219" s="1" t="n">
        <v>1997</v>
      </c>
      <c r="AK219" s="1" t="n">
        <v>7</v>
      </c>
      <c r="AL219" s="39" t="n">
        <v>34.2</v>
      </c>
      <c r="AM219" s="1" t="n">
        <v>2009</v>
      </c>
      <c r="AN219" s="1" t="n">
        <v>1</v>
      </c>
      <c r="AO219" s="39" t="n">
        <v>32.4</v>
      </c>
      <c r="AP219" s="1" t="n">
        <v>2001</v>
      </c>
      <c r="AQ219" s="1" t="n">
        <v>31</v>
      </c>
    </row>
    <row r="220" ht="14.45" customHeight="1">
      <c r="A220" s="1" t="n">
        <v>26095080</v>
      </c>
      <c r="B220" s="1" t="inlineStr">
        <is>
          <t>TENERIFE [26095080]</t>
        </is>
      </c>
      <c r="C220" s="1" t="n">
        <v>3.729972222</v>
      </c>
      <c r="D220" s="1" t="n">
        <v>-76.07477778000001</v>
      </c>
      <c r="E220" s="1" t="n">
        <v>2628</v>
      </c>
      <c r="F220" s="1" t="inlineStr">
        <is>
          <t>El Cerrito</t>
        </is>
      </c>
      <c r="G220" s="1" t="inlineStr">
        <is>
          <t>Valle Del Cauca</t>
        </is>
      </c>
      <c r="H220" s="39" t="n">
        <v>23.2</v>
      </c>
      <c r="I220" s="1" t="n">
        <v>2020</v>
      </c>
      <c r="J220" s="1" t="n">
        <v>18</v>
      </c>
      <c r="K220" s="39" t="n">
        <v>23.4</v>
      </c>
      <c r="L220" s="1" t="n">
        <v>1998</v>
      </c>
      <c r="M220" s="1" t="n">
        <v>2</v>
      </c>
      <c r="N220" s="39" t="n">
        <v>23.6</v>
      </c>
      <c r="O220" s="1" t="n">
        <v>2000</v>
      </c>
      <c r="P220" s="1" t="n">
        <v>25</v>
      </c>
      <c r="Q220" s="39" t="n">
        <v>22.8</v>
      </c>
      <c r="R220" s="1" t="n">
        <v>2014</v>
      </c>
      <c r="S220" s="1" t="n">
        <v>13</v>
      </c>
      <c r="T220" s="39" t="n">
        <v>23.6</v>
      </c>
      <c r="U220" s="1" t="n">
        <v>2017</v>
      </c>
      <c r="V220" s="1" t="n">
        <v>22</v>
      </c>
      <c r="W220" s="39" t="n">
        <v>22.6</v>
      </c>
      <c r="X220" s="1" t="n">
        <v>2009</v>
      </c>
      <c r="Y220" s="1" t="n">
        <v>2</v>
      </c>
      <c r="Z220" s="39" t="n">
        <v>22.8</v>
      </c>
      <c r="AA220" s="1" t="n">
        <v>2019</v>
      </c>
      <c r="AB220" s="1" t="n">
        <v>6</v>
      </c>
      <c r="AC220" s="39" t="n">
        <v>23</v>
      </c>
      <c r="AD220" s="1" t="n">
        <v>1984</v>
      </c>
      <c r="AE220" s="1" t="n">
        <v>6</v>
      </c>
      <c r="AF220" s="39" t="n">
        <v>23.6</v>
      </c>
      <c r="AG220" s="1" t="n">
        <v>2009</v>
      </c>
      <c r="AH220" s="1" t="n">
        <v>29</v>
      </c>
      <c r="AI220" s="39" t="n">
        <v>23.6</v>
      </c>
      <c r="AJ220" s="1" t="n">
        <v>2009</v>
      </c>
      <c r="AK220" s="1" t="n">
        <v>1</v>
      </c>
      <c r="AL220" s="39" t="n">
        <v>22.2</v>
      </c>
      <c r="AM220" s="1" t="n">
        <v>2015</v>
      </c>
      <c r="AN220" s="1" t="n">
        <v>14</v>
      </c>
      <c r="AO220" s="39" t="n">
        <v>23.4</v>
      </c>
      <c r="AP220" s="1" t="n">
        <v>2015</v>
      </c>
      <c r="AQ220" s="1" t="n">
        <v>25</v>
      </c>
    </row>
    <row r="221" ht="14.45" customHeight="1">
      <c r="A221" s="1" t="n">
        <v>26095320</v>
      </c>
      <c r="B221" s="1" t="inlineStr">
        <is>
          <t>EL VINCULO - AUT [26095320]</t>
        </is>
      </c>
      <c r="C221" s="1" t="n">
        <v>3.360416667</v>
      </c>
      <c r="D221" s="1" t="n">
        <v>-76.300005556</v>
      </c>
      <c r="E221" s="1" t="n">
        <v>980</v>
      </c>
      <c r="F221" s="1" t="inlineStr">
        <is>
          <t>Florida</t>
        </is>
      </c>
      <c r="G221" s="1" t="inlineStr">
        <is>
          <t>Valle Del Cauca</t>
        </is>
      </c>
      <c r="H221" s="39" t="n">
        <v>35.4</v>
      </c>
      <c r="I221" s="1" t="n">
        <v>1998</v>
      </c>
      <c r="J221" s="1" t="n">
        <v>29</v>
      </c>
      <c r="K221" s="39" t="n">
        <v>35.5</v>
      </c>
      <c r="L221" s="1" t="n">
        <v>1998</v>
      </c>
      <c r="M221" s="1" t="n">
        <v>1</v>
      </c>
      <c r="N221" s="39" t="n">
        <v>35.2</v>
      </c>
      <c r="O221" s="1" t="n">
        <v>1988</v>
      </c>
      <c r="P221" s="1" t="n">
        <v>29</v>
      </c>
      <c r="Q221" s="39" t="n">
        <v>36.4</v>
      </c>
      <c r="R221" s="1" t="n">
        <v>2010</v>
      </c>
      <c r="S221" s="1" t="n">
        <v>23</v>
      </c>
      <c r="T221" s="39" t="n">
        <v>34.8</v>
      </c>
      <c r="U221" s="1" t="n">
        <v>2010</v>
      </c>
      <c r="V221" s="1" t="n">
        <v>25</v>
      </c>
      <c r="W221" s="39" t="n">
        <v>34.8</v>
      </c>
      <c r="X221" s="1" t="n">
        <v>2010</v>
      </c>
      <c r="Y221" s="1" t="n">
        <v>6</v>
      </c>
      <c r="Z221" s="39" t="n">
        <v>34.4</v>
      </c>
      <c r="AA221" s="1" t="n">
        <v>2014</v>
      </c>
      <c r="AB221" s="1" t="n">
        <v>25</v>
      </c>
      <c r="AC221" s="39" t="n">
        <v>35.2</v>
      </c>
      <c r="AD221" s="1" t="n">
        <v>1997</v>
      </c>
      <c r="AE221" s="1" t="n">
        <v>5</v>
      </c>
      <c r="AF221" s="39" t="n">
        <v>36.2</v>
      </c>
      <c r="AG221" s="1" t="n">
        <v>2015</v>
      </c>
      <c r="AH221" s="1" t="n">
        <v>14</v>
      </c>
      <c r="AI221" s="39" t="n">
        <v>35</v>
      </c>
      <c r="AJ221" s="1" t="n">
        <v>2015</v>
      </c>
      <c r="AK221" s="1" t="n">
        <v>5</v>
      </c>
      <c r="AL221" s="39" t="n">
        <v>33.2</v>
      </c>
      <c r="AM221" s="1" t="n">
        <v>2002</v>
      </c>
      <c r="AN221" s="1" t="n">
        <v>30</v>
      </c>
      <c r="AO221" s="39" t="n">
        <v>35</v>
      </c>
      <c r="AP221" s="1" t="n">
        <v>1989</v>
      </c>
      <c r="AQ221" s="1" t="n">
        <v>15</v>
      </c>
    </row>
    <row r="222" ht="14.45" customHeight="1">
      <c r="A222" s="1" t="n">
        <v>26105110</v>
      </c>
      <c r="B222" s="1" t="inlineStr">
        <is>
          <t>INGENIO RIOPAILA [26105110]</t>
        </is>
      </c>
      <c r="C222" s="1" t="n">
        <v>4.3245</v>
      </c>
      <c r="D222" s="1" t="n">
        <v>-76.08452778</v>
      </c>
      <c r="E222" s="1" t="n">
        <v>954</v>
      </c>
      <c r="F222" s="1" t="inlineStr">
        <is>
          <t>Zarzal</t>
        </is>
      </c>
      <c r="G222" s="1" t="inlineStr">
        <is>
          <t>Valle Del Cauca</t>
        </is>
      </c>
      <c r="H222" s="39" t="n">
        <v>38</v>
      </c>
      <c r="I222" s="1" t="n">
        <v>2016</v>
      </c>
      <c r="J222" s="1" t="n">
        <v>7</v>
      </c>
      <c r="K222" s="39" t="n">
        <v>37.4</v>
      </c>
      <c r="L222" s="1" t="n">
        <v>2020</v>
      </c>
      <c r="M222" s="1" t="n">
        <v>17</v>
      </c>
      <c r="N222" s="39" t="n">
        <v>37</v>
      </c>
      <c r="O222" s="1" t="n">
        <v>2020</v>
      </c>
      <c r="P222" s="1" t="n">
        <v>6</v>
      </c>
      <c r="Q222" s="39" t="n">
        <v>36.8</v>
      </c>
      <c r="R222" s="1" t="n">
        <v>2024</v>
      </c>
      <c r="S222" s="1" t="n">
        <v>10</v>
      </c>
      <c r="T222" s="39" t="n">
        <v>35.6</v>
      </c>
      <c r="U222" s="1" t="n">
        <v>2015</v>
      </c>
      <c r="V222" s="1" t="n">
        <v>20</v>
      </c>
      <c r="W222" s="39" t="n">
        <v>37</v>
      </c>
      <c r="X222" s="1" t="n">
        <v>2015</v>
      </c>
      <c r="Y222" s="1" t="n">
        <v>23</v>
      </c>
      <c r="Z222" s="39" t="n">
        <v>36.2</v>
      </c>
      <c r="AA222" s="1" t="n">
        <v>2001</v>
      </c>
      <c r="AB222" s="1" t="n">
        <v>3</v>
      </c>
      <c r="AC222" s="39" t="n">
        <v>36.2</v>
      </c>
      <c r="AD222" s="1" t="n">
        <v>2006</v>
      </c>
      <c r="AE222" s="1" t="n">
        <v>13</v>
      </c>
      <c r="AF222" s="39" t="n">
        <v>36</v>
      </c>
      <c r="AG222" s="1" t="n">
        <v>2005</v>
      </c>
      <c r="AH222" s="1" t="n">
        <v>10</v>
      </c>
      <c r="AI222" s="39" t="n">
        <v>36</v>
      </c>
      <c r="AJ222" s="1" t="n">
        <v>2006</v>
      </c>
      <c r="AK222" s="1" t="n">
        <v>6</v>
      </c>
      <c r="AL222" s="39" t="n">
        <v>34.2</v>
      </c>
      <c r="AM222" s="1" t="n">
        <v>2003</v>
      </c>
      <c r="AN222" s="1" t="n">
        <v>29</v>
      </c>
      <c r="AO222" s="39" t="n">
        <v>35.6</v>
      </c>
      <c r="AP222" s="1" t="n">
        <v>2015</v>
      </c>
      <c r="AQ222" s="1" t="n">
        <v>30</v>
      </c>
    </row>
    <row r="223" ht="14.45" customHeight="1">
      <c r="A223" s="1" t="n">
        <v>26105140</v>
      </c>
      <c r="B223" s="1" t="inlineStr">
        <is>
          <t>BARRAGAN [26105140]</t>
        </is>
      </c>
      <c r="C223" s="1" t="n">
        <v>4.033055556</v>
      </c>
      <c r="D223" s="1" t="n">
        <v>-75.88802777799999</v>
      </c>
      <c r="E223" s="1" t="n">
        <v>2902</v>
      </c>
      <c r="F223" s="1" t="inlineStr">
        <is>
          <t>Tuluá</t>
        </is>
      </c>
      <c r="G223" s="1" t="inlineStr">
        <is>
          <t>Valle Del Cauca</t>
        </is>
      </c>
      <c r="H223" s="39" t="n">
        <v>24.2</v>
      </c>
      <c r="I223" s="1" t="n">
        <v>2024</v>
      </c>
      <c r="J223" s="1" t="n">
        <v>23</v>
      </c>
      <c r="K223" s="39" t="n">
        <v>24</v>
      </c>
      <c r="L223" s="1" t="n">
        <v>2016</v>
      </c>
      <c r="M223" s="1" t="n">
        <v>2</v>
      </c>
      <c r="N223" s="39" t="n">
        <v>21.8</v>
      </c>
      <c r="O223" s="1" t="n">
        <v>2010</v>
      </c>
      <c r="P223" s="1" t="n">
        <v>19</v>
      </c>
      <c r="Q223" s="39" t="n">
        <v>21.2</v>
      </c>
      <c r="R223" s="1" t="n">
        <v>2012</v>
      </c>
      <c r="S223" s="1" t="n">
        <v>2</v>
      </c>
      <c r="T223" s="39" t="n">
        <v>21</v>
      </c>
      <c r="U223" s="1" t="n">
        <v>1983</v>
      </c>
      <c r="V223" s="1" t="n">
        <v>13</v>
      </c>
      <c r="W223" s="39" t="n">
        <v>21</v>
      </c>
      <c r="X223" s="1" t="n">
        <v>2012</v>
      </c>
      <c r="Y223" s="1" t="n">
        <v>3</v>
      </c>
      <c r="Z223" s="39" t="n">
        <v>20</v>
      </c>
      <c r="AA223" s="1" t="n">
        <v>2012</v>
      </c>
      <c r="AB223" s="1" t="n">
        <v>7</v>
      </c>
      <c r="AC223" s="39" t="n">
        <v>21.2</v>
      </c>
      <c r="AD223" s="1" t="n">
        <v>2023</v>
      </c>
      <c r="AE223" s="1" t="n">
        <v>23</v>
      </c>
      <c r="AF223" s="39" t="n">
        <v>21.2</v>
      </c>
      <c r="AG223" s="1" t="n">
        <v>2024</v>
      </c>
      <c r="AH223" s="1" t="n">
        <v>4</v>
      </c>
      <c r="AI223" s="39" t="n">
        <v>22</v>
      </c>
      <c r="AJ223" s="1" t="n">
        <v>2020</v>
      </c>
      <c r="AK223" s="1" t="n">
        <v>10</v>
      </c>
      <c r="AL223" s="39" t="n">
        <v>20</v>
      </c>
      <c r="AM223" s="1" t="n">
        <v>1983</v>
      </c>
      <c r="AN223" s="1" t="n">
        <v>4</v>
      </c>
      <c r="AO223" s="39" t="n">
        <v>21.2</v>
      </c>
      <c r="AP223" s="1" t="n">
        <v>2023</v>
      </c>
      <c r="AQ223" s="1" t="n">
        <v>4</v>
      </c>
    </row>
    <row r="224" ht="14.45" customHeight="1">
      <c r="A224" s="1" t="n">
        <v>26105150</v>
      </c>
      <c r="B224" s="1" t="inlineStr">
        <is>
          <t>SAN MARCOS [26105150]</t>
        </is>
      </c>
      <c r="C224" s="1" t="n">
        <v>4.238916667</v>
      </c>
      <c r="D224" s="1" t="n">
        <v>-76.03305555599999</v>
      </c>
      <c r="E224" s="1" t="n">
        <v>1011</v>
      </c>
      <c r="F224" s="1" t="inlineStr">
        <is>
          <t>Bugalagrande</t>
        </is>
      </c>
      <c r="G224" s="1" t="inlineStr">
        <is>
          <t>Valle Del Cauca</t>
        </is>
      </c>
      <c r="H224" s="39" t="n">
        <v>35.2</v>
      </c>
      <c r="I224" s="1" t="n">
        <v>1998</v>
      </c>
      <c r="J224" s="1" t="n">
        <v>4</v>
      </c>
      <c r="K224" s="39" t="n">
        <v>35.6</v>
      </c>
      <c r="L224" s="1" t="n">
        <v>1998</v>
      </c>
      <c r="M224" s="1" t="n">
        <v>1</v>
      </c>
      <c r="N224" s="39" t="n">
        <v>35</v>
      </c>
      <c r="O224" s="1" t="n">
        <v>2016</v>
      </c>
      <c r="P224" s="1" t="n">
        <v>26</v>
      </c>
      <c r="Q224" s="39" t="n">
        <v>35.6</v>
      </c>
      <c r="R224" s="1" t="n">
        <v>1996</v>
      </c>
      <c r="S224" s="1" t="n">
        <v>2</v>
      </c>
      <c r="T224" s="39" t="n">
        <v>34.6</v>
      </c>
      <c r="U224" s="1" t="n">
        <v>1998</v>
      </c>
      <c r="V224" s="1" t="n">
        <v>21</v>
      </c>
      <c r="W224" s="39" t="n">
        <v>34.6</v>
      </c>
      <c r="X224" s="1" t="n">
        <v>2015</v>
      </c>
      <c r="Y224" s="1" t="n">
        <v>19</v>
      </c>
      <c r="Z224" s="39" t="n">
        <v>35.6</v>
      </c>
      <c r="AA224" s="1" t="n">
        <v>1997</v>
      </c>
      <c r="AB224" s="1" t="n">
        <v>24</v>
      </c>
      <c r="AC224" s="39" t="n">
        <v>35.4</v>
      </c>
      <c r="AD224" s="1" t="n">
        <v>1982</v>
      </c>
      <c r="AE224" s="1" t="n">
        <v>22</v>
      </c>
      <c r="AF224" s="39" t="n">
        <v>35.6</v>
      </c>
      <c r="AG224" s="1" t="n">
        <v>2015</v>
      </c>
      <c r="AH224" s="1" t="n">
        <v>4</v>
      </c>
      <c r="AI224" s="39" t="n">
        <v>34.2</v>
      </c>
      <c r="AJ224" s="1" t="n">
        <v>2009</v>
      </c>
      <c r="AK224" s="1" t="n">
        <v>10</v>
      </c>
      <c r="AL224" s="39" t="n">
        <v>33.2</v>
      </c>
      <c r="AM224" s="1" t="n">
        <v>2002</v>
      </c>
      <c r="AN224" s="1" t="n">
        <v>28</v>
      </c>
      <c r="AO224" s="39" t="n">
        <v>34</v>
      </c>
      <c r="AP224" s="1" t="n">
        <v>2015</v>
      </c>
      <c r="AQ224" s="1" t="n">
        <v>31</v>
      </c>
    </row>
    <row r="225" ht="14.45" customHeight="1">
      <c r="A225" s="1" t="n">
        <v>26105230</v>
      </c>
      <c r="B225" s="1" t="inlineStr">
        <is>
          <t>MATEGUADUA [26105230]</t>
        </is>
      </c>
      <c r="C225" s="1" t="n">
        <v>4.028333333</v>
      </c>
      <c r="D225" s="1" t="n">
        <v>-76.16852778000001</v>
      </c>
      <c r="E225" s="1" t="n">
        <v>1119</v>
      </c>
      <c r="F225" s="1" t="inlineStr">
        <is>
          <t>Tuluá</t>
        </is>
      </c>
      <c r="G225" s="1" t="inlineStr">
        <is>
          <t>Valle Del Cauca</t>
        </is>
      </c>
      <c r="H225" s="39" t="n">
        <v>35.2</v>
      </c>
      <c r="I225" s="1" t="n">
        <v>1998</v>
      </c>
      <c r="J225" s="1" t="n">
        <v>25</v>
      </c>
      <c r="K225" s="39" t="n">
        <v>35.6</v>
      </c>
      <c r="L225" s="1" t="n">
        <v>2003</v>
      </c>
      <c r="M225" s="1" t="n">
        <v>8</v>
      </c>
      <c r="N225" s="39" t="n">
        <v>36</v>
      </c>
      <c r="O225" s="1" t="n">
        <v>2024</v>
      </c>
      <c r="P225" s="1" t="n">
        <v>17</v>
      </c>
      <c r="Q225" s="39" t="n">
        <v>34.6</v>
      </c>
      <c r="R225" s="1" t="n">
        <v>2003</v>
      </c>
      <c r="S225" s="1" t="n">
        <v>2</v>
      </c>
      <c r="T225" s="39" t="n">
        <v>34.4</v>
      </c>
      <c r="U225" s="1" t="n">
        <v>2002</v>
      </c>
      <c r="V225" s="1" t="n">
        <v>16</v>
      </c>
      <c r="W225" s="39" t="n">
        <v>33.6</v>
      </c>
      <c r="X225" s="1" t="n">
        <v>2003</v>
      </c>
      <c r="Y225" s="1" t="n">
        <v>29</v>
      </c>
      <c r="Z225" s="39" t="n">
        <v>36.2</v>
      </c>
      <c r="AA225" s="1" t="n">
        <v>2023</v>
      </c>
      <c r="AB225" s="1" t="n">
        <v>19</v>
      </c>
      <c r="AC225" s="39" t="n">
        <v>35.2</v>
      </c>
      <c r="AD225" s="1" t="n">
        <v>2002</v>
      </c>
      <c r="AE225" s="1" t="n">
        <v>20</v>
      </c>
      <c r="AF225" s="39" t="n">
        <v>35</v>
      </c>
      <c r="AG225" s="1" t="n">
        <v>2023</v>
      </c>
      <c r="AH225" s="1" t="n">
        <v>22</v>
      </c>
      <c r="AI225" s="39" t="n">
        <v>34.6</v>
      </c>
      <c r="AJ225" s="1" t="n">
        <v>2002</v>
      </c>
      <c r="AK225" s="1" t="n">
        <v>23</v>
      </c>
      <c r="AL225" s="39" t="n">
        <v>33.6</v>
      </c>
      <c r="AM225" s="1" t="n">
        <v>2004</v>
      </c>
      <c r="AN225" s="1" t="n">
        <v>13</v>
      </c>
      <c r="AO225" s="39" t="n">
        <v>33.6</v>
      </c>
      <c r="AP225" s="1" t="n">
        <v>2002</v>
      </c>
      <c r="AQ225" s="1" t="n">
        <v>13</v>
      </c>
    </row>
    <row r="226" ht="14.45" customHeight="1">
      <c r="A226" s="1" t="n">
        <v>26125061</v>
      </c>
      <c r="B226" s="1" t="inlineStr">
        <is>
          <t>AEROPUERTO EL EDEN - - AUT [26125061]</t>
        </is>
      </c>
      <c r="C226" s="1" t="n">
        <v>4.454722222</v>
      </c>
      <c r="D226" s="1" t="n">
        <v>-75.76638889</v>
      </c>
      <c r="E226" s="1" t="n">
        <v>1229</v>
      </c>
      <c r="F226" s="1" t="inlineStr">
        <is>
          <t>Armenia</t>
        </is>
      </c>
      <c r="G226" s="1" t="inlineStr">
        <is>
          <t>Quindío</t>
        </is>
      </c>
      <c r="H226" s="39" t="n">
        <v>33.2</v>
      </c>
      <c r="I226" s="1" t="n">
        <v>1978</v>
      </c>
      <c r="J226" s="1" t="n">
        <v>31</v>
      </c>
      <c r="K226" s="39" t="n">
        <v>34</v>
      </c>
      <c r="L226" s="1" t="n">
        <v>2020</v>
      </c>
      <c r="M226" s="1" t="n">
        <v>17</v>
      </c>
      <c r="N226" s="39" t="n">
        <v>33</v>
      </c>
      <c r="O226" s="1" t="n">
        <v>2016</v>
      </c>
      <c r="P226" s="1" t="n">
        <v>25</v>
      </c>
      <c r="Q226" s="39" t="n">
        <v>32.2</v>
      </c>
      <c r="R226" s="1" t="n">
        <v>2010</v>
      </c>
      <c r="S226" s="1" t="n">
        <v>22</v>
      </c>
      <c r="T226" s="39" t="n">
        <v>32</v>
      </c>
      <c r="U226" s="1" t="n">
        <v>2016</v>
      </c>
      <c r="V226" s="1" t="n">
        <v>15</v>
      </c>
      <c r="W226" s="39" t="n">
        <v>34.2</v>
      </c>
      <c r="X226" s="1" t="n">
        <v>2015</v>
      </c>
      <c r="Y226" s="1" t="n">
        <v>24</v>
      </c>
      <c r="Z226" s="39" t="n">
        <v>34.2</v>
      </c>
      <c r="AA226" s="1" t="n">
        <v>2015</v>
      </c>
      <c r="AB226" s="1" t="n">
        <v>3</v>
      </c>
      <c r="AC226" s="39" t="n">
        <v>34.4</v>
      </c>
      <c r="AD226" s="1" t="n">
        <v>2019</v>
      </c>
      <c r="AE226" s="1" t="n">
        <v>27</v>
      </c>
      <c r="AF226" s="39" t="n">
        <v>35</v>
      </c>
      <c r="AG226" s="1" t="n">
        <v>2015</v>
      </c>
      <c r="AH226" s="1" t="n">
        <v>15</v>
      </c>
      <c r="AI226" s="39" t="n">
        <v>32.8</v>
      </c>
      <c r="AJ226" s="1" t="n">
        <v>2015</v>
      </c>
      <c r="AK226" s="1" t="n">
        <v>4</v>
      </c>
      <c r="AL226" s="39" t="n">
        <v>31</v>
      </c>
      <c r="AM226" s="1" t="n">
        <v>1978</v>
      </c>
      <c r="AN226" s="1" t="n">
        <v>28</v>
      </c>
      <c r="AO226" s="39" t="n">
        <v>33</v>
      </c>
      <c r="AP226" s="1" t="n">
        <v>1980</v>
      </c>
      <c r="AQ226" s="1" t="n">
        <v>7</v>
      </c>
    </row>
    <row r="227" ht="14.45" customHeight="1">
      <c r="A227" s="1" t="n">
        <v>26125130</v>
      </c>
      <c r="B227" s="1" t="inlineStr">
        <is>
          <t>CUMBARCO [26125130]</t>
        </is>
      </c>
      <c r="C227" s="1" t="n">
        <v>4.185055556</v>
      </c>
      <c r="D227" s="1" t="n">
        <v>-75.83236110999999</v>
      </c>
      <c r="E227" s="1" t="n">
        <v>1749</v>
      </c>
      <c r="F227" s="1" t="inlineStr">
        <is>
          <t>Sevilla</t>
        </is>
      </c>
      <c r="G227" s="1" t="inlineStr">
        <is>
          <t>Valle Del Cauca</t>
        </is>
      </c>
      <c r="H227" s="39" t="n">
        <v>29.8</v>
      </c>
      <c r="I227" s="1" t="n">
        <v>2007</v>
      </c>
      <c r="J227" s="1" t="n">
        <v>4</v>
      </c>
      <c r="K227" s="39" t="n">
        <v>29.6</v>
      </c>
      <c r="L227" s="1" t="n">
        <v>2016</v>
      </c>
      <c r="M227" s="1" t="n">
        <v>2</v>
      </c>
      <c r="N227" s="39" t="n">
        <v>29.2</v>
      </c>
      <c r="O227" s="1" t="n">
        <v>2024</v>
      </c>
      <c r="P227" s="1" t="n">
        <v>17</v>
      </c>
      <c r="Q227" s="39" t="n">
        <v>28.4</v>
      </c>
      <c r="R227" s="1" t="n">
        <v>2005</v>
      </c>
      <c r="S227" s="1" t="n">
        <v>15</v>
      </c>
      <c r="T227" s="39" t="n">
        <v>28.6</v>
      </c>
      <c r="U227" s="1" t="n">
        <v>2014</v>
      </c>
      <c r="V227" s="1" t="n">
        <v>22</v>
      </c>
      <c r="W227" s="39" t="n">
        <v>30.4</v>
      </c>
      <c r="X227" s="1" t="n">
        <v>2023</v>
      </c>
      <c r="Y227" s="1" t="n">
        <v>15</v>
      </c>
      <c r="Z227" s="39" t="n">
        <v>31.2</v>
      </c>
      <c r="AA227" s="1" t="n">
        <v>2023</v>
      </c>
      <c r="AB227" s="1" t="n">
        <v>4</v>
      </c>
      <c r="AC227" s="39" t="n">
        <v>30</v>
      </c>
      <c r="AD227" s="1" t="n">
        <v>2015</v>
      </c>
      <c r="AE227" s="1" t="n">
        <v>30</v>
      </c>
      <c r="AF227" s="39" t="n">
        <v>31.2</v>
      </c>
      <c r="AG227" s="1" t="n">
        <v>2015</v>
      </c>
      <c r="AH227" s="1" t="n">
        <v>15</v>
      </c>
      <c r="AI227" s="39" t="n">
        <v>29</v>
      </c>
      <c r="AJ227" s="1" t="n">
        <v>2015</v>
      </c>
      <c r="AK227" s="1" t="n">
        <v>29</v>
      </c>
      <c r="AL227" s="39" t="n">
        <v>29.8</v>
      </c>
      <c r="AM227" s="1" t="n">
        <v>2015</v>
      </c>
      <c r="AN227" s="1" t="n">
        <v>13</v>
      </c>
      <c r="AO227" s="39" t="n">
        <v>30</v>
      </c>
      <c r="AP227" s="1" t="n">
        <v>2015</v>
      </c>
      <c r="AQ227" s="1" t="n">
        <v>23</v>
      </c>
    </row>
    <row r="228" ht="14.45" customHeight="1">
      <c r="A228" s="1" t="n">
        <v>26135040</v>
      </c>
      <c r="B228" s="1" t="inlineStr">
        <is>
          <t>AEROPUERTO MATECANA [26135040]</t>
        </is>
      </c>
      <c r="C228" s="1" t="n">
        <v>4.815861111</v>
      </c>
      <c r="D228" s="1" t="n">
        <v>-75.737222222</v>
      </c>
      <c r="E228" s="1" t="n">
        <v>1342</v>
      </c>
      <c r="F228" s="1" t="inlineStr">
        <is>
          <t>Pereira</t>
        </is>
      </c>
      <c r="G228" s="1" t="inlineStr">
        <is>
          <t>Risaralda</t>
        </is>
      </c>
      <c r="H228" s="39" t="n">
        <v>32.7</v>
      </c>
      <c r="I228" s="1" t="n">
        <v>1998</v>
      </c>
      <c r="J228" s="1" t="n">
        <v>29</v>
      </c>
      <c r="K228" s="39" t="n">
        <v>33.5</v>
      </c>
      <c r="L228" s="1" t="n">
        <v>1998</v>
      </c>
      <c r="M228" s="1" t="n">
        <v>1</v>
      </c>
      <c r="N228" s="39" t="n">
        <v>33.3</v>
      </c>
      <c r="O228" s="1" t="n">
        <v>2016</v>
      </c>
      <c r="P228" s="1" t="n">
        <v>25</v>
      </c>
      <c r="Q228" s="39" t="n">
        <v>31.3</v>
      </c>
      <c r="R228" s="1" t="n">
        <v>2016</v>
      </c>
      <c r="S228" s="1" t="n">
        <v>6</v>
      </c>
      <c r="T228" s="39" t="n">
        <v>31.2</v>
      </c>
      <c r="U228" s="1" t="n">
        <v>2015</v>
      </c>
      <c r="V228" s="1" t="n">
        <v>12</v>
      </c>
      <c r="W228" s="39" t="n">
        <v>32.8</v>
      </c>
      <c r="X228" s="1" t="n">
        <v>2015</v>
      </c>
      <c r="Y228" s="1" t="n">
        <v>24</v>
      </c>
      <c r="Z228" s="39" t="n">
        <v>32.5</v>
      </c>
      <c r="AA228" s="1" t="n">
        <v>1997</v>
      </c>
      <c r="AB228" s="1" t="n">
        <v>24</v>
      </c>
      <c r="AC228" s="39" t="n">
        <v>32.6</v>
      </c>
      <c r="AD228" s="1" t="n">
        <v>2019</v>
      </c>
      <c r="AE228" s="1" t="n">
        <v>27</v>
      </c>
      <c r="AF228" s="39" t="n">
        <v>32.8</v>
      </c>
      <c r="AG228" s="1" t="n">
        <v>2019</v>
      </c>
      <c r="AH228" s="1" t="n">
        <v>3</v>
      </c>
      <c r="AI228" s="39" t="n">
        <v>31.3</v>
      </c>
      <c r="AJ228" s="1" t="n">
        <v>2015</v>
      </c>
      <c r="AK228" s="1" t="n">
        <v>4</v>
      </c>
      <c r="AL228" s="39" t="n">
        <v>29.9</v>
      </c>
      <c r="AM228" s="1" t="n">
        <v>2009</v>
      </c>
      <c r="AN228" s="1" t="n">
        <v>26</v>
      </c>
      <c r="AO228" s="39" t="n">
        <v>31.6</v>
      </c>
      <c r="AP228" s="1" t="n">
        <v>2015</v>
      </c>
      <c r="AQ228" s="1" t="n">
        <v>30</v>
      </c>
    </row>
    <row r="229" ht="14.45" customHeight="1">
      <c r="A229" s="1" t="n">
        <v>26135100</v>
      </c>
      <c r="B229" s="1" t="inlineStr">
        <is>
          <t>BOHEMIA LA [26135100]</t>
        </is>
      </c>
      <c r="C229" s="1" t="n">
        <v>4.878027778</v>
      </c>
      <c r="D229" s="1" t="n">
        <v>-75.87755556</v>
      </c>
      <c r="E229" s="1" t="n">
        <v>995</v>
      </c>
      <c r="F229" s="1" t="inlineStr">
        <is>
          <t>Pereira</t>
        </is>
      </c>
      <c r="G229" s="1" t="inlineStr">
        <is>
          <t>Risaralda</t>
        </is>
      </c>
      <c r="H229" s="39" t="n">
        <v>37</v>
      </c>
      <c r="I229" s="1" t="n">
        <v>1998</v>
      </c>
      <c r="J229" s="1" t="n">
        <v>29</v>
      </c>
      <c r="K229" s="39" t="n">
        <v>37.8</v>
      </c>
      <c r="L229" s="1" t="n">
        <v>1998</v>
      </c>
      <c r="M229" s="1" t="n">
        <v>2</v>
      </c>
      <c r="N229" s="39" t="n">
        <v>37</v>
      </c>
      <c r="O229" s="1" t="n">
        <v>2024</v>
      </c>
      <c r="P229" s="1" t="n">
        <v>18</v>
      </c>
      <c r="Q229" s="39" t="n">
        <v>36</v>
      </c>
      <c r="R229" s="1" t="n">
        <v>2019</v>
      </c>
      <c r="S229" s="1" t="n">
        <v>10</v>
      </c>
      <c r="T229" s="39" t="n">
        <v>34.2</v>
      </c>
      <c r="U229" s="1" t="n">
        <v>1983</v>
      </c>
      <c r="V229" s="1" t="n">
        <v>11</v>
      </c>
      <c r="W229" s="39" t="n">
        <v>36.6</v>
      </c>
      <c r="X229" s="1" t="n">
        <v>2015</v>
      </c>
      <c r="Y229" s="1" t="n">
        <v>24</v>
      </c>
      <c r="Z229" s="39" t="n">
        <v>37</v>
      </c>
      <c r="AA229" s="1" t="n">
        <v>1983</v>
      </c>
      <c r="AB229" s="1" t="n">
        <v>29</v>
      </c>
      <c r="AC229" s="39" t="n">
        <v>39</v>
      </c>
      <c r="AD229" s="1" t="n">
        <v>1983</v>
      </c>
      <c r="AE229" s="1" t="n">
        <v>17</v>
      </c>
      <c r="AF229" s="39" t="n">
        <v>37</v>
      </c>
      <c r="AG229" s="1" t="n">
        <v>2019</v>
      </c>
      <c r="AH229" s="1" t="n">
        <v>8</v>
      </c>
      <c r="AI229" s="39" t="n">
        <v>35</v>
      </c>
      <c r="AJ229" s="1" t="n">
        <v>2023</v>
      </c>
      <c r="AK229" s="1" t="n">
        <v>9</v>
      </c>
      <c r="AL229" s="39" t="n">
        <v>34.2</v>
      </c>
      <c r="AM229" s="1" t="n">
        <v>1985</v>
      </c>
      <c r="AN229" s="1" t="n">
        <v>29</v>
      </c>
      <c r="AO229" s="39" t="n">
        <v>35</v>
      </c>
      <c r="AP229" s="1" t="n">
        <v>2023</v>
      </c>
      <c r="AQ229" s="1" t="n">
        <v>2</v>
      </c>
    </row>
    <row r="230" ht="14.45" customHeight="1">
      <c r="A230" s="1" t="n">
        <v>26135110</v>
      </c>
      <c r="B230" s="1" t="inlineStr">
        <is>
          <t>VERACRUZ [26135110]</t>
        </is>
      </c>
      <c r="C230" s="1" t="n">
        <v>4.87</v>
      </c>
      <c r="D230" s="1" t="n">
        <v>-75.63</v>
      </c>
      <c r="E230" s="1" t="n">
        <v>1628</v>
      </c>
      <c r="F230" s="1" t="inlineStr">
        <is>
          <t>Santa Rosa De Cabal</t>
        </is>
      </c>
      <c r="G230" s="1" t="inlineStr">
        <is>
          <t>Risaralda</t>
        </is>
      </c>
      <c r="H230" s="39" t="n">
        <v>30</v>
      </c>
      <c r="I230" s="1" t="n">
        <v>1998</v>
      </c>
      <c r="J230" s="1" t="n">
        <v>4</v>
      </c>
      <c r="K230" s="39" t="n">
        <v>29.8</v>
      </c>
      <c r="L230" s="1" t="n">
        <v>1998</v>
      </c>
      <c r="M230" s="1" t="n">
        <v>1</v>
      </c>
      <c r="N230" s="39" t="n">
        <v>29</v>
      </c>
      <c r="O230" s="1" t="n">
        <v>1988</v>
      </c>
      <c r="P230" s="1" t="n">
        <v>21</v>
      </c>
      <c r="Q230" s="39" t="n">
        <v>29.2</v>
      </c>
      <c r="R230" s="1" t="n">
        <v>2010</v>
      </c>
      <c r="S230" s="1" t="n">
        <v>23</v>
      </c>
      <c r="T230" s="39" t="n">
        <v>28.8</v>
      </c>
      <c r="U230" s="1" t="n">
        <v>2015</v>
      </c>
      <c r="V230" s="1" t="n">
        <v>6</v>
      </c>
      <c r="W230" s="39" t="n">
        <v>29.2</v>
      </c>
      <c r="X230" s="1" t="n">
        <v>1983</v>
      </c>
      <c r="Y230" s="1" t="n">
        <v>14</v>
      </c>
      <c r="Z230" s="39" t="n">
        <v>29</v>
      </c>
      <c r="AA230" s="1" t="n">
        <v>1997</v>
      </c>
      <c r="AB230" s="1" t="n">
        <v>23</v>
      </c>
      <c r="AC230" s="39" t="n">
        <v>28.6</v>
      </c>
      <c r="AD230" s="1" t="n">
        <v>1997</v>
      </c>
      <c r="AE230" s="1" t="n">
        <v>6</v>
      </c>
      <c r="AF230" s="39" t="n">
        <v>29</v>
      </c>
      <c r="AG230" s="1" t="n">
        <v>1995</v>
      </c>
      <c r="AH230" s="1" t="n">
        <v>18</v>
      </c>
      <c r="AI230" s="39" t="n">
        <v>27.6</v>
      </c>
      <c r="AJ230" s="1" t="n">
        <v>2004</v>
      </c>
      <c r="AK230" s="1" t="n">
        <v>29</v>
      </c>
      <c r="AL230" s="39" t="n">
        <v>29</v>
      </c>
      <c r="AM230" s="1" t="n">
        <v>1991</v>
      </c>
      <c r="AN230" s="1" t="n">
        <v>30</v>
      </c>
      <c r="AO230" s="39" t="n">
        <v>28.4</v>
      </c>
      <c r="AP230" s="1" t="n">
        <v>1991</v>
      </c>
      <c r="AQ230" s="1" t="n">
        <v>22</v>
      </c>
    </row>
    <row r="231" ht="14.45" customHeight="1">
      <c r="A231" s="1" t="n">
        <v>26135140</v>
      </c>
      <c r="B231" s="1" t="inlineStr">
        <is>
          <t>LAGUNA LA [26135140]</t>
        </is>
      </c>
      <c r="C231" s="1" t="n">
        <v>4.776416667</v>
      </c>
      <c r="D231" s="1" t="n">
        <v>-75.41249999999999</v>
      </c>
      <c r="E231" s="1" t="n">
        <v>3950</v>
      </c>
      <c r="F231" s="1" t="inlineStr">
        <is>
          <t>Pereira</t>
        </is>
      </c>
      <c r="G231" s="1" t="inlineStr">
        <is>
          <t>Risaralda</t>
        </is>
      </c>
      <c r="H231" s="39" t="n">
        <v>17</v>
      </c>
      <c r="I231" s="1" t="n">
        <v>1998</v>
      </c>
      <c r="J231" s="1" t="n">
        <v>23</v>
      </c>
      <c r="K231" s="39" t="n">
        <v>16</v>
      </c>
      <c r="L231" s="1" t="n">
        <v>1998</v>
      </c>
      <c r="M231" s="1" t="n">
        <v>2</v>
      </c>
      <c r="N231" s="39" t="n">
        <v>16</v>
      </c>
      <c r="O231" s="1" t="n">
        <v>1998</v>
      </c>
      <c r="P231" s="1" t="n">
        <v>19</v>
      </c>
      <c r="Q231" s="39" t="n">
        <v>17.5</v>
      </c>
      <c r="R231" s="1" t="n">
        <v>1998</v>
      </c>
      <c r="S231" s="1" t="n">
        <v>21</v>
      </c>
      <c r="T231" s="39" t="n">
        <v>15</v>
      </c>
      <c r="U231" s="1" t="n">
        <v>1998</v>
      </c>
      <c r="V231" s="1" t="n">
        <v>21</v>
      </c>
      <c r="W231" s="39" t="n">
        <v>14.5</v>
      </c>
      <c r="X231" s="1" t="n">
        <v>1998</v>
      </c>
      <c r="Y231" s="1" t="n">
        <v>14</v>
      </c>
      <c r="Z231" s="39" t="n">
        <v>14.6</v>
      </c>
      <c r="AA231" s="1" t="n">
        <v>1998</v>
      </c>
      <c r="AB231" s="1" t="n">
        <v>1</v>
      </c>
      <c r="AC231" s="39" t="n">
        <v>14.4</v>
      </c>
      <c r="AD231" s="1" t="n">
        <v>2002</v>
      </c>
      <c r="AE231" s="1" t="n">
        <v>25</v>
      </c>
      <c r="AF231" s="39" t="n">
        <v>16.5</v>
      </c>
      <c r="AG231" s="1" t="n">
        <v>1997</v>
      </c>
      <c r="AH231" s="1" t="n">
        <v>5</v>
      </c>
      <c r="AI231" s="39" t="n">
        <v>15</v>
      </c>
      <c r="AJ231" s="1" t="n">
        <v>1997</v>
      </c>
      <c r="AK231" s="1" t="n">
        <v>24</v>
      </c>
      <c r="AL231" s="39" t="n">
        <v>14</v>
      </c>
      <c r="AM231" s="1" t="n">
        <v>1997</v>
      </c>
      <c r="AN231" s="1" t="n">
        <v>22</v>
      </c>
      <c r="AO231" s="39" t="n">
        <v>15.5</v>
      </c>
      <c r="AP231" s="1" t="n">
        <v>1997</v>
      </c>
      <c r="AQ231" s="1" t="n">
        <v>10</v>
      </c>
    </row>
    <row r="232" ht="14.45" customHeight="1">
      <c r="A232" s="1" t="n">
        <v>26135160</v>
      </c>
      <c r="B232" s="1" t="inlineStr">
        <is>
          <t>SAN REMO [26135160]</t>
        </is>
      </c>
      <c r="C232" s="1" t="n">
        <v>4.841666667</v>
      </c>
      <c r="D232" s="1" t="n">
        <v>-75.57997222</v>
      </c>
      <c r="E232" s="1" t="n">
        <v>1947</v>
      </c>
      <c r="F232" s="1" t="inlineStr">
        <is>
          <t>Santa Rosa De Cabal</t>
        </is>
      </c>
      <c r="G232" s="1" t="inlineStr">
        <is>
          <t>Risaralda</t>
        </is>
      </c>
      <c r="H232" s="39" t="n">
        <v>26.5</v>
      </c>
      <c r="I232" s="1" t="n">
        <v>1998</v>
      </c>
      <c r="J232" s="1" t="n">
        <v>11</v>
      </c>
      <c r="K232" s="39" t="n">
        <v>26</v>
      </c>
      <c r="L232" s="1" t="n">
        <v>1998</v>
      </c>
      <c r="M232" s="1" t="n">
        <v>16</v>
      </c>
      <c r="N232" s="39" t="n">
        <v>26</v>
      </c>
      <c r="O232" s="1" t="n">
        <v>1998</v>
      </c>
      <c r="P232" s="1" t="n">
        <v>18</v>
      </c>
      <c r="Q232" s="39" t="n">
        <v>26</v>
      </c>
      <c r="R232" s="1" t="n">
        <v>2003</v>
      </c>
      <c r="S232" s="1" t="n">
        <v>2</v>
      </c>
      <c r="T232" s="39" t="n">
        <v>25</v>
      </c>
      <c r="U232" s="1" t="n">
        <v>1998</v>
      </c>
      <c r="V232" s="1" t="n">
        <v>20</v>
      </c>
      <c r="W232" s="39" t="n">
        <v>25.4</v>
      </c>
      <c r="X232" s="1" t="n">
        <v>2001</v>
      </c>
      <c r="Y232" s="1" t="n">
        <v>26</v>
      </c>
      <c r="Z232" s="39" t="n">
        <v>26.7</v>
      </c>
      <c r="AA232" s="1" t="n">
        <v>2001</v>
      </c>
      <c r="AB232" s="1" t="n">
        <v>28</v>
      </c>
      <c r="AC232" s="39" t="n">
        <v>26.2</v>
      </c>
      <c r="AD232" s="1" t="n">
        <v>2001</v>
      </c>
      <c r="AE232" s="1" t="n">
        <v>20</v>
      </c>
      <c r="AF232" s="39" t="n">
        <v>25.6</v>
      </c>
      <c r="AG232" s="1" t="n">
        <v>2002</v>
      </c>
      <c r="AH232" s="1" t="n">
        <v>21</v>
      </c>
      <c r="AI232" s="39" t="n">
        <v>25.5</v>
      </c>
      <c r="AJ232" s="1" t="n">
        <v>2004</v>
      </c>
      <c r="AK232" s="1" t="n">
        <v>11</v>
      </c>
      <c r="AL232" s="39" t="n">
        <v>24.2</v>
      </c>
      <c r="AM232" s="1" t="n">
        <v>2001</v>
      </c>
      <c r="AN232" s="1" t="n">
        <v>7</v>
      </c>
      <c r="AO232" s="39" t="n">
        <v>24.6</v>
      </c>
      <c r="AP232" s="1" t="n">
        <v>2000</v>
      </c>
      <c r="AQ232" s="1" t="n">
        <v>12</v>
      </c>
    </row>
    <row r="233" ht="14.45" customHeight="1">
      <c r="A233" s="1" t="n">
        <v>26145020</v>
      </c>
      <c r="B233" s="1" t="inlineStr">
        <is>
          <t>BELLAVISTA [26145020]</t>
        </is>
      </c>
      <c r="C233" s="1" t="n">
        <v>5.275944444</v>
      </c>
      <c r="D233" s="1" t="n">
        <v>-75.800138889</v>
      </c>
      <c r="E233" s="1" t="n">
        <v>1984</v>
      </c>
      <c r="F233" s="1" t="inlineStr">
        <is>
          <t>Anserma</t>
        </is>
      </c>
      <c r="G233" s="1" t="inlineStr">
        <is>
          <t>Caldas</t>
        </is>
      </c>
      <c r="H233" s="39" t="n">
        <v>28.6</v>
      </c>
      <c r="I233" s="1" t="n">
        <v>2004</v>
      </c>
      <c r="J233" s="1" t="n">
        <v>14</v>
      </c>
      <c r="K233" s="39" t="n">
        <v>31</v>
      </c>
      <c r="L233" s="1" t="n">
        <v>2013</v>
      </c>
      <c r="M233" s="1" t="n">
        <v>17</v>
      </c>
      <c r="N233" s="39" t="n">
        <v>27.4</v>
      </c>
      <c r="O233" s="1" t="n">
        <v>2016</v>
      </c>
      <c r="P233" s="1" t="n">
        <v>25</v>
      </c>
      <c r="Q233" s="39" t="n">
        <v>27.4</v>
      </c>
      <c r="R233" s="1" t="n">
        <v>2024</v>
      </c>
      <c r="S233" s="1" t="n">
        <v>12</v>
      </c>
      <c r="T233" s="39" t="n">
        <v>27.4</v>
      </c>
      <c r="U233" s="1" t="n">
        <v>2016</v>
      </c>
      <c r="V233" s="1" t="n">
        <v>15</v>
      </c>
      <c r="W233" s="39" t="n">
        <v>28.2</v>
      </c>
      <c r="X233" s="1" t="n">
        <v>2015</v>
      </c>
      <c r="Y233" s="1" t="n">
        <v>26</v>
      </c>
      <c r="Z233" s="39" t="n">
        <v>28.2</v>
      </c>
      <c r="AA233" s="1" t="n">
        <v>2015</v>
      </c>
      <c r="AB233" s="1" t="n">
        <v>3</v>
      </c>
      <c r="AC233" s="39" t="n">
        <v>28.8</v>
      </c>
      <c r="AD233" s="1" t="n">
        <v>2015</v>
      </c>
      <c r="AE233" s="1" t="n">
        <v>5</v>
      </c>
      <c r="AF233" s="39" t="n">
        <v>27.8</v>
      </c>
      <c r="AG233" s="1" t="n">
        <v>2015</v>
      </c>
      <c r="AH233" s="1" t="n">
        <v>14</v>
      </c>
      <c r="AI233" s="39" t="n">
        <v>27.2</v>
      </c>
      <c r="AJ233" s="1" t="n">
        <v>2015</v>
      </c>
      <c r="AK233" s="1" t="n">
        <v>4</v>
      </c>
      <c r="AL233" s="39" t="n">
        <v>28</v>
      </c>
      <c r="AM233" s="1" t="n">
        <v>2012</v>
      </c>
      <c r="AN233" s="1" t="n">
        <v>8</v>
      </c>
      <c r="AO233" s="39" t="n">
        <v>28.4</v>
      </c>
      <c r="AP233" s="1" t="n">
        <v>2015</v>
      </c>
      <c r="AQ233" s="1" t="n">
        <v>30</v>
      </c>
    </row>
    <row r="234" ht="14.45" customHeight="1">
      <c r="A234" s="1" t="n">
        <v>26145030</v>
      </c>
      <c r="B234" s="1" t="inlineStr">
        <is>
          <t>CAMELIA LA [26145030]</t>
        </is>
      </c>
      <c r="C234" s="1" t="n">
        <v>5.08</v>
      </c>
      <c r="D234" s="1" t="n">
        <v>-75.97</v>
      </c>
      <c r="E234" s="1" t="n">
        <v>1763</v>
      </c>
      <c r="F234" s="1" t="inlineStr">
        <is>
          <t>Santuario</t>
        </is>
      </c>
      <c r="G234" s="1" t="inlineStr">
        <is>
          <t>Risaralda</t>
        </is>
      </c>
      <c r="H234" s="39" t="n">
        <v>29.6</v>
      </c>
      <c r="I234" s="1" t="n">
        <v>1981</v>
      </c>
      <c r="J234" s="1" t="n">
        <v>30</v>
      </c>
      <c r="K234" s="39" t="n">
        <v>30.4</v>
      </c>
      <c r="L234" s="1" t="n">
        <v>1998</v>
      </c>
      <c r="M234" s="1" t="n">
        <v>1</v>
      </c>
      <c r="N234" s="39" t="n">
        <v>29.6</v>
      </c>
      <c r="O234" s="1" t="n">
        <v>1988</v>
      </c>
      <c r="P234" s="1" t="n">
        <v>21</v>
      </c>
      <c r="Q234" s="39" t="n">
        <v>28.8</v>
      </c>
      <c r="R234" s="1" t="n">
        <v>2003</v>
      </c>
      <c r="S234" s="1" t="n">
        <v>2</v>
      </c>
      <c r="T234" s="39" t="n">
        <v>30.6</v>
      </c>
      <c r="U234" s="1" t="n">
        <v>1983</v>
      </c>
      <c r="V234" s="1" t="n">
        <v>11</v>
      </c>
      <c r="W234" s="39" t="n">
        <v>28.6</v>
      </c>
      <c r="X234" s="1" t="n">
        <v>1987</v>
      </c>
      <c r="Y234" s="1" t="n">
        <v>26</v>
      </c>
      <c r="Z234" s="39" t="n">
        <v>29.6</v>
      </c>
      <c r="AA234" s="1" t="n">
        <v>1997</v>
      </c>
      <c r="AB234" s="1" t="n">
        <v>23</v>
      </c>
      <c r="AC234" s="39" t="n">
        <v>29.8</v>
      </c>
      <c r="AD234" s="1" t="n">
        <v>2014</v>
      </c>
      <c r="AE234" s="1" t="n">
        <v>23</v>
      </c>
      <c r="AF234" s="39" t="n">
        <v>28.8</v>
      </c>
      <c r="AG234" s="1" t="n">
        <v>1995</v>
      </c>
      <c r="AH234" s="1" t="n">
        <v>4</v>
      </c>
      <c r="AI234" s="39" t="n">
        <v>28</v>
      </c>
      <c r="AJ234" s="1" t="n">
        <v>2009</v>
      </c>
      <c r="AK234" s="1" t="n">
        <v>2</v>
      </c>
      <c r="AL234" s="39" t="n">
        <v>28</v>
      </c>
      <c r="AM234" s="1" t="n">
        <v>1980</v>
      </c>
      <c r="AN234" s="1" t="n">
        <v>27</v>
      </c>
      <c r="AO234" s="39" t="n">
        <v>29.2</v>
      </c>
      <c r="AP234" s="1" t="n">
        <v>2015</v>
      </c>
      <c r="AQ234" s="1" t="n">
        <v>30</v>
      </c>
    </row>
    <row r="235" ht="14.45" customHeight="1">
      <c r="A235" s="1" t="n">
        <v>26155110</v>
      </c>
      <c r="B235" s="1" t="inlineStr">
        <is>
          <t>AEROPUERTO LA NUBIA AUT [26155110]</t>
        </is>
      </c>
      <c r="C235" s="1" t="n">
        <v>5.029777778</v>
      </c>
      <c r="D235" s="1" t="n">
        <v>-75.46991666700001</v>
      </c>
      <c r="E235" s="1" t="n">
        <v>2104</v>
      </c>
      <c r="F235" s="1" t="inlineStr">
        <is>
          <t>Manizales</t>
        </is>
      </c>
      <c r="G235" s="1" t="inlineStr">
        <is>
          <t>Caldas</t>
        </is>
      </c>
      <c r="H235" s="39" t="n">
        <v>27</v>
      </c>
      <c r="I235" s="1" t="n">
        <v>2001</v>
      </c>
      <c r="J235" s="1" t="n">
        <v>29</v>
      </c>
      <c r="K235" s="39" t="n">
        <v>27.4</v>
      </c>
      <c r="L235" s="1" t="n">
        <v>1983</v>
      </c>
      <c r="M235" s="1" t="n">
        <v>26</v>
      </c>
      <c r="N235" s="39" t="n">
        <v>26.2</v>
      </c>
      <c r="O235" s="1" t="n">
        <v>1983</v>
      </c>
      <c r="P235" s="1" t="n">
        <v>23</v>
      </c>
      <c r="Q235" s="39" t="n">
        <v>26.6</v>
      </c>
      <c r="R235" s="1" t="n">
        <v>2017</v>
      </c>
      <c r="S235" s="1" t="n">
        <v>25</v>
      </c>
      <c r="T235" s="39" t="n">
        <v>26</v>
      </c>
      <c r="U235" s="1" t="n">
        <v>1998</v>
      </c>
      <c r="V235" s="1" t="n">
        <v>20</v>
      </c>
      <c r="W235" s="39" t="n">
        <v>25.8</v>
      </c>
      <c r="X235" s="1" t="n">
        <v>2015</v>
      </c>
      <c r="Y235" s="1" t="n">
        <v>24</v>
      </c>
      <c r="Z235" s="39" t="n">
        <v>26.2</v>
      </c>
      <c r="AA235" s="1" t="n">
        <v>1997</v>
      </c>
      <c r="AB235" s="1" t="n">
        <v>24</v>
      </c>
      <c r="AC235" s="39" t="n">
        <v>28</v>
      </c>
      <c r="AD235" s="1" t="n">
        <v>2000</v>
      </c>
      <c r="AE235" s="1" t="n">
        <v>23</v>
      </c>
      <c r="AF235" s="39" t="n">
        <v>28</v>
      </c>
      <c r="AG235" s="1" t="n">
        <v>2015</v>
      </c>
      <c r="AH235" s="1" t="n">
        <v>8</v>
      </c>
      <c r="AI235" s="39" t="n">
        <v>25</v>
      </c>
      <c r="AJ235" s="1" t="n">
        <v>1982</v>
      </c>
      <c r="AK235" s="1" t="n">
        <v>30</v>
      </c>
      <c r="AL235" s="39" t="n">
        <v>25</v>
      </c>
      <c r="AM235" s="1" t="n">
        <v>2000</v>
      </c>
      <c r="AN235" s="1" t="n">
        <v>4</v>
      </c>
      <c r="AO235" s="39" t="n">
        <v>28</v>
      </c>
      <c r="AP235" s="1" t="n">
        <v>2000</v>
      </c>
      <c r="AQ235" s="1" t="n">
        <v>13</v>
      </c>
    </row>
    <row r="236" ht="14.45" customHeight="1">
      <c r="A236" s="1" t="n">
        <v>26155170</v>
      </c>
      <c r="B236" s="1" t="inlineStr">
        <is>
          <t>TESORITO FINCA  - AUT [26155170]</t>
        </is>
      </c>
      <c r="C236" s="1" t="n">
        <v>5.032222222</v>
      </c>
      <c r="D236" s="1" t="n">
        <v>-75.43833333000001</v>
      </c>
      <c r="E236" s="1" t="n">
        <v>2325</v>
      </c>
      <c r="F236" s="1" t="inlineStr">
        <is>
          <t>Manizales</t>
        </is>
      </c>
      <c r="G236" s="1" t="inlineStr">
        <is>
          <t>Caldas</t>
        </is>
      </c>
      <c r="H236" s="39" t="n">
        <v>25.2</v>
      </c>
      <c r="I236" s="1" t="n">
        <v>2024</v>
      </c>
      <c r="J236" s="1" t="n">
        <v>26</v>
      </c>
      <c r="K236" s="39" t="n">
        <v>25.2</v>
      </c>
      <c r="L236" s="1" t="n">
        <v>2024</v>
      </c>
      <c r="M236" s="1" t="n">
        <v>19</v>
      </c>
      <c r="N236" s="39" t="n">
        <v>24.2</v>
      </c>
      <c r="O236" s="1" t="n">
        <v>2024</v>
      </c>
      <c r="P236" s="1" t="n">
        <v>22</v>
      </c>
      <c r="Q236" s="39" t="n">
        <v>24.6</v>
      </c>
      <c r="R236" s="1" t="n">
        <v>2010</v>
      </c>
      <c r="S236" s="1" t="n">
        <v>22</v>
      </c>
      <c r="T236" s="39" t="n">
        <v>23.4</v>
      </c>
      <c r="U236" s="1" t="n">
        <v>2023</v>
      </c>
      <c r="V236" s="1" t="n">
        <v>4</v>
      </c>
      <c r="W236" s="39" t="n">
        <v>23.4</v>
      </c>
      <c r="X236" s="1" t="n">
        <v>2015</v>
      </c>
      <c r="Y236" s="1" t="n">
        <v>24</v>
      </c>
      <c r="Z236" s="39" t="n">
        <v>24.6</v>
      </c>
      <c r="AA236" s="1" t="n">
        <v>2009</v>
      </c>
      <c r="AB236" s="1" t="n">
        <v>26</v>
      </c>
      <c r="AC236" s="39" t="n">
        <v>25.2</v>
      </c>
      <c r="AD236" s="1" t="n">
        <v>2025</v>
      </c>
      <c r="AE236" s="1" t="n">
        <v>2</v>
      </c>
      <c r="AF236" s="39" t="n">
        <v>24.4</v>
      </c>
      <c r="AG236" s="1" t="n">
        <v>2024</v>
      </c>
      <c r="AH236" s="1" t="n">
        <v>18</v>
      </c>
      <c r="AI236" s="39" t="n">
        <v>23.4</v>
      </c>
      <c r="AJ236" s="1" t="n">
        <v>2001</v>
      </c>
      <c r="AK236" s="1" t="n">
        <v>25</v>
      </c>
      <c r="AL236" s="39" t="n">
        <v>22.4</v>
      </c>
      <c r="AM236" s="1" t="n">
        <v>2023</v>
      </c>
      <c r="AN236" s="1" t="n">
        <v>16</v>
      </c>
      <c r="AO236" s="39" t="n">
        <v>24.4</v>
      </c>
      <c r="AP236" s="1" t="n">
        <v>2023</v>
      </c>
      <c r="AQ236" s="1" t="n">
        <v>1</v>
      </c>
    </row>
    <row r="237" ht="14.45" customHeight="1">
      <c r="A237" s="1" t="n">
        <v>26175030</v>
      </c>
      <c r="B237" s="1" t="inlineStr">
        <is>
          <t>GRANJA LA NACIONAL [26175030]</t>
        </is>
      </c>
      <c r="C237" s="1" t="n">
        <v>5.717333333</v>
      </c>
      <c r="D237" s="1" t="n">
        <v>-75.69091666999999</v>
      </c>
      <c r="E237" s="1" t="n">
        <v>1153</v>
      </c>
      <c r="F237" s="1" t="inlineStr">
        <is>
          <t>Támesis</t>
        </is>
      </c>
      <c r="G237" s="1" t="inlineStr">
        <is>
          <t>Antioquia</t>
        </is>
      </c>
      <c r="H237" s="39" t="n">
        <v>35</v>
      </c>
      <c r="I237" s="1" t="n">
        <v>1998</v>
      </c>
      <c r="J237" s="1" t="n">
        <v>23</v>
      </c>
      <c r="K237" s="39" t="n">
        <v>35.6</v>
      </c>
      <c r="L237" s="1" t="n">
        <v>1987</v>
      </c>
      <c r="M237" s="1" t="n">
        <v>26</v>
      </c>
      <c r="N237" s="39" t="n">
        <v>35.6</v>
      </c>
      <c r="O237" s="1" t="n">
        <v>2024</v>
      </c>
      <c r="P237" s="1" t="n">
        <v>24</v>
      </c>
      <c r="Q237" s="39" t="n">
        <v>35.4</v>
      </c>
      <c r="R237" s="1" t="n">
        <v>2024</v>
      </c>
      <c r="S237" s="1" t="n">
        <v>12</v>
      </c>
      <c r="T237" s="39" t="n">
        <v>34.2</v>
      </c>
      <c r="U237" s="1" t="n">
        <v>2015</v>
      </c>
      <c r="V237" s="1" t="n">
        <v>12</v>
      </c>
      <c r="W237" s="39" t="n">
        <v>34</v>
      </c>
      <c r="X237" s="1" t="n">
        <v>2015</v>
      </c>
      <c r="Y237" s="1" t="n">
        <v>24</v>
      </c>
      <c r="Z237" s="39" t="n">
        <v>34.4</v>
      </c>
      <c r="AA237" s="1" t="n">
        <v>1997</v>
      </c>
      <c r="AB237" s="1" t="n">
        <v>24</v>
      </c>
      <c r="AC237" s="39" t="n">
        <v>34.6</v>
      </c>
      <c r="AD237" s="1" t="n">
        <v>2001</v>
      </c>
      <c r="AE237" s="1" t="n">
        <v>20</v>
      </c>
      <c r="AF237" s="39" t="n">
        <v>34.4</v>
      </c>
      <c r="AG237" s="1" t="n">
        <v>2019</v>
      </c>
      <c r="AH237" s="1" t="n">
        <v>3</v>
      </c>
      <c r="AI237" s="39" t="n">
        <v>32.1</v>
      </c>
      <c r="AJ237" s="1" t="n">
        <v>2023</v>
      </c>
      <c r="AK237" s="1" t="n">
        <v>2</v>
      </c>
      <c r="AL237" s="39" t="n">
        <v>31.4</v>
      </c>
      <c r="AM237" s="1" t="n">
        <v>2023</v>
      </c>
      <c r="AN237" s="1" t="n">
        <v>27</v>
      </c>
      <c r="AO237" s="39" t="n">
        <v>34</v>
      </c>
      <c r="AP237" s="1" t="n">
        <v>2015</v>
      </c>
      <c r="AQ237" s="1" t="n">
        <v>30</v>
      </c>
    </row>
    <row r="238" ht="14.45" customHeight="1">
      <c r="A238" s="1" t="n">
        <v>26175040</v>
      </c>
      <c r="B238" s="1" t="inlineStr">
        <is>
          <t>HACIENDA TUNEZ [26175040]</t>
        </is>
      </c>
      <c r="C238" s="1" t="n">
        <v>5.80025</v>
      </c>
      <c r="D238" s="1" t="n">
        <v>-75.65097222</v>
      </c>
      <c r="E238" s="1" t="n">
        <v>604</v>
      </c>
      <c r="F238" s="1" t="inlineStr">
        <is>
          <t>Fredonia</t>
        </is>
      </c>
      <c r="G238" s="1" t="inlineStr">
        <is>
          <t>Antioquia</t>
        </is>
      </c>
      <c r="H238" s="39" t="n">
        <v>40.4</v>
      </c>
      <c r="I238" s="1" t="n">
        <v>2010</v>
      </c>
      <c r="J238" s="1" t="n">
        <v>31</v>
      </c>
      <c r="K238" s="39" t="n">
        <v>42.6</v>
      </c>
      <c r="L238" s="1" t="n">
        <v>2016</v>
      </c>
      <c r="M238" s="1" t="n">
        <v>16</v>
      </c>
      <c r="N238" s="39" t="n">
        <v>41.4</v>
      </c>
      <c r="O238" s="1" t="n">
        <v>2015</v>
      </c>
      <c r="P238" s="1" t="n">
        <v>11</v>
      </c>
      <c r="Q238" s="39" t="n">
        <v>40.2</v>
      </c>
      <c r="R238" s="1" t="n">
        <v>2016</v>
      </c>
      <c r="S238" s="1" t="n">
        <v>21</v>
      </c>
      <c r="T238" s="39" t="n">
        <v>40.6</v>
      </c>
      <c r="U238" s="1" t="n">
        <v>2015</v>
      </c>
      <c r="V238" s="1" t="n">
        <v>12</v>
      </c>
      <c r="W238" s="39" t="n">
        <v>40</v>
      </c>
      <c r="X238" s="1" t="n">
        <v>2015</v>
      </c>
      <c r="Y238" s="1" t="n">
        <v>24</v>
      </c>
      <c r="Z238" s="39" t="n">
        <v>39.8</v>
      </c>
      <c r="AA238" s="1" t="n">
        <v>2014</v>
      </c>
      <c r="AB238" s="1" t="n">
        <v>28</v>
      </c>
      <c r="AC238" s="39" t="n">
        <v>40.6</v>
      </c>
      <c r="AD238" s="1" t="n">
        <v>2002</v>
      </c>
      <c r="AE238" s="1" t="n">
        <v>15</v>
      </c>
      <c r="AF238" s="39" t="n">
        <v>40.2</v>
      </c>
      <c r="AG238" s="1" t="n">
        <v>2019</v>
      </c>
      <c r="AH238" s="1" t="n">
        <v>3</v>
      </c>
      <c r="AI238" s="39" t="n">
        <v>38.6</v>
      </c>
      <c r="AJ238" s="1" t="n">
        <v>2023</v>
      </c>
      <c r="AK238" s="1" t="n">
        <v>2</v>
      </c>
      <c r="AL238" s="39" t="n">
        <v>39.1</v>
      </c>
      <c r="AM238" s="1" t="n">
        <v>1998</v>
      </c>
      <c r="AN238" s="1" t="n">
        <v>15</v>
      </c>
      <c r="AO238" s="39" t="n">
        <v>40</v>
      </c>
      <c r="AP238" s="1" t="n">
        <v>1997</v>
      </c>
      <c r="AQ238" s="1" t="n">
        <v>24</v>
      </c>
    </row>
    <row r="239" ht="14.45" customHeight="1">
      <c r="A239" s="1" t="n">
        <v>26185010</v>
      </c>
      <c r="B239" s="1" t="inlineStr">
        <is>
          <t>LA PELADA [26185010]</t>
        </is>
      </c>
      <c r="C239" s="1" t="n">
        <v>5.57875</v>
      </c>
      <c r="D239" s="1" t="n">
        <v>-75.34477778</v>
      </c>
      <c r="E239" s="1" t="n">
        <v>2180</v>
      </c>
      <c r="F239" s="1" t="inlineStr">
        <is>
          <t>Aguadas</t>
        </is>
      </c>
      <c r="G239" s="1" t="inlineStr">
        <is>
          <t>Caldas</t>
        </is>
      </c>
      <c r="H239" s="39" t="n">
        <v>29.9</v>
      </c>
      <c r="I239" s="1" t="n">
        <v>2015</v>
      </c>
      <c r="J239" s="1" t="n">
        <v>18</v>
      </c>
      <c r="K239" s="39" t="n">
        <v>28.4</v>
      </c>
      <c r="L239" s="1" t="n">
        <v>2004</v>
      </c>
      <c r="M239" s="1" t="n">
        <v>9</v>
      </c>
      <c r="N239" s="39" t="n">
        <v>29.6</v>
      </c>
      <c r="O239" s="1" t="n">
        <v>2015</v>
      </c>
      <c r="P239" s="1" t="n">
        <v>9</v>
      </c>
      <c r="Q239" s="39" t="n">
        <v>29.4</v>
      </c>
      <c r="R239" s="1" t="n">
        <v>2015</v>
      </c>
      <c r="S239" s="1" t="n">
        <v>23</v>
      </c>
      <c r="T239" s="39" t="n">
        <v>27.6</v>
      </c>
      <c r="U239" s="1" t="n">
        <v>2002</v>
      </c>
      <c r="V239" s="1" t="n">
        <v>8</v>
      </c>
      <c r="W239" s="39" t="n">
        <v>27.4</v>
      </c>
      <c r="X239" s="1" t="n">
        <v>2005</v>
      </c>
      <c r="Y239" s="1" t="n">
        <v>28</v>
      </c>
      <c r="Z239" s="39" t="n">
        <v>28.8</v>
      </c>
      <c r="AA239" s="1" t="n">
        <v>2015</v>
      </c>
      <c r="AB239" s="1" t="n">
        <v>16</v>
      </c>
      <c r="AC239" s="39" t="n">
        <v>27.8</v>
      </c>
      <c r="AD239" s="1" t="n">
        <v>2005</v>
      </c>
      <c r="AE239" s="1" t="n">
        <v>8</v>
      </c>
      <c r="AF239" s="39" t="n">
        <v>28.3</v>
      </c>
      <c r="AG239" s="1" t="n">
        <v>2004</v>
      </c>
      <c r="AH239" s="1" t="n">
        <v>19</v>
      </c>
      <c r="AI239" s="39" t="n">
        <v>29.7</v>
      </c>
      <c r="AJ239" s="1" t="n">
        <v>2018</v>
      </c>
      <c r="AK239" s="1" t="n">
        <v>24</v>
      </c>
      <c r="AL239" s="39" t="n">
        <v>25.2</v>
      </c>
      <c r="AM239" s="1" t="n">
        <v>2002</v>
      </c>
      <c r="AN239" s="1" t="n">
        <v>27</v>
      </c>
      <c r="AO239" s="39" t="n">
        <v>26.4</v>
      </c>
      <c r="AP239" s="1" t="n">
        <v>2016</v>
      </c>
      <c r="AQ239" s="1" t="n">
        <v>14</v>
      </c>
    </row>
    <row r="240" ht="14.45" customHeight="1">
      <c r="A240" s="1" t="n">
        <v>26185040</v>
      </c>
      <c r="B240" s="1" t="inlineStr">
        <is>
          <t>SAN FELIX [26185040]</t>
        </is>
      </c>
      <c r="C240" s="1" t="n">
        <v>5.372944444</v>
      </c>
      <c r="D240" s="1" t="n">
        <v>-75.37533333</v>
      </c>
      <c r="E240" s="1" t="n">
        <v>2855</v>
      </c>
      <c r="F240" s="1" t="inlineStr">
        <is>
          <t>Salamina</t>
        </is>
      </c>
      <c r="G240" s="1" t="inlineStr">
        <is>
          <t>Caldas</t>
        </is>
      </c>
      <c r="H240" s="39" t="n">
        <v>22.8</v>
      </c>
      <c r="I240" s="1" t="n">
        <v>2024</v>
      </c>
      <c r="J240" s="1" t="n">
        <v>24</v>
      </c>
      <c r="K240" s="39" t="n">
        <v>22.6</v>
      </c>
      <c r="L240" s="1" t="n">
        <v>2007</v>
      </c>
      <c r="M240" s="1" t="n">
        <v>3</v>
      </c>
      <c r="N240" s="39" t="n">
        <v>21.8</v>
      </c>
      <c r="O240" s="1" t="n">
        <v>2013</v>
      </c>
      <c r="P240" s="1" t="n">
        <v>5</v>
      </c>
      <c r="Q240" s="39" t="n">
        <v>22.2</v>
      </c>
      <c r="R240" s="1" t="n">
        <v>2017</v>
      </c>
      <c r="S240" s="1" t="n">
        <v>5</v>
      </c>
      <c r="T240" s="39" t="n">
        <v>22.4</v>
      </c>
      <c r="U240" s="1" t="n">
        <v>2020</v>
      </c>
      <c r="V240" s="1" t="n">
        <v>26</v>
      </c>
      <c r="W240" s="39" t="n">
        <v>22.2</v>
      </c>
      <c r="X240" s="1" t="n">
        <v>2009</v>
      </c>
      <c r="Y240" s="1" t="n">
        <v>2</v>
      </c>
      <c r="Z240" s="39" t="n">
        <v>22</v>
      </c>
      <c r="AA240" s="1" t="n">
        <v>2023</v>
      </c>
      <c r="AB240" s="1" t="n">
        <v>20</v>
      </c>
      <c r="AC240" s="39" t="n">
        <v>22</v>
      </c>
      <c r="AD240" s="1" t="n">
        <v>2023</v>
      </c>
      <c r="AE240" s="1" t="n">
        <v>5</v>
      </c>
      <c r="AF240" s="39" t="n">
        <v>22.2</v>
      </c>
      <c r="AG240" s="1" t="n">
        <v>2023</v>
      </c>
      <c r="AH240" s="1" t="n">
        <v>29</v>
      </c>
      <c r="AI240" s="39" t="n">
        <v>21.4</v>
      </c>
      <c r="AJ240" s="1" t="n">
        <v>2009</v>
      </c>
      <c r="AK240" s="1" t="n">
        <v>1</v>
      </c>
      <c r="AL240" s="39" t="n">
        <v>22.2</v>
      </c>
      <c r="AM240" s="1" t="n">
        <v>2023</v>
      </c>
      <c r="AN240" s="1" t="n">
        <v>10</v>
      </c>
      <c r="AO240" s="39" t="n">
        <v>22.2</v>
      </c>
      <c r="AP240" s="1" t="n">
        <v>2023</v>
      </c>
      <c r="AQ240" s="1" t="n">
        <v>5</v>
      </c>
    </row>
    <row r="241" ht="14.45" customHeight="1">
      <c r="A241" s="1" t="n">
        <v>26195020</v>
      </c>
      <c r="B241" s="1" t="inlineStr">
        <is>
          <t>ITA ANDES [26195020]</t>
        </is>
      </c>
      <c r="C241" s="1" t="n">
        <v>5.691</v>
      </c>
      <c r="D241" s="1" t="n">
        <v>-75.88022221999999</v>
      </c>
      <c r="E241" s="1" t="n">
        <v>1180</v>
      </c>
      <c r="F241" s="1" t="inlineStr">
        <is>
          <t>Andes</t>
        </is>
      </c>
      <c r="G241" s="1" t="inlineStr">
        <is>
          <t>Antioquia</t>
        </is>
      </c>
      <c r="H241" s="39" t="n">
        <v>35.4</v>
      </c>
      <c r="I241" s="1" t="n">
        <v>1982</v>
      </c>
      <c r="J241" s="1" t="n">
        <v>14</v>
      </c>
      <c r="K241" s="39" t="n">
        <v>36.2</v>
      </c>
      <c r="L241" s="1" t="n">
        <v>2016</v>
      </c>
      <c r="M241" s="1" t="n">
        <v>16</v>
      </c>
      <c r="N241" s="39" t="n">
        <v>34.8</v>
      </c>
      <c r="O241" s="1" t="n">
        <v>2015</v>
      </c>
      <c r="P241" s="1" t="n">
        <v>10</v>
      </c>
      <c r="Q241" s="39" t="n">
        <v>35.2</v>
      </c>
      <c r="R241" s="1" t="n">
        <v>1982</v>
      </c>
      <c r="S241" s="1" t="n">
        <v>16</v>
      </c>
      <c r="T241" s="39" t="n">
        <v>36</v>
      </c>
      <c r="U241" s="1" t="n">
        <v>2015</v>
      </c>
      <c r="V241" s="1" t="n">
        <v>12</v>
      </c>
      <c r="W241" s="39" t="n">
        <v>34.6</v>
      </c>
      <c r="X241" s="1" t="n">
        <v>1982</v>
      </c>
      <c r="Y241" s="1" t="n">
        <v>1</v>
      </c>
      <c r="Z241" s="39" t="n">
        <v>34.6</v>
      </c>
      <c r="AA241" s="1" t="n">
        <v>1982</v>
      </c>
      <c r="AB241" s="1" t="n">
        <v>17</v>
      </c>
      <c r="AC241" s="39" t="n">
        <v>36.6</v>
      </c>
      <c r="AD241" s="1" t="n">
        <v>2014</v>
      </c>
      <c r="AE241" s="1" t="n">
        <v>6</v>
      </c>
      <c r="AF241" s="39" t="n">
        <v>34</v>
      </c>
      <c r="AG241" s="1" t="n">
        <v>2015</v>
      </c>
      <c r="AH241" s="1" t="n">
        <v>28</v>
      </c>
      <c r="AI241" s="39" t="n">
        <v>33.6</v>
      </c>
      <c r="AJ241" s="1" t="n">
        <v>1993</v>
      </c>
      <c r="AK241" s="1" t="n">
        <v>14</v>
      </c>
      <c r="AL241" s="39" t="n">
        <v>33.2</v>
      </c>
      <c r="AM241" s="1" t="n">
        <v>1997</v>
      </c>
      <c r="AN241" s="1" t="n">
        <v>8</v>
      </c>
      <c r="AO241" s="39" t="n">
        <v>35.2</v>
      </c>
      <c r="AP241" s="1" t="n">
        <v>1981</v>
      </c>
      <c r="AQ241" s="1" t="n">
        <v>15</v>
      </c>
    </row>
    <row r="242" ht="14.45" customHeight="1">
      <c r="A242" s="1" t="n">
        <v>26195030</v>
      </c>
      <c r="B242" s="1" t="inlineStr">
        <is>
          <t>EL JARDIN [26195030]</t>
        </is>
      </c>
      <c r="C242" s="1" t="n">
        <v>5.587722222</v>
      </c>
      <c r="D242" s="1" t="n">
        <v>-75.80055555600001</v>
      </c>
      <c r="E242" s="1" t="n">
        <v>2161</v>
      </c>
      <c r="F242" s="1" t="inlineStr">
        <is>
          <t>Jardín</t>
        </is>
      </c>
      <c r="G242" s="1" t="inlineStr">
        <is>
          <t>Antioquia</t>
        </is>
      </c>
      <c r="H242" s="39" t="n">
        <v>27.8</v>
      </c>
      <c r="I242" s="1" t="n">
        <v>1998</v>
      </c>
      <c r="J242" s="1" t="n">
        <v>21</v>
      </c>
      <c r="K242" s="39" t="n">
        <v>28.2</v>
      </c>
      <c r="L242" s="1" t="n">
        <v>1998</v>
      </c>
      <c r="M242" s="1" t="n">
        <v>1</v>
      </c>
      <c r="N242" s="39" t="n">
        <v>27</v>
      </c>
      <c r="O242" s="1" t="n">
        <v>2002</v>
      </c>
      <c r="P242" s="1" t="n">
        <v>2</v>
      </c>
      <c r="Q242" s="39" t="n">
        <v>26.4</v>
      </c>
      <c r="R242" s="1" t="n">
        <v>2004</v>
      </c>
      <c r="S242" s="1" t="n">
        <v>7</v>
      </c>
      <c r="T242" s="39" t="n">
        <v>27</v>
      </c>
      <c r="U242" s="1" t="n">
        <v>2001</v>
      </c>
      <c r="V242" s="1" t="n">
        <v>7</v>
      </c>
      <c r="W242" s="39" t="n">
        <v>26.2</v>
      </c>
      <c r="X242" s="1" t="n">
        <v>2001</v>
      </c>
      <c r="Y242" s="1" t="n">
        <v>26</v>
      </c>
      <c r="Z242" s="39" t="n">
        <v>25.8</v>
      </c>
      <c r="AA242" s="1" t="n">
        <v>1997</v>
      </c>
      <c r="AB242" s="1" t="n">
        <v>23</v>
      </c>
      <c r="AC242" s="39" t="n">
        <v>27.2</v>
      </c>
      <c r="AD242" s="1" t="n">
        <v>2001</v>
      </c>
      <c r="AE242" s="1" t="n">
        <v>20</v>
      </c>
      <c r="AF242" s="39" t="n">
        <v>25.6</v>
      </c>
      <c r="AG242" s="1" t="n">
        <v>2002</v>
      </c>
      <c r="AH242" s="1" t="n">
        <v>8</v>
      </c>
      <c r="AI242" s="39" t="n">
        <v>25.8</v>
      </c>
      <c r="AJ242" s="1" t="n">
        <v>2001</v>
      </c>
      <c r="AK242" s="1" t="n">
        <v>9</v>
      </c>
      <c r="AL242" s="39" t="n">
        <v>25.4</v>
      </c>
      <c r="AM242" s="1" t="n">
        <v>2001</v>
      </c>
      <c r="AN242" s="1" t="n">
        <v>4</v>
      </c>
      <c r="AO242" s="39" t="n">
        <v>26.8</v>
      </c>
      <c r="AP242" s="1" t="n">
        <v>1997</v>
      </c>
      <c r="AQ242" s="1" t="n">
        <v>9</v>
      </c>
    </row>
    <row r="243" ht="14.45" customHeight="1">
      <c r="A243" s="1" t="n">
        <v>26205080</v>
      </c>
      <c r="B243" s="1" t="inlineStr">
        <is>
          <t>LA ALDEA [26205080]</t>
        </is>
      </c>
      <c r="C243" s="1" t="n">
        <v>6.341055556</v>
      </c>
      <c r="D243" s="1" t="n">
        <v>-75.70094444</v>
      </c>
      <c r="E243" s="1" t="n">
        <v>1737</v>
      </c>
      <c r="F243" s="1" t="inlineStr">
        <is>
          <t>Medellín</t>
        </is>
      </c>
      <c r="G243" s="1" t="inlineStr">
        <is>
          <t>Antioquia</t>
        </is>
      </c>
      <c r="H243" s="39" t="n">
        <v>31.4</v>
      </c>
      <c r="I243" s="1" t="n">
        <v>2024</v>
      </c>
      <c r="J243" s="1" t="n">
        <v>23</v>
      </c>
      <c r="K243" s="39" t="n">
        <v>32</v>
      </c>
      <c r="L243" s="1" t="n">
        <v>2024</v>
      </c>
      <c r="M243" s="1" t="n">
        <v>18</v>
      </c>
      <c r="N243" s="39" t="n">
        <v>32.4</v>
      </c>
      <c r="O243" s="1" t="n">
        <v>2024</v>
      </c>
      <c r="P243" s="1" t="n">
        <v>18</v>
      </c>
      <c r="Q243" s="39" t="n">
        <v>31.4</v>
      </c>
      <c r="R243" s="1" t="n">
        <v>2024</v>
      </c>
      <c r="S243" s="1" t="n">
        <v>12</v>
      </c>
      <c r="T243" s="39" t="n">
        <v>29.8</v>
      </c>
      <c r="U243" s="1" t="n">
        <v>2020</v>
      </c>
      <c r="V243" s="1" t="n">
        <v>9</v>
      </c>
      <c r="W243" s="39" t="n">
        <v>29</v>
      </c>
      <c r="X243" s="1" t="n">
        <v>2023</v>
      </c>
      <c r="Y243" s="1" t="n">
        <v>19</v>
      </c>
      <c r="Z243" s="39" t="n">
        <v>30</v>
      </c>
      <c r="AA243" s="1" t="n">
        <v>2024</v>
      </c>
      <c r="AB243" s="1" t="n">
        <v>29</v>
      </c>
      <c r="AC243" s="39" t="n">
        <v>29.8</v>
      </c>
      <c r="AD243" s="1" t="n">
        <v>2023</v>
      </c>
      <c r="AE243" s="1" t="n">
        <v>5</v>
      </c>
      <c r="AF243" s="39" t="n">
        <v>29.4</v>
      </c>
      <c r="AG243" s="1" t="n">
        <v>2023</v>
      </c>
      <c r="AH243" s="1" t="n">
        <v>21</v>
      </c>
      <c r="AI243" s="39" t="n">
        <v>28.6</v>
      </c>
      <c r="AJ243" s="1" t="n">
        <v>2023</v>
      </c>
      <c r="AK243" s="1" t="n">
        <v>1</v>
      </c>
      <c r="AL243" s="39" t="n">
        <v>28.2</v>
      </c>
      <c r="AM243" s="1" t="n">
        <v>2023</v>
      </c>
      <c r="AN243" s="1" t="n">
        <v>27</v>
      </c>
      <c r="AO243" s="39" t="n">
        <v>29.4</v>
      </c>
      <c r="AP243" s="1" t="n">
        <v>2023</v>
      </c>
      <c r="AQ243" s="1" t="n">
        <v>9</v>
      </c>
    </row>
    <row r="244" ht="14.45" customHeight="1">
      <c r="A244" s="1" t="n">
        <v>26215010</v>
      </c>
      <c r="B244" s="1" t="inlineStr">
        <is>
          <t>CONCORDIA [26215010]</t>
        </is>
      </c>
      <c r="C244" s="1" t="n">
        <v>6.039555556</v>
      </c>
      <c r="D244" s="1" t="n">
        <v>-75.919527778</v>
      </c>
      <c r="E244" s="1" t="n">
        <v>2032</v>
      </c>
      <c r="F244" s="1" t="inlineStr">
        <is>
          <t>Concordia</t>
        </is>
      </c>
      <c r="G244" s="1" t="inlineStr">
        <is>
          <t>Antioquia</t>
        </is>
      </c>
      <c r="H244" s="39" t="n">
        <v>29.8</v>
      </c>
      <c r="I244" s="1" t="n">
        <v>2016</v>
      </c>
      <c r="J244" s="1" t="n">
        <v>27</v>
      </c>
      <c r="K244" s="39" t="n">
        <v>31.2</v>
      </c>
      <c r="L244" s="1" t="n">
        <v>2016</v>
      </c>
      <c r="M244" s="1" t="n">
        <v>16</v>
      </c>
      <c r="N244" s="39" t="n">
        <v>30</v>
      </c>
      <c r="O244" s="1" t="n">
        <v>2015</v>
      </c>
      <c r="P244" s="1" t="n">
        <v>9</v>
      </c>
      <c r="Q244" s="39" t="n">
        <v>29.6</v>
      </c>
      <c r="R244" s="1" t="n">
        <v>2017</v>
      </c>
      <c r="S244" s="1" t="n">
        <v>22</v>
      </c>
      <c r="T244" s="39" t="n">
        <v>29.8</v>
      </c>
      <c r="U244" s="1" t="n">
        <v>2016</v>
      </c>
      <c r="V244" s="1" t="n">
        <v>15</v>
      </c>
      <c r="W244" s="39" t="n">
        <v>29.6</v>
      </c>
      <c r="X244" s="1" t="n">
        <v>2019</v>
      </c>
      <c r="Y244" s="1" t="n">
        <v>15</v>
      </c>
      <c r="Z244" s="39" t="n">
        <v>29.8</v>
      </c>
      <c r="AA244" s="1" t="n">
        <v>2019</v>
      </c>
      <c r="AB244" s="1" t="n">
        <v>19</v>
      </c>
      <c r="AC244" s="39" t="n">
        <v>30</v>
      </c>
      <c r="AD244" s="1" t="n">
        <v>2020</v>
      </c>
      <c r="AE244" s="1" t="n">
        <v>3</v>
      </c>
      <c r="AF244" s="39" t="n">
        <v>29.6</v>
      </c>
      <c r="AG244" s="1" t="n">
        <v>2009</v>
      </c>
      <c r="AH244" s="1" t="n">
        <v>6</v>
      </c>
      <c r="AI244" s="39" t="n">
        <v>29.8</v>
      </c>
      <c r="AJ244" s="1" t="n">
        <v>2019</v>
      </c>
      <c r="AK244" s="1" t="n">
        <v>1</v>
      </c>
      <c r="AL244" s="39" t="n">
        <v>29.8</v>
      </c>
      <c r="AM244" s="1" t="n">
        <v>2019</v>
      </c>
      <c r="AN244" s="1" t="n">
        <v>8</v>
      </c>
      <c r="AO244" s="39" t="n">
        <v>29.8</v>
      </c>
      <c r="AP244" s="1" t="n">
        <v>2019</v>
      </c>
      <c r="AQ244" s="1" t="n">
        <v>2</v>
      </c>
    </row>
    <row r="245" ht="14.45" customHeight="1">
      <c r="A245" s="1" t="n">
        <v>26225030</v>
      </c>
      <c r="B245" s="1" t="inlineStr">
        <is>
          <t>COTOVE HACIENDA [26225030]</t>
        </is>
      </c>
      <c r="C245" s="1" t="n">
        <v>6.533916667</v>
      </c>
      <c r="D245" s="1" t="n">
        <v>-75.827333333</v>
      </c>
      <c r="E245" s="1" t="n">
        <v>534</v>
      </c>
      <c r="F245" s="1" t="inlineStr">
        <is>
          <t>Santa Fe De Antioquia</t>
        </is>
      </c>
      <c r="G245" s="1" t="inlineStr">
        <is>
          <t>Antioquia</t>
        </is>
      </c>
      <c r="H245" s="39" t="n">
        <v>41</v>
      </c>
      <c r="I245" s="1" t="n">
        <v>1998</v>
      </c>
      <c r="J245" s="1" t="n">
        <v>4</v>
      </c>
      <c r="K245" s="39" t="n">
        <v>42</v>
      </c>
      <c r="L245" s="1" t="n">
        <v>2020</v>
      </c>
      <c r="M245" s="1" t="n">
        <v>18</v>
      </c>
      <c r="N245" s="39" t="n">
        <v>42</v>
      </c>
      <c r="O245" s="1" t="n">
        <v>2016</v>
      </c>
      <c r="P245" s="1" t="n">
        <v>25</v>
      </c>
      <c r="Q245" s="39" t="n">
        <v>41.4</v>
      </c>
      <c r="R245" s="1" t="n">
        <v>2015</v>
      </c>
      <c r="S245" s="1" t="n">
        <v>27</v>
      </c>
      <c r="T245" s="39" t="n">
        <v>41</v>
      </c>
      <c r="U245" s="1" t="n">
        <v>1991</v>
      </c>
      <c r="V245" s="1" t="n">
        <v>12</v>
      </c>
      <c r="W245" s="39" t="n">
        <v>40.2</v>
      </c>
      <c r="X245" s="1" t="n">
        <v>2015</v>
      </c>
      <c r="Y245" s="1" t="n">
        <v>25</v>
      </c>
      <c r="Z245" s="39" t="n">
        <v>40.8</v>
      </c>
      <c r="AA245" s="1" t="n">
        <v>1981</v>
      </c>
      <c r="AB245" s="1" t="n">
        <v>31</v>
      </c>
      <c r="AC245" s="39" t="n">
        <v>42.6</v>
      </c>
      <c r="AD245" s="1" t="n">
        <v>1981</v>
      </c>
      <c r="AE245" s="1" t="n">
        <v>5</v>
      </c>
      <c r="AF245" s="39" t="n">
        <v>42.6</v>
      </c>
      <c r="AG245" s="1" t="n">
        <v>1981</v>
      </c>
      <c r="AH245" s="1" t="n">
        <v>27</v>
      </c>
      <c r="AI245" s="39" t="n">
        <v>42</v>
      </c>
      <c r="AJ245" s="1" t="n">
        <v>1981</v>
      </c>
      <c r="AK245" s="1" t="n">
        <v>3</v>
      </c>
      <c r="AL245" s="39" t="n">
        <v>42.6</v>
      </c>
      <c r="AM245" s="1" t="n">
        <v>1981</v>
      </c>
      <c r="AN245" s="1" t="n">
        <v>5</v>
      </c>
      <c r="AO245" s="39" t="n">
        <v>42.6</v>
      </c>
      <c r="AP245" s="1" t="n">
        <v>1981</v>
      </c>
      <c r="AQ245" s="1" t="n">
        <v>1</v>
      </c>
    </row>
    <row r="246" ht="14.45" customHeight="1">
      <c r="A246" s="1" t="n">
        <v>26255020</v>
      </c>
      <c r="B246" s="1" t="inlineStr">
        <is>
          <t>SANTA ISABEL [26255020]</t>
        </is>
      </c>
      <c r="C246" s="1" t="n">
        <v>7.157222222</v>
      </c>
      <c r="D246" s="1" t="n">
        <v>-75.442275</v>
      </c>
      <c r="E246" s="1" t="n">
        <v>1131</v>
      </c>
      <c r="F246" s="1" t="inlineStr">
        <is>
          <t>Valdivia</t>
        </is>
      </c>
      <c r="G246" s="1" t="inlineStr">
        <is>
          <t>Antioquia</t>
        </is>
      </c>
      <c r="H246" s="39" t="n">
        <v>30.2</v>
      </c>
      <c r="I246" s="1" t="n">
        <v>2024</v>
      </c>
      <c r="J246" s="1" t="n">
        <v>5</v>
      </c>
      <c r="K246" s="39" t="n">
        <v>30</v>
      </c>
      <c r="L246" s="1" t="n">
        <v>2024</v>
      </c>
      <c r="M246" s="1" t="n">
        <v>27</v>
      </c>
      <c r="N246" s="39" t="n">
        <v>29.8</v>
      </c>
      <c r="O246" s="1" t="n">
        <v>2016</v>
      </c>
      <c r="P246" s="1" t="n">
        <v>10</v>
      </c>
      <c r="Q246" s="39" t="n">
        <v>30</v>
      </c>
      <c r="R246" s="1" t="n">
        <v>2024</v>
      </c>
      <c r="S246" s="1" t="n">
        <v>12</v>
      </c>
      <c r="T246" s="39" t="n">
        <v>29.8</v>
      </c>
      <c r="U246" s="1" t="n">
        <v>2015</v>
      </c>
      <c r="V246" s="1" t="n">
        <v>12</v>
      </c>
      <c r="W246" s="39" t="n">
        <v>30.4</v>
      </c>
      <c r="X246" s="1" t="n">
        <v>2015</v>
      </c>
      <c r="Y246" s="1" t="n">
        <v>27</v>
      </c>
      <c r="Z246" s="39" t="n">
        <v>30.6</v>
      </c>
      <c r="AA246" s="1" t="n">
        <v>2015</v>
      </c>
      <c r="AB246" s="1" t="n">
        <v>3</v>
      </c>
      <c r="AC246" s="39" t="n">
        <v>30.4</v>
      </c>
      <c r="AD246" s="1" t="n">
        <v>2006</v>
      </c>
      <c r="AE246" s="1" t="n">
        <v>1</v>
      </c>
      <c r="AF246" s="39" t="n">
        <v>29.8</v>
      </c>
      <c r="AG246" s="1" t="n">
        <v>2015</v>
      </c>
      <c r="AH246" s="1" t="n">
        <v>3</v>
      </c>
      <c r="AI246" s="39" t="n">
        <v>29.8</v>
      </c>
      <c r="AJ246" s="1" t="n">
        <v>2015</v>
      </c>
      <c r="AK246" s="1" t="n">
        <v>5</v>
      </c>
      <c r="AL246" s="39" t="n">
        <v>29.8</v>
      </c>
      <c r="AM246" s="1" t="n">
        <v>2015</v>
      </c>
      <c r="AN246" s="1" t="n">
        <v>5</v>
      </c>
      <c r="AO246" s="39" t="n">
        <v>30.4</v>
      </c>
      <c r="AP246" s="1" t="n">
        <v>2023</v>
      </c>
      <c r="AQ246" s="1" t="n">
        <v>23</v>
      </c>
    </row>
    <row r="247" ht="14.45" customHeight="1">
      <c r="A247" s="1" t="n">
        <v>27015070</v>
      </c>
      <c r="B247" s="1" t="inlineStr">
        <is>
          <t>AEROPUERTO OLAYA HERRERA [27015070]</t>
        </is>
      </c>
      <c r="C247" s="1" t="n">
        <v>6.2246389</v>
      </c>
      <c r="D247" s="1" t="n">
        <v>-75.5882</v>
      </c>
      <c r="E247" s="1" t="n">
        <v>1492</v>
      </c>
      <c r="F247" s="1" t="inlineStr">
        <is>
          <t>Medellín</t>
        </is>
      </c>
      <c r="G247" s="1" t="inlineStr">
        <is>
          <t>Antioquia</t>
        </is>
      </c>
      <c r="H247" s="39" t="n">
        <v>33.7</v>
      </c>
      <c r="I247" s="1" t="n">
        <v>2024</v>
      </c>
      <c r="J247" s="1" t="n">
        <v>23</v>
      </c>
      <c r="K247" s="39" t="n">
        <v>33.6</v>
      </c>
      <c r="L247" s="1" t="n">
        <v>2016</v>
      </c>
      <c r="M247" s="1" t="n">
        <v>16</v>
      </c>
      <c r="N247" s="39" t="n">
        <v>33.7</v>
      </c>
      <c r="O247" s="1" t="n">
        <v>2024</v>
      </c>
      <c r="P247" s="1" t="n">
        <v>18</v>
      </c>
      <c r="Q247" s="39" t="n">
        <v>33.4</v>
      </c>
      <c r="R247" s="1" t="n">
        <v>2010</v>
      </c>
      <c r="S247" s="1" t="n">
        <v>22</v>
      </c>
      <c r="T247" s="39" t="n">
        <v>33.6</v>
      </c>
      <c r="U247" s="1" t="n">
        <v>2019</v>
      </c>
      <c r="V247" s="1" t="n">
        <v>5</v>
      </c>
      <c r="W247" s="39" t="n">
        <v>32.3</v>
      </c>
      <c r="X247" s="1" t="n">
        <v>1969</v>
      </c>
      <c r="Y247" s="1" t="n">
        <v>30</v>
      </c>
      <c r="Z247" s="39" t="n">
        <v>33.1</v>
      </c>
      <c r="AA247" s="1" t="n">
        <v>1969</v>
      </c>
      <c r="AB247" s="1" t="n">
        <v>18</v>
      </c>
      <c r="AC247" s="39" t="n">
        <v>33.6</v>
      </c>
      <c r="AD247" s="1" t="n">
        <v>1986</v>
      </c>
      <c r="AE247" s="1" t="n">
        <v>9</v>
      </c>
      <c r="AF247" s="39" t="n">
        <v>33.1</v>
      </c>
      <c r="AG247" s="1" t="n">
        <v>1972</v>
      </c>
      <c r="AH247" s="1" t="n">
        <v>12</v>
      </c>
      <c r="AI247" s="39" t="n">
        <v>31.9</v>
      </c>
      <c r="AJ247" s="1" t="n">
        <v>2009</v>
      </c>
      <c r="AK247" s="1" t="n">
        <v>9</v>
      </c>
      <c r="AL247" s="39" t="n">
        <v>31.2</v>
      </c>
      <c r="AM247" s="1" t="n">
        <v>1997</v>
      </c>
      <c r="AN247" s="1" t="n">
        <v>22</v>
      </c>
      <c r="AO247" s="39" t="n">
        <v>32.8</v>
      </c>
      <c r="AP247" s="1" t="n">
        <v>1972</v>
      </c>
      <c r="AQ247" s="1" t="n">
        <v>11</v>
      </c>
    </row>
    <row r="248" ht="14.45" customHeight="1">
      <c r="A248" s="1" t="n">
        <v>27015090</v>
      </c>
      <c r="B248" s="1" t="inlineStr">
        <is>
          <t>TULIO OSPINA [27015090]</t>
        </is>
      </c>
      <c r="C248" s="1" t="n">
        <v>6.319694444</v>
      </c>
      <c r="D248" s="1" t="n">
        <v>-75.55325000000001</v>
      </c>
      <c r="E248" s="1" t="n">
        <v>1453</v>
      </c>
      <c r="F248" s="1" t="inlineStr">
        <is>
          <t>Bello</t>
        </is>
      </c>
      <c r="G248" s="1" t="inlineStr">
        <is>
          <t>Antioquia</t>
        </is>
      </c>
      <c r="H248" s="39" t="n">
        <v>36</v>
      </c>
      <c r="I248" s="1" t="n">
        <v>2024</v>
      </c>
      <c r="J248" s="1" t="n">
        <v>24</v>
      </c>
      <c r="K248" s="39" t="n">
        <v>36.4</v>
      </c>
      <c r="L248" s="1" t="n">
        <v>2016</v>
      </c>
      <c r="M248" s="1" t="n">
        <v>16</v>
      </c>
      <c r="N248" s="39" t="n">
        <v>36</v>
      </c>
      <c r="O248" s="1" t="n">
        <v>2024</v>
      </c>
      <c r="P248" s="1" t="n">
        <v>18</v>
      </c>
      <c r="Q248" s="39" t="n">
        <v>35</v>
      </c>
      <c r="R248" s="1" t="n">
        <v>2016</v>
      </c>
      <c r="S248" s="1" t="n">
        <v>21</v>
      </c>
      <c r="T248" s="39" t="n">
        <v>34.2</v>
      </c>
      <c r="U248" s="1" t="n">
        <v>2015</v>
      </c>
      <c r="V248" s="1" t="n">
        <v>7</v>
      </c>
      <c r="W248" s="39" t="n">
        <v>33.8</v>
      </c>
      <c r="X248" s="1" t="n">
        <v>2023</v>
      </c>
      <c r="Y248" s="1" t="n">
        <v>3</v>
      </c>
      <c r="Z248" s="39" t="n">
        <v>34</v>
      </c>
      <c r="AA248" s="1" t="n">
        <v>2024</v>
      </c>
      <c r="AB248" s="1" t="n">
        <v>29</v>
      </c>
      <c r="AC248" s="39" t="n">
        <v>34</v>
      </c>
      <c r="AD248" s="1" t="n">
        <v>2014</v>
      </c>
      <c r="AE248" s="1" t="n">
        <v>1</v>
      </c>
      <c r="AF248" s="39" t="n">
        <v>34.2</v>
      </c>
      <c r="AG248" s="1" t="n">
        <v>2015</v>
      </c>
      <c r="AH248" s="1" t="n">
        <v>16</v>
      </c>
      <c r="AI248" s="39" t="n">
        <v>33.8</v>
      </c>
      <c r="AJ248" s="1" t="n">
        <v>2017</v>
      </c>
      <c r="AK248" s="1" t="n">
        <v>18</v>
      </c>
      <c r="AL248" s="39" t="n">
        <v>33.4</v>
      </c>
      <c r="AM248" s="1" t="n">
        <v>2022</v>
      </c>
      <c r="AN248" s="1" t="n">
        <v>2</v>
      </c>
      <c r="AO248" s="39" t="n">
        <v>34</v>
      </c>
      <c r="AP248" s="1" t="n">
        <v>2015</v>
      </c>
      <c r="AQ248" s="1" t="n">
        <v>29</v>
      </c>
    </row>
    <row r="249" ht="14.45" customHeight="1">
      <c r="A249" s="1" t="n">
        <v>27015190</v>
      </c>
      <c r="B249" s="1" t="inlineStr">
        <is>
          <t>GUAYABITO [27015190]</t>
        </is>
      </c>
      <c r="C249" s="1" t="n">
        <v>6.540388889</v>
      </c>
      <c r="D249" s="1" t="n">
        <v>-75.14675</v>
      </c>
      <c r="E249" s="1" t="n">
        <v>1440</v>
      </c>
      <c r="F249" s="1" t="inlineStr">
        <is>
          <t>Santo Domingo</t>
        </is>
      </c>
      <c r="G249" s="1" t="inlineStr">
        <is>
          <t>Antioquia</t>
        </is>
      </c>
      <c r="H249" s="39" t="n">
        <v>32.4</v>
      </c>
      <c r="I249" s="1" t="n">
        <v>2010</v>
      </c>
      <c r="J249" s="1" t="n">
        <v>19</v>
      </c>
      <c r="K249" s="39" t="n">
        <v>34</v>
      </c>
      <c r="L249" s="1" t="n">
        <v>2015</v>
      </c>
      <c r="M249" s="1" t="n">
        <v>4</v>
      </c>
      <c r="N249" s="39" t="n">
        <v>35.6</v>
      </c>
      <c r="O249" s="1" t="n">
        <v>2016</v>
      </c>
      <c r="P249" s="1" t="n">
        <v>26</v>
      </c>
      <c r="Q249" s="39" t="n">
        <v>33</v>
      </c>
      <c r="R249" s="1" t="n">
        <v>2010</v>
      </c>
      <c r="S249" s="1" t="n">
        <v>23</v>
      </c>
      <c r="T249" s="39" t="n">
        <v>34.2</v>
      </c>
      <c r="U249" s="1" t="n">
        <v>2016</v>
      </c>
      <c r="V249" s="1" t="n">
        <v>16</v>
      </c>
      <c r="W249" s="39" t="n">
        <v>34</v>
      </c>
      <c r="X249" s="1" t="n">
        <v>2006</v>
      </c>
      <c r="Y249" s="1" t="n">
        <v>22</v>
      </c>
      <c r="Z249" s="39" t="n">
        <v>34</v>
      </c>
      <c r="AA249" s="1" t="n">
        <v>2024</v>
      </c>
      <c r="AB249" s="1" t="n">
        <v>17</v>
      </c>
      <c r="AC249" s="39" t="n">
        <v>33.4</v>
      </c>
      <c r="AD249" s="1" t="n">
        <v>2009</v>
      </c>
      <c r="AE249" s="1" t="n">
        <v>3</v>
      </c>
      <c r="AF249" s="39" t="n">
        <v>34</v>
      </c>
      <c r="AG249" s="1" t="n">
        <v>2007</v>
      </c>
      <c r="AH249" s="1" t="n">
        <v>23</v>
      </c>
      <c r="AI249" s="39" t="n">
        <v>32.2</v>
      </c>
      <c r="AJ249" s="1" t="n">
        <v>2009</v>
      </c>
      <c r="AK249" s="1" t="n">
        <v>9</v>
      </c>
      <c r="AL249" s="39" t="n">
        <v>32.6</v>
      </c>
      <c r="AM249" s="1" t="n">
        <v>2012</v>
      </c>
      <c r="AN249" s="1" t="n">
        <v>6</v>
      </c>
      <c r="AO249" s="39" t="n">
        <v>32.6</v>
      </c>
      <c r="AP249" s="1" t="n">
        <v>2015</v>
      </c>
      <c r="AQ249" s="1" t="n">
        <v>31</v>
      </c>
    </row>
    <row r="250" ht="14.45" customHeight="1">
      <c r="A250" s="1" t="n">
        <v>27015260</v>
      </c>
      <c r="B250" s="1" t="inlineStr">
        <is>
          <t>LA SALADA [27015260]</t>
        </is>
      </c>
      <c r="C250" s="1" t="n">
        <v>6.048361111</v>
      </c>
      <c r="D250" s="1" t="n">
        <v>-75.62466667</v>
      </c>
      <c r="E250" s="1" t="n">
        <v>1923</v>
      </c>
      <c r="F250" s="1" t="inlineStr">
        <is>
          <t>Caldas</t>
        </is>
      </c>
      <c r="G250" s="1" t="inlineStr">
        <is>
          <t>Antioquia</t>
        </is>
      </c>
      <c r="H250" s="39" t="n">
        <v>29.3</v>
      </c>
      <c r="I250" s="1" t="n">
        <v>2024</v>
      </c>
      <c r="J250" s="1" t="n">
        <v>23</v>
      </c>
      <c r="K250" s="39" t="n">
        <v>29</v>
      </c>
      <c r="L250" s="1" t="n">
        <v>2010</v>
      </c>
      <c r="M250" s="1" t="n">
        <v>3</v>
      </c>
      <c r="N250" s="39" t="n">
        <v>29</v>
      </c>
      <c r="O250" s="1" t="n">
        <v>2024</v>
      </c>
      <c r="P250" s="1" t="n">
        <v>18</v>
      </c>
      <c r="Q250" s="39" t="n">
        <v>29</v>
      </c>
      <c r="R250" s="1" t="n">
        <v>2024</v>
      </c>
      <c r="S250" s="1" t="n">
        <v>12</v>
      </c>
      <c r="T250" s="39" t="n">
        <v>28.2</v>
      </c>
      <c r="U250" s="1" t="n">
        <v>2015</v>
      </c>
      <c r="V250" s="1" t="n">
        <v>12</v>
      </c>
      <c r="W250" s="39" t="n">
        <v>28</v>
      </c>
      <c r="X250" s="1" t="n">
        <v>2023</v>
      </c>
      <c r="Y250" s="1" t="n">
        <v>19</v>
      </c>
      <c r="Z250" s="39" t="n">
        <v>30</v>
      </c>
      <c r="AA250" s="1" t="n">
        <v>2021</v>
      </c>
      <c r="AB250" s="1" t="n">
        <v>20</v>
      </c>
      <c r="AC250" s="39" t="n">
        <v>29.6</v>
      </c>
      <c r="AD250" s="1" t="n">
        <v>2016</v>
      </c>
      <c r="AE250" s="1" t="n">
        <v>13</v>
      </c>
      <c r="AF250" s="39" t="n">
        <v>28.4</v>
      </c>
      <c r="AG250" s="1" t="n">
        <v>1998</v>
      </c>
      <c r="AH250" s="1" t="n">
        <v>5</v>
      </c>
      <c r="AI250" s="39" t="n">
        <v>28.6</v>
      </c>
      <c r="AJ250" s="1" t="n">
        <v>2006</v>
      </c>
      <c r="AK250" s="1" t="n">
        <v>24</v>
      </c>
      <c r="AL250" s="39" t="n">
        <v>28.2</v>
      </c>
      <c r="AM250" s="1" t="n">
        <v>2006</v>
      </c>
      <c r="AN250" s="1" t="n">
        <v>3</v>
      </c>
      <c r="AO250" s="39" t="n">
        <v>28</v>
      </c>
      <c r="AP250" s="1" t="n">
        <v>2006</v>
      </c>
      <c r="AQ250" s="1" t="n">
        <v>15</v>
      </c>
    </row>
    <row r="251" ht="14.45" customHeight="1">
      <c r="A251" s="1" t="n">
        <v>27015330</v>
      </c>
      <c r="B251" s="1" t="inlineStr">
        <is>
          <t>AEROPUERTO OLAYA HERRERA [27015330]</t>
        </is>
      </c>
      <c r="C251" s="1" t="n">
        <v>6.2246389</v>
      </c>
      <c r="D251" s="1" t="n">
        <v>-75.5882</v>
      </c>
      <c r="E251" s="1" t="n">
        <v>1492</v>
      </c>
      <c r="F251" s="1" t="inlineStr">
        <is>
          <t>Medellín</t>
        </is>
      </c>
      <c r="G251" s="1" t="inlineStr">
        <is>
          <t>Antioquia</t>
        </is>
      </c>
      <c r="H251" s="39" t="n">
        <v>33.7</v>
      </c>
      <c r="I251" s="1" t="n">
        <v>2024</v>
      </c>
      <c r="J251" s="1" t="n">
        <v>23</v>
      </c>
      <c r="K251" s="39" t="n">
        <v>33.6</v>
      </c>
      <c r="L251" s="1" t="n">
        <v>2016</v>
      </c>
      <c r="M251" s="1" t="n">
        <v>16</v>
      </c>
      <c r="N251" s="39" t="n">
        <v>33.7</v>
      </c>
      <c r="O251" s="1" t="n">
        <v>2024</v>
      </c>
      <c r="P251" s="1" t="n">
        <v>18</v>
      </c>
      <c r="Q251" s="39" t="n">
        <v>33.4</v>
      </c>
      <c r="R251" s="1" t="n">
        <v>2010</v>
      </c>
      <c r="S251" s="1" t="n">
        <v>22</v>
      </c>
      <c r="T251" s="39" t="n">
        <v>33.6</v>
      </c>
      <c r="U251" s="1" t="n">
        <v>2019</v>
      </c>
      <c r="V251" s="1" t="n">
        <v>5</v>
      </c>
      <c r="W251" s="39" t="n">
        <v>33.1</v>
      </c>
      <c r="X251" s="1" t="n">
        <v>2024</v>
      </c>
      <c r="Y251" s="1" t="n">
        <v>1</v>
      </c>
      <c r="Z251" s="39" t="n">
        <v>33.2</v>
      </c>
      <c r="AA251" s="1" t="n">
        <v>2024</v>
      </c>
      <c r="AB251" s="1" t="n">
        <v>29</v>
      </c>
      <c r="AC251" s="39" t="n">
        <v>33.6</v>
      </c>
      <c r="AD251" s="1" t="n">
        <v>1986</v>
      </c>
      <c r="AE251" s="1" t="n">
        <v>9</v>
      </c>
      <c r="AF251" s="39" t="n">
        <v>33.1</v>
      </c>
      <c r="AG251" s="1" t="n">
        <v>1972</v>
      </c>
      <c r="AH251" s="1" t="n">
        <v>12</v>
      </c>
      <c r="AI251" s="39" t="n">
        <v>31.9</v>
      </c>
      <c r="AJ251" s="1" t="n">
        <v>2009</v>
      </c>
      <c r="AK251" s="1" t="n">
        <v>9</v>
      </c>
      <c r="AL251" s="39" t="n">
        <v>31.2</v>
      </c>
      <c r="AM251" s="1" t="n">
        <v>1997</v>
      </c>
      <c r="AN251" s="1" t="n">
        <v>22</v>
      </c>
      <c r="AO251" s="39" t="n">
        <v>32.8</v>
      </c>
      <c r="AP251" s="1" t="n">
        <v>1972</v>
      </c>
      <c r="AQ251" s="1" t="n">
        <v>11</v>
      </c>
    </row>
    <row r="252" ht="14.45" customHeight="1">
      <c r="A252" s="1" t="n">
        <v>27025030</v>
      </c>
      <c r="B252" s="1" t="inlineStr">
        <is>
          <t>ANORI [27025030]</t>
        </is>
      </c>
      <c r="C252" s="1" t="n">
        <v>7.0719</v>
      </c>
      <c r="D252" s="1" t="n">
        <v>-75.15049999999999</v>
      </c>
      <c r="E252" s="1" t="n">
        <v>1601</v>
      </c>
      <c r="F252" s="1" t="inlineStr">
        <is>
          <t>Anorí</t>
        </is>
      </c>
      <c r="G252" s="1" t="inlineStr">
        <is>
          <t>Antioquia</t>
        </is>
      </c>
      <c r="H252" s="39" t="n">
        <v>29.8</v>
      </c>
      <c r="I252" s="1" t="n">
        <v>1992</v>
      </c>
      <c r="J252" s="1" t="n">
        <v>23</v>
      </c>
      <c r="K252" s="39" t="n">
        <v>30</v>
      </c>
      <c r="L252" s="1" t="n">
        <v>1998</v>
      </c>
      <c r="M252" s="1" t="n">
        <v>2</v>
      </c>
      <c r="N252" s="39" t="n">
        <v>28.5</v>
      </c>
      <c r="O252" s="1" t="n">
        <v>2001</v>
      </c>
      <c r="P252" s="1" t="n">
        <v>24</v>
      </c>
      <c r="Q252" s="39" t="n">
        <v>27.8</v>
      </c>
      <c r="R252" s="1" t="n">
        <v>1979</v>
      </c>
      <c r="S252" s="1" t="n">
        <v>23</v>
      </c>
      <c r="T252" s="39" t="n">
        <v>29.6</v>
      </c>
      <c r="U252" s="1" t="n">
        <v>1991</v>
      </c>
      <c r="V252" s="1" t="n">
        <v>12</v>
      </c>
      <c r="W252" s="39" t="n">
        <v>31.4</v>
      </c>
      <c r="X252" s="1" t="n">
        <v>1990</v>
      </c>
      <c r="Y252" s="1" t="n">
        <v>18</v>
      </c>
      <c r="Z252" s="39" t="n">
        <v>29.5</v>
      </c>
      <c r="AA252" s="1" t="n">
        <v>1999</v>
      </c>
      <c r="AB252" s="1" t="n">
        <v>16</v>
      </c>
      <c r="AC252" s="39" t="n">
        <v>29.4</v>
      </c>
      <c r="AD252" s="1" t="n">
        <v>1990</v>
      </c>
      <c r="AE252" s="1" t="n">
        <v>8</v>
      </c>
      <c r="AF252" s="39" t="n">
        <v>28.8</v>
      </c>
      <c r="AG252" s="1" t="n">
        <v>1982</v>
      </c>
      <c r="AH252" s="1" t="n">
        <v>28</v>
      </c>
      <c r="AI252" s="39" t="n">
        <v>28</v>
      </c>
      <c r="AJ252" s="1" t="n">
        <v>1999</v>
      </c>
      <c r="AK252" s="1" t="n">
        <v>11</v>
      </c>
      <c r="AL252" s="39" t="n">
        <v>28.4</v>
      </c>
      <c r="AM252" s="1" t="n">
        <v>1990</v>
      </c>
      <c r="AN252" s="1" t="n">
        <v>13</v>
      </c>
      <c r="AO252" s="39" t="n">
        <v>28.5</v>
      </c>
      <c r="AP252" s="1" t="n">
        <v>1997</v>
      </c>
      <c r="AQ252" s="1" t="n">
        <v>24</v>
      </c>
    </row>
    <row r="253" ht="14.45" customHeight="1">
      <c r="A253" s="1" t="n">
        <v>28015070</v>
      </c>
      <c r="B253" s="1" t="inlineStr">
        <is>
          <t>URUMITA AUT [28015070]</t>
        </is>
      </c>
      <c r="C253" s="1" t="n">
        <v>10.56638889</v>
      </c>
      <c r="D253" s="1" t="n">
        <v>-73.01638889</v>
      </c>
      <c r="E253" s="1" t="n">
        <v>255</v>
      </c>
      <c r="F253" s="1" t="inlineStr">
        <is>
          <t>Urumita</t>
        </is>
      </c>
      <c r="G253" s="1" t="inlineStr">
        <is>
          <t>La Guajira</t>
        </is>
      </c>
      <c r="H253" s="39" t="n">
        <v>38.8</v>
      </c>
      <c r="I253" s="1" t="n">
        <v>2024</v>
      </c>
      <c r="J253" s="1" t="n">
        <v>24</v>
      </c>
      <c r="K253" s="39" t="n">
        <v>40</v>
      </c>
      <c r="L253" s="1" t="n">
        <v>2019</v>
      </c>
      <c r="M253" s="1" t="n">
        <v>17</v>
      </c>
      <c r="N253" s="39" t="n">
        <v>40.4</v>
      </c>
      <c r="O253" s="1" t="n">
        <v>2016</v>
      </c>
      <c r="P253" s="1" t="n">
        <v>19</v>
      </c>
      <c r="Q253" s="39" t="n">
        <v>40.2</v>
      </c>
      <c r="R253" s="1" t="n">
        <v>2014</v>
      </c>
      <c r="S253" s="1" t="n">
        <v>10</v>
      </c>
      <c r="T253" s="39" t="n">
        <v>39.8</v>
      </c>
      <c r="U253" s="1" t="n">
        <v>2010</v>
      </c>
      <c r="V253" s="1" t="n">
        <v>18</v>
      </c>
      <c r="W253" s="39" t="n">
        <v>42</v>
      </c>
      <c r="X253" s="1" t="n">
        <v>2015</v>
      </c>
      <c r="Y253" s="1" t="n">
        <v>27</v>
      </c>
      <c r="Z253" s="39" t="n">
        <v>42.2</v>
      </c>
      <c r="AA253" s="1" t="n">
        <v>2015</v>
      </c>
      <c r="AB253" s="1" t="n">
        <v>1</v>
      </c>
      <c r="AC253" s="39" t="n">
        <v>40.8</v>
      </c>
      <c r="AD253" s="1" t="n">
        <v>2015</v>
      </c>
      <c r="AE253" s="1" t="n">
        <v>19</v>
      </c>
      <c r="AF253" s="39" t="n">
        <v>39.8</v>
      </c>
      <c r="AG253" s="1" t="n">
        <v>2005</v>
      </c>
      <c r="AH253" s="1" t="n">
        <v>11</v>
      </c>
      <c r="AI253" s="39" t="n">
        <v>38.4</v>
      </c>
      <c r="AJ253" s="1" t="n">
        <v>1996</v>
      </c>
      <c r="AK253" s="1" t="n">
        <v>10</v>
      </c>
      <c r="AL253" s="39" t="n">
        <v>38.5</v>
      </c>
      <c r="AM253" s="1" t="n">
        <v>2006</v>
      </c>
      <c r="AN253" s="1" t="n">
        <v>9</v>
      </c>
      <c r="AO253" s="39" t="n">
        <v>36.6</v>
      </c>
      <c r="AP253" s="1" t="n">
        <v>2019</v>
      </c>
      <c r="AQ253" s="1" t="n">
        <v>2</v>
      </c>
    </row>
    <row r="254" ht="14.45" customHeight="1">
      <c r="A254" s="1" t="n">
        <v>28025020</v>
      </c>
      <c r="B254" s="1" t="inlineStr">
        <is>
          <t>EL RINCON [28025020]</t>
        </is>
      </c>
      <c r="C254" s="1" t="n">
        <v>10.27138889</v>
      </c>
      <c r="D254" s="1" t="n">
        <v>-73.13138889</v>
      </c>
      <c r="E254" s="1" t="n">
        <v>350</v>
      </c>
      <c r="F254" s="1" t="inlineStr">
        <is>
          <t>San Diego</t>
        </is>
      </c>
      <c r="G254" s="1" t="inlineStr">
        <is>
          <t>Cesar</t>
        </is>
      </c>
      <c r="H254" s="39" t="n">
        <v>38.7</v>
      </c>
      <c r="I254" s="1" t="n">
        <v>1978</v>
      </c>
      <c r="J254" s="1" t="n">
        <v>13</v>
      </c>
      <c r="K254" s="39" t="n">
        <v>39.2</v>
      </c>
      <c r="L254" s="1" t="n">
        <v>2007</v>
      </c>
      <c r="M254" s="1" t="n">
        <v>26</v>
      </c>
      <c r="N254" s="39" t="n">
        <v>39.3</v>
      </c>
      <c r="O254" s="1" t="n">
        <v>2003</v>
      </c>
      <c r="P254" s="1" t="n">
        <v>4</v>
      </c>
      <c r="Q254" s="39" t="n">
        <v>38.6</v>
      </c>
      <c r="R254" s="1" t="n">
        <v>2024</v>
      </c>
      <c r="S254" s="1" t="n">
        <v>15</v>
      </c>
      <c r="T254" s="39" t="n">
        <v>37.4</v>
      </c>
      <c r="U254" s="1" t="n">
        <v>1993</v>
      </c>
      <c r="V254" s="1" t="n">
        <v>1</v>
      </c>
      <c r="W254" s="39" t="n">
        <v>37.4</v>
      </c>
      <c r="X254" s="1" t="n">
        <v>2015</v>
      </c>
      <c r="Y254" s="1" t="n">
        <v>24</v>
      </c>
      <c r="Z254" s="39" t="n">
        <v>39.4</v>
      </c>
      <c r="AA254" s="1" t="n">
        <v>2015</v>
      </c>
      <c r="AB254" s="1" t="n">
        <v>4</v>
      </c>
      <c r="AC254" s="39" t="n">
        <v>39.1</v>
      </c>
      <c r="AD254" s="1" t="n">
        <v>2001</v>
      </c>
      <c r="AE254" s="1" t="n">
        <v>16</v>
      </c>
      <c r="AF254" s="39" t="n">
        <v>37.4</v>
      </c>
      <c r="AG254" s="1" t="n">
        <v>1991</v>
      </c>
      <c r="AH254" s="1" t="n">
        <v>9</v>
      </c>
      <c r="AI254" s="39" t="n">
        <v>39.7</v>
      </c>
      <c r="AJ254" s="1" t="n">
        <v>2009</v>
      </c>
      <c r="AK254" s="1" t="n">
        <v>20</v>
      </c>
      <c r="AL254" s="39" t="n">
        <v>36.7</v>
      </c>
      <c r="AM254" s="1" t="n">
        <v>1995</v>
      </c>
      <c r="AN254" s="1" t="n">
        <v>6</v>
      </c>
      <c r="AO254" s="39" t="n">
        <v>37.6</v>
      </c>
      <c r="AP254" s="1" t="n">
        <v>1997</v>
      </c>
      <c r="AQ254" s="1" t="n">
        <v>24</v>
      </c>
    </row>
    <row r="255" ht="14.45" customHeight="1">
      <c r="A255" s="1" t="n">
        <v>28025070</v>
      </c>
      <c r="B255" s="1" t="inlineStr">
        <is>
          <t>MOTILONIA CODAZZI [28025070]</t>
        </is>
      </c>
      <c r="C255" s="1" t="n">
        <v>10.00180556</v>
      </c>
      <c r="D255" s="1" t="n">
        <v>-73.24938889000001</v>
      </c>
      <c r="E255" s="1" t="n">
        <v>180</v>
      </c>
      <c r="F255" s="1" t="inlineStr">
        <is>
          <t>Agustín Codazzi</t>
        </is>
      </c>
      <c r="G255" s="1" t="inlineStr">
        <is>
          <t>Cesar</t>
        </is>
      </c>
      <c r="H255" s="39" t="n">
        <v>39.8</v>
      </c>
      <c r="I255" s="1" t="n">
        <v>2019</v>
      </c>
      <c r="J255" s="1" t="n">
        <v>20</v>
      </c>
      <c r="K255" s="39" t="n">
        <v>40.8</v>
      </c>
      <c r="L255" s="1" t="n">
        <v>2024</v>
      </c>
      <c r="M255" s="1" t="n">
        <v>15</v>
      </c>
      <c r="N255" s="39" t="n">
        <v>42.8</v>
      </c>
      <c r="O255" s="1" t="n">
        <v>2004</v>
      </c>
      <c r="P255" s="1" t="n">
        <v>26</v>
      </c>
      <c r="Q255" s="39" t="n">
        <v>41.6</v>
      </c>
      <c r="R255" s="1" t="n">
        <v>1992</v>
      </c>
      <c r="S255" s="1" t="n">
        <v>13</v>
      </c>
      <c r="T255" s="39" t="n">
        <v>40.2</v>
      </c>
      <c r="U255" s="1" t="n">
        <v>2020</v>
      </c>
      <c r="V255" s="1" t="n">
        <v>10</v>
      </c>
      <c r="W255" s="39" t="n">
        <v>41.2</v>
      </c>
      <c r="X255" s="1" t="n">
        <v>2015</v>
      </c>
      <c r="Y255" s="1" t="n">
        <v>24</v>
      </c>
      <c r="Z255" s="39" t="n">
        <v>41.4</v>
      </c>
      <c r="AA255" s="1" t="n">
        <v>2014</v>
      </c>
      <c r="AB255" s="1" t="n">
        <v>17</v>
      </c>
      <c r="AC255" s="39" t="n">
        <v>41.6</v>
      </c>
      <c r="AD255" s="1" t="n">
        <v>2015</v>
      </c>
      <c r="AE255" s="1" t="n">
        <v>5</v>
      </c>
      <c r="AF255" s="39" t="n">
        <v>40.4</v>
      </c>
      <c r="AG255" s="1" t="n">
        <v>1991</v>
      </c>
      <c r="AH255" s="1" t="n">
        <v>11</v>
      </c>
      <c r="AI255" s="39" t="n">
        <v>38.6</v>
      </c>
      <c r="AJ255" s="1" t="n">
        <v>1997</v>
      </c>
      <c r="AK255" s="1" t="n">
        <v>27</v>
      </c>
      <c r="AL255" s="39" t="n">
        <v>38</v>
      </c>
      <c r="AM255" s="1" t="n">
        <v>2023</v>
      </c>
      <c r="AN255" s="1" t="n">
        <v>10</v>
      </c>
      <c r="AO255" s="39" t="n">
        <v>39.8</v>
      </c>
      <c r="AP255" s="1" t="n">
        <v>2018</v>
      </c>
      <c r="AQ255" s="1" t="n">
        <v>29</v>
      </c>
    </row>
    <row r="256" ht="14.45" customHeight="1">
      <c r="A256" s="1" t="n">
        <v>28025090</v>
      </c>
      <c r="B256" s="1" t="inlineStr">
        <is>
          <t>CENTENARIO HACIENDA [28025090]</t>
        </is>
      </c>
      <c r="C256" s="1" t="n">
        <v>9.850250000000001</v>
      </c>
      <c r="D256" s="1" t="n">
        <v>-73.26547222000001</v>
      </c>
      <c r="E256" s="1" t="n">
        <v>100</v>
      </c>
      <c r="F256" s="1" t="inlineStr">
        <is>
          <t>Agustín Codazzi</t>
        </is>
      </c>
      <c r="G256" s="1" t="inlineStr">
        <is>
          <t>Cesar</t>
        </is>
      </c>
      <c r="H256" s="39" t="n">
        <v>41</v>
      </c>
      <c r="I256" s="1" t="n">
        <v>2002</v>
      </c>
      <c r="J256" s="1" t="n">
        <v>19</v>
      </c>
      <c r="K256" s="39" t="n">
        <v>41</v>
      </c>
      <c r="L256" s="1" t="n">
        <v>1998</v>
      </c>
      <c r="M256" s="1" t="n">
        <v>2</v>
      </c>
      <c r="N256" s="39" t="n">
        <v>41.2</v>
      </c>
      <c r="O256" s="1" t="n">
        <v>2003</v>
      </c>
      <c r="P256" s="1" t="n">
        <v>7</v>
      </c>
      <c r="Q256" s="39" t="n">
        <v>40.2</v>
      </c>
      <c r="R256" s="1" t="n">
        <v>1992</v>
      </c>
      <c r="S256" s="1" t="n">
        <v>11</v>
      </c>
      <c r="T256" s="39" t="n">
        <v>38.5</v>
      </c>
      <c r="U256" s="1" t="n">
        <v>1997</v>
      </c>
      <c r="V256" s="1" t="n">
        <v>20</v>
      </c>
      <c r="W256" s="39" t="n">
        <v>40.4</v>
      </c>
      <c r="X256" s="1" t="n">
        <v>2004</v>
      </c>
      <c r="Y256" s="1" t="n">
        <v>12</v>
      </c>
      <c r="Z256" s="39" t="n">
        <v>41</v>
      </c>
      <c r="AA256" s="1" t="n">
        <v>1997</v>
      </c>
      <c r="AB256" s="1" t="n">
        <v>24</v>
      </c>
      <c r="AC256" s="39" t="n">
        <v>42.3</v>
      </c>
      <c r="AD256" s="1" t="n">
        <v>2016</v>
      </c>
      <c r="AE256" s="1" t="n">
        <v>31</v>
      </c>
      <c r="AF256" s="39" t="n">
        <v>39.8</v>
      </c>
      <c r="AG256" s="1" t="n">
        <v>1991</v>
      </c>
      <c r="AH256" s="1" t="n">
        <v>9</v>
      </c>
      <c r="AI256" s="39" t="n">
        <v>39.4</v>
      </c>
      <c r="AJ256" s="1" t="n">
        <v>2014</v>
      </c>
      <c r="AK256" s="1" t="n">
        <v>4</v>
      </c>
      <c r="AL256" s="39" t="n">
        <v>39.6</v>
      </c>
      <c r="AM256" s="1" t="n">
        <v>1995</v>
      </c>
      <c r="AN256" s="1" t="n">
        <v>26</v>
      </c>
      <c r="AO256" s="39" t="n">
        <v>39.8</v>
      </c>
      <c r="AP256" s="1" t="n">
        <v>2015</v>
      </c>
      <c r="AQ256" s="1" t="n">
        <v>2</v>
      </c>
    </row>
    <row r="257" ht="14.45" customHeight="1">
      <c r="A257" s="1" t="n">
        <v>28025502</v>
      </c>
      <c r="B257" s="1" t="inlineStr">
        <is>
          <t>AEROPUERTO ALFONSO LOPEZ - [28025502]</t>
        </is>
      </c>
      <c r="C257" s="1" t="n">
        <v>10.43616667</v>
      </c>
      <c r="D257" s="1" t="n">
        <v>-73.24766667</v>
      </c>
      <c r="E257" s="1" t="n">
        <v>138</v>
      </c>
      <c r="F257" s="1" t="inlineStr">
        <is>
          <t>Valledupar</t>
        </is>
      </c>
      <c r="G257" s="1" t="inlineStr">
        <is>
          <t>Cesar</t>
        </is>
      </c>
      <c r="H257" s="39" t="n">
        <v>40.2</v>
      </c>
      <c r="I257" s="1" t="n">
        <v>1991</v>
      </c>
      <c r="J257" s="1" t="n">
        <v>27</v>
      </c>
      <c r="K257" s="39" t="n">
        <v>41.8</v>
      </c>
      <c r="L257" s="1" t="n">
        <v>1998</v>
      </c>
      <c r="M257" s="1" t="n">
        <v>17</v>
      </c>
      <c r="N257" s="39" t="n">
        <v>41.8</v>
      </c>
      <c r="O257" s="1" t="n">
        <v>1998</v>
      </c>
      <c r="P257" s="1" t="n">
        <v>4</v>
      </c>
      <c r="Q257" s="39" t="n">
        <v>41.2</v>
      </c>
      <c r="R257" s="1" t="n">
        <v>2017</v>
      </c>
      <c r="S257" s="1" t="n">
        <v>2</v>
      </c>
      <c r="T257" s="39" t="n">
        <v>40.2</v>
      </c>
      <c r="U257" s="1" t="n">
        <v>2019</v>
      </c>
      <c r="V257" s="1" t="n">
        <v>6</v>
      </c>
      <c r="W257" s="39" t="n">
        <v>41</v>
      </c>
      <c r="X257" s="1" t="n">
        <v>2015</v>
      </c>
      <c r="Y257" s="1" t="n">
        <v>24</v>
      </c>
      <c r="Z257" s="39" t="n">
        <v>41.4</v>
      </c>
      <c r="AA257" s="1" t="n">
        <v>2014</v>
      </c>
      <c r="AB257" s="1" t="n">
        <v>20</v>
      </c>
      <c r="AC257" s="39" t="n">
        <v>41.2</v>
      </c>
      <c r="AD257" s="1" t="n">
        <v>2001</v>
      </c>
      <c r="AE257" s="1" t="n">
        <v>16</v>
      </c>
      <c r="AF257" s="39" t="n">
        <v>40.2</v>
      </c>
      <c r="AG257" s="1" t="n">
        <v>1991</v>
      </c>
      <c r="AH257" s="1" t="n">
        <v>13</v>
      </c>
      <c r="AI257" s="39" t="n">
        <v>39</v>
      </c>
      <c r="AJ257" s="1" t="n">
        <v>2016</v>
      </c>
      <c r="AK257" s="1" t="n">
        <v>29</v>
      </c>
      <c r="AL257" s="39" t="n">
        <v>37.4</v>
      </c>
      <c r="AM257" s="1" t="n">
        <v>2012</v>
      </c>
      <c r="AN257" s="1" t="n">
        <v>11</v>
      </c>
      <c r="AO257" s="39" t="n">
        <v>39.5</v>
      </c>
      <c r="AP257" s="1" t="n">
        <v>1976</v>
      </c>
      <c r="AQ257" s="1" t="n">
        <v>8</v>
      </c>
    </row>
    <row r="258" ht="14.45" customHeight="1">
      <c r="A258" s="1" t="n">
        <v>28035010</v>
      </c>
      <c r="B258" s="1" t="inlineStr">
        <is>
          <t>VILLA ROSA [28035010]</t>
        </is>
      </c>
      <c r="C258" s="1" t="n">
        <v>10.19066667</v>
      </c>
      <c r="D258" s="1" t="n">
        <v>-73.54738888999999</v>
      </c>
      <c r="E258" s="1" t="n">
        <v>70</v>
      </c>
      <c r="F258" s="1" t="inlineStr">
        <is>
          <t>Valledupar</t>
        </is>
      </c>
      <c r="G258" s="1" t="inlineStr">
        <is>
          <t>Cesar</t>
        </is>
      </c>
      <c r="H258" s="39" t="n">
        <v>40.8</v>
      </c>
      <c r="I258" s="1" t="n">
        <v>2019</v>
      </c>
      <c r="J258" s="1" t="n">
        <v>21</v>
      </c>
      <c r="K258" s="39" t="n">
        <v>40.4</v>
      </c>
      <c r="L258" s="1" t="n">
        <v>2010</v>
      </c>
      <c r="M258" s="1" t="n">
        <v>2</v>
      </c>
      <c r="N258" s="39" t="n">
        <v>41</v>
      </c>
      <c r="O258" s="1" t="n">
        <v>2018</v>
      </c>
      <c r="P258" s="1" t="n">
        <v>2</v>
      </c>
      <c r="Q258" s="39" t="n">
        <v>40.2</v>
      </c>
      <c r="R258" s="1" t="n">
        <v>2020</v>
      </c>
      <c r="S258" s="1" t="n">
        <v>10</v>
      </c>
      <c r="T258" s="39" t="n">
        <v>39.8</v>
      </c>
      <c r="U258" s="1" t="n">
        <v>2020</v>
      </c>
      <c r="V258" s="1" t="n">
        <v>10</v>
      </c>
      <c r="W258" s="39" t="n">
        <v>41.4</v>
      </c>
      <c r="X258" s="1" t="n">
        <v>2015</v>
      </c>
      <c r="Y258" s="1" t="n">
        <v>23</v>
      </c>
      <c r="Z258" s="39" t="n">
        <v>42.4</v>
      </c>
      <c r="AA258" s="1" t="n">
        <v>2015</v>
      </c>
      <c r="AB258" s="1" t="n">
        <v>1</v>
      </c>
      <c r="AC258" s="39" t="n">
        <v>41.6</v>
      </c>
      <c r="AD258" s="1" t="n">
        <v>2001</v>
      </c>
      <c r="AE258" s="1" t="n">
        <v>18</v>
      </c>
      <c r="AF258" s="39" t="n">
        <v>39.6</v>
      </c>
      <c r="AG258" s="1" t="n">
        <v>2020</v>
      </c>
      <c r="AH258" s="1" t="n">
        <v>21</v>
      </c>
      <c r="AI258" s="39" t="n">
        <v>39.8</v>
      </c>
      <c r="AJ258" s="1" t="n">
        <v>2020</v>
      </c>
      <c r="AK258" s="1" t="n">
        <v>15</v>
      </c>
      <c r="AL258" s="39" t="n">
        <v>42.4</v>
      </c>
      <c r="AM258" s="1" t="n">
        <v>2018</v>
      </c>
      <c r="AN258" s="1" t="n">
        <v>27</v>
      </c>
      <c r="AO258" s="39" t="n">
        <v>39.6</v>
      </c>
      <c r="AP258" s="1" t="n">
        <v>1997</v>
      </c>
      <c r="AQ258" s="1" t="n">
        <v>23</v>
      </c>
    </row>
    <row r="259" ht="14.45" customHeight="1">
      <c r="A259" s="1" t="n">
        <v>28035020</v>
      </c>
      <c r="B259" s="1" t="inlineStr">
        <is>
          <t>EL CALLAO  [28035020]</t>
        </is>
      </c>
      <c r="C259" s="1" t="n">
        <v>10.36305556</v>
      </c>
      <c r="D259" s="1" t="n">
        <v>-73.31944444</v>
      </c>
      <c r="E259" s="1" t="n">
        <v>110</v>
      </c>
      <c r="F259" s="1" t="inlineStr">
        <is>
          <t>Valledupar</t>
        </is>
      </c>
      <c r="G259" s="1" t="inlineStr">
        <is>
          <t>Cesar</t>
        </is>
      </c>
      <c r="H259" s="39" t="n">
        <v>40</v>
      </c>
      <c r="I259" s="1" t="n">
        <v>1998</v>
      </c>
      <c r="J259" s="1" t="n">
        <v>4</v>
      </c>
      <c r="K259" s="39" t="n">
        <v>41</v>
      </c>
      <c r="L259" s="1" t="n">
        <v>1998</v>
      </c>
      <c r="M259" s="1" t="n">
        <v>17</v>
      </c>
      <c r="N259" s="39" t="n">
        <v>41.4</v>
      </c>
      <c r="O259" s="1" t="n">
        <v>2024</v>
      </c>
      <c r="P259" s="1" t="n">
        <v>17</v>
      </c>
      <c r="Q259" s="39" t="n">
        <v>40.4</v>
      </c>
      <c r="R259" s="1" t="n">
        <v>2014</v>
      </c>
      <c r="S259" s="1" t="n">
        <v>2</v>
      </c>
      <c r="T259" s="39" t="n">
        <v>40.4</v>
      </c>
      <c r="U259" s="1" t="n">
        <v>2015</v>
      </c>
      <c r="V259" s="1" t="n">
        <v>12</v>
      </c>
      <c r="W259" s="39" t="n">
        <v>41.6</v>
      </c>
      <c r="X259" s="1" t="n">
        <v>2015</v>
      </c>
      <c r="Y259" s="1" t="n">
        <v>24</v>
      </c>
      <c r="Z259" s="39" t="n">
        <v>41.4</v>
      </c>
      <c r="AA259" s="1" t="n">
        <v>2015</v>
      </c>
      <c r="AB259" s="1" t="n">
        <v>1</v>
      </c>
      <c r="AC259" s="39" t="n">
        <v>41.8</v>
      </c>
      <c r="AD259" s="1" t="n">
        <v>2015</v>
      </c>
      <c r="AE259" s="1" t="n">
        <v>6</v>
      </c>
      <c r="AF259" s="39" t="n">
        <v>39.8</v>
      </c>
      <c r="AG259" s="1" t="n">
        <v>2015</v>
      </c>
      <c r="AH259" s="1" t="n">
        <v>9</v>
      </c>
      <c r="AI259" s="39" t="n">
        <v>39.6</v>
      </c>
      <c r="AJ259" s="1" t="n">
        <v>1989</v>
      </c>
      <c r="AK259" s="1" t="n">
        <v>22</v>
      </c>
      <c r="AL259" s="39" t="n">
        <v>39.6</v>
      </c>
      <c r="AM259" s="1" t="n">
        <v>1989</v>
      </c>
      <c r="AN259" s="1" t="n">
        <v>6</v>
      </c>
      <c r="AO259" s="39" t="n">
        <v>39.6</v>
      </c>
      <c r="AP259" s="1" t="n">
        <v>1989</v>
      </c>
      <c r="AQ259" s="1" t="n">
        <v>12</v>
      </c>
    </row>
    <row r="260" ht="14.45" customHeight="1">
      <c r="A260" s="1" t="n">
        <v>28035040</v>
      </c>
      <c r="B260" s="1" t="inlineStr">
        <is>
          <t>GUAYMARAL [28035040]</t>
        </is>
      </c>
      <c r="C260" s="1" t="n">
        <v>9.904916667</v>
      </c>
      <c r="D260" s="1" t="n">
        <v>-73.64752778</v>
      </c>
      <c r="E260" s="1" t="n">
        <v>50</v>
      </c>
      <c r="F260" s="1" t="inlineStr">
        <is>
          <t>Valledupar</t>
        </is>
      </c>
      <c r="G260" s="1" t="inlineStr">
        <is>
          <t>Cesar</t>
        </is>
      </c>
      <c r="H260" s="39" t="n">
        <v>40.6</v>
      </c>
      <c r="I260" s="1" t="n">
        <v>2016</v>
      </c>
      <c r="J260" s="1" t="n">
        <v>20</v>
      </c>
      <c r="K260" s="39" t="n">
        <v>42.4</v>
      </c>
      <c r="L260" s="1" t="n">
        <v>2016</v>
      </c>
      <c r="M260" s="1" t="n">
        <v>24</v>
      </c>
      <c r="N260" s="39" t="n">
        <v>42</v>
      </c>
      <c r="O260" s="1" t="n">
        <v>1998</v>
      </c>
      <c r="P260" s="1" t="n">
        <v>1</v>
      </c>
      <c r="Q260" s="39" t="n">
        <v>41.6</v>
      </c>
      <c r="R260" s="1" t="n">
        <v>2016</v>
      </c>
      <c r="S260" s="1" t="n">
        <v>1</v>
      </c>
      <c r="T260" s="39" t="n">
        <v>41.4</v>
      </c>
      <c r="U260" s="1" t="n">
        <v>2016</v>
      </c>
      <c r="V260" s="1" t="n">
        <v>14</v>
      </c>
      <c r="W260" s="39" t="n">
        <v>41.8</v>
      </c>
      <c r="X260" s="1" t="n">
        <v>2016</v>
      </c>
      <c r="Y260" s="1" t="n">
        <v>30</v>
      </c>
      <c r="Z260" s="39" t="n">
        <v>41.8</v>
      </c>
      <c r="AA260" s="1" t="n">
        <v>2016</v>
      </c>
      <c r="AB260" s="1" t="n">
        <v>8</v>
      </c>
      <c r="AC260" s="39" t="n">
        <v>40.4</v>
      </c>
      <c r="AD260" s="1" t="n">
        <v>2015</v>
      </c>
      <c r="AE260" s="1" t="n">
        <v>5</v>
      </c>
      <c r="AF260" s="39" t="n">
        <v>39.4</v>
      </c>
      <c r="AG260" s="1" t="n">
        <v>2019</v>
      </c>
      <c r="AH260" s="1" t="n">
        <v>10</v>
      </c>
      <c r="AI260" s="39" t="n">
        <v>38.6</v>
      </c>
      <c r="AJ260" s="1" t="n">
        <v>2015</v>
      </c>
      <c r="AK260" s="1" t="n">
        <v>6</v>
      </c>
      <c r="AL260" s="39" t="n">
        <v>38.4</v>
      </c>
      <c r="AM260" s="1" t="n">
        <v>2009</v>
      </c>
      <c r="AN260" s="1" t="n">
        <v>30</v>
      </c>
      <c r="AO260" s="39" t="n">
        <v>39.6</v>
      </c>
      <c r="AP260" s="1" t="n">
        <v>2019</v>
      </c>
      <c r="AQ260" s="1" t="n">
        <v>8</v>
      </c>
    </row>
    <row r="261" ht="14.45" customHeight="1">
      <c r="A261" s="1" t="n">
        <v>29015000</v>
      </c>
      <c r="B261" s="1" t="inlineStr">
        <is>
          <t>EL GUAMO - AUT [29015000]</t>
        </is>
      </c>
      <c r="C261" s="1" t="n">
        <v>10.034607</v>
      </c>
      <c r="D261" s="1" t="n">
        <v>-74.97663799999999</v>
      </c>
      <c r="E261" s="1" t="n">
        <v>75</v>
      </c>
      <c r="F261" s="1" t="inlineStr">
        <is>
          <t>El Guamo</t>
        </is>
      </c>
      <c r="G261" s="1" t="inlineStr">
        <is>
          <t>Bolivar</t>
        </is>
      </c>
      <c r="H261" s="39" t="n">
        <v>39.8</v>
      </c>
      <c r="I261" s="1" t="n">
        <v>2024</v>
      </c>
      <c r="J261" s="1" t="n">
        <v>22</v>
      </c>
      <c r="K261" s="39" t="n">
        <v>41</v>
      </c>
      <c r="L261" s="1" t="n">
        <v>2016</v>
      </c>
      <c r="M261" s="1" t="n">
        <v>23</v>
      </c>
      <c r="N261" s="39" t="n">
        <v>41.4</v>
      </c>
      <c r="O261" s="1" t="n">
        <v>2016</v>
      </c>
      <c r="P261" s="1" t="n">
        <v>23</v>
      </c>
      <c r="Q261" s="39" t="n">
        <v>40.6</v>
      </c>
      <c r="R261" s="1" t="n">
        <v>2016</v>
      </c>
      <c r="S261" s="1" t="n">
        <v>10</v>
      </c>
      <c r="T261" s="39" t="n">
        <v>41</v>
      </c>
      <c r="U261" s="1" t="n">
        <v>2023</v>
      </c>
      <c r="V261" s="1" t="n">
        <v>3</v>
      </c>
      <c r="W261" s="39" t="n">
        <v>41.8</v>
      </c>
      <c r="X261" s="1" t="n">
        <v>2015</v>
      </c>
      <c r="Y261" s="1" t="n">
        <v>25</v>
      </c>
      <c r="Z261" s="39" t="n">
        <v>42</v>
      </c>
      <c r="AA261" s="1" t="n">
        <v>2015</v>
      </c>
      <c r="AB261" s="1" t="n">
        <v>3</v>
      </c>
      <c r="AC261" s="39" t="n">
        <v>40.4</v>
      </c>
      <c r="AD261" s="1" t="n">
        <v>2015</v>
      </c>
      <c r="AE261" s="1" t="n">
        <v>7</v>
      </c>
      <c r="AF261" s="39" t="n">
        <v>39.6</v>
      </c>
      <c r="AG261" s="1" t="n">
        <v>2015</v>
      </c>
      <c r="AH261" s="1" t="n">
        <v>5</v>
      </c>
      <c r="AI261" s="39" t="n">
        <v>39</v>
      </c>
      <c r="AJ261" s="1" t="n">
        <v>2015</v>
      </c>
      <c r="AK261" s="1" t="n">
        <v>5</v>
      </c>
      <c r="AL261" s="39" t="n">
        <v>37.6</v>
      </c>
      <c r="AM261" s="1" t="n">
        <v>1992</v>
      </c>
      <c r="AN261" s="1" t="n">
        <v>9</v>
      </c>
      <c r="AO261" s="39" t="n">
        <v>39.2</v>
      </c>
      <c r="AP261" s="1" t="n">
        <v>2016</v>
      </c>
      <c r="AQ261" s="1" t="n">
        <v>6</v>
      </c>
    </row>
    <row r="262" ht="14.45" customHeight="1">
      <c r="A262" s="1" t="n">
        <v>29015020</v>
      </c>
      <c r="B262" s="1" t="inlineStr">
        <is>
          <t>CARMEN DE BOLIVAR [29015020]</t>
        </is>
      </c>
      <c r="C262" s="1" t="n">
        <v>9.71569</v>
      </c>
      <c r="D262" s="1" t="n">
        <v>-75.106448</v>
      </c>
      <c r="E262" s="1" t="n">
        <v>152</v>
      </c>
      <c r="F262" s="1" t="inlineStr">
        <is>
          <t>El Carmén De Bolívar</t>
        </is>
      </c>
      <c r="G262" s="1" t="inlineStr">
        <is>
          <t>Bolivar</t>
        </is>
      </c>
      <c r="H262" s="39" t="n">
        <v>39</v>
      </c>
      <c r="I262" s="1" t="n">
        <v>2013</v>
      </c>
      <c r="J262" s="1" t="n">
        <v>2</v>
      </c>
      <c r="K262" s="39" t="n">
        <v>42</v>
      </c>
      <c r="L262" s="1" t="n">
        <v>1998</v>
      </c>
      <c r="M262" s="1" t="n">
        <v>17</v>
      </c>
      <c r="N262" s="39" t="n">
        <v>39.3</v>
      </c>
      <c r="O262" s="1" t="n">
        <v>2024</v>
      </c>
      <c r="P262" s="1" t="n">
        <v>17</v>
      </c>
      <c r="Q262" s="39" t="n">
        <v>40.1</v>
      </c>
      <c r="R262" s="1" t="n">
        <v>2024</v>
      </c>
      <c r="S262" s="1" t="n">
        <v>12</v>
      </c>
      <c r="T262" s="39" t="n">
        <v>39.2</v>
      </c>
      <c r="U262" s="1" t="n">
        <v>2023</v>
      </c>
      <c r="V262" s="1" t="n">
        <v>13</v>
      </c>
      <c r="W262" s="39" t="n">
        <v>40</v>
      </c>
      <c r="X262" s="1" t="n">
        <v>2015</v>
      </c>
      <c r="Y262" s="1" t="n">
        <v>24</v>
      </c>
      <c r="Z262" s="39" t="n">
        <v>42</v>
      </c>
      <c r="AA262" s="1" t="n">
        <v>2015</v>
      </c>
      <c r="AB262" s="1" t="n">
        <v>4</v>
      </c>
      <c r="AC262" s="39" t="n">
        <v>39</v>
      </c>
      <c r="AD262" s="1" t="n">
        <v>2015</v>
      </c>
      <c r="AE262" s="1" t="n">
        <v>6</v>
      </c>
      <c r="AF262" s="39" t="n">
        <v>38.1</v>
      </c>
      <c r="AG262" s="1" t="n">
        <v>2023</v>
      </c>
      <c r="AH262" s="1" t="n">
        <v>1</v>
      </c>
      <c r="AI262" s="39" t="n">
        <v>37</v>
      </c>
      <c r="AJ262" s="1" t="n">
        <v>2014</v>
      </c>
      <c r="AK262" s="1" t="n">
        <v>1</v>
      </c>
      <c r="AL262" s="39" t="n">
        <v>36.6</v>
      </c>
      <c r="AM262" s="1" t="n">
        <v>1997</v>
      </c>
      <c r="AN262" s="1" t="n">
        <v>2</v>
      </c>
      <c r="AO262" s="39" t="n">
        <v>38</v>
      </c>
      <c r="AP262" s="1" t="n">
        <v>1983</v>
      </c>
      <c r="AQ262" s="1" t="n">
        <v>16</v>
      </c>
    </row>
    <row r="263" ht="14.45" customHeight="1">
      <c r="A263" s="1" t="n">
        <v>29015040</v>
      </c>
      <c r="B263" s="1" t="inlineStr">
        <is>
          <t>CARMEN DE BOLIVAR  - AUT [29015040]</t>
        </is>
      </c>
      <c r="C263" s="1" t="n">
        <v>9.71569</v>
      </c>
      <c r="D263" s="1" t="n">
        <v>-75.106448</v>
      </c>
      <c r="E263" s="1" t="n">
        <v>152</v>
      </c>
      <c r="F263" s="1" t="inlineStr">
        <is>
          <t>El Carmén De Bolívar</t>
        </is>
      </c>
      <c r="G263" s="1" t="inlineStr">
        <is>
          <t>Bolivar</t>
        </is>
      </c>
      <c r="H263" s="39" t="n">
        <v>38.8</v>
      </c>
      <c r="I263" s="1" t="n">
        <v>2020</v>
      </c>
      <c r="J263" s="1" t="n">
        <v>18</v>
      </c>
      <c r="K263" s="39" t="n">
        <v>39.4</v>
      </c>
      <c r="L263" s="1" t="n">
        <v>2020</v>
      </c>
      <c r="M263" s="1" t="n">
        <v>18</v>
      </c>
      <c r="N263" s="39" t="n">
        <v>38.4</v>
      </c>
      <c r="O263" s="1" t="n">
        <v>2020</v>
      </c>
      <c r="P263" s="1" t="n">
        <v>5</v>
      </c>
      <c r="Q263" s="39" t="n">
        <v>38.4</v>
      </c>
      <c r="R263" s="1" t="n">
        <v>2020</v>
      </c>
      <c r="S263" s="1" t="n">
        <v>8</v>
      </c>
      <c r="T263" s="39" t="n">
        <v>38.3</v>
      </c>
      <c r="U263" s="1" t="n">
        <v>2020</v>
      </c>
      <c r="V263" s="1" t="n">
        <v>26</v>
      </c>
      <c r="W263" s="39" t="n">
        <v>37.2</v>
      </c>
      <c r="X263" s="1" t="n">
        <v>2019</v>
      </c>
      <c r="Y263" s="1" t="n">
        <v>26</v>
      </c>
      <c r="Z263" s="39" t="n">
        <v>38.2</v>
      </c>
      <c r="AA263" s="1" t="n">
        <v>2019</v>
      </c>
      <c r="AB263" s="1" t="n">
        <v>21</v>
      </c>
      <c r="AC263" s="39" t="n">
        <v>38</v>
      </c>
      <c r="AD263" s="1" t="n">
        <v>2018</v>
      </c>
      <c r="AE263" s="1" t="n">
        <v>7</v>
      </c>
      <c r="AF263" s="39" t="n">
        <v>37.1</v>
      </c>
      <c r="AG263" s="1" t="n">
        <v>2019</v>
      </c>
      <c r="AH263" s="1" t="n">
        <v>10</v>
      </c>
      <c r="AI263" s="39" t="n">
        <v>35</v>
      </c>
      <c r="AJ263" s="1" t="n">
        <v>2018</v>
      </c>
      <c r="AK263" s="1" t="n">
        <v>31</v>
      </c>
      <c r="AL263" s="39" t="n">
        <v>36</v>
      </c>
      <c r="AM263" s="1" t="n">
        <v>2019</v>
      </c>
      <c r="AN263" s="1" t="n">
        <v>27</v>
      </c>
      <c r="AO263" s="39" t="n">
        <v>36</v>
      </c>
      <c r="AP263" s="1" t="n">
        <v>2018</v>
      </c>
      <c r="AQ263" s="1" t="n">
        <v>29</v>
      </c>
    </row>
    <row r="264" ht="14.45" customHeight="1">
      <c r="A264" s="1" t="n">
        <v>29035000</v>
      </c>
      <c r="B264" s="1" t="inlineStr">
        <is>
          <t>SINCERIN  - AUT [29035000]</t>
        </is>
      </c>
      <c r="C264" s="1" t="n">
        <v>10.14258333</v>
      </c>
      <c r="D264" s="1" t="n">
        <v>-75.27827778</v>
      </c>
      <c r="E264" s="1" t="n">
        <v>10</v>
      </c>
      <c r="F264" s="1" t="inlineStr">
        <is>
          <t>Arjona</t>
        </is>
      </c>
      <c r="G264" s="1" t="inlineStr">
        <is>
          <t>Bolivar</t>
        </is>
      </c>
      <c r="H264" s="39" t="n">
        <v>37.8</v>
      </c>
      <c r="I264" s="1" t="n">
        <v>2024</v>
      </c>
      <c r="J264" s="1" t="n">
        <v>10</v>
      </c>
      <c r="K264" s="39" t="n">
        <v>38.6</v>
      </c>
      <c r="L264" s="1" t="n">
        <v>2020</v>
      </c>
      <c r="M264" s="1" t="n">
        <v>18</v>
      </c>
      <c r="N264" s="39" t="n">
        <v>40.8</v>
      </c>
      <c r="O264" s="1" t="n">
        <v>2025</v>
      </c>
      <c r="P264" s="1" t="n">
        <v>11</v>
      </c>
      <c r="Q264" s="39" t="n">
        <v>39.4</v>
      </c>
      <c r="R264" s="1" t="n">
        <v>2024</v>
      </c>
      <c r="S264" s="1" t="n">
        <v>12</v>
      </c>
      <c r="T264" s="39" t="n">
        <v>38.4</v>
      </c>
      <c r="U264" s="1" t="n">
        <v>2023</v>
      </c>
      <c r="V264" s="1" t="n">
        <v>12</v>
      </c>
      <c r="W264" s="39" t="n">
        <v>39.2</v>
      </c>
      <c r="X264" s="1" t="n">
        <v>2015</v>
      </c>
      <c r="Y264" s="1" t="n">
        <v>25</v>
      </c>
      <c r="Z264" s="39" t="n">
        <v>39.2</v>
      </c>
      <c r="AA264" s="1" t="n">
        <v>2015</v>
      </c>
      <c r="AB264" s="1" t="n">
        <v>4</v>
      </c>
      <c r="AC264" s="39" t="n">
        <v>37.8</v>
      </c>
      <c r="AD264" s="1" t="n">
        <v>2025</v>
      </c>
      <c r="AE264" s="1" t="n">
        <v>28</v>
      </c>
      <c r="AF264" s="39" t="n">
        <v>37</v>
      </c>
      <c r="AG264" s="1" t="n">
        <v>2025</v>
      </c>
      <c r="AH264" s="1" t="n">
        <v>28</v>
      </c>
      <c r="AI264" s="39" t="n">
        <v>37</v>
      </c>
      <c r="AJ264" s="1" t="n">
        <v>1990</v>
      </c>
      <c r="AK264" s="1" t="n">
        <v>13</v>
      </c>
      <c r="AL264" s="39" t="n">
        <v>38.2</v>
      </c>
      <c r="AM264" s="1" t="n">
        <v>1995</v>
      </c>
      <c r="AN264" s="1" t="n">
        <v>6</v>
      </c>
      <c r="AO264" s="39" t="n">
        <v>38</v>
      </c>
      <c r="AP264" s="1" t="n">
        <v>2025</v>
      </c>
      <c r="AQ264" s="1" t="n">
        <v>26</v>
      </c>
    </row>
    <row r="265" ht="14.45" customHeight="1">
      <c r="A265" s="1" t="n">
        <v>29035030</v>
      </c>
      <c r="B265" s="1" t="inlineStr">
        <is>
          <t>PRESA AY GRANDE [29035030]</t>
        </is>
      </c>
      <c r="C265" s="1" t="n">
        <v>9.879633999999999</v>
      </c>
      <c r="D265" s="1" t="n">
        <v>-75.326301</v>
      </c>
      <c r="E265" s="1" t="n">
        <v>60</v>
      </c>
      <c r="F265" s="1" t="inlineStr">
        <is>
          <t>María La Baja</t>
        </is>
      </c>
      <c r="G265" s="1" t="inlineStr">
        <is>
          <t>Bolivar</t>
        </is>
      </c>
      <c r="H265" s="39" t="n">
        <v>38.6</v>
      </c>
      <c r="I265" s="1" t="n">
        <v>2013</v>
      </c>
      <c r="J265" s="1" t="n">
        <v>9</v>
      </c>
      <c r="K265" s="39" t="n">
        <v>39.6</v>
      </c>
      <c r="L265" s="1" t="n">
        <v>2016</v>
      </c>
      <c r="M265" s="1" t="n">
        <v>22</v>
      </c>
      <c r="N265" s="39" t="n">
        <v>38.8</v>
      </c>
      <c r="O265" s="1" t="n">
        <v>2015</v>
      </c>
      <c r="P265" s="1" t="n">
        <v>5</v>
      </c>
      <c r="Q265" s="39" t="n">
        <v>39</v>
      </c>
      <c r="R265" s="1" t="n">
        <v>2016</v>
      </c>
      <c r="S265" s="1" t="n">
        <v>16</v>
      </c>
      <c r="T265" s="39" t="n">
        <v>39.8</v>
      </c>
      <c r="U265" s="1" t="n">
        <v>2014</v>
      </c>
      <c r="V265" s="1" t="n">
        <v>6</v>
      </c>
      <c r="W265" s="39" t="n">
        <v>39.2</v>
      </c>
      <c r="X265" s="1" t="n">
        <v>2016</v>
      </c>
      <c r="Y265" s="1" t="n">
        <v>22</v>
      </c>
      <c r="Z265" s="39" t="n">
        <v>39.8</v>
      </c>
      <c r="AA265" s="1" t="n">
        <v>2015</v>
      </c>
      <c r="AB265" s="1" t="n">
        <v>1</v>
      </c>
      <c r="AC265" s="39" t="n">
        <v>38.6</v>
      </c>
      <c r="AD265" s="1" t="n">
        <v>2015</v>
      </c>
      <c r="AE265" s="1" t="n">
        <v>5</v>
      </c>
      <c r="AF265" s="39" t="n">
        <v>38</v>
      </c>
      <c r="AG265" s="1" t="n">
        <v>2023</v>
      </c>
      <c r="AH265" s="1" t="n">
        <v>6</v>
      </c>
      <c r="AI265" s="39" t="n">
        <v>37.8</v>
      </c>
      <c r="AJ265" s="1" t="n">
        <v>2015</v>
      </c>
      <c r="AK265" s="1" t="n">
        <v>5</v>
      </c>
      <c r="AL265" s="39" t="n">
        <v>37.4</v>
      </c>
      <c r="AM265" s="1" t="n">
        <v>2025</v>
      </c>
      <c r="AN265" s="1" t="n">
        <v>14</v>
      </c>
      <c r="AO265" s="39" t="n">
        <v>37</v>
      </c>
      <c r="AP265" s="1" t="n">
        <v>1991</v>
      </c>
      <c r="AQ265" s="1" t="n">
        <v>31</v>
      </c>
    </row>
    <row r="266" ht="14.45" customHeight="1">
      <c r="A266" s="1" t="n">
        <v>29035040</v>
      </c>
      <c r="B266" s="1" t="inlineStr">
        <is>
          <t>NUEVA FLORIDA [29035040]</t>
        </is>
      </c>
      <c r="C266" s="1" t="n">
        <v>9.944806</v>
      </c>
      <c r="D266" s="1" t="n">
        <v>-75.351561</v>
      </c>
      <c r="E266" s="1" t="n">
        <v>13</v>
      </c>
      <c r="F266" s="1" t="inlineStr">
        <is>
          <t>María La Baja</t>
        </is>
      </c>
      <c r="G266" s="1" t="inlineStr">
        <is>
          <t>Bolivar</t>
        </is>
      </c>
      <c r="H266" s="39" t="n">
        <v>39.6</v>
      </c>
      <c r="I266" s="1" t="n">
        <v>1984</v>
      </c>
      <c r="J266" s="1" t="n">
        <v>26</v>
      </c>
      <c r="K266" s="39" t="n">
        <v>39.8</v>
      </c>
      <c r="L266" s="1" t="n">
        <v>1990</v>
      </c>
      <c r="M266" s="1" t="n">
        <v>2</v>
      </c>
      <c r="N266" s="39" t="n">
        <v>39.9</v>
      </c>
      <c r="O266" s="1" t="n">
        <v>1988</v>
      </c>
      <c r="P266" s="1" t="n">
        <v>23</v>
      </c>
      <c r="Q266" s="39" t="n">
        <v>38.2</v>
      </c>
      <c r="R266" s="1" t="n">
        <v>1988</v>
      </c>
      <c r="S266" s="1" t="n">
        <v>2</v>
      </c>
      <c r="T266" s="39" t="n">
        <v>38</v>
      </c>
      <c r="U266" s="1" t="n">
        <v>2023</v>
      </c>
      <c r="V266" s="1" t="n">
        <v>9</v>
      </c>
      <c r="W266" s="39" t="n">
        <v>40.8</v>
      </c>
      <c r="X266" s="1" t="n">
        <v>2015</v>
      </c>
      <c r="Y266" s="1" t="n">
        <v>27</v>
      </c>
      <c r="Z266" s="39" t="n">
        <v>38.6</v>
      </c>
      <c r="AA266" s="1" t="n">
        <v>1996</v>
      </c>
      <c r="AB266" s="1" t="n">
        <v>22</v>
      </c>
      <c r="AC266" s="39" t="n">
        <v>37</v>
      </c>
      <c r="AD266" s="1" t="n">
        <v>1997</v>
      </c>
      <c r="AE266" s="1" t="n">
        <v>15</v>
      </c>
      <c r="AF266" s="39" t="n">
        <v>38.2</v>
      </c>
      <c r="AG266" s="1" t="n">
        <v>1992</v>
      </c>
      <c r="AH266" s="1" t="n">
        <v>3</v>
      </c>
      <c r="AI266" s="39" t="n">
        <v>38.6</v>
      </c>
      <c r="AJ266" s="1" t="n">
        <v>1989</v>
      </c>
      <c r="AK266" s="1" t="n">
        <v>27</v>
      </c>
      <c r="AL266" s="39" t="n">
        <v>39.3</v>
      </c>
      <c r="AM266" s="1" t="n">
        <v>1993</v>
      </c>
      <c r="AN266" s="1" t="n">
        <v>9</v>
      </c>
      <c r="AO266" s="39" t="n">
        <v>39</v>
      </c>
      <c r="AP266" s="1" t="n">
        <v>1989</v>
      </c>
      <c r="AQ266" s="1" t="n">
        <v>23</v>
      </c>
    </row>
    <row r="267" ht="14.45" customHeight="1">
      <c r="A267" s="1" t="n">
        <v>29035080</v>
      </c>
      <c r="B267" s="1" t="inlineStr">
        <is>
          <t>NORMAL MANATI  - AUT [29035080]</t>
        </is>
      </c>
      <c r="C267" s="1" t="n">
        <v>10.453966</v>
      </c>
      <c r="D267" s="1" t="n">
        <v>-74.95472599999999</v>
      </c>
      <c r="E267" s="1" t="n">
        <v>10</v>
      </c>
      <c r="F267" s="1" t="inlineStr">
        <is>
          <t>Manatí</t>
        </is>
      </c>
      <c r="G267" s="1" t="inlineStr">
        <is>
          <t>Atlantico</t>
        </is>
      </c>
      <c r="H267" s="39" t="n">
        <v>39.8</v>
      </c>
      <c r="I267" s="1" t="n">
        <v>1984</v>
      </c>
      <c r="J267" s="1" t="n">
        <v>12</v>
      </c>
      <c r="K267" s="39" t="n">
        <v>41.8</v>
      </c>
      <c r="L267" s="1" t="n">
        <v>1998</v>
      </c>
      <c r="M267" s="1" t="n">
        <v>16</v>
      </c>
      <c r="N267" s="39" t="n">
        <v>41.2</v>
      </c>
      <c r="O267" s="1" t="n">
        <v>1998</v>
      </c>
      <c r="P267" s="1" t="n">
        <v>1</v>
      </c>
      <c r="Q267" s="39" t="n">
        <v>43</v>
      </c>
      <c r="R267" s="1" t="n">
        <v>1992</v>
      </c>
      <c r="S267" s="1" t="n">
        <v>11</v>
      </c>
      <c r="T267" s="39" t="n">
        <v>40.2</v>
      </c>
      <c r="U267" s="1" t="n">
        <v>2002</v>
      </c>
      <c r="V267" s="1" t="n">
        <v>14</v>
      </c>
      <c r="W267" s="39" t="n">
        <v>39.6</v>
      </c>
      <c r="X267" s="1" t="n">
        <v>2001</v>
      </c>
      <c r="Y267" s="1" t="n">
        <v>27</v>
      </c>
      <c r="Z267" s="39" t="n">
        <v>39.8</v>
      </c>
      <c r="AA267" s="1" t="n">
        <v>2001</v>
      </c>
      <c r="AB267" s="1" t="n">
        <v>5</v>
      </c>
      <c r="AC267" s="39" t="n">
        <v>40</v>
      </c>
      <c r="AD267" s="1" t="n">
        <v>1997</v>
      </c>
      <c r="AE267" s="1" t="n">
        <v>5</v>
      </c>
      <c r="AF267" s="39" t="n">
        <v>38.6</v>
      </c>
      <c r="AG267" s="1" t="n">
        <v>1997</v>
      </c>
      <c r="AH267" s="1" t="n">
        <v>11</v>
      </c>
      <c r="AI267" s="39" t="n">
        <v>38.2</v>
      </c>
      <c r="AJ267" s="1" t="n">
        <v>2002</v>
      </c>
      <c r="AK267" s="1" t="n">
        <v>6</v>
      </c>
      <c r="AL267" s="39" t="n">
        <v>38.4</v>
      </c>
      <c r="AM267" s="1" t="n">
        <v>2002</v>
      </c>
      <c r="AN267" s="1" t="n">
        <v>26</v>
      </c>
      <c r="AO267" s="39" t="n">
        <v>39</v>
      </c>
      <c r="AP267" s="1" t="n">
        <v>1980</v>
      </c>
      <c r="AQ267" s="1" t="n">
        <v>15</v>
      </c>
    </row>
    <row r="268" ht="14.45" customHeight="1">
      <c r="A268" s="1" t="n">
        <v>29035110</v>
      </c>
      <c r="B268" s="1" t="inlineStr">
        <is>
          <t>SAN PABLO [29035110]</t>
        </is>
      </c>
      <c r="C268" s="1" t="n">
        <v>10.04316667</v>
      </c>
      <c r="D268" s="1" t="n">
        <v>-75.25861111</v>
      </c>
      <c r="E268" s="1" t="n">
        <v>20</v>
      </c>
      <c r="F268" s="1" t="inlineStr">
        <is>
          <t>María La Baja</t>
        </is>
      </c>
      <c r="G268" s="1" t="inlineStr">
        <is>
          <t>Bolivar</t>
        </is>
      </c>
      <c r="H268" s="39" t="n">
        <v>39.2</v>
      </c>
      <c r="I268" s="1" t="n">
        <v>1978</v>
      </c>
      <c r="J268" s="1" t="n">
        <v>26</v>
      </c>
      <c r="K268" s="39" t="n">
        <v>42</v>
      </c>
      <c r="L268" s="1" t="n">
        <v>1997</v>
      </c>
      <c r="M268" s="1" t="n">
        <v>26</v>
      </c>
      <c r="N268" s="39" t="n">
        <v>41.8</v>
      </c>
      <c r="O268" s="1" t="n">
        <v>1997</v>
      </c>
      <c r="P268" s="1" t="n">
        <v>9</v>
      </c>
      <c r="Q268" s="39" t="n">
        <v>41</v>
      </c>
      <c r="R268" s="1" t="n">
        <v>1997</v>
      </c>
      <c r="S268" s="1" t="n">
        <v>6</v>
      </c>
      <c r="T268" s="39" t="n">
        <v>42</v>
      </c>
      <c r="U268" s="1" t="n">
        <v>1997</v>
      </c>
      <c r="V268" s="1" t="n">
        <v>21</v>
      </c>
      <c r="W268" s="39" t="n">
        <v>41.4</v>
      </c>
      <c r="X268" s="1" t="n">
        <v>2015</v>
      </c>
      <c r="Y268" s="1" t="n">
        <v>25</v>
      </c>
      <c r="Z268" s="39" t="n">
        <v>40.2</v>
      </c>
      <c r="AA268" s="1" t="n">
        <v>2014</v>
      </c>
      <c r="AB268" s="1" t="n">
        <v>25</v>
      </c>
      <c r="AC268" s="39" t="n">
        <v>39.2</v>
      </c>
      <c r="AD268" s="1" t="n">
        <v>1993</v>
      </c>
      <c r="AE268" s="1" t="n">
        <v>20</v>
      </c>
      <c r="AF268" s="39" t="n">
        <v>37.8</v>
      </c>
      <c r="AG268" s="1" t="n">
        <v>2014</v>
      </c>
      <c r="AH268" s="1" t="n">
        <v>1</v>
      </c>
      <c r="AI268" s="39" t="n">
        <v>36.2</v>
      </c>
      <c r="AJ268" s="1" t="n">
        <v>2015</v>
      </c>
      <c r="AK268" s="1" t="n">
        <v>6</v>
      </c>
      <c r="AL268" s="39" t="n">
        <v>37.6</v>
      </c>
      <c r="AM268" s="1" t="n">
        <v>2015</v>
      </c>
      <c r="AN268" s="1" t="n">
        <v>18</v>
      </c>
      <c r="AO268" s="39" t="n">
        <v>39</v>
      </c>
      <c r="AP268" s="1" t="n">
        <v>1996</v>
      </c>
      <c r="AQ268" s="1" t="n">
        <v>18</v>
      </c>
    </row>
    <row r="269" ht="14.45" customHeight="1">
      <c r="A269" s="1" t="n">
        <v>29035200</v>
      </c>
      <c r="B269" s="1" t="inlineStr">
        <is>
          <t>REPELON - AUT [29035200]</t>
        </is>
      </c>
      <c r="C269" s="1" t="n">
        <v>10.49</v>
      </c>
      <c r="D269" s="1" t="n">
        <v>-75.12694444</v>
      </c>
      <c r="E269" s="1" t="n">
        <v>10</v>
      </c>
      <c r="F269" s="1" t="inlineStr">
        <is>
          <t>Repelón</t>
        </is>
      </c>
      <c r="G269" s="1" t="inlineStr">
        <is>
          <t>Atlantico</t>
        </is>
      </c>
      <c r="H269" s="39" t="n">
        <v>38.4</v>
      </c>
      <c r="I269" s="1" t="n">
        <v>1992</v>
      </c>
      <c r="J269" s="1" t="n">
        <v>18</v>
      </c>
      <c r="K269" s="39" t="n">
        <v>39.8</v>
      </c>
      <c r="L269" s="1" t="n">
        <v>1991</v>
      </c>
      <c r="M269" s="1" t="n">
        <v>25</v>
      </c>
      <c r="N269" s="39" t="n">
        <v>40</v>
      </c>
      <c r="O269" s="1" t="n">
        <v>1993</v>
      </c>
      <c r="P269" s="1" t="n">
        <v>12</v>
      </c>
      <c r="Q269" s="39" t="n">
        <v>39.6</v>
      </c>
      <c r="R269" s="1" t="n">
        <v>1990</v>
      </c>
      <c r="S269" s="1" t="n">
        <v>7</v>
      </c>
      <c r="T269" s="39" t="n">
        <v>38.8</v>
      </c>
      <c r="U269" s="1" t="n">
        <v>2015</v>
      </c>
      <c r="V269" s="1" t="n">
        <v>13</v>
      </c>
      <c r="W269" s="39" t="n">
        <v>40.8</v>
      </c>
      <c r="X269" s="1" t="n">
        <v>2015</v>
      </c>
      <c r="Y269" s="1" t="n">
        <v>24</v>
      </c>
      <c r="Z269" s="39" t="n">
        <v>40.9</v>
      </c>
      <c r="AA269" s="1" t="n">
        <v>2015</v>
      </c>
      <c r="AB269" s="1" t="n">
        <v>4</v>
      </c>
      <c r="AC269" s="39" t="n">
        <v>40</v>
      </c>
      <c r="AD269" s="1" t="n">
        <v>1993</v>
      </c>
      <c r="AE269" s="1" t="n">
        <v>5</v>
      </c>
      <c r="AF269" s="39" t="n">
        <v>39</v>
      </c>
      <c r="AG269" s="1" t="n">
        <v>1991</v>
      </c>
      <c r="AH269" s="1" t="n">
        <v>13</v>
      </c>
      <c r="AI269" s="39" t="n">
        <v>39.1</v>
      </c>
      <c r="AJ269" s="1" t="n">
        <v>2015</v>
      </c>
      <c r="AK269" s="1" t="n">
        <v>7</v>
      </c>
      <c r="AL269" s="39" t="n">
        <v>38.2</v>
      </c>
      <c r="AM269" s="1" t="n">
        <v>1997</v>
      </c>
      <c r="AN269" s="1" t="n">
        <v>2</v>
      </c>
      <c r="AO269" s="39" t="n">
        <v>37.4</v>
      </c>
      <c r="AP269" s="1" t="n">
        <v>1992</v>
      </c>
      <c r="AQ269" s="1" t="n">
        <v>26</v>
      </c>
    </row>
    <row r="270" ht="14.45" customHeight="1">
      <c r="A270" s="1" t="n">
        <v>29045190</v>
      </c>
      <c r="B270" s="1" t="inlineStr">
        <is>
          <t>AEROPUERTO E. CORTISSOZ - AUT [29045190]</t>
        </is>
      </c>
      <c r="C270" s="1" t="n">
        <v>10.91777778</v>
      </c>
      <c r="D270" s="1" t="n">
        <v>-74.77972222</v>
      </c>
      <c r="E270" s="1" t="n">
        <v>14</v>
      </c>
      <c r="F270" s="1" t="inlineStr">
        <is>
          <t>Soledad</t>
        </is>
      </c>
      <c r="G270" s="1" t="inlineStr">
        <is>
          <t>Atlantico</t>
        </is>
      </c>
      <c r="H270" s="39" t="n">
        <v>35.8</v>
      </c>
      <c r="I270" s="1" t="n">
        <v>1993</v>
      </c>
      <c r="J270" s="1" t="n">
        <v>1</v>
      </c>
      <c r="K270" s="39" t="n">
        <v>37.6</v>
      </c>
      <c r="L270" s="1" t="n">
        <v>1983</v>
      </c>
      <c r="M270" s="1" t="n">
        <v>26</v>
      </c>
      <c r="N270" s="39" t="n">
        <v>38.3</v>
      </c>
      <c r="O270" s="1" t="n">
        <v>2010</v>
      </c>
      <c r="P270" s="1" t="n">
        <v>29</v>
      </c>
      <c r="Q270" s="39" t="n">
        <v>38.4</v>
      </c>
      <c r="R270" s="1" t="n">
        <v>1992</v>
      </c>
      <c r="S270" s="1" t="n">
        <v>26</v>
      </c>
      <c r="T270" s="39" t="n">
        <v>38.2</v>
      </c>
      <c r="U270" s="1" t="n">
        <v>1992</v>
      </c>
      <c r="V270" s="1" t="n">
        <v>16</v>
      </c>
      <c r="W270" s="39" t="n">
        <v>38.6</v>
      </c>
      <c r="X270" s="1" t="n">
        <v>1983</v>
      </c>
      <c r="Y270" s="1" t="n">
        <v>1</v>
      </c>
      <c r="Z270" s="39" t="n">
        <v>38.4</v>
      </c>
      <c r="AA270" s="1" t="n">
        <v>1997</v>
      </c>
      <c r="AB270" s="1" t="n">
        <v>27</v>
      </c>
      <c r="AC270" s="39" t="n">
        <v>38.7</v>
      </c>
      <c r="AD270" s="1" t="n">
        <v>2015</v>
      </c>
      <c r="AE270" s="1" t="n">
        <v>29</v>
      </c>
      <c r="AF270" s="39" t="n">
        <v>38.4</v>
      </c>
      <c r="AG270" s="1" t="n">
        <v>2003</v>
      </c>
      <c r="AH270" s="1" t="n">
        <v>2</v>
      </c>
      <c r="AI270" s="39" t="n">
        <v>38.6</v>
      </c>
      <c r="AJ270" s="1" t="n">
        <v>2002</v>
      </c>
      <c r="AK270" s="1" t="n">
        <v>29</v>
      </c>
      <c r="AL270" s="39" t="n">
        <v>38.4</v>
      </c>
      <c r="AM270" s="1" t="n">
        <v>1993</v>
      </c>
      <c r="AN270" s="1" t="n">
        <v>18</v>
      </c>
      <c r="AO270" s="39" t="n">
        <v>37.2</v>
      </c>
      <c r="AP270" s="1" t="n">
        <v>1993</v>
      </c>
      <c r="AQ270" s="1" t="n">
        <v>10</v>
      </c>
    </row>
    <row r="271" ht="14.45" customHeight="1">
      <c r="A271" s="1" t="n">
        <v>29065020</v>
      </c>
      <c r="B271" s="1" t="inlineStr">
        <is>
          <t>PADELMA [29065020]</t>
        </is>
      </c>
      <c r="C271" s="1" t="n">
        <v>10.72111111</v>
      </c>
      <c r="D271" s="1" t="n">
        <v>-74.19972222</v>
      </c>
      <c r="E271" s="1" t="n">
        <v>20</v>
      </c>
      <c r="F271" s="1" t="inlineStr">
        <is>
          <t>Zona Bananera</t>
        </is>
      </c>
      <c r="G271" s="1" t="inlineStr">
        <is>
          <t>Magdalena</t>
        </is>
      </c>
      <c r="H271" s="39" t="n">
        <v>38.4</v>
      </c>
      <c r="I271" s="1" t="n">
        <v>2012</v>
      </c>
      <c r="J271" s="1" t="n">
        <v>31</v>
      </c>
      <c r="K271" s="39" t="n">
        <v>39.6</v>
      </c>
      <c r="L271" s="1" t="n">
        <v>1998</v>
      </c>
      <c r="M271" s="1" t="n">
        <v>25</v>
      </c>
      <c r="N271" s="39" t="n">
        <v>38.2</v>
      </c>
      <c r="O271" s="1" t="n">
        <v>2016</v>
      </c>
      <c r="P271" s="1" t="n">
        <v>13</v>
      </c>
      <c r="Q271" s="39" t="n">
        <v>39.4</v>
      </c>
      <c r="R271" s="1" t="n">
        <v>2015</v>
      </c>
      <c r="S271" s="1" t="n">
        <v>27</v>
      </c>
      <c r="T271" s="39" t="n">
        <v>38.8</v>
      </c>
      <c r="U271" s="1" t="n">
        <v>2020</v>
      </c>
      <c r="V271" s="1" t="n">
        <v>22</v>
      </c>
      <c r="W271" s="39" t="n">
        <v>38.8</v>
      </c>
      <c r="X271" s="1" t="n">
        <v>2019</v>
      </c>
      <c r="Y271" s="1" t="n">
        <v>16</v>
      </c>
      <c r="Z271" s="39" t="n">
        <v>38.6</v>
      </c>
      <c r="AA271" s="1" t="n">
        <v>2015</v>
      </c>
      <c r="AB271" s="1" t="n">
        <v>5</v>
      </c>
      <c r="AC271" s="39" t="n">
        <v>39.4</v>
      </c>
      <c r="AD271" s="1" t="n">
        <v>2019</v>
      </c>
      <c r="AE271" s="1" t="n">
        <v>18</v>
      </c>
      <c r="AF271" s="39" t="n">
        <v>39.6</v>
      </c>
      <c r="AG271" s="1" t="n">
        <v>1981</v>
      </c>
      <c r="AH271" s="1" t="n">
        <v>22</v>
      </c>
      <c r="AI271" s="39" t="n">
        <v>39.2</v>
      </c>
      <c r="AJ271" s="1" t="n">
        <v>2019</v>
      </c>
      <c r="AK271" s="1" t="n">
        <v>1</v>
      </c>
      <c r="AL271" s="39" t="n">
        <v>39.8</v>
      </c>
      <c r="AM271" s="1" t="n">
        <v>2015</v>
      </c>
      <c r="AN271" s="1" t="n">
        <v>7</v>
      </c>
      <c r="AO271" s="39" t="n">
        <v>38</v>
      </c>
      <c r="AP271" s="1" t="n">
        <v>2019</v>
      </c>
      <c r="AQ271" s="1" t="n">
        <v>21</v>
      </c>
    </row>
    <row r="272" ht="14.45" customHeight="1">
      <c r="A272" s="1" t="n">
        <v>31015010</v>
      </c>
      <c r="B272" s="1" t="inlineStr">
        <is>
          <t>EL TRUENO [31015010]</t>
        </is>
      </c>
      <c r="C272" s="1" t="n">
        <v>2.372592</v>
      </c>
      <c r="D272" s="1" t="n">
        <v>-72.639861</v>
      </c>
      <c r="E272" s="1" t="n">
        <v>216</v>
      </c>
      <c r="F272" s="1" t="inlineStr">
        <is>
          <t>El Retorno</t>
        </is>
      </c>
      <c r="G272" s="1" t="inlineStr">
        <is>
          <t>Guaviare</t>
        </is>
      </c>
      <c r="H272" s="39" t="n">
        <v>38.2</v>
      </c>
      <c r="I272" s="1" t="n">
        <v>2016</v>
      </c>
      <c r="J272" s="1" t="n">
        <v>17</v>
      </c>
      <c r="K272" s="39" t="n">
        <v>38.8</v>
      </c>
      <c r="L272" s="1" t="n">
        <v>2007</v>
      </c>
      <c r="M272" s="1" t="n">
        <v>19</v>
      </c>
      <c r="N272" s="39" t="n">
        <v>39</v>
      </c>
      <c r="O272" s="1" t="n">
        <v>2000</v>
      </c>
      <c r="P272" s="1" t="n">
        <v>19</v>
      </c>
      <c r="Q272" s="39" t="n">
        <v>35.6</v>
      </c>
      <c r="R272" s="1" t="n">
        <v>2019</v>
      </c>
      <c r="S272" s="1" t="n">
        <v>10</v>
      </c>
      <c r="T272" s="39" t="n">
        <v>37.6</v>
      </c>
      <c r="U272" s="1" t="n">
        <v>1991</v>
      </c>
      <c r="V272" s="1" t="n">
        <v>14</v>
      </c>
      <c r="W272" s="39" t="n">
        <v>34.7</v>
      </c>
      <c r="X272" s="1" t="n">
        <v>1992</v>
      </c>
      <c r="Y272" s="1" t="n">
        <v>1</v>
      </c>
      <c r="Z272" s="39" t="n">
        <v>35.6</v>
      </c>
      <c r="AA272" s="1" t="n">
        <v>2020</v>
      </c>
      <c r="AB272" s="1" t="n">
        <v>29</v>
      </c>
      <c r="AC272" s="39" t="n">
        <v>35.5</v>
      </c>
      <c r="AD272" s="1" t="n">
        <v>1988</v>
      </c>
      <c r="AE272" s="1" t="n">
        <v>18</v>
      </c>
      <c r="AF272" s="39" t="n">
        <v>35</v>
      </c>
      <c r="AG272" s="1" t="n">
        <v>1998</v>
      </c>
      <c r="AH272" s="1" t="n">
        <v>29</v>
      </c>
      <c r="AI272" s="39" t="n">
        <v>37.8</v>
      </c>
      <c r="AJ272" s="1" t="n">
        <v>1990</v>
      </c>
      <c r="AK272" s="1" t="n">
        <v>25</v>
      </c>
      <c r="AL272" s="39" t="n">
        <v>36.6</v>
      </c>
      <c r="AM272" s="1" t="n">
        <v>1991</v>
      </c>
      <c r="AN272" s="1" t="n">
        <v>24</v>
      </c>
      <c r="AO272" s="39" t="n">
        <v>36.6</v>
      </c>
      <c r="AP272" s="1" t="n">
        <v>1997</v>
      </c>
      <c r="AQ272" s="1" t="n">
        <v>24</v>
      </c>
    </row>
    <row r="273" ht="14.45" customHeight="1">
      <c r="A273" s="1" t="n">
        <v>31095030</v>
      </c>
      <c r="B273" s="1" t="inlineStr">
        <is>
          <t>PUERTO INIRIDA - AUT [31095030]</t>
        </is>
      </c>
      <c r="C273" s="1" t="n">
        <v>3.874444</v>
      </c>
      <c r="D273" s="1" t="n">
        <v>-67.91911111</v>
      </c>
      <c r="E273" s="1" t="n">
        <v>98</v>
      </c>
      <c r="F273" s="1" t="inlineStr">
        <is>
          <t>Inírida</t>
        </is>
      </c>
      <c r="G273" s="1" t="inlineStr">
        <is>
          <t>Guainía</t>
        </is>
      </c>
      <c r="H273" s="39" t="n">
        <v>37.6</v>
      </c>
      <c r="I273" s="1" t="n">
        <v>2016</v>
      </c>
      <c r="J273" s="1" t="n">
        <v>30</v>
      </c>
      <c r="K273" s="39" t="n">
        <v>38</v>
      </c>
      <c r="L273" s="1" t="n">
        <v>2010</v>
      </c>
      <c r="M273" s="1" t="n">
        <v>15</v>
      </c>
      <c r="N273" s="39" t="n">
        <v>38</v>
      </c>
      <c r="O273" s="1" t="n">
        <v>2018</v>
      </c>
      <c r="P273" s="1" t="n">
        <v>15</v>
      </c>
      <c r="Q273" s="39" t="n">
        <v>36.6</v>
      </c>
      <c r="R273" s="1" t="n">
        <v>2019</v>
      </c>
      <c r="S273" s="1" t="n">
        <v>6</v>
      </c>
      <c r="T273" s="39" t="n">
        <v>35.8</v>
      </c>
      <c r="U273" s="1" t="n">
        <v>2019</v>
      </c>
      <c r="V273" s="1" t="n">
        <v>1</v>
      </c>
      <c r="W273" s="39" t="n">
        <v>35</v>
      </c>
      <c r="X273" s="1" t="n">
        <v>2005</v>
      </c>
      <c r="Y273" s="1" t="n">
        <v>13</v>
      </c>
      <c r="Z273" s="39" t="n">
        <v>34.2</v>
      </c>
      <c r="AA273" s="1" t="n">
        <v>2011</v>
      </c>
      <c r="AB273" s="1" t="n">
        <v>18</v>
      </c>
      <c r="AC273" s="39" t="n">
        <v>35.4</v>
      </c>
      <c r="AD273" s="1" t="n">
        <v>2019</v>
      </c>
      <c r="AE273" s="1" t="n">
        <v>4</v>
      </c>
      <c r="AF273" s="39" t="n">
        <v>35.6</v>
      </c>
      <c r="AG273" s="1" t="n">
        <v>2015</v>
      </c>
      <c r="AH273" s="1" t="n">
        <v>27</v>
      </c>
      <c r="AI273" s="39" t="n">
        <v>36</v>
      </c>
      <c r="AJ273" s="1" t="n">
        <v>2024</v>
      </c>
      <c r="AK273" s="1" t="n">
        <v>21</v>
      </c>
      <c r="AL273" s="39" t="n">
        <v>36.8</v>
      </c>
      <c r="AM273" s="1" t="n">
        <v>2023</v>
      </c>
      <c r="AN273" s="1" t="n">
        <v>19</v>
      </c>
      <c r="AO273" s="39" t="n">
        <v>36.2</v>
      </c>
      <c r="AP273" s="1" t="n">
        <v>2009</v>
      </c>
      <c r="AQ273" s="1" t="n">
        <v>10</v>
      </c>
    </row>
    <row r="274" ht="14.45" customHeight="1">
      <c r="A274" s="1" t="n">
        <v>32035010</v>
      </c>
      <c r="B274" s="1" t="inlineStr">
        <is>
          <t>LA MACARENA [32035010]</t>
        </is>
      </c>
      <c r="C274" s="1" t="n">
        <v>2.176139</v>
      </c>
      <c r="D274" s="1" t="n">
        <v>-73.79347199999999</v>
      </c>
      <c r="E274" s="1" t="n">
        <v>227</v>
      </c>
      <c r="F274" s="1" t="inlineStr">
        <is>
          <t>La Macarena</t>
        </is>
      </c>
      <c r="G274" s="1" t="inlineStr">
        <is>
          <t>Meta</t>
        </is>
      </c>
      <c r="H274" s="39" t="n">
        <v>37</v>
      </c>
      <c r="I274" s="1" t="n">
        <v>2024</v>
      </c>
      <c r="J274" s="1" t="n">
        <v>28</v>
      </c>
      <c r="K274" s="39" t="n">
        <v>38</v>
      </c>
      <c r="L274" s="1" t="n">
        <v>2001</v>
      </c>
      <c r="M274" s="1" t="n">
        <v>27</v>
      </c>
      <c r="N274" s="39" t="n">
        <v>37.6</v>
      </c>
      <c r="O274" s="1" t="n">
        <v>2005</v>
      </c>
      <c r="P274" s="1" t="n">
        <v>12</v>
      </c>
      <c r="Q274" s="39" t="n">
        <v>36.2</v>
      </c>
      <c r="R274" s="1" t="n">
        <v>2024</v>
      </c>
      <c r="S274" s="1" t="n">
        <v>15</v>
      </c>
      <c r="T274" s="39" t="n">
        <v>36.6</v>
      </c>
      <c r="U274" s="1" t="n">
        <v>1988</v>
      </c>
      <c r="V274" s="1" t="n">
        <v>18</v>
      </c>
      <c r="W274" s="39" t="n">
        <v>33.8</v>
      </c>
      <c r="X274" s="1" t="n">
        <v>1995</v>
      </c>
      <c r="Y274" s="1" t="n">
        <v>1</v>
      </c>
      <c r="Z274" s="39" t="n">
        <v>33.2</v>
      </c>
      <c r="AA274" s="1" t="n">
        <v>2006</v>
      </c>
      <c r="AB274" s="1" t="n">
        <v>28</v>
      </c>
      <c r="AC274" s="39" t="n">
        <v>35.4</v>
      </c>
      <c r="AD274" s="1" t="n">
        <v>2023</v>
      </c>
      <c r="AE274" s="1" t="n">
        <v>31</v>
      </c>
      <c r="AF274" s="39" t="n">
        <v>35.6</v>
      </c>
      <c r="AG274" s="1" t="n">
        <v>2015</v>
      </c>
      <c r="AH274" s="1" t="n">
        <v>21</v>
      </c>
      <c r="AI274" s="39" t="n">
        <v>35.4</v>
      </c>
      <c r="AJ274" s="1" t="n">
        <v>2024</v>
      </c>
      <c r="AK274" s="1" t="n">
        <v>21</v>
      </c>
      <c r="AL274" s="39" t="n">
        <v>36</v>
      </c>
      <c r="AM274" s="1" t="n">
        <v>2025</v>
      </c>
      <c r="AN274" s="1" t="n">
        <v>7</v>
      </c>
      <c r="AO274" s="39" t="n">
        <v>36.4</v>
      </c>
      <c r="AP274" s="1" t="n">
        <v>2025</v>
      </c>
      <c r="AQ274" s="1" t="n">
        <v>9</v>
      </c>
    </row>
    <row r="275" ht="14.45" customHeight="1">
      <c r="A275" s="1" t="n">
        <v>32035020</v>
      </c>
      <c r="B275" s="1" t="inlineStr">
        <is>
          <t>LA BALSORA [32035020]</t>
        </is>
      </c>
      <c r="C275" s="1" t="n">
        <v>2.438389</v>
      </c>
      <c r="D275" s="1" t="n">
        <v>-73.932278</v>
      </c>
      <c r="E275" s="1" t="n">
        <v>249</v>
      </c>
      <c r="F275" s="1" t="inlineStr">
        <is>
          <t>La Macarena</t>
        </is>
      </c>
      <c r="G275" s="1" t="inlineStr">
        <is>
          <t>Meta</t>
        </is>
      </c>
      <c r="H275" s="39" t="n">
        <v>36.4</v>
      </c>
      <c r="I275" s="1" t="n">
        <v>2010</v>
      </c>
      <c r="J275" s="1" t="n">
        <v>31</v>
      </c>
      <c r="K275" s="39" t="n">
        <v>36.6</v>
      </c>
      <c r="L275" s="1" t="n">
        <v>2004</v>
      </c>
      <c r="M275" s="1" t="n">
        <v>19</v>
      </c>
      <c r="N275" s="39" t="n">
        <v>36.4</v>
      </c>
      <c r="O275" s="1" t="n">
        <v>2018</v>
      </c>
      <c r="P275" s="1" t="n">
        <v>13</v>
      </c>
      <c r="Q275" s="39" t="n">
        <v>34.2</v>
      </c>
      <c r="R275" s="1" t="n">
        <v>1992</v>
      </c>
      <c r="S275" s="1" t="n">
        <v>3</v>
      </c>
      <c r="T275" s="39" t="n">
        <v>34.4</v>
      </c>
      <c r="U275" s="1" t="n">
        <v>1996</v>
      </c>
      <c r="V275" s="1" t="n">
        <v>13</v>
      </c>
      <c r="W275" s="39" t="n">
        <v>34</v>
      </c>
      <c r="X275" s="1" t="n">
        <v>1999</v>
      </c>
      <c r="Y275" s="1" t="n">
        <v>1</v>
      </c>
      <c r="Z275" s="39" t="n">
        <v>33.2</v>
      </c>
      <c r="AA275" s="1" t="n">
        <v>2007</v>
      </c>
      <c r="AB275" s="1" t="n">
        <v>24</v>
      </c>
      <c r="AC275" s="39" t="n">
        <v>34.4</v>
      </c>
      <c r="AD275" s="1" t="n">
        <v>1997</v>
      </c>
      <c r="AE275" s="1" t="n">
        <v>26</v>
      </c>
      <c r="AF275" s="39" t="n">
        <v>34.8</v>
      </c>
      <c r="AG275" s="1" t="n">
        <v>2024</v>
      </c>
      <c r="AH275" s="1" t="n">
        <v>14</v>
      </c>
      <c r="AI275" s="39" t="n">
        <v>34.8</v>
      </c>
      <c r="AJ275" s="1" t="n">
        <v>1984</v>
      </c>
      <c r="AK275" s="1" t="n">
        <v>12</v>
      </c>
      <c r="AL275" s="39" t="n">
        <v>35.6</v>
      </c>
      <c r="AM275" s="1" t="n">
        <v>1984</v>
      </c>
      <c r="AN275" s="1" t="n">
        <v>15</v>
      </c>
      <c r="AO275" s="39" t="n">
        <v>34.3</v>
      </c>
      <c r="AP275" s="1" t="n">
        <v>1996</v>
      </c>
      <c r="AQ275" s="1" t="n">
        <v>5</v>
      </c>
    </row>
    <row r="276" ht="14.45" customHeight="1">
      <c r="A276" s="1" t="n">
        <v>32070110</v>
      </c>
      <c r="B276" s="1" t="inlineStr">
        <is>
          <t>AGUAS CLARAS [32070110]</t>
        </is>
      </c>
      <c r="C276" s="1" t="n">
        <v>3.47071</v>
      </c>
      <c r="D276" s="1" t="n">
        <v>-73.86185</v>
      </c>
      <c r="E276" s="1" t="n">
        <v>422</v>
      </c>
      <c r="F276" s="1" t="inlineStr">
        <is>
          <t>Granada</t>
        </is>
      </c>
      <c r="G276" s="1" t="inlineStr">
        <is>
          <t>Meta</t>
        </is>
      </c>
      <c r="H276" s="39" t="n">
        <v>34.6</v>
      </c>
      <c r="I276" s="1" t="n">
        <v>1987</v>
      </c>
      <c r="J276" s="1" t="n">
        <v>30</v>
      </c>
      <c r="K276" s="39" t="n">
        <v>36</v>
      </c>
      <c r="L276" s="1" t="n">
        <v>1987</v>
      </c>
      <c r="M276" s="1" t="n">
        <v>7</v>
      </c>
      <c r="N276" s="39" t="n">
        <v>35.5</v>
      </c>
      <c r="O276" s="1" t="n">
        <v>1988</v>
      </c>
      <c r="P276" s="1" t="n">
        <v>15</v>
      </c>
      <c r="Q276" s="39" t="n">
        <v>34.6</v>
      </c>
      <c r="R276" s="1" t="n">
        <v>1988</v>
      </c>
      <c r="S276" s="1" t="n">
        <v>11</v>
      </c>
      <c r="T276" s="39" t="n">
        <v>33</v>
      </c>
      <c r="U276" s="1" t="n">
        <v>1987</v>
      </c>
      <c r="V276" s="1" t="n">
        <v>21</v>
      </c>
      <c r="W276" s="39" t="n">
        <v>34.2</v>
      </c>
      <c r="X276" s="1" t="n">
        <v>1986</v>
      </c>
      <c r="Y276" s="1" t="n">
        <v>19</v>
      </c>
      <c r="Z276" s="39" t="n">
        <v>32</v>
      </c>
      <c r="AA276" s="1" t="n">
        <v>1987</v>
      </c>
      <c r="AB276" s="1" t="n">
        <v>31</v>
      </c>
      <c r="AC276" s="39" t="n">
        <v>33.9</v>
      </c>
      <c r="AD276" s="1" t="n">
        <v>1986</v>
      </c>
      <c r="AE276" s="1" t="n">
        <v>24</v>
      </c>
      <c r="AF276" s="39" t="n">
        <v>33.2</v>
      </c>
      <c r="AG276" s="1" t="n">
        <v>1987</v>
      </c>
      <c r="AH276" s="1" t="n">
        <v>19</v>
      </c>
      <c r="AI276" s="39" t="n">
        <v>33.9</v>
      </c>
      <c r="AJ276" s="1" t="n">
        <v>1987</v>
      </c>
      <c r="AK276" s="1" t="n">
        <v>20</v>
      </c>
      <c r="AL276" s="39" t="n">
        <v>33.6</v>
      </c>
      <c r="AM276" s="1" t="n">
        <v>1986</v>
      </c>
      <c r="AN276" s="1" t="n">
        <v>6</v>
      </c>
      <c r="AO276" s="39" t="n">
        <v>34.1</v>
      </c>
      <c r="AP276" s="1" t="n">
        <v>1986</v>
      </c>
      <c r="AQ276" s="1" t="n">
        <v>6</v>
      </c>
    </row>
    <row r="277" ht="14.45" customHeight="1">
      <c r="A277" s="1" t="n">
        <v>32075050</v>
      </c>
      <c r="B277" s="1" t="inlineStr">
        <is>
          <t>MESETAS [32075050]</t>
        </is>
      </c>
      <c r="C277" s="1" t="n">
        <v>3.38008</v>
      </c>
      <c r="D277" s="1" t="n">
        <v>-74.04300000000001</v>
      </c>
      <c r="E277" s="1" t="n">
        <v>556</v>
      </c>
      <c r="F277" s="1" t="inlineStr">
        <is>
          <t>Mesetas</t>
        </is>
      </c>
      <c r="G277" s="1" t="inlineStr">
        <is>
          <t>Meta</t>
        </is>
      </c>
      <c r="H277" s="39" t="n">
        <v>35.4</v>
      </c>
      <c r="I277" s="1" t="n">
        <v>2010</v>
      </c>
      <c r="J277" s="1" t="n">
        <v>31</v>
      </c>
      <c r="K277" s="39" t="n">
        <v>36.4</v>
      </c>
      <c r="L277" s="1" t="n">
        <v>2010</v>
      </c>
      <c r="M277" s="1" t="n">
        <v>13</v>
      </c>
      <c r="N277" s="39" t="n">
        <v>35</v>
      </c>
      <c r="O277" s="1" t="n">
        <v>2019</v>
      </c>
      <c r="P277" s="1" t="n">
        <v>1</v>
      </c>
      <c r="Q277" s="39" t="n">
        <v>35</v>
      </c>
      <c r="R277" s="1" t="n">
        <v>1990</v>
      </c>
      <c r="S277" s="1" t="n">
        <v>1</v>
      </c>
      <c r="T277" s="39" t="n">
        <v>32</v>
      </c>
      <c r="U277" s="1" t="n">
        <v>1989</v>
      </c>
      <c r="V277" s="1" t="n">
        <v>7</v>
      </c>
      <c r="W277" s="39" t="n">
        <v>33.6</v>
      </c>
      <c r="X277" s="1" t="n">
        <v>1987</v>
      </c>
      <c r="Y277" s="1" t="n">
        <v>12</v>
      </c>
      <c r="Z277" s="39" t="n">
        <v>33.6</v>
      </c>
      <c r="AA277" s="1" t="n">
        <v>1990</v>
      </c>
      <c r="AB277" s="1" t="n">
        <v>30</v>
      </c>
      <c r="AC277" s="39" t="n">
        <v>33.4</v>
      </c>
      <c r="AD277" s="1" t="n">
        <v>2015</v>
      </c>
      <c r="AE277" s="1" t="n">
        <v>7</v>
      </c>
      <c r="AF277" s="39" t="n">
        <v>35.4</v>
      </c>
      <c r="AG277" s="1" t="n">
        <v>2023</v>
      </c>
      <c r="AH277" s="1" t="n">
        <v>28</v>
      </c>
      <c r="AI277" s="39" t="n">
        <v>34.6</v>
      </c>
      <c r="AJ277" s="1" t="n">
        <v>2023</v>
      </c>
      <c r="AK277" s="1" t="n">
        <v>4</v>
      </c>
      <c r="AL277" s="39" t="n">
        <v>32.8</v>
      </c>
      <c r="AM277" s="1" t="n">
        <v>2023</v>
      </c>
      <c r="AN277" s="1" t="n">
        <v>14</v>
      </c>
      <c r="AO277" s="39" t="n">
        <v>34</v>
      </c>
      <c r="AP277" s="1" t="n">
        <v>2021</v>
      </c>
      <c r="AQ277" s="1" t="n">
        <v>26</v>
      </c>
    </row>
    <row r="278" ht="14.45" customHeight="1">
      <c r="A278" s="1" t="n">
        <v>32155010</v>
      </c>
      <c r="B278" s="1" t="inlineStr">
        <is>
          <t>MAPIRIPANA [32155010]</t>
        </is>
      </c>
      <c r="C278" s="1" t="n">
        <v>2.811778</v>
      </c>
      <c r="D278" s="1" t="n">
        <v>-70.475139</v>
      </c>
      <c r="E278" s="1" t="n">
        <v>154</v>
      </c>
      <c r="F278" s="1" t="inlineStr">
        <is>
          <t>Barranco Mina</t>
        </is>
      </c>
      <c r="G278" s="1" t="inlineStr">
        <is>
          <t>Guainía</t>
        </is>
      </c>
      <c r="H278" s="39" t="n">
        <v>37.8</v>
      </c>
      <c r="I278" s="1" t="n">
        <v>2016</v>
      </c>
      <c r="J278" s="1" t="n">
        <v>30</v>
      </c>
      <c r="K278" s="39" t="n">
        <v>37.6</v>
      </c>
      <c r="L278" s="1" t="n">
        <v>2016</v>
      </c>
      <c r="M278" s="1" t="n">
        <v>5</v>
      </c>
      <c r="N278" s="39" t="n">
        <v>38.2</v>
      </c>
      <c r="O278" s="1" t="n">
        <v>2016</v>
      </c>
      <c r="P278" s="1" t="n">
        <v>11</v>
      </c>
      <c r="Q278" s="39" t="n">
        <v>36.6</v>
      </c>
      <c r="R278" s="1" t="n">
        <v>1992</v>
      </c>
      <c r="S278" s="1" t="n">
        <v>21</v>
      </c>
      <c r="T278" s="39" t="n">
        <v>36.5</v>
      </c>
      <c r="U278" s="1" t="n">
        <v>1998</v>
      </c>
      <c r="V278" s="1" t="n">
        <v>1</v>
      </c>
      <c r="W278" s="39" t="n">
        <v>35</v>
      </c>
      <c r="X278" s="1" t="n">
        <v>2016</v>
      </c>
      <c r="Y278" s="1" t="n">
        <v>9</v>
      </c>
      <c r="Z278" s="39" t="n">
        <v>35.4</v>
      </c>
      <c r="AA278" s="1" t="n">
        <v>2021</v>
      </c>
      <c r="AB278" s="1" t="n">
        <v>29</v>
      </c>
      <c r="AC278" s="39" t="n">
        <v>36.4</v>
      </c>
      <c r="AD278" s="1" t="n">
        <v>2016</v>
      </c>
      <c r="AE278" s="1" t="n">
        <v>21</v>
      </c>
      <c r="AF278" s="39" t="n">
        <v>37</v>
      </c>
      <c r="AG278" s="1" t="n">
        <v>2015</v>
      </c>
      <c r="AH278" s="1" t="n">
        <v>28</v>
      </c>
      <c r="AI278" s="39" t="n">
        <v>37.2</v>
      </c>
      <c r="AJ278" s="1" t="n">
        <v>2023</v>
      </c>
      <c r="AK278" s="1" t="n">
        <v>3</v>
      </c>
      <c r="AL278" s="39" t="n">
        <v>36.4</v>
      </c>
      <c r="AM278" s="1" t="n">
        <v>2024</v>
      </c>
      <c r="AN278" s="1" t="n">
        <v>1</v>
      </c>
      <c r="AO278" s="39" t="n">
        <v>35.6</v>
      </c>
      <c r="AP278" s="1" t="n">
        <v>2014</v>
      </c>
      <c r="AQ278" s="1" t="n">
        <v>2</v>
      </c>
    </row>
    <row r="279" ht="14.45" customHeight="1">
      <c r="A279" s="1" t="n">
        <v>33055010</v>
      </c>
      <c r="B279" s="1" t="inlineStr">
        <is>
          <t>CUMARIBO [33055010]</t>
        </is>
      </c>
      <c r="C279" s="1" t="n">
        <v>4.494806</v>
      </c>
      <c r="D279" s="1" t="n">
        <v>-69.81230600000001</v>
      </c>
      <c r="E279" s="1" t="n">
        <v>158</v>
      </c>
      <c r="F279" s="1" t="inlineStr">
        <is>
          <t>Cumaribo</t>
        </is>
      </c>
      <c r="G279" s="1" t="inlineStr">
        <is>
          <t>Vichada</t>
        </is>
      </c>
      <c r="H279" s="39" t="n">
        <v>37.6</v>
      </c>
      <c r="I279" s="1" t="n">
        <v>2020</v>
      </c>
      <c r="J279" s="1" t="n">
        <v>29</v>
      </c>
      <c r="K279" s="39" t="n">
        <v>38.2</v>
      </c>
      <c r="L279" s="1" t="n">
        <v>2016</v>
      </c>
      <c r="M279" s="1" t="n">
        <v>29</v>
      </c>
      <c r="N279" s="39" t="n">
        <v>38.4</v>
      </c>
      <c r="O279" s="1" t="n">
        <v>1998</v>
      </c>
      <c r="P279" s="1" t="n">
        <v>13</v>
      </c>
      <c r="Q279" s="39" t="n">
        <v>37.4</v>
      </c>
      <c r="R279" s="1" t="n">
        <v>2020</v>
      </c>
      <c r="S279" s="1" t="n">
        <v>16</v>
      </c>
      <c r="T279" s="39" t="n">
        <v>35.4</v>
      </c>
      <c r="U279" s="1" t="n">
        <v>2007</v>
      </c>
      <c r="V279" s="1" t="n">
        <v>10</v>
      </c>
      <c r="W279" s="39" t="n">
        <v>34.6</v>
      </c>
      <c r="X279" s="1" t="n">
        <v>2009</v>
      </c>
      <c r="Y279" s="1" t="n">
        <v>1</v>
      </c>
      <c r="Z279" s="39" t="n">
        <v>34.6</v>
      </c>
      <c r="AA279" s="1" t="n">
        <v>2006</v>
      </c>
      <c r="AB279" s="1" t="n">
        <v>30</v>
      </c>
      <c r="AC279" s="39" t="n">
        <v>35</v>
      </c>
      <c r="AD279" s="1" t="n">
        <v>2006</v>
      </c>
      <c r="AE279" s="1" t="n">
        <v>6</v>
      </c>
      <c r="AF279" s="39" t="n">
        <v>36.6</v>
      </c>
      <c r="AG279" s="1" t="n">
        <v>2023</v>
      </c>
      <c r="AH279" s="1" t="n">
        <v>27</v>
      </c>
      <c r="AI279" s="39" t="n">
        <v>36.2</v>
      </c>
      <c r="AJ279" s="1" t="n">
        <v>2024</v>
      </c>
      <c r="AK279" s="1" t="n">
        <v>21</v>
      </c>
      <c r="AL279" s="39" t="n">
        <v>35.8</v>
      </c>
      <c r="AM279" s="1" t="n">
        <v>2023</v>
      </c>
      <c r="AN279" s="1" t="n">
        <v>24</v>
      </c>
      <c r="AO279" s="39" t="n">
        <v>35.6</v>
      </c>
      <c r="AP279" s="1" t="n">
        <v>2023</v>
      </c>
      <c r="AQ279" s="1" t="n">
        <v>21</v>
      </c>
    </row>
    <row r="280" ht="14.45" customHeight="1">
      <c r="A280" s="1" t="n">
        <v>34015010</v>
      </c>
      <c r="B280" s="1" t="inlineStr">
        <is>
          <t>LAS GAVIOTAS [34015010]</t>
        </is>
      </c>
      <c r="C280" s="1" t="n">
        <v>4.553891</v>
      </c>
      <c r="D280" s="1" t="n">
        <v>-70.93022499999999</v>
      </c>
      <c r="E280" s="1" t="n">
        <v>173</v>
      </c>
      <c r="F280" s="1" t="inlineStr">
        <is>
          <t>Cumaribo</t>
        </is>
      </c>
      <c r="G280" s="1" t="inlineStr">
        <is>
          <t>Vichada</t>
        </is>
      </c>
      <c r="H280" s="39" t="n">
        <v>37.5</v>
      </c>
      <c r="I280" s="1" t="n">
        <v>1998</v>
      </c>
      <c r="J280" s="1" t="n">
        <v>28</v>
      </c>
      <c r="K280" s="39" t="n">
        <v>37.6</v>
      </c>
      <c r="L280" s="1" t="n">
        <v>2010</v>
      </c>
      <c r="M280" s="1" t="n">
        <v>14</v>
      </c>
      <c r="N280" s="39" t="n">
        <v>38</v>
      </c>
      <c r="O280" s="1" t="n">
        <v>1992</v>
      </c>
      <c r="P280" s="1" t="n">
        <v>28</v>
      </c>
      <c r="Q280" s="39" t="n">
        <v>37.2</v>
      </c>
      <c r="R280" s="1" t="n">
        <v>1985</v>
      </c>
      <c r="S280" s="1" t="n">
        <v>16</v>
      </c>
      <c r="T280" s="39" t="n">
        <v>36</v>
      </c>
      <c r="U280" s="1" t="n">
        <v>1991</v>
      </c>
      <c r="V280" s="1" t="n">
        <v>25</v>
      </c>
      <c r="W280" s="39" t="n">
        <v>33.4</v>
      </c>
      <c r="X280" s="1" t="n">
        <v>2005</v>
      </c>
      <c r="Y280" s="1" t="n">
        <v>17</v>
      </c>
      <c r="Z280" s="39" t="n">
        <v>34.2</v>
      </c>
      <c r="AA280" s="1" t="n">
        <v>2003</v>
      </c>
      <c r="AB280" s="1" t="n">
        <v>6</v>
      </c>
      <c r="AC280" s="39" t="n">
        <v>35</v>
      </c>
      <c r="AD280" s="1" t="n">
        <v>2023</v>
      </c>
      <c r="AE280" s="1" t="n">
        <v>25</v>
      </c>
      <c r="AF280" s="39" t="n">
        <v>35.6</v>
      </c>
      <c r="AG280" s="1" t="n">
        <v>2023</v>
      </c>
      <c r="AH280" s="1" t="n">
        <v>27</v>
      </c>
      <c r="AI280" s="39" t="n">
        <v>36</v>
      </c>
      <c r="AJ280" s="1" t="n">
        <v>2006</v>
      </c>
      <c r="AK280" s="1" t="n">
        <v>6</v>
      </c>
      <c r="AL280" s="39" t="n">
        <v>35</v>
      </c>
      <c r="AM280" s="1" t="n">
        <v>2024</v>
      </c>
      <c r="AN280" s="1" t="n">
        <v>7</v>
      </c>
      <c r="AO280" s="39" t="n">
        <v>34.8</v>
      </c>
      <c r="AP280" s="1" t="n">
        <v>2009</v>
      </c>
      <c r="AQ280" s="1" t="n">
        <v>31</v>
      </c>
    </row>
    <row r="281" ht="14.45" customHeight="1">
      <c r="A281" s="1" t="n">
        <v>34035010</v>
      </c>
      <c r="B281" s="1" t="inlineStr">
        <is>
          <t>TUPARRO BOCAS - TOMO [34035010]</t>
        </is>
      </c>
      <c r="C281" s="1" t="n">
        <v>5.3526389</v>
      </c>
      <c r="D281" s="1" t="n">
        <v>-67.85677699999999</v>
      </c>
      <c r="E281" s="1" t="n">
        <v>74</v>
      </c>
      <c r="F281" s="1" t="inlineStr">
        <is>
          <t>Cumaribo</t>
        </is>
      </c>
      <c r="G281" s="1" t="inlineStr">
        <is>
          <t>Vichada</t>
        </is>
      </c>
      <c r="H281" s="39" t="n">
        <v>38.7</v>
      </c>
      <c r="I281" s="1" t="n">
        <v>1998</v>
      </c>
      <c r="J281" s="1" t="n">
        <v>29</v>
      </c>
      <c r="K281" s="39" t="n">
        <v>39.4</v>
      </c>
      <c r="L281" s="1" t="n">
        <v>1978</v>
      </c>
      <c r="M281" s="1" t="n">
        <v>21</v>
      </c>
      <c r="N281" s="39" t="n">
        <v>38.6</v>
      </c>
      <c r="O281" s="1" t="n">
        <v>2016</v>
      </c>
      <c r="P281" s="1" t="n">
        <v>5</v>
      </c>
      <c r="Q281" s="39" t="n">
        <v>37.8</v>
      </c>
      <c r="R281" s="1" t="n">
        <v>1978</v>
      </c>
      <c r="S281" s="1" t="n">
        <v>3</v>
      </c>
      <c r="T281" s="39" t="n">
        <v>36.4</v>
      </c>
      <c r="U281" s="1" t="n">
        <v>2017</v>
      </c>
      <c r="V281" s="1" t="n">
        <v>25</v>
      </c>
      <c r="W281" s="39" t="n">
        <v>37</v>
      </c>
      <c r="X281" s="1" t="n">
        <v>2013</v>
      </c>
      <c r="Y281" s="1" t="n">
        <v>16</v>
      </c>
      <c r="Z281" s="39" t="n">
        <v>36.4</v>
      </c>
      <c r="AA281" s="1" t="n">
        <v>2013</v>
      </c>
      <c r="AB281" s="1" t="n">
        <v>2</v>
      </c>
      <c r="AC281" s="39" t="n">
        <v>38.4</v>
      </c>
      <c r="AD281" s="1" t="n">
        <v>1980</v>
      </c>
      <c r="AE281" s="1" t="n">
        <v>5</v>
      </c>
      <c r="AF281" s="39" t="n">
        <v>38</v>
      </c>
      <c r="AG281" s="1" t="n">
        <v>1998</v>
      </c>
      <c r="AH281" s="1" t="n">
        <v>5</v>
      </c>
      <c r="AI281" s="39" t="n">
        <v>37.2</v>
      </c>
      <c r="AJ281" s="1" t="n">
        <v>1990</v>
      </c>
      <c r="AK281" s="1" t="n">
        <v>23</v>
      </c>
      <c r="AL281" s="39" t="n">
        <v>38.4</v>
      </c>
      <c r="AM281" s="1" t="n">
        <v>2016</v>
      </c>
      <c r="AN281" s="1" t="n">
        <v>13</v>
      </c>
      <c r="AO281" s="39" t="n">
        <v>37.8</v>
      </c>
      <c r="AP281" s="1" t="n">
        <v>1997</v>
      </c>
      <c r="AQ281" s="1" t="n">
        <v>19</v>
      </c>
    </row>
    <row r="282" ht="14.45" customHeight="1">
      <c r="A282" s="1" t="n">
        <v>35025060</v>
      </c>
      <c r="B282" s="1" t="inlineStr">
        <is>
          <t>LA BOLSA [35025060]</t>
        </is>
      </c>
      <c r="C282" s="1" t="n">
        <v>4.587059</v>
      </c>
      <c r="D282" s="1" t="n">
        <v>-73.995885</v>
      </c>
      <c r="E282" s="1" t="n">
        <v>3195</v>
      </c>
      <c r="F282" s="1" t="inlineStr">
        <is>
          <t>Choachí</t>
        </is>
      </c>
      <c r="G282" s="1" t="inlineStr">
        <is>
          <t>Cundinamarca</t>
        </is>
      </c>
      <c r="H282" s="39" t="n">
        <v>18.4</v>
      </c>
      <c r="I282" s="1" t="n">
        <v>2020</v>
      </c>
      <c r="J282" s="1" t="n">
        <v>7</v>
      </c>
      <c r="K282" s="39" t="n">
        <v>19</v>
      </c>
      <c r="L282" s="1" t="n">
        <v>2024</v>
      </c>
      <c r="M282" s="1" t="n">
        <v>20</v>
      </c>
      <c r="N282" s="39" t="n">
        <v>18.4</v>
      </c>
      <c r="O282" s="1" t="n">
        <v>2016</v>
      </c>
      <c r="P282" s="1" t="n">
        <v>3</v>
      </c>
      <c r="Q282" s="39" t="n">
        <v>18</v>
      </c>
      <c r="R282" s="1" t="n">
        <v>2024</v>
      </c>
      <c r="S282" s="1" t="n">
        <v>16</v>
      </c>
      <c r="T282" s="39" t="n">
        <v>16</v>
      </c>
      <c r="U282" s="1" t="n">
        <v>2015</v>
      </c>
      <c r="V282" s="1" t="n">
        <v>2</v>
      </c>
      <c r="W282" s="39" t="n">
        <v>16</v>
      </c>
      <c r="X282" s="1" t="n">
        <v>2007</v>
      </c>
      <c r="Y282" s="1" t="n">
        <v>5</v>
      </c>
      <c r="Z282" s="39" t="n">
        <v>16</v>
      </c>
      <c r="AA282" s="1" t="n">
        <v>1990</v>
      </c>
      <c r="AB282" s="1" t="n">
        <v>29</v>
      </c>
      <c r="AC282" s="39" t="n">
        <v>16.4</v>
      </c>
      <c r="AD282" s="1" t="n">
        <v>2020</v>
      </c>
      <c r="AE282" s="1" t="n">
        <v>29</v>
      </c>
      <c r="AF282" s="39" t="n">
        <v>17.6</v>
      </c>
      <c r="AG282" s="1" t="n">
        <v>2007</v>
      </c>
      <c r="AH282" s="1" t="n">
        <v>30</v>
      </c>
      <c r="AI282" s="39" t="n">
        <v>16.4</v>
      </c>
      <c r="AJ282" s="1" t="n">
        <v>2023</v>
      </c>
      <c r="AK282" s="1" t="n">
        <v>5</v>
      </c>
      <c r="AL282" s="39" t="n">
        <v>16.4</v>
      </c>
      <c r="AM282" s="1" t="n">
        <v>2023</v>
      </c>
      <c r="AN282" s="1" t="n">
        <v>23</v>
      </c>
      <c r="AO282" s="39" t="n">
        <v>17.6</v>
      </c>
      <c r="AP282" s="1" t="n">
        <v>1993</v>
      </c>
      <c r="AQ282" s="1" t="n">
        <v>24</v>
      </c>
    </row>
    <row r="283" ht="14.45" customHeight="1">
      <c r="A283" s="1" t="n">
        <v>35025070</v>
      </c>
      <c r="B283" s="1" t="inlineStr">
        <is>
          <t>LOS TAQUES [35025070]</t>
        </is>
      </c>
      <c r="C283" s="1" t="n">
        <v>4.196666667</v>
      </c>
      <c r="D283" s="1" t="n">
        <v>-74.19094444</v>
      </c>
      <c r="E283" s="1" t="n">
        <v>3150</v>
      </c>
      <c r="F283" s="1" t="inlineStr">
        <is>
          <t>Bogotá, D.C</t>
        </is>
      </c>
      <c r="G283" s="1" t="inlineStr">
        <is>
          <t>Bogotá</t>
        </is>
      </c>
      <c r="H283" s="39" t="n">
        <v>18</v>
      </c>
      <c r="I283" s="1" t="n">
        <v>2010</v>
      </c>
      <c r="J283" s="1" t="n">
        <v>11</v>
      </c>
      <c r="K283" s="39" t="n">
        <v>18.6</v>
      </c>
      <c r="L283" s="1" t="n">
        <v>2003</v>
      </c>
      <c r="M283" s="1" t="n">
        <v>20</v>
      </c>
      <c r="N283" s="39" t="n">
        <v>18.2</v>
      </c>
      <c r="O283" s="1" t="n">
        <v>1992</v>
      </c>
      <c r="P283" s="1" t="n">
        <v>24</v>
      </c>
      <c r="Q283" s="39" t="n">
        <v>16.8</v>
      </c>
      <c r="R283" s="1" t="n">
        <v>2004</v>
      </c>
      <c r="S283" s="1" t="n">
        <v>6</v>
      </c>
      <c r="T283" s="39" t="n">
        <v>16.2</v>
      </c>
      <c r="U283" s="1" t="n">
        <v>1992</v>
      </c>
      <c r="V283" s="1" t="n">
        <v>1</v>
      </c>
      <c r="W283" s="39" t="n">
        <v>15</v>
      </c>
      <c r="X283" s="1" t="n">
        <v>2009</v>
      </c>
      <c r="Y283" s="1" t="n">
        <v>10</v>
      </c>
      <c r="Z283" s="39" t="n">
        <v>16.8</v>
      </c>
      <c r="AA283" s="1" t="n">
        <v>2005</v>
      </c>
      <c r="AB283" s="1" t="n">
        <v>12</v>
      </c>
      <c r="AC283" s="39" t="n">
        <v>15</v>
      </c>
      <c r="AD283" s="1" t="n">
        <v>1994</v>
      </c>
      <c r="AE283" s="1" t="n">
        <v>10</v>
      </c>
      <c r="AF283" s="39" t="n">
        <v>16.8</v>
      </c>
      <c r="AG283" s="1" t="n">
        <v>2002</v>
      </c>
      <c r="AH283" s="1" t="n">
        <v>20</v>
      </c>
      <c r="AI283" s="39" t="n">
        <v>16.6</v>
      </c>
      <c r="AJ283" s="1" t="n">
        <v>1995</v>
      </c>
      <c r="AK283" s="1" t="n">
        <v>25</v>
      </c>
      <c r="AL283" s="39" t="n">
        <v>18.4</v>
      </c>
      <c r="AM283" s="1" t="n">
        <v>1999</v>
      </c>
      <c r="AN283" s="1" t="n">
        <v>16</v>
      </c>
      <c r="AO283" s="39" t="n">
        <v>18.2</v>
      </c>
      <c r="AP283" s="1" t="n">
        <v>1995</v>
      </c>
      <c r="AQ283" s="1" t="n">
        <v>11</v>
      </c>
    </row>
    <row r="284" ht="14.45" customHeight="1">
      <c r="A284" s="1" t="n">
        <v>35025110</v>
      </c>
      <c r="B284" s="1" t="inlineStr">
        <is>
          <t>LA LIBERTAD - AUT [35025110]</t>
        </is>
      </c>
      <c r="C284" s="1" t="n">
        <v>4.057415</v>
      </c>
      <c r="D284" s="1" t="n">
        <v>-73.467865</v>
      </c>
      <c r="E284" s="1" t="n">
        <v>340</v>
      </c>
      <c r="F284" s="1" t="inlineStr">
        <is>
          <t>Villavicencio</t>
        </is>
      </c>
      <c r="G284" s="1" t="inlineStr">
        <is>
          <t>Meta</t>
        </is>
      </c>
      <c r="H284" s="39" t="n">
        <v>37.4</v>
      </c>
      <c r="I284" s="1" t="n">
        <v>2010</v>
      </c>
      <c r="J284" s="1" t="n">
        <v>29</v>
      </c>
      <c r="K284" s="39" t="n">
        <v>38.6</v>
      </c>
      <c r="L284" s="1" t="n">
        <v>2010</v>
      </c>
      <c r="M284" s="1" t="n">
        <v>10</v>
      </c>
      <c r="N284" s="39" t="n">
        <v>38</v>
      </c>
      <c r="O284" s="1" t="n">
        <v>2019</v>
      </c>
      <c r="P284" s="1" t="n">
        <v>2</v>
      </c>
      <c r="Q284" s="39" t="n">
        <v>36.5</v>
      </c>
      <c r="R284" s="1" t="n">
        <v>1988</v>
      </c>
      <c r="S284" s="1" t="n">
        <v>20</v>
      </c>
      <c r="T284" s="39" t="n">
        <v>34.4</v>
      </c>
      <c r="U284" s="1" t="n">
        <v>2014</v>
      </c>
      <c r="V284" s="1" t="n">
        <v>24</v>
      </c>
      <c r="W284" s="39" t="n">
        <v>34</v>
      </c>
      <c r="X284" s="1" t="n">
        <v>2001</v>
      </c>
      <c r="Y284" s="1" t="n">
        <v>29</v>
      </c>
      <c r="Z284" s="39" t="n">
        <v>34.8</v>
      </c>
      <c r="AA284" s="1" t="n">
        <v>1997</v>
      </c>
      <c r="AB284" s="1" t="n">
        <v>3</v>
      </c>
      <c r="AC284" s="39" t="n">
        <v>34.4</v>
      </c>
      <c r="AD284" s="1" t="n">
        <v>2018</v>
      </c>
      <c r="AE284" s="1" t="n">
        <v>5</v>
      </c>
      <c r="AF284" s="39" t="n">
        <v>35</v>
      </c>
      <c r="AG284" s="1" t="n">
        <v>1986</v>
      </c>
      <c r="AH284" s="1" t="n">
        <v>26</v>
      </c>
      <c r="AI284" s="39" t="n">
        <v>34.6</v>
      </c>
      <c r="AJ284" s="1" t="n">
        <v>2018</v>
      </c>
      <c r="AK284" s="1" t="n">
        <v>7</v>
      </c>
      <c r="AL284" s="39" t="n">
        <v>35.4</v>
      </c>
      <c r="AM284" s="1" t="n">
        <v>2018</v>
      </c>
      <c r="AN284" s="1" t="n">
        <v>30</v>
      </c>
      <c r="AO284" s="39" t="n">
        <v>35</v>
      </c>
      <c r="AP284" s="1" t="n">
        <v>1989</v>
      </c>
      <c r="AQ284" s="1" t="n">
        <v>31</v>
      </c>
    </row>
    <row r="285" ht="14.45" customHeight="1">
      <c r="A285" s="1" t="n">
        <v>35035020</v>
      </c>
      <c r="B285" s="1" t="inlineStr">
        <is>
          <t>AEROPUERTO VANGUARDIA [35035020]</t>
        </is>
      </c>
      <c r="C285" s="1" t="n">
        <v>4.161917</v>
      </c>
      <c r="D285" s="1" t="n">
        <v>-73.617583</v>
      </c>
      <c r="E285" s="1" t="n">
        <v>420</v>
      </c>
      <c r="F285" s="1" t="inlineStr">
        <is>
          <t>Villavicencio</t>
        </is>
      </c>
      <c r="G285" s="1" t="inlineStr">
        <is>
          <t>Meta</t>
        </is>
      </c>
      <c r="H285" s="39" t="n">
        <v>37.6</v>
      </c>
      <c r="I285" s="1" t="n">
        <v>2010</v>
      </c>
      <c r="J285" s="1" t="n">
        <v>31</v>
      </c>
      <c r="K285" s="39" t="n">
        <v>38.2</v>
      </c>
      <c r="L285" s="1" t="n">
        <v>2010</v>
      </c>
      <c r="M285" s="1" t="n">
        <v>13</v>
      </c>
      <c r="N285" s="39" t="n">
        <v>37.2</v>
      </c>
      <c r="O285" s="1" t="n">
        <v>2007</v>
      </c>
      <c r="P285" s="1" t="n">
        <v>2</v>
      </c>
      <c r="Q285" s="39" t="n">
        <v>35.4</v>
      </c>
      <c r="R285" s="1" t="n">
        <v>2024</v>
      </c>
      <c r="S285" s="1" t="n">
        <v>16</v>
      </c>
      <c r="T285" s="39" t="n">
        <v>33.6</v>
      </c>
      <c r="U285" s="1" t="n">
        <v>2009</v>
      </c>
      <c r="V285" s="1" t="n">
        <v>25</v>
      </c>
      <c r="W285" s="39" t="n">
        <v>33.2</v>
      </c>
      <c r="X285" s="1" t="n">
        <v>2009</v>
      </c>
      <c r="Y285" s="1" t="n">
        <v>2</v>
      </c>
      <c r="Z285" s="39" t="n">
        <v>33.5</v>
      </c>
      <c r="AA285" s="1" t="n">
        <v>2000</v>
      </c>
      <c r="AB285" s="1" t="n">
        <v>9</v>
      </c>
      <c r="AC285" s="39" t="n">
        <v>34.4</v>
      </c>
      <c r="AD285" s="1" t="n">
        <v>2023</v>
      </c>
      <c r="AE285" s="1" t="n">
        <v>26</v>
      </c>
      <c r="AF285" s="39" t="n">
        <v>35</v>
      </c>
      <c r="AG285" s="1" t="n">
        <v>2023</v>
      </c>
      <c r="AH285" s="1" t="n">
        <v>27</v>
      </c>
      <c r="AI285" s="39" t="n">
        <v>34.4</v>
      </c>
      <c r="AJ285" s="1" t="n">
        <v>2001</v>
      </c>
      <c r="AK285" s="1" t="n">
        <v>8</v>
      </c>
      <c r="AL285" s="39" t="n">
        <v>34</v>
      </c>
      <c r="AM285" s="1" t="n">
        <v>2012</v>
      </c>
      <c r="AN285" s="1" t="n">
        <v>25</v>
      </c>
      <c r="AO285" s="39" t="n">
        <v>35.2</v>
      </c>
      <c r="AP285" s="1" t="n">
        <v>2009</v>
      </c>
      <c r="AQ285" s="1" t="n">
        <v>20</v>
      </c>
    </row>
    <row r="286" ht="14.45" customHeight="1">
      <c r="A286" s="1" t="n">
        <v>35035070</v>
      </c>
      <c r="B286" s="1" t="inlineStr">
        <is>
          <t>UNILLANOS [35035070]</t>
        </is>
      </c>
      <c r="C286" s="1" t="n">
        <v>4.076861</v>
      </c>
      <c r="D286" s="1" t="n">
        <v>-73.582722</v>
      </c>
      <c r="E286" s="1" t="n">
        <v>386</v>
      </c>
      <c r="F286" s="1" t="inlineStr">
        <is>
          <t>Villavicencio</t>
        </is>
      </c>
      <c r="G286" s="1" t="inlineStr">
        <is>
          <t>Meta</t>
        </is>
      </c>
      <c r="H286" s="39" t="n">
        <v>36.6</v>
      </c>
      <c r="I286" s="1" t="n">
        <v>1998</v>
      </c>
      <c r="J286" s="1" t="n">
        <v>28</v>
      </c>
      <c r="K286" s="39" t="n">
        <v>37.8</v>
      </c>
      <c r="L286" s="1" t="n">
        <v>2010</v>
      </c>
      <c r="M286" s="1" t="n">
        <v>10</v>
      </c>
      <c r="N286" s="39" t="n">
        <v>37</v>
      </c>
      <c r="O286" s="1" t="n">
        <v>2002</v>
      </c>
      <c r="P286" s="1" t="n">
        <v>9</v>
      </c>
      <c r="Q286" s="39" t="n">
        <v>36</v>
      </c>
      <c r="R286" s="1" t="n">
        <v>2004</v>
      </c>
      <c r="S286" s="1" t="n">
        <v>4</v>
      </c>
      <c r="T286" s="39" t="n">
        <v>34</v>
      </c>
      <c r="U286" s="1" t="n">
        <v>2002</v>
      </c>
      <c r="V286" s="1" t="n">
        <v>12</v>
      </c>
      <c r="W286" s="39" t="n">
        <v>33</v>
      </c>
      <c r="X286" s="1" t="n">
        <v>1994</v>
      </c>
      <c r="Y286" s="1" t="n">
        <v>26</v>
      </c>
      <c r="Z286" s="39" t="n">
        <v>32.4</v>
      </c>
      <c r="AA286" s="1" t="n">
        <v>2001</v>
      </c>
      <c r="AB286" s="1" t="n">
        <v>3</v>
      </c>
      <c r="AC286" s="39" t="n">
        <v>33.8</v>
      </c>
      <c r="AD286" s="1" t="n">
        <v>2005</v>
      </c>
      <c r="AE286" s="1" t="n">
        <v>29</v>
      </c>
      <c r="AF286" s="39" t="n">
        <v>34.2</v>
      </c>
      <c r="AG286" s="1" t="n">
        <v>2023</v>
      </c>
      <c r="AH286" s="1" t="n">
        <v>6</v>
      </c>
      <c r="AI286" s="39" t="n">
        <v>36.1</v>
      </c>
      <c r="AJ286" s="1" t="n">
        <v>2004</v>
      </c>
      <c r="AK286" s="1" t="n">
        <v>24</v>
      </c>
      <c r="AL286" s="39" t="n">
        <v>34.2</v>
      </c>
      <c r="AM286" s="1" t="n">
        <v>2007</v>
      </c>
      <c r="AN286" s="1" t="n">
        <v>6</v>
      </c>
      <c r="AO286" s="39" t="n">
        <v>34.2</v>
      </c>
      <c r="AP286" s="1" t="n">
        <v>1997</v>
      </c>
      <c r="AQ286" s="1" t="n">
        <v>21</v>
      </c>
    </row>
    <row r="287" ht="14.45" customHeight="1">
      <c r="A287" s="1" t="n">
        <v>35045020</v>
      </c>
      <c r="B287" s="1" t="inlineStr">
        <is>
          <t>HACIENDA LA CABAÑA [35045020]</t>
        </is>
      </c>
      <c r="C287" s="1" t="n">
        <v>4.300444444</v>
      </c>
      <c r="D287" s="1" t="n">
        <v>-73.3575</v>
      </c>
      <c r="E287" s="1" t="n">
        <v>310</v>
      </c>
      <c r="F287" s="1" t="inlineStr">
        <is>
          <t>Cumaral</t>
        </is>
      </c>
      <c r="G287" s="1" t="inlineStr">
        <is>
          <t>Meta</t>
        </is>
      </c>
      <c r="H287" s="39" t="n">
        <v>37.2</v>
      </c>
      <c r="I287" s="1" t="n">
        <v>1998</v>
      </c>
      <c r="J287" s="1" t="n">
        <v>27</v>
      </c>
      <c r="K287" s="39" t="n">
        <v>38</v>
      </c>
      <c r="L287" s="1" t="n">
        <v>2010</v>
      </c>
      <c r="M287" s="1" t="n">
        <v>10</v>
      </c>
      <c r="N287" s="39" t="n">
        <v>38</v>
      </c>
      <c r="O287" s="1" t="n">
        <v>1988</v>
      </c>
      <c r="P287" s="1" t="n">
        <v>15</v>
      </c>
      <c r="Q287" s="39" t="n">
        <v>36</v>
      </c>
      <c r="R287" s="1" t="n">
        <v>2024</v>
      </c>
      <c r="S287" s="1" t="n">
        <v>15</v>
      </c>
      <c r="T287" s="39" t="n">
        <v>34.4</v>
      </c>
      <c r="U287" s="1" t="n">
        <v>1992</v>
      </c>
      <c r="V287" s="1" t="n">
        <v>2</v>
      </c>
      <c r="W287" s="39" t="n">
        <v>34.4</v>
      </c>
      <c r="X287" s="1" t="n">
        <v>1992</v>
      </c>
      <c r="Y287" s="1" t="n">
        <v>17</v>
      </c>
      <c r="Z287" s="39" t="n">
        <v>34</v>
      </c>
      <c r="AA287" s="1" t="n">
        <v>1983</v>
      </c>
      <c r="AB287" s="1" t="n">
        <v>25</v>
      </c>
      <c r="AC287" s="39" t="n">
        <v>34</v>
      </c>
      <c r="AD287" s="1" t="n">
        <v>1998</v>
      </c>
      <c r="AE287" s="1" t="n">
        <v>9</v>
      </c>
      <c r="AF287" s="39" t="n">
        <v>35</v>
      </c>
      <c r="AG287" s="1" t="n">
        <v>1983</v>
      </c>
      <c r="AH287" s="1" t="n">
        <v>13</v>
      </c>
      <c r="AI287" s="39" t="n">
        <v>35</v>
      </c>
      <c r="AJ287" s="1" t="n">
        <v>2024</v>
      </c>
      <c r="AK287" s="1" t="n">
        <v>25</v>
      </c>
      <c r="AL287" s="39" t="n">
        <v>34</v>
      </c>
      <c r="AM287" s="1" t="n">
        <v>2009</v>
      </c>
      <c r="AN287" s="1" t="n">
        <v>5</v>
      </c>
      <c r="AO287" s="39" t="n">
        <v>35.2</v>
      </c>
      <c r="AP287" s="1" t="n">
        <v>1997</v>
      </c>
      <c r="AQ287" s="1" t="n">
        <v>31</v>
      </c>
    </row>
    <row r="288" ht="14.45" customHeight="1">
      <c r="A288" s="1" t="n">
        <v>35075010</v>
      </c>
      <c r="B288" s="1" t="inlineStr">
        <is>
          <t>NUEVO COLON [35075010]</t>
        </is>
      </c>
      <c r="C288" s="1" t="n">
        <v>5.352694444</v>
      </c>
      <c r="D288" s="1" t="n">
        <v>-73.45377778</v>
      </c>
      <c r="E288" s="1" t="n">
        <v>2438</v>
      </c>
      <c r="F288" s="1" t="inlineStr">
        <is>
          <t>Nuevo Colón</t>
        </is>
      </c>
      <c r="G288" s="1" t="inlineStr">
        <is>
          <t>Boyacá</t>
        </is>
      </c>
      <c r="H288" s="39" t="n">
        <v>26.8</v>
      </c>
      <c r="I288" s="1" t="n">
        <v>1985</v>
      </c>
      <c r="J288" s="1" t="n">
        <v>26</v>
      </c>
      <c r="K288" s="39" t="n">
        <v>27.4</v>
      </c>
      <c r="L288" s="1" t="n">
        <v>2024</v>
      </c>
      <c r="M288" s="1" t="n">
        <v>20</v>
      </c>
      <c r="N288" s="39" t="n">
        <v>26.6</v>
      </c>
      <c r="O288" s="1" t="n">
        <v>2008</v>
      </c>
      <c r="P288" s="1" t="n">
        <v>23</v>
      </c>
      <c r="Q288" s="39" t="n">
        <v>27</v>
      </c>
      <c r="R288" s="1" t="n">
        <v>1984</v>
      </c>
      <c r="S288" s="1" t="n">
        <v>28</v>
      </c>
      <c r="T288" s="39" t="n">
        <v>27.4</v>
      </c>
      <c r="U288" s="1" t="n">
        <v>2009</v>
      </c>
      <c r="V288" s="1" t="n">
        <v>7</v>
      </c>
      <c r="W288" s="39" t="n">
        <v>23</v>
      </c>
      <c r="X288" s="1" t="n">
        <v>1983</v>
      </c>
      <c r="Y288" s="1" t="n">
        <v>27</v>
      </c>
      <c r="Z288" s="39" t="n">
        <v>22.6</v>
      </c>
      <c r="AA288" s="1" t="n">
        <v>2015</v>
      </c>
      <c r="AB288" s="1" t="n">
        <v>29</v>
      </c>
      <c r="AC288" s="39" t="n">
        <v>23</v>
      </c>
      <c r="AD288" s="1" t="n">
        <v>1983</v>
      </c>
      <c r="AE288" s="1" t="n">
        <v>27</v>
      </c>
      <c r="AF288" s="39" t="n">
        <v>23.8</v>
      </c>
      <c r="AG288" s="1" t="n">
        <v>2016</v>
      </c>
      <c r="AH288" s="1" t="n">
        <v>30</v>
      </c>
      <c r="AI288" s="39" t="n">
        <v>24.6</v>
      </c>
      <c r="AJ288" s="1" t="n">
        <v>1983</v>
      </c>
      <c r="AK288" s="1" t="n">
        <v>17</v>
      </c>
      <c r="AL288" s="39" t="n">
        <v>24.2</v>
      </c>
      <c r="AM288" s="1" t="n">
        <v>1981</v>
      </c>
      <c r="AN288" s="1" t="n">
        <v>10</v>
      </c>
      <c r="AO288" s="39" t="n">
        <v>26.8</v>
      </c>
      <c r="AP288" s="1" t="n">
        <v>1983</v>
      </c>
      <c r="AQ288" s="1" t="n">
        <v>31</v>
      </c>
    </row>
    <row r="289" ht="14.45" customHeight="1">
      <c r="A289" s="1" t="n">
        <v>35075020</v>
      </c>
      <c r="B289" s="1" t="inlineStr">
        <is>
          <t>SUTATENZA [35075020]</t>
        </is>
      </c>
      <c r="C289" s="1" t="n">
        <v>5.022277778</v>
      </c>
      <c r="D289" s="1" t="n">
        <v>-73.44916667</v>
      </c>
      <c r="E289" s="1" t="n">
        <v>1930</v>
      </c>
      <c r="F289" s="1" t="inlineStr">
        <is>
          <t>Sutatenza</t>
        </is>
      </c>
      <c r="G289" s="1" t="inlineStr">
        <is>
          <t>Boyacá</t>
        </is>
      </c>
      <c r="H289" s="39" t="n">
        <v>30</v>
      </c>
      <c r="I289" s="1" t="n">
        <v>2016</v>
      </c>
      <c r="J289" s="1" t="n">
        <v>17</v>
      </c>
      <c r="K289" s="39" t="n">
        <v>29</v>
      </c>
      <c r="L289" s="1" t="n">
        <v>2010</v>
      </c>
      <c r="M289" s="1" t="n">
        <v>6</v>
      </c>
      <c r="N289" s="39" t="n">
        <v>29.2</v>
      </c>
      <c r="O289" s="1" t="n">
        <v>2020</v>
      </c>
      <c r="P289" s="1" t="n">
        <v>6</v>
      </c>
      <c r="Q289" s="39" t="n">
        <v>29.4</v>
      </c>
      <c r="R289" s="1" t="n">
        <v>2020</v>
      </c>
      <c r="S289" s="1" t="n">
        <v>4</v>
      </c>
      <c r="T289" s="39" t="n">
        <v>27</v>
      </c>
      <c r="U289" s="1" t="n">
        <v>2019</v>
      </c>
      <c r="V289" s="1" t="n">
        <v>1</v>
      </c>
      <c r="W289" s="39" t="n">
        <v>26.8</v>
      </c>
      <c r="X289" s="1" t="n">
        <v>2011</v>
      </c>
      <c r="Y289" s="1" t="n">
        <v>7</v>
      </c>
      <c r="Z289" s="39" t="n">
        <v>25.2</v>
      </c>
      <c r="AA289" s="1" t="n">
        <v>2011</v>
      </c>
      <c r="AB289" s="1" t="n">
        <v>16</v>
      </c>
      <c r="AC289" s="39" t="n">
        <v>26.8</v>
      </c>
      <c r="AD289" s="1" t="n">
        <v>2011</v>
      </c>
      <c r="AE289" s="1" t="n">
        <v>18</v>
      </c>
      <c r="AF289" s="39" t="n">
        <v>27.8</v>
      </c>
      <c r="AG289" s="1" t="n">
        <v>2020</v>
      </c>
      <c r="AH289" s="1" t="n">
        <v>18</v>
      </c>
      <c r="AI289" s="39" t="n">
        <v>27.6</v>
      </c>
      <c r="AJ289" s="1" t="n">
        <v>2011</v>
      </c>
      <c r="AK289" s="1" t="n">
        <v>15</v>
      </c>
      <c r="AL289" s="39" t="n">
        <v>27.6</v>
      </c>
      <c r="AM289" s="1" t="n">
        <v>1983</v>
      </c>
      <c r="AN289" s="1" t="n">
        <v>2</v>
      </c>
      <c r="AO289" s="39" t="n">
        <v>28.4</v>
      </c>
      <c r="AP289" s="1" t="n">
        <v>1999</v>
      </c>
      <c r="AQ289" s="1" t="n">
        <v>25</v>
      </c>
    </row>
    <row r="290" ht="14.45" customHeight="1">
      <c r="A290" s="1" t="n">
        <v>35075030</v>
      </c>
      <c r="B290" s="1" t="inlineStr">
        <is>
          <t>VILLA LUISA [35075030]</t>
        </is>
      </c>
      <c r="C290" s="1" t="n">
        <v>5.422222222</v>
      </c>
      <c r="D290" s="1" t="n">
        <v>-73.34941667</v>
      </c>
      <c r="E290" s="1" t="n">
        <v>2200</v>
      </c>
      <c r="F290" s="1" t="inlineStr">
        <is>
          <t>Ramiriquí</t>
        </is>
      </c>
      <c r="G290" s="1" t="inlineStr">
        <is>
          <t>Boyacá</t>
        </is>
      </c>
      <c r="H290" s="39" t="n">
        <v>28.4</v>
      </c>
      <c r="I290" s="1" t="n">
        <v>2002</v>
      </c>
      <c r="J290" s="1" t="n">
        <v>11</v>
      </c>
      <c r="K290" s="39" t="n">
        <v>30.2</v>
      </c>
      <c r="L290" s="1" t="n">
        <v>2024</v>
      </c>
      <c r="M290" s="1" t="n">
        <v>20</v>
      </c>
      <c r="N290" s="39" t="n">
        <v>29.2</v>
      </c>
      <c r="O290" s="1" t="n">
        <v>2024</v>
      </c>
      <c r="P290" s="1" t="n">
        <v>25</v>
      </c>
      <c r="Q290" s="39" t="n">
        <v>27.4</v>
      </c>
      <c r="R290" s="1" t="n">
        <v>1997</v>
      </c>
      <c r="S290" s="1" t="n">
        <v>25</v>
      </c>
      <c r="T290" s="39" t="n">
        <v>27.2</v>
      </c>
      <c r="U290" s="1" t="n">
        <v>1998</v>
      </c>
      <c r="V290" s="1" t="n">
        <v>17</v>
      </c>
      <c r="W290" s="39" t="n">
        <v>25.2</v>
      </c>
      <c r="X290" s="1" t="n">
        <v>1999</v>
      </c>
      <c r="Y290" s="1" t="n">
        <v>3</v>
      </c>
      <c r="Z290" s="39" t="n">
        <v>25.4</v>
      </c>
      <c r="AA290" s="1" t="n">
        <v>2003</v>
      </c>
      <c r="AB290" s="1" t="n">
        <v>30</v>
      </c>
      <c r="AC290" s="39" t="n">
        <v>26.2</v>
      </c>
      <c r="AD290" s="1" t="n">
        <v>1993</v>
      </c>
      <c r="AE290" s="1" t="n">
        <v>27</v>
      </c>
      <c r="AF290" s="39" t="n">
        <v>25.2</v>
      </c>
      <c r="AG290" s="1" t="n">
        <v>1996</v>
      </c>
      <c r="AH290" s="1" t="n">
        <v>9</v>
      </c>
      <c r="AI290" s="39" t="n">
        <v>26.4</v>
      </c>
      <c r="AJ290" s="1" t="n">
        <v>2024</v>
      </c>
      <c r="AK290" s="1" t="n">
        <v>20</v>
      </c>
      <c r="AL290" s="39" t="n">
        <v>26.4</v>
      </c>
      <c r="AM290" s="1" t="n">
        <v>1990</v>
      </c>
      <c r="AN290" s="1" t="n">
        <v>5</v>
      </c>
      <c r="AO290" s="39" t="n">
        <v>26.4</v>
      </c>
      <c r="AP290" s="1" t="n">
        <v>1994</v>
      </c>
      <c r="AQ290" s="1" t="n">
        <v>28</v>
      </c>
    </row>
    <row r="291" ht="14.45" customHeight="1">
      <c r="A291" s="1" t="n">
        <v>35075040</v>
      </c>
      <c r="B291" s="1" t="inlineStr">
        <is>
          <t>INSTITUCION AGRICOLA MACANAL [35075040]</t>
        </is>
      </c>
      <c r="C291" s="1" t="n">
        <v>4.974361111</v>
      </c>
      <c r="D291" s="1" t="n">
        <v>-73.31675</v>
      </c>
      <c r="E291" s="1" t="n">
        <v>1300</v>
      </c>
      <c r="F291" s="1" t="inlineStr">
        <is>
          <t>Macanal</t>
        </is>
      </c>
      <c r="G291" s="1" t="inlineStr">
        <is>
          <t>Boyacá</t>
        </is>
      </c>
      <c r="H291" s="39" t="n">
        <v>29</v>
      </c>
      <c r="I291" s="1" t="n">
        <v>1984</v>
      </c>
      <c r="J291" s="1" t="n">
        <v>4</v>
      </c>
      <c r="K291" s="39" t="n">
        <v>28.4</v>
      </c>
      <c r="L291" s="1" t="n">
        <v>1984</v>
      </c>
      <c r="M291" s="1" t="n">
        <v>7</v>
      </c>
      <c r="N291" s="39" t="n">
        <v>28</v>
      </c>
      <c r="O291" s="1" t="n">
        <v>1988</v>
      </c>
      <c r="P291" s="1" t="n">
        <v>5</v>
      </c>
      <c r="Q291" s="39" t="n">
        <v>32</v>
      </c>
      <c r="R291" s="1" t="n">
        <v>1983</v>
      </c>
      <c r="S291" s="1" t="n">
        <v>12</v>
      </c>
      <c r="T291" s="39" t="n">
        <v>30.4</v>
      </c>
      <c r="U291" s="1" t="n">
        <v>1983</v>
      </c>
      <c r="V291" s="1" t="n">
        <v>31</v>
      </c>
      <c r="W291" s="39" t="n">
        <v>30.6</v>
      </c>
      <c r="X291" s="1" t="n">
        <v>1983</v>
      </c>
      <c r="Y291" s="1" t="n">
        <v>2</v>
      </c>
      <c r="Z291" s="39" t="n">
        <v>28.6</v>
      </c>
      <c r="AA291" s="1" t="n">
        <v>1984</v>
      </c>
      <c r="AB291" s="1" t="n">
        <v>14</v>
      </c>
      <c r="AC291" s="39" t="n">
        <v>28.2</v>
      </c>
      <c r="AD291" s="1" t="n">
        <v>1993</v>
      </c>
      <c r="AE291" s="1" t="n">
        <v>2</v>
      </c>
      <c r="AF291" s="39" t="n">
        <v>26.6</v>
      </c>
      <c r="AG291" s="1" t="n">
        <v>1982</v>
      </c>
      <c r="AH291" s="1" t="n">
        <v>7</v>
      </c>
      <c r="AI291" s="39" t="n">
        <v>29.4</v>
      </c>
      <c r="AJ291" s="1" t="n">
        <v>2008</v>
      </c>
      <c r="AK291" s="1" t="n">
        <v>2</v>
      </c>
      <c r="AL291" s="39" t="n">
        <v>26</v>
      </c>
      <c r="AM291" s="1" t="n">
        <v>1982</v>
      </c>
      <c r="AN291" s="1" t="n">
        <v>27</v>
      </c>
      <c r="AO291" s="39" t="n">
        <v>27.8</v>
      </c>
      <c r="AP291" s="1" t="n">
        <v>1983</v>
      </c>
      <c r="AQ291" s="1" t="n">
        <v>26</v>
      </c>
    </row>
    <row r="292" ht="14.45" customHeight="1">
      <c r="A292" s="1" t="n">
        <v>35085020</v>
      </c>
      <c r="B292" s="1" t="inlineStr">
        <is>
          <t>RONDON [35085020]</t>
        </is>
      </c>
      <c r="C292" s="1" t="n">
        <v>5.358416667</v>
      </c>
      <c r="D292" s="1" t="n">
        <v>-73.20361111</v>
      </c>
      <c r="E292" s="1" t="n">
        <v>2120</v>
      </c>
      <c r="F292" s="1" t="inlineStr">
        <is>
          <t>Rondón</t>
        </is>
      </c>
      <c r="G292" s="1" t="inlineStr">
        <is>
          <t>Boyacá</t>
        </is>
      </c>
      <c r="H292" s="39" t="n">
        <v>28.8</v>
      </c>
      <c r="I292" s="1" t="n">
        <v>2016</v>
      </c>
      <c r="J292" s="1" t="n">
        <v>17</v>
      </c>
      <c r="K292" s="39" t="n">
        <v>28.6</v>
      </c>
      <c r="L292" s="1" t="n">
        <v>2014</v>
      </c>
      <c r="M292" s="1" t="n">
        <v>15</v>
      </c>
      <c r="N292" s="39" t="n">
        <v>29.2</v>
      </c>
      <c r="O292" s="1" t="n">
        <v>2010</v>
      </c>
      <c r="P292" s="1" t="n">
        <v>15</v>
      </c>
      <c r="Q292" s="39" t="n">
        <v>27.6</v>
      </c>
      <c r="R292" s="1" t="n">
        <v>1985</v>
      </c>
      <c r="S292" s="1" t="n">
        <v>13</v>
      </c>
      <c r="T292" s="39" t="n">
        <v>27.4</v>
      </c>
      <c r="U292" s="1" t="n">
        <v>1985</v>
      </c>
      <c r="V292" s="1" t="n">
        <v>19</v>
      </c>
      <c r="W292" s="39" t="n">
        <v>27.6</v>
      </c>
      <c r="X292" s="1" t="n">
        <v>2005</v>
      </c>
      <c r="Y292" s="1" t="n">
        <v>4</v>
      </c>
      <c r="Z292" s="39" t="n">
        <v>26.6</v>
      </c>
      <c r="AA292" s="1" t="n">
        <v>1984</v>
      </c>
      <c r="AB292" s="1" t="n">
        <v>31</v>
      </c>
      <c r="AC292" s="39" t="n">
        <v>26.2</v>
      </c>
      <c r="AD292" s="1" t="n">
        <v>1990</v>
      </c>
      <c r="AE292" s="1" t="n">
        <v>19</v>
      </c>
      <c r="AF292" s="39" t="n">
        <v>27</v>
      </c>
      <c r="AG292" s="1" t="n">
        <v>2010</v>
      </c>
      <c r="AH292" s="1" t="n">
        <v>28</v>
      </c>
      <c r="AI292" s="39" t="n">
        <v>27.6</v>
      </c>
      <c r="AJ292" s="1" t="n">
        <v>1979</v>
      </c>
      <c r="AK292" s="1" t="n">
        <v>16</v>
      </c>
      <c r="AL292" s="39" t="n">
        <v>29.4</v>
      </c>
      <c r="AM292" s="1" t="n">
        <v>1985</v>
      </c>
      <c r="AN292" s="1" t="n">
        <v>25</v>
      </c>
      <c r="AO292" s="39" t="n">
        <v>29.6</v>
      </c>
      <c r="AP292" s="1" t="n">
        <v>1985</v>
      </c>
      <c r="AQ292" s="1" t="n">
        <v>16</v>
      </c>
    </row>
    <row r="293" ht="14.45" customHeight="1">
      <c r="A293" s="1" t="n">
        <v>35085040</v>
      </c>
      <c r="B293" s="1" t="inlineStr">
        <is>
          <t>VIVERO EL [35085040]</t>
        </is>
      </c>
      <c r="C293" s="1" t="n">
        <v>5.192555556</v>
      </c>
      <c r="D293" s="1" t="n">
        <v>-73.14477778</v>
      </c>
      <c r="E293" s="1" t="n">
        <v>1640</v>
      </c>
      <c r="F293" s="1" t="inlineStr">
        <is>
          <t>Miraflores</t>
        </is>
      </c>
      <c r="G293" s="1" t="inlineStr">
        <is>
          <t>Boyacá</t>
        </is>
      </c>
      <c r="H293" s="39" t="n">
        <v>30</v>
      </c>
      <c r="I293" s="1" t="n">
        <v>2010</v>
      </c>
      <c r="J293" s="1" t="n">
        <v>31</v>
      </c>
      <c r="K293" s="39" t="n">
        <v>31.2</v>
      </c>
      <c r="L293" s="1" t="n">
        <v>2010</v>
      </c>
      <c r="M293" s="1" t="n">
        <v>13</v>
      </c>
      <c r="N293" s="39" t="n">
        <v>30.2</v>
      </c>
      <c r="O293" s="1" t="n">
        <v>2010</v>
      </c>
      <c r="P293" s="1" t="n">
        <v>15</v>
      </c>
      <c r="Q293" s="39" t="n">
        <v>29</v>
      </c>
      <c r="R293" s="1" t="n">
        <v>1995</v>
      </c>
      <c r="S293" s="1" t="n">
        <v>7</v>
      </c>
      <c r="T293" s="39" t="n">
        <v>29.2</v>
      </c>
      <c r="U293" s="1" t="n">
        <v>2010</v>
      </c>
      <c r="V293" s="1" t="n">
        <v>10</v>
      </c>
      <c r="W293" s="39" t="n">
        <v>29.6</v>
      </c>
      <c r="X293" s="1" t="n">
        <v>2007</v>
      </c>
      <c r="Y293" s="1" t="n">
        <v>25</v>
      </c>
      <c r="Z293" s="39" t="n">
        <v>29.8</v>
      </c>
      <c r="AA293" s="1" t="n">
        <v>2009</v>
      </c>
      <c r="AB293" s="1" t="n">
        <v>4</v>
      </c>
      <c r="AC293" s="39" t="n">
        <v>27</v>
      </c>
      <c r="AD293" s="1" t="n">
        <v>1998</v>
      </c>
      <c r="AE293" s="1" t="n">
        <v>28</v>
      </c>
      <c r="AF293" s="39" t="n">
        <v>29.6</v>
      </c>
      <c r="AG293" s="1" t="n">
        <v>1997</v>
      </c>
      <c r="AH293" s="1" t="n">
        <v>17</v>
      </c>
      <c r="AI293" s="39" t="n">
        <v>28.8</v>
      </c>
      <c r="AJ293" s="1" t="n">
        <v>2010</v>
      </c>
      <c r="AK293" s="1" t="n">
        <v>8</v>
      </c>
      <c r="AL293" s="39" t="n">
        <v>28</v>
      </c>
      <c r="AM293" s="1" t="n">
        <v>2009</v>
      </c>
      <c r="AN293" s="1" t="n">
        <v>16</v>
      </c>
      <c r="AO293" s="39" t="n">
        <v>28.2</v>
      </c>
      <c r="AP293" s="1" t="n">
        <v>2009</v>
      </c>
      <c r="AQ293" s="1" t="n">
        <v>28</v>
      </c>
    </row>
    <row r="294" ht="14.45" customHeight="1">
      <c r="A294" s="1" t="n">
        <v>35085050</v>
      </c>
      <c r="B294" s="1" t="inlineStr">
        <is>
          <t>CAMPOHERMOSO [35085050]</t>
        </is>
      </c>
      <c r="C294" s="1" t="n">
        <v>5.0345</v>
      </c>
      <c r="D294" s="1" t="n">
        <v>-73.10366667</v>
      </c>
      <c r="E294" s="1" t="n">
        <v>1300</v>
      </c>
      <c r="F294" s="1" t="inlineStr">
        <is>
          <t>Campohermoso</t>
        </is>
      </c>
      <c r="G294" s="1" t="inlineStr">
        <is>
          <t>Boyacá</t>
        </is>
      </c>
      <c r="H294" s="39" t="n">
        <v>32.6</v>
      </c>
      <c r="I294" s="1" t="n">
        <v>2016</v>
      </c>
      <c r="J294" s="1" t="n">
        <v>24</v>
      </c>
      <c r="K294" s="39" t="n">
        <v>32.6</v>
      </c>
      <c r="L294" s="1" t="n">
        <v>2010</v>
      </c>
      <c r="M294" s="1" t="n">
        <v>13</v>
      </c>
      <c r="N294" s="39" t="n">
        <v>32.2</v>
      </c>
      <c r="O294" s="1" t="n">
        <v>2016</v>
      </c>
      <c r="P294" s="1" t="n">
        <v>10</v>
      </c>
      <c r="Q294" s="39" t="n">
        <v>31.4</v>
      </c>
      <c r="R294" s="1" t="n">
        <v>2024</v>
      </c>
      <c r="S294" s="1" t="n">
        <v>10</v>
      </c>
      <c r="T294" s="39" t="n">
        <v>30.4</v>
      </c>
      <c r="U294" s="1" t="n">
        <v>2023</v>
      </c>
      <c r="V294" s="1" t="n">
        <v>7</v>
      </c>
      <c r="W294" s="39" t="n">
        <v>29.4</v>
      </c>
      <c r="X294" s="1" t="n">
        <v>2009</v>
      </c>
      <c r="Y294" s="1" t="n">
        <v>2</v>
      </c>
      <c r="Z294" s="39" t="n">
        <v>33.8</v>
      </c>
      <c r="AA294" s="1" t="n">
        <v>2019</v>
      </c>
      <c r="AB294" s="1" t="n">
        <v>23</v>
      </c>
      <c r="AC294" s="39" t="n">
        <v>30.8</v>
      </c>
      <c r="AD294" s="1" t="n">
        <v>2023</v>
      </c>
      <c r="AE294" s="1" t="n">
        <v>26</v>
      </c>
      <c r="AF294" s="39" t="n">
        <v>31</v>
      </c>
      <c r="AG294" s="1" t="n">
        <v>2023</v>
      </c>
      <c r="AH294" s="1" t="n">
        <v>30</v>
      </c>
      <c r="AI294" s="39" t="n">
        <v>31.4</v>
      </c>
      <c r="AJ294" s="1" t="n">
        <v>2023</v>
      </c>
      <c r="AK294" s="1" t="n">
        <v>1</v>
      </c>
      <c r="AL294" s="39" t="n">
        <v>32.2</v>
      </c>
      <c r="AM294" s="1" t="n">
        <v>2019</v>
      </c>
      <c r="AN294" s="1" t="n">
        <v>6</v>
      </c>
      <c r="AO294" s="39" t="n">
        <v>32.8</v>
      </c>
      <c r="AP294" s="1" t="n">
        <v>2019</v>
      </c>
      <c r="AQ294" s="1" t="n">
        <v>7</v>
      </c>
    </row>
    <row r="295" ht="14.45" customHeight="1">
      <c r="A295" s="1" t="n">
        <v>35095030</v>
      </c>
      <c r="B295" s="1" t="inlineStr">
        <is>
          <t>TUNEL EL [35095030]</t>
        </is>
      </c>
      <c r="C295" s="1" t="n">
        <v>5.574913889</v>
      </c>
      <c r="D295" s="1" t="n">
        <v>-72.94769444000001</v>
      </c>
      <c r="E295" s="1" t="n">
        <v>3000</v>
      </c>
      <c r="F295" s="1" t="inlineStr">
        <is>
          <t>Cuítiva</t>
        </is>
      </c>
      <c r="G295" s="1" t="inlineStr">
        <is>
          <t>Boyacá</t>
        </is>
      </c>
      <c r="H295" s="39" t="n">
        <v>21.6</v>
      </c>
      <c r="I295" s="1" t="n">
        <v>1995</v>
      </c>
      <c r="J295" s="1" t="n">
        <v>8</v>
      </c>
      <c r="K295" s="39" t="n">
        <v>22.2</v>
      </c>
      <c r="L295" s="1" t="n">
        <v>1998</v>
      </c>
      <c r="M295" s="1" t="n">
        <v>20</v>
      </c>
      <c r="N295" s="39" t="n">
        <v>22</v>
      </c>
      <c r="O295" s="1" t="n">
        <v>1998</v>
      </c>
      <c r="P295" s="1" t="n">
        <v>11</v>
      </c>
      <c r="Q295" s="39" t="n">
        <v>20.8</v>
      </c>
      <c r="R295" s="1" t="n">
        <v>2009</v>
      </c>
      <c r="S295" s="1" t="n">
        <v>4</v>
      </c>
      <c r="T295" s="39" t="n">
        <v>19.8</v>
      </c>
      <c r="U295" s="1" t="n">
        <v>2009</v>
      </c>
      <c r="V295" s="1" t="n">
        <v>28</v>
      </c>
      <c r="W295" s="39" t="n">
        <v>18.8</v>
      </c>
      <c r="X295" s="1" t="n">
        <v>2001</v>
      </c>
      <c r="Y295" s="1" t="n">
        <v>2</v>
      </c>
      <c r="Z295" s="39" t="n">
        <v>19.4</v>
      </c>
      <c r="AA295" s="1" t="n">
        <v>2009</v>
      </c>
      <c r="AB295" s="1" t="n">
        <v>18</v>
      </c>
      <c r="AC295" s="39" t="n">
        <v>18.8</v>
      </c>
      <c r="AD295" s="1" t="n">
        <v>2009</v>
      </c>
      <c r="AE295" s="1" t="n">
        <v>3</v>
      </c>
      <c r="AF295" s="39" t="n">
        <v>20.2</v>
      </c>
      <c r="AG295" s="1" t="n">
        <v>1990</v>
      </c>
      <c r="AH295" s="1" t="n">
        <v>21</v>
      </c>
      <c r="AI295" s="39" t="n">
        <v>20</v>
      </c>
      <c r="AJ295" s="1" t="n">
        <v>1998</v>
      </c>
      <c r="AK295" s="1" t="n">
        <v>27</v>
      </c>
      <c r="AL295" s="39" t="n">
        <v>19.8</v>
      </c>
      <c r="AM295" s="1" t="n">
        <v>1986</v>
      </c>
      <c r="AN295" s="1" t="n">
        <v>10</v>
      </c>
      <c r="AO295" s="39" t="n">
        <v>21.2</v>
      </c>
      <c r="AP295" s="1" t="n">
        <v>2009</v>
      </c>
      <c r="AQ295" s="1" t="n">
        <v>1</v>
      </c>
    </row>
    <row r="296" ht="14.45" customHeight="1">
      <c r="A296" s="1" t="n">
        <v>35105050</v>
      </c>
      <c r="B296" s="1" t="inlineStr">
        <is>
          <t>GUAICARAMO [35105050]</t>
        </is>
      </c>
      <c r="C296" s="1" t="n">
        <v>4.46865</v>
      </c>
      <c r="D296" s="1" t="n">
        <v>-72.95363999999999</v>
      </c>
      <c r="E296" s="1" t="n">
        <v>199</v>
      </c>
      <c r="F296" s="1" t="inlineStr">
        <is>
          <t>Barranca De Upía</t>
        </is>
      </c>
      <c r="G296" s="1" t="inlineStr">
        <is>
          <t>Meta</t>
        </is>
      </c>
      <c r="H296" s="39" t="n">
        <v>37</v>
      </c>
      <c r="I296" s="1" t="n">
        <v>2007</v>
      </c>
      <c r="J296" s="1" t="n">
        <v>30</v>
      </c>
      <c r="K296" s="39" t="n">
        <v>38.4</v>
      </c>
      <c r="L296" s="1" t="n">
        <v>1998</v>
      </c>
      <c r="M296" s="1" t="n">
        <v>3</v>
      </c>
      <c r="N296" s="39" t="n">
        <v>37.8</v>
      </c>
      <c r="O296" s="1" t="n">
        <v>2020</v>
      </c>
      <c r="P296" s="1" t="n">
        <v>6</v>
      </c>
      <c r="Q296" s="39" t="n">
        <v>37.2</v>
      </c>
      <c r="R296" s="1" t="n">
        <v>2008</v>
      </c>
      <c r="S296" s="1" t="n">
        <v>9</v>
      </c>
      <c r="T296" s="39" t="n">
        <v>35</v>
      </c>
      <c r="U296" s="1" t="n">
        <v>1994</v>
      </c>
      <c r="V296" s="1" t="n">
        <v>4</v>
      </c>
      <c r="W296" s="39" t="n">
        <v>34.8</v>
      </c>
      <c r="X296" s="1" t="n">
        <v>1994</v>
      </c>
      <c r="Y296" s="1" t="n">
        <v>24</v>
      </c>
      <c r="Z296" s="39" t="n">
        <v>34</v>
      </c>
      <c r="AA296" s="1" t="n">
        <v>1997</v>
      </c>
      <c r="AB296" s="1" t="n">
        <v>20</v>
      </c>
      <c r="AC296" s="39" t="n">
        <v>35.2</v>
      </c>
      <c r="AD296" s="1" t="n">
        <v>1994</v>
      </c>
      <c r="AE296" s="1" t="n">
        <v>9</v>
      </c>
      <c r="AF296" s="39" t="n">
        <v>35.4</v>
      </c>
      <c r="AG296" s="1" t="n">
        <v>1994</v>
      </c>
      <c r="AH296" s="1" t="n">
        <v>18</v>
      </c>
      <c r="AI296" s="39" t="n">
        <v>35.4</v>
      </c>
      <c r="AJ296" s="1" t="n">
        <v>1993</v>
      </c>
      <c r="AK296" s="1" t="n">
        <v>22</v>
      </c>
      <c r="AL296" s="39" t="n">
        <v>35</v>
      </c>
      <c r="AM296" s="1" t="n">
        <v>2024</v>
      </c>
      <c r="AN296" s="1" t="n">
        <v>3</v>
      </c>
      <c r="AO296" s="39" t="n">
        <v>35.2</v>
      </c>
      <c r="AP296" s="1" t="n">
        <v>2021</v>
      </c>
      <c r="AQ296" s="1" t="n">
        <v>1</v>
      </c>
    </row>
    <row r="297" ht="14.45" customHeight="1">
      <c r="A297" s="1" t="n">
        <v>35125010</v>
      </c>
      <c r="B297" s="1" t="inlineStr">
        <is>
          <t>HACIENDA LAS MARGARITAS [35125010]</t>
        </is>
      </c>
      <c r="C297" s="1" t="n">
        <v>4.3698889</v>
      </c>
      <c r="D297" s="1" t="n">
        <v>-72.2270638</v>
      </c>
      <c r="E297" s="1" t="n">
        <v>178</v>
      </c>
      <c r="F297" s="1" t="inlineStr">
        <is>
          <t>Puerto López</t>
        </is>
      </c>
      <c r="G297" s="1" t="inlineStr">
        <is>
          <t>Meta</t>
        </is>
      </c>
      <c r="H297" s="39" t="n">
        <v>38.2</v>
      </c>
      <c r="I297" s="1" t="n">
        <v>1998</v>
      </c>
      <c r="J297" s="1" t="n">
        <v>28</v>
      </c>
      <c r="K297" s="39" t="n">
        <v>38.2</v>
      </c>
      <c r="L297" s="1" t="n">
        <v>1998</v>
      </c>
      <c r="M297" s="1" t="n">
        <v>3</v>
      </c>
      <c r="N297" s="39" t="n">
        <v>38.2</v>
      </c>
      <c r="O297" s="1" t="n">
        <v>1998</v>
      </c>
      <c r="P297" s="1" t="n">
        <v>13</v>
      </c>
      <c r="Q297" s="39" t="n">
        <v>39.4</v>
      </c>
      <c r="R297" s="1" t="n">
        <v>1985</v>
      </c>
      <c r="S297" s="1" t="n">
        <v>16</v>
      </c>
      <c r="T297" s="39" t="n">
        <v>36.8</v>
      </c>
      <c r="U297" s="1" t="n">
        <v>2020</v>
      </c>
      <c r="V297" s="1" t="n">
        <v>10</v>
      </c>
      <c r="W297" s="39" t="n">
        <v>35.2</v>
      </c>
      <c r="X297" s="1" t="n">
        <v>2013</v>
      </c>
      <c r="Y297" s="1" t="n">
        <v>28</v>
      </c>
      <c r="Z297" s="39" t="n">
        <v>36.2</v>
      </c>
      <c r="AA297" s="1" t="n">
        <v>1998</v>
      </c>
      <c r="AB297" s="1" t="n">
        <v>8</v>
      </c>
      <c r="AC297" s="39" t="n">
        <v>35</v>
      </c>
      <c r="AD297" s="1" t="n">
        <v>2011</v>
      </c>
      <c r="AE297" s="1" t="n">
        <v>2</v>
      </c>
      <c r="AF297" s="39" t="n">
        <v>37.2</v>
      </c>
      <c r="AG297" s="1" t="n">
        <v>2015</v>
      </c>
      <c r="AH297" s="1" t="n">
        <v>22</v>
      </c>
      <c r="AI297" s="39" t="n">
        <v>36.4</v>
      </c>
      <c r="AJ297" s="1" t="n">
        <v>2015</v>
      </c>
      <c r="AK297" s="1" t="n">
        <v>30</v>
      </c>
      <c r="AL297" s="39" t="n">
        <v>35.8</v>
      </c>
      <c r="AM297" s="1" t="n">
        <v>1987</v>
      </c>
      <c r="AN297" s="1" t="n">
        <v>1</v>
      </c>
      <c r="AO297" s="39" t="n">
        <v>37</v>
      </c>
      <c r="AP297" s="1" t="n">
        <v>2014</v>
      </c>
      <c r="AQ297" s="1" t="n">
        <v>22</v>
      </c>
    </row>
    <row r="298" ht="14.45" customHeight="1">
      <c r="A298" s="1" t="n">
        <v>35195020</v>
      </c>
      <c r="B298" s="1" t="inlineStr">
        <is>
          <t>TAURAMENA [35195020]</t>
        </is>
      </c>
      <c r="C298" s="1" t="n">
        <v>5.027257778</v>
      </c>
      <c r="D298" s="1" t="n">
        <v>-72.869841667</v>
      </c>
      <c r="E298" s="1" t="n">
        <v>460</v>
      </c>
      <c r="F298" s="1" t="inlineStr">
        <is>
          <t>Tauramena</t>
        </is>
      </c>
      <c r="G298" s="1" t="inlineStr">
        <is>
          <t>Casanare</t>
        </is>
      </c>
      <c r="H298" s="39" t="n">
        <v>36.4</v>
      </c>
      <c r="I298" s="1" t="n">
        <v>2010</v>
      </c>
      <c r="J298" s="1" t="n">
        <v>3</v>
      </c>
      <c r="K298" s="39" t="n">
        <v>37.4</v>
      </c>
      <c r="L298" s="1" t="n">
        <v>2010</v>
      </c>
      <c r="M298" s="1" t="n">
        <v>13</v>
      </c>
      <c r="N298" s="39" t="n">
        <v>36.2</v>
      </c>
      <c r="O298" s="1" t="n">
        <v>2019</v>
      </c>
      <c r="P298" s="1" t="n">
        <v>1</v>
      </c>
      <c r="Q298" s="39" t="n">
        <v>36.6</v>
      </c>
      <c r="R298" s="1" t="n">
        <v>2017</v>
      </c>
      <c r="S298" s="1" t="n">
        <v>8</v>
      </c>
      <c r="T298" s="39" t="n">
        <v>38.2</v>
      </c>
      <c r="U298" s="1" t="n">
        <v>2017</v>
      </c>
      <c r="V298" s="1" t="n">
        <v>24</v>
      </c>
      <c r="W298" s="39" t="n">
        <v>38</v>
      </c>
      <c r="X298" s="1" t="n">
        <v>2017</v>
      </c>
      <c r="Y298" s="1" t="n">
        <v>6</v>
      </c>
      <c r="Z298" s="39" t="n">
        <v>35</v>
      </c>
      <c r="AA298" s="1" t="n">
        <v>2018</v>
      </c>
      <c r="AB298" s="1" t="n">
        <v>17</v>
      </c>
      <c r="AC298" s="39" t="n">
        <v>35.2</v>
      </c>
      <c r="AD298" s="1" t="n">
        <v>2018</v>
      </c>
      <c r="AE298" s="1" t="n">
        <v>20</v>
      </c>
      <c r="AF298" s="39" t="n">
        <v>35.2</v>
      </c>
      <c r="AG298" s="1" t="n">
        <v>2011</v>
      </c>
      <c r="AH298" s="1" t="n">
        <v>10</v>
      </c>
      <c r="AI298" s="39" t="n">
        <v>37.6</v>
      </c>
      <c r="AJ298" s="1" t="n">
        <v>2009</v>
      </c>
      <c r="AK298" s="1" t="n">
        <v>5</v>
      </c>
      <c r="AL298" s="39" t="n">
        <v>37</v>
      </c>
      <c r="AM298" s="1" t="n">
        <v>1997</v>
      </c>
      <c r="AN298" s="1" t="n">
        <v>28</v>
      </c>
      <c r="AO298" s="39" t="n">
        <v>35</v>
      </c>
      <c r="AP298" s="1" t="n">
        <v>1979</v>
      </c>
      <c r="AQ298" s="1" t="n">
        <v>28</v>
      </c>
    </row>
    <row r="299" ht="14.45" customHeight="1">
      <c r="A299" s="1" t="n">
        <v>35195030</v>
      </c>
      <c r="B299" s="1" t="inlineStr">
        <is>
          <t>AGUAZUL [35195030]</t>
        </is>
      </c>
      <c r="C299" s="1" t="n">
        <v>5.177083333</v>
      </c>
      <c r="D299" s="1" t="n">
        <v>-72.54738888999999</v>
      </c>
      <c r="E299" s="1" t="n">
        <v>380</v>
      </c>
      <c r="F299" s="1" t="inlineStr">
        <is>
          <t>Aguazul</t>
        </is>
      </c>
      <c r="G299" s="1" t="inlineStr">
        <is>
          <t>Casanare</t>
        </is>
      </c>
      <c r="H299" s="39" t="n">
        <v>37.8</v>
      </c>
      <c r="I299" s="1" t="n">
        <v>2024</v>
      </c>
      <c r="J299" s="1" t="n">
        <v>31</v>
      </c>
      <c r="K299" s="39" t="n">
        <v>38.8</v>
      </c>
      <c r="L299" s="1" t="n">
        <v>2020</v>
      </c>
      <c r="M299" s="1" t="n">
        <v>13</v>
      </c>
      <c r="N299" s="39" t="n">
        <v>38.6</v>
      </c>
      <c r="O299" s="1" t="n">
        <v>2016</v>
      </c>
      <c r="P299" s="1" t="n">
        <v>5</v>
      </c>
      <c r="Q299" s="39" t="n">
        <v>37.2</v>
      </c>
      <c r="R299" s="1" t="n">
        <v>1985</v>
      </c>
      <c r="S299" s="1" t="n">
        <v>16</v>
      </c>
      <c r="T299" s="39" t="n">
        <v>36.6</v>
      </c>
      <c r="U299" s="1" t="n">
        <v>1995</v>
      </c>
      <c r="V299" s="1" t="n">
        <v>1</v>
      </c>
      <c r="W299" s="39" t="n">
        <v>36.8</v>
      </c>
      <c r="X299" s="1" t="n">
        <v>2024</v>
      </c>
      <c r="Y299" s="1" t="n">
        <v>22</v>
      </c>
      <c r="Z299" s="39" t="n">
        <v>37</v>
      </c>
      <c r="AA299" s="1" t="n">
        <v>1993</v>
      </c>
      <c r="AB299" s="1" t="n">
        <v>16</v>
      </c>
      <c r="AC299" s="39" t="n">
        <v>35.8</v>
      </c>
      <c r="AD299" s="1" t="n">
        <v>1993</v>
      </c>
      <c r="AE299" s="1" t="n">
        <v>18</v>
      </c>
      <c r="AF299" s="39" t="n">
        <v>35.6</v>
      </c>
      <c r="AG299" s="1" t="n">
        <v>2025</v>
      </c>
      <c r="AH299" s="1" t="n">
        <v>26</v>
      </c>
      <c r="AI299" s="39" t="n">
        <v>38.6</v>
      </c>
      <c r="AJ299" s="1" t="n">
        <v>2005</v>
      </c>
      <c r="AK299" s="1" t="n">
        <v>10</v>
      </c>
      <c r="AL299" s="39" t="n">
        <v>37.2</v>
      </c>
      <c r="AM299" s="1" t="n">
        <v>1997</v>
      </c>
      <c r="AN299" s="1" t="n">
        <v>13</v>
      </c>
      <c r="AO299" s="39" t="n">
        <v>36.6</v>
      </c>
      <c r="AP299" s="1" t="n">
        <v>1983</v>
      </c>
      <c r="AQ299" s="1" t="n">
        <v>14</v>
      </c>
    </row>
    <row r="300" ht="14.45" customHeight="1">
      <c r="A300" s="1" t="n">
        <v>35195050</v>
      </c>
      <c r="B300" s="1" t="inlineStr">
        <is>
          <t>CORINTO [35195050]</t>
        </is>
      </c>
      <c r="C300" s="1" t="n">
        <v>5.407277778</v>
      </c>
      <c r="D300" s="1" t="n">
        <v>-72.71722222</v>
      </c>
      <c r="E300" s="1" t="n">
        <v>1550</v>
      </c>
      <c r="F300" s="1" t="inlineStr">
        <is>
          <t>Pajarito</t>
        </is>
      </c>
      <c r="G300" s="1" t="inlineStr">
        <is>
          <t>Boyacá</t>
        </is>
      </c>
      <c r="H300" s="39" t="n">
        <v>29.2</v>
      </c>
      <c r="I300" s="1" t="n">
        <v>1998</v>
      </c>
      <c r="J300" s="1" t="n">
        <v>26</v>
      </c>
      <c r="K300" s="39" t="n">
        <v>30</v>
      </c>
      <c r="L300" s="1" t="n">
        <v>2010</v>
      </c>
      <c r="M300" s="1" t="n">
        <v>13</v>
      </c>
      <c r="N300" s="39" t="n">
        <v>28.8</v>
      </c>
      <c r="O300" s="1" t="n">
        <v>2008</v>
      </c>
      <c r="P300" s="1" t="n">
        <v>4</v>
      </c>
      <c r="Q300" s="39" t="n">
        <v>28.2</v>
      </c>
      <c r="R300" s="1" t="n">
        <v>2008</v>
      </c>
      <c r="S300" s="1" t="n">
        <v>8</v>
      </c>
      <c r="T300" s="39" t="n">
        <v>28.4</v>
      </c>
      <c r="U300" s="1" t="n">
        <v>2010</v>
      </c>
      <c r="V300" s="1" t="n">
        <v>18</v>
      </c>
      <c r="W300" s="39" t="n">
        <v>28.8</v>
      </c>
      <c r="X300" s="1" t="n">
        <v>2005</v>
      </c>
      <c r="Y300" s="1" t="n">
        <v>23</v>
      </c>
      <c r="Z300" s="39" t="n">
        <v>26.2</v>
      </c>
      <c r="AA300" s="1" t="n">
        <v>2009</v>
      </c>
      <c r="AB300" s="1" t="n">
        <v>24</v>
      </c>
      <c r="AC300" s="39" t="n">
        <v>28.4</v>
      </c>
      <c r="AD300" s="1" t="n">
        <v>2012</v>
      </c>
      <c r="AE300" s="1" t="n">
        <v>4</v>
      </c>
      <c r="AF300" s="39" t="n">
        <v>28.4</v>
      </c>
      <c r="AG300" s="1" t="n">
        <v>2019</v>
      </c>
      <c r="AH300" s="1" t="n">
        <v>7</v>
      </c>
      <c r="AI300" s="39" t="n">
        <v>28.6</v>
      </c>
      <c r="AJ300" s="1" t="n">
        <v>1996</v>
      </c>
      <c r="AK300" s="1" t="n">
        <v>7</v>
      </c>
      <c r="AL300" s="39" t="n">
        <v>27.6</v>
      </c>
      <c r="AM300" s="1" t="n">
        <v>2018</v>
      </c>
      <c r="AN300" s="1" t="n">
        <v>14</v>
      </c>
      <c r="AO300" s="39" t="n">
        <v>27.4</v>
      </c>
      <c r="AP300" s="1" t="n">
        <v>2013</v>
      </c>
      <c r="AQ300" s="1" t="n">
        <v>30</v>
      </c>
    </row>
    <row r="301" ht="14.45" customHeight="1">
      <c r="A301" s="1" t="n">
        <v>35215020</v>
      </c>
      <c r="B301" s="1" t="inlineStr">
        <is>
          <t>AEROPUERTO YOPAL - AUT [35215020]</t>
        </is>
      </c>
      <c r="C301" s="1" t="n">
        <v>5.320444444</v>
      </c>
      <c r="D301" s="1" t="n">
        <v>-72.3875</v>
      </c>
      <c r="E301" s="1" t="n">
        <v>325</v>
      </c>
      <c r="F301" s="1" t="inlineStr">
        <is>
          <t>Yopal</t>
        </is>
      </c>
      <c r="G301" s="1" t="inlineStr">
        <is>
          <t>Casanare</t>
        </is>
      </c>
      <c r="H301" s="39" t="n">
        <v>37.2</v>
      </c>
      <c r="I301" s="1" t="n">
        <v>2024</v>
      </c>
      <c r="J301" s="1" t="n">
        <v>30</v>
      </c>
      <c r="K301" s="39" t="n">
        <v>38.4</v>
      </c>
      <c r="L301" s="1" t="n">
        <v>2010</v>
      </c>
      <c r="M301" s="1" t="n">
        <v>13</v>
      </c>
      <c r="N301" s="39" t="n">
        <v>37.4</v>
      </c>
      <c r="O301" s="1" t="n">
        <v>2010</v>
      </c>
      <c r="P301" s="1" t="n">
        <v>1</v>
      </c>
      <c r="Q301" s="39" t="n">
        <v>37</v>
      </c>
      <c r="R301" s="1" t="n">
        <v>2008</v>
      </c>
      <c r="S301" s="1" t="n">
        <v>8</v>
      </c>
      <c r="T301" s="39" t="n">
        <v>35.4</v>
      </c>
      <c r="U301" s="1" t="n">
        <v>1983</v>
      </c>
      <c r="V301" s="1" t="n">
        <v>7</v>
      </c>
      <c r="W301" s="39" t="n">
        <v>34.2</v>
      </c>
      <c r="X301" s="1" t="n">
        <v>2009</v>
      </c>
      <c r="Y301" s="1" t="n">
        <v>2</v>
      </c>
      <c r="Z301" s="39" t="n">
        <v>34.4</v>
      </c>
      <c r="AA301" s="1" t="n">
        <v>1990</v>
      </c>
      <c r="AB301" s="1" t="n">
        <v>7</v>
      </c>
      <c r="AC301" s="39" t="n">
        <v>35.2</v>
      </c>
      <c r="AD301" s="1" t="n">
        <v>2023</v>
      </c>
      <c r="AE301" s="1" t="n">
        <v>26</v>
      </c>
      <c r="AF301" s="39" t="n">
        <v>35</v>
      </c>
      <c r="AG301" s="1" t="n">
        <v>2024</v>
      </c>
      <c r="AH301" s="1" t="n">
        <v>16</v>
      </c>
      <c r="AI301" s="39" t="n">
        <v>35.4</v>
      </c>
      <c r="AJ301" s="1" t="n">
        <v>2024</v>
      </c>
      <c r="AK301" s="1" t="n">
        <v>12</v>
      </c>
      <c r="AL301" s="39" t="n">
        <v>34.6</v>
      </c>
      <c r="AM301" s="1" t="n">
        <v>1987</v>
      </c>
      <c r="AN301" s="1" t="n">
        <v>18</v>
      </c>
      <c r="AO301" s="39" t="n">
        <v>35.4</v>
      </c>
      <c r="AP301" s="1" t="n">
        <v>2023</v>
      </c>
      <c r="AQ301" s="1" t="n">
        <v>6</v>
      </c>
    </row>
    <row r="302" ht="14.45" customHeight="1">
      <c r="A302" s="1" t="n">
        <v>35225030</v>
      </c>
      <c r="B302" s="1" t="inlineStr">
        <is>
          <t>MODULOS - AUT [35225030]</t>
        </is>
      </c>
      <c r="C302" s="1" t="n">
        <v>4.910528</v>
      </c>
      <c r="D302" s="1" t="n">
        <v>-71.433083</v>
      </c>
      <c r="E302" s="1" t="n">
        <v>139</v>
      </c>
      <c r="F302" s="1" t="inlineStr">
        <is>
          <t>Orocué</t>
        </is>
      </c>
      <c r="G302" s="1" t="inlineStr">
        <is>
          <t>Casanare</t>
        </is>
      </c>
      <c r="H302" s="39" t="n">
        <v>38</v>
      </c>
      <c r="I302" s="1" t="n">
        <v>1998</v>
      </c>
      <c r="J302" s="1" t="n">
        <v>29</v>
      </c>
      <c r="K302" s="39" t="n">
        <v>40.2</v>
      </c>
      <c r="L302" s="1" t="n">
        <v>2010</v>
      </c>
      <c r="M302" s="1" t="n">
        <v>13</v>
      </c>
      <c r="N302" s="39" t="n">
        <v>39.8</v>
      </c>
      <c r="O302" s="1" t="n">
        <v>1998</v>
      </c>
      <c r="P302" s="1" t="n">
        <v>25</v>
      </c>
      <c r="Q302" s="39" t="n">
        <v>39</v>
      </c>
      <c r="R302" s="1" t="n">
        <v>2024</v>
      </c>
      <c r="S302" s="1" t="n">
        <v>16</v>
      </c>
      <c r="T302" s="39" t="n">
        <v>36.2</v>
      </c>
      <c r="U302" s="1" t="n">
        <v>2023</v>
      </c>
      <c r="V302" s="1" t="n">
        <v>7</v>
      </c>
      <c r="W302" s="39" t="n">
        <v>34.8</v>
      </c>
      <c r="X302" s="1" t="n">
        <v>1988</v>
      </c>
      <c r="Y302" s="1" t="n">
        <v>21</v>
      </c>
      <c r="Z302" s="39" t="n">
        <v>34.6</v>
      </c>
      <c r="AA302" s="1" t="n">
        <v>1986</v>
      </c>
      <c r="AB302" s="1" t="n">
        <v>29</v>
      </c>
      <c r="AC302" s="39" t="n">
        <v>36.2</v>
      </c>
      <c r="AD302" s="1" t="n">
        <v>2023</v>
      </c>
      <c r="AE302" s="1" t="n">
        <v>26</v>
      </c>
      <c r="AF302" s="39" t="n">
        <v>35.8</v>
      </c>
      <c r="AG302" s="1" t="n">
        <v>2023</v>
      </c>
      <c r="AH302" s="1" t="n">
        <v>28</v>
      </c>
      <c r="AI302" s="39" t="n">
        <v>36.6</v>
      </c>
      <c r="AJ302" s="1" t="n">
        <v>1988</v>
      </c>
      <c r="AK302" s="1" t="n">
        <v>25</v>
      </c>
      <c r="AL302" s="39" t="n">
        <v>36</v>
      </c>
      <c r="AM302" s="1" t="n">
        <v>1987</v>
      </c>
      <c r="AN302" s="1" t="n">
        <v>26</v>
      </c>
      <c r="AO302" s="39" t="n">
        <v>36</v>
      </c>
      <c r="AP302" s="1" t="n">
        <v>1987</v>
      </c>
      <c r="AQ302" s="1" t="n">
        <v>11</v>
      </c>
    </row>
    <row r="303" ht="14.45" customHeight="1">
      <c r="A303" s="1" t="n">
        <v>35235010</v>
      </c>
      <c r="B303" s="1" t="inlineStr">
        <is>
          <t>CARDON EL AUT [35235010]</t>
        </is>
      </c>
      <c r="C303" s="1" t="n">
        <v>6.011666667</v>
      </c>
      <c r="D303" s="1" t="n">
        <v>-72.52927778</v>
      </c>
      <c r="E303" s="1" t="n">
        <v>3590</v>
      </c>
      <c r="F303" s="1" t="inlineStr">
        <is>
          <t>Socotá</t>
        </is>
      </c>
      <c r="G303" s="1" t="inlineStr">
        <is>
          <t>Boyacá</t>
        </is>
      </c>
      <c r="H303" s="39" t="n">
        <v>15.6</v>
      </c>
      <c r="I303" s="1" t="n">
        <v>2010</v>
      </c>
      <c r="J303" s="1" t="n">
        <v>15</v>
      </c>
      <c r="K303" s="39" t="n">
        <v>17</v>
      </c>
      <c r="L303" s="1" t="n">
        <v>1983</v>
      </c>
      <c r="M303" s="1" t="n">
        <v>5</v>
      </c>
      <c r="N303" s="39" t="n">
        <v>18.2</v>
      </c>
      <c r="O303" s="1" t="n">
        <v>1992</v>
      </c>
      <c r="P303" s="1" t="n">
        <v>21</v>
      </c>
      <c r="Q303" s="39" t="n">
        <v>15.4</v>
      </c>
      <c r="R303" s="1" t="n">
        <v>1987</v>
      </c>
      <c r="S303" s="1" t="n">
        <v>6</v>
      </c>
      <c r="T303" s="39" t="n">
        <v>16</v>
      </c>
      <c r="U303" s="1" t="n">
        <v>2015</v>
      </c>
      <c r="V303" s="1" t="n">
        <v>2</v>
      </c>
      <c r="W303" s="39" t="n">
        <v>14.6</v>
      </c>
      <c r="X303" s="1" t="n">
        <v>2010</v>
      </c>
      <c r="Y303" s="1" t="n">
        <v>1</v>
      </c>
      <c r="Z303" s="39" t="n">
        <v>14.6</v>
      </c>
      <c r="AA303" s="1" t="n">
        <v>2010</v>
      </c>
      <c r="AB303" s="1" t="n">
        <v>22</v>
      </c>
      <c r="AC303" s="39" t="n">
        <v>14.3</v>
      </c>
      <c r="AD303" s="1" t="n">
        <v>1986</v>
      </c>
      <c r="AE303" s="1" t="n">
        <v>2</v>
      </c>
      <c r="AF303" s="39" t="n">
        <v>14.3</v>
      </c>
      <c r="AG303" s="1" t="n">
        <v>1986</v>
      </c>
      <c r="AH303" s="1" t="n">
        <v>9</v>
      </c>
      <c r="AI303" s="39" t="n">
        <v>13</v>
      </c>
      <c r="AJ303" s="1" t="n">
        <v>2018</v>
      </c>
      <c r="AK303" s="1" t="n">
        <v>17</v>
      </c>
      <c r="AL303" s="39" t="n">
        <v>14.6</v>
      </c>
      <c r="AM303" s="1" t="n">
        <v>2008</v>
      </c>
      <c r="AN303" s="1" t="n">
        <v>30</v>
      </c>
      <c r="AO303" s="39" t="n">
        <v>16.6</v>
      </c>
      <c r="AP303" s="1" t="n">
        <v>2012</v>
      </c>
      <c r="AQ303" s="1" t="n">
        <v>26</v>
      </c>
    </row>
    <row r="304" ht="14.45" customHeight="1">
      <c r="A304" s="1" t="n">
        <v>35235050</v>
      </c>
      <c r="B304" s="1" t="inlineStr">
        <is>
          <t>TAMARA - AUT [35235050]</t>
        </is>
      </c>
      <c r="C304" s="1" t="n">
        <v>5.818583333</v>
      </c>
      <c r="D304" s="1" t="n">
        <v>-72.16677778</v>
      </c>
      <c r="E304" s="1" t="n">
        <v>117</v>
      </c>
      <c r="F304" s="1" t="inlineStr">
        <is>
          <t>Támara</t>
        </is>
      </c>
      <c r="G304" s="1" t="inlineStr">
        <is>
          <t>Casanare</t>
        </is>
      </c>
      <c r="H304" s="39" t="n">
        <v>32</v>
      </c>
      <c r="I304" s="1" t="n">
        <v>2010</v>
      </c>
      <c r="J304" s="1" t="n">
        <v>5</v>
      </c>
      <c r="K304" s="39" t="n">
        <v>34.4</v>
      </c>
      <c r="L304" s="1" t="n">
        <v>2010</v>
      </c>
      <c r="M304" s="1" t="n">
        <v>18</v>
      </c>
      <c r="N304" s="39" t="n">
        <v>33.3</v>
      </c>
      <c r="O304" s="1" t="n">
        <v>2016</v>
      </c>
      <c r="P304" s="1" t="n">
        <v>5</v>
      </c>
      <c r="Q304" s="39" t="n">
        <v>31.1</v>
      </c>
      <c r="R304" s="1" t="n">
        <v>2008</v>
      </c>
      <c r="S304" s="1" t="n">
        <v>9</v>
      </c>
      <c r="T304" s="39" t="n">
        <v>29.8</v>
      </c>
      <c r="U304" s="1" t="n">
        <v>2016</v>
      </c>
      <c r="V304" s="1" t="n">
        <v>24</v>
      </c>
      <c r="W304" s="39" t="n">
        <v>30.2</v>
      </c>
      <c r="X304" s="1" t="n">
        <v>2016</v>
      </c>
      <c r="Y304" s="1" t="n">
        <v>5</v>
      </c>
      <c r="Z304" s="39" t="n">
        <v>32</v>
      </c>
      <c r="AA304" s="1" t="n">
        <v>1998</v>
      </c>
      <c r="AB304" s="1" t="n">
        <v>12</v>
      </c>
      <c r="AC304" s="39" t="n">
        <v>30.8</v>
      </c>
      <c r="AD304" s="1" t="n">
        <v>2016</v>
      </c>
      <c r="AE304" s="1" t="n">
        <v>20</v>
      </c>
      <c r="AF304" s="39" t="n">
        <v>31.4</v>
      </c>
      <c r="AG304" s="1" t="n">
        <v>2022</v>
      </c>
      <c r="AH304" s="1" t="n">
        <v>15</v>
      </c>
      <c r="AI304" s="39" t="n">
        <v>30.6</v>
      </c>
      <c r="AJ304" s="1" t="n">
        <v>2016</v>
      </c>
      <c r="AK304" s="1" t="n">
        <v>21</v>
      </c>
      <c r="AL304" s="39" t="n">
        <v>29.4</v>
      </c>
      <c r="AM304" s="1" t="n">
        <v>2016</v>
      </c>
      <c r="AN304" s="1" t="n">
        <v>9</v>
      </c>
      <c r="AO304" s="39" t="n">
        <v>30.2</v>
      </c>
      <c r="AP304" s="1" t="n">
        <v>2009</v>
      </c>
      <c r="AQ304" s="1" t="n">
        <v>24</v>
      </c>
    </row>
    <row r="305" ht="14.45" customHeight="1">
      <c r="A305" s="1" t="n">
        <v>36015010</v>
      </c>
      <c r="B305" s="1" t="inlineStr">
        <is>
          <t>PAZ DE ARIPORO [36015010]</t>
        </is>
      </c>
      <c r="C305" s="1" t="n">
        <v>5.878527778</v>
      </c>
      <c r="D305" s="1" t="n">
        <v>-71.88719444</v>
      </c>
      <c r="E305" s="1" t="n">
        <v>342</v>
      </c>
      <c r="F305" s="1" t="inlineStr">
        <is>
          <t>Paz De Ariporo</t>
        </is>
      </c>
      <c r="G305" s="1" t="inlineStr">
        <is>
          <t>Casanare</t>
        </is>
      </c>
      <c r="H305" s="39" t="n">
        <v>36.4</v>
      </c>
      <c r="I305" s="1" t="n">
        <v>2024</v>
      </c>
      <c r="J305" s="1" t="n">
        <v>30</v>
      </c>
      <c r="K305" s="39" t="n">
        <v>38.2</v>
      </c>
      <c r="L305" s="1" t="n">
        <v>2010</v>
      </c>
      <c r="M305" s="1" t="n">
        <v>13</v>
      </c>
      <c r="N305" s="39" t="n">
        <v>38.2</v>
      </c>
      <c r="O305" s="1" t="n">
        <v>2016</v>
      </c>
      <c r="P305" s="1" t="n">
        <v>5</v>
      </c>
      <c r="Q305" s="39" t="n">
        <v>37.2</v>
      </c>
      <c r="R305" s="1" t="n">
        <v>2024</v>
      </c>
      <c r="S305" s="1" t="n">
        <v>16</v>
      </c>
      <c r="T305" s="39" t="n">
        <v>35.2</v>
      </c>
      <c r="U305" s="1" t="n">
        <v>2016</v>
      </c>
      <c r="V305" s="1" t="n">
        <v>8</v>
      </c>
      <c r="W305" s="39" t="n">
        <v>34.2</v>
      </c>
      <c r="X305" s="1" t="n">
        <v>2009</v>
      </c>
      <c r="Y305" s="1" t="n">
        <v>1</v>
      </c>
      <c r="Z305" s="39" t="n">
        <v>37.2</v>
      </c>
      <c r="AA305" s="1" t="n">
        <v>2010</v>
      </c>
      <c r="AB305" s="1" t="n">
        <v>9</v>
      </c>
      <c r="AC305" s="39" t="n">
        <v>34.8</v>
      </c>
      <c r="AD305" s="1" t="n">
        <v>2017</v>
      </c>
      <c r="AE305" s="1" t="n">
        <v>15</v>
      </c>
      <c r="AF305" s="39" t="n">
        <v>35.2</v>
      </c>
      <c r="AG305" s="1" t="n">
        <v>2023</v>
      </c>
      <c r="AH305" s="1" t="n">
        <v>15</v>
      </c>
      <c r="AI305" s="39" t="n">
        <v>34.8</v>
      </c>
      <c r="AJ305" s="1" t="n">
        <v>2015</v>
      </c>
      <c r="AK305" s="1" t="n">
        <v>5</v>
      </c>
      <c r="AL305" s="39" t="n">
        <v>34.2</v>
      </c>
      <c r="AM305" s="1" t="n">
        <v>2017</v>
      </c>
      <c r="AN305" s="1" t="n">
        <v>17</v>
      </c>
      <c r="AO305" s="39" t="n">
        <v>35.2</v>
      </c>
      <c r="AP305" s="1" t="n">
        <v>2006</v>
      </c>
      <c r="AQ305" s="1" t="n">
        <v>5</v>
      </c>
    </row>
    <row r="306" ht="14.45" customHeight="1">
      <c r="A306" s="1" t="n">
        <v>36025010</v>
      </c>
      <c r="B306" s="1" t="inlineStr">
        <is>
          <t>TAME [36025010]</t>
        </is>
      </c>
      <c r="C306" s="1" t="n">
        <v>6.456194444</v>
      </c>
      <c r="D306" s="1" t="n">
        <v>-71.74502778</v>
      </c>
      <c r="E306" s="1" t="n">
        <v>350</v>
      </c>
      <c r="F306" s="1" t="inlineStr">
        <is>
          <t>Tame</t>
        </is>
      </c>
      <c r="G306" s="1" t="inlineStr">
        <is>
          <t>Arauca</t>
        </is>
      </c>
      <c r="H306" s="39" t="n">
        <v>36.2</v>
      </c>
      <c r="I306" s="1" t="n">
        <v>2024</v>
      </c>
      <c r="J306" s="1" t="n">
        <v>29</v>
      </c>
      <c r="K306" s="39" t="n">
        <v>36.2</v>
      </c>
      <c r="L306" s="1" t="n">
        <v>1998</v>
      </c>
      <c r="M306" s="1" t="n">
        <v>28</v>
      </c>
      <c r="N306" s="39" t="n">
        <v>37</v>
      </c>
      <c r="O306" s="1" t="n">
        <v>2019</v>
      </c>
      <c r="P306" s="1" t="n">
        <v>8</v>
      </c>
      <c r="Q306" s="39" t="n">
        <v>36.4</v>
      </c>
      <c r="R306" s="1" t="n">
        <v>2024</v>
      </c>
      <c r="S306" s="1" t="n">
        <v>11</v>
      </c>
      <c r="T306" s="39" t="n">
        <v>36.4</v>
      </c>
      <c r="U306" s="1" t="n">
        <v>2024</v>
      </c>
      <c r="V306" s="1" t="n">
        <v>2</v>
      </c>
      <c r="W306" s="39" t="n">
        <v>36.4</v>
      </c>
      <c r="X306" s="1" t="n">
        <v>2019</v>
      </c>
      <c r="Y306" s="1" t="n">
        <v>30</v>
      </c>
      <c r="Z306" s="39" t="n">
        <v>36.6</v>
      </c>
      <c r="AA306" s="1" t="n">
        <v>2017</v>
      </c>
      <c r="AB306" s="1" t="n">
        <v>12</v>
      </c>
      <c r="AC306" s="39" t="n">
        <v>36.2</v>
      </c>
      <c r="AD306" s="1" t="n">
        <v>2024</v>
      </c>
      <c r="AE306" s="1" t="n">
        <v>3</v>
      </c>
      <c r="AF306" s="39" t="n">
        <v>36.6</v>
      </c>
      <c r="AG306" s="1" t="n">
        <v>2024</v>
      </c>
      <c r="AH306" s="1" t="n">
        <v>8</v>
      </c>
      <c r="AI306" s="39" t="n">
        <v>36.2</v>
      </c>
      <c r="AJ306" s="1" t="n">
        <v>2024</v>
      </c>
      <c r="AK306" s="1" t="n">
        <v>2</v>
      </c>
      <c r="AL306" s="39" t="n">
        <v>36</v>
      </c>
      <c r="AM306" s="1" t="n">
        <v>2024</v>
      </c>
      <c r="AN306" s="1" t="n">
        <v>7</v>
      </c>
      <c r="AO306" s="39" t="n">
        <v>34.8</v>
      </c>
      <c r="AP306" s="1" t="n">
        <v>2017</v>
      </c>
      <c r="AQ306" s="1" t="n">
        <v>13</v>
      </c>
    </row>
    <row r="307" ht="14.45" customHeight="1">
      <c r="A307" s="1" t="n">
        <v>37015020</v>
      </c>
      <c r="B307" s="1" t="inlineStr">
        <is>
          <t>BERLIN [37015020]</t>
        </is>
      </c>
      <c r="C307" s="1" t="n">
        <v>7.186944444</v>
      </c>
      <c r="D307" s="1" t="n">
        <v>-72.86861111</v>
      </c>
      <c r="E307" s="1" t="n">
        <v>3214</v>
      </c>
      <c r="F307" s="1" t="inlineStr">
        <is>
          <t>Tona</t>
        </is>
      </c>
      <c r="G307" s="1" t="inlineStr">
        <is>
          <t>Santander</t>
        </is>
      </c>
      <c r="H307" s="39" t="n">
        <v>20.2</v>
      </c>
      <c r="I307" s="1" t="n">
        <v>1983</v>
      </c>
      <c r="J307" s="1" t="n">
        <v>15</v>
      </c>
      <c r="K307" s="39" t="n">
        <v>19.6</v>
      </c>
      <c r="L307" s="1" t="n">
        <v>2016</v>
      </c>
      <c r="M307" s="1" t="n">
        <v>27</v>
      </c>
      <c r="N307" s="39" t="n">
        <v>20</v>
      </c>
      <c r="O307" s="1" t="n">
        <v>1984</v>
      </c>
      <c r="P307" s="1" t="n">
        <v>6</v>
      </c>
      <c r="Q307" s="39" t="n">
        <v>19</v>
      </c>
      <c r="R307" s="1" t="n">
        <v>2024</v>
      </c>
      <c r="S307" s="1" t="n">
        <v>16</v>
      </c>
      <c r="T307" s="39" t="n">
        <v>18.2</v>
      </c>
      <c r="U307" s="1" t="n">
        <v>2023</v>
      </c>
      <c r="V307" s="1" t="n">
        <v>7</v>
      </c>
      <c r="W307" s="39" t="n">
        <v>18</v>
      </c>
      <c r="X307" s="1" t="n">
        <v>1995</v>
      </c>
      <c r="Y307" s="1" t="n">
        <v>16</v>
      </c>
      <c r="Z307" s="39" t="n">
        <v>16.8</v>
      </c>
      <c r="AA307" s="1" t="n">
        <v>2023</v>
      </c>
      <c r="AB307" s="1" t="n">
        <v>20</v>
      </c>
      <c r="AC307" s="39" t="n">
        <v>16.8</v>
      </c>
      <c r="AD307" s="1" t="n">
        <v>2023</v>
      </c>
      <c r="AE307" s="1" t="n">
        <v>18</v>
      </c>
      <c r="AF307" s="39" t="n">
        <v>17.4</v>
      </c>
      <c r="AG307" s="1" t="n">
        <v>2024</v>
      </c>
      <c r="AH307" s="1" t="n">
        <v>14</v>
      </c>
      <c r="AI307" s="39" t="n">
        <v>18.2</v>
      </c>
      <c r="AJ307" s="1" t="n">
        <v>1984</v>
      </c>
      <c r="AK307" s="1" t="n">
        <v>6</v>
      </c>
      <c r="AL307" s="39" t="n">
        <v>17.8</v>
      </c>
      <c r="AM307" s="1" t="n">
        <v>2022</v>
      </c>
      <c r="AN307" s="1" t="n">
        <v>8</v>
      </c>
      <c r="AO307" s="39" t="n">
        <v>19.2</v>
      </c>
      <c r="AP307" s="1" t="n">
        <v>1983</v>
      </c>
      <c r="AQ307" s="1" t="n">
        <v>25</v>
      </c>
    </row>
    <row r="308" ht="14.45" customHeight="1">
      <c r="A308" s="1" t="n">
        <v>37035010</v>
      </c>
      <c r="B308" s="1" t="inlineStr">
        <is>
          <t>TUNEBIA [37035010]</t>
        </is>
      </c>
      <c r="C308" s="1" t="n">
        <v>7.006111111</v>
      </c>
      <c r="D308" s="1" t="n">
        <v>-72.11583333</v>
      </c>
      <c r="E308" s="1" t="n">
        <v>370</v>
      </c>
      <c r="F308" s="1" t="inlineStr">
        <is>
          <t>Toledo</t>
        </is>
      </c>
      <c r="G308" s="1" t="inlineStr">
        <is>
          <t>Norte De Santander</t>
        </is>
      </c>
      <c r="H308" s="39" t="n">
        <v>35.4</v>
      </c>
      <c r="I308" s="1" t="n">
        <v>1998</v>
      </c>
      <c r="J308" s="1" t="n">
        <v>31</v>
      </c>
      <c r="K308" s="39" t="n">
        <v>36</v>
      </c>
      <c r="L308" s="1" t="n">
        <v>2010</v>
      </c>
      <c r="M308" s="1" t="n">
        <v>25</v>
      </c>
      <c r="N308" s="39" t="n">
        <v>35.6</v>
      </c>
      <c r="O308" s="1" t="n">
        <v>1992</v>
      </c>
      <c r="P308" s="1" t="n">
        <v>25</v>
      </c>
      <c r="Q308" s="39" t="n">
        <v>36</v>
      </c>
      <c r="R308" s="1" t="n">
        <v>2024</v>
      </c>
      <c r="S308" s="1" t="n">
        <v>17</v>
      </c>
      <c r="T308" s="39" t="n">
        <v>35</v>
      </c>
      <c r="U308" s="1" t="n">
        <v>2023</v>
      </c>
      <c r="V308" s="1" t="n">
        <v>2</v>
      </c>
      <c r="W308" s="39" t="n">
        <v>33.2</v>
      </c>
      <c r="X308" s="1" t="n">
        <v>1997</v>
      </c>
      <c r="Y308" s="1" t="n">
        <v>6</v>
      </c>
      <c r="Z308" s="39" t="n">
        <v>35</v>
      </c>
      <c r="AA308" s="1" t="n">
        <v>2008</v>
      </c>
      <c r="AB308" s="1" t="n">
        <v>30</v>
      </c>
      <c r="AC308" s="39" t="n">
        <v>35</v>
      </c>
      <c r="AD308" s="1" t="n">
        <v>2020</v>
      </c>
      <c r="AE308" s="1" t="n">
        <v>29</v>
      </c>
      <c r="AF308" s="39" t="n">
        <v>35</v>
      </c>
      <c r="AG308" s="1" t="n">
        <v>2025</v>
      </c>
      <c r="AH308" s="1" t="n">
        <v>23</v>
      </c>
      <c r="AI308" s="39" t="n">
        <v>35</v>
      </c>
      <c r="AJ308" s="1" t="n">
        <v>2024</v>
      </c>
      <c r="AK308" s="1" t="n">
        <v>3</v>
      </c>
      <c r="AL308" s="39" t="n">
        <v>35</v>
      </c>
      <c r="AM308" s="1" t="n">
        <v>2024</v>
      </c>
      <c r="AN308" s="1" t="n">
        <v>6</v>
      </c>
      <c r="AO308" s="39" t="n">
        <v>34</v>
      </c>
      <c r="AP308" s="1" t="n">
        <v>2024</v>
      </c>
      <c r="AQ308" s="1" t="n">
        <v>10</v>
      </c>
    </row>
    <row r="309" ht="14.45" customHeight="1">
      <c r="A309" s="1" t="n">
        <v>37045010</v>
      </c>
      <c r="B309" s="1" t="inlineStr">
        <is>
          <t>SARAVENA  - AUT [37045010]</t>
        </is>
      </c>
      <c r="C309" s="1" t="n">
        <v>6.96208</v>
      </c>
      <c r="D309" s="1" t="n">
        <v>-71.851252</v>
      </c>
      <c r="E309" s="1" t="n">
        <v>197</v>
      </c>
      <c r="F309" s="1" t="inlineStr">
        <is>
          <t>Saravena</t>
        </is>
      </c>
      <c r="G309" s="1" t="inlineStr">
        <is>
          <t>Arauca</t>
        </is>
      </c>
      <c r="H309" s="39" t="n">
        <v>35.4</v>
      </c>
      <c r="I309" s="1" t="n">
        <v>1979</v>
      </c>
      <c r="J309" s="1" t="n">
        <v>28</v>
      </c>
      <c r="K309" s="39" t="n">
        <v>38.6</v>
      </c>
      <c r="L309" s="1" t="n">
        <v>2010</v>
      </c>
      <c r="M309" s="1" t="n">
        <v>25</v>
      </c>
      <c r="N309" s="39" t="n">
        <v>36.8</v>
      </c>
      <c r="O309" s="1" t="n">
        <v>2010</v>
      </c>
      <c r="P309" s="1" t="n">
        <v>10</v>
      </c>
      <c r="Q309" s="39" t="n">
        <v>37</v>
      </c>
      <c r="R309" s="1" t="n">
        <v>1992</v>
      </c>
      <c r="S309" s="1" t="n">
        <v>6</v>
      </c>
      <c r="T309" s="39" t="n">
        <v>35.6</v>
      </c>
      <c r="U309" s="1" t="n">
        <v>2010</v>
      </c>
      <c r="V309" s="1" t="n">
        <v>3</v>
      </c>
      <c r="W309" s="39" t="n">
        <v>35.6</v>
      </c>
      <c r="X309" s="1" t="n">
        <v>2010</v>
      </c>
      <c r="Y309" s="1" t="n">
        <v>3</v>
      </c>
      <c r="Z309" s="39" t="n">
        <v>34.3</v>
      </c>
      <c r="AA309" s="1" t="n">
        <v>1984</v>
      </c>
      <c r="AB309" s="1" t="n">
        <v>16</v>
      </c>
      <c r="AC309" s="39" t="n">
        <v>36.4</v>
      </c>
      <c r="AD309" s="1" t="n">
        <v>1985</v>
      </c>
      <c r="AE309" s="1" t="n">
        <v>19</v>
      </c>
      <c r="AF309" s="39" t="n">
        <v>36.4</v>
      </c>
      <c r="AG309" s="1" t="n">
        <v>1985</v>
      </c>
      <c r="AH309" s="1" t="n">
        <v>19</v>
      </c>
      <c r="AI309" s="39" t="n">
        <v>37.8</v>
      </c>
      <c r="AJ309" s="1" t="n">
        <v>1990</v>
      </c>
      <c r="AK309" s="1" t="n">
        <v>16</v>
      </c>
      <c r="AL309" s="39" t="n">
        <v>35.2</v>
      </c>
      <c r="AM309" s="1" t="n">
        <v>2001</v>
      </c>
      <c r="AN309" s="1" t="n">
        <v>16</v>
      </c>
      <c r="AO309" s="39" t="n">
        <v>36.2</v>
      </c>
      <c r="AP309" s="1" t="n">
        <v>1998</v>
      </c>
      <c r="AQ309" s="1" t="n">
        <v>1</v>
      </c>
    </row>
    <row r="310" ht="14.45" customHeight="1">
      <c r="A310" s="1" t="n">
        <v>37055010</v>
      </c>
      <c r="B310" s="1" t="inlineStr">
        <is>
          <t>AEROPUERTO SANTIAGO PÉREZ [37055010]</t>
        </is>
      </c>
      <c r="C310" s="1" t="n">
        <v>7.069444444</v>
      </c>
      <c r="D310" s="1" t="n">
        <v>-70.73805556000001</v>
      </c>
      <c r="E310" s="1" t="n">
        <v>128</v>
      </c>
      <c r="F310" s="1" t="inlineStr">
        <is>
          <t>Arauca</t>
        </is>
      </c>
      <c r="G310" s="1" t="inlineStr">
        <is>
          <t>Arauca</t>
        </is>
      </c>
      <c r="H310" s="39" t="n">
        <v>38.6</v>
      </c>
      <c r="I310" s="1" t="n">
        <v>1998</v>
      </c>
      <c r="J310" s="1" t="n">
        <v>31</v>
      </c>
      <c r="K310" s="39" t="n">
        <v>39.2</v>
      </c>
      <c r="L310" s="1" t="n">
        <v>2010</v>
      </c>
      <c r="M310" s="1" t="n">
        <v>28</v>
      </c>
      <c r="N310" s="39" t="n">
        <v>38.8</v>
      </c>
      <c r="O310" s="1" t="n">
        <v>2010</v>
      </c>
      <c r="P310" s="1" t="n">
        <v>1</v>
      </c>
      <c r="Q310" s="39" t="n">
        <v>38.5</v>
      </c>
      <c r="R310" s="1" t="n">
        <v>1995</v>
      </c>
      <c r="S310" s="1" t="n">
        <v>9</v>
      </c>
      <c r="T310" s="39" t="n">
        <v>36.2</v>
      </c>
      <c r="U310" s="1" t="n">
        <v>1992</v>
      </c>
      <c r="V310" s="1" t="n">
        <v>2</v>
      </c>
      <c r="W310" s="39" t="n">
        <v>35.4</v>
      </c>
      <c r="X310" s="1" t="n">
        <v>2011</v>
      </c>
      <c r="Y310" s="1" t="n">
        <v>7</v>
      </c>
      <c r="Z310" s="39" t="n">
        <v>38</v>
      </c>
      <c r="AA310" s="1" t="n">
        <v>2003</v>
      </c>
      <c r="AB310" s="1" t="n">
        <v>14</v>
      </c>
      <c r="AC310" s="39" t="n">
        <v>34.4</v>
      </c>
      <c r="AD310" s="1" t="n">
        <v>2003</v>
      </c>
      <c r="AE310" s="1" t="n">
        <v>24</v>
      </c>
      <c r="AF310" s="39" t="n">
        <v>35.6</v>
      </c>
      <c r="AG310" s="1" t="n">
        <v>2016</v>
      </c>
      <c r="AH310" s="1" t="n">
        <v>29</v>
      </c>
      <c r="AI310" s="39" t="n">
        <v>35.4</v>
      </c>
      <c r="AJ310" s="1" t="n">
        <v>2003</v>
      </c>
      <c r="AK310" s="1" t="n">
        <v>9</v>
      </c>
      <c r="AL310" s="39" t="n">
        <v>34.8</v>
      </c>
      <c r="AM310" s="1" t="n">
        <v>2018</v>
      </c>
      <c r="AN310" s="1" t="n">
        <v>10</v>
      </c>
      <c r="AO310" s="39" t="n">
        <v>35.8</v>
      </c>
      <c r="AP310" s="1" t="n">
        <v>2003</v>
      </c>
      <c r="AQ310" s="1" t="n">
        <v>28</v>
      </c>
    </row>
    <row r="311" ht="14.45" customHeight="1">
      <c r="A311" s="1" t="n">
        <v>38015030</v>
      </c>
      <c r="B311" s="1" t="inlineStr">
        <is>
          <t>AEROPUERTO PUERTO CARRENO [38015030]</t>
        </is>
      </c>
      <c r="C311" s="1" t="n">
        <v>6.182222</v>
      </c>
      <c r="D311" s="1" t="n">
        <v>-67.49213899999999</v>
      </c>
      <c r="E311" s="1" t="n">
        <v>55</v>
      </c>
      <c r="F311" s="1" t="inlineStr">
        <is>
          <t>Puerto Carreño</t>
        </is>
      </c>
      <c r="G311" s="1" t="inlineStr">
        <is>
          <t>Vichada</t>
        </is>
      </c>
      <c r="H311" s="39" t="n">
        <v>39</v>
      </c>
      <c r="I311" s="1" t="n">
        <v>1998</v>
      </c>
      <c r="J311" s="1" t="n">
        <v>27</v>
      </c>
      <c r="K311" s="39" t="n">
        <v>40.6</v>
      </c>
      <c r="L311" s="1" t="n">
        <v>2010</v>
      </c>
      <c r="M311" s="1" t="n">
        <v>14</v>
      </c>
      <c r="N311" s="39" t="n">
        <v>40.5</v>
      </c>
      <c r="O311" s="1" t="n">
        <v>2024</v>
      </c>
      <c r="P311" s="1" t="n">
        <v>20</v>
      </c>
      <c r="Q311" s="39" t="n">
        <v>39.9</v>
      </c>
      <c r="R311" s="1" t="n">
        <v>1995</v>
      </c>
      <c r="S311" s="1" t="n">
        <v>8</v>
      </c>
      <c r="T311" s="39" t="n">
        <v>38.6</v>
      </c>
      <c r="U311" s="1" t="n">
        <v>1980</v>
      </c>
      <c r="V311" s="1" t="n">
        <v>25</v>
      </c>
      <c r="W311" s="39" t="n">
        <v>39.6</v>
      </c>
      <c r="X311" s="1" t="n">
        <v>1980</v>
      </c>
      <c r="Y311" s="1" t="n">
        <v>8</v>
      </c>
      <c r="Z311" s="39" t="n">
        <v>37.4</v>
      </c>
      <c r="AA311" s="1" t="n">
        <v>1979</v>
      </c>
      <c r="AB311" s="1" t="n">
        <v>20</v>
      </c>
      <c r="AC311" s="39" t="n">
        <v>36.1</v>
      </c>
      <c r="AD311" s="1" t="n">
        <v>1995</v>
      </c>
      <c r="AE311" s="1" t="n">
        <v>29</v>
      </c>
      <c r="AF311" s="39" t="n">
        <v>36.4</v>
      </c>
      <c r="AG311" s="1" t="n">
        <v>2013</v>
      </c>
      <c r="AH311" s="1" t="n">
        <v>22</v>
      </c>
      <c r="AI311" s="39" t="n">
        <v>36.6</v>
      </c>
      <c r="AJ311" s="1" t="n">
        <v>2024</v>
      </c>
      <c r="AK311" s="1" t="n">
        <v>21</v>
      </c>
      <c r="AL311" s="39" t="n">
        <v>38</v>
      </c>
      <c r="AM311" s="1" t="n">
        <v>1978</v>
      </c>
      <c r="AN311" s="1" t="n">
        <v>29</v>
      </c>
      <c r="AO311" s="39" t="n">
        <v>37.3</v>
      </c>
      <c r="AP311" s="1" t="n">
        <v>1999</v>
      </c>
      <c r="AQ311" s="1" t="n">
        <v>28</v>
      </c>
    </row>
    <row r="312" ht="14.45" customHeight="1">
      <c r="A312" s="1" t="n">
        <v>42075010</v>
      </c>
      <c r="B312" s="1" t="inlineStr">
        <is>
          <t>MITU [42075010]</t>
        </is>
      </c>
      <c r="C312" s="1" t="n">
        <v>1.259702</v>
      </c>
      <c r="D312" s="1" t="n">
        <v>-70.239204</v>
      </c>
      <c r="E312" s="1" t="n">
        <v>168</v>
      </c>
      <c r="F312" s="1" t="inlineStr">
        <is>
          <t>Mitú</t>
        </is>
      </c>
      <c r="G312" s="1" t="inlineStr">
        <is>
          <t>Vaupes</t>
        </is>
      </c>
      <c r="H312" s="39" t="n">
        <v>38.6</v>
      </c>
      <c r="I312" s="1" t="n">
        <v>2016</v>
      </c>
      <c r="J312" s="1" t="n">
        <v>27</v>
      </c>
      <c r="K312" s="39" t="n">
        <v>34.6</v>
      </c>
      <c r="L312" s="1" t="n">
        <v>2016</v>
      </c>
      <c r="M312" s="1" t="n">
        <v>1</v>
      </c>
      <c r="N312" s="39" t="n">
        <v>35</v>
      </c>
      <c r="O312" s="1" t="n">
        <v>1999</v>
      </c>
      <c r="P312" s="1" t="n">
        <v>19</v>
      </c>
      <c r="Q312" s="39" t="n">
        <v>34.4</v>
      </c>
      <c r="R312" s="1" t="n">
        <v>2019</v>
      </c>
      <c r="S312" s="1" t="n">
        <v>5</v>
      </c>
      <c r="T312" s="39" t="n">
        <v>33</v>
      </c>
      <c r="U312" s="1" t="n">
        <v>2017</v>
      </c>
      <c r="V312" s="1" t="n">
        <v>19</v>
      </c>
      <c r="W312" s="39" t="n">
        <v>36.8</v>
      </c>
      <c r="X312" s="1" t="n">
        <v>2016</v>
      </c>
      <c r="Y312" s="1" t="n">
        <v>10</v>
      </c>
      <c r="Z312" s="39" t="n">
        <v>33.6</v>
      </c>
      <c r="AA312" s="1" t="n">
        <v>2025</v>
      </c>
      <c r="AB312" s="1" t="n">
        <v>5</v>
      </c>
      <c r="AC312" s="39" t="n">
        <v>34.4</v>
      </c>
      <c r="AD312" s="1" t="n">
        <v>2017</v>
      </c>
      <c r="AE312" s="1" t="n">
        <v>14</v>
      </c>
      <c r="AF312" s="39" t="n">
        <v>34.8</v>
      </c>
      <c r="AG312" s="1" t="n">
        <v>2015</v>
      </c>
      <c r="AH312" s="1" t="n">
        <v>4</v>
      </c>
      <c r="AI312" s="39" t="n">
        <v>34.6</v>
      </c>
      <c r="AJ312" s="1" t="n">
        <v>2016</v>
      </c>
      <c r="AK312" s="1" t="n">
        <v>19</v>
      </c>
      <c r="AL312" s="39" t="n">
        <v>34.4</v>
      </c>
      <c r="AM312" s="1" t="n">
        <v>2024</v>
      </c>
      <c r="AN312" s="1" t="n">
        <v>1</v>
      </c>
      <c r="AO312" s="39" t="n">
        <v>35.1</v>
      </c>
      <c r="AP312" s="1" t="n">
        <v>2025</v>
      </c>
      <c r="AQ312" s="1" t="n">
        <v>21</v>
      </c>
    </row>
    <row r="313" ht="14.45" customHeight="1">
      <c r="A313" s="1" t="n">
        <v>44015030</v>
      </c>
      <c r="B313" s="1" t="inlineStr">
        <is>
          <t>VALENCIA [44015030]</t>
        </is>
      </c>
      <c r="C313" s="1" t="n">
        <v>1.900416667</v>
      </c>
      <c r="D313" s="1" t="n">
        <v>-76.66875</v>
      </c>
      <c r="E313" s="1" t="n">
        <v>2900</v>
      </c>
      <c r="F313" s="1" t="inlineStr">
        <is>
          <t>San Sebastián</t>
        </is>
      </c>
      <c r="G313" s="1" t="inlineStr">
        <is>
          <t>Cauca</t>
        </is>
      </c>
      <c r="H313" s="39" t="n">
        <v>23.8</v>
      </c>
      <c r="I313" s="1" t="n">
        <v>2005</v>
      </c>
      <c r="J313" s="1" t="n">
        <v>13</v>
      </c>
      <c r="K313" s="39" t="n">
        <v>22.8</v>
      </c>
      <c r="L313" s="1" t="n">
        <v>2005</v>
      </c>
      <c r="M313" s="1" t="n">
        <v>13</v>
      </c>
      <c r="N313" s="39" t="n">
        <v>23</v>
      </c>
      <c r="O313" s="1" t="n">
        <v>1978</v>
      </c>
      <c r="P313" s="1" t="n">
        <v>11</v>
      </c>
      <c r="Q313" s="39" t="n">
        <v>22</v>
      </c>
      <c r="R313" s="1" t="n">
        <v>2005</v>
      </c>
      <c r="S313" s="1" t="n">
        <v>17</v>
      </c>
      <c r="T313" s="39" t="n">
        <v>23.4</v>
      </c>
      <c r="U313" s="1" t="n">
        <v>2005</v>
      </c>
      <c r="V313" s="1" t="n">
        <v>21</v>
      </c>
      <c r="W313" s="39" t="n">
        <v>21.4</v>
      </c>
      <c r="X313" s="1" t="n">
        <v>2005</v>
      </c>
      <c r="Y313" s="1" t="n">
        <v>13</v>
      </c>
      <c r="Z313" s="39" t="n">
        <v>22.2</v>
      </c>
      <c r="AA313" s="1" t="n">
        <v>2005</v>
      </c>
      <c r="AB313" s="1" t="n">
        <v>7</v>
      </c>
      <c r="AC313" s="39" t="n">
        <v>20.8</v>
      </c>
      <c r="AD313" s="1" t="n">
        <v>2005</v>
      </c>
      <c r="AE313" s="1" t="n">
        <v>9</v>
      </c>
      <c r="AF313" s="39" t="n">
        <v>23.6</v>
      </c>
      <c r="AG313" s="1" t="n">
        <v>2005</v>
      </c>
      <c r="AH313" s="1" t="n">
        <v>25</v>
      </c>
      <c r="AI313" s="39" t="n">
        <v>23.4</v>
      </c>
      <c r="AJ313" s="1" t="n">
        <v>2004</v>
      </c>
      <c r="AK313" s="1" t="n">
        <v>8</v>
      </c>
      <c r="AL313" s="39" t="n">
        <v>22.8</v>
      </c>
      <c r="AM313" s="1" t="n">
        <v>2005</v>
      </c>
      <c r="AN313" s="1" t="n">
        <v>26</v>
      </c>
      <c r="AO313" s="39" t="n">
        <v>22.8</v>
      </c>
      <c r="AP313" s="1" t="n">
        <v>2005</v>
      </c>
      <c r="AQ313" s="1" t="n">
        <v>30</v>
      </c>
    </row>
    <row r="314" ht="14.45" customHeight="1">
      <c r="A314" s="1" t="n">
        <v>44015060</v>
      </c>
      <c r="B314" s="1" t="inlineStr">
        <is>
          <t>ACUEDUCTO MOCOA - AUT [44015060]</t>
        </is>
      </c>
      <c r="C314" s="1" t="n">
        <v>1.157333333</v>
      </c>
      <c r="D314" s="1" t="n">
        <v>-76.65183333</v>
      </c>
      <c r="E314" s="1" t="n">
        <v>650</v>
      </c>
      <c r="F314" s="1" t="inlineStr">
        <is>
          <t>Mocoa</t>
        </is>
      </c>
      <c r="G314" s="1" t="inlineStr">
        <is>
          <t>Putumayo</t>
        </is>
      </c>
      <c r="H314" s="39" t="n">
        <v>33.1</v>
      </c>
      <c r="I314" s="1" t="n">
        <v>2024</v>
      </c>
      <c r="J314" s="1" t="n">
        <v>25</v>
      </c>
      <c r="K314" s="39" t="n">
        <v>33.2</v>
      </c>
      <c r="L314" s="1" t="n">
        <v>2007</v>
      </c>
      <c r="M314" s="1" t="n">
        <v>7</v>
      </c>
      <c r="N314" s="39" t="n">
        <v>32.3</v>
      </c>
      <c r="O314" s="1" t="n">
        <v>2024</v>
      </c>
      <c r="P314" s="1" t="n">
        <v>17</v>
      </c>
      <c r="Q314" s="39" t="n">
        <v>32</v>
      </c>
      <c r="R314" s="1" t="n">
        <v>2016</v>
      </c>
      <c r="S314" s="1" t="n">
        <v>25</v>
      </c>
      <c r="T314" s="39" t="n">
        <v>32</v>
      </c>
      <c r="U314" s="1" t="n">
        <v>2024</v>
      </c>
      <c r="V314" s="1" t="n">
        <v>2</v>
      </c>
      <c r="W314" s="39" t="n">
        <v>31</v>
      </c>
      <c r="X314" s="1" t="n">
        <v>2017</v>
      </c>
      <c r="Y314" s="1" t="n">
        <v>6</v>
      </c>
      <c r="Z314" s="39" t="n">
        <v>32</v>
      </c>
      <c r="AA314" s="1" t="n">
        <v>2014</v>
      </c>
      <c r="AB314" s="1" t="n">
        <v>4</v>
      </c>
      <c r="AC314" s="39" t="n">
        <v>32.8</v>
      </c>
      <c r="AD314" s="1" t="n">
        <v>2023</v>
      </c>
      <c r="AE314" s="1" t="n">
        <v>26</v>
      </c>
      <c r="AF314" s="39" t="n">
        <v>33.6</v>
      </c>
      <c r="AG314" s="1" t="n">
        <v>2022</v>
      </c>
      <c r="AH314" s="1" t="n">
        <v>23</v>
      </c>
      <c r="AI314" s="39" t="n">
        <v>34.3</v>
      </c>
      <c r="AJ314" s="1" t="n">
        <v>2024</v>
      </c>
      <c r="AK314" s="1" t="n">
        <v>19</v>
      </c>
      <c r="AL314" s="39" t="n">
        <v>33</v>
      </c>
      <c r="AM314" s="1" t="n">
        <v>2023</v>
      </c>
      <c r="AN314" s="1" t="n">
        <v>19</v>
      </c>
      <c r="AO314" s="39" t="n">
        <v>32</v>
      </c>
      <c r="AP314" s="1" t="n">
        <v>2017</v>
      </c>
      <c r="AQ314" s="1" t="n">
        <v>11</v>
      </c>
    </row>
    <row r="315" ht="14.45" customHeight="1">
      <c r="A315" s="1" t="n">
        <v>44035030</v>
      </c>
      <c r="B315" s="1" t="inlineStr">
        <is>
          <t>MACAGUAL [44035030]</t>
        </is>
      </c>
      <c r="C315" s="1" t="n">
        <v>1.5</v>
      </c>
      <c r="D315" s="1" t="n">
        <v>-75.66</v>
      </c>
      <c r="E315" s="1" t="n">
        <v>280</v>
      </c>
      <c r="F315" s="1" t="inlineStr">
        <is>
          <t>Florencia</t>
        </is>
      </c>
      <c r="G315" s="1" t="inlineStr">
        <is>
          <t>Caqueta</t>
        </is>
      </c>
      <c r="H315" s="39" t="n">
        <v>37.8</v>
      </c>
      <c r="I315" s="1" t="n">
        <v>1978</v>
      </c>
      <c r="J315" s="1" t="n">
        <v>10</v>
      </c>
      <c r="K315" s="39" t="n">
        <v>38</v>
      </c>
      <c r="L315" s="1" t="n">
        <v>1979</v>
      </c>
      <c r="M315" s="1" t="n">
        <v>25</v>
      </c>
      <c r="N315" s="39" t="n">
        <v>37</v>
      </c>
      <c r="O315" s="1" t="n">
        <v>1978</v>
      </c>
      <c r="P315" s="1" t="n">
        <v>13</v>
      </c>
      <c r="Q315" s="39" t="n">
        <v>36</v>
      </c>
      <c r="R315" s="1" t="n">
        <v>1978</v>
      </c>
      <c r="S315" s="1" t="n">
        <v>19</v>
      </c>
      <c r="T315" s="39" t="n">
        <v>37</v>
      </c>
      <c r="U315" s="1" t="n">
        <v>1978</v>
      </c>
      <c r="V315" s="1" t="n">
        <v>9</v>
      </c>
      <c r="W315" s="39" t="n">
        <v>36</v>
      </c>
      <c r="X315" s="1" t="n">
        <v>2024</v>
      </c>
      <c r="Y315" s="1" t="n">
        <v>14</v>
      </c>
      <c r="Z315" s="39" t="n">
        <v>37</v>
      </c>
      <c r="AA315" s="1" t="n">
        <v>1982</v>
      </c>
      <c r="AB315" s="1" t="n">
        <v>18</v>
      </c>
      <c r="AC315" s="39" t="n">
        <v>38</v>
      </c>
      <c r="AD315" s="1" t="n">
        <v>1976</v>
      </c>
      <c r="AE315" s="1" t="n">
        <v>18</v>
      </c>
      <c r="AF315" s="39" t="n">
        <v>37.1</v>
      </c>
      <c r="AG315" s="1" t="n">
        <v>1976</v>
      </c>
      <c r="AH315" s="1" t="n">
        <v>7</v>
      </c>
      <c r="AI315" s="39" t="n">
        <v>39</v>
      </c>
      <c r="AJ315" s="1" t="n">
        <v>1976</v>
      </c>
      <c r="AK315" s="1" t="n">
        <v>1</v>
      </c>
      <c r="AL315" s="39" t="n">
        <v>37.2</v>
      </c>
      <c r="AM315" s="1" t="n">
        <v>2019</v>
      </c>
      <c r="AN315" s="1" t="n">
        <v>4</v>
      </c>
      <c r="AO315" s="39" t="n">
        <v>39</v>
      </c>
      <c r="AP315" s="1" t="n">
        <v>1976</v>
      </c>
      <c r="AQ315" s="1" t="n">
        <v>6</v>
      </c>
    </row>
    <row r="316" ht="14.45" customHeight="1">
      <c r="A316" s="1" t="n">
        <v>44045010</v>
      </c>
      <c r="B316" s="1" t="inlineStr">
        <is>
          <t>SAN JOSE DE FRAGUA [44045010]</t>
        </is>
      </c>
      <c r="C316" s="1" t="n">
        <v>1.325138889</v>
      </c>
      <c r="D316" s="1" t="n">
        <v>-75.9615</v>
      </c>
      <c r="E316" s="1" t="n">
        <v>320</v>
      </c>
      <c r="F316" s="1" t="inlineStr">
        <is>
          <t>San José Del Fragua</t>
        </is>
      </c>
      <c r="G316" s="1" t="inlineStr">
        <is>
          <t>Caqueta</t>
        </is>
      </c>
      <c r="H316" s="39" t="n">
        <v>37.2</v>
      </c>
      <c r="I316" s="1" t="n">
        <v>2016</v>
      </c>
      <c r="J316" s="1" t="n">
        <v>27</v>
      </c>
      <c r="K316" s="39" t="n">
        <v>37.4</v>
      </c>
      <c r="L316" s="1" t="n">
        <v>2016</v>
      </c>
      <c r="M316" s="1" t="n">
        <v>1</v>
      </c>
      <c r="N316" s="39" t="n">
        <v>36.6</v>
      </c>
      <c r="O316" s="1" t="n">
        <v>2018</v>
      </c>
      <c r="P316" s="1" t="n">
        <v>14</v>
      </c>
      <c r="Q316" s="39" t="n">
        <v>35.4</v>
      </c>
      <c r="R316" s="1" t="n">
        <v>2010</v>
      </c>
      <c r="S316" s="1" t="n">
        <v>21</v>
      </c>
      <c r="T316" s="39" t="n">
        <v>34.6</v>
      </c>
      <c r="U316" s="1" t="n">
        <v>2005</v>
      </c>
      <c r="V316" s="1" t="n">
        <v>24</v>
      </c>
      <c r="W316" s="39" t="n">
        <v>34.4</v>
      </c>
      <c r="X316" s="1" t="n">
        <v>2000</v>
      </c>
      <c r="Y316" s="1" t="n">
        <v>2</v>
      </c>
      <c r="Z316" s="39" t="n">
        <v>34.4</v>
      </c>
      <c r="AA316" s="1" t="n">
        <v>2007</v>
      </c>
      <c r="AB316" s="1" t="n">
        <v>4</v>
      </c>
      <c r="AC316" s="39" t="n">
        <v>36.6</v>
      </c>
      <c r="AD316" s="1" t="n">
        <v>2007</v>
      </c>
      <c r="AE316" s="1" t="n">
        <v>6</v>
      </c>
      <c r="AF316" s="39" t="n">
        <v>36.6</v>
      </c>
      <c r="AG316" s="1" t="n">
        <v>1999</v>
      </c>
      <c r="AH316" s="1" t="n">
        <v>13</v>
      </c>
      <c r="AI316" s="39" t="n">
        <v>36</v>
      </c>
      <c r="AJ316" s="1" t="n">
        <v>2010</v>
      </c>
      <c r="AK316" s="1" t="n">
        <v>7</v>
      </c>
      <c r="AL316" s="39" t="n">
        <v>36</v>
      </c>
      <c r="AM316" s="1" t="n">
        <v>2016</v>
      </c>
      <c r="AN316" s="1" t="n">
        <v>16</v>
      </c>
      <c r="AO316" s="39" t="n">
        <v>35</v>
      </c>
      <c r="AP316" s="1" t="n">
        <v>2009</v>
      </c>
      <c r="AQ316" s="1" t="n">
        <v>9</v>
      </c>
    </row>
    <row r="317" ht="14.45" customHeight="1">
      <c r="A317" s="1" t="n">
        <v>44045020</v>
      </c>
      <c r="B317" s="1" t="inlineStr">
        <is>
          <t>VALPARAISO [44045020]</t>
        </is>
      </c>
      <c r="C317" s="1" t="n">
        <v>1.19525</v>
      </c>
      <c r="D317" s="1" t="n">
        <v>-75.70447222</v>
      </c>
      <c r="E317" s="1" t="n">
        <v>270</v>
      </c>
      <c r="F317" s="1" t="inlineStr">
        <is>
          <t>Valparaíso</t>
        </is>
      </c>
      <c r="G317" s="1" t="inlineStr">
        <is>
          <t>Caqueta</t>
        </is>
      </c>
      <c r="H317" s="39" t="n">
        <v>39.2</v>
      </c>
      <c r="I317" s="1" t="n">
        <v>1979</v>
      </c>
      <c r="J317" s="1" t="n">
        <v>21</v>
      </c>
      <c r="K317" s="39" t="n">
        <v>38.2</v>
      </c>
      <c r="L317" s="1" t="n">
        <v>2016</v>
      </c>
      <c r="M317" s="1" t="n">
        <v>1</v>
      </c>
      <c r="N317" s="39" t="n">
        <v>38.2</v>
      </c>
      <c r="O317" s="1" t="n">
        <v>2018</v>
      </c>
      <c r="P317" s="1" t="n">
        <v>14</v>
      </c>
      <c r="Q317" s="39" t="n">
        <v>38</v>
      </c>
      <c r="R317" s="1" t="n">
        <v>2025</v>
      </c>
      <c r="S317" s="1" t="n">
        <v>22</v>
      </c>
      <c r="T317" s="39" t="n">
        <v>36</v>
      </c>
      <c r="U317" s="1" t="n">
        <v>2010</v>
      </c>
      <c r="V317" s="1" t="n">
        <v>17</v>
      </c>
      <c r="W317" s="39" t="n">
        <v>36.6</v>
      </c>
      <c r="X317" s="1" t="n">
        <v>1990</v>
      </c>
      <c r="Y317" s="1" t="n">
        <v>20</v>
      </c>
      <c r="Z317" s="39" t="n">
        <v>36.6</v>
      </c>
      <c r="AA317" s="1" t="n">
        <v>1978</v>
      </c>
      <c r="AB317" s="1" t="n">
        <v>19</v>
      </c>
      <c r="AC317" s="39" t="n">
        <v>36.2</v>
      </c>
      <c r="AD317" s="1" t="n">
        <v>1978</v>
      </c>
      <c r="AE317" s="1" t="n">
        <v>30</v>
      </c>
      <c r="AF317" s="39" t="n">
        <v>37.2</v>
      </c>
      <c r="AG317" s="1" t="n">
        <v>2024</v>
      </c>
      <c r="AH317" s="1" t="n">
        <v>15</v>
      </c>
      <c r="AI317" s="39" t="n">
        <v>38</v>
      </c>
      <c r="AJ317" s="1" t="n">
        <v>2024</v>
      </c>
      <c r="AK317" s="1" t="n">
        <v>20</v>
      </c>
      <c r="AL317" s="39" t="n">
        <v>37</v>
      </c>
      <c r="AM317" s="1" t="n">
        <v>2021</v>
      </c>
      <c r="AN317" s="1" t="n">
        <v>18</v>
      </c>
      <c r="AO317" s="39" t="n">
        <v>37.4</v>
      </c>
      <c r="AP317" s="1" t="n">
        <v>2022</v>
      </c>
      <c r="AQ317" s="1" t="n">
        <v>29</v>
      </c>
    </row>
    <row r="318" ht="14.45" customHeight="1">
      <c r="A318" s="1" t="n">
        <v>44045030</v>
      </c>
      <c r="B318" s="1" t="inlineStr">
        <is>
          <t>MONO LA [44045030]</t>
        </is>
      </c>
      <c r="C318" s="1" t="n">
        <v>1.303361111</v>
      </c>
      <c r="D318" s="1" t="n">
        <v>-75.807722222</v>
      </c>
      <c r="E318" s="1" t="n">
        <v>300</v>
      </c>
      <c r="F318" s="1" t="inlineStr">
        <is>
          <t>Belén De Los Andaquíes</t>
        </is>
      </c>
      <c r="G318" s="1" t="inlineStr">
        <is>
          <t>Caqueta</t>
        </is>
      </c>
      <c r="H318" s="39" t="n">
        <v>37.6</v>
      </c>
      <c r="I318" s="1" t="n">
        <v>2016</v>
      </c>
      <c r="J318" s="1" t="n">
        <v>25</v>
      </c>
      <c r="K318" s="39" t="n">
        <v>37.4</v>
      </c>
      <c r="L318" s="1" t="n">
        <v>2016</v>
      </c>
      <c r="M318" s="1" t="n">
        <v>3</v>
      </c>
      <c r="N318" s="39" t="n">
        <v>36.6</v>
      </c>
      <c r="O318" s="1" t="n">
        <v>1983</v>
      </c>
      <c r="P318" s="1" t="n">
        <v>16</v>
      </c>
      <c r="Q318" s="39" t="n">
        <v>36</v>
      </c>
      <c r="R318" s="1" t="n">
        <v>2016</v>
      </c>
      <c r="S318" s="1" t="n">
        <v>29</v>
      </c>
      <c r="T318" s="39" t="n">
        <v>35</v>
      </c>
      <c r="U318" s="1" t="n">
        <v>2016</v>
      </c>
      <c r="V318" s="1" t="n">
        <v>3</v>
      </c>
      <c r="W318" s="39" t="n">
        <v>34</v>
      </c>
      <c r="X318" s="1" t="n">
        <v>2011</v>
      </c>
      <c r="Y318" s="1" t="n">
        <v>10</v>
      </c>
      <c r="Z318" s="39" t="n">
        <v>34</v>
      </c>
      <c r="AA318" s="1" t="n">
        <v>2010</v>
      </c>
      <c r="AB318" s="1" t="n">
        <v>5</v>
      </c>
      <c r="AC318" s="39" t="n">
        <v>36</v>
      </c>
      <c r="AD318" s="1" t="n">
        <v>1989</v>
      </c>
      <c r="AE318" s="1" t="n">
        <v>18</v>
      </c>
      <c r="AF318" s="39" t="n">
        <v>36.2</v>
      </c>
      <c r="AG318" s="1" t="n">
        <v>2024</v>
      </c>
      <c r="AH318" s="1" t="n">
        <v>15</v>
      </c>
      <c r="AI318" s="39" t="n">
        <v>36</v>
      </c>
      <c r="AJ318" s="1" t="n">
        <v>2024</v>
      </c>
      <c r="AK318" s="1" t="n">
        <v>20</v>
      </c>
      <c r="AL318" s="39" t="n">
        <v>36.6</v>
      </c>
      <c r="AM318" s="1" t="n">
        <v>2024</v>
      </c>
      <c r="AN318" s="1" t="n">
        <v>11</v>
      </c>
      <c r="AO318" s="39" t="n">
        <v>34.8</v>
      </c>
      <c r="AP318" s="1" t="n">
        <v>2005</v>
      </c>
      <c r="AQ318" s="1" t="n">
        <v>11</v>
      </c>
    </row>
    <row r="319" ht="14.45" customHeight="1">
      <c r="A319" s="1" t="n">
        <v>44055010</v>
      </c>
      <c r="B319" s="1" t="inlineStr">
        <is>
          <t>TRES ESQUINAS [44055010]</t>
        </is>
      </c>
      <c r="C319" s="1" t="n">
        <v>0.7375</v>
      </c>
      <c r="D319" s="1" t="n">
        <v>-75.23611111</v>
      </c>
      <c r="E319" s="1" t="n">
        <v>219</v>
      </c>
      <c r="F319" s="1" t="inlineStr">
        <is>
          <t>Solano</t>
        </is>
      </c>
      <c r="G319" s="1" t="inlineStr">
        <is>
          <t>Caqueta</t>
        </is>
      </c>
      <c r="H319" s="39" t="n">
        <v>37.8</v>
      </c>
      <c r="I319" s="1" t="n">
        <v>2016</v>
      </c>
      <c r="J319" s="1" t="n">
        <v>26</v>
      </c>
      <c r="K319" s="39" t="n">
        <v>37.4</v>
      </c>
      <c r="L319" s="1" t="n">
        <v>2004</v>
      </c>
      <c r="M319" s="1" t="n">
        <v>19</v>
      </c>
      <c r="N319" s="39" t="n">
        <v>36.8</v>
      </c>
      <c r="O319" s="1" t="n">
        <v>2018</v>
      </c>
      <c r="P319" s="1" t="n">
        <v>25</v>
      </c>
      <c r="Q319" s="39" t="n">
        <v>37.2</v>
      </c>
      <c r="R319" s="1" t="n">
        <v>2004</v>
      </c>
      <c r="S319" s="1" t="n">
        <v>1</v>
      </c>
      <c r="T319" s="39" t="n">
        <v>36.8</v>
      </c>
      <c r="U319" s="1" t="n">
        <v>2016</v>
      </c>
      <c r="V319" s="1" t="n">
        <v>22</v>
      </c>
      <c r="W319" s="39" t="n">
        <v>36.8</v>
      </c>
      <c r="X319" s="1" t="n">
        <v>2010</v>
      </c>
      <c r="Y319" s="1" t="n">
        <v>24</v>
      </c>
      <c r="Z319" s="39" t="n">
        <v>36.4</v>
      </c>
      <c r="AA319" s="1" t="n">
        <v>2002</v>
      </c>
      <c r="AB319" s="1" t="n">
        <v>21</v>
      </c>
      <c r="AC319" s="39" t="n">
        <v>37.6</v>
      </c>
      <c r="AD319" s="1" t="n">
        <v>1997</v>
      </c>
      <c r="AE319" s="1" t="n">
        <v>18</v>
      </c>
      <c r="AF319" s="39" t="n">
        <v>38</v>
      </c>
      <c r="AG319" s="1" t="n">
        <v>2010</v>
      </c>
      <c r="AH319" s="1" t="n">
        <v>28</v>
      </c>
      <c r="AI319" s="39" t="n">
        <v>36.8</v>
      </c>
      <c r="AJ319" s="1" t="n">
        <v>2022</v>
      </c>
      <c r="AK319" s="1" t="n">
        <v>13</v>
      </c>
      <c r="AL319" s="39" t="n">
        <v>38.6</v>
      </c>
      <c r="AM319" s="1" t="n">
        <v>1988</v>
      </c>
      <c r="AN319" s="1" t="n">
        <v>19</v>
      </c>
      <c r="AO319" s="39" t="n">
        <v>36.4</v>
      </c>
      <c r="AP319" s="1" t="n">
        <v>1986</v>
      </c>
      <c r="AQ319" s="1" t="n">
        <v>3</v>
      </c>
    </row>
    <row r="320" ht="14.45" customHeight="1">
      <c r="A320" s="1" t="n">
        <v>44115020</v>
      </c>
      <c r="B320" s="1" t="inlineStr">
        <is>
          <t>TAGUA LA [44115020]</t>
        </is>
      </c>
      <c r="C320" s="1" t="n">
        <v>-0.06075</v>
      </c>
      <c r="D320" s="1" t="n">
        <v>-74.66522222</v>
      </c>
      <c r="E320" s="1" t="n">
        <v>153</v>
      </c>
      <c r="F320" s="1" t="inlineStr">
        <is>
          <t>Puerto Leguízamo</t>
        </is>
      </c>
      <c r="G320" s="1" t="inlineStr">
        <is>
          <t>Putumayo</t>
        </is>
      </c>
      <c r="H320" s="39" t="n">
        <v>37.2</v>
      </c>
      <c r="I320" s="1" t="n">
        <v>2014</v>
      </c>
      <c r="J320" s="1" t="n">
        <v>10</v>
      </c>
      <c r="K320" s="39" t="n">
        <v>38.2</v>
      </c>
      <c r="L320" s="1" t="n">
        <v>2024</v>
      </c>
      <c r="M320" s="1" t="n">
        <v>22</v>
      </c>
      <c r="N320" s="39" t="n">
        <v>37.4</v>
      </c>
      <c r="O320" s="1" t="n">
        <v>2020</v>
      </c>
      <c r="P320" s="1" t="n">
        <v>23</v>
      </c>
      <c r="Q320" s="39" t="n">
        <v>36.4</v>
      </c>
      <c r="R320" s="1" t="n">
        <v>2020</v>
      </c>
      <c r="S320" s="1" t="n">
        <v>14</v>
      </c>
      <c r="T320" s="39" t="n">
        <v>35.2</v>
      </c>
      <c r="U320" s="1" t="n">
        <v>2024</v>
      </c>
      <c r="V320" s="1" t="n">
        <v>12</v>
      </c>
      <c r="W320" s="39" t="n">
        <v>34.8</v>
      </c>
      <c r="X320" s="1" t="n">
        <v>2023</v>
      </c>
      <c r="Y320" s="1" t="n">
        <v>2</v>
      </c>
      <c r="Z320" s="39" t="n">
        <v>36.2</v>
      </c>
      <c r="AA320" s="1" t="n">
        <v>2025</v>
      </c>
      <c r="AB320" s="1" t="n">
        <v>5</v>
      </c>
      <c r="AC320" s="39" t="n">
        <v>35.6</v>
      </c>
      <c r="AD320" s="1" t="n">
        <v>2019</v>
      </c>
      <c r="AE320" s="1" t="n">
        <v>30</v>
      </c>
      <c r="AF320" s="39" t="n">
        <v>37.6</v>
      </c>
      <c r="AG320" s="1" t="n">
        <v>2022</v>
      </c>
      <c r="AH320" s="1" t="n">
        <v>26</v>
      </c>
      <c r="AI320" s="39" t="n">
        <v>39</v>
      </c>
      <c r="AJ320" s="1" t="n">
        <v>2025</v>
      </c>
      <c r="AK320" s="1" t="n">
        <v>21</v>
      </c>
      <c r="AL320" s="39" t="n">
        <v>36.2</v>
      </c>
      <c r="AM320" s="1" t="n">
        <v>2022</v>
      </c>
      <c r="AN320" s="1" t="n">
        <v>13</v>
      </c>
      <c r="AO320" s="39" t="n">
        <v>37.4</v>
      </c>
      <c r="AP320" s="1" t="n">
        <v>2006</v>
      </c>
      <c r="AQ320" s="1" t="n">
        <v>14</v>
      </c>
    </row>
    <row r="321" ht="14.45" customHeight="1">
      <c r="A321" s="1" t="n">
        <v>44135010</v>
      </c>
      <c r="B321" s="1" t="inlineStr">
        <is>
          <t>ARARACUARA [44135010]</t>
        </is>
      </c>
      <c r="C321" s="1" t="n">
        <v>-0.616361111</v>
      </c>
      <c r="D321" s="1" t="n">
        <v>-72.38191667</v>
      </c>
      <c r="E321" s="1" t="n">
        <v>150</v>
      </c>
      <c r="F321" s="1" t="inlineStr">
        <is>
          <t>Solano</t>
        </is>
      </c>
      <c r="G321" s="1" t="inlineStr">
        <is>
          <t>Caqueta</t>
        </is>
      </c>
      <c r="H321" s="39" t="n">
        <v>37.4</v>
      </c>
      <c r="I321" s="1" t="n">
        <v>2016</v>
      </c>
      <c r="J321" s="1" t="n">
        <v>26</v>
      </c>
      <c r="K321" s="39" t="n">
        <v>37.9</v>
      </c>
      <c r="L321" s="1" t="n">
        <v>1995</v>
      </c>
      <c r="M321" s="1" t="n">
        <v>25</v>
      </c>
      <c r="N321" s="39" t="n">
        <v>36.7</v>
      </c>
      <c r="O321" s="1" t="n">
        <v>1981</v>
      </c>
      <c r="P321" s="1" t="n">
        <v>15</v>
      </c>
      <c r="Q321" s="39" t="n">
        <v>35.6</v>
      </c>
      <c r="R321" s="1" t="n">
        <v>2019</v>
      </c>
      <c r="S321" s="1" t="n">
        <v>14</v>
      </c>
      <c r="T321" s="39" t="n">
        <v>37</v>
      </c>
      <c r="U321" s="1" t="n">
        <v>1979</v>
      </c>
      <c r="V321" s="1" t="n">
        <v>17</v>
      </c>
      <c r="W321" s="39" t="n">
        <v>35.2</v>
      </c>
      <c r="X321" s="1" t="n">
        <v>2024</v>
      </c>
      <c r="Y321" s="1" t="n">
        <v>23</v>
      </c>
      <c r="Z321" s="39" t="n">
        <v>37.6</v>
      </c>
      <c r="AA321" s="1" t="n">
        <v>1979</v>
      </c>
      <c r="AB321" s="1" t="n">
        <v>24</v>
      </c>
      <c r="AC321" s="39" t="n">
        <v>35.6</v>
      </c>
      <c r="AD321" s="1" t="n">
        <v>2020</v>
      </c>
      <c r="AE321" s="1" t="n">
        <v>20</v>
      </c>
      <c r="AF321" s="39" t="n">
        <v>37.9</v>
      </c>
      <c r="AG321" s="1" t="n">
        <v>1984</v>
      </c>
      <c r="AH321" s="1" t="n">
        <v>16</v>
      </c>
      <c r="AI321" s="39" t="n">
        <v>37.6</v>
      </c>
      <c r="AJ321" s="1" t="n">
        <v>2024</v>
      </c>
      <c r="AK321" s="1" t="n">
        <v>2</v>
      </c>
      <c r="AL321" s="39" t="n">
        <v>36.8</v>
      </c>
      <c r="AM321" s="1" t="n">
        <v>2016</v>
      </c>
      <c r="AN321" s="1" t="n">
        <v>3</v>
      </c>
      <c r="AO321" s="39" t="n">
        <v>35.6</v>
      </c>
      <c r="AP321" s="1" t="n">
        <v>2015</v>
      </c>
      <c r="AQ321" s="1" t="n">
        <v>24</v>
      </c>
    </row>
    <row r="322" ht="14.45" customHeight="1">
      <c r="A322" s="1" t="n">
        <v>46015020</v>
      </c>
      <c r="B322" s="1" t="inlineStr">
        <is>
          <t>SANTA ROSA CAGUAN [46015020]</t>
        </is>
      </c>
      <c r="C322" s="1" t="n">
        <v>1.735472222</v>
      </c>
      <c r="D322" s="1" t="n">
        <v>-74.78505556</v>
      </c>
      <c r="E322" s="1" t="n">
        <v>240</v>
      </c>
      <c r="F322" s="1" t="inlineStr">
        <is>
          <t>San Vicente Del Caguán</t>
        </is>
      </c>
      <c r="G322" s="1" t="inlineStr">
        <is>
          <t>Caqueta</t>
        </is>
      </c>
      <c r="H322" s="39" t="n">
        <v>38.2</v>
      </c>
      <c r="I322" s="1" t="n">
        <v>2016</v>
      </c>
      <c r="J322" s="1" t="n">
        <v>30</v>
      </c>
      <c r="K322" s="39" t="n">
        <v>38</v>
      </c>
      <c r="L322" s="1" t="n">
        <v>2007</v>
      </c>
      <c r="M322" s="1" t="n">
        <v>15</v>
      </c>
      <c r="N322" s="39" t="n">
        <v>37.8</v>
      </c>
      <c r="O322" s="1" t="n">
        <v>2018</v>
      </c>
      <c r="P322" s="1" t="n">
        <v>14</v>
      </c>
      <c r="Q322" s="39" t="n">
        <v>37</v>
      </c>
      <c r="R322" s="1" t="n">
        <v>2009</v>
      </c>
      <c r="S322" s="1" t="n">
        <v>26</v>
      </c>
      <c r="T322" s="39" t="n">
        <v>36.4</v>
      </c>
      <c r="U322" s="1" t="n">
        <v>2009</v>
      </c>
      <c r="V322" s="1" t="n">
        <v>30</v>
      </c>
      <c r="W322" s="39" t="n">
        <v>36</v>
      </c>
      <c r="X322" s="1" t="n">
        <v>2007</v>
      </c>
      <c r="Y322" s="1" t="n">
        <v>26</v>
      </c>
      <c r="Z322" s="39" t="n">
        <v>36.3</v>
      </c>
      <c r="AA322" s="1" t="n">
        <v>2019</v>
      </c>
      <c r="AB322" s="1" t="n">
        <v>20</v>
      </c>
      <c r="AC322" s="39" t="n">
        <v>35</v>
      </c>
      <c r="AD322" s="1" t="n">
        <v>2004</v>
      </c>
      <c r="AE322" s="1" t="n">
        <v>21</v>
      </c>
      <c r="AF322" s="39" t="n">
        <v>36.6</v>
      </c>
      <c r="AG322" s="1" t="n">
        <v>2005</v>
      </c>
      <c r="AH322" s="1" t="n">
        <v>3</v>
      </c>
      <c r="AI322" s="39" t="n">
        <v>37</v>
      </c>
      <c r="AJ322" s="1" t="n">
        <v>2003</v>
      </c>
      <c r="AK322" s="1" t="n">
        <v>26</v>
      </c>
      <c r="AL322" s="39" t="n">
        <v>36</v>
      </c>
      <c r="AM322" s="1" t="n">
        <v>2009</v>
      </c>
      <c r="AN322" s="1" t="n">
        <v>6</v>
      </c>
      <c r="AO322" s="39" t="n">
        <v>37</v>
      </c>
      <c r="AP322" s="1" t="n">
        <v>2005</v>
      </c>
      <c r="AQ322" s="1" t="n">
        <v>29</v>
      </c>
    </row>
    <row r="323" ht="14.45" customHeight="1">
      <c r="A323" s="1" t="n">
        <v>47015040</v>
      </c>
      <c r="B323" s="1" t="inlineStr">
        <is>
          <t>MICHOACAN [47015040]</t>
        </is>
      </c>
      <c r="C323" s="1" t="n">
        <v>1.198277778</v>
      </c>
      <c r="D323" s="1" t="n">
        <v>-76.96097222</v>
      </c>
      <c r="E323" s="1" t="n">
        <v>2100</v>
      </c>
      <c r="F323" s="1" t="inlineStr">
        <is>
          <t>Colón</t>
        </is>
      </c>
      <c r="G323" s="1" t="inlineStr">
        <is>
          <t>Putumayo</t>
        </is>
      </c>
      <c r="H323" s="39" t="n">
        <v>26.1</v>
      </c>
      <c r="I323" s="1" t="n">
        <v>2020</v>
      </c>
      <c r="J323" s="1" t="n">
        <v>6</v>
      </c>
      <c r="K323" s="39" t="n">
        <v>27</v>
      </c>
      <c r="L323" s="1" t="n">
        <v>1976</v>
      </c>
      <c r="M323" s="1" t="n">
        <v>1</v>
      </c>
      <c r="N323" s="39" t="n">
        <v>26.4</v>
      </c>
      <c r="O323" s="1" t="n">
        <v>2010</v>
      </c>
      <c r="P323" s="1" t="n">
        <v>7</v>
      </c>
      <c r="Q323" s="39" t="n">
        <v>26.8</v>
      </c>
      <c r="R323" s="1" t="n">
        <v>1980</v>
      </c>
      <c r="S323" s="1" t="n">
        <v>12</v>
      </c>
      <c r="T323" s="39" t="n">
        <v>26.8</v>
      </c>
      <c r="U323" s="1" t="n">
        <v>1978</v>
      </c>
      <c r="V323" s="1" t="n">
        <v>21</v>
      </c>
      <c r="W323" s="39" t="n">
        <v>25.5</v>
      </c>
      <c r="X323" s="1" t="n">
        <v>1976</v>
      </c>
      <c r="Y323" s="1" t="n">
        <v>1</v>
      </c>
      <c r="Z323" s="39" t="n">
        <v>25</v>
      </c>
      <c r="AA323" s="1" t="n">
        <v>1976</v>
      </c>
      <c r="AB323" s="1" t="n">
        <v>24</v>
      </c>
      <c r="AC323" s="39" t="n">
        <v>25.5</v>
      </c>
      <c r="AD323" s="1" t="n">
        <v>1976</v>
      </c>
      <c r="AE323" s="1" t="n">
        <v>17</v>
      </c>
      <c r="AF323" s="39" t="n">
        <v>25.2</v>
      </c>
      <c r="AG323" s="1" t="n">
        <v>2010</v>
      </c>
      <c r="AH323" s="1" t="n">
        <v>29</v>
      </c>
      <c r="AI323" s="39" t="n">
        <v>26.4</v>
      </c>
      <c r="AJ323" s="1" t="n">
        <v>1979</v>
      </c>
      <c r="AK323" s="1" t="n">
        <v>30</v>
      </c>
      <c r="AL323" s="39" t="n">
        <v>27</v>
      </c>
      <c r="AM323" s="1" t="n">
        <v>2024</v>
      </c>
      <c r="AN323" s="1" t="n">
        <v>7</v>
      </c>
      <c r="AO323" s="39" t="n">
        <v>25.6</v>
      </c>
      <c r="AP323" s="1" t="n">
        <v>1982</v>
      </c>
      <c r="AQ323" s="1" t="n">
        <v>16</v>
      </c>
    </row>
    <row r="324" ht="14.45" customHeight="1">
      <c r="A324" s="1" t="n">
        <v>47015070</v>
      </c>
      <c r="B324" s="1" t="inlineStr">
        <is>
          <t>PUERTO UMBRIA [47015070]</t>
        </is>
      </c>
      <c r="C324" s="1" t="n">
        <v>0.838972222</v>
      </c>
      <c r="D324" s="1" t="n">
        <v>-76.57044444</v>
      </c>
      <c r="E324" s="1" t="n">
        <v>362</v>
      </c>
      <c r="F324" s="1" t="inlineStr">
        <is>
          <t>Villagarzón</t>
        </is>
      </c>
      <c r="G324" s="1" t="inlineStr">
        <is>
          <t>Putumayo</t>
        </is>
      </c>
      <c r="H324" s="39" t="n">
        <v>35.4</v>
      </c>
      <c r="I324" s="1" t="n">
        <v>1995</v>
      </c>
      <c r="J324" s="1" t="n">
        <v>14</v>
      </c>
      <c r="K324" s="39" t="n">
        <v>36.2</v>
      </c>
      <c r="L324" s="1" t="n">
        <v>1995</v>
      </c>
      <c r="M324" s="1" t="n">
        <v>15</v>
      </c>
      <c r="N324" s="39" t="n">
        <v>35</v>
      </c>
      <c r="O324" s="1" t="n">
        <v>2004</v>
      </c>
      <c r="P324" s="1" t="n">
        <v>1</v>
      </c>
      <c r="Q324" s="39" t="n">
        <v>35</v>
      </c>
      <c r="R324" s="1" t="n">
        <v>1992</v>
      </c>
      <c r="S324" s="1" t="n">
        <v>18</v>
      </c>
      <c r="T324" s="39" t="n">
        <v>37.4</v>
      </c>
      <c r="U324" s="1" t="n">
        <v>2002</v>
      </c>
      <c r="V324" s="1" t="n">
        <v>28</v>
      </c>
      <c r="W324" s="39" t="n">
        <v>37.2</v>
      </c>
      <c r="X324" s="1" t="n">
        <v>2002</v>
      </c>
      <c r="Y324" s="1" t="n">
        <v>22</v>
      </c>
      <c r="Z324" s="39" t="n">
        <v>34.8</v>
      </c>
      <c r="AA324" s="1" t="n">
        <v>2005</v>
      </c>
      <c r="AB324" s="1" t="n">
        <v>25</v>
      </c>
      <c r="AC324" s="39" t="n">
        <v>35</v>
      </c>
      <c r="AD324" s="1" t="n">
        <v>1993</v>
      </c>
      <c r="AE324" s="1" t="n">
        <v>30</v>
      </c>
      <c r="AF324" s="39" t="n">
        <v>35.1</v>
      </c>
      <c r="AG324" s="1" t="n">
        <v>1995</v>
      </c>
      <c r="AH324" s="1" t="n">
        <v>27</v>
      </c>
      <c r="AI324" s="39" t="n">
        <v>35.4</v>
      </c>
      <c r="AJ324" s="1" t="n">
        <v>1993</v>
      </c>
      <c r="AK324" s="1" t="n">
        <v>5</v>
      </c>
      <c r="AL324" s="39" t="n">
        <v>34.8</v>
      </c>
      <c r="AM324" s="1" t="n">
        <v>1985</v>
      </c>
      <c r="AN324" s="1" t="n">
        <v>20</v>
      </c>
      <c r="AO324" s="39" t="n">
        <v>36.6</v>
      </c>
      <c r="AP324" s="1" t="n">
        <v>2007</v>
      </c>
      <c r="AQ324" s="1" t="n">
        <v>9</v>
      </c>
    </row>
    <row r="325" ht="14.45" customHeight="1">
      <c r="A325" s="1" t="n">
        <v>47015080</v>
      </c>
      <c r="B325" s="1" t="inlineStr">
        <is>
          <t>MONOPAMBA [47015080]</t>
        </is>
      </c>
      <c r="C325" s="1" t="n">
        <v>0.804916667</v>
      </c>
      <c r="D325" s="1" t="n">
        <v>-77.30361111000001</v>
      </c>
      <c r="E325" s="1" t="n">
        <v>1776</v>
      </c>
      <c r="F325" s="1" t="inlineStr">
        <is>
          <t>Puerres</t>
        </is>
      </c>
      <c r="G325" s="1" t="inlineStr">
        <is>
          <t>Nariño</t>
        </is>
      </c>
      <c r="H325" s="39" t="n">
        <v>25.2</v>
      </c>
      <c r="I325" s="1" t="n">
        <v>1999</v>
      </c>
      <c r="J325" s="1" t="n">
        <v>9</v>
      </c>
      <c r="K325" s="39" t="n">
        <v>27.2</v>
      </c>
      <c r="L325" s="1" t="n">
        <v>2007</v>
      </c>
      <c r="M325" s="1" t="n">
        <v>7</v>
      </c>
      <c r="N325" s="39" t="n">
        <v>25.8</v>
      </c>
      <c r="O325" s="1" t="n">
        <v>2023</v>
      </c>
      <c r="P325" s="1" t="n">
        <v>8</v>
      </c>
      <c r="Q325" s="39" t="n">
        <v>26.4</v>
      </c>
      <c r="R325" s="1" t="n">
        <v>2023</v>
      </c>
      <c r="S325" s="1" t="n">
        <v>18</v>
      </c>
      <c r="T325" s="39" t="n">
        <v>25.8</v>
      </c>
      <c r="U325" s="1" t="n">
        <v>2023</v>
      </c>
      <c r="V325" s="1" t="n">
        <v>22</v>
      </c>
      <c r="W325" s="39" t="n">
        <v>24.2</v>
      </c>
      <c r="X325" s="1" t="n">
        <v>2022</v>
      </c>
      <c r="Y325" s="1" t="n">
        <v>17</v>
      </c>
      <c r="Z325" s="39" t="n">
        <v>25.4</v>
      </c>
      <c r="AA325" s="1" t="n">
        <v>2008</v>
      </c>
      <c r="AB325" s="1" t="n">
        <v>17</v>
      </c>
      <c r="AC325" s="39" t="n">
        <v>24.8</v>
      </c>
      <c r="AD325" s="1" t="n">
        <v>2024</v>
      </c>
      <c r="AE325" s="1" t="n">
        <v>30</v>
      </c>
      <c r="AF325" s="39" t="n">
        <v>26.2</v>
      </c>
      <c r="AG325" s="1" t="n">
        <v>2023</v>
      </c>
      <c r="AH325" s="1" t="n">
        <v>27</v>
      </c>
      <c r="AI325" s="39" t="n">
        <v>26.2</v>
      </c>
      <c r="AJ325" s="1" t="n">
        <v>2022</v>
      </c>
      <c r="AK325" s="1" t="n">
        <v>31</v>
      </c>
      <c r="AL325" s="39" t="n">
        <v>26</v>
      </c>
      <c r="AM325" s="1" t="n">
        <v>2023</v>
      </c>
      <c r="AN325" s="1" t="n">
        <v>18</v>
      </c>
      <c r="AO325" s="39" t="n">
        <v>26</v>
      </c>
      <c r="AP325" s="1" t="n">
        <v>2006</v>
      </c>
      <c r="AQ325" s="1" t="n">
        <v>4</v>
      </c>
    </row>
    <row r="326" ht="14.45" customHeight="1">
      <c r="A326" s="1" t="n">
        <v>47015100</v>
      </c>
      <c r="B326" s="1" t="inlineStr">
        <is>
          <t>EL ENCANO - AUT [47015100]</t>
        </is>
      </c>
      <c r="C326" s="1" t="n">
        <v>1.159944444</v>
      </c>
      <c r="D326" s="1" t="n">
        <v>-77.16147221999999</v>
      </c>
      <c r="E326" s="1" t="n">
        <v>2830</v>
      </c>
      <c r="F326" s="1" t="inlineStr">
        <is>
          <t>Pasto</t>
        </is>
      </c>
      <c r="G326" s="1" t="inlineStr">
        <is>
          <t>Nariño</t>
        </is>
      </c>
      <c r="H326" s="39" t="n">
        <v>22</v>
      </c>
      <c r="I326" s="1" t="n">
        <v>2024</v>
      </c>
      <c r="J326" s="1" t="n">
        <v>27</v>
      </c>
      <c r="K326" s="39" t="n">
        <v>21.2</v>
      </c>
      <c r="L326" s="1" t="n">
        <v>2007</v>
      </c>
      <c r="M326" s="1" t="n">
        <v>8</v>
      </c>
      <c r="N326" s="39" t="n">
        <v>21.9</v>
      </c>
      <c r="O326" s="1" t="n">
        <v>1995</v>
      </c>
      <c r="P326" s="1" t="n">
        <v>20</v>
      </c>
      <c r="Q326" s="39" t="n">
        <v>21</v>
      </c>
      <c r="R326" s="1" t="n">
        <v>2001</v>
      </c>
      <c r="S326" s="1" t="n">
        <v>22</v>
      </c>
      <c r="T326" s="39" t="n">
        <v>20.8</v>
      </c>
      <c r="U326" s="1" t="n">
        <v>2010</v>
      </c>
      <c r="V326" s="1" t="n">
        <v>29</v>
      </c>
      <c r="W326" s="39" t="n">
        <v>20.5</v>
      </c>
      <c r="X326" s="1" t="n">
        <v>1988</v>
      </c>
      <c r="Y326" s="1" t="n">
        <v>20</v>
      </c>
      <c r="Z326" s="39" t="n">
        <v>22</v>
      </c>
      <c r="AA326" s="1" t="n">
        <v>1996</v>
      </c>
      <c r="AB326" s="1" t="n">
        <v>3</v>
      </c>
      <c r="AC326" s="39" t="n">
        <v>20</v>
      </c>
      <c r="AD326" s="1" t="n">
        <v>2023</v>
      </c>
      <c r="AE326" s="1" t="n">
        <v>18</v>
      </c>
      <c r="AF326" s="39" t="n">
        <v>20.6</v>
      </c>
      <c r="AG326" s="1" t="n">
        <v>2018</v>
      </c>
      <c r="AH326" s="1" t="n">
        <v>30</v>
      </c>
      <c r="AI326" s="39" t="n">
        <v>22</v>
      </c>
      <c r="AJ326" s="1" t="n">
        <v>1988</v>
      </c>
      <c r="AK326" s="1" t="n">
        <v>29</v>
      </c>
      <c r="AL326" s="39" t="n">
        <v>22.2</v>
      </c>
      <c r="AM326" s="1" t="n">
        <v>2024</v>
      </c>
      <c r="AN326" s="1" t="n">
        <v>6</v>
      </c>
      <c r="AO326" s="39" t="n">
        <v>21.4</v>
      </c>
      <c r="AP326" s="1" t="n">
        <v>2025</v>
      </c>
      <c r="AQ326" s="1" t="n">
        <v>7</v>
      </c>
    </row>
    <row r="327" ht="14.45" customHeight="1">
      <c r="A327" s="1" t="n">
        <v>47035020</v>
      </c>
      <c r="B327" s="1" t="inlineStr">
        <is>
          <t>PUERTO OSPINA [47035020]</t>
        </is>
      </c>
      <c r="C327" s="1" t="n">
        <v>0.132861111</v>
      </c>
      <c r="D327" s="1" t="n">
        <v>-75.85111111000001</v>
      </c>
      <c r="E327" s="1" t="n">
        <v>190</v>
      </c>
      <c r="F327" s="1" t="inlineStr">
        <is>
          <t>Puerto Leguízamo</t>
        </is>
      </c>
      <c r="G327" s="1" t="inlineStr">
        <is>
          <t>Putumayo</t>
        </is>
      </c>
      <c r="H327" s="39" t="n">
        <v>35.8</v>
      </c>
      <c r="I327" s="1" t="n">
        <v>1992</v>
      </c>
      <c r="J327" s="1" t="n">
        <v>29</v>
      </c>
      <c r="K327" s="39" t="n">
        <v>37.4</v>
      </c>
      <c r="L327" s="1" t="n">
        <v>1992</v>
      </c>
      <c r="M327" s="1" t="n">
        <v>2</v>
      </c>
      <c r="N327" s="39" t="n">
        <v>34.8</v>
      </c>
      <c r="O327" s="1" t="n">
        <v>1992</v>
      </c>
      <c r="P327" s="1" t="n">
        <v>23</v>
      </c>
      <c r="Q327" s="39" t="n">
        <v>39.2</v>
      </c>
      <c r="R327" s="1" t="n">
        <v>1995</v>
      </c>
      <c r="S327" s="1" t="n">
        <v>21</v>
      </c>
      <c r="T327" s="39" t="n">
        <v>34.4</v>
      </c>
      <c r="U327" s="1" t="n">
        <v>2024</v>
      </c>
      <c r="V327" s="1" t="n">
        <v>12</v>
      </c>
      <c r="W327" s="39" t="n">
        <v>38.4</v>
      </c>
      <c r="X327" s="1" t="n">
        <v>1997</v>
      </c>
      <c r="Y327" s="1" t="n">
        <v>22</v>
      </c>
      <c r="Z327" s="39" t="n">
        <v>34.8</v>
      </c>
      <c r="AA327" s="1" t="n">
        <v>1992</v>
      </c>
      <c r="AB327" s="1" t="n">
        <v>15</v>
      </c>
      <c r="AC327" s="39" t="n">
        <v>36.8</v>
      </c>
      <c r="AD327" s="1" t="n">
        <v>2017</v>
      </c>
      <c r="AE327" s="1" t="n">
        <v>21</v>
      </c>
      <c r="AF327" s="39" t="n">
        <v>35.2</v>
      </c>
      <c r="AG327" s="1" t="n">
        <v>1997</v>
      </c>
      <c r="AH327" s="1" t="n">
        <v>9</v>
      </c>
      <c r="AI327" s="39" t="n">
        <v>36</v>
      </c>
      <c r="AJ327" s="1" t="n">
        <v>2005</v>
      </c>
      <c r="AK327" s="1" t="n">
        <v>4</v>
      </c>
      <c r="AL327" s="39" t="n">
        <v>35.5</v>
      </c>
      <c r="AM327" s="1" t="n">
        <v>1995</v>
      </c>
      <c r="AN327" s="1" t="n">
        <v>30</v>
      </c>
      <c r="AO327" s="39" t="n">
        <v>34.2</v>
      </c>
      <c r="AP327" s="1" t="n">
        <v>1995</v>
      </c>
      <c r="AQ327" s="1" t="n">
        <v>8</v>
      </c>
    </row>
    <row r="328" ht="14.45" customHeight="1">
      <c r="A328" s="1" t="n">
        <v>47045010</v>
      </c>
      <c r="B328" s="1" t="inlineStr">
        <is>
          <t>PUERTO LEGUIZAMO [47045010]</t>
        </is>
      </c>
      <c r="C328" s="1" t="n">
        <v>-0.180611111</v>
      </c>
      <c r="D328" s="1" t="n">
        <v>-74.77627778</v>
      </c>
      <c r="E328" s="1" t="n">
        <v>147</v>
      </c>
      <c r="F328" s="1" t="inlineStr">
        <is>
          <t>Puerto Leguízamo</t>
        </is>
      </c>
      <c r="G328" s="1" t="inlineStr">
        <is>
          <t>Putumayo</t>
        </is>
      </c>
      <c r="H328" s="39" t="n">
        <v>37</v>
      </c>
      <c r="I328" s="1" t="n">
        <v>2016</v>
      </c>
      <c r="J328" s="1" t="n">
        <v>26</v>
      </c>
      <c r="K328" s="39" t="n">
        <v>37</v>
      </c>
      <c r="L328" s="1" t="n">
        <v>2016</v>
      </c>
      <c r="M328" s="1" t="n">
        <v>1</v>
      </c>
      <c r="N328" s="39" t="n">
        <v>37</v>
      </c>
      <c r="O328" s="1" t="n">
        <v>1980</v>
      </c>
      <c r="P328" s="1" t="n">
        <v>7</v>
      </c>
      <c r="Q328" s="39" t="n">
        <v>36.6</v>
      </c>
      <c r="R328" s="1" t="n">
        <v>2016</v>
      </c>
      <c r="S328" s="1" t="n">
        <v>3</v>
      </c>
      <c r="T328" s="39" t="n">
        <v>34.6</v>
      </c>
      <c r="U328" s="1" t="n">
        <v>2004</v>
      </c>
      <c r="V328" s="1" t="n">
        <v>23</v>
      </c>
      <c r="W328" s="39" t="n">
        <v>36.6</v>
      </c>
      <c r="X328" s="1" t="n">
        <v>2022</v>
      </c>
      <c r="Y328" s="1" t="n">
        <v>25</v>
      </c>
      <c r="Z328" s="39" t="n">
        <v>34.4</v>
      </c>
      <c r="AA328" s="1" t="n">
        <v>2004</v>
      </c>
      <c r="AB328" s="1" t="n">
        <v>8</v>
      </c>
      <c r="AC328" s="39" t="n">
        <v>34.4</v>
      </c>
      <c r="AD328" s="1" t="n">
        <v>2003</v>
      </c>
      <c r="AE328" s="1" t="n">
        <v>31</v>
      </c>
      <c r="AF328" s="39" t="n">
        <v>36.6</v>
      </c>
      <c r="AG328" s="1" t="n">
        <v>1997</v>
      </c>
      <c r="AH328" s="1" t="n">
        <v>25</v>
      </c>
      <c r="AI328" s="39" t="n">
        <v>35.8</v>
      </c>
      <c r="AJ328" s="1" t="n">
        <v>2025</v>
      </c>
      <c r="AK328" s="1" t="n">
        <v>5</v>
      </c>
      <c r="AL328" s="39" t="n">
        <v>35.8</v>
      </c>
      <c r="AM328" s="1" t="n">
        <v>2016</v>
      </c>
      <c r="AN328" s="1" t="n">
        <v>16</v>
      </c>
      <c r="AO328" s="39" t="n">
        <v>37</v>
      </c>
      <c r="AP328" s="1" t="n">
        <v>2008</v>
      </c>
      <c r="AQ328" s="1" t="n">
        <v>28</v>
      </c>
    </row>
    <row r="329" ht="14.45" customHeight="1">
      <c r="A329" s="1" t="n">
        <v>47075010</v>
      </c>
      <c r="B329" s="1" t="inlineStr">
        <is>
          <t>LA CHORRERA [47075010]</t>
        </is>
      </c>
      <c r="C329" s="1" t="n">
        <v>-1.444611111</v>
      </c>
      <c r="D329" s="1" t="n">
        <v>-72.789583333</v>
      </c>
      <c r="E329" s="1" t="n">
        <v>160</v>
      </c>
      <c r="F329" s="1" t="inlineStr">
        <is>
          <t>La Chorrera</t>
        </is>
      </c>
      <c r="G329" s="1" t="inlineStr">
        <is>
          <t>Amazonas</t>
        </is>
      </c>
      <c r="H329" s="39" t="n">
        <v>37.8</v>
      </c>
      <c r="I329" s="1" t="n">
        <v>2013</v>
      </c>
      <c r="J329" s="1" t="n">
        <v>31</v>
      </c>
      <c r="K329" s="39" t="n">
        <v>36.8</v>
      </c>
      <c r="L329" s="1" t="n">
        <v>2024</v>
      </c>
      <c r="M329" s="1" t="n">
        <v>25</v>
      </c>
      <c r="N329" s="39" t="n">
        <v>39.6</v>
      </c>
      <c r="O329" s="1" t="n">
        <v>2024</v>
      </c>
      <c r="P329" s="1" t="n">
        <v>27</v>
      </c>
      <c r="Q329" s="39" t="n">
        <v>38</v>
      </c>
      <c r="R329" s="1" t="n">
        <v>2024</v>
      </c>
      <c r="S329" s="1" t="n">
        <v>29</v>
      </c>
      <c r="T329" s="39" t="n">
        <v>38</v>
      </c>
      <c r="U329" s="1" t="n">
        <v>2024</v>
      </c>
      <c r="V329" s="1" t="n">
        <v>14</v>
      </c>
      <c r="W329" s="39" t="n">
        <v>35.6</v>
      </c>
      <c r="X329" s="1" t="n">
        <v>2024</v>
      </c>
      <c r="Y329" s="1" t="n">
        <v>28</v>
      </c>
      <c r="Z329" s="39" t="n">
        <v>39</v>
      </c>
      <c r="AA329" s="1" t="n">
        <v>1998</v>
      </c>
      <c r="AB329" s="1" t="n">
        <v>2</v>
      </c>
      <c r="AC329" s="39" t="n">
        <v>38.4</v>
      </c>
      <c r="AD329" s="1" t="n">
        <v>2000</v>
      </c>
      <c r="AE329" s="1" t="n">
        <v>27</v>
      </c>
      <c r="AF329" s="39" t="n">
        <v>41</v>
      </c>
      <c r="AG329" s="1" t="n">
        <v>2024</v>
      </c>
      <c r="AH329" s="1" t="n">
        <v>20</v>
      </c>
      <c r="AI329" s="39" t="n">
        <v>39.8</v>
      </c>
      <c r="AJ329" s="1" t="n">
        <v>2024</v>
      </c>
      <c r="AK329" s="1" t="n">
        <v>4</v>
      </c>
      <c r="AL329" s="39" t="n">
        <v>38.8</v>
      </c>
      <c r="AM329" s="1" t="n">
        <v>2000</v>
      </c>
      <c r="AN329" s="1" t="n">
        <v>28</v>
      </c>
      <c r="AO329" s="39" t="n">
        <v>35.4</v>
      </c>
      <c r="AP329" s="1" t="n">
        <v>2012</v>
      </c>
      <c r="AQ329" s="1" t="n">
        <v>6</v>
      </c>
    </row>
    <row r="330" ht="14.45" customHeight="1">
      <c r="A330" s="1" t="n">
        <v>48015050</v>
      </c>
      <c r="B330" s="1" t="inlineStr">
        <is>
          <t>AEROPUERTO VASQUEZ COBO [48015050]</t>
        </is>
      </c>
      <c r="C330" s="1" t="n">
        <v>-4.199509</v>
      </c>
      <c r="D330" s="1" t="n">
        <v>-69.943095</v>
      </c>
      <c r="E330" s="1" t="n">
        <v>84</v>
      </c>
      <c r="F330" s="1" t="inlineStr">
        <is>
          <t>Leticia</t>
        </is>
      </c>
      <c r="G330" s="1" t="inlineStr">
        <is>
          <t>Amazonas</t>
        </is>
      </c>
      <c r="H330" s="39" t="n">
        <v>36.5</v>
      </c>
      <c r="I330" s="1" t="n">
        <v>2016</v>
      </c>
      <c r="J330" s="1" t="n">
        <v>8</v>
      </c>
      <c r="K330" s="39" t="n">
        <v>36.4</v>
      </c>
      <c r="L330" s="1" t="n">
        <v>1995</v>
      </c>
      <c r="M330" s="1" t="n">
        <v>28</v>
      </c>
      <c r="N330" s="39" t="n">
        <v>35.9</v>
      </c>
      <c r="O330" s="1" t="n">
        <v>1991</v>
      </c>
      <c r="P330" s="1" t="n">
        <v>24</v>
      </c>
      <c r="Q330" s="39" t="n">
        <v>36.2</v>
      </c>
      <c r="R330" s="1" t="n">
        <v>1990</v>
      </c>
      <c r="S330" s="1" t="n">
        <v>12</v>
      </c>
      <c r="T330" s="39" t="n">
        <v>34.4</v>
      </c>
      <c r="U330" s="1" t="n">
        <v>2005</v>
      </c>
      <c r="V330" s="1" t="n">
        <v>24</v>
      </c>
      <c r="W330" s="39" t="n">
        <v>34.1</v>
      </c>
      <c r="X330" s="1" t="n">
        <v>2017</v>
      </c>
      <c r="Y330" s="1" t="n">
        <v>9</v>
      </c>
      <c r="Z330" s="39" t="n">
        <v>35.2</v>
      </c>
      <c r="AA330" s="1" t="n">
        <v>2017</v>
      </c>
      <c r="AB330" s="1" t="n">
        <v>28</v>
      </c>
      <c r="AC330" s="39" t="n">
        <v>35.7</v>
      </c>
      <c r="AD330" s="1" t="n">
        <v>1994</v>
      </c>
      <c r="AE330" s="1" t="n">
        <v>5</v>
      </c>
      <c r="AF330" s="39" t="n">
        <v>38.1</v>
      </c>
      <c r="AG330" s="1" t="n">
        <v>2005</v>
      </c>
      <c r="AH330" s="1" t="n">
        <v>25</v>
      </c>
      <c r="AI330" s="39" t="n">
        <v>37.1</v>
      </c>
      <c r="AJ330" s="1" t="n">
        <v>2005</v>
      </c>
      <c r="AK330" s="1" t="n">
        <v>1</v>
      </c>
      <c r="AL330" s="39" t="n">
        <v>36.4</v>
      </c>
      <c r="AM330" s="1" t="n">
        <v>1999</v>
      </c>
      <c r="AN330" s="1" t="n">
        <v>3</v>
      </c>
      <c r="AO330" s="39" t="n">
        <v>35.3</v>
      </c>
      <c r="AP330" s="1" t="n">
        <v>2012</v>
      </c>
      <c r="AQ330" s="1" t="n">
        <v>3</v>
      </c>
    </row>
    <row r="331" ht="14.45" customHeight="1">
      <c r="A331" s="1" t="n">
        <v>51025080</v>
      </c>
      <c r="B331" s="1" t="inlineStr">
        <is>
          <t>ALTAQUER - AUT [51025080]</t>
        </is>
      </c>
      <c r="C331" s="1" t="n">
        <v>1.248333333</v>
      </c>
      <c r="D331" s="1" t="n">
        <v>-78.0925</v>
      </c>
      <c r="E331" s="1" t="n">
        <v>110</v>
      </c>
      <c r="F331" s="1" t="inlineStr">
        <is>
          <t>Barbacoas</t>
        </is>
      </c>
      <c r="G331" s="1" t="inlineStr">
        <is>
          <t>Nariño</t>
        </is>
      </c>
      <c r="H331" s="39" t="n">
        <v>28.2</v>
      </c>
      <c r="I331" s="1" t="n">
        <v>1998</v>
      </c>
      <c r="J331" s="1" t="n">
        <v>31</v>
      </c>
      <c r="K331" s="39" t="n">
        <v>29</v>
      </c>
      <c r="L331" s="1" t="n">
        <v>1998</v>
      </c>
      <c r="M331" s="1" t="n">
        <v>17</v>
      </c>
      <c r="N331" s="39" t="n">
        <v>27.5</v>
      </c>
      <c r="O331" s="1" t="n">
        <v>2002</v>
      </c>
      <c r="P331" s="1" t="n">
        <v>25</v>
      </c>
      <c r="Q331" s="39" t="n">
        <v>28</v>
      </c>
      <c r="R331" s="1" t="n">
        <v>2012</v>
      </c>
      <c r="S331" s="1" t="n">
        <v>21</v>
      </c>
      <c r="T331" s="39" t="n">
        <v>29.5</v>
      </c>
      <c r="U331" s="1" t="n">
        <v>1998</v>
      </c>
      <c r="V331" s="1" t="n">
        <v>21</v>
      </c>
      <c r="W331" s="39" t="n">
        <v>27.5</v>
      </c>
      <c r="X331" s="1" t="n">
        <v>1998</v>
      </c>
      <c r="Y331" s="1" t="n">
        <v>16</v>
      </c>
      <c r="Z331" s="39" t="n">
        <v>28.6</v>
      </c>
      <c r="AA331" s="1" t="n">
        <v>1997</v>
      </c>
      <c r="AB331" s="1" t="n">
        <v>31</v>
      </c>
      <c r="AC331" s="39" t="n">
        <v>28.8</v>
      </c>
      <c r="AD331" s="1" t="n">
        <v>1998</v>
      </c>
      <c r="AE331" s="1" t="n">
        <v>15</v>
      </c>
      <c r="AF331" s="39" t="n">
        <v>26.8</v>
      </c>
      <c r="AG331" s="1" t="n">
        <v>1997</v>
      </c>
      <c r="AH331" s="1" t="n">
        <v>30</v>
      </c>
      <c r="AI331" s="39" t="n">
        <v>27</v>
      </c>
      <c r="AJ331" s="1" t="n">
        <v>2010</v>
      </c>
      <c r="AK331" s="1" t="n">
        <v>2</v>
      </c>
      <c r="AL331" s="39" t="n">
        <v>27</v>
      </c>
      <c r="AM331" s="1" t="n">
        <v>2003</v>
      </c>
      <c r="AN331" s="1" t="n">
        <v>1</v>
      </c>
      <c r="AO331" s="39" t="n">
        <v>28.2</v>
      </c>
      <c r="AP331" s="1" t="n">
        <v>1994</v>
      </c>
      <c r="AQ331" s="1" t="n">
        <v>2</v>
      </c>
    </row>
    <row r="332" ht="14.45" customHeight="1">
      <c r="A332" s="1" t="n">
        <v>51035020</v>
      </c>
      <c r="B332" s="1" t="inlineStr">
        <is>
          <t>CCCP DL PACIFICO [51035020]</t>
        </is>
      </c>
      <c r="C332" s="1" t="n">
        <v>1.819166667</v>
      </c>
      <c r="D332" s="1" t="n">
        <v>-78.73</v>
      </c>
      <c r="E332" s="1" t="n">
        <v>1</v>
      </c>
      <c r="F332" s="1" t="inlineStr">
        <is>
          <t>Tumaco</t>
        </is>
      </c>
      <c r="G332" s="1" t="inlineStr">
        <is>
          <t>Nariño</t>
        </is>
      </c>
      <c r="H332" s="39" t="n">
        <v>32.3</v>
      </c>
      <c r="I332" s="1" t="n">
        <v>1998</v>
      </c>
      <c r="J332" s="1" t="n">
        <v>14</v>
      </c>
      <c r="K332" s="39" t="n">
        <v>32.6</v>
      </c>
      <c r="L332" s="1" t="n">
        <v>1998</v>
      </c>
      <c r="M332" s="1" t="n">
        <v>17</v>
      </c>
      <c r="N332" s="39" t="n">
        <v>32.6</v>
      </c>
      <c r="O332" s="1" t="n">
        <v>2016</v>
      </c>
      <c r="P332" s="1" t="n">
        <v>19</v>
      </c>
      <c r="Q332" s="39" t="n">
        <v>32.8</v>
      </c>
      <c r="R332" s="1" t="n">
        <v>1998</v>
      </c>
      <c r="S332" s="1" t="n">
        <v>1</v>
      </c>
      <c r="T332" s="39" t="n">
        <v>32.9</v>
      </c>
      <c r="U332" s="1" t="n">
        <v>1998</v>
      </c>
      <c r="V332" s="1" t="n">
        <v>19</v>
      </c>
      <c r="W332" s="39" t="n">
        <v>32.7</v>
      </c>
      <c r="X332" s="1" t="n">
        <v>1997</v>
      </c>
      <c r="Y332" s="1" t="n">
        <v>29</v>
      </c>
      <c r="Z332" s="39" t="n">
        <v>32.9</v>
      </c>
      <c r="AA332" s="1" t="n">
        <v>1997</v>
      </c>
      <c r="AB332" s="1" t="n">
        <v>9</v>
      </c>
      <c r="AC332" s="39" t="n">
        <v>32</v>
      </c>
      <c r="AD332" s="1" t="n">
        <v>1997</v>
      </c>
      <c r="AE332" s="1" t="n">
        <v>7</v>
      </c>
      <c r="AF332" s="39" t="n">
        <v>31.8</v>
      </c>
      <c r="AG332" s="1" t="n">
        <v>2014</v>
      </c>
      <c r="AH332" s="1" t="n">
        <v>21</v>
      </c>
      <c r="AI332" s="39" t="n">
        <v>32.2</v>
      </c>
      <c r="AJ332" s="1" t="n">
        <v>2002</v>
      </c>
      <c r="AK332" s="1" t="n">
        <v>5</v>
      </c>
      <c r="AL332" s="39" t="n">
        <v>31.2</v>
      </c>
      <c r="AM332" s="1" t="n">
        <v>2002</v>
      </c>
      <c r="AN332" s="1" t="n">
        <v>9</v>
      </c>
      <c r="AO332" s="39" t="n">
        <v>32.4</v>
      </c>
      <c r="AP332" s="1" t="n">
        <v>1997</v>
      </c>
      <c r="AQ332" s="1" t="n">
        <v>7</v>
      </c>
    </row>
    <row r="333" ht="14.45" customHeight="1">
      <c r="A333" s="1" t="n">
        <v>52015010</v>
      </c>
      <c r="B333" s="1" t="inlineStr">
        <is>
          <t>PAISPAMBA [52015010]</t>
        </is>
      </c>
      <c r="C333" s="1" t="n">
        <v>2.249722222</v>
      </c>
      <c r="D333" s="1" t="n">
        <v>-76.61194444</v>
      </c>
      <c r="E333" s="1" t="n">
        <v>2450</v>
      </c>
      <c r="F333" s="1" t="inlineStr">
        <is>
          <t>Sotará (Paispamba)</t>
        </is>
      </c>
      <c r="G333" s="1" t="inlineStr">
        <is>
          <t>Cauca</t>
        </is>
      </c>
      <c r="H333" s="39" t="n">
        <v>22.3</v>
      </c>
      <c r="I333" s="1" t="n">
        <v>2024</v>
      </c>
      <c r="J333" s="1" t="n">
        <v>23</v>
      </c>
      <c r="K333" s="39" t="n">
        <v>22.3</v>
      </c>
      <c r="L333" s="1" t="n">
        <v>2019</v>
      </c>
      <c r="M333" s="1" t="n">
        <v>15</v>
      </c>
      <c r="N333" s="39" t="n">
        <v>22.6</v>
      </c>
      <c r="O333" s="1" t="n">
        <v>2024</v>
      </c>
      <c r="P333" s="1" t="n">
        <v>16</v>
      </c>
      <c r="Q333" s="39" t="n">
        <v>22.6</v>
      </c>
      <c r="R333" s="1" t="n">
        <v>2024</v>
      </c>
      <c r="S333" s="1" t="n">
        <v>16</v>
      </c>
      <c r="T333" s="39" t="n">
        <v>22.9</v>
      </c>
      <c r="U333" s="1" t="n">
        <v>2011</v>
      </c>
      <c r="V333" s="1" t="n">
        <v>10</v>
      </c>
      <c r="W333" s="39" t="n">
        <v>21.8</v>
      </c>
      <c r="X333" s="1" t="n">
        <v>2024</v>
      </c>
      <c r="Y333" s="1" t="n">
        <v>1</v>
      </c>
      <c r="Z333" s="39" t="n">
        <v>22.5</v>
      </c>
      <c r="AA333" s="1" t="n">
        <v>2015</v>
      </c>
      <c r="AB333" s="1" t="n">
        <v>1</v>
      </c>
      <c r="AC333" s="39" t="n">
        <v>23.6</v>
      </c>
      <c r="AD333" s="1" t="n">
        <v>2023</v>
      </c>
      <c r="AE333" s="1" t="n">
        <v>17</v>
      </c>
      <c r="AF333" s="39" t="n">
        <v>23</v>
      </c>
      <c r="AG333" s="1" t="n">
        <v>2015</v>
      </c>
      <c r="AH333" s="1" t="n">
        <v>17</v>
      </c>
      <c r="AI333" s="39" t="n">
        <v>23.6</v>
      </c>
      <c r="AJ333" s="1" t="n">
        <v>2010</v>
      </c>
      <c r="AK333" s="1" t="n">
        <v>7</v>
      </c>
      <c r="AL333" s="39" t="n">
        <v>22</v>
      </c>
      <c r="AM333" s="1" t="n">
        <v>2011</v>
      </c>
      <c r="AN333" s="1" t="n">
        <v>1</v>
      </c>
      <c r="AO333" s="39" t="n">
        <v>21.9</v>
      </c>
      <c r="AP333" s="1" t="n">
        <v>2015</v>
      </c>
      <c r="AQ333" s="1" t="n">
        <v>12</v>
      </c>
    </row>
    <row r="334" ht="14.45" customHeight="1">
      <c r="A334" s="1" t="n">
        <v>52025020</v>
      </c>
      <c r="B334" s="1" t="inlineStr">
        <is>
          <t>MILAGROS LOS [52025020]</t>
        </is>
      </c>
      <c r="C334" s="1" t="n">
        <v>1.753333333</v>
      </c>
      <c r="D334" s="1" t="n">
        <v>-76.89166667000001</v>
      </c>
      <c r="E334" s="1" t="n">
        <v>2300</v>
      </c>
      <c r="F334" s="1" t="inlineStr">
        <is>
          <t>Bolívar</t>
        </is>
      </c>
      <c r="G334" s="1" t="inlineStr">
        <is>
          <t>Cauca</t>
        </is>
      </c>
      <c r="H334" s="39" t="n">
        <v>28</v>
      </c>
      <c r="I334" s="1" t="n">
        <v>1979</v>
      </c>
      <c r="J334" s="1" t="n">
        <v>8</v>
      </c>
      <c r="K334" s="39" t="n">
        <v>26.8</v>
      </c>
      <c r="L334" s="1" t="n">
        <v>1979</v>
      </c>
      <c r="M334" s="1" t="n">
        <v>17</v>
      </c>
      <c r="N334" s="39" t="n">
        <v>28.2</v>
      </c>
      <c r="O334" s="1" t="n">
        <v>1979</v>
      </c>
      <c r="P334" s="1" t="n">
        <v>6</v>
      </c>
      <c r="Q334" s="39" t="n">
        <v>28.4</v>
      </c>
      <c r="R334" s="1" t="n">
        <v>1979</v>
      </c>
      <c r="S334" s="1" t="n">
        <v>11</v>
      </c>
      <c r="T334" s="39" t="n">
        <v>26.4</v>
      </c>
      <c r="U334" s="1" t="n">
        <v>1979</v>
      </c>
      <c r="V334" s="1" t="n">
        <v>30</v>
      </c>
      <c r="W334" s="39" t="n">
        <v>28.6</v>
      </c>
      <c r="X334" s="1" t="n">
        <v>1979</v>
      </c>
      <c r="Y334" s="1" t="n">
        <v>23</v>
      </c>
      <c r="Z334" s="39" t="n">
        <v>26.4</v>
      </c>
      <c r="AA334" s="1" t="n">
        <v>1978</v>
      </c>
      <c r="AB334" s="1" t="n">
        <v>2</v>
      </c>
      <c r="AC334" s="39" t="n">
        <v>26.6</v>
      </c>
      <c r="AD334" s="1" t="n">
        <v>2016</v>
      </c>
      <c r="AE334" s="1" t="n">
        <v>29</v>
      </c>
      <c r="AF334" s="39" t="n">
        <v>28.4</v>
      </c>
      <c r="AG334" s="1" t="n">
        <v>1978</v>
      </c>
      <c r="AH334" s="1" t="n">
        <v>18</v>
      </c>
      <c r="AI334" s="39" t="n">
        <v>28</v>
      </c>
      <c r="AJ334" s="1" t="n">
        <v>1995</v>
      </c>
      <c r="AK334" s="1" t="n">
        <v>22</v>
      </c>
      <c r="AL334" s="39" t="n">
        <v>26.4</v>
      </c>
      <c r="AM334" s="1" t="n">
        <v>2023</v>
      </c>
      <c r="AN334" s="1" t="n">
        <v>13</v>
      </c>
      <c r="AO334" s="39" t="n">
        <v>26.6</v>
      </c>
      <c r="AP334" s="1" t="n">
        <v>2023</v>
      </c>
      <c r="AQ334" s="1" t="n">
        <v>1</v>
      </c>
    </row>
    <row r="335" ht="14.45" customHeight="1">
      <c r="A335" s="1" t="n">
        <v>52025090</v>
      </c>
      <c r="B335" s="1" t="inlineStr">
        <is>
          <t>LA SIERRA - AUT [52025090]</t>
        </is>
      </c>
      <c r="C335" s="1" t="n">
        <v>2.193833333</v>
      </c>
      <c r="D335" s="1" t="n">
        <v>-76.75033333</v>
      </c>
      <c r="E335" s="1" t="n">
        <v>1870</v>
      </c>
      <c r="F335" s="1" t="inlineStr">
        <is>
          <t>La Sierra</t>
        </is>
      </c>
      <c r="G335" s="1" t="inlineStr">
        <is>
          <t>Cauca</t>
        </is>
      </c>
      <c r="H335" s="39" t="n">
        <v>29.1</v>
      </c>
      <c r="I335" s="1" t="n">
        <v>2023</v>
      </c>
      <c r="J335" s="1" t="n">
        <v>8</v>
      </c>
      <c r="K335" s="39" t="n">
        <v>29</v>
      </c>
      <c r="L335" s="1" t="n">
        <v>1991</v>
      </c>
      <c r="M335" s="1" t="n">
        <v>22</v>
      </c>
      <c r="N335" s="39" t="n">
        <v>27.4</v>
      </c>
      <c r="O335" s="1" t="n">
        <v>2024</v>
      </c>
      <c r="P335" s="1" t="n">
        <v>17</v>
      </c>
      <c r="Q335" s="39" t="n">
        <v>29.2</v>
      </c>
      <c r="R335" s="1" t="n">
        <v>1991</v>
      </c>
      <c r="S335" s="1" t="n">
        <v>2</v>
      </c>
      <c r="T335" s="39" t="n">
        <v>30.3</v>
      </c>
      <c r="U335" s="1" t="n">
        <v>2010</v>
      </c>
      <c r="V335" s="1" t="n">
        <v>25</v>
      </c>
      <c r="W335" s="39" t="n">
        <v>27.6</v>
      </c>
      <c r="X335" s="1" t="n">
        <v>1992</v>
      </c>
      <c r="Y335" s="1" t="n">
        <v>25</v>
      </c>
      <c r="Z335" s="39" t="n">
        <v>28</v>
      </c>
      <c r="AA335" s="1" t="n">
        <v>1991</v>
      </c>
      <c r="AB335" s="1" t="n">
        <v>16</v>
      </c>
      <c r="AC335" s="39" t="n">
        <v>30.2</v>
      </c>
      <c r="AD335" s="1" t="n">
        <v>2006</v>
      </c>
      <c r="AE335" s="1" t="n">
        <v>13</v>
      </c>
      <c r="AF335" s="39" t="n">
        <v>28.7</v>
      </c>
      <c r="AG335" s="1" t="n">
        <v>2012</v>
      </c>
      <c r="AH335" s="1" t="n">
        <v>19</v>
      </c>
      <c r="AI335" s="39" t="n">
        <v>28.8</v>
      </c>
      <c r="AJ335" s="1" t="n">
        <v>1983</v>
      </c>
      <c r="AK335" s="1" t="n">
        <v>26</v>
      </c>
      <c r="AL335" s="39" t="n">
        <v>31</v>
      </c>
      <c r="AM335" s="1" t="n">
        <v>1996</v>
      </c>
      <c r="AN335" s="1" t="n">
        <v>9</v>
      </c>
      <c r="AO335" s="39" t="n">
        <v>27.4</v>
      </c>
      <c r="AP335" s="1" t="n">
        <v>2015</v>
      </c>
      <c r="AQ335" s="1" t="n">
        <v>29</v>
      </c>
    </row>
    <row r="336" ht="14.45" customHeight="1">
      <c r="A336" s="1" t="n">
        <v>52045010</v>
      </c>
      <c r="B336" s="1" t="inlineStr">
        <is>
          <t>OBONUCO [52045010]</t>
        </is>
      </c>
      <c r="C336" s="1" t="n">
        <v>1.198222222</v>
      </c>
      <c r="D336" s="1" t="n">
        <v>-77.30308333000001</v>
      </c>
      <c r="E336" s="1" t="n">
        <v>2710</v>
      </c>
      <c r="F336" s="1" t="inlineStr">
        <is>
          <t>Pasto</t>
        </is>
      </c>
      <c r="G336" s="1" t="inlineStr">
        <is>
          <t>Nariño</t>
        </is>
      </c>
      <c r="H336" s="39" t="n">
        <v>25.2</v>
      </c>
      <c r="I336" s="1" t="n">
        <v>2006</v>
      </c>
      <c r="J336" s="1" t="n">
        <v>21</v>
      </c>
      <c r="K336" s="39" t="n">
        <v>24.7</v>
      </c>
      <c r="L336" s="1" t="n">
        <v>2007</v>
      </c>
      <c r="M336" s="1" t="n">
        <v>5</v>
      </c>
      <c r="N336" s="39" t="n">
        <v>22.8</v>
      </c>
      <c r="O336" s="1" t="n">
        <v>2010</v>
      </c>
      <c r="P336" s="1" t="n">
        <v>23</v>
      </c>
      <c r="Q336" s="39" t="n">
        <v>23.1</v>
      </c>
      <c r="R336" s="1" t="n">
        <v>1998</v>
      </c>
      <c r="S336" s="1" t="n">
        <v>7</v>
      </c>
      <c r="T336" s="39" t="n">
        <v>22.4</v>
      </c>
      <c r="U336" s="1" t="n">
        <v>2024</v>
      </c>
      <c r="V336" s="1" t="n">
        <v>13</v>
      </c>
      <c r="W336" s="39" t="n">
        <v>21.4</v>
      </c>
      <c r="X336" s="1" t="n">
        <v>2024</v>
      </c>
      <c r="Y336" s="1" t="n">
        <v>2</v>
      </c>
      <c r="Z336" s="39" t="n">
        <v>21.4</v>
      </c>
      <c r="AA336" s="1" t="n">
        <v>1996</v>
      </c>
      <c r="AB336" s="1" t="n">
        <v>24</v>
      </c>
      <c r="AC336" s="39" t="n">
        <v>21.8</v>
      </c>
      <c r="AD336" s="1" t="n">
        <v>1986</v>
      </c>
      <c r="AE336" s="1" t="n">
        <v>23</v>
      </c>
      <c r="AF336" s="39" t="n">
        <v>23.8</v>
      </c>
      <c r="AG336" s="1" t="n">
        <v>2010</v>
      </c>
      <c r="AH336" s="1" t="n">
        <v>11</v>
      </c>
      <c r="AI336" s="39" t="n">
        <v>24</v>
      </c>
      <c r="AJ336" s="1" t="n">
        <v>2005</v>
      </c>
      <c r="AK336" s="1" t="n">
        <v>13</v>
      </c>
      <c r="AL336" s="39" t="n">
        <v>22.8</v>
      </c>
      <c r="AM336" s="1" t="n">
        <v>2022</v>
      </c>
      <c r="AN336" s="1" t="n">
        <v>19</v>
      </c>
      <c r="AO336" s="39" t="n">
        <v>23</v>
      </c>
      <c r="AP336" s="1" t="n">
        <v>2010</v>
      </c>
      <c r="AQ336" s="1" t="n">
        <v>12</v>
      </c>
    </row>
    <row r="337" ht="14.45" customHeight="1">
      <c r="A337" s="1" t="n">
        <v>52045020</v>
      </c>
      <c r="B337" s="1" t="inlineStr">
        <is>
          <t>AEROPUERTO ANTONIO NARINO [52045020]</t>
        </is>
      </c>
      <c r="C337" s="1" t="n">
        <v>1.394083333</v>
      </c>
      <c r="D337" s="1" t="n">
        <v>-77.29086110999999</v>
      </c>
      <c r="E337" s="1" t="n">
        <v>1796</v>
      </c>
      <c r="F337" s="1" t="inlineStr">
        <is>
          <t>Chachaguí</t>
        </is>
      </c>
      <c r="G337" s="1" t="inlineStr">
        <is>
          <t>Nariño</t>
        </is>
      </c>
      <c r="H337" s="39" t="n">
        <v>29.8</v>
      </c>
      <c r="I337" s="1" t="n">
        <v>1998</v>
      </c>
      <c r="J337" s="1" t="n">
        <v>23</v>
      </c>
      <c r="K337" s="39" t="n">
        <v>31</v>
      </c>
      <c r="L337" s="1" t="n">
        <v>2016</v>
      </c>
      <c r="M337" s="1" t="n">
        <v>20</v>
      </c>
      <c r="N337" s="39" t="n">
        <v>30.3</v>
      </c>
      <c r="O337" s="1" t="n">
        <v>2016</v>
      </c>
      <c r="P337" s="1" t="n">
        <v>29</v>
      </c>
      <c r="Q337" s="39" t="n">
        <v>30</v>
      </c>
      <c r="R337" s="1" t="n">
        <v>2016</v>
      </c>
      <c r="S337" s="1" t="n">
        <v>21</v>
      </c>
      <c r="T337" s="39" t="n">
        <v>29.2</v>
      </c>
      <c r="U337" s="1" t="n">
        <v>2023</v>
      </c>
      <c r="V337" s="1" t="n">
        <v>18</v>
      </c>
      <c r="W337" s="39" t="n">
        <v>29.4</v>
      </c>
      <c r="X337" s="1" t="n">
        <v>2013</v>
      </c>
      <c r="Y337" s="1" t="n">
        <v>26</v>
      </c>
      <c r="Z337" s="39" t="n">
        <v>30.2</v>
      </c>
      <c r="AA337" s="1" t="n">
        <v>2015</v>
      </c>
      <c r="AB337" s="1" t="n">
        <v>1</v>
      </c>
      <c r="AC337" s="39" t="n">
        <v>31.3</v>
      </c>
      <c r="AD337" s="1" t="n">
        <v>2016</v>
      </c>
      <c r="AE337" s="1" t="n">
        <v>6</v>
      </c>
      <c r="AF337" s="39" t="n">
        <v>31.2</v>
      </c>
      <c r="AG337" s="1" t="n">
        <v>2013</v>
      </c>
      <c r="AH337" s="1" t="n">
        <v>21</v>
      </c>
      <c r="AI337" s="39" t="n">
        <v>31.3</v>
      </c>
      <c r="AJ337" s="1" t="n">
        <v>2012</v>
      </c>
      <c r="AK337" s="1" t="n">
        <v>3</v>
      </c>
      <c r="AL337" s="39" t="n">
        <v>29.7</v>
      </c>
      <c r="AM337" s="1" t="n">
        <v>2019</v>
      </c>
      <c r="AN337" s="1" t="n">
        <v>3</v>
      </c>
      <c r="AO337" s="39" t="n">
        <v>29.7</v>
      </c>
      <c r="AP337" s="1" t="n">
        <v>2015</v>
      </c>
      <c r="AQ337" s="1" t="n">
        <v>31</v>
      </c>
    </row>
    <row r="338" ht="14.45" customHeight="1">
      <c r="A338" s="1" t="n">
        <v>52045030</v>
      </c>
      <c r="B338" s="1" t="inlineStr">
        <is>
          <t>SAN BERNARDO [52045030]</t>
        </is>
      </c>
      <c r="C338" s="1" t="n">
        <v>1.538722222</v>
      </c>
      <c r="D338" s="1" t="n">
        <v>-77.03261111</v>
      </c>
      <c r="E338" s="1" t="n">
        <v>2190</v>
      </c>
      <c r="F338" s="1" t="inlineStr">
        <is>
          <t>San Bernardo</t>
        </is>
      </c>
      <c r="G338" s="1" t="inlineStr">
        <is>
          <t>Nariño</t>
        </is>
      </c>
      <c r="H338" s="39" t="n">
        <v>28</v>
      </c>
      <c r="I338" s="1" t="n">
        <v>2016</v>
      </c>
      <c r="J338" s="1" t="n">
        <v>4</v>
      </c>
      <c r="K338" s="39" t="n">
        <v>28</v>
      </c>
      <c r="L338" s="1" t="n">
        <v>1979</v>
      </c>
      <c r="M338" s="1" t="n">
        <v>8</v>
      </c>
      <c r="N338" s="39" t="n">
        <v>28.4</v>
      </c>
      <c r="O338" s="1" t="n">
        <v>2020</v>
      </c>
      <c r="P338" s="1" t="n">
        <v>11</v>
      </c>
      <c r="Q338" s="39" t="n">
        <v>28</v>
      </c>
      <c r="R338" s="1" t="n">
        <v>2024</v>
      </c>
      <c r="S338" s="1" t="n">
        <v>16</v>
      </c>
      <c r="T338" s="39" t="n">
        <v>27.6</v>
      </c>
      <c r="U338" s="1" t="n">
        <v>2015</v>
      </c>
      <c r="V338" s="1" t="n">
        <v>4</v>
      </c>
      <c r="W338" s="39" t="n">
        <v>27</v>
      </c>
      <c r="X338" s="1" t="n">
        <v>2024</v>
      </c>
      <c r="Y338" s="1" t="n">
        <v>2</v>
      </c>
      <c r="Z338" s="39" t="n">
        <v>26.6</v>
      </c>
      <c r="AA338" s="1" t="n">
        <v>2023</v>
      </c>
      <c r="AB338" s="1" t="n">
        <v>27</v>
      </c>
      <c r="AC338" s="39" t="n">
        <v>27.4</v>
      </c>
      <c r="AD338" s="1" t="n">
        <v>2016</v>
      </c>
      <c r="AE338" s="1" t="n">
        <v>6</v>
      </c>
      <c r="AF338" s="39" t="n">
        <v>28.8</v>
      </c>
      <c r="AG338" s="1" t="n">
        <v>2023</v>
      </c>
      <c r="AH338" s="1" t="n">
        <v>27</v>
      </c>
      <c r="AI338" s="39" t="n">
        <v>28.8</v>
      </c>
      <c r="AJ338" s="1" t="n">
        <v>2023</v>
      </c>
      <c r="AK338" s="1" t="n">
        <v>12</v>
      </c>
      <c r="AL338" s="39" t="n">
        <v>27</v>
      </c>
      <c r="AM338" s="1" t="n">
        <v>2018</v>
      </c>
      <c r="AN338" s="1" t="n">
        <v>7</v>
      </c>
      <c r="AO338" s="39" t="n">
        <v>27.4</v>
      </c>
      <c r="AP338" s="1" t="n">
        <v>2015</v>
      </c>
      <c r="AQ338" s="1" t="n">
        <v>30</v>
      </c>
    </row>
    <row r="339" ht="14.45" customHeight="1">
      <c r="A339" s="1" t="n">
        <v>52045040</v>
      </c>
      <c r="B339" s="1" t="inlineStr">
        <is>
          <t>TAMINANGO [52045040]</t>
        </is>
      </c>
      <c r="C339" s="1" t="n">
        <v>1.549166667</v>
      </c>
      <c r="D339" s="1" t="n">
        <v>-77.2675</v>
      </c>
      <c r="E339" s="1" t="n">
        <v>1875</v>
      </c>
      <c r="F339" s="1" t="inlineStr">
        <is>
          <t>Taminango</t>
        </is>
      </c>
      <c r="G339" s="1" t="inlineStr">
        <is>
          <t>Nariño</t>
        </is>
      </c>
      <c r="H339" s="39" t="n">
        <v>29</v>
      </c>
      <c r="I339" s="1" t="n">
        <v>1998</v>
      </c>
      <c r="J339" s="1" t="n">
        <v>30</v>
      </c>
      <c r="K339" s="39" t="n">
        <v>29.6</v>
      </c>
      <c r="L339" s="1" t="n">
        <v>1998</v>
      </c>
      <c r="M339" s="1" t="n">
        <v>17</v>
      </c>
      <c r="N339" s="39" t="n">
        <v>29.2</v>
      </c>
      <c r="O339" s="1" t="n">
        <v>2024</v>
      </c>
      <c r="P339" s="1" t="n">
        <v>18</v>
      </c>
      <c r="Q339" s="39" t="n">
        <v>29</v>
      </c>
      <c r="R339" s="1" t="n">
        <v>2004</v>
      </c>
      <c r="S339" s="1" t="n">
        <v>5</v>
      </c>
      <c r="T339" s="39" t="n">
        <v>29</v>
      </c>
      <c r="U339" s="1" t="n">
        <v>1998</v>
      </c>
      <c r="V339" s="1" t="n">
        <v>20</v>
      </c>
      <c r="W339" s="39" t="n">
        <v>28.4</v>
      </c>
      <c r="X339" s="1" t="n">
        <v>2015</v>
      </c>
      <c r="Y339" s="1" t="n">
        <v>18</v>
      </c>
      <c r="Z339" s="39" t="n">
        <v>28.8</v>
      </c>
      <c r="AA339" s="1" t="n">
        <v>2012</v>
      </c>
      <c r="AB339" s="1" t="n">
        <v>16</v>
      </c>
      <c r="AC339" s="39" t="n">
        <v>29.8</v>
      </c>
      <c r="AD339" s="1" t="n">
        <v>1997</v>
      </c>
      <c r="AE339" s="1" t="n">
        <v>25</v>
      </c>
      <c r="AF339" s="39" t="n">
        <v>30.6</v>
      </c>
      <c r="AG339" s="1" t="n">
        <v>2024</v>
      </c>
      <c r="AH339" s="1" t="n">
        <v>18</v>
      </c>
      <c r="AI339" s="39" t="n">
        <v>30</v>
      </c>
      <c r="AJ339" s="1" t="n">
        <v>2002</v>
      </c>
      <c r="AK339" s="1" t="n">
        <v>12</v>
      </c>
      <c r="AL339" s="39" t="n">
        <v>28.6</v>
      </c>
      <c r="AM339" s="1" t="n">
        <v>2021</v>
      </c>
      <c r="AN339" s="1" t="n">
        <v>2</v>
      </c>
      <c r="AO339" s="39" t="n">
        <v>29.3</v>
      </c>
      <c r="AP339" s="1" t="n">
        <v>2015</v>
      </c>
      <c r="AQ339" s="1" t="n">
        <v>30</v>
      </c>
    </row>
    <row r="340" ht="14.45" customHeight="1">
      <c r="A340" s="1" t="n">
        <v>52045090</v>
      </c>
      <c r="B340" s="1" t="inlineStr">
        <is>
          <t>EL COMUN [52045090]</t>
        </is>
      </c>
      <c r="C340" s="1" t="n">
        <v>0.932638889</v>
      </c>
      <c r="D340" s="1" t="n">
        <v>-77.62958333</v>
      </c>
      <c r="E340" s="1" t="n">
        <v>3141</v>
      </c>
      <c r="F340" s="1" t="inlineStr">
        <is>
          <t>Pupiales</t>
        </is>
      </c>
      <c r="G340" s="1" t="inlineStr">
        <is>
          <t>Nariño</t>
        </is>
      </c>
      <c r="H340" s="39" t="n">
        <v>22.6</v>
      </c>
      <c r="I340" s="1" t="n">
        <v>2016</v>
      </c>
      <c r="J340" s="1" t="n">
        <v>23</v>
      </c>
      <c r="K340" s="39" t="n">
        <v>20.6</v>
      </c>
      <c r="L340" s="1" t="n">
        <v>2015</v>
      </c>
      <c r="M340" s="1" t="n">
        <v>18</v>
      </c>
      <c r="N340" s="39" t="n">
        <v>22.2</v>
      </c>
      <c r="O340" s="1" t="n">
        <v>2016</v>
      </c>
      <c r="P340" s="1" t="n">
        <v>9</v>
      </c>
      <c r="Q340" s="39" t="n">
        <v>20.2</v>
      </c>
      <c r="R340" s="1" t="n">
        <v>2010</v>
      </c>
      <c r="S340" s="1" t="n">
        <v>2</v>
      </c>
      <c r="T340" s="39" t="n">
        <v>19.2</v>
      </c>
      <c r="U340" s="1" t="n">
        <v>2015</v>
      </c>
      <c r="V340" s="1" t="n">
        <v>24</v>
      </c>
      <c r="W340" s="39" t="n">
        <v>20.2</v>
      </c>
      <c r="X340" s="1" t="n">
        <v>2017</v>
      </c>
      <c r="Y340" s="1" t="n">
        <v>7</v>
      </c>
      <c r="Z340" s="39" t="n">
        <v>17.4</v>
      </c>
      <c r="AA340" s="1" t="n">
        <v>2017</v>
      </c>
      <c r="AB340" s="1" t="n">
        <v>15</v>
      </c>
      <c r="AC340" s="39" t="n">
        <v>18.6</v>
      </c>
      <c r="AD340" s="1" t="n">
        <v>2022</v>
      </c>
      <c r="AE340" s="1" t="n">
        <v>18</v>
      </c>
      <c r="AF340" s="39" t="n">
        <v>19.9</v>
      </c>
      <c r="AG340" s="1" t="n">
        <v>2010</v>
      </c>
      <c r="AH340" s="1" t="n">
        <v>29</v>
      </c>
      <c r="AI340" s="39" t="n">
        <v>19.8</v>
      </c>
      <c r="AJ340" s="1" t="n">
        <v>2009</v>
      </c>
      <c r="AK340" s="1" t="n">
        <v>19</v>
      </c>
      <c r="AL340" s="39" t="n">
        <v>19.8</v>
      </c>
      <c r="AM340" s="1" t="n">
        <v>2012</v>
      </c>
      <c r="AN340" s="1" t="n">
        <v>11</v>
      </c>
      <c r="AO340" s="39" t="n">
        <v>19.2</v>
      </c>
      <c r="AP340" s="1" t="n">
        <v>2014</v>
      </c>
      <c r="AQ340" s="1" t="n">
        <v>8</v>
      </c>
    </row>
    <row r="341" ht="14.45" customHeight="1">
      <c r="A341" s="1" t="n">
        <v>52055030</v>
      </c>
      <c r="B341" s="1" t="inlineStr">
        <is>
          <t>BOMBONA [52055030]</t>
        </is>
      </c>
      <c r="C341" s="1" t="n">
        <v>1.184361111</v>
      </c>
      <c r="D341" s="1" t="n">
        <v>-77.46511111</v>
      </c>
      <c r="E341" s="1" t="n">
        <v>1493</v>
      </c>
      <c r="F341" s="1" t="inlineStr">
        <is>
          <t>Consacá</t>
        </is>
      </c>
      <c r="G341" s="1" t="inlineStr">
        <is>
          <t>Nariño</t>
        </is>
      </c>
      <c r="H341" s="39" t="n">
        <v>31</v>
      </c>
      <c r="I341" s="1" t="n">
        <v>1983</v>
      </c>
      <c r="J341" s="1" t="n">
        <v>23</v>
      </c>
      <c r="K341" s="39" t="n">
        <v>32.6</v>
      </c>
      <c r="L341" s="1" t="n">
        <v>2010</v>
      </c>
      <c r="M341" s="1" t="n">
        <v>4</v>
      </c>
      <c r="N341" s="39" t="n">
        <v>32.5</v>
      </c>
      <c r="O341" s="1" t="n">
        <v>2024</v>
      </c>
      <c r="P341" s="1" t="n">
        <v>19</v>
      </c>
      <c r="Q341" s="39" t="n">
        <v>31.8</v>
      </c>
      <c r="R341" s="1" t="n">
        <v>2010</v>
      </c>
      <c r="S341" s="1" t="n">
        <v>22</v>
      </c>
      <c r="T341" s="39" t="n">
        <v>31</v>
      </c>
      <c r="U341" s="1" t="n">
        <v>2001</v>
      </c>
      <c r="V341" s="1" t="n">
        <v>1</v>
      </c>
      <c r="W341" s="39" t="n">
        <v>31</v>
      </c>
      <c r="X341" s="1" t="n">
        <v>1983</v>
      </c>
      <c r="Y341" s="1" t="n">
        <v>20</v>
      </c>
      <c r="Z341" s="39" t="n">
        <v>32</v>
      </c>
      <c r="AA341" s="1" t="n">
        <v>1978</v>
      </c>
      <c r="AB341" s="1" t="n">
        <v>21</v>
      </c>
      <c r="AC341" s="39" t="n">
        <v>31.8</v>
      </c>
      <c r="AD341" s="1" t="n">
        <v>2024</v>
      </c>
      <c r="AE341" s="1" t="n">
        <v>31</v>
      </c>
      <c r="AF341" s="39" t="n">
        <v>32.7</v>
      </c>
      <c r="AG341" s="1" t="n">
        <v>2019</v>
      </c>
      <c r="AH341" s="1" t="n">
        <v>26</v>
      </c>
      <c r="AI341" s="39" t="n">
        <v>32.4</v>
      </c>
      <c r="AJ341" s="1" t="n">
        <v>2001</v>
      </c>
      <c r="AK341" s="1" t="n">
        <v>11</v>
      </c>
      <c r="AL341" s="39" t="n">
        <v>31.8</v>
      </c>
      <c r="AM341" s="1" t="n">
        <v>2001</v>
      </c>
      <c r="AN341" s="1" t="n">
        <v>10</v>
      </c>
      <c r="AO341" s="39" t="n">
        <v>30.5</v>
      </c>
      <c r="AP341" s="1" t="n">
        <v>2023</v>
      </c>
      <c r="AQ341" s="1" t="n">
        <v>12</v>
      </c>
    </row>
    <row r="342" ht="14.45" customHeight="1">
      <c r="A342" s="1" t="n">
        <v>52055060</v>
      </c>
      <c r="B342" s="1" t="inlineStr">
        <is>
          <t>TANAMA [52055060]</t>
        </is>
      </c>
      <c r="C342" s="1" t="n">
        <v>1.373555556</v>
      </c>
      <c r="D342" s="1" t="n">
        <v>-77.58305556000001</v>
      </c>
      <c r="E342" s="1" t="n">
        <v>1500</v>
      </c>
      <c r="F342" s="1" t="inlineStr">
        <is>
          <t>Samaniego</t>
        </is>
      </c>
      <c r="G342" s="1" t="inlineStr">
        <is>
          <t>Nariño</t>
        </is>
      </c>
      <c r="H342" s="39" t="n">
        <v>31.8</v>
      </c>
      <c r="I342" s="1" t="n">
        <v>1998</v>
      </c>
      <c r="J342" s="1" t="n">
        <v>11</v>
      </c>
      <c r="K342" s="39" t="n">
        <v>33</v>
      </c>
      <c r="L342" s="1" t="n">
        <v>1998</v>
      </c>
      <c r="M342" s="1" t="n">
        <v>1</v>
      </c>
      <c r="N342" s="39" t="n">
        <v>32.8</v>
      </c>
      <c r="O342" s="1" t="n">
        <v>1979</v>
      </c>
      <c r="P342" s="1" t="n">
        <v>10</v>
      </c>
      <c r="Q342" s="39" t="n">
        <v>31.8</v>
      </c>
      <c r="R342" s="1" t="n">
        <v>2016</v>
      </c>
      <c r="S342" s="1" t="n">
        <v>6</v>
      </c>
      <c r="T342" s="39" t="n">
        <v>30.2</v>
      </c>
      <c r="U342" s="1" t="n">
        <v>2023</v>
      </c>
      <c r="V342" s="1" t="n">
        <v>18</v>
      </c>
      <c r="W342" s="39" t="n">
        <v>31.6</v>
      </c>
      <c r="X342" s="1" t="n">
        <v>1985</v>
      </c>
      <c r="Y342" s="1" t="n">
        <v>19</v>
      </c>
      <c r="Z342" s="39" t="n">
        <v>31.4</v>
      </c>
      <c r="AA342" s="1" t="n">
        <v>2015</v>
      </c>
      <c r="AB342" s="1" t="n">
        <v>1</v>
      </c>
      <c r="AC342" s="39" t="n">
        <v>32.6</v>
      </c>
      <c r="AD342" s="1" t="n">
        <v>2024</v>
      </c>
      <c r="AE342" s="1" t="n">
        <v>30</v>
      </c>
      <c r="AF342" s="39" t="n">
        <v>32.4</v>
      </c>
      <c r="AG342" s="1" t="n">
        <v>2015</v>
      </c>
      <c r="AH342" s="1" t="n">
        <v>12</v>
      </c>
      <c r="AI342" s="39" t="n">
        <v>31.4</v>
      </c>
      <c r="AJ342" s="1" t="n">
        <v>2014</v>
      </c>
      <c r="AK342" s="1" t="n">
        <v>5</v>
      </c>
      <c r="AL342" s="39" t="n">
        <v>31</v>
      </c>
      <c r="AM342" s="1" t="n">
        <v>2015</v>
      </c>
      <c r="AN342" s="1" t="n">
        <v>13</v>
      </c>
      <c r="AO342" s="39" t="n">
        <v>32</v>
      </c>
      <c r="AP342" s="1" t="n">
        <v>2015</v>
      </c>
      <c r="AQ342" s="1" t="n">
        <v>31</v>
      </c>
    </row>
    <row r="343" ht="14.45" customHeight="1">
      <c r="A343" s="1" t="n">
        <v>52055090</v>
      </c>
      <c r="B343" s="1" t="inlineStr">
        <is>
          <t>SINDAGUA [52055090]</t>
        </is>
      </c>
      <c r="C343" s="1" t="n">
        <v>1.107583333</v>
      </c>
      <c r="D343" s="1" t="n">
        <v>-77.38936111</v>
      </c>
      <c r="E343" s="1" t="n">
        <v>2800</v>
      </c>
      <c r="F343" s="1" t="inlineStr">
        <is>
          <t>Tangua</t>
        </is>
      </c>
      <c r="G343" s="1" t="inlineStr">
        <is>
          <t>Nariño</t>
        </is>
      </c>
      <c r="H343" s="39" t="n">
        <v>24</v>
      </c>
      <c r="I343" s="1" t="n">
        <v>2016</v>
      </c>
      <c r="J343" s="1" t="n">
        <v>23</v>
      </c>
      <c r="K343" s="39" t="n">
        <v>23</v>
      </c>
      <c r="L343" s="1" t="n">
        <v>1995</v>
      </c>
      <c r="M343" s="1" t="n">
        <v>14</v>
      </c>
      <c r="N343" s="39" t="n">
        <v>22.8</v>
      </c>
      <c r="O343" s="1" t="n">
        <v>1992</v>
      </c>
      <c r="P343" s="1" t="n">
        <v>23</v>
      </c>
      <c r="Q343" s="39" t="n">
        <v>23</v>
      </c>
      <c r="R343" s="1" t="n">
        <v>2024</v>
      </c>
      <c r="S343" s="1" t="n">
        <v>16</v>
      </c>
      <c r="T343" s="39" t="n">
        <v>22</v>
      </c>
      <c r="U343" s="1" t="n">
        <v>2023</v>
      </c>
      <c r="V343" s="1" t="n">
        <v>11</v>
      </c>
      <c r="W343" s="39" t="n">
        <v>22</v>
      </c>
      <c r="X343" s="1" t="n">
        <v>1998</v>
      </c>
      <c r="Y343" s="1" t="n">
        <v>17</v>
      </c>
      <c r="Z343" s="39" t="n">
        <v>21.2</v>
      </c>
      <c r="AA343" s="1" t="n">
        <v>2001</v>
      </c>
      <c r="AB343" s="1" t="n">
        <v>16</v>
      </c>
      <c r="AC343" s="39" t="n">
        <v>23.8</v>
      </c>
      <c r="AD343" s="1" t="n">
        <v>1997</v>
      </c>
      <c r="AE343" s="1" t="n">
        <v>30</v>
      </c>
      <c r="AF343" s="39" t="n">
        <v>24.8</v>
      </c>
      <c r="AG343" s="1" t="n">
        <v>1996</v>
      </c>
      <c r="AH343" s="1" t="n">
        <v>4</v>
      </c>
      <c r="AI343" s="39" t="n">
        <v>24.1</v>
      </c>
      <c r="AJ343" s="1" t="n">
        <v>2023</v>
      </c>
      <c r="AK343" s="1" t="n">
        <v>22</v>
      </c>
      <c r="AL343" s="39" t="n">
        <v>23.8</v>
      </c>
      <c r="AM343" s="1" t="n">
        <v>2020</v>
      </c>
      <c r="AN343" s="1" t="n">
        <v>4</v>
      </c>
      <c r="AO343" s="39" t="n">
        <v>22</v>
      </c>
      <c r="AP343" s="1" t="n">
        <v>2017</v>
      </c>
      <c r="AQ343" s="1" t="n">
        <v>14</v>
      </c>
    </row>
    <row r="344" ht="14.45" customHeight="1">
      <c r="A344" s="1" t="n">
        <v>52055200</v>
      </c>
      <c r="B344" s="1" t="inlineStr">
        <is>
          <t>FUNES [52055200]</t>
        </is>
      </c>
      <c r="C344" s="1" t="n">
        <v>1.004222222</v>
      </c>
      <c r="D344" s="1" t="n">
        <v>-77.44580556</v>
      </c>
      <c r="E344" s="1" t="n">
        <v>2181</v>
      </c>
      <c r="F344" s="1" t="inlineStr">
        <is>
          <t>Funes</t>
        </is>
      </c>
      <c r="G344" s="1" t="inlineStr">
        <is>
          <t>Nariño</t>
        </is>
      </c>
      <c r="H344" s="39" t="n">
        <v>27.2</v>
      </c>
      <c r="I344" s="1" t="n">
        <v>2016</v>
      </c>
      <c r="J344" s="1" t="n">
        <v>23</v>
      </c>
      <c r="K344" s="39" t="n">
        <v>26.6</v>
      </c>
      <c r="L344" s="1" t="n">
        <v>2016</v>
      </c>
      <c r="M344" s="1" t="n">
        <v>2</v>
      </c>
      <c r="N344" s="39" t="n">
        <v>26</v>
      </c>
      <c r="O344" s="1" t="n">
        <v>2024</v>
      </c>
      <c r="P344" s="1" t="n">
        <v>20</v>
      </c>
      <c r="Q344" s="39" t="n">
        <v>25.8</v>
      </c>
      <c r="R344" s="1" t="n">
        <v>2013</v>
      </c>
      <c r="S344" s="1" t="n">
        <v>17</v>
      </c>
      <c r="T344" s="39" t="n">
        <v>26.2</v>
      </c>
      <c r="U344" s="1" t="n">
        <v>2015</v>
      </c>
      <c r="V344" s="1" t="n">
        <v>3</v>
      </c>
      <c r="W344" s="39" t="n">
        <v>25.6</v>
      </c>
      <c r="X344" s="1" t="n">
        <v>2024</v>
      </c>
      <c r="Y344" s="1" t="n">
        <v>2</v>
      </c>
      <c r="Z344" s="39" t="n">
        <v>25</v>
      </c>
      <c r="AA344" s="1" t="n">
        <v>2019</v>
      </c>
      <c r="AB344" s="1" t="n">
        <v>4</v>
      </c>
      <c r="AC344" s="39" t="n">
        <v>25.4</v>
      </c>
      <c r="AD344" s="1" t="n">
        <v>2022</v>
      </c>
      <c r="AE344" s="1" t="n">
        <v>17</v>
      </c>
      <c r="AF344" s="39" t="n">
        <v>27.6</v>
      </c>
      <c r="AG344" s="1" t="n">
        <v>2023</v>
      </c>
      <c r="AH344" s="1" t="n">
        <v>28</v>
      </c>
      <c r="AI344" s="39" t="n">
        <v>27.4</v>
      </c>
      <c r="AJ344" s="1" t="n">
        <v>2018</v>
      </c>
      <c r="AK344" s="1" t="n">
        <v>1</v>
      </c>
      <c r="AL344" s="39" t="n">
        <v>29.6</v>
      </c>
      <c r="AM344" s="1" t="n">
        <v>2015</v>
      </c>
      <c r="AN344" s="1" t="n">
        <v>11</v>
      </c>
      <c r="AO344" s="39" t="n">
        <v>25.8</v>
      </c>
      <c r="AP344" s="1" t="n">
        <v>2022</v>
      </c>
      <c r="AQ344" s="1" t="n">
        <v>23</v>
      </c>
    </row>
    <row r="345" ht="14.45" customHeight="1">
      <c r="A345" s="1" t="n">
        <v>52055210</v>
      </c>
      <c r="B345" s="1" t="inlineStr">
        <is>
          <t>BOTANA - AUT [52055210]</t>
        </is>
      </c>
      <c r="C345" s="1" t="n">
        <v>1.16</v>
      </c>
      <c r="D345" s="1" t="n">
        <v>-77.27880556</v>
      </c>
      <c r="E345" s="1" t="n">
        <v>2820</v>
      </c>
      <c r="F345" s="1" t="inlineStr">
        <is>
          <t>Pasto</t>
        </is>
      </c>
      <c r="G345" s="1" t="inlineStr">
        <is>
          <t>Nariño</t>
        </is>
      </c>
      <c r="H345" s="39" t="n">
        <v>23.6</v>
      </c>
      <c r="I345" s="1" t="n">
        <v>2016</v>
      </c>
      <c r="J345" s="1" t="n">
        <v>27</v>
      </c>
      <c r="K345" s="39" t="n">
        <v>22.8</v>
      </c>
      <c r="L345" s="1" t="n">
        <v>2016</v>
      </c>
      <c r="M345" s="1" t="n">
        <v>27</v>
      </c>
      <c r="N345" s="39" t="n">
        <v>24</v>
      </c>
      <c r="O345" s="1" t="n">
        <v>2024</v>
      </c>
      <c r="P345" s="1" t="n">
        <v>20</v>
      </c>
      <c r="Q345" s="39" t="n">
        <v>23.2</v>
      </c>
      <c r="R345" s="1" t="n">
        <v>2016</v>
      </c>
      <c r="S345" s="1" t="n">
        <v>14</v>
      </c>
      <c r="T345" s="39" t="n">
        <v>22.8</v>
      </c>
      <c r="U345" s="1" t="n">
        <v>2016</v>
      </c>
      <c r="V345" s="1" t="n">
        <v>30</v>
      </c>
      <c r="W345" s="39" t="n">
        <v>22.2</v>
      </c>
      <c r="X345" s="1" t="n">
        <v>2024</v>
      </c>
      <c r="Y345" s="1" t="n">
        <v>2</v>
      </c>
      <c r="Z345" s="39" t="n">
        <v>21.8</v>
      </c>
      <c r="AA345" s="1" t="n">
        <v>2017</v>
      </c>
      <c r="AB345" s="1" t="n">
        <v>16</v>
      </c>
      <c r="AC345" s="39" t="n">
        <v>22.2</v>
      </c>
      <c r="AD345" s="1" t="n">
        <v>2023</v>
      </c>
      <c r="AE345" s="1" t="n">
        <v>20</v>
      </c>
      <c r="AF345" s="39" t="n">
        <v>23.4</v>
      </c>
      <c r="AG345" s="1" t="n">
        <v>2023</v>
      </c>
      <c r="AH345" s="1" t="n">
        <v>27</v>
      </c>
      <c r="AI345" s="39" t="n">
        <v>23.8</v>
      </c>
      <c r="AJ345" s="1" t="n">
        <v>2023</v>
      </c>
      <c r="AK345" s="1" t="n">
        <v>7</v>
      </c>
      <c r="AL345" s="39" t="n">
        <v>22.8</v>
      </c>
      <c r="AM345" s="1" t="n">
        <v>2020</v>
      </c>
      <c r="AN345" s="1" t="n">
        <v>4</v>
      </c>
      <c r="AO345" s="39" t="n">
        <v>23.2</v>
      </c>
      <c r="AP345" s="1" t="n">
        <v>2025</v>
      </c>
      <c r="AQ345" s="1" t="n">
        <v>15</v>
      </c>
    </row>
    <row r="346" ht="14.45" customHeight="1">
      <c r="A346" s="1" t="n">
        <v>52055220</v>
      </c>
      <c r="B346" s="1" t="inlineStr">
        <is>
          <t>EL PARAISO - AUT [52055220]</t>
        </is>
      </c>
      <c r="C346" s="1" t="n">
        <v>1.070707855</v>
      </c>
      <c r="D346" s="1" t="n">
        <v>-77.636935689</v>
      </c>
      <c r="E346" s="1" t="n">
        <v>3033</v>
      </c>
      <c r="F346" s="1" t="inlineStr">
        <is>
          <t>Túquerres</t>
        </is>
      </c>
      <c r="G346" s="1" t="inlineStr">
        <is>
          <t>Nariño</t>
        </is>
      </c>
      <c r="H346" s="39" t="n">
        <v>21.4</v>
      </c>
      <c r="I346" s="1" t="n">
        <v>2024</v>
      </c>
      <c r="J346" s="1" t="n">
        <v>26</v>
      </c>
      <c r="K346" s="39" t="n">
        <v>20.8</v>
      </c>
      <c r="L346" s="1" t="n">
        <v>2024</v>
      </c>
      <c r="M346" s="1" t="n">
        <v>29</v>
      </c>
      <c r="N346" s="39" t="n">
        <v>20.6</v>
      </c>
      <c r="O346" s="1" t="n">
        <v>2024</v>
      </c>
      <c r="P346" s="1" t="n">
        <v>20</v>
      </c>
      <c r="Q346" s="39" t="n">
        <v>20.8</v>
      </c>
      <c r="R346" s="1" t="n">
        <v>2024</v>
      </c>
      <c r="S346" s="1" t="n">
        <v>16</v>
      </c>
      <c r="T346" s="39" t="n">
        <v>21</v>
      </c>
      <c r="U346" s="1" t="n">
        <v>2024</v>
      </c>
      <c r="V346" s="1" t="n">
        <v>12</v>
      </c>
      <c r="W346" s="39" t="n">
        <v>19.6</v>
      </c>
      <c r="X346" s="1" t="n">
        <v>2024</v>
      </c>
      <c r="Y346" s="1" t="n">
        <v>2</v>
      </c>
      <c r="Z346" s="39" t="n">
        <v>19.4</v>
      </c>
      <c r="AA346" s="1" t="n">
        <v>2019</v>
      </c>
      <c r="AB346" s="1" t="n">
        <v>4</v>
      </c>
      <c r="AC346" s="39" t="n">
        <v>19.8</v>
      </c>
      <c r="AD346" s="1" t="n">
        <v>2023</v>
      </c>
      <c r="AE346" s="1" t="n">
        <v>18</v>
      </c>
      <c r="AF346" s="39" t="n">
        <v>21.2</v>
      </c>
      <c r="AG346" s="1" t="n">
        <v>2018</v>
      </c>
      <c r="AH346" s="1" t="n">
        <v>30</v>
      </c>
      <c r="AI346" s="39" t="n">
        <v>21.8</v>
      </c>
      <c r="AJ346" s="1" t="n">
        <v>2023</v>
      </c>
      <c r="AK346" s="1" t="n">
        <v>23</v>
      </c>
      <c r="AL346" s="39" t="n">
        <v>21</v>
      </c>
      <c r="AM346" s="1" t="n">
        <v>2020</v>
      </c>
      <c r="AN346" s="1" t="n">
        <v>4</v>
      </c>
      <c r="AO346" s="39" t="n">
        <v>19.8</v>
      </c>
      <c r="AP346" s="1" t="n">
        <v>2019</v>
      </c>
      <c r="AQ346" s="1" t="n">
        <v>29</v>
      </c>
    </row>
    <row r="347" ht="14.45" customHeight="1">
      <c r="A347" s="1" t="n">
        <v>52055230</v>
      </c>
      <c r="B347" s="1" t="inlineStr">
        <is>
          <t>AEROPUERTO SAN LUIS - AUT [52055230]</t>
        </is>
      </c>
      <c r="C347" s="1" t="n">
        <v>0.8570833329999999</v>
      </c>
      <c r="D347" s="1" t="n">
        <v>-77.67775</v>
      </c>
      <c r="E347" s="1" t="n">
        <v>2961</v>
      </c>
      <c r="F347" s="1" t="inlineStr">
        <is>
          <t>Aldana</t>
        </is>
      </c>
      <c r="G347" s="1" t="inlineStr">
        <is>
          <t>Nariño</t>
        </is>
      </c>
      <c r="H347" s="39" t="n">
        <v>23.4</v>
      </c>
      <c r="I347" s="1" t="n">
        <v>2016</v>
      </c>
      <c r="J347" s="1" t="n">
        <v>27</v>
      </c>
      <c r="K347" s="39" t="n">
        <v>22.4</v>
      </c>
      <c r="L347" s="1" t="n">
        <v>1995</v>
      </c>
      <c r="M347" s="1" t="n">
        <v>9</v>
      </c>
      <c r="N347" s="39" t="n">
        <v>22.4</v>
      </c>
      <c r="O347" s="1" t="n">
        <v>2016</v>
      </c>
      <c r="P347" s="1" t="n">
        <v>9</v>
      </c>
      <c r="Q347" s="39" t="n">
        <v>22.4</v>
      </c>
      <c r="R347" s="1" t="n">
        <v>2010</v>
      </c>
      <c r="S347" s="1" t="n">
        <v>2</v>
      </c>
      <c r="T347" s="39" t="n">
        <v>21</v>
      </c>
      <c r="U347" s="1" t="n">
        <v>2016</v>
      </c>
      <c r="V347" s="1" t="n">
        <v>6</v>
      </c>
      <c r="W347" s="39" t="n">
        <v>19.4</v>
      </c>
      <c r="X347" s="1" t="n">
        <v>2016</v>
      </c>
      <c r="Y347" s="1" t="n">
        <v>5</v>
      </c>
      <c r="Z347" s="39" t="n">
        <v>20</v>
      </c>
      <c r="AA347" s="1" t="n">
        <v>2017</v>
      </c>
      <c r="AB347" s="1" t="n">
        <v>16</v>
      </c>
      <c r="AC347" s="39" t="n">
        <v>20.6</v>
      </c>
      <c r="AD347" s="1" t="n">
        <v>2023</v>
      </c>
      <c r="AE347" s="1" t="n">
        <v>19</v>
      </c>
      <c r="AF347" s="39" t="n">
        <v>20.8</v>
      </c>
      <c r="AG347" s="1" t="n">
        <v>2010</v>
      </c>
      <c r="AH347" s="1" t="n">
        <v>29</v>
      </c>
      <c r="AI347" s="39" t="n">
        <v>21.4</v>
      </c>
      <c r="AJ347" s="1" t="n">
        <v>2001</v>
      </c>
      <c r="AK347" s="1" t="n">
        <v>19</v>
      </c>
      <c r="AL347" s="39" t="n">
        <v>21.6</v>
      </c>
      <c r="AM347" s="1" t="n">
        <v>2024</v>
      </c>
      <c r="AN347" s="1" t="n">
        <v>6</v>
      </c>
      <c r="AO347" s="39" t="n">
        <v>21.3</v>
      </c>
      <c r="AP347" s="1" t="n">
        <v>1985</v>
      </c>
      <c r="AQ347" s="1" t="n">
        <v>1</v>
      </c>
    </row>
    <row r="348" ht="14.45" customHeight="1">
      <c r="A348" s="1" t="n">
        <v>52065020</v>
      </c>
      <c r="B348" s="1" t="inlineStr">
        <is>
          <t>BARBACOAS [52065020]</t>
        </is>
      </c>
      <c r="C348" s="1" t="n">
        <v>1.67</v>
      </c>
      <c r="D348" s="1" t="n">
        <v>-78.14</v>
      </c>
      <c r="E348" s="1" t="n">
        <v>32</v>
      </c>
      <c r="F348" s="1" t="inlineStr">
        <is>
          <t>Barbacoas</t>
        </is>
      </c>
      <c r="G348" s="1" t="inlineStr">
        <is>
          <t>Nariño</t>
        </is>
      </c>
      <c r="H348" s="39" t="n">
        <v>35</v>
      </c>
      <c r="I348" s="1" t="n">
        <v>1979</v>
      </c>
      <c r="J348" s="1" t="n">
        <v>17</v>
      </c>
      <c r="K348" s="39" t="n">
        <v>34.8</v>
      </c>
      <c r="L348" s="1" t="n">
        <v>1995</v>
      </c>
      <c r="M348" s="1" t="n">
        <v>22</v>
      </c>
      <c r="N348" s="39" t="n">
        <v>34.8</v>
      </c>
      <c r="O348" s="1" t="n">
        <v>1980</v>
      </c>
      <c r="P348" s="1" t="n">
        <v>15</v>
      </c>
      <c r="Q348" s="39" t="n">
        <v>35.2</v>
      </c>
      <c r="R348" s="1" t="n">
        <v>1980</v>
      </c>
      <c r="S348" s="1" t="n">
        <v>18</v>
      </c>
      <c r="T348" s="39" t="n">
        <v>36.6</v>
      </c>
      <c r="U348" s="1" t="n">
        <v>2001</v>
      </c>
      <c r="V348" s="1" t="n">
        <v>8</v>
      </c>
      <c r="W348" s="39" t="n">
        <v>33.2</v>
      </c>
      <c r="X348" s="1" t="n">
        <v>2002</v>
      </c>
      <c r="Y348" s="1" t="n">
        <v>22</v>
      </c>
      <c r="Z348" s="39" t="n">
        <v>34</v>
      </c>
      <c r="AA348" s="1" t="n">
        <v>2011</v>
      </c>
      <c r="AB348" s="1" t="n">
        <v>19</v>
      </c>
      <c r="AC348" s="39" t="n">
        <v>33.8</v>
      </c>
      <c r="AD348" s="1" t="n">
        <v>2000</v>
      </c>
      <c r="AE348" s="1" t="n">
        <v>13</v>
      </c>
      <c r="AF348" s="39" t="n">
        <v>33.2</v>
      </c>
      <c r="AG348" s="1" t="n">
        <v>2008</v>
      </c>
      <c r="AH348" s="1" t="n">
        <v>1</v>
      </c>
      <c r="AI348" s="39" t="n">
        <v>32.8</v>
      </c>
      <c r="AJ348" s="1" t="n">
        <v>1979</v>
      </c>
      <c r="AK348" s="1" t="n">
        <v>30</v>
      </c>
      <c r="AL348" s="39" t="n">
        <v>34.6</v>
      </c>
      <c r="AM348" s="1" t="n">
        <v>1986</v>
      </c>
      <c r="AN348" s="1" t="n">
        <v>20</v>
      </c>
      <c r="AO348" s="39" t="n">
        <v>33.6</v>
      </c>
      <c r="AP348" s="1" t="n">
        <v>1993</v>
      </c>
      <c r="AQ348" s="1" t="n">
        <v>27</v>
      </c>
    </row>
    <row r="349" ht="14.45" customHeight="1">
      <c r="A349" s="1" t="n">
        <v>53115010</v>
      </c>
      <c r="B349" s="1" t="inlineStr">
        <is>
          <t>AEROPUERTO BUENAVENTUR [53115010]</t>
        </is>
      </c>
      <c r="C349" s="1" t="n">
        <v>3.820111111</v>
      </c>
      <c r="D349" s="1" t="n">
        <v>-76.992388889</v>
      </c>
      <c r="E349" s="1" t="n">
        <v>28</v>
      </c>
      <c r="F349" s="1" t="inlineStr">
        <is>
          <t>Buenaventura</t>
        </is>
      </c>
      <c r="G349" s="1" t="inlineStr">
        <is>
          <t>Valle Del Cauca</t>
        </is>
      </c>
      <c r="H349" s="39" t="n">
        <v>34</v>
      </c>
      <c r="I349" s="1" t="n">
        <v>2010</v>
      </c>
      <c r="J349" s="1" t="n">
        <v>21</v>
      </c>
      <c r="K349" s="39" t="n">
        <v>34.4</v>
      </c>
      <c r="L349" s="1" t="n">
        <v>1998</v>
      </c>
      <c r="M349" s="1" t="n">
        <v>4</v>
      </c>
      <c r="N349" s="39" t="n">
        <v>34.6</v>
      </c>
      <c r="O349" s="1" t="n">
        <v>1987</v>
      </c>
      <c r="P349" s="1" t="n">
        <v>6</v>
      </c>
      <c r="Q349" s="39" t="n">
        <v>35</v>
      </c>
      <c r="R349" s="1" t="n">
        <v>1987</v>
      </c>
      <c r="S349" s="1" t="n">
        <v>19</v>
      </c>
      <c r="T349" s="39" t="n">
        <v>34.8</v>
      </c>
      <c r="U349" s="1" t="n">
        <v>1987</v>
      </c>
      <c r="V349" s="1" t="n">
        <v>4</v>
      </c>
      <c r="W349" s="39" t="n">
        <v>34.4</v>
      </c>
      <c r="X349" s="1" t="n">
        <v>1987</v>
      </c>
      <c r="Y349" s="1" t="n">
        <v>13</v>
      </c>
      <c r="Z349" s="39" t="n">
        <v>34.2</v>
      </c>
      <c r="AA349" s="1" t="n">
        <v>2014</v>
      </c>
      <c r="AB349" s="1" t="n">
        <v>8</v>
      </c>
      <c r="AC349" s="39" t="n">
        <v>34.4</v>
      </c>
      <c r="AD349" s="1" t="n">
        <v>1987</v>
      </c>
      <c r="AE349" s="1" t="n">
        <v>15</v>
      </c>
      <c r="AF349" s="39" t="n">
        <v>33.6</v>
      </c>
      <c r="AG349" s="1" t="n">
        <v>1987</v>
      </c>
      <c r="AH349" s="1" t="n">
        <v>10</v>
      </c>
      <c r="AI349" s="39" t="n">
        <v>33.2</v>
      </c>
      <c r="AJ349" s="1" t="n">
        <v>1987</v>
      </c>
      <c r="AK349" s="1" t="n">
        <v>3</v>
      </c>
      <c r="AL349" s="39" t="n">
        <v>33.6</v>
      </c>
      <c r="AM349" s="1" t="n">
        <v>1987</v>
      </c>
      <c r="AN349" s="1" t="n">
        <v>3</v>
      </c>
      <c r="AO349" s="39" t="n">
        <v>34.4</v>
      </c>
      <c r="AP349" s="1" t="n">
        <v>1997</v>
      </c>
      <c r="AQ349" s="1" t="n">
        <v>31</v>
      </c>
    </row>
    <row r="350" ht="14.45" customHeight="1">
      <c r="A350" s="1" t="n">
        <v>54025010</v>
      </c>
      <c r="B350" s="1" t="inlineStr">
        <is>
          <t>SAN JOSE PALMAR [54025010]</t>
        </is>
      </c>
      <c r="C350" s="1" t="n">
        <v>4.898083333</v>
      </c>
      <c r="D350" s="1" t="n">
        <v>-76.67666666700001</v>
      </c>
      <c r="E350" s="1" t="n">
        <v>1115</v>
      </c>
      <c r="F350" s="1" t="inlineStr">
        <is>
          <t>Nóvita</t>
        </is>
      </c>
      <c r="G350" s="1" t="inlineStr">
        <is>
          <t>Choco</t>
        </is>
      </c>
      <c r="H350" s="39" t="n">
        <v>28.8</v>
      </c>
      <c r="I350" s="1" t="n">
        <v>1989</v>
      </c>
      <c r="J350" s="1" t="n">
        <v>15</v>
      </c>
      <c r="K350" s="39" t="n">
        <v>29</v>
      </c>
      <c r="L350" s="1" t="n">
        <v>1998</v>
      </c>
      <c r="M350" s="1" t="n">
        <v>17</v>
      </c>
      <c r="N350" s="39" t="n">
        <v>29</v>
      </c>
      <c r="O350" s="1" t="n">
        <v>1997</v>
      </c>
      <c r="P350" s="1" t="n">
        <v>24</v>
      </c>
      <c r="Q350" s="39" t="n">
        <v>29</v>
      </c>
      <c r="R350" s="1" t="n">
        <v>2025</v>
      </c>
      <c r="S350" s="1" t="n">
        <v>8</v>
      </c>
      <c r="T350" s="39" t="n">
        <v>29</v>
      </c>
      <c r="U350" s="1" t="n">
        <v>1997</v>
      </c>
      <c r="V350" s="1" t="n">
        <v>22</v>
      </c>
      <c r="W350" s="39" t="n">
        <v>29</v>
      </c>
      <c r="X350" s="1" t="n">
        <v>2021</v>
      </c>
      <c r="Y350" s="1" t="n">
        <v>29</v>
      </c>
      <c r="Z350" s="39" t="n">
        <v>29</v>
      </c>
      <c r="AA350" s="1" t="n">
        <v>1997</v>
      </c>
      <c r="AB350" s="1" t="n">
        <v>22</v>
      </c>
      <c r="AC350" s="39" t="n">
        <v>29</v>
      </c>
      <c r="AD350" s="1" t="n">
        <v>1997</v>
      </c>
      <c r="AE350" s="1" t="n">
        <v>30</v>
      </c>
      <c r="AF350" s="39" t="n">
        <v>29</v>
      </c>
      <c r="AG350" s="1" t="n">
        <v>2023</v>
      </c>
      <c r="AH350" s="1" t="n">
        <v>2</v>
      </c>
      <c r="AI350" s="39" t="n">
        <v>28.6</v>
      </c>
      <c r="AJ350" s="1" t="n">
        <v>2009</v>
      </c>
      <c r="AK350" s="1" t="n">
        <v>15</v>
      </c>
      <c r="AL350" s="39" t="n">
        <v>28</v>
      </c>
      <c r="AM350" s="1" t="n">
        <v>2023</v>
      </c>
      <c r="AN350" s="1" t="n">
        <v>25</v>
      </c>
      <c r="AO350" s="39" t="n">
        <v>28.4</v>
      </c>
      <c r="AP350" s="1" t="n">
        <v>1997</v>
      </c>
      <c r="AQ350" s="1" t="n">
        <v>24</v>
      </c>
    </row>
    <row r="351" ht="14.45" customHeight="1">
      <c r="A351" s="1" t="n">
        <v>54075020</v>
      </c>
      <c r="B351" s="1" t="inlineStr">
        <is>
          <t>BAJO CALIMA [54075020]</t>
        </is>
      </c>
      <c r="C351" s="1" t="n">
        <v>3.953555556</v>
      </c>
      <c r="D351" s="1" t="n">
        <v>-76.99044444</v>
      </c>
      <c r="E351" s="1" t="n">
        <v>66</v>
      </c>
      <c r="F351" s="1" t="inlineStr">
        <is>
          <t>Buenaventura</t>
        </is>
      </c>
      <c r="G351" s="1" t="inlineStr">
        <is>
          <t>Valle Del Cauca</t>
        </is>
      </c>
      <c r="H351" s="39" t="n">
        <v>36</v>
      </c>
      <c r="I351" s="1" t="n">
        <v>2018</v>
      </c>
      <c r="J351" s="1" t="n">
        <v>10</v>
      </c>
      <c r="K351" s="39" t="n">
        <v>35</v>
      </c>
      <c r="L351" s="1" t="n">
        <v>1997</v>
      </c>
      <c r="M351" s="1" t="n">
        <v>6</v>
      </c>
      <c r="N351" s="39" t="n">
        <v>35</v>
      </c>
      <c r="O351" s="1" t="n">
        <v>2022</v>
      </c>
      <c r="P351" s="1" t="n">
        <v>16</v>
      </c>
      <c r="Q351" s="39" t="n">
        <v>35</v>
      </c>
      <c r="R351" s="1" t="n">
        <v>2025</v>
      </c>
      <c r="S351" s="1" t="n">
        <v>7</v>
      </c>
      <c r="T351" s="39" t="n">
        <v>35</v>
      </c>
      <c r="U351" s="1" t="n">
        <v>1998</v>
      </c>
      <c r="V351" s="1" t="n">
        <v>12</v>
      </c>
      <c r="W351" s="39" t="n">
        <v>35</v>
      </c>
      <c r="X351" s="1" t="n">
        <v>2015</v>
      </c>
      <c r="Y351" s="1" t="n">
        <v>25</v>
      </c>
      <c r="Z351" s="39" t="n">
        <v>35</v>
      </c>
      <c r="AA351" s="1" t="n">
        <v>2017</v>
      </c>
      <c r="AB351" s="1" t="n">
        <v>4</v>
      </c>
      <c r="AC351" s="39" t="n">
        <v>35</v>
      </c>
      <c r="AD351" s="1" t="n">
        <v>2017</v>
      </c>
      <c r="AE351" s="1" t="n">
        <v>22</v>
      </c>
      <c r="AF351" s="39" t="n">
        <v>33.6</v>
      </c>
      <c r="AG351" s="1" t="n">
        <v>1997</v>
      </c>
      <c r="AH351" s="1" t="n">
        <v>24</v>
      </c>
      <c r="AI351" s="39" t="n">
        <v>34.8</v>
      </c>
      <c r="AJ351" s="1" t="n">
        <v>2015</v>
      </c>
      <c r="AK351" s="1" t="n">
        <v>19</v>
      </c>
      <c r="AL351" s="39" t="n">
        <v>34.2</v>
      </c>
      <c r="AM351" s="1" t="n">
        <v>2012</v>
      </c>
      <c r="AN351" s="1" t="n">
        <v>11</v>
      </c>
      <c r="AO351" s="39" t="n">
        <v>34.4</v>
      </c>
      <c r="AP351" s="1" t="n">
        <v>2017</v>
      </c>
      <c r="AQ351" s="1" t="n">
        <v>22</v>
      </c>
    </row>
    <row r="352" ht="14.45" customHeight="1">
      <c r="A352" s="1" t="n">
        <v>54075040</v>
      </c>
      <c r="B352" s="1" t="inlineStr">
        <is>
          <t>MISION LA [54075040]</t>
        </is>
      </c>
      <c r="C352" s="1" t="n">
        <v>4.2225</v>
      </c>
      <c r="D352" s="1" t="n">
        <v>-77.27633333</v>
      </c>
      <c r="E352" s="1" t="n">
        <v>14</v>
      </c>
      <c r="F352" s="1" t="inlineStr">
        <is>
          <t>Buenaventura</t>
        </is>
      </c>
      <c r="G352" s="1" t="inlineStr">
        <is>
          <t>Valle Del Cauca</t>
        </is>
      </c>
      <c r="H352" s="39" t="n">
        <v>34.4</v>
      </c>
      <c r="I352" s="1" t="n">
        <v>2019</v>
      </c>
      <c r="J352" s="1" t="n">
        <v>8</v>
      </c>
      <c r="K352" s="39" t="n">
        <v>37</v>
      </c>
      <c r="L352" s="1" t="n">
        <v>2015</v>
      </c>
      <c r="M352" s="1" t="n">
        <v>27</v>
      </c>
      <c r="N352" s="39" t="n">
        <v>36.2</v>
      </c>
      <c r="O352" s="1" t="n">
        <v>2015</v>
      </c>
      <c r="P352" s="1" t="n">
        <v>21</v>
      </c>
      <c r="Q352" s="39" t="n">
        <v>34</v>
      </c>
      <c r="R352" s="1" t="n">
        <v>1998</v>
      </c>
      <c r="S352" s="1" t="n">
        <v>1</v>
      </c>
      <c r="T352" s="39" t="n">
        <v>34.6</v>
      </c>
      <c r="U352" s="1" t="n">
        <v>2015</v>
      </c>
      <c r="V352" s="1" t="n">
        <v>6</v>
      </c>
      <c r="W352" s="39" t="n">
        <v>34.4</v>
      </c>
      <c r="X352" s="1" t="n">
        <v>2015</v>
      </c>
      <c r="Y352" s="1" t="n">
        <v>23</v>
      </c>
      <c r="Z352" s="39" t="n">
        <v>37</v>
      </c>
      <c r="AA352" s="1" t="n">
        <v>1996</v>
      </c>
      <c r="AB352" s="1" t="n">
        <v>22</v>
      </c>
      <c r="AC352" s="39" t="n">
        <v>34.2</v>
      </c>
      <c r="AD352" s="1" t="n">
        <v>1997</v>
      </c>
      <c r="AE352" s="1" t="n">
        <v>3</v>
      </c>
      <c r="AF352" s="39" t="n">
        <v>33</v>
      </c>
      <c r="AG352" s="1" t="n">
        <v>1997</v>
      </c>
      <c r="AH352" s="1" t="n">
        <v>15</v>
      </c>
      <c r="AI352" s="39" t="n">
        <v>32.6</v>
      </c>
      <c r="AJ352" s="1" t="n">
        <v>1997</v>
      </c>
      <c r="AK352" s="1" t="n">
        <v>10</v>
      </c>
      <c r="AL352" s="39" t="n">
        <v>33</v>
      </c>
      <c r="AM352" s="1" t="n">
        <v>1997</v>
      </c>
      <c r="AN352" s="1" t="n">
        <v>27</v>
      </c>
      <c r="AO352" s="39" t="n">
        <v>35.4</v>
      </c>
      <c r="AP352" s="1" t="n">
        <v>1997</v>
      </c>
      <c r="AQ352" s="1" t="n">
        <v>30</v>
      </c>
    </row>
    <row r="353" ht="14.45" customHeight="1">
      <c r="A353" s="1" t="n">
        <v>54085010</v>
      </c>
      <c r="B353" s="1" t="inlineStr">
        <is>
          <t>NOANAMA [54085010]</t>
        </is>
      </c>
      <c r="C353" s="1" t="n">
        <v>4.688194444</v>
      </c>
      <c r="D353" s="1" t="n">
        <v>-76.93425000000001</v>
      </c>
      <c r="E353" s="1" t="n">
        <v>28</v>
      </c>
      <c r="F353" s="1" t="inlineStr">
        <is>
          <t>Medio San Juan</t>
        </is>
      </c>
      <c r="G353" s="1" t="inlineStr">
        <is>
          <t>Choco</t>
        </is>
      </c>
      <c r="H353" s="39" t="n">
        <v>34.6</v>
      </c>
      <c r="I353" s="1" t="n">
        <v>1998</v>
      </c>
      <c r="J353" s="1" t="n">
        <v>9</v>
      </c>
      <c r="K353" s="39" t="n">
        <v>35</v>
      </c>
      <c r="L353" s="1" t="n">
        <v>1995</v>
      </c>
      <c r="M353" s="1" t="n">
        <v>24</v>
      </c>
      <c r="N353" s="39" t="n">
        <v>35</v>
      </c>
      <c r="O353" s="1" t="n">
        <v>1995</v>
      </c>
      <c r="P353" s="1" t="n">
        <v>14</v>
      </c>
      <c r="Q353" s="39" t="n">
        <v>35</v>
      </c>
      <c r="R353" s="1" t="n">
        <v>1983</v>
      </c>
      <c r="S353" s="1" t="n">
        <v>24</v>
      </c>
      <c r="T353" s="39" t="n">
        <v>35</v>
      </c>
      <c r="U353" s="1" t="n">
        <v>1995</v>
      </c>
      <c r="V353" s="1" t="n">
        <v>1</v>
      </c>
      <c r="W353" s="39" t="n">
        <v>35</v>
      </c>
      <c r="X353" s="1" t="n">
        <v>2015</v>
      </c>
      <c r="Y353" s="1" t="n">
        <v>22</v>
      </c>
      <c r="Z353" s="39" t="n">
        <v>36</v>
      </c>
      <c r="AA353" s="1" t="n">
        <v>2015</v>
      </c>
      <c r="AB353" s="1" t="n">
        <v>25</v>
      </c>
      <c r="AC353" s="39" t="n">
        <v>35</v>
      </c>
      <c r="AD353" s="1" t="n">
        <v>2006</v>
      </c>
      <c r="AE353" s="1" t="n">
        <v>3</v>
      </c>
      <c r="AF353" s="39" t="n">
        <v>36</v>
      </c>
      <c r="AG353" s="1" t="n">
        <v>1999</v>
      </c>
      <c r="AH353" s="1" t="n">
        <v>21</v>
      </c>
      <c r="AI353" s="39" t="n">
        <v>35</v>
      </c>
      <c r="AJ353" s="1" t="n">
        <v>1997</v>
      </c>
      <c r="AK353" s="1" t="n">
        <v>10</v>
      </c>
      <c r="AL353" s="39" t="n">
        <v>34</v>
      </c>
      <c r="AM353" s="1" t="n">
        <v>1995</v>
      </c>
      <c r="AN353" s="1" t="n">
        <v>16</v>
      </c>
      <c r="AO353" s="39" t="n">
        <v>34.5</v>
      </c>
      <c r="AP353" s="1" t="n">
        <v>1997</v>
      </c>
      <c r="AQ353" s="1" t="n">
        <v>12</v>
      </c>
    </row>
    <row r="354" ht="14.45" customHeight="1">
      <c r="A354" s="1" t="n">
        <v>2125500032</v>
      </c>
      <c r="B354" s="1" t="inlineStr">
        <is>
          <t>MARIQUITA  [2125500032]</t>
        </is>
      </c>
      <c r="C354" s="1" t="n">
        <v>5.170052</v>
      </c>
      <c r="D354" s="1" t="n">
        <v>-74.890866</v>
      </c>
      <c r="E354" s="1" t="n">
        <v>437</v>
      </c>
      <c r="F354" s="1" t="inlineStr">
        <is>
          <t>Mariquita</t>
        </is>
      </c>
      <c r="G354" s="1" t="inlineStr">
        <is>
          <t>Tolima</t>
        </is>
      </c>
      <c r="H354" s="39" t="n">
        <v>36.8</v>
      </c>
      <c r="I354" s="1" t="n">
        <v>2024</v>
      </c>
      <c r="J354" s="1" t="n">
        <v>26</v>
      </c>
      <c r="K354" s="39" t="n">
        <v>37.4</v>
      </c>
      <c r="L354" s="1" t="n">
        <v>2020</v>
      </c>
      <c r="M354" s="1" t="n">
        <v>12</v>
      </c>
      <c r="N354" s="39" t="n">
        <v>38</v>
      </c>
      <c r="O354" s="1" t="n">
        <v>2018</v>
      </c>
      <c r="P354" s="1" t="n">
        <v>12</v>
      </c>
      <c r="Q354" s="39" t="n">
        <v>37</v>
      </c>
      <c r="R354" s="1" t="n">
        <v>2020</v>
      </c>
      <c r="S354" s="1" t="n">
        <v>8</v>
      </c>
      <c r="T354" s="39" t="n">
        <v>35.4</v>
      </c>
      <c r="U354" s="1" t="n">
        <v>2020</v>
      </c>
      <c r="V354" s="1" t="n">
        <v>10</v>
      </c>
      <c r="W354" s="39" t="n">
        <v>35.2</v>
      </c>
      <c r="X354" s="1" t="n">
        <v>2019</v>
      </c>
      <c r="Y354" s="1" t="n">
        <v>27</v>
      </c>
      <c r="Z354" s="39" t="n">
        <v>36.4</v>
      </c>
      <c r="AA354" s="1" t="n">
        <v>2024</v>
      </c>
      <c r="AB354" s="1" t="n">
        <v>29</v>
      </c>
      <c r="AC354" s="39" t="n">
        <v>38.2</v>
      </c>
      <c r="AD354" s="1" t="n">
        <v>2019</v>
      </c>
      <c r="AE354" s="1" t="n">
        <v>27</v>
      </c>
      <c r="AF354" s="39" t="n">
        <v>38.4</v>
      </c>
      <c r="AG354" s="1" t="n">
        <v>2019</v>
      </c>
      <c r="AH354" s="1" t="n">
        <v>11</v>
      </c>
      <c r="AI354" s="39" t="n">
        <v>35.4</v>
      </c>
      <c r="AJ354" s="1" t="n">
        <v>2018</v>
      </c>
      <c r="AK354" s="1" t="n">
        <v>8</v>
      </c>
      <c r="AL354" s="39" t="n">
        <v>33.8</v>
      </c>
      <c r="AM354" s="1" t="n">
        <v>2018</v>
      </c>
      <c r="AN354" s="1" t="n">
        <v>8</v>
      </c>
      <c r="AO354" s="39" t="n">
        <v>35</v>
      </c>
      <c r="AP354" s="1" t="n">
        <v>2019</v>
      </c>
      <c r="AQ354" s="1" t="n">
        <v>25</v>
      </c>
    </row>
    <row r="355" ht="14.45" customHeight="1">
      <c r="A355" s="1" t="n">
        <v>2502500007</v>
      </c>
      <c r="B355" s="1" t="inlineStr">
        <is>
          <t>LOS CAIMANES  [2502500007]</t>
        </is>
      </c>
      <c r="C355" s="1" t="n">
        <v>8.115911111000001</v>
      </c>
      <c r="D355" s="1" t="n">
        <v>-75.4134</v>
      </c>
      <c r="E355" s="1" t="n">
        <v>72</v>
      </c>
      <c r="F355" s="1" t="inlineStr">
        <is>
          <t>Buenavista</t>
        </is>
      </c>
      <c r="G355" s="1" t="inlineStr">
        <is>
          <t>Cordoba</t>
        </is>
      </c>
      <c r="H355" s="39" t="n">
        <v>37</v>
      </c>
      <c r="I355" s="1" t="n">
        <v>2019</v>
      </c>
      <c r="J355" s="1" t="n">
        <v>20</v>
      </c>
      <c r="K355" s="39" t="n">
        <v>38.2</v>
      </c>
      <c r="L355" s="1" t="n">
        <v>2019</v>
      </c>
      <c r="M355" s="1" t="n">
        <v>21</v>
      </c>
      <c r="N355" s="39" t="n">
        <v>38.4</v>
      </c>
      <c r="O355" s="1" t="n">
        <v>2019</v>
      </c>
      <c r="P355" s="1" t="n">
        <v>13</v>
      </c>
      <c r="Q355" s="39" t="n">
        <v>37.4</v>
      </c>
      <c r="R355" s="1" t="n">
        <v>2021</v>
      </c>
      <c r="S355" s="1" t="n">
        <v>21</v>
      </c>
      <c r="T355" s="39" t="n">
        <v>37.2</v>
      </c>
      <c r="U355" s="1" t="n">
        <v>2019</v>
      </c>
      <c r="V355" s="1" t="n">
        <v>5</v>
      </c>
      <c r="W355" s="39" t="n">
        <v>37.2</v>
      </c>
      <c r="X355" s="1" t="n">
        <v>2019</v>
      </c>
      <c r="Y355" s="1" t="n">
        <v>22</v>
      </c>
      <c r="Z355" s="39" t="n">
        <v>36.8</v>
      </c>
      <c r="AA355" s="1" t="n">
        <v>2019</v>
      </c>
      <c r="AB355" s="1" t="n">
        <v>5</v>
      </c>
      <c r="AC355" s="39" t="n">
        <v>36.6</v>
      </c>
      <c r="AD355" s="1" t="n">
        <v>2019</v>
      </c>
      <c r="AE355" s="1" t="n">
        <v>4</v>
      </c>
      <c r="AF355" s="39" t="n">
        <v>36.4</v>
      </c>
      <c r="AG355" s="1" t="n">
        <v>2019</v>
      </c>
      <c r="AH355" s="1" t="n">
        <v>11</v>
      </c>
      <c r="AI355" s="39" t="n">
        <v>36.4</v>
      </c>
      <c r="AJ355" s="1" t="n">
        <v>2019</v>
      </c>
      <c r="AK355" s="1" t="n">
        <v>27</v>
      </c>
      <c r="AL355" s="39" t="n">
        <v>36.3</v>
      </c>
      <c r="AM355" s="1" t="n">
        <v>2017</v>
      </c>
      <c r="AN355" s="1" t="n">
        <v>5</v>
      </c>
      <c r="AO355" s="39" t="n">
        <v>36.2</v>
      </c>
      <c r="AP355" s="1" t="n">
        <v>2018</v>
      </c>
      <c r="AQ355" s="1" t="n">
        <v>29</v>
      </c>
    </row>
    <row r="356" ht="14.45" customHeight="1">
      <c r="A356" s="1" t="n">
        <v>3502500006</v>
      </c>
      <c r="B356" s="1" t="inlineStr">
        <is>
          <t>MORICHAL   [3502500006]</t>
        </is>
      </c>
      <c r="C356" s="1" t="n">
        <v>3.932547222</v>
      </c>
      <c r="D356" s="1" t="n">
        <v>-73.24296388899999</v>
      </c>
      <c r="E356" s="1" t="n">
        <v>277</v>
      </c>
      <c r="F356" s="1" t="inlineStr">
        <is>
          <t>San Carlos De Guaroa</t>
        </is>
      </c>
      <c r="G356" s="1" t="inlineStr">
        <is>
          <t>Meta</t>
        </is>
      </c>
      <c r="H356" s="39" t="n">
        <v>37</v>
      </c>
      <c r="I356" s="1" t="n">
        <v>2024</v>
      </c>
      <c r="J356" s="1" t="n">
        <v>30</v>
      </c>
      <c r="K356" s="39" t="n">
        <v>37</v>
      </c>
      <c r="L356" s="1" t="n">
        <v>2019</v>
      </c>
      <c r="M356" s="1" t="n">
        <v>21</v>
      </c>
      <c r="N356" s="39" t="n">
        <v>37</v>
      </c>
      <c r="O356" s="1" t="n">
        <v>2020</v>
      </c>
      <c r="P356" s="1" t="n">
        <v>6</v>
      </c>
      <c r="Q356" s="39" t="n">
        <v>36.6</v>
      </c>
      <c r="R356" s="1" t="n">
        <v>2024</v>
      </c>
      <c r="S356" s="1" t="n">
        <v>15</v>
      </c>
      <c r="T356" s="39" t="n">
        <v>34.6</v>
      </c>
      <c r="U356" s="1" t="n">
        <v>2024</v>
      </c>
      <c r="V356" s="1" t="n">
        <v>7</v>
      </c>
      <c r="W356" s="39" t="n">
        <v>33</v>
      </c>
      <c r="X356" s="1" t="n">
        <v>2018</v>
      </c>
      <c r="Y356" s="1" t="n">
        <v>12</v>
      </c>
      <c r="Z356" s="39" t="n">
        <v>33.4</v>
      </c>
      <c r="AA356" s="1" t="n">
        <v>2023</v>
      </c>
      <c r="AB356" s="1" t="n">
        <v>26</v>
      </c>
      <c r="AC356" s="39" t="n">
        <v>35.4</v>
      </c>
      <c r="AD356" s="1" t="n">
        <v>2023</v>
      </c>
      <c r="AE356" s="1" t="n">
        <v>26</v>
      </c>
      <c r="AF356" s="39" t="n">
        <v>35.8</v>
      </c>
      <c r="AG356" s="1" t="n">
        <v>2024</v>
      </c>
      <c r="AH356" s="1" t="n">
        <v>16</v>
      </c>
      <c r="AI356" s="39" t="n">
        <v>35.4</v>
      </c>
      <c r="AJ356" s="1" t="n">
        <v>2023</v>
      </c>
      <c r="AK356" s="1" t="n">
        <v>2</v>
      </c>
      <c r="AL356" s="39" t="n">
        <v>35.8</v>
      </c>
      <c r="AM356" s="1" t="n">
        <v>2018</v>
      </c>
      <c r="AN356" s="1" t="n">
        <v>26</v>
      </c>
      <c r="AO356" s="39" t="n">
        <v>36</v>
      </c>
      <c r="AP356" s="1" t="n">
        <v>2020</v>
      </c>
      <c r="AQ356" s="1" t="n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3" sqref="A3:D3"/>
    </sheetView>
  </sheetViews>
  <sheetFormatPr baseColWidth="10" defaultColWidth="11.42578125" defaultRowHeight="12.75"/>
  <cols>
    <col width="11.42578125" customWidth="1" style="42" min="1" max="2"/>
    <col width="73.140625" customWidth="1" style="42" min="3" max="3"/>
    <col width="11.42578125" customWidth="1" style="42" min="4" max="148"/>
    <col width="11.42578125" customWidth="1" style="42" min="149" max="16384"/>
  </cols>
  <sheetData>
    <row r="1">
      <c r="A1" s="41" t="inlineStr">
        <is>
          <t>Fecha</t>
        </is>
      </c>
      <c r="B1" s="41" t="inlineStr">
        <is>
          <t>Hoja</t>
        </is>
      </c>
      <c r="C1" s="41" t="inlineStr">
        <is>
          <t>Descripción</t>
        </is>
      </c>
      <c r="D1" s="41" t="inlineStr">
        <is>
          <t>Responsale</t>
        </is>
      </c>
    </row>
    <row r="2" ht="38.25" customHeight="1">
      <c r="A2" s="43" t="n">
        <v>46071</v>
      </c>
      <c r="B2" s="44" t="inlineStr">
        <is>
          <t>Temperatura</t>
        </is>
      </c>
      <c r="C2" s="45" t="inlineStr">
        <is>
          <t>Se ajusto formula de MAX_MES, agregando condicionante para las estaciones que no presentan datos en el periodo de tiempo evaluado, se ajusta formula de RECORD_DIA con el fin de definir que se evalue el ultimo dato evaluado.</t>
        </is>
      </c>
      <c r="D2" s="44" t="inlineStr">
        <is>
          <t>ntoussaint</t>
        </is>
      </c>
    </row>
    <row r="3" ht="51" customHeight="1">
      <c r="A3" s="43" t="n">
        <v>46076</v>
      </c>
      <c r="B3" s="44" t="inlineStr">
        <is>
          <t>Temperatura</t>
        </is>
      </c>
      <c r="C3" s="45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      </is>
      </c>
      <c r="D3" s="44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2026-09-20T14:18:26Z</dcterms:modified>
  <cp:lastModifiedBy>Araminta Vega Burgos</cp:lastModifiedBy>
  <cp:lastPrinted>2017-06-11T12:02:38Z</cp:lastPrinted>
</cp:coreProperties>
</file>