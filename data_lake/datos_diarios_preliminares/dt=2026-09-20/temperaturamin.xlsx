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Climatologia" sheetId="2" state="visible" r:id="rId2"/>
    <sheet xmlns:r="http://schemas.openxmlformats.org/officeDocument/2006/relationships" name="Minimos" sheetId="3" state="visible" r:id="rId3"/>
    <sheet xmlns:r="http://schemas.openxmlformats.org/officeDocument/2006/relationships" name="Control_Cambios" sheetId="4" state="hidden" r:id="rId4"/>
  </sheets>
  <definedNames>
    <definedName name="_xlnm.Print_Area" localSheetId="0">'Temperatura'!$B$4:$R$29</definedName>
    <definedName name="_xlnm._FilterDatabase" localSheetId="1" hidden="1">'Climatologia'!$A$2:$X$345</definedName>
    <definedName name="_xlnm._FilterDatabase" localSheetId="2" hidden="1">'Minimos'!$A$1:$AQ$356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Courier"/>
      <sz val="12"/>
    </font>
    <font>
      <name val="Calibri"/>
      <family val="2"/>
      <color theme="1"/>
      <sz val="12"/>
      <scheme val="minor"/>
    </font>
    <font>
      <name val="Arial"/>
      <family val="2"/>
      <color rgb="FFFF0000"/>
      <sz val="11"/>
    </font>
    <font>
      <name val="Arial"/>
      <family val="2"/>
      <color theme="1"/>
      <sz val="11"/>
    </font>
  </fonts>
  <fills count="32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" fontId="38" fillId="0" borderId="15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1" fontId="38" fillId="0" borderId="19" applyAlignment="1" pivotButton="0" quotePrefix="0" xfId="0">
      <alignment horizontal="center" vertical="center"/>
    </xf>
    <xf numFmtId="0" fontId="0" fillId="0" borderId="12" pivotButton="0" quotePrefix="0" xfId="0"/>
    <xf numFmtId="0" fontId="40" fillId="0" borderId="12" pivotButton="0" quotePrefix="0" xfId="0"/>
    <xf numFmtId="166" fontId="0" fillId="0" borderId="12" pivotButton="0" quotePrefix="0" xfId="0"/>
    <xf numFmtId="0" fontId="29" fillId="0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2" fontId="42" fillId="25" borderId="12" applyAlignment="1" pivotButton="0" quotePrefix="0" xfId="0">
      <alignment horizontal="center"/>
    </xf>
    <xf numFmtId="0" fontId="42" fillId="25" borderId="12" applyAlignment="1" pivotButton="0" quotePrefix="0" xfId="0">
      <alignment horizontal="center"/>
    </xf>
    <xf numFmtId="166" fontId="42" fillId="0" borderId="12" applyAlignment="1" pivotButton="0" quotePrefix="0" xfId="0">
      <alignment horizontal="right" vertical="center"/>
    </xf>
    <xf numFmtId="1" fontId="42" fillId="0" borderId="12" applyAlignment="1" pivotButton="0" quotePrefix="0" xfId="0">
      <alignment horizontal="left" vertical="center"/>
    </xf>
    <xf numFmtId="2" fontId="42" fillId="0" borderId="12" applyAlignment="1" pivotButton="0" quotePrefix="0" xfId="0">
      <alignment horizontal="center"/>
    </xf>
    <xf numFmtId="0" fontId="42" fillId="0" borderId="12" applyAlignment="1" pivotButton="0" quotePrefix="0" xfId="0">
      <alignment horizontal="center"/>
    </xf>
    <xf numFmtId="0" fontId="42" fillId="0" borderId="12" applyAlignment="1" pivotButton="0" quotePrefix="0" xfId="0">
      <alignment horizontal="left" vertical="center"/>
    </xf>
    <xf numFmtId="0" fontId="41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0" fontId="42" fillId="25" borderId="12" applyAlignment="1" pivotButton="0" quotePrefix="0" xfId="0">
      <alignment horizontal="left"/>
    </xf>
    <xf numFmtId="0" fontId="42" fillId="0" borderId="12" applyAlignment="1" pivotButton="0" quotePrefix="0" xfId="0">
      <alignment horizontal="left"/>
    </xf>
    <xf numFmtId="1" fontId="43" fillId="26" borderId="12" applyAlignment="1" pivotButton="0" quotePrefix="0" xfId="0">
      <alignment horizontal="center" vertical="center" wrapText="1"/>
    </xf>
    <xf numFmtId="0" fontId="43" fillId="26" borderId="12" applyAlignment="1" pivotButton="0" quotePrefix="0" xfId="0">
      <alignment horizontal="center" vertical="center"/>
    </xf>
    <xf numFmtId="168" fontId="43" fillId="26" borderId="12" applyAlignment="1" pivotButton="0" quotePrefix="0" xfId="0">
      <alignment horizontal="center" vertical="center"/>
    </xf>
    <xf numFmtId="1" fontId="43" fillId="26" borderId="12" applyAlignment="1" pivotButton="0" quotePrefix="0" xfId="0">
      <alignment horizontal="center" vertical="center"/>
    </xf>
    <xf numFmtId="166" fontId="43" fillId="26" borderId="12" applyAlignment="1" pivotButton="0" quotePrefix="0" xfId="0">
      <alignment horizontal="center" vertical="center" wrapText="1"/>
    </xf>
    <xf numFmtId="0" fontId="43" fillId="26" borderId="12" applyAlignment="1" pivotButton="0" quotePrefix="0" xfId="0">
      <alignment horizontal="center" vertical="center" wrapText="1"/>
    </xf>
    <xf numFmtId="166" fontId="43" fillId="26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/>
    </xf>
    <xf numFmtId="0" fontId="45" fillId="0" borderId="0" applyAlignment="1" pivotButton="0" quotePrefix="0" xfId="0">
      <alignment horizontal="left" vertical="center"/>
    </xf>
    <xf numFmtId="0" fontId="42" fillId="0" borderId="0" pivotButton="0" quotePrefix="0" xfId="0"/>
    <xf numFmtId="0" fontId="46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/>
    </xf>
    <xf numFmtId="0" fontId="42" fillId="0" borderId="0" applyAlignment="1" pivotButton="0" quotePrefix="0" xfId="0">
      <alignment horizontal="center" vertical="center"/>
    </xf>
    <xf numFmtId="166" fontId="42" fillId="0" borderId="0" pivotButton="0" quotePrefix="0" xfId="0"/>
    <xf numFmtId="166" fontId="43" fillId="0" borderId="0" applyAlignment="1" pivotButton="0" quotePrefix="0" xfId="0">
      <alignment horizontal="center"/>
    </xf>
    <xf numFmtId="166" fontId="43" fillId="0" borderId="0" pivotButton="0" quotePrefix="0" xfId="0"/>
    <xf numFmtId="1" fontId="43" fillId="28" borderId="12" applyAlignment="1" pivotButton="0" quotePrefix="0" xfId="0">
      <alignment horizontal="center"/>
    </xf>
    <xf numFmtId="0" fontId="43" fillId="28" borderId="12" applyAlignment="1" pivotButton="0" quotePrefix="0" xfId="0">
      <alignment horizontal="center"/>
    </xf>
    <xf numFmtId="49" fontId="43" fillId="28" borderId="12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5" fillId="0" borderId="0" applyAlignment="1" pivotButton="0" quotePrefix="0" xfId="0">
      <alignment horizontal="right" vertical="center"/>
    </xf>
    <xf numFmtId="0" fontId="43" fillId="0" borderId="0" applyAlignment="1" pivotButton="0" quotePrefix="0" xfId="0">
      <alignment horizontal="center"/>
    </xf>
    <xf numFmtId="1" fontId="42" fillId="0" borderId="12" applyAlignment="1" pivotButton="0" quotePrefix="0" xfId="0">
      <alignment horizontal="center"/>
    </xf>
    <xf numFmtId="166" fontId="42" fillId="0" borderId="12" applyAlignment="1" pivotButton="0" quotePrefix="0" xfId="0">
      <alignment horizontal="center"/>
    </xf>
    <xf numFmtId="166" fontId="42" fillId="0" borderId="12" applyAlignment="1" pivotButton="0" quotePrefix="0" xfId="0">
      <alignment horizontal="center" vertical="center"/>
    </xf>
    <xf numFmtId="14" fontId="42" fillId="0" borderId="12" applyAlignment="1" pivotButton="0" quotePrefix="0" xfId="0">
      <alignment horizontal="center" vertical="center"/>
    </xf>
    <xf numFmtId="169" fontId="42" fillId="0" borderId="12" applyAlignment="1" pivotButton="0" quotePrefix="0" xfId="0">
      <alignment horizontal="center" vertical="center"/>
    </xf>
    <xf numFmtId="2" fontId="42" fillId="0" borderId="12" applyAlignment="1" pivotButton="0" quotePrefix="0" xfId="0">
      <alignment horizontal="center" vertical="center"/>
    </xf>
    <xf numFmtId="1" fontId="42" fillId="0" borderId="0" pivotButton="0" quotePrefix="0" xfId="0"/>
    <xf numFmtId="0" fontId="42" fillId="0" borderId="0" applyAlignment="1" pivotButton="0" quotePrefix="0" xfId="0">
      <alignment horizontal="right" vertical="center"/>
    </xf>
    <xf numFmtId="166" fontId="42" fillId="0" borderId="0" applyAlignment="1" pivotButton="0" quotePrefix="0" xfId="0">
      <alignment horizontal="right" vertical="center"/>
    </xf>
    <xf numFmtId="166" fontId="44" fillId="28" borderId="12" applyAlignment="1" pivotButton="0" quotePrefix="0" xfId="0">
      <alignment horizontal="center"/>
    </xf>
    <xf numFmtId="0" fontId="42" fillId="29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2" fontId="42" fillId="29" borderId="12" applyAlignment="1" pivotButton="0" quotePrefix="0" xfId="0">
      <alignment horizontal="center"/>
    </xf>
    <xf numFmtId="0" fontId="42" fillId="29" borderId="12" applyAlignment="1" pivotButton="0" quotePrefix="0" xfId="0">
      <alignment horizontal="center"/>
    </xf>
    <xf numFmtId="0" fontId="42" fillId="29" borderId="12" applyAlignment="1" pivotButton="0" quotePrefix="0" xfId="0">
      <alignment horizontal="left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0" fontId="2" fillId="0" borderId="0" pivotButton="0" quotePrefix="0" xfId="94"/>
    <xf numFmtId="166" fontId="42" fillId="0" borderId="12" applyAlignment="1" pivotButton="0" quotePrefix="0" xfId="94">
      <alignment horizontal="right" vertical="center"/>
    </xf>
    <xf numFmtId="0" fontId="43" fillId="26" borderId="12" applyAlignment="1" pivotButton="0" quotePrefix="0" xfId="94">
      <alignment horizontal="center" vertical="center"/>
    </xf>
    <xf numFmtId="0" fontId="42" fillId="0" borderId="0" applyAlignment="1" pivotButton="0" quotePrefix="0" xfId="94">
      <alignment horizontal="center" vertical="center"/>
    </xf>
    <xf numFmtId="0" fontId="45" fillId="0" borderId="0" applyAlignment="1" pivotButton="0" quotePrefix="0" xfId="94">
      <alignment vertical="center"/>
    </xf>
    <xf numFmtId="166" fontId="42" fillId="29" borderId="12" applyAlignment="1" pivotButton="0" quotePrefix="0" xfId="94">
      <alignment horizontal="right" vertical="center"/>
    </xf>
    <xf numFmtId="166" fontId="42" fillId="31" borderId="12" applyAlignment="1" pivotButton="0" quotePrefix="0" xfId="0">
      <alignment horizontal="right" vertical="center"/>
    </xf>
    <xf numFmtId="166" fontId="42" fillId="31" borderId="12" applyAlignment="1" pivotButton="0" quotePrefix="0" xfId="94">
      <alignment horizontal="right" vertical="center"/>
    </xf>
    <xf numFmtId="0" fontId="42" fillId="31" borderId="0" pivotButton="0" quotePrefix="0" xfId="0"/>
    <xf numFmtId="166" fontId="49" fillId="0" borderId="12" applyAlignment="1" pivotButton="0" quotePrefix="0" xfId="0">
      <alignment horizontal="right" vertical="center"/>
    </xf>
    <xf numFmtId="166" fontId="50" fillId="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  <xf numFmtId="0" fontId="4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40" fillId="0" borderId="12" applyAlignment="1" pivotButton="0" quotePrefix="0" xfId="0">
      <alignment horizontal="center"/>
    </xf>
    <xf numFmtId="0" fontId="0" fillId="0" borderId="29" pivotButton="0" quotePrefix="0" xfId="0"/>
    <xf numFmtId="0" fontId="0" fillId="0" borderId="15" pivotButton="0" quotePrefix="0" xfId="0"/>
  </cellXfs>
  <cellStyles count="111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  <cellStyle name="Normal 8" xfId="84"/>
    <cellStyle name="Euro 3" xfId="85"/>
    <cellStyle name="Euro 2 2" xfId="86"/>
    <cellStyle name="Millares 2 2" xfId="87"/>
    <cellStyle name="Millares 3 2" xfId="88"/>
    <cellStyle name="Millares 4 2" xfId="89"/>
    <cellStyle name="Millares 5 2" xfId="90"/>
    <cellStyle name="Millares 6 2" xfId="91"/>
    <cellStyle name="Millares 7 2" xfId="92"/>
    <cellStyle name="Normal 2 4" xfId="93"/>
    <cellStyle name="Normal 2 2 2" xfId="94"/>
    <cellStyle name="Normal 3 2 2" xfId="95"/>
    <cellStyle name="Notas 2 2" xfId="96"/>
    <cellStyle name="Porcentual 2 2" xfId="97"/>
    <cellStyle name="Porcentaje 2" xfId="98"/>
    <cellStyle name="Normal 5 2" xfId="99"/>
    <cellStyle name="Normal 2 3 2" xfId="100"/>
    <cellStyle name="Normal 7 2" xfId="101"/>
    <cellStyle name="Normal 6 2" xfId="102"/>
    <cellStyle name="Normal 9" xfId="103"/>
    <cellStyle name="Normal 2 5" xfId="104"/>
    <cellStyle name="Normal 3 4" xfId="105"/>
    <cellStyle name="Normal 4 3" xfId="106"/>
    <cellStyle name="Normal 3 3" xfId="107"/>
    <cellStyle name="Normal 5 3" xfId="108"/>
    <cellStyle name="Moneda 2" xfId="109"/>
    <cellStyle name="Normal 2 2 3" xfId="110"/>
  </cellStyles>
  <dxfs count="17">
    <dxf>
      <font>
        <b val="1"/>
        <color theme="5" tint="-0.249946592608417"/>
      </font>
      <fill>
        <patternFill>
          <bgColor theme="5" tint="0.5999633777886288"/>
        </patternFill>
      </fill>
    </dxf>
    <dxf>
      <font>
        <b val="1"/>
        <color theme="4" tint="-0.249946592608417"/>
      </font>
      <fill>
        <patternFill>
          <bgColor theme="4" tint="0.5999633777886288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X208"/>
  <sheetViews>
    <sheetView tabSelected="1" topLeftCell="J1" zoomScale="96" zoomScaleNormal="96" workbookViewId="0">
      <selection activeCell="AF9" sqref="AF9"/>
    </sheetView>
  </sheetViews>
  <sheetFormatPr baseColWidth="10" defaultColWidth="32.42578125" defaultRowHeight="15"/>
  <cols>
    <col width="16.7109375" customWidth="1" style="94" min="1" max="1"/>
    <col width="36.28515625" customWidth="1" style="74" min="2" max="2"/>
    <col width="52" customWidth="1" style="74" min="3" max="3"/>
    <col width="16.5703125" bestFit="1" customWidth="1" style="74" min="4" max="4"/>
    <col width="11.7109375" customWidth="1" style="74" min="5" max="5"/>
    <col width="9.140625" customWidth="1" style="74" min="6" max="6"/>
    <col width="13.85546875" customWidth="1" style="74" min="7" max="7"/>
    <col width="20.140625" customWidth="1" style="74" min="8" max="8"/>
    <col width="58.7109375" bestFit="1" customWidth="1" style="74" min="9" max="9"/>
    <col width="31" bestFit="1" customWidth="1" style="74" min="10" max="10"/>
    <col width="7.28515625" customWidth="1" style="74" min="11" max="41"/>
    <col width="15.5703125" customWidth="1" style="78" min="42" max="42"/>
    <col width="20.7109375" customWidth="1" style="78" min="43" max="43"/>
    <col width="24.85546875" customWidth="1" style="79" min="44" max="44"/>
    <col width="13.28515625" bestFit="1" customWidth="1" style="80" min="45" max="45"/>
    <col width="13.7109375" customWidth="1" style="74" min="46" max="46"/>
    <col width="20.42578125" bestFit="1" customWidth="1" style="74" min="47" max="47"/>
    <col width="15" customWidth="1" style="74" min="48" max="48"/>
    <col width="15.42578125" bestFit="1" customWidth="1" style="74" min="49" max="49"/>
    <col width="32.42578125" customWidth="1" style="74" min="50" max="188"/>
    <col width="32.42578125" customWidth="1" style="74" min="189" max="16384"/>
  </cols>
  <sheetData>
    <row r="1">
      <c r="A1" s="73" t="n"/>
      <c r="G1" s="75" t="n"/>
      <c r="H1" s="75" t="n"/>
      <c r="I1" s="76" t="n"/>
      <c r="J1" s="75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113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T1" s="80" t="n"/>
      <c r="AU1" s="80" t="n"/>
      <c r="AV1" s="80" t="n"/>
      <c r="AW1" s="80" t="n"/>
    </row>
    <row r="2">
      <c r="A2" s="81" t="inlineStr">
        <is>
          <t>VARIABLE</t>
        </is>
      </c>
      <c r="B2" s="82" t="inlineStr">
        <is>
          <t>TEMPERATURA MINIMA (°C)</t>
        </is>
      </c>
      <c r="C2" s="83" t="inlineStr">
        <is>
          <t>MES</t>
        </is>
      </c>
      <c r="D2" s="82">
        <f>VLOOKUP(E2,Minimos!AS1:AU13,2,FALSE)</f>
        <v/>
      </c>
      <c r="E2" s="82" t="n">
        <v>9</v>
      </c>
      <c r="F2" s="82" t="inlineStr">
        <is>
          <t>AÑO</t>
        </is>
      </c>
      <c r="G2" s="82" t="n">
        <v>2026</v>
      </c>
      <c r="H2" s="72" t="inlineStr">
        <is>
          <t>DIAS</t>
        </is>
      </c>
      <c r="I2" s="72">
        <f>VLOOKUP(E2,Minimos!AS1:AU13,3,FALSE)</f>
        <v/>
      </c>
      <c r="J2" s="72" t="inlineStr">
        <is>
          <t>Mínima</t>
        </is>
      </c>
      <c r="K2" s="89">
        <f>MIN(K5:K207)</f>
        <v/>
      </c>
      <c r="L2" s="89">
        <f>MIN(L5:L207)</f>
        <v/>
      </c>
      <c r="M2" s="89">
        <f>MIN(M5:M207)</f>
        <v/>
      </c>
      <c r="N2" s="89">
        <f>MIN(N5:N207)</f>
        <v/>
      </c>
      <c r="O2" s="89">
        <f>MIN(O5:O207)</f>
        <v/>
      </c>
      <c r="P2" s="89">
        <f>MIN(P5:P207)</f>
        <v/>
      </c>
      <c r="Q2" s="89">
        <f>MIN(Q5:Q207)</f>
        <v/>
      </c>
      <c r="R2" s="89">
        <f>MIN(R5:R207)</f>
        <v/>
      </c>
      <c r="S2" s="89">
        <f>MIN(S5:S207)</f>
        <v/>
      </c>
      <c r="T2" s="89">
        <f>MIN(T5:T207)</f>
        <v/>
      </c>
      <c r="U2" s="89">
        <f>MIN(U5:U207)</f>
        <v/>
      </c>
      <c r="V2" s="89">
        <f>MIN(V5:V207)</f>
        <v/>
      </c>
      <c r="W2" s="89">
        <f>MIN(W5:W207)</f>
        <v/>
      </c>
      <c r="X2" s="89">
        <f>MIN(X5:X207)</f>
        <v/>
      </c>
      <c r="Y2" s="89">
        <f>MIN(Y5:Y207)</f>
        <v/>
      </c>
      <c r="Z2" s="89">
        <f>MIN(Z5:Z207)</f>
        <v/>
      </c>
      <c r="AA2" s="89">
        <f>MIN(AA5:AA207)</f>
        <v/>
      </c>
      <c r="AB2" s="89">
        <f>MIN(AB5:AB207)</f>
        <v/>
      </c>
      <c r="AC2" s="89">
        <f>MIN(AC5:AC207)</f>
        <v/>
      </c>
      <c r="AD2" s="89">
        <f>MIN(AD5:AD207)</f>
        <v/>
      </c>
      <c r="AE2" s="89">
        <f>MIN(AE5:AE207)</f>
        <v/>
      </c>
      <c r="AF2" s="89">
        <f>MIN(AF5:AF207)</f>
        <v/>
      </c>
      <c r="AG2" s="89">
        <f>MIN(AG5:AG207)</f>
        <v/>
      </c>
      <c r="AH2" s="89">
        <f>MIN(AH5:AH207)</f>
        <v/>
      </c>
      <c r="AI2" s="89">
        <f>MIN(AI5:AI207)</f>
        <v/>
      </c>
      <c r="AJ2" s="89">
        <f>MIN(AJ5:AJ207)</f>
        <v/>
      </c>
      <c r="AK2" s="89">
        <f>MIN(AK5:AK207)</f>
        <v/>
      </c>
      <c r="AL2" s="89">
        <f>MIN(AL5:AL207)</f>
        <v/>
      </c>
      <c r="AM2" s="89">
        <f>MIN(AM5:AM207)</f>
        <v/>
      </c>
      <c r="AN2" s="89">
        <f>MIN(AN5:AN207)</f>
        <v/>
      </c>
      <c r="AO2" s="89">
        <f>MIN(AO5:AO207)</f>
        <v/>
      </c>
      <c r="AP2" s="97">
        <f>MIN(K2:AO2)</f>
        <v/>
      </c>
      <c r="AU2" s="87" t="n"/>
      <c r="AV2" s="87" t="n"/>
    </row>
    <row r="3">
      <c r="A3" s="75" t="n"/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6" t="n"/>
      <c r="L3" s="76" t="n"/>
      <c r="M3" s="76" t="n"/>
      <c r="N3" s="76" t="n"/>
      <c r="O3" s="76" t="n"/>
      <c r="P3" s="84" t="n"/>
      <c r="Q3" s="76" t="n"/>
      <c r="R3" s="76" t="n"/>
      <c r="S3" s="76" t="n"/>
      <c r="T3" s="76" t="n"/>
      <c r="U3" s="76" t="n"/>
      <c r="V3" s="76" t="n"/>
      <c r="W3" s="76" t="n"/>
      <c r="X3" s="85" t="n"/>
      <c r="Y3" s="85" t="n"/>
      <c r="Z3" s="114" t="n"/>
      <c r="AA3" s="76" t="n"/>
      <c r="AB3" s="76" t="n"/>
      <c r="AC3" s="85" t="n"/>
      <c r="AD3" s="85" t="n"/>
      <c r="AE3" s="85" t="n"/>
      <c r="AF3" s="85" t="n"/>
      <c r="AG3" s="85" t="n"/>
      <c r="AH3" s="85" t="n"/>
      <c r="AI3" s="85" t="n"/>
      <c r="AJ3" s="85" t="n"/>
      <c r="AK3" s="86" t="n"/>
      <c r="AL3" s="85" t="n"/>
      <c r="AN3" s="85" t="n"/>
      <c r="AO3" s="85" t="n"/>
      <c r="AU3" s="87" t="n"/>
      <c r="AV3" s="87" t="n"/>
    </row>
    <row r="4" ht="30" customFormat="1" customHeight="1" s="76">
      <c r="A4" s="65" t="inlineStr">
        <is>
          <t>CODIGO</t>
        </is>
      </c>
      <c r="B4" s="66" t="inlineStr">
        <is>
          <t>ESTACION</t>
        </is>
      </c>
      <c r="C4" s="66" t="inlineStr">
        <is>
          <t>AREA_OP</t>
        </is>
      </c>
      <c r="D4" s="65" t="inlineStr">
        <is>
          <t>LON</t>
        </is>
      </c>
      <c r="E4" s="65" t="inlineStr">
        <is>
          <t>LAT</t>
        </is>
      </c>
      <c r="F4" s="65" t="inlineStr">
        <is>
          <t>ELEV</t>
        </is>
      </c>
      <c r="G4" s="66" t="inlineStr">
        <is>
          <t>COD_DPTO</t>
        </is>
      </c>
      <c r="H4" s="66" t="inlineStr">
        <is>
          <t>COD_MUNICIPIO</t>
        </is>
      </c>
      <c r="I4" s="66" t="inlineStr">
        <is>
          <t>DEPARTAMENTO</t>
        </is>
      </c>
      <c r="J4" s="66" t="inlineStr">
        <is>
          <t>MUNICIPIO</t>
        </is>
      </c>
      <c r="K4" s="66" t="n">
        <v>1</v>
      </c>
      <c r="L4" s="66" t="n">
        <v>2</v>
      </c>
      <c r="M4" s="66" t="n">
        <v>3</v>
      </c>
      <c r="N4" s="66" t="n">
        <v>4</v>
      </c>
      <c r="O4" s="66" t="n">
        <v>5</v>
      </c>
      <c r="P4" s="66" t="n">
        <v>6</v>
      </c>
      <c r="Q4" s="66" t="n">
        <v>7</v>
      </c>
      <c r="R4" s="66" t="n">
        <v>8</v>
      </c>
      <c r="S4" s="66" t="n">
        <v>9</v>
      </c>
      <c r="T4" s="66" t="n">
        <v>10</v>
      </c>
      <c r="U4" s="67" t="n">
        <v>11</v>
      </c>
      <c r="V4" s="66" t="n">
        <v>12</v>
      </c>
      <c r="W4" s="67" t="n">
        <v>13</v>
      </c>
      <c r="X4" s="66" t="n">
        <v>14</v>
      </c>
      <c r="Y4" s="67" t="n">
        <v>15</v>
      </c>
      <c r="Z4" s="112" t="n">
        <v>16</v>
      </c>
      <c r="AA4" s="67" t="n">
        <v>17</v>
      </c>
      <c r="AB4" s="66" t="n">
        <v>18</v>
      </c>
      <c r="AC4" s="67" t="n">
        <v>19</v>
      </c>
      <c r="AD4" s="66" t="n">
        <v>20</v>
      </c>
      <c r="AE4" s="67" t="n">
        <v>21</v>
      </c>
      <c r="AF4" s="68" t="n">
        <v>22</v>
      </c>
      <c r="AG4" s="68" t="n">
        <v>23</v>
      </c>
      <c r="AH4" s="67" t="n">
        <v>24</v>
      </c>
      <c r="AI4" s="67" t="n">
        <v>25</v>
      </c>
      <c r="AJ4" s="68" t="n">
        <v>26</v>
      </c>
      <c r="AK4" s="67" t="n">
        <v>27</v>
      </c>
      <c r="AL4" s="68" t="n">
        <v>28</v>
      </c>
      <c r="AM4" s="68" t="n">
        <v>29</v>
      </c>
      <c r="AN4" s="68" t="n">
        <v>30</v>
      </c>
      <c r="AO4" s="67" t="n">
        <v>31</v>
      </c>
      <c r="AP4" s="69" t="inlineStr">
        <is>
          <t>NUM_DATOS</t>
        </is>
      </c>
      <c r="AQ4" s="69" t="inlineStr">
        <is>
          <t>MEDIA_MENSUAL</t>
        </is>
      </c>
      <c r="AR4" s="69" t="inlineStr">
        <is>
          <t>MEDIA_MULTIANUAL</t>
        </is>
      </c>
      <c r="AS4" s="70" t="inlineStr">
        <is>
          <t>ANOMALIA</t>
        </is>
      </c>
      <c r="AT4" s="70" t="inlineStr">
        <is>
          <t>MIN_MES</t>
        </is>
      </c>
      <c r="AU4" s="71" t="inlineStr">
        <is>
          <t>MIN_HISTORICO</t>
        </is>
      </c>
      <c r="AV4" s="71" t="inlineStr">
        <is>
          <t>FECHA</t>
        </is>
      </c>
      <c r="AW4" s="66" t="inlineStr">
        <is>
          <t>DIFERENCIA</t>
        </is>
      </c>
    </row>
    <row r="5" ht="15" customHeight="1">
      <c r="A5" s="46" t="n">
        <v>17015010</v>
      </c>
      <c r="B5" s="47" t="inlineStr">
        <is>
          <t>Aeropuerto Sesquicentenario</t>
        </is>
      </c>
      <c r="C5" s="52" t="inlineStr">
        <is>
          <t>Grupo Observación y Monitoreo</t>
        </is>
      </c>
      <c r="D5" s="49" t="n">
        <v>-81.70399999999999</v>
      </c>
      <c r="E5" s="49" t="n">
        <v>12.587</v>
      </c>
      <c r="F5" s="50" t="n">
        <v>1</v>
      </c>
      <c r="G5" s="50" t="n">
        <v>88</v>
      </c>
      <c r="H5" s="50" t="n">
        <v>88001</v>
      </c>
      <c r="I5" s="47" t="inlineStr">
        <is>
          <t>Archipiélago de San Andres, Providencia y Santa Catalina</t>
        </is>
      </c>
      <c r="J5" s="63" t="inlineStr">
        <is>
          <t>Isla de San Andrés</t>
        </is>
      </c>
      <c r="K5" s="51" t="n">
        <v>26.8</v>
      </c>
      <c r="L5" s="51" t="n">
        <v>26.5</v>
      </c>
      <c r="M5" s="51" t="n">
        <v>28</v>
      </c>
      <c r="N5" s="51" t="n">
        <v>27.6</v>
      </c>
      <c r="O5" s="51" t="n">
        <v>27.7</v>
      </c>
      <c r="P5" s="51" t="n">
        <v>27.4</v>
      </c>
      <c r="Q5" s="51" t="n">
        <v>27.4</v>
      </c>
      <c r="R5" s="51" t="n">
        <v>26.3</v>
      </c>
      <c r="S5" s="51" t="n">
        <v>28.2</v>
      </c>
      <c r="T5" s="51" t="n">
        <v>26.8</v>
      </c>
      <c r="U5" s="51" t="n">
        <v>28.2</v>
      </c>
      <c r="V5" s="51" t="n">
        <v>28.1</v>
      </c>
      <c r="W5" s="51" t="n">
        <v>27.6</v>
      </c>
      <c r="X5" s="51" t="n">
        <v>28.1</v>
      </c>
      <c r="Y5" s="51" t="n">
        <v>26</v>
      </c>
      <c r="Z5" s="111" t="n">
        <v>24.1</v>
      </c>
      <c r="AA5" s="111" t="n">
        <v>27.8</v>
      </c>
      <c r="AB5" s="51" t="n">
        <v>28.2</v>
      </c>
      <c r="AC5" s="51" t="n">
        <v>27.8</v>
      </c>
      <c r="AD5" s="51" t="n">
        <v>28.3</v>
      </c>
      <c r="AE5" s="51" t="n"/>
      <c r="AF5" s="51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88">
        <f>COUNTIF(K5:AO5,"&gt;0")</f>
        <v/>
      </c>
      <c r="AQ5" s="89">
        <f>IF(AP5&gt;14,AVERAGE(K5:AO5),"")</f>
        <v/>
      </c>
      <c r="AR5" s="89">
        <f>IFERROR(VLOOKUP(A5,Climatologia!A:U,9+$E$2,FALSE),"")</f>
        <v/>
      </c>
      <c r="AS5" s="89">
        <f>IF(OR(AQ5="",AR5=""),"",IFERROR(AQ5-AR5,""))</f>
        <v/>
      </c>
      <c r="AT5" s="90">
        <f>IF(COUNT(K5:AO5)=0,"",MIN(K5:AO5))</f>
        <v/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/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" s="92">
        <f>IF(OR(AT5="",AU5=""),"NA",IFERROR(AT5-AU5,"NA"))</f>
        <v/>
      </c>
    </row>
    <row r="6" ht="15" customHeight="1">
      <c r="A6" s="46" t="n">
        <v>17025020</v>
      </c>
      <c r="B6" s="52" t="inlineStr">
        <is>
          <t>Aeropuerto El Embrujo</t>
        </is>
      </c>
      <c r="C6" s="52" t="inlineStr">
        <is>
          <t>Grupo Observación y Monitoreo</t>
        </is>
      </c>
      <c r="D6" s="53" t="n">
        <v>-81.358</v>
      </c>
      <c r="E6" s="53" t="n">
        <v>13.36</v>
      </c>
      <c r="F6" s="54" t="n">
        <v>7</v>
      </c>
      <c r="G6" s="54" t="n">
        <v>88</v>
      </c>
      <c r="H6" s="54" t="n">
        <v>88564</v>
      </c>
      <c r="I6" s="55" t="inlineStr">
        <is>
          <t>Archipiélago de San Andres, Providencia y Santa Catalina</t>
        </is>
      </c>
      <c r="J6" s="64" t="inlineStr">
        <is>
          <t>Isla de Providencia</t>
        </is>
      </c>
      <c r="K6" s="51" t="n">
        <v>26.1</v>
      </c>
      <c r="L6" s="51" t="n">
        <v>27.4</v>
      </c>
      <c r="M6" s="51" t="n">
        <v>28.1</v>
      </c>
      <c r="N6" s="51" t="n">
        <v>27.6</v>
      </c>
      <c r="O6" s="51" t="n">
        <v>28.1</v>
      </c>
      <c r="P6" s="51" t="n">
        <v>26.4</v>
      </c>
      <c r="Q6" s="51" t="n">
        <v>27.8</v>
      </c>
      <c r="R6" s="51" t="n">
        <v>28.4</v>
      </c>
      <c r="S6" s="51" t="n">
        <v>28.8</v>
      </c>
      <c r="T6" s="51" t="n">
        <v>28.6</v>
      </c>
      <c r="U6" s="51" t="n">
        <v>26.8</v>
      </c>
      <c r="V6" s="51" t="n">
        <v>27.6</v>
      </c>
      <c r="W6" s="51" t="n">
        <v>28.8</v>
      </c>
      <c r="X6" s="51" t="n">
        <v>27.6</v>
      </c>
      <c r="Y6" s="51" t="n">
        <v>28.5</v>
      </c>
      <c r="Z6" s="111" t="n">
        <v>26.8</v>
      </c>
      <c r="AA6" s="111" t="n">
        <v>28.1</v>
      </c>
      <c r="AB6" s="51" t="n">
        <v>27.6</v>
      </c>
      <c r="AC6" s="51" t="n">
        <v>28.2</v>
      </c>
      <c r="AD6" s="51" t="n">
        <v>27.6</v>
      </c>
      <c r="AE6" s="51" t="n"/>
      <c r="AF6" s="51" t="n"/>
      <c r="AG6" s="51" t="n"/>
      <c r="AH6" s="51" t="n"/>
      <c r="AI6" s="51" t="n"/>
      <c r="AJ6" s="51" t="n"/>
      <c r="AK6" s="51" t="n"/>
      <c r="AL6" s="51" t="n"/>
      <c r="AM6" s="51" t="n"/>
      <c r="AN6" s="51" t="n"/>
      <c r="AO6" s="51" t="n"/>
      <c r="AP6" s="88">
        <f>COUNTIF(K6:AO6,"&gt;0")</f>
        <v/>
      </c>
      <c r="AQ6" s="89">
        <f>IF(AP6&gt;14,AVERAGE(K6:AO6),"")</f>
        <v/>
      </c>
      <c r="AR6" s="89">
        <f>IFERROR(VLOOKUP(A6,Climatologia!A:U,9+$E$2,FALSE),"")</f>
        <v/>
      </c>
      <c r="AS6" s="89">
        <f>IF(OR(AQ6="",AR6=""),"",IFERROR(AQ6-AR6,""))</f>
        <v/>
      </c>
      <c r="AT6" s="90">
        <f>IF(COUNT(K6:AO6)=0,"",MIN(K6:AO6))</f>
        <v/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/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" s="92">
        <f>IF(OR(AT6="",AU6=""),"NA",IFERROR(AT6-AU6,"NA"))</f>
        <v/>
      </c>
    </row>
    <row r="7" ht="15" customHeight="1">
      <c r="A7" s="46" t="n">
        <v>15015050</v>
      </c>
      <c r="B7" s="52" t="inlineStr">
        <is>
          <t>Aeropuerto Simón Bolívar</t>
        </is>
      </c>
      <c r="C7" s="52" t="inlineStr">
        <is>
          <t>Grupo Observación y Monitoreo</t>
        </is>
      </c>
      <c r="D7" s="53" t="n">
        <v>-74.229</v>
      </c>
      <c r="E7" s="53" t="n">
        <v>11.128</v>
      </c>
      <c r="F7" s="54" t="n">
        <v>4</v>
      </c>
      <c r="G7" s="54" t="n">
        <v>47</v>
      </c>
      <c r="H7" s="54" t="n">
        <v>47001</v>
      </c>
      <c r="I7" s="55" t="inlineStr">
        <is>
          <t>Magdalena</t>
        </is>
      </c>
      <c r="J7" s="64" t="inlineStr">
        <is>
          <t>Santa Marta</t>
        </is>
      </c>
      <c r="K7" s="51" t="n">
        <v>27.6</v>
      </c>
      <c r="L7" s="51" t="n">
        <v>25.8</v>
      </c>
      <c r="M7" s="51" t="n">
        <v>26.4</v>
      </c>
      <c r="N7" s="51" t="n">
        <v>26.2</v>
      </c>
      <c r="O7" s="51" t="n">
        <v>27</v>
      </c>
      <c r="P7" s="51" t="n">
        <v>26.2</v>
      </c>
      <c r="Q7" s="51" t="n">
        <v>26.2</v>
      </c>
      <c r="R7" s="51" t="n">
        <v>26.9</v>
      </c>
      <c r="S7" s="51" t="n">
        <v>27</v>
      </c>
      <c r="T7" s="51" t="n">
        <v>27.8</v>
      </c>
      <c r="U7" s="51" t="n">
        <v>26.8</v>
      </c>
      <c r="V7" s="51" t="n">
        <v>26.4</v>
      </c>
      <c r="W7" s="51" t="n">
        <v>27.2</v>
      </c>
      <c r="X7" s="51" t="n">
        <v>26.4</v>
      </c>
      <c r="Y7" s="51" t="n">
        <v>27.8</v>
      </c>
      <c r="Z7" s="111" t="n">
        <v>27.6</v>
      </c>
      <c r="AA7" s="111" t="n">
        <v>26.8</v>
      </c>
      <c r="AB7" s="51" t="n">
        <v>27</v>
      </c>
      <c r="AC7" s="51" t="n">
        <v>28.4</v>
      </c>
      <c r="AD7" s="51" t="n">
        <v>26.4</v>
      </c>
      <c r="AE7" s="51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88">
        <f>COUNTIF(K7:AO7,"&gt;0")</f>
        <v/>
      </c>
      <c r="AQ7" s="89">
        <f>IF(AP7&gt;14,AVERAGE(K7:AO7),"")</f>
        <v/>
      </c>
      <c r="AR7" s="89">
        <f>IFERROR(VLOOKUP(A7,Climatologia!A:U,9+$E$2,FALSE),"")</f>
        <v/>
      </c>
      <c r="AS7" s="89">
        <f>IF(OR(AQ7="",AR7=""),"",IFERROR(AQ7-AR7,""))</f>
        <v/>
      </c>
      <c r="AT7" s="90">
        <f>IF(COUNT(K7:AO7)=0,"",MIN(K7:AO7))</f>
        <v/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/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" s="92">
        <f>IF(OR(AT7="",AU7=""),"NA",IFERROR(AT7-AU7,"NA"))</f>
        <v/>
      </c>
    </row>
    <row r="8" ht="15" customHeight="1">
      <c r="A8" s="46" t="n">
        <v>14015080</v>
      </c>
      <c r="B8" s="47" t="inlineStr">
        <is>
          <t>Aeropuerto Rafael Nuñez</t>
        </is>
      </c>
      <c r="C8" s="52" t="inlineStr">
        <is>
          <t>Grupo Observación y Monitoreo</t>
        </is>
      </c>
      <c r="D8" s="49" t="n">
        <v>-75.51600000000001</v>
      </c>
      <c r="E8" s="49" t="n">
        <v>10.447</v>
      </c>
      <c r="F8" s="50" t="n">
        <v>2</v>
      </c>
      <c r="G8" s="50" t="n">
        <v>13</v>
      </c>
      <c r="H8" s="50" t="n">
        <v>13001</v>
      </c>
      <c r="I8" s="47" t="inlineStr">
        <is>
          <t>Bolívar</t>
        </is>
      </c>
      <c r="J8" s="63" t="inlineStr">
        <is>
          <t>Cartagena de Indias</t>
        </is>
      </c>
      <c r="K8" s="51" t="n">
        <v>26.9</v>
      </c>
      <c r="L8" s="51" t="n">
        <v>26.4</v>
      </c>
      <c r="M8" s="51" t="n">
        <v>26.3</v>
      </c>
      <c r="N8" s="51" t="n">
        <v>26.9</v>
      </c>
      <c r="O8" s="51" t="n">
        <v>27.5</v>
      </c>
      <c r="P8" s="51" t="n">
        <v>27.7</v>
      </c>
      <c r="Q8" s="51" t="n">
        <v>25.4</v>
      </c>
      <c r="R8" s="51" t="n">
        <v>28.3</v>
      </c>
      <c r="S8" s="51" t="n">
        <v>27.5</v>
      </c>
      <c r="T8" s="51" t="n">
        <v>28.1</v>
      </c>
      <c r="U8" s="51" t="n">
        <v>28.8</v>
      </c>
      <c r="V8" s="51" t="n">
        <v>27.5</v>
      </c>
      <c r="W8" s="51" t="n">
        <v>26.7</v>
      </c>
      <c r="X8" s="51" t="n">
        <v>27.5</v>
      </c>
      <c r="Y8" s="51" t="n">
        <v>28</v>
      </c>
      <c r="Z8" s="111" t="n">
        <v>26.6</v>
      </c>
      <c r="AA8" s="111" t="n">
        <v>26.9</v>
      </c>
      <c r="AB8" s="51" t="n">
        <v>27.9</v>
      </c>
      <c r="AC8" s="51" t="n">
        <v>28.7</v>
      </c>
      <c r="AD8" s="51" t="n">
        <v>25.7</v>
      </c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88">
        <f>COUNTIF(K8:AO8,"&gt;0")</f>
        <v/>
      </c>
      <c r="AQ8" s="89">
        <f>IF(AP8&gt;14,AVERAGE(K8:AO8),"")</f>
        <v/>
      </c>
      <c r="AR8" s="89">
        <f>IFERROR(VLOOKUP(A8,Climatologia!A:U,9+$E$2,FALSE),"")</f>
        <v/>
      </c>
      <c r="AS8" s="89">
        <f>IF(OR(AQ8="",AR8=""),"",IFERROR(AQ8-AR8,""))</f>
        <v/>
      </c>
      <c r="AT8" s="90">
        <f>IF(COUNT(K8:AO8)=0,"",MIN(K8:AO8))</f>
        <v/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/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" s="92">
        <f>IF(OR(AT8="",AU8=""),"NA",IFERROR(AT8-AU8,"NA"))</f>
        <v/>
      </c>
    </row>
    <row r="9" ht="15" customHeight="1">
      <c r="A9" s="46" t="n">
        <v>29045190</v>
      </c>
      <c r="B9" s="47" t="inlineStr">
        <is>
          <t xml:space="preserve">Aeropuerto Ernesto Cortissoz - AUT </t>
        </is>
      </c>
      <c r="C9" s="52" t="inlineStr">
        <is>
          <t>Grupo Observación y Monitoreo</t>
        </is>
      </c>
      <c r="D9" s="49" t="n">
        <v>-74.78</v>
      </c>
      <c r="E9" s="49" t="n">
        <v>10.918</v>
      </c>
      <c r="F9" s="50" t="n">
        <v>14</v>
      </c>
      <c r="G9" s="50" t="n">
        <v>8</v>
      </c>
      <c r="H9" s="50" t="n">
        <v>8758</v>
      </c>
      <c r="I9" s="47" t="inlineStr">
        <is>
          <t>Atlántico</t>
        </is>
      </c>
      <c r="J9" s="63" t="inlineStr">
        <is>
          <t>Soledad</t>
        </is>
      </c>
      <c r="K9" s="51" t="n">
        <v>24.9</v>
      </c>
      <c r="L9" s="51" t="n">
        <v>27.1</v>
      </c>
      <c r="M9" s="51" t="n">
        <v>25.3</v>
      </c>
      <c r="N9" s="51" t="n">
        <v>26</v>
      </c>
      <c r="O9" s="51" t="n">
        <v>26.9</v>
      </c>
      <c r="P9" s="51" t="n">
        <v>26.3</v>
      </c>
      <c r="Q9" s="51" t="n">
        <v>25.7</v>
      </c>
      <c r="R9" s="51" t="n">
        <v>26.7</v>
      </c>
      <c r="S9" s="51" t="n">
        <v>27.9</v>
      </c>
      <c r="T9" s="51" t="n">
        <v>26.6</v>
      </c>
      <c r="U9" s="51" t="n">
        <v>25.7</v>
      </c>
      <c r="V9" s="51" t="n">
        <v>25.5</v>
      </c>
      <c r="W9" s="51" t="n">
        <v>26.8</v>
      </c>
      <c r="X9" s="51" t="n">
        <v>25.5</v>
      </c>
      <c r="Y9" s="51" t="n">
        <v>26.2</v>
      </c>
      <c r="Z9" s="111" t="n">
        <v>25.6</v>
      </c>
      <c r="AA9" s="111" t="n">
        <v>27</v>
      </c>
      <c r="AB9" s="51" t="n">
        <v>27.3</v>
      </c>
      <c r="AC9" s="51" t="n">
        <v>27.9</v>
      </c>
      <c r="AD9" s="51" t="n">
        <v>24.9</v>
      </c>
      <c r="AE9" s="51" t="n"/>
      <c r="AF9" s="51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88">
        <f>COUNTIF(K9:AO9,"&gt;0")</f>
        <v/>
      </c>
      <c r="AQ9" s="89">
        <f>IF(AP9&gt;14,AVERAGE(K9:AO9),"")</f>
        <v/>
      </c>
      <c r="AR9" s="89">
        <f>IFERROR(VLOOKUP(A9,Climatologia!A:U,9+$E$2,FALSE),"")</f>
        <v/>
      </c>
      <c r="AS9" s="89">
        <f>IF(OR(AQ9="",AR9=""),"",IFERROR(AQ9-AR9,""))</f>
        <v/>
      </c>
      <c r="AT9" s="90">
        <f>IF(COUNT(K9:AO9)=0,"",MIN(K9:AO9))</f>
        <v/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/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" s="92">
        <f>IF(OR(AT9="",AU9=""),"NA",IFERROR(AT9-AU9,"NA"))</f>
        <v/>
      </c>
    </row>
    <row r="10" ht="15" customHeight="1">
      <c r="A10" s="46" t="n">
        <v>15065180</v>
      </c>
      <c r="B10" s="47" t="inlineStr">
        <is>
          <t xml:space="preserve">Aeropuerto Almirante Padilla </t>
        </is>
      </c>
      <c r="C10" s="52" t="inlineStr">
        <is>
          <t>Grupo Observación y Monitoreo</t>
        </is>
      </c>
      <c r="D10" s="49" t="n">
        <v>-72.91800000000001</v>
      </c>
      <c r="E10" s="49" t="n">
        <v>11.53</v>
      </c>
      <c r="F10" s="50" t="n">
        <v>4</v>
      </c>
      <c r="G10" s="50" t="n">
        <v>44</v>
      </c>
      <c r="H10" s="50" t="n">
        <v>44001</v>
      </c>
      <c r="I10" s="47" t="inlineStr">
        <is>
          <t>La Guajira</t>
        </is>
      </c>
      <c r="J10" s="63" t="inlineStr">
        <is>
          <t>Riohacha</t>
        </is>
      </c>
      <c r="K10" s="51" t="n">
        <v>25.7</v>
      </c>
      <c r="L10" s="51" t="n">
        <v>26.7</v>
      </c>
      <c r="M10" s="51" t="n">
        <v>28.5</v>
      </c>
      <c r="N10" s="51" t="n">
        <v>27.5</v>
      </c>
      <c r="O10" s="51" t="n">
        <v>28.7</v>
      </c>
      <c r="P10" s="51" t="n">
        <v>28.9</v>
      </c>
      <c r="Q10" s="51" t="n">
        <v>29.3</v>
      </c>
      <c r="R10" s="51" t="n">
        <v>28.6</v>
      </c>
      <c r="S10" s="51" t="n">
        <v>28.4</v>
      </c>
      <c r="T10" s="51" t="n">
        <v>28.5</v>
      </c>
      <c r="U10" s="51" t="n">
        <v>28.7</v>
      </c>
      <c r="V10" s="51" t="n">
        <v>28.7</v>
      </c>
      <c r="W10" s="51" t="n">
        <v>28.4</v>
      </c>
      <c r="X10" s="51" t="n">
        <v>28.7</v>
      </c>
      <c r="Y10" s="51" t="n">
        <v>28.1</v>
      </c>
      <c r="Z10" s="111" t="n">
        <v>28.9</v>
      </c>
      <c r="AA10" s="111" t="n">
        <v>27.9</v>
      </c>
      <c r="AB10" s="51" t="n">
        <v>27.5</v>
      </c>
      <c r="AC10" s="51" t="n">
        <v>28.5</v>
      </c>
      <c r="AD10" s="51" t="n">
        <v>23.2</v>
      </c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88">
        <f>COUNTIF(K10:AO10,"&gt;0")</f>
        <v/>
      </c>
      <c r="AQ10" s="89">
        <f>IF(AP10&gt;14,AVERAGE(K10:AO10),"")</f>
        <v/>
      </c>
      <c r="AR10" s="89">
        <f>IFERROR(VLOOKUP(A10,Climatologia!A:U,9+$E$2,FALSE),"")</f>
        <v/>
      </c>
      <c r="AS10" s="89">
        <f>IF(OR(AQ10="",AR10=""),"",IFERROR(AQ10-AR10,""))</f>
        <v/>
      </c>
      <c r="AT10" s="90">
        <f>IF(COUNT(K10:AO10)=0,"",MIN(K10:AO10))</f>
        <v/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/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" s="92">
        <f>IF(OR(AT10="",AU10=""),"NA",IFERROR(AT10-AU10,"NA"))</f>
        <v/>
      </c>
    </row>
    <row r="11" ht="15" customHeight="1">
      <c r="A11" s="46" t="n">
        <v>28025502</v>
      </c>
      <c r="B11" s="55" t="inlineStr">
        <is>
          <t>Aeropuerto Alfonso López</t>
        </is>
      </c>
      <c r="C11" s="52" t="inlineStr">
        <is>
          <t>Grupo Observación y Monitoreo</t>
        </is>
      </c>
      <c r="D11" s="53" t="n">
        <v>-73.248</v>
      </c>
      <c r="E11" s="53" t="n">
        <v>10.436</v>
      </c>
      <c r="F11" s="54" t="n">
        <v>138</v>
      </c>
      <c r="G11" s="46" t="n">
        <v>20</v>
      </c>
      <c r="H11" s="46" t="n">
        <v>20001</v>
      </c>
      <c r="I11" s="55" t="inlineStr">
        <is>
          <t>Cesar</t>
        </is>
      </c>
      <c r="J11" s="55" t="inlineStr">
        <is>
          <t>Valledupar</t>
        </is>
      </c>
      <c r="K11" s="51" t="n">
        <v>23.4</v>
      </c>
      <c r="L11" s="51" t="n">
        <v>24.4</v>
      </c>
      <c r="M11" s="51" t="n">
        <v>24.8</v>
      </c>
      <c r="N11" s="51" t="n">
        <v>24.6</v>
      </c>
      <c r="O11" s="51" t="n">
        <v>26.8</v>
      </c>
      <c r="P11" s="51" t="n">
        <v>26.6</v>
      </c>
      <c r="Q11" s="51" t="n">
        <v>26.6</v>
      </c>
      <c r="R11" s="51" t="n">
        <v>26.8</v>
      </c>
      <c r="S11" s="51" t="n">
        <v>29.2</v>
      </c>
      <c r="T11" s="51" t="n">
        <v>27</v>
      </c>
      <c r="U11" s="51" t="n">
        <v>26</v>
      </c>
      <c r="V11" s="51" t="n">
        <v>26.4</v>
      </c>
      <c r="W11" s="51" t="n">
        <v>27.5</v>
      </c>
      <c r="X11" s="51" t="n">
        <v>26.4</v>
      </c>
      <c r="Y11" s="51" t="n">
        <v>27.4</v>
      </c>
      <c r="Z11" s="111" t="n">
        <v>26.6</v>
      </c>
      <c r="AA11" s="111" t="n">
        <v>26</v>
      </c>
      <c r="AB11" s="51" t="n">
        <v>26.2</v>
      </c>
      <c r="AC11" s="51" t="n">
        <v>27.2</v>
      </c>
      <c r="AD11" s="51" t="n">
        <v>24.4</v>
      </c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88">
        <f>COUNTIF(K11:AO11,"&gt;0")</f>
        <v/>
      </c>
      <c r="AQ11" s="89">
        <f>IF(AP11&gt;14,AVERAGE(K11:AO11),"")</f>
        <v/>
      </c>
      <c r="AR11" s="89">
        <f>IFERROR(VLOOKUP(A11,Climatologia!A:U,9+$E$2,FALSE),"")</f>
        <v/>
      </c>
      <c r="AS11" s="89">
        <f>IF(OR(AQ11="",AR11=""),"",IFERROR(AQ11-AR11,""))</f>
        <v/>
      </c>
      <c r="AT11" s="90">
        <f>IF(COUNT(K11:AO11)=0,"",MIN(K11:AO11))</f>
        <v/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/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" s="92">
        <f>IF(OR(AT11="",AU11=""),"NA",IFERROR(AT11-AU11,"NA"))</f>
        <v/>
      </c>
    </row>
    <row r="12" ht="15" customHeight="1">
      <c r="A12" s="46" t="n">
        <v>13035501</v>
      </c>
      <c r="B12" s="47" t="inlineStr">
        <is>
          <t>Aeropuerto Los Garzones</t>
        </is>
      </c>
      <c r="C12" s="52" t="inlineStr">
        <is>
          <t>Grupo Observación y Monitoreo</t>
        </is>
      </c>
      <c r="D12" s="49" t="n">
        <v>-75.825</v>
      </c>
      <c r="E12" s="49" t="n">
        <v>8.826000000000001</v>
      </c>
      <c r="F12" s="50" t="n">
        <v>20</v>
      </c>
      <c r="G12" s="50" t="n">
        <v>23</v>
      </c>
      <c r="H12" s="50" t="n">
        <v>23001</v>
      </c>
      <c r="I12" s="47" t="inlineStr">
        <is>
          <t>Córdoba</t>
        </is>
      </c>
      <c r="J12" s="63" t="inlineStr">
        <is>
          <t>Montería</t>
        </is>
      </c>
      <c r="K12" s="51" t="n">
        <v>24.1</v>
      </c>
      <c r="L12" s="51" t="n">
        <v>26.3</v>
      </c>
      <c r="M12" s="51" t="n">
        <v>25.3</v>
      </c>
      <c r="N12" s="51" t="n">
        <v>25.4</v>
      </c>
      <c r="O12" s="51" t="n">
        <v>24.9</v>
      </c>
      <c r="P12" s="51" t="n">
        <v>26.3</v>
      </c>
      <c r="Q12" s="51" t="n">
        <v>24.4</v>
      </c>
      <c r="R12" s="51" t="n">
        <v>25.6</v>
      </c>
      <c r="S12" s="51" t="n">
        <v>26.8</v>
      </c>
      <c r="T12" s="51" t="n">
        <v>22.7</v>
      </c>
      <c r="U12" s="51" t="n">
        <v>23.3</v>
      </c>
      <c r="V12" s="51" t="n">
        <v>25.8</v>
      </c>
      <c r="W12" s="51" t="n">
        <v>27.6</v>
      </c>
      <c r="X12" s="51" t="n">
        <v>25.8</v>
      </c>
      <c r="Y12" s="51" t="n">
        <v>24.1</v>
      </c>
      <c r="Z12" s="111" t="n">
        <v>24.8</v>
      </c>
      <c r="AA12" s="111" t="n">
        <v>26.3</v>
      </c>
      <c r="AB12" s="51" t="n">
        <v>27.3</v>
      </c>
      <c r="AC12" s="51" t="n">
        <v>27.2</v>
      </c>
      <c r="AD12" s="51" t="n">
        <v>23.2</v>
      </c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88">
        <f>COUNTIF(K12:AO12,"&gt;0")</f>
        <v/>
      </c>
      <c r="AQ12" s="89">
        <f>IF(AP12&gt;14,AVERAGE(K12:AO12),"")</f>
        <v/>
      </c>
      <c r="AR12" s="89">
        <f>IFERROR(VLOOKUP(A12,Climatologia!A:U,9+$E$2,FALSE),"")</f>
        <v/>
      </c>
      <c r="AS12" s="89">
        <f>IF(OR(AQ12="",AR12=""),"",IFERROR(AQ12-AR12,""))</f>
        <v/>
      </c>
      <c r="AT12" s="90">
        <f>IF(COUNT(K12:AO12)=0,"",MIN(K12:AO12))</f>
        <v/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/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" s="92">
        <f>IF(OR(AT12="",AU12=""),"NA",IFERROR(AT12-AU12,"NA"))</f>
        <v/>
      </c>
    </row>
    <row r="13" ht="15" customHeight="1">
      <c r="A13" s="46" t="n">
        <v>23155030</v>
      </c>
      <c r="B13" s="52" t="inlineStr">
        <is>
          <t>Aeropuerto Yariguies</t>
        </is>
      </c>
      <c r="C13" s="52" t="inlineStr">
        <is>
          <t>Grupo Observación y Monitoreo</t>
        </is>
      </c>
      <c r="D13" s="53" t="n">
        <v>-73.809</v>
      </c>
      <c r="E13" s="53" t="n">
        <v>7.026</v>
      </c>
      <c r="F13" s="54" t="n">
        <v>126</v>
      </c>
      <c r="G13" s="54" t="n">
        <v>68</v>
      </c>
      <c r="H13" s="54" t="n">
        <v>68081</v>
      </c>
      <c r="I13" s="55" t="inlineStr">
        <is>
          <t>Santander</t>
        </is>
      </c>
      <c r="J13" s="64" t="inlineStr">
        <is>
          <t>Barrancabermeja</t>
        </is>
      </c>
      <c r="K13" s="51" t="n">
        <v>24.2</v>
      </c>
      <c r="L13" s="51" t="n">
        <v>24.2</v>
      </c>
      <c r="M13" s="51" t="n">
        <v>24.4</v>
      </c>
      <c r="N13" s="51" t="n">
        <v>25.2</v>
      </c>
      <c r="O13" s="51" t="n">
        <v>24.2</v>
      </c>
      <c r="P13" s="51" t="n">
        <v>26</v>
      </c>
      <c r="Q13" s="51" t="n">
        <v>26</v>
      </c>
      <c r="R13" s="51" t="n">
        <v>24.6</v>
      </c>
      <c r="S13" s="51" t="n">
        <v>25.8</v>
      </c>
      <c r="T13" s="51" t="n">
        <v>25.6</v>
      </c>
      <c r="U13" s="51" t="n">
        <v>23.4</v>
      </c>
      <c r="V13" s="51" t="n">
        <v>23.8</v>
      </c>
      <c r="W13" s="51" t="n">
        <v>26.8</v>
      </c>
      <c r="X13" s="51" t="n">
        <v>23.8</v>
      </c>
      <c r="Y13" s="51" t="n">
        <v>26.6</v>
      </c>
      <c r="Z13" s="111" t="n">
        <v>22.8</v>
      </c>
      <c r="AA13" s="111" t="n">
        <v>23.6</v>
      </c>
      <c r="AB13" s="51" t="n">
        <v>27.4</v>
      </c>
      <c r="AC13" s="51" t="n">
        <v>23.6</v>
      </c>
      <c r="AD13" s="51" t="n">
        <v>24</v>
      </c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88">
        <f>COUNTIF(K13:AO13,"&gt;0")</f>
        <v/>
      </c>
      <c r="AQ13" s="89">
        <f>IF(AP13&gt;14,AVERAGE(K13:AO13),"")</f>
        <v/>
      </c>
      <c r="AR13" s="89">
        <f>IFERROR(VLOOKUP(A13,Climatologia!A:U,9+$E$2,FALSE),"")</f>
        <v/>
      </c>
      <c r="AS13" s="89">
        <f>IF(OR(AQ13="",AR13=""),"",IFERROR(AQ13-AR13,""))</f>
        <v/>
      </c>
      <c r="AT13" s="90">
        <f>IF(COUNT(K13:AO13)=0,"",MIN(K13:AO13))</f>
        <v/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/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" s="92">
        <f>IF(OR(AT13="",AU13=""),"NA",IFERROR(AT13-AU13,"NA"))</f>
        <v/>
      </c>
    </row>
    <row r="14" ht="15" customHeight="1">
      <c r="A14" s="46" t="n">
        <v>23195502</v>
      </c>
      <c r="B14" s="52" t="inlineStr">
        <is>
          <t>Aeropuerto Palonegro</t>
        </is>
      </c>
      <c r="C14" s="52" t="inlineStr">
        <is>
          <t>Grupo Observación y Monitoreo</t>
        </is>
      </c>
      <c r="D14" s="53" t="n">
        <v>-73.185</v>
      </c>
      <c r="E14" s="53" t="n">
        <v>7.121</v>
      </c>
      <c r="F14" s="54" t="n">
        <v>1189</v>
      </c>
      <c r="G14" s="54" t="n">
        <v>68</v>
      </c>
      <c r="H14" s="54" t="n">
        <v>68406</v>
      </c>
      <c r="I14" s="55" t="inlineStr">
        <is>
          <t>Santander</t>
        </is>
      </c>
      <c r="J14" s="64" t="inlineStr">
        <is>
          <t>Lebrija</t>
        </is>
      </c>
      <c r="K14" s="51" t="n">
        <v>19.8</v>
      </c>
      <c r="L14" s="51" t="n">
        <v>18.8</v>
      </c>
      <c r="M14" s="51" t="n">
        <v>20.6</v>
      </c>
      <c r="N14" s="51" t="n">
        <v>19.4</v>
      </c>
      <c r="O14" s="51" t="n">
        <v>19.9</v>
      </c>
      <c r="P14" s="51" t="n">
        <v>20</v>
      </c>
      <c r="Q14" s="51" t="n">
        <v>20</v>
      </c>
      <c r="R14" s="51" t="n">
        <v>19.8</v>
      </c>
      <c r="S14" s="51" t="n">
        <v>20.5</v>
      </c>
      <c r="T14" s="51" t="n">
        <v>20.1</v>
      </c>
      <c r="U14" s="51" t="n">
        <v>17.6</v>
      </c>
      <c r="V14" s="51" t="n">
        <v>19.2</v>
      </c>
      <c r="W14" s="51" t="n">
        <v>20.1</v>
      </c>
      <c r="X14" s="51" t="n">
        <v>19.2</v>
      </c>
      <c r="Y14" s="51" t="n">
        <v>19.8</v>
      </c>
      <c r="Z14" s="111" t="n">
        <v>18.8</v>
      </c>
      <c r="AA14" s="111" t="n">
        <v>19.4</v>
      </c>
      <c r="AB14" s="51" t="n">
        <v>21.5</v>
      </c>
      <c r="AC14" s="51" t="n">
        <v>21.2</v>
      </c>
      <c r="AD14" s="51" t="n">
        <v>18.8</v>
      </c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88">
        <f>COUNTIF(K14:AO14,"&gt;0")</f>
        <v/>
      </c>
      <c r="AQ14" s="89">
        <f>IF(AP14&gt;14,AVERAGE(K14:AO14),"")</f>
        <v/>
      </c>
      <c r="AR14" s="89">
        <f>IFERROR(VLOOKUP(A14,Climatologia!A:U,9+$E$2,FALSE),"")</f>
        <v/>
      </c>
      <c r="AS14" s="89">
        <f>IF(OR(AQ14="",AR14=""),"",IFERROR(AQ14-AR14,""))</f>
        <v/>
      </c>
      <c r="AT14" s="90">
        <f>IF(COUNT(K14:AO14)=0,"",MIN(K14:AO14))</f>
        <v/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/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" s="92">
        <f>IF(OR(AT14="",AU14=""),"NA",IFERROR(AT14-AU14,"NA"))</f>
        <v/>
      </c>
    </row>
    <row r="15" ht="15" customHeight="1">
      <c r="A15" s="46" t="n">
        <v>16015010</v>
      </c>
      <c r="B15" s="47" t="inlineStr">
        <is>
          <t>Aeropuerto Camilo Daza</t>
        </is>
      </c>
      <c r="C15" s="52" t="inlineStr">
        <is>
          <t>Grupo Observación y Monitoreo</t>
        </is>
      </c>
      <c r="D15" s="49" t="n">
        <v>-72.509</v>
      </c>
      <c r="E15" s="49" t="n">
        <v>7.93</v>
      </c>
      <c r="F15" s="50" t="n">
        <v>250</v>
      </c>
      <c r="G15" s="50" t="n">
        <v>54</v>
      </c>
      <c r="H15" s="50" t="n">
        <v>54001</v>
      </c>
      <c r="I15" s="47" t="inlineStr">
        <is>
          <t>Norte de Santander</t>
        </is>
      </c>
      <c r="J15" s="63" t="inlineStr">
        <is>
          <t>Cúcuta</t>
        </is>
      </c>
      <c r="K15" s="51" t="n">
        <v>24.4</v>
      </c>
      <c r="L15" s="51" t="n">
        <v>25</v>
      </c>
      <c r="M15" s="51" t="n">
        <v>23.8</v>
      </c>
      <c r="N15" s="51" t="n">
        <v>24.4</v>
      </c>
      <c r="O15" s="51" t="n">
        <v>25.7</v>
      </c>
      <c r="P15" s="51" t="n">
        <v>27.8</v>
      </c>
      <c r="Q15" s="51" t="n">
        <v>24.6</v>
      </c>
      <c r="R15" s="51" t="n">
        <v>26.2</v>
      </c>
      <c r="S15" s="51" t="n">
        <v>27</v>
      </c>
      <c r="T15" s="51" t="n">
        <v>25.6</v>
      </c>
      <c r="U15" s="51" t="n">
        <v>23.2</v>
      </c>
      <c r="V15" s="51" t="n">
        <v>24.4</v>
      </c>
      <c r="W15" s="51" t="n">
        <v>25.3</v>
      </c>
      <c r="X15" s="51" t="n">
        <v>24.4</v>
      </c>
      <c r="Y15" s="51" t="n">
        <v>25.6</v>
      </c>
      <c r="Z15" s="111" t="n">
        <v>23.8</v>
      </c>
      <c r="AA15" s="51" t="n">
        <v>27.7</v>
      </c>
      <c r="AB15" s="51" t="n">
        <v>28</v>
      </c>
      <c r="AC15" s="51" t="n">
        <v>26.7</v>
      </c>
      <c r="AD15" s="51" t="n">
        <v>24.9</v>
      </c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88">
        <f>COUNTIF(K15:AO15,"&gt;0")</f>
        <v/>
      </c>
      <c r="AQ15" s="89">
        <f>IF(AP15&gt;14,AVERAGE(K15:AO15),"")</f>
        <v/>
      </c>
      <c r="AR15" s="89">
        <f>IFERROR(VLOOKUP(A15,Climatologia!A:U,9+$E$2,FALSE),"")</f>
        <v/>
      </c>
      <c r="AS15" s="89">
        <f>IF(OR(AQ15="",AR15=""),"",IFERROR(AQ15-AR15,""))</f>
        <v/>
      </c>
      <c r="AT15" s="90">
        <f>IF(COUNT(K15:AO15)=0,"",MIN(K15:AO15))</f>
        <v/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/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" s="92">
        <f>IF(OR(AT15="",AU15=""),"NA",IFERROR(AT15-AU15,"NA"))</f>
        <v/>
      </c>
    </row>
    <row r="16" ht="15" customHeight="1">
      <c r="A16" s="46" t="n">
        <v>12015070</v>
      </c>
      <c r="B16" s="52" t="inlineStr">
        <is>
          <t>Aeropuerto Los Cedros</t>
        </is>
      </c>
      <c r="C16" s="52" t="inlineStr">
        <is>
          <t>Grupo Observación y Monitoreo</t>
        </is>
      </c>
      <c r="D16" s="53" t="n">
        <v>-76.718</v>
      </c>
      <c r="E16" s="53" t="n">
        <v>7.816</v>
      </c>
      <c r="F16" s="54" t="n">
        <v>41</v>
      </c>
      <c r="G16" s="54" t="n">
        <v>5</v>
      </c>
      <c r="H16" s="54" t="n">
        <v>5147</v>
      </c>
      <c r="I16" s="55" t="inlineStr">
        <is>
          <t>Antioquia</t>
        </is>
      </c>
      <c r="J16" s="64" t="inlineStr">
        <is>
          <t>Carepa</t>
        </is>
      </c>
      <c r="K16" s="51" t="n">
        <v>23.1</v>
      </c>
      <c r="L16" s="51" t="n">
        <v>25</v>
      </c>
      <c r="M16" s="51" t="n">
        <v>25.5</v>
      </c>
      <c r="N16" s="51" t="n">
        <v>24.4</v>
      </c>
      <c r="O16" s="51" t="n">
        <v>26.2</v>
      </c>
      <c r="P16" s="51" t="n">
        <v>24.7</v>
      </c>
      <c r="Q16" s="51" t="n">
        <v>25.5</v>
      </c>
      <c r="R16" s="51" t="n">
        <v>25.4</v>
      </c>
      <c r="S16" s="51" t="n">
        <v>26.2</v>
      </c>
      <c r="T16" s="51" t="n">
        <v>24.2</v>
      </c>
      <c r="U16" s="51" t="n">
        <v>23.5</v>
      </c>
      <c r="V16" s="51" t="n">
        <v>23.5</v>
      </c>
      <c r="W16" s="51" t="n">
        <v>25.3</v>
      </c>
      <c r="X16" s="51" t="n">
        <v>23.5</v>
      </c>
      <c r="Y16" s="51" t="n">
        <v>24.9</v>
      </c>
      <c r="Z16" s="111" t="n">
        <v>25.1</v>
      </c>
      <c r="AA16" s="51" t="n">
        <v>26.5</v>
      </c>
      <c r="AB16" s="51" t="n">
        <v>26.9</v>
      </c>
      <c r="AC16" s="51" t="n">
        <v>25.7</v>
      </c>
      <c r="AD16" s="51" t="n">
        <v>25.4</v>
      </c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88">
        <f>COUNTIF(K16:AO16,"&gt;0")</f>
        <v/>
      </c>
      <c r="AQ16" s="89">
        <f>IF(AP16&gt;14,AVERAGE(K16:AO16),"")</f>
        <v/>
      </c>
      <c r="AR16" s="89">
        <f>IFERROR(VLOOKUP(A16,Climatologia!A:U,9+$E$2,FALSE),"")</f>
        <v/>
      </c>
      <c r="AS16" s="89">
        <f>IF(OR(AQ16="",AR16=""),"",IFERROR(AQ16-AR16,""))</f>
        <v/>
      </c>
      <c r="AT16" s="90">
        <f>IF(COUNT(K16:AO16)=0,"",MIN(K16:AO16))</f>
        <v/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/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" s="92">
        <f>IF(OR(AT16="",AU16=""),"NA",IFERROR(AT16-AU16,"NA"))</f>
        <v/>
      </c>
    </row>
    <row r="17" ht="15" customHeight="1">
      <c r="A17" s="46" t="n">
        <v>27015330</v>
      </c>
      <c r="B17" s="52" t="inlineStr">
        <is>
          <t xml:space="preserve">Aeropuerto Olaya Herrera - AUT </t>
        </is>
      </c>
      <c r="C17" s="52" t="inlineStr">
        <is>
          <t>Grupo Observación y Monitoreo</t>
        </is>
      </c>
      <c r="D17" s="53" t="n">
        <v>-75.59</v>
      </c>
      <c r="E17" s="53" t="n">
        <v>6.22</v>
      </c>
      <c r="F17" s="54" t="n">
        <v>1490</v>
      </c>
      <c r="G17" s="54" t="n">
        <v>5</v>
      </c>
      <c r="H17" s="54" t="n">
        <v>5001</v>
      </c>
      <c r="I17" s="55" t="inlineStr">
        <is>
          <t>Antioquia</t>
        </is>
      </c>
      <c r="J17" s="64" t="inlineStr">
        <is>
          <t>Medellín</t>
        </is>
      </c>
      <c r="K17" s="51" t="n">
        <v>18</v>
      </c>
      <c r="L17" s="51" t="n">
        <v>18.2</v>
      </c>
      <c r="M17" s="51" t="n">
        <v>19.6</v>
      </c>
      <c r="N17" s="51" t="n">
        <v>19.9</v>
      </c>
      <c r="O17" s="51" t="n">
        <v>18.7</v>
      </c>
      <c r="P17" s="51" t="n">
        <v>18.7</v>
      </c>
      <c r="Q17" s="51" t="n">
        <v>18.7</v>
      </c>
      <c r="R17" s="51" t="n">
        <v>18.3</v>
      </c>
      <c r="S17" s="51" t="n">
        <v>19.2</v>
      </c>
      <c r="T17" s="51" t="n">
        <v>18.4</v>
      </c>
      <c r="U17" s="51" t="n">
        <v>17.4</v>
      </c>
      <c r="V17" s="51" t="n">
        <v>19.6</v>
      </c>
      <c r="W17" s="51" t="n">
        <v>19.2</v>
      </c>
      <c r="X17" s="51" t="n">
        <v>19.6</v>
      </c>
      <c r="Y17" s="51" t="n">
        <v>19.1</v>
      </c>
      <c r="Z17" s="111" t="n">
        <v>19.3</v>
      </c>
      <c r="AA17" s="51" t="n">
        <v>17.9</v>
      </c>
      <c r="AB17" s="51" t="n">
        <v>18.7</v>
      </c>
      <c r="AC17" s="51" t="n">
        <v>19</v>
      </c>
      <c r="AD17" s="51" t="n">
        <v>18.4</v>
      </c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88">
        <f>COUNTIF(K17:AO17,"&gt;0")</f>
        <v/>
      </c>
      <c r="AQ17" s="89">
        <f>IF(AP17&gt;14,AVERAGE(K17:AO17),"")</f>
        <v/>
      </c>
      <c r="AR17" s="89">
        <f>IFERROR(VLOOKUP(A17,Climatologia!A:U,9+$E$2,FALSE),"")</f>
        <v/>
      </c>
      <c r="AS17" s="89">
        <f>IF(OR(AQ17="",AR17=""),"",IFERROR(AQ17-AR17,""))</f>
        <v/>
      </c>
      <c r="AT17" s="90">
        <f>IF(COUNT(K17:AO17)=0,"",MIN(K17:AO17))</f>
        <v/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/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" s="92">
        <f>IF(OR(AT17="",AU17=""),"NA",IFERROR(AT17-AU17,"NA"))</f>
        <v/>
      </c>
    </row>
    <row r="18" ht="15" customHeight="1">
      <c r="A18" s="46" t="n">
        <v>23085270</v>
      </c>
      <c r="B18" s="47" t="inlineStr">
        <is>
          <t xml:space="preserve">Aeropuerto José María Córdova - AUT </t>
        </is>
      </c>
      <c r="C18" s="52" t="inlineStr">
        <is>
          <t>Grupo Observación y Monitoreo</t>
        </is>
      </c>
      <c r="D18" s="49" t="n">
        <v>-75.43000000000001</v>
      </c>
      <c r="E18" s="49" t="n">
        <v>6.17</v>
      </c>
      <c r="F18" s="50" t="n">
        <v>2157</v>
      </c>
      <c r="G18" s="50" t="n">
        <v>5</v>
      </c>
      <c r="H18" s="50" t="n">
        <v>5615</v>
      </c>
      <c r="I18" s="47" t="inlineStr">
        <is>
          <t>Antioquia</t>
        </is>
      </c>
      <c r="J18" s="63" t="inlineStr">
        <is>
          <t>Rionegro</t>
        </is>
      </c>
      <c r="K18" s="51" t="n">
        <v>13.6</v>
      </c>
      <c r="L18" s="51" t="n">
        <v>14</v>
      </c>
      <c r="M18" s="51" t="n">
        <v>12</v>
      </c>
      <c r="N18" s="51" t="n">
        <v>13.4</v>
      </c>
      <c r="O18" s="51" t="n">
        <v>11.6</v>
      </c>
      <c r="P18" s="51" t="n">
        <v>10.6</v>
      </c>
      <c r="Q18" s="51" t="n">
        <v>10.3</v>
      </c>
      <c r="R18" s="51" t="n">
        <v>13</v>
      </c>
      <c r="S18" s="51" t="n">
        <v>10.8</v>
      </c>
      <c r="T18" s="51" t="n">
        <v>13.2</v>
      </c>
      <c r="U18" s="51" t="n">
        <v>13.3</v>
      </c>
      <c r="V18" s="51" t="n">
        <v>13.8</v>
      </c>
      <c r="W18" s="51" t="n">
        <v>12</v>
      </c>
      <c r="X18" s="51" t="n">
        <v>13.8</v>
      </c>
      <c r="Y18" s="51" t="n">
        <v>13.1</v>
      </c>
      <c r="Z18" s="111" t="n">
        <v>14.2</v>
      </c>
      <c r="AA18" s="51" t="n">
        <v>10.4</v>
      </c>
      <c r="AB18" s="51" t="n">
        <v>10</v>
      </c>
      <c r="AC18" s="51" t="n">
        <v>11.2</v>
      </c>
      <c r="AD18" s="51" t="n">
        <v>12</v>
      </c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88">
        <f>COUNTIF(K18:AO18,"&gt;0")</f>
        <v/>
      </c>
      <c r="AQ18" s="89">
        <f>IF(AP18&gt;14,AVERAGE(K18:AO18),"")</f>
        <v/>
      </c>
      <c r="AR18" s="89">
        <f>IFERROR(VLOOKUP(A18,Climatologia!A:U,9+$E$2,FALSE),"")</f>
        <v/>
      </c>
      <c r="AS18" s="89">
        <f>IF(OR(AQ18="",AR18=""),"",IFERROR(AQ18-AR18,""))</f>
        <v/>
      </c>
      <c r="AT18" s="90">
        <f>IF(COUNT(K18:AO18)=0,"",MIN(K18:AO18))</f>
        <v/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/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" s="92">
        <f>IF(OR(AT18="",AU18=""),"NA",IFERROR(AT18-AU18,"NA"))</f>
        <v/>
      </c>
    </row>
    <row r="19" ht="15" customHeight="1">
      <c r="A19" s="46" t="n">
        <v>26135040</v>
      </c>
      <c r="B19" s="47" t="inlineStr">
        <is>
          <t>Aeropuerto Matecaña</t>
        </is>
      </c>
      <c r="C19" s="52" t="inlineStr">
        <is>
          <t>Grupo Observación y Monitoreo</t>
        </is>
      </c>
      <c r="D19" s="49" t="n">
        <v>-75.73699999999999</v>
      </c>
      <c r="E19" s="49" t="n">
        <v>4.816</v>
      </c>
      <c r="F19" s="50" t="n">
        <v>1342</v>
      </c>
      <c r="G19" s="50" t="n">
        <v>66</v>
      </c>
      <c r="H19" s="50" t="n">
        <v>66001</v>
      </c>
      <c r="I19" s="47" t="inlineStr">
        <is>
          <t>Risaralda</t>
        </is>
      </c>
      <c r="J19" s="63" t="inlineStr">
        <is>
          <t>Pereira</t>
        </is>
      </c>
      <c r="K19" s="51" t="n">
        <v>19</v>
      </c>
      <c r="L19" s="51" t="n">
        <v>19</v>
      </c>
      <c r="M19" s="51" t="n">
        <v>19</v>
      </c>
      <c r="N19" s="51" t="n">
        <v>19.1</v>
      </c>
      <c r="O19" s="51" t="n">
        <v>18.8</v>
      </c>
      <c r="P19" s="51" t="n">
        <v>19.2</v>
      </c>
      <c r="Q19" s="51" t="n">
        <v>18</v>
      </c>
      <c r="R19" s="51" t="n">
        <v>17.5</v>
      </c>
      <c r="S19" s="51" t="n">
        <v>18.4</v>
      </c>
      <c r="T19" s="51" t="n">
        <v>19.1</v>
      </c>
      <c r="U19" s="51" t="n">
        <v>19.6</v>
      </c>
      <c r="V19" s="51" t="n">
        <v>18.2</v>
      </c>
      <c r="W19" s="51" t="n">
        <v>18.4</v>
      </c>
      <c r="X19" s="51" t="n">
        <v>18.2</v>
      </c>
      <c r="Y19" s="51" t="n">
        <v>18.4</v>
      </c>
      <c r="Z19" s="111" t="n">
        <v>19.2</v>
      </c>
      <c r="AA19" s="51" t="n">
        <v>18.5</v>
      </c>
      <c r="AB19" s="51" t="n">
        <v>19.9</v>
      </c>
      <c r="AC19" s="51" t="n">
        <v>19.8</v>
      </c>
      <c r="AD19" s="51" t="n">
        <v>20</v>
      </c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88">
        <f>COUNTIF(K19:AO19,"&gt;0")</f>
        <v/>
      </c>
      <c r="AQ19" s="89">
        <f>IF(AP19&gt;14,AVERAGE(K19:AO19),"")</f>
        <v/>
      </c>
      <c r="AR19" s="89">
        <f>IFERROR(VLOOKUP(A19,Climatologia!A:U,9+$E$2,FALSE),"")</f>
        <v/>
      </c>
      <c r="AS19" s="89">
        <f>IF(OR(AQ19="",AR19=""),"",IFERROR(AQ19-AR19,""))</f>
        <v/>
      </c>
      <c r="AT19" s="90">
        <f>IF(COUNT(K19:AO19)=0,"",MIN(K19:AO19))</f>
        <v/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/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" s="92">
        <f>IF(OR(AT19="",AU19=""),"NA",IFERROR(AT19-AU19,"NA"))</f>
        <v/>
      </c>
    </row>
    <row r="20" ht="15" customHeight="1">
      <c r="A20" s="46" t="n">
        <v>26125061</v>
      </c>
      <c r="B20" s="47" t="inlineStr">
        <is>
          <t xml:space="preserve">Aeropuerto El Edén - AUT </t>
        </is>
      </c>
      <c r="C20" s="52" t="inlineStr">
        <is>
          <t>Grupo Observación y Monitoreo</t>
        </is>
      </c>
      <c r="D20" s="49" t="n">
        <v>-75.76600000000001</v>
      </c>
      <c r="E20" s="49" t="n">
        <v>4.455</v>
      </c>
      <c r="F20" s="50" t="n">
        <v>1229</v>
      </c>
      <c r="G20" s="50" t="n">
        <v>63</v>
      </c>
      <c r="H20" s="50" t="n">
        <v>63001</v>
      </c>
      <c r="I20" s="47" t="inlineStr">
        <is>
          <t>Quindío</t>
        </is>
      </c>
      <c r="J20" s="63" t="inlineStr">
        <is>
          <t xml:space="preserve">Armenia </t>
        </is>
      </c>
      <c r="K20" s="51" t="n">
        <v>18.9</v>
      </c>
      <c r="L20" s="51" t="n">
        <v>19.2</v>
      </c>
      <c r="M20" s="51" t="n">
        <v>19</v>
      </c>
      <c r="N20" s="51" t="n">
        <v>17.7</v>
      </c>
      <c r="O20" s="51" t="n">
        <v>17.6</v>
      </c>
      <c r="P20" s="51" t="n">
        <v>18.7</v>
      </c>
      <c r="Q20" s="51" t="n">
        <v>16.7</v>
      </c>
      <c r="R20" s="51" t="n">
        <v>15.4</v>
      </c>
      <c r="S20" s="51" t="n">
        <v>16.6</v>
      </c>
      <c r="T20" s="51" t="n">
        <v>17.3</v>
      </c>
      <c r="U20" s="51" t="n">
        <v>18.6</v>
      </c>
      <c r="V20" s="51" t="n">
        <v>17.5</v>
      </c>
      <c r="W20" s="51" t="n">
        <v>18</v>
      </c>
      <c r="X20" s="51" t="n">
        <v>17.5</v>
      </c>
      <c r="Y20" s="51" t="n">
        <v>17.8</v>
      </c>
      <c r="Z20" s="111" t="n">
        <v>18.3</v>
      </c>
      <c r="AA20" s="51" t="n">
        <v>16.1</v>
      </c>
      <c r="AB20" s="51" t="n">
        <v>18.2</v>
      </c>
      <c r="AC20" s="51" t="n">
        <v>18.8</v>
      </c>
      <c r="AD20" s="51" t="n">
        <v>19.1</v>
      </c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88">
        <f>COUNTIF(K20:AO20,"&gt;0")</f>
        <v/>
      </c>
      <c r="AQ20" s="89">
        <f>IF(AP20&gt;14,AVERAGE(K20:AO20),"")</f>
        <v/>
      </c>
      <c r="AR20" s="89">
        <f>IFERROR(VLOOKUP(A20,Climatologia!A:U,9+$E$2,FALSE),"")</f>
        <v/>
      </c>
      <c r="AS20" s="89">
        <f>IF(OR(AQ20="",AR20=""),"",IFERROR(AQ20-AR20,""))</f>
        <v/>
      </c>
      <c r="AT20" s="90">
        <f>IF(COUNT(K20:AO20)=0,"",MIN(K20:AO20))</f>
        <v/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/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" s="92">
        <f>IF(OR(AT20="",AU20=""),"NA",IFERROR(AT20-AU20,"NA"))</f>
        <v/>
      </c>
    </row>
    <row r="21" ht="15" customHeight="1">
      <c r="A21" s="48" t="n">
        <v>21245040</v>
      </c>
      <c r="B21" s="55" t="inlineStr">
        <is>
          <t>Aeropuerto Perales</t>
        </is>
      </c>
      <c r="C21" s="52" t="inlineStr">
        <is>
          <t>Grupo Observación y Monitoreo</t>
        </is>
      </c>
      <c r="D21" s="53" t="n">
        <v>-75.139</v>
      </c>
      <c r="E21" s="53" t="n">
        <v>4.424</v>
      </c>
      <c r="F21" s="54" t="n">
        <v>943</v>
      </c>
      <c r="G21" s="46" t="n">
        <v>73</v>
      </c>
      <c r="H21" s="46" t="n">
        <v>73001</v>
      </c>
      <c r="I21" s="55" t="inlineStr">
        <is>
          <t>Tolima</t>
        </is>
      </c>
      <c r="J21" s="55" t="inlineStr">
        <is>
          <t>Ibagué</t>
        </is>
      </c>
      <c r="K21" s="51" t="n">
        <v>21.1</v>
      </c>
      <c r="L21" s="51" t="n">
        <v>19.6</v>
      </c>
      <c r="M21" s="51" t="n">
        <v>20.9</v>
      </c>
      <c r="N21" s="51" t="n">
        <v>21.6</v>
      </c>
      <c r="O21" s="51" t="n">
        <v>21.8</v>
      </c>
      <c r="P21" s="51" t="n">
        <v>21.9</v>
      </c>
      <c r="Q21" s="51" t="n">
        <v>20.8</v>
      </c>
      <c r="R21" s="51" t="n">
        <v>21.4</v>
      </c>
      <c r="S21" s="51" t="n">
        <v>22</v>
      </c>
      <c r="T21" s="51" t="n">
        <v>21.7</v>
      </c>
      <c r="U21" s="51" t="n">
        <v>21.4</v>
      </c>
      <c r="V21" s="51" t="n">
        <v>19.6</v>
      </c>
      <c r="W21" s="51" t="n">
        <v>21.8</v>
      </c>
      <c r="X21" s="51" t="n">
        <v>19.6</v>
      </c>
      <c r="Y21" s="51" t="n">
        <v>22.1</v>
      </c>
      <c r="Z21" s="111" t="n">
        <v>21.6</v>
      </c>
      <c r="AA21" s="51" t="n">
        <v>21.9</v>
      </c>
      <c r="AB21" s="51" t="n">
        <v>23.4</v>
      </c>
      <c r="AC21" s="51" t="n">
        <v>22.2</v>
      </c>
      <c r="AD21" s="51" t="n">
        <v>21.3</v>
      </c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88">
        <f>COUNTIF(K21:AO21,"&gt;0")</f>
        <v/>
      </c>
      <c r="AQ21" s="89">
        <f>IF(AP21&gt;14,AVERAGE(K21:AO21),"")</f>
        <v/>
      </c>
      <c r="AR21" s="89">
        <f>IFERROR(VLOOKUP(A21,Climatologia!A:U,9+$E$2,FALSE),"")</f>
        <v/>
      </c>
      <c r="AS21" s="89">
        <f>IF(OR(AQ21="",AR21=""),"",IFERROR(AQ21-AR21,""))</f>
        <v/>
      </c>
      <c r="AT21" s="90">
        <f>IF(COUNT(K21:AO21)=0,"",MIN(K21:AO21))</f>
        <v/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/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1" s="92">
        <f>IF(OR(AT21="",AU21=""),"NA",IFERROR(AT21-AU21,"NA"))</f>
        <v/>
      </c>
    </row>
    <row r="22" ht="15" customHeight="1">
      <c r="A22" s="46" t="n">
        <v>21205791</v>
      </c>
      <c r="B22" s="52" t="inlineStr">
        <is>
          <t xml:space="preserve">Aeropuerto El Dorado Catam - AUT </t>
        </is>
      </c>
      <c r="C22" s="52" t="inlineStr">
        <is>
          <t>Grupo Observación y Monitoreo</t>
        </is>
      </c>
      <c r="D22" s="53" t="n">
        <v>-74.151</v>
      </c>
      <c r="E22" s="53" t="n">
        <v>4.706</v>
      </c>
      <c r="F22" s="54" t="n">
        <v>2547</v>
      </c>
      <c r="G22" s="54" t="n">
        <v>25</v>
      </c>
      <c r="H22" s="54" t="n">
        <v>11001</v>
      </c>
      <c r="I22" s="55" t="inlineStr">
        <is>
          <t>Cundinamarca</t>
        </is>
      </c>
      <c r="J22" s="64" t="inlineStr">
        <is>
          <t>Bogotá</t>
        </is>
      </c>
      <c r="K22" s="51" t="n">
        <v>9.6</v>
      </c>
      <c r="L22" s="51" t="n">
        <v>9.6</v>
      </c>
      <c r="M22" s="51" t="n">
        <v>9.6</v>
      </c>
      <c r="N22" s="51" t="n">
        <v>9</v>
      </c>
      <c r="O22" s="51" t="n">
        <v>9.6</v>
      </c>
      <c r="P22" s="51" t="n">
        <v>7.6</v>
      </c>
      <c r="Q22" s="51" t="n">
        <v>7.7</v>
      </c>
      <c r="R22" s="51" t="n">
        <v>7.4</v>
      </c>
      <c r="S22" s="51" t="n">
        <v>12.1</v>
      </c>
      <c r="T22" s="51" t="n">
        <v>7.8</v>
      </c>
      <c r="U22" s="51" t="n">
        <v>9.800000000000001</v>
      </c>
      <c r="V22" s="51" t="n">
        <v>8.300000000000001</v>
      </c>
      <c r="W22" s="51" t="n">
        <v>8.1</v>
      </c>
      <c r="X22" s="51" t="n">
        <v>8.300000000000001</v>
      </c>
      <c r="Y22" s="51" t="n">
        <v>8.6</v>
      </c>
      <c r="Z22" s="111" t="n">
        <v>11.2</v>
      </c>
      <c r="AA22" s="51" t="n">
        <v>8.800000000000001</v>
      </c>
      <c r="AB22" s="51" t="n">
        <v>7.9</v>
      </c>
      <c r="AC22" s="51" t="n">
        <v>8.9</v>
      </c>
      <c r="AD22" s="51" t="n">
        <v>9.699999999999999</v>
      </c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88">
        <f>COUNTIF(K22:AO22,"&gt;0")</f>
        <v/>
      </c>
      <c r="AQ22" s="89">
        <f>IF(AP22&gt;14,AVERAGE(K22:AO22),"")</f>
        <v/>
      </c>
      <c r="AR22" s="89">
        <f>IFERROR(VLOOKUP(A22,Climatologia!A:U,9+$E$2,FALSE),"")</f>
        <v/>
      </c>
      <c r="AS22" s="89">
        <f>IF(OR(AQ22="",AR22=""),"",IFERROR(AQ22-AR22,""))</f>
        <v/>
      </c>
      <c r="AT22" s="90">
        <f>IF(COUNT(K22:AO22)=0,"",MIN(K22:AO22))</f>
        <v/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/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2" s="92">
        <f>IF(OR(AT22="",AU22=""),"NA",IFERROR(AT22-AU22,"NA"))</f>
        <v/>
      </c>
    </row>
    <row r="23" ht="15" customHeight="1">
      <c r="A23" s="46" t="n">
        <v>26075040</v>
      </c>
      <c r="B23" s="47" t="inlineStr">
        <is>
          <t>Aeropuerto Alfonso Bonilla</t>
        </is>
      </c>
      <c r="C23" s="52" t="inlineStr">
        <is>
          <t>Grupo Observación y Monitoreo</t>
        </is>
      </c>
      <c r="D23" s="49" t="n">
        <v>-76.387</v>
      </c>
      <c r="E23" s="49" t="n">
        <v>3.537</v>
      </c>
      <c r="F23" s="50" t="n">
        <v>970</v>
      </c>
      <c r="G23" s="46" t="n">
        <v>76</v>
      </c>
      <c r="H23" s="46" t="n">
        <v>76520</v>
      </c>
      <c r="I23" s="55" t="inlineStr">
        <is>
          <t>Valle del Cauca</t>
        </is>
      </c>
      <c r="J23" s="55" t="inlineStr">
        <is>
          <t>Palmira</t>
        </is>
      </c>
      <c r="K23" s="51" t="n">
        <v>19.4</v>
      </c>
      <c r="L23" s="51" t="n">
        <v>19.1</v>
      </c>
      <c r="M23" s="51" t="n">
        <v>20.6</v>
      </c>
      <c r="N23" s="51" t="n">
        <v>19.7</v>
      </c>
      <c r="O23" s="51" t="n">
        <v>18.9</v>
      </c>
      <c r="P23" s="51" t="n">
        <v>19.3</v>
      </c>
      <c r="Q23" s="51" t="n">
        <v>20.4</v>
      </c>
      <c r="R23" s="51" t="n">
        <v>17.4</v>
      </c>
      <c r="S23" s="51" t="n">
        <v>18.3</v>
      </c>
      <c r="T23" s="51" t="n">
        <v>18.4</v>
      </c>
      <c r="U23" s="51" t="n">
        <v>20.8</v>
      </c>
      <c r="V23" s="51" t="n">
        <v>19.3</v>
      </c>
      <c r="W23" s="51" t="n">
        <v>19.3</v>
      </c>
      <c r="X23" s="51" t="n">
        <v>19.3</v>
      </c>
      <c r="Y23" s="51" t="n">
        <v>20.1</v>
      </c>
      <c r="Z23" s="111" t="n">
        <v>19.7</v>
      </c>
      <c r="AA23" s="51" t="n">
        <v>17.7</v>
      </c>
      <c r="AB23" s="51" t="n">
        <v>19.5</v>
      </c>
      <c r="AC23" s="51" t="n">
        <v>19</v>
      </c>
      <c r="AD23" s="51" t="n">
        <v>21.1</v>
      </c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88">
        <f>COUNTIF(K23:AO23,"&gt;0")</f>
        <v/>
      </c>
      <c r="AQ23" s="89">
        <f>IF(AP23&gt;14,AVERAGE(K23:AO23),"")</f>
        <v/>
      </c>
      <c r="AR23" s="89">
        <f>IFERROR(VLOOKUP(A23,Climatologia!A:U,9+$E$2,FALSE),"")</f>
        <v/>
      </c>
      <c r="AS23" s="89">
        <f>IF(OR(AQ23="",AR23=""),"",IFERROR(AQ23-AR23,""))</f>
        <v/>
      </c>
      <c r="AT23" s="90">
        <f>IF(COUNT(K23:AO23)=0,"",MIN(K23:AO23))</f>
        <v/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/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3" s="92">
        <f>IF(OR(AT23="",AU23=""),"NA",IFERROR(AT23-AU23,"NA"))</f>
        <v/>
      </c>
    </row>
    <row r="24" ht="15" customHeight="1">
      <c r="A24" s="46" t="n">
        <v>21115020</v>
      </c>
      <c r="B24" s="55" t="inlineStr">
        <is>
          <t>Aeropuerto Benito Salas</t>
        </is>
      </c>
      <c r="C24" s="52" t="inlineStr">
        <is>
          <t>Grupo Observación y Monitoreo</t>
        </is>
      </c>
      <c r="D24" s="53" t="n">
        <v>-75.29300000000001</v>
      </c>
      <c r="E24" s="53" t="n">
        <v>2.949</v>
      </c>
      <c r="F24" s="54" t="n">
        <v>439</v>
      </c>
      <c r="G24" s="46" t="n">
        <v>41</v>
      </c>
      <c r="H24" s="46" t="n">
        <v>41001</v>
      </c>
      <c r="I24" s="55" t="inlineStr">
        <is>
          <t>Huila</t>
        </is>
      </c>
      <c r="J24" s="55" t="inlineStr">
        <is>
          <t>Neiva</t>
        </is>
      </c>
      <c r="K24" s="51" t="n">
        <v>23.8</v>
      </c>
      <c r="L24" s="51" t="n">
        <v>23.8</v>
      </c>
      <c r="M24" s="51" t="n">
        <v>22.6</v>
      </c>
      <c r="N24" s="51" t="n">
        <v>23</v>
      </c>
      <c r="O24" s="51" t="n">
        <v>25.8</v>
      </c>
      <c r="P24" s="51" t="n">
        <v>26.6</v>
      </c>
      <c r="Q24" s="51" t="n">
        <v>26.8</v>
      </c>
      <c r="R24" s="51" t="n">
        <v>23.2</v>
      </c>
      <c r="S24" s="51" t="n">
        <v>23</v>
      </c>
      <c r="T24" s="51" t="n">
        <v>25</v>
      </c>
      <c r="U24" s="51" t="n">
        <v>24.8</v>
      </c>
      <c r="V24" s="51" t="n">
        <v>23.7</v>
      </c>
      <c r="W24" s="51" t="n">
        <v>24.7</v>
      </c>
      <c r="X24" s="51" t="n">
        <v>23.7</v>
      </c>
      <c r="Y24" s="51" t="n">
        <v>26.3</v>
      </c>
      <c r="Z24" s="111" t="n">
        <v>24</v>
      </c>
      <c r="AA24" s="51" t="n">
        <v>25.1</v>
      </c>
      <c r="AB24" s="51" t="n">
        <v>26.4</v>
      </c>
      <c r="AC24" s="51" t="n">
        <v>26.1</v>
      </c>
      <c r="AD24" s="51" t="n">
        <v>26.1</v>
      </c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88">
        <f>COUNTIF(K24:AO24,"&gt;0")</f>
        <v/>
      </c>
      <c r="AQ24" s="89">
        <f>IF(AP24&gt;14,AVERAGE(K24:AO24),"")</f>
        <v/>
      </c>
      <c r="AR24" s="89">
        <f>IFERROR(VLOOKUP(A24,Climatologia!A:U,9+$E$2,FALSE),"")</f>
        <v/>
      </c>
      <c r="AS24" s="89">
        <f>IF(OR(AQ24="",AR24=""),"",IFERROR(AQ24-AR24,""))</f>
        <v/>
      </c>
      <c r="AT24" s="90">
        <f>IF(COUNT(K24:AO24)=0,"",MIN(K24:AO24))</f>
        <v/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/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4" s="92">
        <f>IF(OR(AT24="",AU24=""),"NA",IFERROR(AT24-AU24,"NA"))</f>
        <v/>
      </c>
    </row>
    <row r="25" ht="15" customHeight="1">
      <c r="A25" s="46" t="n">
        <v>52045020</v>
      </c>
      <c r="B25" s="52" t="inlineStr">
        <is>
          <t>Aeropuerto Antonio Nariño</t>
        </is>
      </c>
      <c r="C25" s="52" t="inlineStr">
        <is>
          <t>Grupo Observación y Monitoreo</t>
        </is>
      </c>
      <c r="D25" s="53" t="n">
        <v>-77.291</v>
      </c>
      <c r="E25" s="53" t="n">
        <v>1.394</v>
      </c>
      <c r="F25" s="54" t="n">
        <v>1796</v>
      </c>
      <c r="G25" s="54" t="n">
        <v>52</v>
      </c>
      <c r="H25" s="54" t="n">
        <v>52240</v>
      </c>
      <c r="I25" s="55" t="inlineStr">
        <is>
          <t>Nariño</t>
        </is>
      </c>
      <c r="J25" s="64" t="inlineStr">
        <is>
          <t>Chachaguí</t>
        </is>
      </c>
      <c r="K25" s="51" t="n">
        <v>12.6</v>
      </c>
      <c r="L25" s="51" t="n">
        <v>15.2</v>
      </c>
      <c r="M25" s="51" t="n">
        <v>17.2</v>
      </c>
      <c r="N25" s="51" t="n">
        <v>16</v>
      </c>
      <c r="O25" s="51" t="n">
        <v>16.8</v>
      </c>
      <c r="P25" s="51" t="n">
        <v>17</v>
      </c>
      <c r="Q25" s="51" t="n">
        <v>16.8</v>
      </c>
      <c r="R25" s="51" t="n">
        <v>16.5</v>
      </c>
      <c r="S25" s="51" t="n">
        <v>17.8</v>
      </c>
      <c r="T25" s="51" t="n">
        <v>14.4</v>
      </c>
      <c r="U25" s="51" t="n">
        <v>15.6</v>
      </c>
      <c r="V25" s="51" t="n">
        <v>15.4</v>
      </c>
      <c r="W25" s="51" t="n">
        <v>16</v>
      </c>
      <c r="X25" s="51" t="n">
        <v>15.4</v>
      </c>
      <c r="Y25" s="51" t="n">
        <v>16.2</v>
      </c>
      <c r="Z25" s="111" t="n">
        <v>16.2</v>
      </c>
      <c r="AA25" s="51" t="n">
        <v>16.9</v>
      </c>
      <c r="AB25" s="51" t="n">
        <v>16.6</v>
      </c>
      <c r="AC25" s="51" t="n">
        <v>16.2</v>
      </c>
      <c r="AD25" s="51" t="n">
        <v>15.6</v>
      </c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88">
        <f>COUNTIF(K25:AO25,"&gt;0")</f>
        <v/>
      </c>
      <c r="AQ25" s="89">
        <f>IF(AP25&gt;14,AVERAGE(K25:AO25),"")</f>
        <v/>
      </c>
      <c r="AR25" s="89">
        <f>IFERROR(VLOOKUP(A25,Climatologia!A:U,9+$E$2,FALSE),"")</f>
        <v/>
      </c>
      <c r="AS25" s="89">
        <f>IF(OR(AQ25="",AR25=""),"",IFERROR(AQ25-AR25,""))</f>
        <v/>
      </c>
      <c r="AT25" s="90">
        <f>IF(COUNT(K25:AO25)=0,"",MIN(K25:AO25))</f>
        <v/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/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5" s="92">
        <f>IF(OR(AT25="",AU25=""),"NA",IFERROR(AT25-AU25,"NA"))</f>
        <v/>
      </c>
    </row>
    <row r="26" ht="15" customHeight="1">
      <c r="A26" s="46" t="n">
        <v>52055230</v>
      </c>
      <c r="B26" s="52" t="inlineStr">
        <is>
          <t xml:space="preserve">Aeropuerto San Luis - AUT </t>
        </is>
      </c>
      <c r="C26" s="52" t="inlineStr">
        <is>
          <t>Grupo Observación y Monitoreo</t>
        </is>
      </c>
      <c r="D26" s="53" t="n">
        <v>-77.678</v>
      </c>
      <c r="E26" s="53" t="n">
        <v>0.857</v>
      </c>
      <c r="F26" s="54" t="n">
        <v>2961</v>
      </c>
      <c r="G26" s="54" t="n">
        <v>52</v>
      </c>
      <c r="H26" s="54" t="n">
        <v>52022</v>
      </c>
      <c r="I26" s="55" t="inlineStr">
        <is>
          <t>Nariño</t>
        </is>
      </c>
      <c r="J26" s="64" t="inlineStr">
        <is>
          <t>Aldana</t>
        </is>
      </c>
      <c r="K26" s="51" t="n">
        <v>2</v>
      </c>
      <c r="L26" s="51" t="n">
        <v>5.2</v>
      </c>
      <c r="M26" s="51" t="n">
        <v>6.4</v>
      </c>
      <c r="N26" s="51" t="n">
        <v>7.2</v>
      </c>
      <c r="O26" s="51" t="n">
        <v>7.6</v>
      </c>
      <c r="P26" s="51" t="n">
        <v>2.6</v>
      </c>
      <c r="Q26" s="51" t="n">
        <v>5</v>
      </c>
      <c r="R26" s="51" t="n">
        <v>4</v>
      </c>
      <c r="S26" s="51" t="n">
        <v>7.8</v>
      </c>
      <c r="T26" s="51" t="n">
        <v>7.2</v>
      </c>
      <c r="U26" s="51" t="n">
        <v>6.2</v>
      </c>
      <c r="V26" s="51" t="n">
        <v>4.2</v>
      </c>
      <c r="W26" s="51" t="n">
        <v>5.2</v>
      </c>
      <c r="X26" s="51" t="n">
        <v>4.2</v>
      </c>
      <c r="Y26" s="51" t="n">
        <v>9.4</v>
      </c>
      <c r="Z26" s="111" t="n">
        <v>6</v>
      </c>
      <c r="AA26" s="51" t="n">
        <v>8</v>
      </c>
      <c r="AB26" s="51" t="n">
        <v>7.4</v>
      </c>
      <c r="AC26" s="51" t="n">
        <v>7.6</v>
      </c>
      <c r="AD26" s="51" t="n">
        <v>6.8</v>
      </c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88">
        <f>COUNTIF(K26:AO26,"&gt;0")</f>
        <v/>
      </c>
      <c r="AQ26" s="89">
        <f>IF(AP26&gt;14,AVERAGE(K26:AO26),"")</f>
        <v/>
      </c>
      <c r="AR26" s="89">
        <f>IFERROR(VLOOKUP(A26,Climatologia!A:U,9+$E$2,FALSE),"")</f>
        <v/>
      </c>
      <c r="AS26" s="89">
        <f>IF(OR(AQ26="",AR26=""),"",IFERROR(AQ26-AR26,""))</f>
        <v/>
      </c>
      <c r="AT26" s="90">
        <f>IF(COUNT(K26:AO26)=0,"",MIN(K26:AO26))</f>
        <v/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/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6" s="92">
        <f>IF(OR(AT26="",AU26=""),"NA",IFERROR(AT26-AU26,"NA"))</f>
        <v/>
      </c>
    </row>
    <row r="27" ht="15" customHeight="1">
      <c r="A27" s="46" t="n">
        <v>11045010</v>
      </c>
      <c r="B27" s="55" t="inlineStr">
        <is>
          <t>Aeropuerto El Caraño</t>
        </is>
      </c>
      <c r="C27" s="52" t="inlineStr">
        <is>
          <t>Grupo Observación y Monitoreo</t>
        </is>
      </c>
      <c r="D27" s="53" t="n">
        <v>-76.64400000000001</v>
      </c>
      <c r="E27" s="53" t="n">
        <v>5.691</v>
      </c>
      <c r="F27" s="54" t="n">
        <v>75</v>
      </c>
      <c r="G27" s="46" t="n">
        <v>27</v>
      </c>
      <c r="H27" s="46" t="n">
        <v>27001</v>
      </c>
      <c r="I27" s="55" t="inlineStr">
        <is>
          <t>Chocó</t>
        </is>
      </c>
      <c r="J27" s="55" t="inlineStr">
        <is>
          <t>Quibdó</t>
        </is>
      </c>
      <c r="K27" s="51" t="n">
        <v>24.2</v>
      </c>
      <c r="L27" s="51" t="n">
        <v>24.4</v>
      </c>
      <c r="M27" s="51" t="n">
        <v>25.1</v>
      </c>
      <c r="N27" s="51" t="n">
        <v>24.3</v>
      </c>
      <c r="O27" s="51" t="n">
        <v>24.6</v>
      </c>
      <c r="P27" s="51" t="n">
        <v>23.6</v>
      </c>
      <c r="Q27" s="51" t="n">
        <v>24.1</v>
      </c>
      <c r="R27" s="51" t="n">
        <v>24.8</v>
      </c>
      <c r="S27" s="51" t="n">
        <v>25.7</v>
      </c>
      <c r="T27" s="51" t="n">
        <v>25.2</v>
      </c>
      <c r="U27" s="51" t="n">
        <v>23.9</v>
      </c>
      <c r="V27" s="51" t="n">
        <v>24.8</v>
      </c>
      <c r="W27" s="51" t="n">
        <v>25</v>
      </c>
      <c r="X27" s="51" t="n">
        <v>24.8</v>
      </c>
      <c r="Y27" s="51" t="n">
        <v>24.2</v>
      </c>
      <c r="Z27" s="111" t="n">
        <v>24.4</v>
      </c>
      <c r="AA27" s="51" t="n">
        <v>24.2</v>
      </c>
      <c r="AB27" s="51" t="n">
        <v>25.4</v>
      </c>
      <c r="AC27" s="51" t="n">
        <v>24.8</v>
      </c>
      <c r="AD27" s="51" t="n">
        <v>24.4</v>
      </c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88">
        <f>COUNTIF(K27:AO27,"&gt;0")</f>
        <v/>
      </c>
      <c r="AQ27" s="89">
        <f>IF(AP27&gt;14,AVERAGE(K27:AO27),"")</f>
        <v/>
      </c>
      <c r="AR27" s="89">
        <f>IFERROR(VLOOKUP(A27,Climatologia!A:U,9+$E$2,FALSE),"")</f>
        <v/>
      </c>
      <c r="AS27" s="89">
        <f>IF(OR(AQ27="",AR27=""),"",IFERROR(AQ27-AR27,""))</f>
        <v/>
      </c>
      <c r="AT27" s="90">
        <f>IF(COUNT(K27:AO27)=0,"",MIN(K27:AO27))</f>
        <v/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/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7" s="92">
        <f>IF(OR(AT27="",AU27=""),"NA",IFERROR(AT27-AU27,"NA"))</f>
        <v/>
      </c>
    </row>
    <row r="28" ht="15" customHeight="1">
      <c r="A28" s="46" t="n">
        <v>37055010</v>
      </c>
      <c r="B28" s="55" t="inlineStr">
        <is>
          <t>Aeropuerto Santiago Pérez</t>
        </is>
      </c>
      <c r="C28" s="52" t="inlineStr">
        <is>
          <t>Grupo Observación y Monitoreo</t>
        </is>
      </c>
      <c r="D28" s="53" t="n">
        <v>-70.738</v>
      </c>
      <c r="E28" s="53" t="n">
        <v>7.069</v>
      </c>
      <c r="F28" s="54" t="n">
        <v>128</v>
      </c>
      <c r="G28" s="46" t="n">
        <v>81</v>
      </c>
      <c r="H28" s="46" t="n">
        <v>81001</v>
      </c>
      <c r="I28" s="55" t="inlineStr">
        <is>
          <t>Arauca</t>
        </is>
      </c>
      <c r="J28" s="55" t="inlineStr">
        <is>
          <t>Arauca</t>
        </is>
      </c>
      <c r="K28" s="51" t="n">
        <v>24.2</v>
      </c>
      <c r="L28" s="51" t="n">
        <v>24.3</v>
      </c>
      <c r="M28" s="51" t="n">
        <v>22.4</v>
      </c>
      <c r="N28" s="51" t="n">
        <v>23.2</v>
      </c>
      <c r="O28" s="51" t="n">
        <v>23.3</v>
      </c>
      <c r="P28" s="51" t="n">
        <v>24.3</v>
      </c>
      <c r="Q28" s="51" t="n">
        <v>21.4</v>
      </c>
      <c r="R28" s="51" t="n">
        <v>22.8</v>
      </c>
      <c r="S28" s="51" t="n">
        <v>23.7</v>
      </c>
      <c r="T28" s="51" t="n">
        <v>24.5</v>
      </c>
      <c r="U28" s="51" t="n">
        <v>22.8</v>
      </c>
      <c r="V28" s="51" t="n">
        <v>24.3</v>
      </c>
      <c r="W28" s="51" t="n">
        <v>22.9</v>
      </c>
      <c r="X28" s="51" t="n">
        <v>24.3</v>
      </c>
      <c r="Y28" s="51" t="n">
        <v>25.2</v>
      </c>
      <c r="Z28" s="111" t="n">
        <v>23.2</v>
      </c>
      <c r="AA28" s="51" t="n">
        <v>24.4</v>
      </c>
      <c r="AB28" s="51" t="n">
        <v>23.2</v>
      </c>
      <c r="AC28" s="51" t="n">
        <v>24.3</v>
      </c>
      <c r="AD28" s="51" t="n">
        <v>24.1</v>
      </c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88">
        <f>COUNTIF(K28:AO28,"&gt;0")</f>
        <v/>
      </c>
      <c r="AQ28" s="89">
        <f>IF(AP28&gt;14,AVERAGE(K28:AO28),"")</f>
        <v/>
      </c>
      <c r="AR28" s="89">
        <f>IFERROR(VLOOKUP(A28,Climatologia!A:U,9+$E$2,FALSE),"")</f>
        <v/>
      </c>
      <c r="AS28" s="89">
        <f>IF(OR(AQ28="",AR28=""),"",IFERROR(AQ28-AR28,""))</f>
        <v/>
      </c>
      <c r="AT28" s="90">
        <f>IF(COUNT(K28:AO28)=0,"",MIN(K28:AO28))</f>
        <v/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/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8" s="92">
        <f>IF(OR(AT28="",AU28=""),"NA",IFERROR(AT28-AU28,"NA"))</f>
        <v/>
      </c>
    </row>
    <row r="29" ht="15" customHeight="1">
      <c r="A29" s="46" t="n">
        <v>38015030</v>
      </c>
      <c r="B29" s="55" t="inlineStr">
        <is>
          <t>Aeropuerto Puerto Carreño</t>
        </is>
      </c>
      <c r="C29" s="52" t="inlineStr">
        <is>
          <t>Grupo Observación y Monitoreo</t>
        </is>
      </c>
      <c r="D29" s="53" t="n">
        <v>-67.491</v>
      </c>
      <c r="E29" s="53" t="n">
        <v>6.182</v>
      </c>
      <c r="F29" s="54" t="n">
        <v>57</v>
      </c>
      <c r="G29" s="54" t="n">
        <v>99</v>
      </c>
      <c r="H29" s="54" t="n">
        <v>99001</v>
      </c>
      <c r="I29" s="55" t="inlineStr">
        <is>
          <t>Vichada</t>
        </is>
      </c>
      <c r="J29" s="64" t="inlineStr">
        <is>
          <t>Puerto Carreño</t>
        </is>
      </c>
      <c r="K29" s="51" t="n">
        <v>25.8</v>
      </c>
      <c r="L29" s="51" t="n">
        <v>26</v>
      </c>
      <c r="M29" s="51" t="n">
        <v>25</v>
      </c>
      <c r="N29" s="51" t="n">
        <v>25.6</v>
      </c>
      <c r="O29" s="51" t="n">
        <v>25.2</v>
      </c>
      <c r="P29" s="51" t="n">
        <v>24.8</v>
      </c>
      <c r="Q29" s="51" t="n">
        <v>25</v>
      </c>
      <c r="R29" s="51" t="n">
        <v>25.4</v>
      </c>
      <c r="S29" s="51" t="n">
        <v>25.2</v>
      </c>
      <c r="T29" s="51" t="n">
        <v>25.6</v>
      </c>
      <c r="U29" s="51" t="n">
        <v>25.4</v>
      </c>
      <c r="V29" s="51" t="n">
        <v>25.8</v>
      </c>
      <c r="W29" s="51" t="n">
        <v>24.8</v>
      </c>
      <c r="X29" s="51" t="n">
        <v>25.8</v>
      </c>
      <c r="Y29" s="51" t="n">
        <v>25.8</v>
      </c>
      <c r="Z29" s="111" t="n">
        <v>24.6</v>
      </c>
      <c r="AA29" s="51" t="n">
        <v>25</v>
      </c>
      <c r="AB29" s="51" t="n">
        <v>26</v>
      </c>
      <c r="AC29" s="51" t="n">
        <v>25.2</v>
      </c>
      <c r="AD29" s="51" t="n">
        <v>23.8</v>
      </c>
      <c r="AE29" s="51" t="n"/>
      <c r="AF29" s="51" t="n"/>
      <c r="AG29" s="51" t="n"/>
      <c r="AH29" s="51" t="n"/>
      <c r="AI29" s="51" t="n"/>
      <c r="AJ29" s="51" t="n"/>
      <c r="AK29" s="51" t="n"/>
      <c r="AL29" s="51" t="n"/>
      <c r="AM29" s="51" t="n"/>
      <c r="AN29" s="51" t="n"/>
      <c r="AO29" s="51" t="n"/>
      <c r="AP29" s="88">
        <f>COUNTIF(K29:AO29,"&gt;0")</f>
        <v/>
      </c>
      <c r="AQ29" s="89">
        <f>IF(AP29&gt;14,AVERAGE(K29:AO29),"")</f>
        <v/>
      </c>
      <c r="AR29" s="89">
        <f>IFERROR(VLOOKUP(A29,Climatologia!A:U,9+$E$2,FALSE),"")</f>
        <v/>
      </c>
      <c r="AS29" s="89">
        <f>IF(OR(AQ29="",AR29=""),"",IFERROR(AQ29-AR29,""))</f>
        <v/>
      </c>
      <c r="AT29" s="90">
        <f>IF(COUNT(K29:AO29)=0,"",MIN(K29:AO29))</f>
        <v/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/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9" s="92">
        <f>IF(OR(AT29="",AU29=""),"NA",IFERROR(AT29-AU29,"NA"))</f>
        <v/>
      </c>
    </row>
    <row r="30" ht="14.25" customHeight="1">
      <c r="A30" s="46" t="n">
        <v>35035020</v>
      </c>
      <c r="B30" s="47" t="inlineStr">
        <is>
          <t>Aeropuerto Vanguardia</t>
        </is>
      </c>
      <c r="C30" s="52" t="inlineStr">
        <is>
          <t>Grupo Observación y Monitoreo</t>
        </is>
      </c>
      <c r="D30" s="49" t="n">
        <v>-73.61799999999999</v>
      </c>
      <c r="E30" s="49" t="n">
        <v>4.162</v>
      </c>
      <c r="F30" s="50" t="n">
        <v>422</v>
      </c>
      <c r="G30" s="50" t="n">
        <v>50</v>
      </c>
      <c r="H30" s="50" t="n">
        <v>50001</v>
      </c>
      <c r="I30" s="47" t="inlineStr">
        <is>
          <t>Meta</t>
        </is>
      </c>
      <c r="J30" s="63" t="inlineStr">
        <is>
          <t>Villavicencio</t>
        </is>
      </c>
      <c r="K30" s="51" t="n">
        <v>22.4</v>
      </c>
      <c r="L30" s="51" t="n">
        <v>21.7</v>
      </c>
      <c r="M30" s="51" t="n">
        <v>21</v>
      </c>
      <c r="N30" s="51" t="n">
        <v>22.2</v>
      </c>
      <c r="O30" s="51" t="n">
        <v>20.8</v>
      </c>
      <c r="P30" s="51" t="n">
        <v>21.8</v>
      </c>
      <c r="Q30" s="51" t="n">
        <v>21.4</v>
      </c>
      <c r="R30" s="51" t="n">
        <v>21.3</v>
      </c>
      <c r="S30" s="51" t="n">
        <v>22.8</v>
      </c>
      <c r="T30" s="51" t="n">
        <v>21.3</v>
      </c>
      <c r="U30" s="51" t="n">
        <v>20.4</v>
      </c>
      <c r="V30" s="51" t="n">
        <v>21.5</v>
      </c>
      <c r="W30" s="51" t="n">
        <v>21.2</v>
      </c>
      <c r="X30" s="51" t="n">
        <v>21.5</v>
      </c>
      <c r="Y30" s="51" t="n">
        <v>22.4</v>
      </c>
      <c r="Z30" s="111" t="n">
        <v>21.9</v>
      </c>
      <c r="AA30" s="51" t="n">
        <v>22.2</v>
      </c>
      <c r="AB30" s="51" t="n">
        <v>23</v>
      </c>
      <c r="AC30" s="51" t="n">
        <v>21.8</v>
      </c>
      <c r="AD30" s="51" t="n">
        <v>21.4</v>
      </c>
      <c r="AE30" s="51" t="n"/>
      <c r="AF30" s="51" t="n"/>
      <c r="AG30" s="51" t="n"/>
      <c r="AH30" s="51" t="n"/>
      <c r="AI30" s="51" t="n"/>
      <c r="AJ30" s="51" t="n"/>
      <c r="AK30" s="51" t="n"/>
      <c r="AL30" s="51" t="n"/>
      <c r="AM30" s="51" t="n"/>
      <c r="AN30" s="51" t="n"/>
      <c r="AO30" s="51" t="n"/>
      <c r="AP30" s="88">
        <f>COUNTIF(K30:AO30,"&gt;0")</f>
        <v/>
      </c>
      <c r="AQ30" s="89">
        <f>IF(AP30&gt;14,AVERAGE(K30:AO30),"")</f>
        <v/>
      </c>
      <c r="AR30" s="89">
        <f>IFERROR(VLOOKUP(A30,Climatologia!A:U,9+$E$2,FALSE),"")</f>
        <v/>
      </c>
      <c r="AS30" s="89">
        <f>IF(OR(AQ30="",AR30=""),"",IFERROR(AQ30-AR30,""))</f>
        <v/>
      </c>
      <c r="AT30" s="90">
        <f>IF(COUNT(K30:AO30)=0,"",MIN(K30:AO30))</f>
        <v/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/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0" s="92">
        <f>IF(OR(AT30="",AU30=""),"NA",IFERROR(AT30-AU30,"NA"))</f>
        <v/>
      </c>
    </row>
    <row r="31" ht="16.15" customHeight="1">
      <c r="A31" s="98" t="n">
        <v>48015050</v>
      </c>
      <c r="B31" s="99" t="inlineStr">
        <is>
          <t>Aeropuerto Vásquez Cobo</t>
        </is>
      </c>
      <c r="C31" s="100" t="inlineStr">
        <is>
          <t>Grupo Observación y Monitoreo</t>
        </is>
      </c>
      <c r="D31" s="101" t="n">
        <v>-69.941</v>
      </c>
      <c r="E31" s="101" t="n">
        <v>-4.194</v>
      </c>
      <c r="F31" s="102" t="n">
        <v>84</v>
      </c>
      <c r="G31" s="102" t="n">
        <v>91</v>
      </c>
      <c r="H31" s="102" t="n">
        <v>91001</v>
      </c>
      <c r="I31" s="99" t="inlineStr">
        <is>
          <t>Amazonas</t>
        </is>
      </c>
      <c r="J31" s="103" t="inlineStr">
        <is>
          <t>Leticia</t>
        </is>
      </c>
      <c r="K31" s="108" t="n">
        <v>24</v>
      </c>
      <c r="L31" s="108" t="n">
        <v>23.4</v>
      </c>
      <c r="M31" s="108" t="n">
        <v>23.3</v>
      </c>
      <c r="N31" s="108" t="n">
        <v>24.2</v>
      </c>
      <c r="O31" s="108" t="n">
        <v>24.5</v>
      </c>
      <c r="P31" s="108" t="n">
        <v>22.5</v>
      </c>
      <c r="Q31" s="108" t="n">
        <v>24</v>
      </c>
      <c r="R31" s="108" t="n">
        <v>21.6</v>
      </c>
      <c r="S31" s="108" t="n">
        <v>22.4</v>
      </c>
      <c r="T31" s="108" t="n">
        <v>23.2</v>
      </c>
      <c r="U31" s="108" t="n">
        <v>24.8</v>
      </c>
      <c r="V31" s="108" t="n">
        <v>23.3</v>
      </c>
      <c r="W31" s="108" t="n">
        <v>23.9</v>
      </c>
      <c r="X31" s="108" t="n">
        <v>23.3</v>
      </c>
      <c r="Y31" s="108" t="n">
        <v>22.5</v>
      </c>
      <c r="Z31" s="115" t="n">
        <v>22.6</v>
      </c>
      <c r="AA31" s="108" t="n">
        <v>23.6</v>
      </c>
      <c r="AB31" s="108" t="n">
        <v>24.3</v>
      </c>
      <c r="AC31" s="108" t="n">
        <v>23.7</v>
      </c>
      <c r="AD31" s="108" t="n">
        <v>24.1</v>
      </c>
      <c r="AE31" s="108" t="n"/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88">
        <f>COUNTIF(K31:AO31,"&gt;0")</f>
        <v/>
      </c>
      <c r="AQ31" s="89">
        <f>IF(AP31&gt;14,AVERAGE(K31:AO31),"")</f>
        <v/>
      </c>
      <c r="AR31" s="89">
        <f>IFERROR(VLOOKUP(A31,Climatologia!A:U,9+$E$2,FALSE),"")</f>
        <v/>
      </c>
      <c r="AS31" s="89">
        <f>IF(OR(AQ31="",AR31=""),"",IFERROR(AQ31-AR31,""))</f>
        <v/>
      </c>
      <c r="AT31" s="90">
        <f>IF(COUNT(K31:AO31)=0,"",MIN(K31:AO31))</f>
        <v/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/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1" s="92">
        <f>IF(OR(AT31="",AU31=""),"NA",IFERROR(AT31-AU31,"NA"))</f>
        <v/>
      </c>
    </row>
    <row r="32" ht="14.25" customHeight="1">
      <c r="A32" s="48" t="n">
        <v>11075020</v>
      </c>
      <c r="B32" s="52" t="inlineStr">
        <is>
          <t>Urrao</t>
        </is>
      </c>
      <c r="C32" s="52" t="inlineStr">
        <is>
          <t>Area Operativa 01 - Antioquia-Chocó</t>
        </is>
      </c>
      <c r="D32" s="53" t="n">
        <v>-76.143305556</v>
      </c>
      <c r="E32" s="53" t="n">
        <v>6.298305556</v>
      </c>
      <c r="F32" s="48" t="n">
        <v>1833</v>
      </c>
      <c r="G32" s="46" t="n">
        <v>5</v>
      </c>
      <c r="H32" s="46" t="n">
        <v>5847</v>
      </c>
      <c r="I32" s="55" t="inlineStr">
        <is>
          <t>Antioquia</t>
        </is>
      </c>
      <c r="J32" s="55" t="inlineStr">
        <is>
          <t>Urrao</t>
        </is>
      </c>
      <c r="K32" s="51" t="n">
        <v>14.8</v>
      </c>
      <c r="L32" s="51" t="n">
        <v>15.2</v>
      </c>
      <c r="M32" s="51" t="n">
        <v>14.8</v>
      </c>
      <c r="N32" s="51" t="n">
        <v>15</v>
      </c>
      <c r="O32" s="51" t="n">
        <v>14.2</v>
      </c>
      <c r="P32" s="51" t="n">
        <v>13.8</v>
      </c>
      <c r="Q32" s="51" t="n">
        <v>14</v>
      </c>
      <c r="R32" s="51" t="n">
        <v>14.2</v>
      </c>
      <c r="S32" s="51" t="n">
        <v>13</v>
      </c>
      <c r="T32" s="51" t="n">
        <v>13.4</v>
      </c>
      <c r="U32" s="51" t="n">
        <v>15</v>
      </c>
      <c r="V32" s="51" t="n">
        <v>14</v>
      </c>
      <c r="W32" s="51" t="n">
        <v>14.2</v>
      </c>
      <c r="X32" s="51" t="n">
        <v>13.2</v>
      </c>
      <c r="Y32" s="51" t="n">
        <v>15</v>
      </c>
      <c r="Z32" s="111" t="n">
        <v>16.2</v>
      </c>
      <c r="AA32" s="51" t="n">
        <v>12</v>
      </c>
      <c r="AB32" s="51" t="n">
        <v>14.8</v>
      </c>
      <c r="AC32" s="51" t="n">
        <v>15.2</v>
      </c>
      <c r="AD32" s="51" t="n">
        <v>15</v>
      </c>
      <c r="AE32" s="51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88">
        <f>COUNTIF(K32:AO32,"&gt;0")</f>
        <v/>
      </c>
      <c r="AQ32" s="89">
        <f>IF(AP32&gt;14,AVERAGE(K32:AO32),"")</f>
        <v/>
      </c>
      <c r="AR32" s="89">
        <f>IFERROR(VLOOKUP(A32,Climatologia!A:U,9+$E$2,FALSE),"")</f>
        <v/>
      </c>
      <c r="AS32" s="89">
        <f>IF(OR(AQ32="",AR32=""),"",IFERROR(AQ32-AR32,""))</f>
        <v/>
      </c>
      <c r="AT32" s="90">
        <f>IF(COUNT(K32:AO32)=0,"",MIN(K32:AO32))</f>
        <v/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/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2" s="92">
        <f>IF(OR(AT32="",AU32=""),"NA",IFERROR(AT32-AU32,"NA"))</f>
        <v/>
      </c>
    </row>
    <row r="33" ht="14.25" customHeight="1">
      <c r="A33" s="48" t="n">
        <v>12015020</v>
      </c>
      <c r="B33" s="52" t="inlineStr">
        <is>
          <t>Uniban</t>
        </is>
      </c>
      <c r="C33" s="52" t="inlineStr">
        <is>
          <t>Area Operativa 01 - Antioquia-Chocó</t>
        </is>
      </c>
      <c r="D33" s="53" t="n">
        <v>-76.65133333</v>
      </c>
      <c r="E33" s="53" t="n">
        <v>7.825916667</v>
      </c>
      <c r="F33" s="48" t="n">
        <v>43</v>
      </c>
      <c r="G33" s="46" t="n">
        <v>5</v>
      </c>
      <c r="H33" s="46" t="n">
        <v>5045</v>
      </c>
      <c r="I33" s="55" t="inlineStr">
        <is>
          <t>Antioquia</t>
        </is>
      </c>
      <c r="J33" s="55" t="inlineStr">
        <is>
          <t>Apartadó</t>
        </is>
      </c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111" t="n"/>
      <c r="AA33" s="51" t="n"/>
      <c r="AB33" s="51" t="n"/>
      <c r="AC33" s="51" t="n"/>
      <c r="AD33" s="51" t="n"/>
      <c r="AE33" s="51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88">
        <f>COUNTIF(K33:AO33,"&gt;0")</f>
        <v/>
      </c>
      <c r="AQ33" s="89">
        <f>IF(AP33&gt;14,AVERAGE(K33:AO33),"")</f>
        <v/>
      </c>
      <c r="AR33" s="89">
        <f>IFERROR(VLOOKUP(A33,Climatologia!A:U,9+$E$2,FALSE),"")</f>
        <v/>
      </c>
      <c r="AS33" s="89">
        <f>IF(OR(AQ33="",AR33=""),"",IFERROR(AQ33-AR33,""))</f>
        <v/>
      </c>
      <c r="AT33" s="90">
        <f>IF(COUNT(K33:AO33)=0,"",MIN(K33:AO33))</f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/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3" s="92">
        <f>IF(OR(AT33="",AU33=""),"NA",IFERROR(AT33-AU33,"NA"))</f>
        <v/>
      </c>
    </row>
    <row r="34" ht="14.25" customHeight="1">
      <c r="A34" s="48" t="n">
        <v>23085030</v>
      </c>
      <c r="B34" s="52" t="inlineStr">
        <is>
          <t>Alejandria</t>
        </is>
      </c>
      <c r="C34" s="52" t="inlineStr">
        <is>
          <t>Area Operativa 01 - Antioquia-Chocó</t>
        </is>
      </c>
      <c r="D34" s="53" t="n">
        <v>-75.14338889</v>
      </c>
      <c r="E34" s="53" t="n">
        <v>6.37625</v>
      </c>
      <c r="F34" s="48" t="n">
        <v>1712</v>
      </c>
      <c r="G34" s="46" t="n">
        <v>5</v>
      </c>
      <c r="H34" s="46" t="n">
        <v>5021</v>
      </c>
      <c r="I34" s="55" t="inlineStr">
        <is>
          <t>Antioquia</t>
        </is>
      </c>
      <c r="J34" s="55" t="inlineStr">
        <is>
          <t>Alejandría</t>
        </is>
      </c>
      <c r="K34" s="51" t="n">
        <v>16.8</v>
      </c>
      <c r="L34" s="51" t="n">
        <v>15.8</v>
      </c>
      <c r="M34" s="51" t="n">
        <v>16.8</v>
      </c>
      <c r="N34" s="51" t="n">
        <v>16.6</v>
      </c>
      <c r="O34" s="51" t="n">
        <v>16.8</v>
      </c>
      <c r="P34" s="51" t="n">
        <v>15</v>
      </c>
      <c r="Q34" s="51" t="n">
        <v>14.8</v>
      </c>
      <c r="R34" s="51" t="n">
        <v>15.8</v>
      </c>
      <c r="S34" s="51" t="n">
        <v>15.8</v>
      </c>
      <c r="T34" s="51" t="n">
        <v>15.6</v>
      </c>
      <c r="U34" s="51" t="n">
        <v>16</v>
      </c>
      <c r="V34" s="51" t="n">
        <v>17</v>
      </c>
      <c r="W34" s="51" t="n">
        <v>16.8</v>
      </c>
      <c r="X34" s="51" t="n">
        <v>16</v>
      </c>
      <c r="Y34" s="51" t="n">
        <v>16.2</v>
      </c>
      <c r="Z34" s="111" t="n">
        <v>15.8</v>
      </c>
      <c r="AA34" s="51" t="n">
        <v>16.4</v>
      </c>
      <c r="AB34" s="51" t="n">
        <v>16.6</v>
      </c>
      <c r="AC34" s="51" t="n">
        <v>16.4</v>
      </c>
      <c r="AD34" s="51" t="n">
        <v>15.8</v>
      </c>
      <c r="AE34" s="51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88">
        <f>COUNTIF(K34:AO34,"&gt;0")</f>
        <v/>
      </c>
      <c r="AQ34" s="89">
        <f>IF(AP34&gt;14,AVERAGE(K34:AO34),"")</f>
        <v/>
      </c>
      <c r="AR34" s="89">
        <f>IFERROR(VLOOKUP(A34,Climatologia!A:U,9+$E$2,FALSE),"")</f>
        <v/>
      </c>
      <c r="AS34" s="89">
        <f>IF(OR(AQ34="",AR34=""),"",IFERROR(AQ34-AR34,""))</f>
        <v/>
      </c>
      <c r="AT34" s="90">
        <f>IF(COUNT(K34:AO34)=0,"",MIN(K34:AO34))</f>
        <v/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/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4" s="92">
        <f>IF(OR(AT34="",AU34=""),"NA",IFERROR(AT34-AU34,"NA"))</f>
        <v/>
      </c>
    </row>
    <row r="35" ht="14.25" customHeight="1">
      <c r="A35" s="48" t="n">
        <v>23085110</v>
      </c>
      <c r="B35" s="52" t="inlineStr">
        <is>
          <t>El Penol</t>
        </is>
      </c>
      <c r="C35" s="52" t="inlineStr">
        <is>
          <t>Area Operativa 01 - Antioquia-Chocó</t>
        </is>
      </c>
      <c r="D35" s="53" t="n">
        <v>-75.24138888900001</v>
      </c>
      <c r="E35" s="53" t="n">
        <v>6.2138889</v>
      </c>
      <c r="F35" s="48" t="n">
        <v>2022</v>
      </c>
      <c r="G35" s="46" t="n">
        <v>5</v>
      </c>
      <c r="H35" s="46" t="n">
        <v>5541</v>
      </c>
      <c r="I35" s="55" t="inlineStr">
        <is>
          <t>Antioquia</t>
        </is>
      </c>
      <c r="J35" s="55" t="inlineStr">
        <is>
          <t>Peñol</t>
        </is>
      </c>
      <c r="K35" s="51" t="n">
        <v>14.4</v>
      </c>
      <c r="L35" s="51" t="n">
        <v>14.8</v>
      </c>
      <c r="M35" s="51" t="n">
        <v>15.2</v>
      </c>
      <c r="N35" s="51" t="n">
        <v>15.6</v>
      </c>
      <c r="O35" s="51" t="n">
        <v>15.4</v>
      </c>
      <c r="P35" s="51" t="n">
        <v>15.2</v>
      </c>
      <c r="Q35" s="51" t="n">
        <v>14.8</v>
      </c>
      <c r="R35" s="51" t="n">
        <v>15</v>
      </c>
      <c r="S35" s="51" t="n">
        <v>15.6</v>
      </c>
      <c r="T35" s="51" t="n">
        <v>14.8</v>
      </c>
      <c r="U35" s="51" t="n">
        <v>15</v>
      </c>
      <c r="V35" s="51" t="n">
        <v>15.2</v>
      </c>
      <c r="W35" s="51" t="n">
        <v>15.4</v>
      </c>
      <c r="X35" s="51" t="n">
        <v>15.6</v>
      </c>
      <c r="Y35" s="51" t="n">
        <v>14.2</v>
      </c>
      <c r="Z35" s="111" t="n">
        <v>15</v>
      </c>
      <c r="AA35" s="51" t="n">
        <v>14.8</v>
      </c>
      <c r="AB35" s="51" t="n">
        <v>15.8</v>
      </c>
      <c r="AC35" s="51" t="n">
        <v>15.6</v>
      </c>
      <c r="AD35" s="51" t="n">
        <v>14.8</v>
      </c>
      <c r="AE35" s="51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88">
        <f>COUNTIF(K35:AO35,"&gt;0")</f>
        <v/>
      </c>
      <c r="AQ35" s="89">
        <f>IF(AP35&gt;14,AVERAGE(K35:AO35),"")</f>
        <v/>
      </c>
      <c r="AR35" s="89">
        <f>IFERROR(VLOOKUP(A35,Climatologia!A:U,9+$E$2,FALSE),"")</f>
        <v/>
      </c>
      <c r="AS35" s="89">
        <f>IF(OR(AQ35="",AR35=""),"",IFERROR(AQ35-AR35,""))</f>
        <v/>
      </c>
      <c r="AT35" s="90">
        <f>IF(COUNT(K35:AO35)=0,"",MIN(K35:AO35))</f>
        <v/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/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5" s="92">
        <f>IF(OR(AT35="",AU35=""),"NA",IFERROR(AT35-AU35,"NA"))</f>
        <v/>
      </c>
    </row>
    <row r="36" ht="14.25" customHeight="1">
      <c r="A36" s="48" t="n">
        <v>26175040</v>
      </c>
      <c r="B36" s="52" t="inlineStr">
        <is>
          <t>Hacienda Tunez</t>
        </is>
      </c>
      <c r="C36" s="52" t="inlineStr">
        <is>
          <t>Area Operativa 01 - Antioquia-Chocó</t>
        </is>
      </c>
      <c r="D36" s="53" t="n">
        <v>-75.65097222</v>
      </c>
      <c r="E36" s="53" t="n">
        <v>5.80025</v>
      </c>
      <c r="F36" s="48" t="n">
        <v>604</v>
      </c>
      <c r="G36" s="46" t="n">
        <v>5</v>
      </c>
      <c r="H36" s="46" t="n">
        <v>5282</v>
      </c>
      <c r="I36" s="55" t="inlineStr">
        <is>
          <t>Antioquia</t>
        </is>
      </c>
      <c r="J36" s="55" t="inlineStr">
        <is>
          <t>Fredonia</t>
        </is>
      </c>
      <c r="K36" s="51" t="n">
        <v>20.2</v>
      </c>
      <c r="L36" s="51" t="n">
        <v>20.4</v>
      </c>
      <c r="M36" s="51" t="n">
        <v>17</v>
      </c>
      <c r="N36" s="51" t="n">
        <v>19.4</v>
      </c>
      <c r="O36" s="51" t="n">
        <v>18.4</v>
      </c>
      <c r="P36" s="51" t="n">
        <v>17.4</v>
      </c>
      <c r="Q36" s="51" t="n">
        <v>17.4</v>
      </c>
      <c r="R36" s="120" t="n">
        <v/>
      </c>
      <c r="S36" s="51" t="n">
        <v>17.2</v>
      </c>
      <c r="T36" s="51" t="n">
        <v>19.6</v>
      </c>
      <c r="U36" s="51" t="n">
        <v>20.4</v>
      </c>
      <c r="V36" s="51" t="n">
        <v>19.2</v>
      </c>
      <c r="W36" s="51" t="n">
        <v>19.6</v>
      </c>
      <c r="X36" s="51" t="n">
        <v>19.4</v>
      </c>
      <c r="Y36" s="51" t="n">
        <v>19.6</v>
      </c>
      <c r="Z36" s="111" t="n">
        <v>20</v>
      </c>
      <c r="AA36" s="51" t="n">
        <v>17.8</v>
      </c>
      <c r="AB36" s="51" t="n">
        <v>17.6</v>
      </c>
      <c r="AC36" s="51" t="n">
        <v>18.8</v>
      </c>
      <c r="AD36" s="51" t="n">
        <v>19</v>
      </c>
      <c r="AE36" s="51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88">
        <f>COUNTIF(K36:AO36,"&gt;0")</f>
        <v/>
      </c>
      <c r="AQ36" s="89">
        <f>IF(AP36&gt;14,AVERAGE(K36:AO36),"")</f>
        <v/>
      </c>
      <c r="AR36" s="89">
        <f>IFERROR(VLOOKUP(A36,Climatologia!A:U,9+$E$2,FALSE),"")</f>
        <v/>
      </c>
      <c r="AS36" s="89">
        <f>IF(OR(AQ36="",AR36=""),"",IFERROR(AQ36-AR36,""))</f>
        <v/>
      </c>
      <c r="AT36" s="90">
        <f>IF(COUNT(K36:AO36)=0,"",MIN(K36:AO36))</f>
        <v/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/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6" s="92">
        <f>IF(OR(AT36="",AU36=""),"NA",IFERROR(AT36-AU36,"NA"))</f>
        <v/>
      </c>
    </row>
    <row r="37" ht="14.25" customHeight="1">
      <c r="A37" s="48" t="n">
        <v>26185020</v>
      </c>
      <c r="B37" s="52" t="inlineStr">
        <is>
          <t>Mesopotamia</t>
        </is>
      </c>
      <c r="C37" s="52" t="inlineStr">
        <is>
          <t>Area Operativa 01 - Antioquia-Chocó</t>
        </is>
      </c>
      <c r="D37" s="53" t="n">
        <v>-75.31863889</v>
      </c>
      <c r="E37" s="53" t="n">
        <v>5.886361111</v>
      </c>
      <c r="F37" s="48" t="n">
        <v>2408</v>
      </c>
      <c r="G37" s="46" t="n">
        <v>5</v>
      </c>
      <c r="H37" s="46" t="n">
        <v>5400</v>
      </c>
      <c r="I37" s="55" t="inlineStr">
        <is>
          <t>Antioquia</t>
        </is>
      </c>
      <c r="J37" s="55" t="inlineStr">
        <is>
          <t>La Unión</t>
        </is>
      </c>
      <c r="K37" s="51" t="n">
        <v>8.800000000000001</v>
      </c>
      <c r="L37" s="51" t="n">
        <v>9</v>
      </c>
      <c r="M37" s="51" t="n">
        <v>8.4</v>
      </c>
      <c r="N37" s="51" t="n">
        <v>9.800000000000001</v>
      </c>
      <c r="O37" s="51" t="n">
        <v>10.6</v>
      </c>
      <c r="P37" s="51" t="n">
        <v>10.2</v>
      </c>
      <c r="Q37" s="51" t="n">
        <v>8.4</v>
      </c>
      <c r="R37" s="51" t="n">
        <v>8.800000000000001</v>
      </c>
      <c r="S37" s="51" t="n">
        <v>11.6</v>
      </c>
      <c r="T37" s="51" t="n">
        <v>8.4</v>
      </c>
      <c r="U37" s="51" t="n">
        <v>8.800000000000001</v>
      </c>
      <c r="V37" s="51" t="n">
        <v>9.6</v>
      </c>
      <c r="W37" s="51" t="n">
        <v>8</v>
      </c>
      <c r="X37" s="51" t="n">
        <v>9.800000000000001</v>
      </c>
      <c r="Y37" s="51" t="n">
        <v>9.6</v>
      </c>
      <c r="Z37" s="111" t="n">
        <v>9.199999999999999</v>
      </c>
      <c r="AA37" s="51" t="n">
        <v>8.4</v>
      </c>
      <c r="AB37" s="109" t="n">
        <v>6</v>
      </c>
      <c r="AC37" s="51" t="n">
        <v>10</v>
      </c>
      <c r="AD37" s="51" t="n">
        <v>6.6</v>
      </c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88">
        <f>COUNTIF(K37:AO37,"&gt;0")</f>
        <v/>
      </c>
      <c r="AQ37" s="89">
        <f>IF(AP37&gt;14,AVERAGE(K37:AO37),"")</f>
        <v/>
      </c>
      <c r="AR37" s="89">
        <f>IFERROR(VLOOKUP(A37,Climatologia!A:U,9+$E$2,FALSE),"")</f>
        <v/>
      </c>
      <c r="AS37" s="89">
        <f>IF(OR(AQ37="",AR37=""),"",IFERROR(AQ37-AR37,""))</f>
        <v/>
      </c>
      <c r="AT37" s="90">
        <f>IF(COUNT(K37:AO37)=0,"",MIN(K37:AO37))</f>
        <v/>
      </c>
      <c r="AU37" s="90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>
        <f>IF(OR(AT37="",AU37=""),"NA",IFERROR(AT37-AU37,"NA"))</f>
        <v/>
      </c>
    </row>
    <row r="38" ht="14.25" customHeight="1">
      <c r="A38" s="48" t="n">
        <v>26205080</v>
      </c>
      <c r="B38" s="52" t="inlineStr">
        <is>
          <t>La Aldea</t>
        </is>
      </c>
      <c r="C38" s="52" t="inlineStr">
        <is>
          <t>Area Operativa 01 - Antioquia-Chocó</t>
        </is>
      </c>
      <c r="D38" s="53" t="n">
        <v>-75.70094444</v>
      </c>
      <c r="E38" s="53" t="n">
        <v>6.341055556</v>
      </c>
      <c r="F38" s="48" t="n">
        <v>1737</v>
      </c>
      <c r="G38" s="46" t="n">
        <v>5</v>
      </c>
      <c r="H38" s="46" t="n">
        <v>5001</v>
      </c>
      <c r="I38" s="55" t="inlineStr">
        <is>
          <t>Antioquia</t>
        </is>
      </c>
      <c r="J38" s="55" t="inlineStr">
        <is>
          <t>Medellín</t>
        </is>
      </c>
      <c r="K38" s="51" t="n">
        <v>16</v>
      </c>
      <c r="L38" s="51" t="n">
        <v>16.4</v>
      </c>
      <c r="M38" s="51" t="n">
        <v>17</v>
      </c>
      <c r="N38" s="51" t="n">
        <v>16.6</v>
      </c>
      <c r="O38" s="51" t="n">
        <v>17.4</v>
      </c>
      <c r="P38" s="51" t="n">
        <v>17.8</v>
      </c>
      <c r="Q38" s="51" t="n">
        <v>17.4</v>
      </c>
      <c r="R38" s="51" t="n">
        <v>17</v>
      </c>
      <c r="S38" s="51" t="n">
        <v>18</v>
      </c>
      <c r="T38" s="51" t="n">
        <v>17.6</v>
      </c>
      <c r="U38" s="51" t="n">
        <v>16</v>
      </c>
      <c r="V38" s="51" t="n">
        <v>16</v>
      </c>
      <c r="W38" s="51" t="n">
        <v>17.4</v>
      </c>
      <c r="X38" s="51" t="n">
        <v>16.8</v>
      </c>
      <c r="Y38" s="51" t="n">
        <v>17</v>
      </c>
      <c r="Z38" s="111" t="n">
        <v>17.8</v>
      </c>
      <c r="AA38" s="51" t="n">
        <v>17</v>
      </c>
      <c r="AB38" s="51" t="n">
        <v>16.8</v>
      </c>
      <c r="AC38" s="51" t="n">
        <v>17.4</v>
      </c>
      <c r="AD38" s="51" t="n">
        <v>16.4</v>
      </c>
      <c r="AE38" s="51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88">
        <f>COUNTIF(K38:AO38,"&gt;0")</f>
        <v/>
      </c>
      <c r="AQ38" s="89">
        <f>IF(AP38&gt;14,AVERAGE(K38:AO38),"")</f>
        <v/>
      </c>
      <c r="AR38" s="89">
        <f>IFERROR(VLOOKUP(A38,Climatologia!A:U,9+$E$2,FALSE),"")</f>
        <v/>
      </c>
      <c r="AS38" s="89">
        <f>IF(OR(AQ38="",AR38=""),"",IFERROR(AQ38-AR38,""))</f>
        <v/>
      </c>
      <c r="AT38" s="90">
        <f>IF(COUNT(K38:AO38)=0,"",MIN(K38:AO38))</f>
        <v/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/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8" s="92">
        <f>IF(OR(AT38="",AU38=""),"NA",IFERROR(AT38-AU38,"NA"))</f>
        <v/>
      </c>
    </row>
    <row r="39" ht="14.25" customHeight="1">
      <c r="A39" s="48" t="n">
        <v>27015090</v>
      </c>
      <c r="B39" s="52" t="inlineStr">
        <is>
          <t>Tulio Ospina</t>
        </is>
      </c>
      <c r="C39" s="52" t="inlineStr">
        <is>
          <t>Area Operativa 01 - Antioquia-Chocó</t>
        </is>
      </c>
      <c r="D39" s="53" t="n">
        <v>-75.55325000000001</v>
      </c>
      <c r="E39" s="53" t="n">
        <v>6.319694444</v>
      </c>
      <c r="F39" s="48" t="n">
        <v>1453</v>
      </c>
      <c r="G39" s="46" t="n">
        <v>5</v>
      </c>
      <c r="H39" s="46" t="n">
        <v>5088</v>
      </c>
      <c r="I39" s="55" t="inlineStr">
        <is>
          <t>Antioquia</t>
        </is>
      </c>
      <c r="J39" s="55" t="inlineStr">
        <is>
          <t>Bello</t>
        </is>
      </c>
      <c r="K39" s="51" t="n">
        <v>18.2</v>
      </c>
      <c r="L39" s="51" t="n">
        <v>18.8</v>
      </c>
      <c r="M39" s="51" t="n">
        <v>20</v>
      </c>
      <c r="N39" s="51" t="n">
        <v>20</v>
      </c>
      <c r="O39" s="51" t="n">
        <v>19.6</v>
      </c>
      <c r="P39" s="51" t="n">
        <v>19.2</v>
      </c>
      <c r="Q39" s="51" t="n">
        <v>18.8</v>
      </c>
      <c r="R39" s="51" t="n">
        <v>19.4</v>
      </c>
      <c r="S39" s="51" t="n">
        <v>19.8</v>
      </c>
      <c r="T39" s="51" t="n">
        <v>18.6</v>
      </c>
      <c r="U39" s="51" t="n">
        <v>18</v>
      </c>
      <c r="V39" s="51" t="n">
        <v>20.4</v>
      </c>
      <c r="W39" s="51" t="n">
        <v>20.2</v>
      </c>
      <c r="X39" s="51" t="n">
        <v>20</v>
      </c>
      <c r="Y39" s="51" t="n">
        <v>19.4</v>
      </c>
      <c r="Z39" s="111" t="n">
        <v>19.4</v>
      </c>
      <c r="AA39" s="51" t="n">
        <v>19</v>
      </c>
      <c r="AB39" s="51" t="n">
        <v>19</v>
      </c>
      <c r="AC39" s="51" t="n">
        <v>19.6</v>
      </c>
      <c r="AD39" s="51" t="n">
        <v>18.6</v>
      </c>
      <c r="AE39" s="51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88">
        <f>COUNTIF(K39:AO39,"&gt;0")</f>
        <v/>
      </c>
      <c r="AQ39" s="89">
        <f>IF(AP39&gt;14,AVERAGE(K39:AO39),"")</f>
        <v/>
      </c>
      <c r="AR39" s="89">
        <f>IFERROR(VLOOKUP(A39,Climatologia!A:U,9+$E$2,FALSE),"")</f>
        <v/>
      </c>
      <c r="AS39" s="89">
        <f>IF(OR(AQ39="",AR39=""),"",IFERROR(AQ39-AR39,""))</f>
        <v/>
      </c>
      <c r="AT39" s="90">
        <f>IF(COUNT(K39:AO39)=0,"",MIN(K39:AO39))</f>
        <v/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/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9" s="92">
        <f>IF(OR(AT39="",AU39=""),"NA",IFERROR(AT39-AU39,"NA"))</f>
        <v/>
      </c>
    </row>
    <row r="40" ht="14.25" customHeight="1">
      <c r="A40" s="48" t="n">
        <v>27015260</v>
      </c>
      <c r="B40" s="52" t="inlineStr">
        <is>
          <t>La Salada</t>
        </is>
      </c>
      <c r="C40" s="52" t="inlineStr">
        <is>
          <t>Area Operativa 01 - Antioquia-Chocó</t>
        </is>
      </c>
      <c r="D40" s="53" t="n">
        <v>-75.62466667</v>
      </c>
      <c r="E40" s="53" t="n">
        <v>6.048361111</v>
      </c>
      <c r="F40" s="48" t="n">
        <v>1923</v>
      </c>
      <c r="G40" s="46" t="n">
        <v>5</v>
      </c>
      <c r="H40" s="46" t="n">
        <v>5129</v>
      </c>
      <c r="I40" s="55" t="inlineStr">
        <is>
          <t>Antioquia</t>
        </is>
      </c>
      <c r="J40" s="55" t="inlineStr">
        <is>
          <t>Caldas</t>
        </is>
      </c>
      <c r="K40" s="51" t="n">
        <v>14.6</v>
      </c>
      <c r="L40" s="51" t="n">
        <v>15.2</v>
      </c>
      <c r="M40" s="51" t="n">
        <v>14.8</v>
      </c>
      <c r="N40" s="51" t="n">
        <v>15</v>
      </c>
      <c r="O40" s="51" t="n">
        <v>14.2</v>
      </c>
      <c r="P40" s="51" t="n">
        <v>13</v>
      </c>
      <c r="Q40" s="51" t="n">
        <v>14</v>
      </c>
      <c r="R40" s="51" t="n">
        <v>13</v>
      </c>
      <c r="S40" s="51" t="n">
        <v>13.8</v>
      </c>
      <c r="T40" s="51" t="n">
        <v>14.2</v>
      </c>
      <c r="U40" s="51" t="n">
        <v>15</v>
      </c>
      <c r="V40" s="51" t="n">
        <v>15.8</v>
      </c>
      <c r="W40" s="51" t="n">
        <v>14.4</v>
      </c>
      <c r="X40" s="51" t="n">
        <v>14.2</v>
      </c>
      <c r="Y40" s="51" t="n">
        <v>14.4</v>
      </c>
      <c r="Z40" s="111" t="n">
        <v>15.4</v>
      </c>
      <c r="AA40" s="51" t="n">
        <v>14</v>
      </c>
      <c r="AB40" s="51" t="n">
        <v>13</v>
      </c>
      <c r="AC40" s="51" t="n">
        <v>14.2</v>
      </c>
      <c r="AD40" s="51" t="n">
        <v/>
      </c>
      <c r="AE40" s="51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88">
        <f>COUNTIF(K40:AO40,"&gt;0")</f>
        <v/>
      </c>
      <c r="AQ40" s="89">
        <f>IF(AP40&gt;14,AVERAGE(K40:AO40),"")</f>
        <v/>
      </c>
      <c r="AR40" s="89">
        <f>IFERROR(VLOOKUP(A40,Climatologia!A:U,9+$E$2,FALSE),"")</f>
        <v/>
      </c>
      <c r="AS40" s="89">
        <f>IF(OR(AQ40="",AR40=""),"",IFERROR(AQ40-AR40,""))</f>
        <v/>
      </c>
      <c r="AT40" s="90">
        <f>IF(COUNT(K40:AO40)=0,"",MIN(K40:AO40))</f>
        <v/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/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0" s="92">
        <f>IF(OR(AT40="",AU40=""),"NA",IFERROR(AT40-AU40,"NA"))</f>
        <v/>
      </c>
    </row>
    <row r="41" ht="14.25" customHeight="1">
      <c r="A41" s="48" t="n">
        <v>12045010</v>
      </c>
      <c r="B41" s="52" t="inlineStr">
        <is>
          <t>Arboletes</t>
        </is>
      </c>
      <c r="C41" s="52" t="inlineStr">
        <is>
          <t>Area Operativa 02 - Atlántico-Bolivar-Sucre</t>
        </is>
      </c>
      <c r="D41" s="53" t="n">
        <v>-76.43194444</v>
      </c>
      <c r="E41" s="53" t="n">
        <v>8.846944444</v>
      </c>
      <c r="F41" s="48" t="n">
        <v>4</v>
      </c>
      <c r="G41" s="46" t="n">
        <v>5</v>
      </c>
      <c r="H41" s="46" t="n">
        <v>5051</v>
      </c>
      <c r="I41" s="55" t="inlineStr">
        <is>
          <t>Antioquia</t>
        </is>
      </c>
      <c r="J41" s="55" t="inlineStr">
        <is>
          <t>Arboletes</t>
        </is>
      </c>
      <c r="K41" s="51" t="n">
        <v>22.6</v>
      </c>
      <c r="L41" s="51" t="n">
        <v>25.4</v>
      </c>
      <c r="M41" s="51" t="n">
        <v>25.2</v>
      </c>
      <c r="N41" s="51" t="n">
        <v>26</v>
      </c>
      <c r="O41" s="51" t="n">
        <v>26.8</v>
      </c>
      <c r="P41" s="51" t="n">
        <v>25</v>
      </c>
      <c r="Q41" s="51" t="n">
        <v>22.4</v>
      </c>
      <c r="R41" s="51" t="n">
        <v>25.6</v>
      </c>
      <c r="S41" s="51" t="n">
        <v>26.8</v>
      </c>
      <c r="T41" s="51" t="n">
        <v>24.8</v>
      </c>
      <c r="U41" s="51" t="n">
        <v>22.6</v>
      </c>
      <c r="V41" s="51" t="n">
        <v>23.6</v>
      </c>
      <c r="W41" s="51" t="n">
        <v>26.2</v>
      </c>
      <c r="X41" s="51" t="n">
        <v>22</v>
      </c>
      <c r="Y41" s="51" t="n">
        <v>23.4</v>
      </c>
      <c r="Z41" s="111" t="n">
        <v>24.2</v>
      </c>
      <c r="AA41" s="51" t="n">
        <v>26</v>
      </c>
      <c r="AB41" s="51" t="n">
        <v>26.8</v>
      </c>
      <c r="AC41" s="51" t="n">
        <v>26</v>
      </c>
      <c r="AD41" s="51" t="n">
        <v>25</v>
      </c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88">
        <f>COUNTIF(K41:AO41,"&gt;0")</f>
        <v/>
      </c>
      <c r="AQ41" s="89">
        <f>IF(AP41&gt;14,AVERAGE(K41:AO41),"")</f>
        <v/>
      </c>
      <c r="AR41" s="89">
        <f>IFERROR(VLOOKUP(A41,Climatologia!A:U,9+$E$2,FALSE),"")</f>
        <v/>
      </c>
      <c r="AS41" s="89">
        <f>IF(OR(AQ41="",AR41=""),"",IFERROR(AQ41-AR41,""))</f>
        <v/>
      </c>
      <c r="AT41" s="90">
        <f>IF(COUNT(K41:AO41)=0,"",MIN(K41:AO41))</f>
        <v/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/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1" s="92">
        <f>IF(OR(AT41="",AU41=""),"NA",IFERROR(AT41-AU41,"NA"))</f>
        <v/>
      </c>
    </row>
    <row r="42" ht="14.25" customHeight="1">
      <c r="A42" s="48" t="n">
        <v>12045020</v>
      </c>
      <c r="B42" s="52" t="inlineStr">
        <is>
          <t>Cristo Rey  - Aut</t>
        </is>
      </c>
      <c r="C42" s="52" t="inlineStr">
        <is>
          <t>Area Operativa 02 - Atlántico-Bolivar-Sucre</t>
        </is>
      </c>
      <c r="D42" s="53" t="n">
        <v>-76.22444444</v>
      </c>
      <c r="E42" s="53" t="n">
        <v>9.071111111</v>
      </c>
      <c r="F42" s="48" t="n">
        <v>15</v>
      </c>
      <c r="G42" s="46" t="n">
        <v>23</v>
      </c>
      <c r="H42" s="46" t="n">
        <v>23574</v>
      </c>
      <c r="I42" s="55" t="inlineStr">
        <is>
          <t>Córdoba</t>
        </is>
      </c>
      <c r="J42" s="55" t="inlineStr">
        <is>
          <t>Puerto Escondido</t>
        </is>
      </c>
      <c r="K42" s="51" t="n">
        <v>25</v>
      </c>
      <c r="L42" s="51" t="n">
        <v>26.2</v>
      </c>
      <c r="M42" s="51" t="n">
        <v>24.6</v>
      </c>
      <c r="N42" s="51" t="n">
        <v>26.2</v>
      </c>
      <c r="O42" s="51" t="n">
        <v>27</v>
      </c>
      <c r="P42" s="51" t="n">
        <v>27.2</v>
      </c>
      <c r="Q42" s="51" t="n">
        <v>24.6</v>
      </c>
      <c r="R42" s="51" t="n">
        <v>26.6</v>
      </c>
      <c r="S42" s="51" t="n">
        <v>27</v>
      </c>
      <c r="T42" s="51" t="n">
        <v>24.2</v>
      </c>
      <c r="U42" s="51" t="n">
        <v>23.6</v>
      </c>
      <c r="V42" s="51" t="n">
        <v>25.2</v>
      </c>
      <c r="W42" s="51" t="n">
        <v>26.6</v>
      </c>
      <c r="X42" s="51" t="n">
        <v>23.4</v>
      </c>
      <c r="Y42" s="51" t="n">
        <v>23.4</v>
      </c>
      <c r="Z42" s="111" t="n">
        <v>24.8</v>
      </c>
      <c r="AA42" s="51" t="n">
        <v>26.6</v>
      </c>
      <c r="AB42" s="51" t="n">
        <v>26.8</v>
      </c>
      <c r="AC42" s="51" t="n">
        <v>25.6</v>
      </c>
      <c r="AD42" s="51" t="n">
        <v>23.8</v>
      </c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88">
        <f>COUNTIF(K42:AO42,"&gt;0")</f>
        <v/>
      </c>
      <c r="AQ42" s="89">
        <f>IF(AP42&gt;14,AVERAGE(K42:AO42),"")</f>
        <v/>
      </c>
      <c r="AR42" s="89">
        <f>IFERROR(VLOOKUP(A42,Climatologia!A:U,9+$E$2,FALSE),"")</f>
        <v/>
      </c>
      <c r="AS42" s="89">
        <f>IF(OR(AQ42="",AR42=""),"",IFERROR(AQ42-AR42,""))</f>
        <v/>
      </c>
      <c r="AT42" s="90">
        <f>IF(COUNT(K42:AO42)=0,"",MIN(K42:AO42))</f>
        <v/>
      </c>
      <c r="AU42" s="90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>
        <f>IF(OR(AT42="",AU42=""),"NA",IFERROR(AT42-AU42,"NA"))</f>
        <v/>
      </c>
    </row>
    <row r="43" ht="14.25" customHeight="1">
      <c r="A43" s="48" t="n">
        <v>13015040</v>
      </c>
      <c r="B43" s="52" t="inlineStr">
        <is>
          <t>Represa Urra</t>
        </is>
      </c>
      <c r="C43" s="52" t="inlineStr">
        <is>
          <t>Area Operativa 02 - Atlántico-Bolivar-Sucre</t>
        </is>
      </c>
      <c r="D43" s="53" t="n">
        <v>-76.20305556</v>
      </c>
      <c r="E43" s="53" t="n">
        <v>8.014166667</v>
      </c>
      <c r="F43" s="48" t="n">
        <v>300</v>
      </c>
      <c r="G43" s="46" t="n">
        <v>23</v>
      </c>
      <c r="H43" s="46" t="n">
        <v>23807</v>
      </c>
      <c r="I43" s="55" t="inlineStr">
        <is>
          <t>Córdoba</t>
        </is>
      </c>
      <c r="J43" s="55" t="inlineStr">
        <is>
          <t>Tierralta</t>
        </is>
      </c>
      <c r="K43" s="51" t="n">
        <v>22.4</v>
      </c>
      <c r="L43" s="51" t="n">
        <v>23.8</v>
      </c>
      <c r="M43" s="51" t="n">
        <v>26.6</v>
      </c>
      <c r="N43" s="51" t="n">
        <v>22.8</v>
      </c>
      <c r="O43" s="51" t="n">
        <v>24.9</v>
      </c>
      <c r="P43" s="51" t="n">
        <v>26</v>
      </c>
      <c r="Q43" s="51" t="n">
        <v>24.6</v>
      </c>
      <c r="R43" s="51" t="n">
        <v>24.6</v>
      </c>
      <c r="S43" s="51" t="n">
        <v>26</v>
      </c>
      <c r="T43" s="51" t="n">
        <v>20</v>
      </c>
      <c r="U43" s="51" t="n">
        <v>22</v>
      </c>
      <c r="V43" s="51" t="n">
        <v>23.9</v>
      </c>
      <c r="W43" s="51" t="n">
        <v>23.8</v>
      </c>
      <c r="X43" s="51" t="n">
        <v>24</v>
      </c>
      <c r="Y43" s="51" t="n">
        <v>24</v>
      </c>
      <c r="Z43" s="111" t="n">
        <v>24</v>
      </c>
      <c r="AA43" s="51" t="n">
        <v>23.8</v>
      </c>
      <c r="AB43" s="51" t="n">
        <v>26.8</v>
      </c>
      <c r="AC43" s="51" t="n">
        <v>25.5</v>
      </c>
      <c r="AD43" s="51" t="n">
        <v>25.2</v>
      </c>
      <c r="AE43" s="51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88">
        <f>COUNTIF(K43:AO43,"&gt;0")</f>
        <v/>
      </c>
      <c r="AQ43" s="89">
        <f>IF(AP43&gt;14,AVERAGE(K43:AO43),"")</f>
        <v/>
      </c>
      <c r="AR43" s="89">
        <f>IFERROR(VLOOKUP(A43,Climatologia!A:U,9+$E$2,FALSE),"")</f>
        <v/>
      </c>
      <c r="AS43" s="89">
        <f>IF(OR(AQ43="",AR43=""),"",IFERROR(AQ43-AR43,""))</f>
        <v/>
      </c>
      <c r="AT43" s="90">
        <f>IF(COUNT(K43:AO43)=0,"",MIN(K43:AO43))</f>
        <v/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/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3" s="92">
        <f>IF(OR(AT43="",AU43=""),"NA",IFERROR(AT43-AU43,"NA"))</f>
        <v/>
      </c>
    </row>
    <row r="44" ht="14.25" customHeight="1">
      <c r="A44" s="48" t="n">
        <v>13075010</v>
      </c>
      <c r="B44" s="52" t="inlineStr">
        <is>
          <t>Chima</t>
        </is>
      </c>
      <c r="C44" s="52" t="inlineStr">
        <is>
          <t>Area Operativa 02 - Atlántico-Bolivar-Sucre</t>
        </is>
      </c>
      <c r="D44" s="53" t="n">
        <v>-75.62208333</v>
      </c>
      <c r="E44" s="53" t="n">
        <v>9.15075</v>
      </c>
      <c r="F44" s="48" t="n">
        <v>20</v>
      </c>
      <c r="G44" s="46" t="n">
        <v>5</v>
      </c>
      <c r="H44" s="46" t="n">
        <v>5172</v>
      </c>
      <c r="I44" s="55" t="inlineStr">
        <is>
          <t>Antioquia</t>
        </is>
      </c>
      <c r="J44" s="55" t="inlineStr">
        <is>
          <t>Chigorodó</t>
        </is>
      </c>
      <c r="K44" s="51" t="n">
        <v>23.4</v>
      </c>
      <c r="L44" s="51" t="n">
        <v>23.6</v>
      </c>
      <c r="M44" s="51" t="n">
        <v>24.2</v>
      </c>
      <c r="N44" s="51" t="n">
        <v>24</v>
      </c>
      <c r="O44" s="51" t="n">
        <v>25</v>
      </c>
      <c r="P44" s="51" t="n">
        <v>25.4</v>
      </c>
      <c r="Q44" s="51" t="n">
        <v>24.2</v>
      </c>
      <c r="R44" s="51" t="n">
        <v>25</v>
      </c>
      <c r="S44" s="51" t="n">
        <v>25.4</v>
      </c>
      <c r="T44" s="51" t="n">
        <v>23.8</v>
      </c>
      <c r="U44" s="51" t="n">
        <v>22.8</v>
      </c>
      <c r="V44" s="51" t="n">
        <v>23.2</v>
      </c>
      <c r="W44" s="51" t="n">
        <v>25.6</v>
      </c>
      <c r="X44" s="51" t="n">
        <v>23.4</v>
      </c>
      <c r="Y44" s="51" t="n">
        <v>23.6</v>
      </c>
      <c r="Z44" s="111" t="n">
        <v>23.2</v>
      </c>
      <c r="AA44" s="51" t="n">
        <v>24.6</v>
      </c>
      <c r="AB44" s="51" t="n">
        <v>25.4</v>
      </c>
      <c r="AC44" s="51" t="n">
        <v>25</v>
      </c>
      <c r="AD44" s="51" t="n">
        <v>23.6</v>
      </c>
      <c r="AE44" s="51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88">
        <f>COUNTIF(K44:AO44,"&gt;0")</f>
        <v/>
      </c>
      <c r="AQ44" s="89">
        <f>IF(AP44&gt;14,AVERAGE(K44:AO44),"")</f>
        <v/>
      </c>
      <c r="AR44" s="89">
        <f>IFERROR(VLOOKUP(A44,Climatologia!A:U,9+$E$2,FALSE),"")</f>
        <v/>
      </c>
      <c r="AS44" s="89">
        <f>IF(OR(AQ44="",AR44=""),"",IFERROR(AQ44-AR44,""))</f>
        <v/>
      </c>
      <c r="AT44" s="90">
        <f>IF(COUNT(K44:AO44)=0,"",MIN(K44:AO44))</f>
        <v/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/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4" s="92">
        <f>IF(OR(AT44="",AU44=""),"NA",IFERROR(AT44-AU44,"NA"))</f>
        <v/>
      </c>
    </row>
    <row r="45" ht="14.25" customHeight="1">
      <c r="A45" s="48" t="n">
        <v>13075020</v>
      </c>
      <c r="B45" s="52" t="inlineStr">
        <is>
          <t>El Salado</t>
        </is>
      </c>
      <c r="C45" s="52" t="inlineStr">
        <is>
          <t>Area Operativa 02 - Atlántico-Bolivar-Sucre</t>
        </is>
      </c>
      <c r="D45" s="53" t="n">
        <v>-75.58222222000001</v>
      </c>
      <c r="E45" s="53" t="n">
        <v>8.913888889000001</v>
      </c>
      <c r="F45" s="48" t="n">
        <v>40</v>
      </c>
      <c r="G45" s="46" t="n">
        <v>23</v>
      </c>
      <c r="H45" s="46" t="n">
        <v>23189</v>
      </c>
      <c r="I45" s="55" t="inlineStr">
        <is>
          <t>Córdoba</t>
        </is>
      </c>
      <c r="J45" s="55" t="inlineStr">
        <is>
          <t>Ciénaga De Oro</t>
        </is>
      </c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11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88">
        <f>COUNTIF(K45:AO45,"&gt;0")</f>
        <v/>
      </c>
      <c r="AQ45" s="89">
        <f>IF(AP45&gt;14,AVERAGE(K45:AO45),"")</f>
        <v/>
      </c>
      <c r="AR45" s="89">
        <f>IFERROR(VLOOKUP(A45,Climatologia!A:U,9+$E$2,FALSE),"")</f>
        <v/>
      </c>
      <c r="AS45" s="89">
        <f>IF(OR(AQ45="",AR45=""),"",IFERROR(AQ45-AR45,""))</f>
        <v/>
      </c>
      <c r="AT45" s="90">
        <f>IF(COUNT(K45:AO45)=0,"",MIN(K45:AO45))</f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/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5" s="92">
        <f>IF(OR(AT45="",AU45=""),"NA",IFERROR(AT45-AU45,"NA"))</f>
        <v/>
      </c>
    </row>
    <row r="46" ht="14.25" customHeight="1">
      <c r="A46" s="48" t="n">
        <v>13085030</v>
      </c>
      <c r="B46" s="52" t="inlineStr">
        <is>
          <t>San Bernardo Del Viento</t>
        </is>
      </c>
      <c r="C46" s="52" t="inlineStr">
        <is>
          <t>Area Operativa 02 - Atlántico-Bolivar-Sucre</t>
        </is>
      </c>
      <c r="D46" s="53" t="n">
        <v>-75.95</v>
      </c>
      <c r="E46" s="53" t="n">
        <v>9.369999999999999</v>
      </c>
      <c r="F46" s="48" t="n">
        <v>22</v>
      </c>
      <c r="G46" s="46" t="n">
        <v>23</v>
      </c>
      <c r="H46" s="46" t="n">
        <v>23675</v>
      </c>
      <c r="I46" s="55" t="inlineStr">
        <is>
          <t>Córdoba</t>
        </is>
      </c>
      <c r="J46" s="55" t="inlineStr">
        <is>
          <t>San Bernardo Del Viento</t>
        </is>
      </c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111" t="n"/>
      <c r="AA46" s="51" t="n"/>
      <c r="AB46" s="51" t="n"/>
      <c r="AC46" s="51" t="n"/>
      <c r="AD46" s="51" t="n"/>
      <c r="AE46" s="51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88">
        <f>COUNTIF(K46:AO46,"&gt;0")</f>
        <v/>
      </c>
      <c r="AQ46" s="89">
        <f>IF(AP46&gt;14,AVERAGE(K46:AO46),"")</f>
        <v/>
      </c>
      <c r="AR46" s="89">
        <f>IFERROR(VLOOKUP(A46,Climatologia!A:U,9+$E$2,FALSE),"")</f>
        <v/>
      </c>
      <c r="AS46" s="89">
        <f>IF(OR(AQ46="",AR46=""),"",IFERROR(AQ46-AR46,""))</f>
        <v/>
      </c>
      <c r="AT46" s="90">
        <f>IF(COUNT(K46:AO46)=0,"",MIN(K46:AO46))</f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/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6" s="92">
        <f>IF(OR(AT46="",AU46=""),"NA",IFERROR(AT46-AU46,"NA"))</f>
        <v/>
      </c>
    </row>
    <row r="47" ht="14.25" customHeight="1">
      <c r="A47" s="48" t="n">
        <v>25025080</v>
      </c>
      <c r="B47" s="52" t="inlineStr">
        <is>
          <t>Aeropuerto Rafael Barvo</t>
        </is>
      </c>
      <c r="C47" s="52" t="inlineStr">
        <is>
          <t>Area Operativa 02 - Atlántico-Bolivar-Sucre</t>
        </is>
      </c>
      <c r="D47" s="53" t="n">
        <v>-75.28305555999999</v>
      </c>
      <c r="E47" s="53" t="n">
        <v>9.333888889000001</v>
      </c>
      <c r="F47" s="48" t="n">
        <v>166</v>
      </c>
      <c r="G47" s="46" t="n">
        <v>70</v>
      </c>
      <c r="H47" s="46" t="n">
        <v>70215</v>
      </c>
      <c r="I47" s="55" t="inlineStr">
        <is>
          <t>Sucre</t>
        </is>
      </c>
      <c r="J47" s="55" t="inlineStr">
        <is>
          <t>Corozal</t>
        </is>
      </c>
      <c r="K47" s="51" t="n">
        <v>23</v>
      </c>
      <c r="L47" s="51" t="n">
        <v>24.8</v>
      </c>
      <c r="M47" s="51" t="n">
        <v>23</v>
      </c>
      <c r="N47" s="51" t="n">
        <v>23.8</v>
      </c>
      <c r="O47" s="51" t="n">
        <v>26</v>
      </c>
      <c r="P47" s="51" t="n">
        <v>26.4</v>
      </c>
      <c r="Q47" s="51" t="n">
        <v>25.6</v>
      </c>
      <c r="R47" s="51" t="n">
        <v>25.4</v>
      </c>
      <c r="S47" s="51" t="n">
        <v>25.4</v>
      </c>
      <c r="T47" s="51" t="n">
        <v>26.8</v>
      </c>
      <c r="U47" s="51" t="n">
        <v>23</v>
      </c>
      <c r="V47" s="51" t="n">
        <v>23.2</v>
      </c>
      <c r="W47" s="51" t="n">
        <v>26.8</v>
      </c>
      <c r="X47" s="51" t="n">
        <v>25.2</v>
      </c>
      <c r="Y47" s="51" t="n">
        <v>22.8</v>
      </c>
      <c r="Z47" s="111" t="n">
        <v>23.8</v>
      </c>
      <c r="AA47" s="51" t="n">
        <v>24.6</v>
      </c>
      <c r="AB47" s="51" t="n">
        <v>27</v>
      </c>
      <c r="AC47" s="51" t="n">
        <v>27.2</v>
      </c>
      <c r="AD47" s="51" t="n">
        <v>23.6</v>
      </c>
      <c r="AE47" s="51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88">
        <f>COUNTIF(K47:AO47,"&gt;0")</f>
        <v/>
      </c>
      <c r="AQ47" s="89">
        <f>IF(AP47&gt;14,AVERAGE(K47:AO47),"")</f>
        <v/>
      </c>
      <c r="AR47" s="89">
        <f>IFERROR(VLOOKUP(A47,Climatologia!A:U,9+$E$2,FALSE),"")</f>
        <v/>
      </c>
      <c r="AS47" s="89">
        <f>IF(OR(AQ47="",AR47=""),"",IFERROR(AQ47-AR47,""))</f>
        <v/>
      </c>
      <c r="AT47" s="90">
        <f>IF(COUNT(K47:AO47)=0,"",MIN(K47:AO47))</f>
        <v/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/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7" s="92">
        <f>IF(OR(AT47="",AU47=""),"NA",IFERROR(AT47-AU47,"NA"))</f>
        <v/>
      </c>
    </row>
    <row r="48" ht="14.25" customHeight="1">
      <c r="A48" s="48" t="n">
        <v>25025160</v>
      </c>
      <c r="B48" s="52" t="inlineStr">
        <is>
          <t>Cuba Hacienda</t>
        </is>
      </c>
      <c r="C48" s="52" t="inlineStr">
        <is>
          <t>Area Operativa 02 - Atlántico-Bolivar-Sucre</t>
        </is>
      </c>
      <c r="D48" s="53" t="n">
        <v>-75.40277777999999</v>
      </c>
      <c r="E48" s="53" t="n">
        <v>8.003888889000001</v>
      </c>
      <c r="F48" s="48" t="n">
        <v>50</v>
      </c>
      <c r="G48" s="46" t="n">
        <v>23</v>
      </c>
      <c r="H48" s="46" t="n">
        <v>23466</v>
      </c>
      <c r="I48" s="55" t="inlineStr">
        <is>
          <t>Córdoba</t>
        </is>
      </c>
      <c r="J48" s="55" t="inlineStr">
        <is>
          <t>Montelíbano</t>
        </is>
      </c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111" t="n"/>
      <c r="AA48" s="51" t="n"/>
      <c r="AB48" s="51" t="n"/>
      <c r="AC48" s="51" t="n"/>
      <c r="AD48" s="51" t="n"/>
      <c r="AE48" s="51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88">
        <f>COUNTIF(K48:AO48,"&gt;0")</f>
        <v/>
      </c>
      <c r="AQ48" s="89">
        <f>IF(AP48&gt;14,AVERAGE(K48:AO48),"")</f>
        <v/>
      </c>
      <c r="AR48" s="89">
        <f>IFERROR(VLOOKUP(A48,Climatologia!A:U,9+$E$2,FALSE),"")</f>
        <v/>
      </c>
      <c r="AS48" s="89">
        <f>IF(OR(AQ48="",AR48=""),"",IFERROR(AQ48-AR48,""))</f>
        <v/>
      </c>
      <c r="AT48" s="90">
        <f>IF(COUNT(K48:AO48)=0,"",MIN(K48:AO48))</f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/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8" s="92">
        <f>IF(OR(AT48="",AU48=""),"NA",IFERROR(AT48-AU48,"NA"))</f>
        <v/>
      </c>
    </row>
    <row r="49" ht="14.25" customHeight="1">
      <c r="A49" s="48" t="n">
        <v>25025190</v>
      </c>
      <c r="B49" s="52" t="inlineStr">
        <is>
          <t>Planeta Rica  - Aut</t>
        </is>
      </c>
      <c r="C49" s="52" t="inlineStr">
        <is>
          <t>Area Operativa 02 - Atlántico-Bolivar-Sucre</t>
        </is>
      </c>
      <c r="D49" s="53" t="n">
        <v>-75.58372222</v>
      </c>
      <c r="E49" s="53" t="n">
        <v>8.399333333</v>
      </c>
      <c r="F49" s="48" t="n">
        <v>90</v>
      </c>
      <c r="G49" s="46" t="n">
        <v>23</v>
      </c>
      <c r="H49" s="46" t="n">
        <v>23555</v>
      </c>
      <c r="I49" s="55" t="inlineStr">
        <is>
          <t>Córdoba</t>
        </is>
      </c>
      <c r="J49" s="55" t="inlineStr">
        <is>
          <t>Planeta Rica</t>
        </is>
      </c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111" t="n"/>
      <c r="AA49" s="51" t="n"/>
      <c r="AB49" s="51" t="n"/>
      <c r="AC49" s="51" t="n"/>
      <c r="AD49" s="51" t="n"/>
      <c r="AE49" s="51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88">
        <f>COUNTIF(K49:AO49,"&gt;0")</f>
        <v/>
      </c>
      <c r="AQ49" s="89">
        <f>IF(AP49&gt;14,AVERAGE(K49:AO49),"")</f>
        <v/>
      </c>
      <c r="AR49" s="89">
        <f>IFERROR(VLOOKUP(A49,Climatologia!A:U,9+$E$2,FALSE),"")</f>
        <v/>
      </c>
      <c r="AS49" s="89">
        <f>IF(OR(AQ49="",AR49=""),"",IFERROR(AQ49-AR49,""))</f>
        <v/>
      </c>
      <c r="AT49" s="90">
        <f>IF(COUNT(K49:AO49)=0,"",MIN(K49:AO49))</f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/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9" s="92">
        <f>IF(OR(AT49="",AU49=""),"NA",IFERROR(AT49-AU49,"NA"))</f>
        <v/>
      </c>
    </row>
    <row r="50" ht="14.25" customHeight="1">
      <c r="A50" s="48" t="n">
        <v>25025210</v>
      </c>
      <c r="B50" s="52" t="inlineStr">
        <is>
          <t>Pinillos</t>
        </is>
      </c>
      <c r="C50" s="52" t="inlineStr">
        <is>
          <t>Area Operativa 02 - Atlántico-Bolivar-Sucre</t>
        </is>
      </c>
      <c r="D50" s="53" t="n">
        <v>-74.45777778</v>
      </c>
      <c r="E50" s="53" t="n">
        <v>8.911388888999999</v>
      </c>
      <c r="F50" s="48" t="n">
        <v>10</v>
      </c>
      <c r="G50" s="46" t="n">
        <v>13</v>
      </c>
      <c r="H50" s="46" t="n">
        <v>13549</v>
      </c>
      <c r="I50" s="55" t="inlineStr">
        <is>
          <t>Bolívar</t>
        </is>
      </c>
      <c r="J50" s="55" t="inlineStr">
        <is>
          <t>Pinillos</t>
        </is>
      </c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111" t="n"/>
      <c r="AA50" s="51" t="n"/>
      <c r="AB50" s="51" t="n"/>
      <c r="AC50" s="51" t="n"/>
      <c r="AD50" s="51" t="n"/>
      <c r="AE50" s="51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88">
        <f>COUNTIF(K50:AO50,"&gt;0")</f>
        <v/>
      </c>
      <c r="AQ50" s="89">
        <f>IF(AP50&gt;14,AVERAGE(K50:AO50),"")</f>
        <v/>
      </c>
      <c r="AR50" s="89">
        <f>IFERROR(VLOOKUP(A50,Climatologia!A:U,9+$E$2,FALSE),"")</f>
        <v/>
      </c>
      <c r="AS50" s="89">
        <f>IF(OR(AQ50="",AR50=""),"",IFERROR(AQ50-AR50,""))</f>
        <v/>
      </c>
      <c r="AT50" s="90">
        <f>IF(COUNT(K50:AO50)=0,"",MIN(K50:AO50))</f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/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0" s="92">
        <f>IF(OR(AT50="",AU50=""),"NA",IFERROR(AT50-AU50,"NA"))</f>
        <v/>
      </c>
    </row>
    <row r="51" ht="14.25" customHeight="1">
      <c r="A51" s="48" t="n">
        <v>25025270</v>
      </c>
      <c r="B51" s="52" t="inlineStr">
        <is>
          <t>Unisucre Aut</t>
        </is>
      </c>
      <c r="C51" s="52" t="inlineStr">
        <is>
          <t>Area Operativa 02 - Atlántico-Bolivar-Sucre</t>
        </is>
      </c>
      <c r="D51" s="53" t="n">
        <v>-75.3875</v>
      </c>
      <c r="E51" s="53" t="n">
        <v>9.316388889000001</v>
      </c>
      <c r="F51" s="48" t="n">
        <v>160</v>
      </c>
      <c r="G51" s="46" t="n">
        <v>70</v>
      </c>
      <c r="H51" s="46" t="n">
        <v>70670</v>
      </c>
      <c r="I51" s="55" t="inlineStr">
        <is>
          <t>Sucre</t>
        </is>
      </c>
      <c r="J51" s="55" t="inlineStr">
        <is>
          <t>Sampués</t>
        </is>
      </c>
      <c r="K51" s="51" t="n">
        <v>22.6</v>
      </c>
      <c r="L51" s="51" t="n">
        <v>24.6</v>
      </c>
      <c r="M51" s="51" t="n">
        <v>23</v>
      </c>
      <c r="N51" s="51" t="n">
        <v>24.8</v>
      </c>
      <c r="O51" s="51" t="n">
        <v>26.2</v>
      </c>
      <c r="P51" s="51" t="n">
        <v>26.4</v>
      </c>
      <c r="Q51" s="51" t="n">
        <v>24.8</v>
      </c>
      <c r="R51" s="51" t="n">
        <v>25.8</v>
      </c>
      <c r="S51" s="51" t="n">
        <v>25.6</v>
      </c>
      <c r="T51" s="51" t="n">
        <v>24.8</v>
      </c>
      <c r="U51" s="51" t="n">
        <v>21.8</v>
      </c>
      <c r="V51" s="51" t="n">
        <v>23</v>
      </c>
      <c r="W51" s="51" t="n">
        <v>25.4</v>
      </c>
      <c r="X51" s="51" t="n">
        <v>24</v>
      </c>
      <c r="Y51" s="51" t="n">
        <v>22.2</v>
      </c>
      <c r="Z51" s="111" t="n">
        <v>23.6</v>
      </c>
      <c r="AA51" s="51" t="n">
        <v>24.2</v>
      </c>
      <c r="AB51" s="51" t="n">
        <v>26.4</v>
      </c>
      <c r="AC51" s="51" t="n">
        <v>27.2</v>
      </c>
      <c r="AD51" s="51" t="n">
        <v>22.2</v>
      </c>
      <c r="AE51" s="51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88">
        <f>COUNTIF(K51:AO51,"&gt;0")</f>
        <v/>
      </c>
      <c r="AQ51" s="89">
        <f>IF(AP51&gt;14,AVERAGE(K51:AO51),"")</f>
        <v/>
      </c>
      <c r="AR51" s="89">
        <f>IFERROR(VLOOKUP(A51,Climatologia!A:U,9+$E$2,FALSE),"")</f>
        <v/>
      </c>
      <c r="AS51" s="89">
        <f>IF(OR(AQ51="",AR51=""),"",IFERROR(AQ51-AR51,""))</f>
        <v/>
      </c>
      <c r="AT51" s="90">
        <f>IF(COUNT(K51:AO51)=0,"",MIN(K51:AO51))</f>
        <v/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/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1" s="92">
        <f>IF(OR(AT51="",AU51=""),"NA",IFERROR(AT51-AU51,"NA"))</f>
        <v/>
      </c>
    </row>
    <row r="52" ht="14.25" customHeight="1">
      <c r="A52" s="48" t="n">
        <v>25025380</v>
      </c>
      <c r="B52" s="52" t="inlineStr">
        <is>
          <t>San Benito - Aut</t>
        </is>
      </c>
      <c r="C52" s="52" t="inlineStr">
        <is>
          <t>Area Operativa 02 - Atlántico-Bolivar-Sucre</t>
        </is>
      </c>
      <c r="D52" s="53" t="n">
        <v>-75.04472222</v>
      </c>
      <c r="E52" s="53" t="n">
        <v>9.163888889000001</v>
      </c>
      <c r="F52" s="48" t="n">
        <v>20</v>
      </c>
      <c r="G52" s="46" t="n">
        <v>70</v>
      </c>
      <c r="H52" s="46" t="n">
        <v>70678</v>
      </c>
      <c r="I52" s="55" t="inlineStr">
        <is>
          <t>Sucre</t>
        </is>
      </c>
      <c r="J52" s="55" t="inlineStr">
        <is>
          <t>San Benito Abad</t>
        </is>
      </c>
      <c r="K52" s="51" t="n">
        <v>24</v>
      </c>
      <c r="L52" s="51" t="n">
        <v>25.6</v>
      </c>
      <c r="M52" s="51" t="n">
        <v>24.2</v>
      </c>
      <c r="N52" s="51" t="n">
        <v>24</v>
      </c>
      <c r="O52" s="51" t="n">
        <v>24</v>
      </c>
      <c r="P52" s="51" t="n">
        <v>23.8</v>
      </c>
      <c r="Q52" s="51" t="n">
        <v>24.6</v>
      </c>
      <c r="R52" s="51" t="n">
        <v>24.4</v>
      </c>
      <c r="S52" s="51" t="n">
        <v>24.6</v>
      </c>
      <c r="T52" s="51" t="n">
        <v>24.8</v>
      </c>
      <c r="U52" s="51" t="n">
        <v>22.4</v>
      </c>
      <c r="V52" s="51" t="n">
        <v>22.2</v>
      </c>
      <c r="W52" s="51" t="n">
        <v>22.4</v>
      </c>
      <c r="X52" s="51" t="n">
        <v>22.6</v>
      </c>
      <c r="Y52" s="51" t="n">
        <v>22.2</v>
      </c>
      <c r="Z52" s="111" t="n">
        <v>24.4</v>
      </c>
      <c r="AA52" s="51" t="n">
        <v>24.4</v>
      </c>
      <c r="AB52" s="51" t="n">
        <v>24.2</v>
      </c>
      <c r="AC52" s="51" t="n">
        <v>24.2</v>
      </c>
      <c r="AD52" s="51" t="n">
        <v>23</v>
      </c>
      <c r="AE52" s="51" t="n"/>
      <c r="AF52" s="51" t="n"/>
      <c r="AG52" s="51" t="n"/>
      <c r="AH52" s="119" t="n"/>
      <c r="AI52" s="119" t="n"/>
      <c r="AJ52" s="119" t="n"/>
      <c r="AK52" s="119" t="n"/>
      <c r="AL52" s="51" t="n"/>
      <c r="AM52" s="51" t="n"/>
      <c r="AN52" s="51" t="n"/>
      <c r="AO52" s="51" t="n"/>
      <c r="AP52" s="88">
        <f>COUNTIF(K52:AO52,"&gt;0")</f>
        <v/>
      </c>
      <c r="AQ52" s="89">
        <f>IF(AP52&gt;14,AVERAGE(K52:AO52),"")</f>
        <v/>
      </c>
      <c r="AR52" s="89">
        <f>IFERROR(VLOOKUP(A52,Climatologia!A:U,9+$E$2,FALSE),"")</f>
        <v/>
      </c>
      <c r="AS52" s="89">
        <f>IF(OR(AQ52="",AR52=""),"",IFERROR(AQ52-AR52,""))</f>
        <v/>
      </c>
      <c r="AT52" s="90">
        <f>IF(COUNT(K52:AO52)=0,"",MIN(K52:AO52))</f>
        <v/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/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2" s="92">
        <f>IF(OR(AT52="",AU52=""),"NA",IFERROR(AT52-AU52,"NA"))</f>
        <v/>
      </c>
    </row>
    <row r="53" ht="14.25" customHeight="1">
      <c r="A53" s="48" t="n">
        <v>29015000</v>
      </c>
      <c r="B53" s="52" t="inlineStr">
        <is>
          <t>El Guamo - Aut</t>
        </is>
      </c>
      <c r="C53" s="52" t="inlineStr">
        <is>
          <t>Area Operativa 02 - Atlántico-Bolivar-Sucre</t>
        </is>
      </c>
      <c r="D53" s="53" t="n">
        <v>-74.97663799999999</v>
      </c>
      <c r="E53" s="53" t="n">
        <v>10.034607</v>
      </c>
      <c r="F53" s="48" t="n">
        <v>75</v>
      </c>
      <c r="G53" s="46" t="n">
        <v>13</v>
      </c>
      <c r="H53" s="46" t="n">
        <v>13248</v>
      </c>
      <c r="I53" s="55" t="inlineStr">
        <is>
          <t>Bolívar</t>
        </is>
      </c>
      <c r="J53" s="55" t="inlineStr">
        <is>
          <t>El Guamo</t>
        </is>
      </c>
      <c r="K53" s="51" t="n">
        <v>25.6</v>
      </c>
      <c r="L53" s="51" t="n">
        <v>25.6</v>
      </c>
      <c r="M53" s="51" t="n">
        <v>23.2</v>
      </c>
      <c r="N53" s="51" t="n">
        <v>24.2</v>
      </c>
      <c r="O53" s="51" t="n">
        <v>26.2</v>
      </c>
      <c r="P53" s="51" t="n">
        <v>25.4</v>
      </c>
      <c r="Q53" s="51" t="n">
        <v>23.2</v>
      </c>
      <c r="R53" s="51" t="n">
        <v>24.8</v>
      </c>
      <c r="S53" s="51" t="n">
        <v>25.4</v>
      </c>
      <c r="T53" s="51" t="n">
        <v>26</v>
      </c>
      <c r="U53" s="51" t="n">
        <v>25.8</v>
      </c>
      <c r="V53" s="51" t="n">
        <v>25.6</v>
      </c>
      <c r="W53" s="51" t="n">
        <v/>
      </c>
      <c r="X53" s="51" t="n">
        <v/>
      </c>
      <c r="Y53" s="51" t="n">
        <v>25.6</v>
      </c>
      <c r="Z53" s="111" t="n">
        <v>25.6</v>
      </c>
      <c r="AA53" s="51" t="n">
        <v>25.4</v>
      </c>
      <c r="AB53" s="51" t="n">
        <v>26.2</v>
      </c>
      <c r="AC53" s="51" t="n">
        <v/>
      </c>
      <c r="AD53" s="51" t="n">
        <v>24.4</v>
      </c>
      <c r="AE53" s="51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88">
        <f>COUNTIF(K53:AO53,"&gt;0")</f>
        <v/>
      </c>
      <c r="AQ53" s="89">
        <f>IF(AP53&gt;14,AVERAGE(K53:AO53),"")</f>
        <v/>
      </c>
      <c r="AR53" s="89">
        <f>IFERROR(VLOOKUP(A53,Climatologia!A:U,9+$E$2,FALSE),"")</f>
        <v/>
      </c>
      <c r="AS53" s="89">
        <f>IF(OR(AQ53="",AR53=""),"",IFERROR(AQ53-AR53,""))</f>
        <v/>
      </c>
      <c r="AT53" s="90">
        <f>IF(COUNT(K53:AO53)=0,"",MIN(K53:AO53))</f>
        <v/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/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3" s="92">
        <f>IF(OR(AT53="",AU53=""),"NA",IFERROR(AT53-AU53,"NA"))</f>
        <v/>
      </c>
    </row>
    <row r="54" ht="14.25" customHeight="1">
      <c r="A54" s="48" t="n">
        <v>29035000</v>
      </c>
      <c r="B54" s="52" t="inlineStr">
        <is>
          <t>Sincerin  - Aut</t>
        </is>
      </c>
      <c r="C54" s="52" t="inlineStr">
        <is>
          <t>Area Operativa 02 - Atlántico-Bolivar-Sucre</t>
        </is>
      </c>
      <c r="D54" s="53" t="n">
        <v>-75.27827778</v>
      </c>
      <c r="E54" s="53" t="n">
        <v>10.14258333</v>
      </c>
      <c r="F54" s="48" t="n">
        <v>10</v>
      </c>
      <c r="G54" s="46" t="n">
        <v>13</v>
      </c>
      <c r="H54" s="46" t="n">
        <v>13052</v>
      </c>
      <c r="I54" s="55" t="inlineStr">
        <is>
          <t>Bolívar</t>
        </is>
      </c>
      <c r="J54" s="55" t="inlineStr">
        <is>
          <t>Arjona</t>
        </is>
      </c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111" t="n"/>
      <c r="AA54" s="51" t="n"/>
      <c r="AB54" s="51" t="n"/>
      <c r="AC54" s="51" t="n"/>
      <c r="AD54" s="51" t="n"/>
      <c r="AE54" s="51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88">
        <f>COUNTIF(K54:AO54,"&gt;0")</f>
        <v/>
      </c>
      <c r="AQ54" s="89">
        <f>IF(AP54&gt;14,AVERAGE(K54:AO54),"")</f>
        <v/>
      </c>
      <c r="AR54" s="89">
        <f>IFERROR(VLOOKUP(A54,Climatologia!A:U,9+$E$2,FALSE),"")</f>
        <v/>
      </c>
      <c r="AS54" s="89">
        <f>IF(OR(AQ54="",AR54=""),"",IFERROR(AQ54-AR54,""))</f>
        <v/>
      </c>
      <c r="AT54" s="90">
        <f>IF(COUNT(K54:AO54)=0,"",MIN(K54:AO54))</f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/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4" s="92">
        <f>IF(OR(AT54="",AU54=""),"NA",IFERROR(AT54-AU54,"NA"))</f>
        <v/>
      </c>
    </row>
    <row r="55" ht="14.25" customHeight="1">
      <c r="A55" s="48" t="n">
        <v>29035030</v>
      </c>
      <c r="B55" s="52" t="inlineStr">
        <is>
          <t>Presa Ay Grande</t>
        </is>
      </c>
      <c r="C55" s="52" t="inlineStr">
        <is>
          <t>Area Operativa 02 - Atlántico-Bolivar-Sucre</t>
        </is>
      </c>
      <c r="D55" s="53" t="n">
        <v>-75.326301</v>
      </c>
      <c r="E55" s="53" t="n">
        <v>9.879633999999999</v>
      </c>
      <c r="F55" s="48" t="n">
        <v>60</v>
      </c>
      <c r="G55" s="46" t="n">
        <v>13</v>
      </c>
      <c r="H55" s="46" t="n">
        <v>13442</v>
      </c>
      <c r="I55" s="55" t="inlineStr">
        <is>
          <t>Bolívar</t>
        </is>
      </c>
      <c r="J55" s="55" t="inlineStr">
        <is>
          <t>María La Baja</t>
        </is>
      </c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11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88">
        <f>COUNTIF(K55:AO55,"&gt;0")</f>
        <v/>
      </c>
      <c r="AQ55" s="89">
        <f>IF(AP55&gt;14,AVERAGE(K55:AO55),"")</f>
        <v/>
      </c>
      <c r="AR55" s="89">
        <f>IFERROR(VLOOKUP(A55,Climatologia!A:U,9+$E$2,FALSE),"")</f>
        <v/>
      </c>
      <c r="AS55" s="89">
        <f>IF(OR(AQ55="",AR55=""),"",IFERROR(AQ55-AR55,""))</f>
        <v/>
      </c>
      <c r="AT55" s="90">
        <f>IF(COUNT(K55:AO55)=0,"",MIN(K55:AO55))</f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/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5" s="92">
        <f>IF(OR(AT55="",AU55=""),"NA",IFERROR(AT55-AU55,"NA"))</f>
        <v/>
      </c>
    </row>
    <row r="56" ht="14.25" customHeight="1">
      <c r="A56" s="48" t="n">
        <v>29035080</v>
      </c>
      <c r="B56" s="52" t="inlineStr">
        <is>
          <t>Normal Manati  - Aut</t>
        </is>
      </c>
      <c r="C56" s="52" t="inlineStr">
        <is>
          <t>Area Operativa 02 - Atlántico-Bolivar-Sucre</t>
        </is>
      </c>
      <c r="D56" s="53" t="n">
        <v>-74.95472599999999</v>
      </c>
      <c r="E56" s="53" t="n">
        <v>10.453966</v>
      </c>
      <c r="F56" s="48" t="n">
        <v>10</v>
      </c>
      <c r="G56" s="46" t="n">
        <v>8</v>
      </c>
      <c r="H56" s="46" t="n">
        <v>8436</v>
      </c>
      <c r="I56" s="55" t="inlineStr">
        <is>
          <t>Atlántico</t>
        </is>
      </c>
      <c r="J56" s="55" t="inlineStr">
        <is>
          <t>Manatí</t>
        </is>
      </c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11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88">
        <f>COUNTIF(K56:AO56,"&gt;0")</f>
        <v/>
      </c>
      <c r="AQ56" s="89">
        <f>IF(AP56&gt;14,AVERAGE(K56:AO56),"")</f>
        <v/>
      </c>
      <c r="AR56" s="89">
        <f>IFERROR(VLOOKUP(A56,Climatologia!A:U,9+$E$2,FALSE),"")</f>
        <v/>
      </c>
      <c r="AS56" s="89">
        <f>IF(OR(AQ56="",AR56=""),"",IFERROR(AQ56-AR56,""))</f>
        <v/>
      </c>
      <c r="AT56" s="90">
        <f>IF(COUNT(K56:AO56)=0,"",MIN(K56:AO56))</f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/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6" s="92">
        <f>IF(OR(AT56="",AU56=""),"NA",IFERROR(AT56-AU56,"NA"))</f>
        <v/>
      </c>
    </row>
    <row r="57" ht="14.25" customHeight="1">
      <c r="A57" s="48" t="n">
        <v>29035110</v>
      </c>
      <c r="B57" s="52" t="inlineStr">
        <is>
          <t>San Pablo</t>
        </is>
      </c>
      <c r="C57" s="52" t="inlineStr">
        <is>
          <t>Area Operativa 02 - Atlántico-Bolivar-Sucre</t>
        </is>
      </c>
      <c r="D57" s="53" t="n">
        <v>-75.25861111</v>
      </c>
      <c r="E57" s="53" t="n">
        <v>10.04316667</v>
      </c>
      <c r="F57" s="48" t="n">
        <v>20</v>
      </c>
      <c r="G57" s="46" t="n">
        <v>13</v>
      </c>
      <c r="H57" s="46" t="n">
        <v>13442</v>
      </c>
      <c r="I57" s="55" t="inlineStr">
        <is>
          <t>Bolívar</t>
        </is>
      </c>
      <c r="J57" s="55" t="inlineStr">
        <is>
          <t>María La Baja</t>
        </is>
      </c>
      <c r="K57" s="51" t="n">
        <v>25</v>
      </c>
      <c r="L57" s="51" t="n">
        <v>25.2</v>
      </c>
      <c r="M57" s="51" t="n">
        <v>23.6</v>
      </c>
      <c r="N57" s="51" t="n">
        <v>24.4</v>
      </c>
      <c r="O57" s="51" t="n">
        <v>25.2</v>
      </c>
      <c r="P57" s="51" t="n">
        <v>25</v>
      </c>
      <c r="Q57" s="51" t="n">
        <v>24.6</v>
      </c>
      <c r="R57" s="51" t="n">
        <v>25.4</v>
      </c>
      <c r="S57" s="51" t="n">
        <v>25</v>
      </c>
      <c r="T57" s="51" t="n">
        <v>25.4</v>
      </c>
      <c r="U57" s="51" t="n">
        <v>25.8</v>
      </c>
      <c r="V57" s="51" t="n">
        <v>26.8</v>
      </c>
      <c r="W57" s="51" t="n">
        <v>25.6</v>
      </c>
      <c r="X57" s="51" t="n">
        <v>25.8</v>
      </c>
      <c r="Y57" s="51" t="n">
        <v>25</v>
      </c>
      <c r="Z57" s="111" t="n">
        <v>25.2</v>
      </c>
      <c r="AA57" s="51" t="n">
        <v>25.8</v>
      </c>
      <c r="AB57" s="51" t="n">
        <v>26.6</v>
      </c>
      <c r="AC57" s="51" t="n">
        <v>23.8</v>
      </c>
      <c r="AD57" s="51" t="n">
        <v>24.2</v>
      </c>
      <c r="AE57" s="51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88">
        <f>COUNTIF(K57:AO57,"&gt;0")</f>
        <v/>
      </c>
      <c r="AQ57" s="89">
        <f>IF(AP57&gt;14,AVERAGE(K57:AO57),"")</f>
        <v/>
      </c>
      <c r="AR57" s="89">
        <f>IFERROR(VLOOKUP(A57,Climatologia!A:U,9+$E$2,FALSE),"")</f>
        <v/>
      </c>
      <c r="AS57" s="89">
        <f>IF(OR(AQ57="",AR57=""),"",IFERROR(AQ57-AR57,""))</f>
        <v/>
      </c>
      <c r="AT57" s="90">
        <f>IF(COUNT(K57:AO57)=0,"",MIN(K57:AO57))</f>
        <v/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/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7" s="92">
        <f>IF(OR(AT57="",AU57=""),"NA",IFERROR(AT57-AU57,"NA"))</f>
        <v/>
      </c>
    </row>
    <row r="58" ht="14.25" customHeight="1">
      <c r="A58" s="48" t="n">
        <v>31015010</v>
      </c>
      <c r="B58" s="52" t="inlineStr">
        <is>
          <t>El Trueno</t>
        </is>
      </c>
      <c r="C58" s="52" t="inlineStr">
        <is>
          <t>Area Operativa 03 - Meta-Guaviare-Guainía</t>
        </is>
      </c>
      <c r="D58" s="53" t="n">
        <v>-72.639861</v>
      </c>
      <c r="E58" s="53" t="n">
        <v>2.372592</v>
      </c>
      <c r="F58" s="48" t="n">
        <v>216</v>
      </c>
      <c r="G58" s="46" t="n">
        <v>95</v>
      </c>
      <c r="H58" s="46" t="n">
        <v>95025</v>
      </c>
      <c r="I58" s="55" t="inlineStr">
        <is>
          <t>Guaviare</t>
        </is>
      </c>
      <c r="J58" s="55" t="inlineStr">
        <is>
          <t>El Retorno</t>
        </is>
      </c>
      <c r="K58" s="51" t="n">
        <v>24.6</v>
      </c>
      <c r="L58" s="51" t="n">
        <v>23.6</v>
      </c>
      <c r="M58" s="51" t="n">
        <v/>
      </c>
      <c r="N58" s="51" t="n">
        <v>23.6</v>
      </c>
      <c r="O58" s="51" t="n">
        <v>22.2</v>
      </c>
      <c r="P58" s="51" t="n">
        <v>21.8</v>
      </c>
      <c r="Q58" s="51" t="n">
        <v>22.4</v>
      </c>
      <c r="R58" s="51" t="n">
        <v>23.4</v>
      </c>
      <c r="S58" s="51" t="n">
        <v>22.6</v>
      </c>
      <c r="T58" s="51" t="n">
        <v/>
      </c>
      <c r="U58" s="51" t="n">
        <v>22.4</v>
      </c>
      <c r="V58" s="51" t="n">
        <v>19.6</v>
      </c>
      <c r="W58" s="51" t="n">
        <v/>
      </c>
      <c r="X58" s="51" t="n">
        <v>23.2</v>
      </c>
      <c r="Y58" s="51" t="n">
        <v>22.8</v>
      </c>
      <c r="Z58" s="111" t="n">
        <v>22</v>
      </c>
      <c r="AA58" s="51" t="n">
        <v>25.8</v>
      </c>
      <c r="AB58" s="51" t="n">
        <v>23.6</v>
      </c>
      <c r="AC58" s="51" t="n">
        <v/>
      </c>
      <c r="AD58" s="51" t="n">
        <v/>
      </c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88">
        <f>COUNTIF(K58:AO58,"&gt;0")</f>
        <v/>
      </c>
      <c r="AQ58" s="89">
        <f>IF(AP58&gt;14,AVERAGE(K58:AO58),"")</f>
        <v/>
      </c>
      <c r="AR58" s="89">
        <f>IFERROR(VLOOKUP(A58,Climatologia!A:U,9+$E$2,FALSE),"")</f>
        <v/>
      </c>
      <c r="AS58" s="89">
        <f>IF(OR(AQ58="",AR58=""),"",IFERROR(AQ58-AR58,""))</f>
        <v/>
      </c>
      <c r="AT58" s="90">
        <f>IF(COUNT(K58:AO58)=0,"",MIN(K58:AO58))</f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/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8" s="92">
        <f>IF(OR(AT58="",AU58=""),"NA",IFERROR(AT58-AU58,"NA"))</f>
        <v/>
      </c>
    </row>
    <row r="59" ht="14.25" customHeight="1">
      <c r="A59" s="48" t="n">
        <v>31095030</v>
      </c>
      <c r="B59" s="52" t="inlineStr">
        <is>
          <t>Puerto Inirida - Aut</t>
        </is>
      </c>
      <c r="C59" s="52" t="inlineStr">
        <is>
          <t>Area Operativa 03 - Meta-Guaviare-Guainía</t>
        </is>
      </c>
      <c r="D59" s="53" t="n">
        <v>-67.91911111</v>
      </c>
      <c r="E59" s="53" t="n">
        <v>3.874444</v>
      </c>
      <c r="F59" s="48" t="n">
        <v>98</v>
      </c>
      <c r="G59" s="46" t="n">
        <v>94</v>
      </c>
      <c r="H59" s="46" t="n">
        <v>94001</v>
      </c>
      <c r="I59" s="55" t="inlineStr">
        <is>
          <t>Guainía</t>
        </is>
      </c>
      <c r="J59" s="55" t="inlineStr">
        <is>
          <t>Inírida</t>
        </is>
      </c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11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88">
        <f>COUNTIF(K59:AO59,"&gt;0")</f>
        <v/>
      </c>
      <c r="AQ59" s="89">
        <f>IF(AP59&gt;14,AVERAGE(K59:AO59),"")</f>
        <v/>
      </c>
      <c r="AR59" s="89">
        <f>IFERROR(VLOOKUP(A59,Climatologia!A:U,9+$E$2,FALSE),"")</f>
        <v/>
      </c>
      <c r="AS59" s="89">
        <f>IF(OR(AQ59="",AR59=""),"",IFERROR(AQ59-AR59,""))</f>
        <v/>
      </c>
      <c r="AT59" s="90">
        <f>IF(COUNT(K59:AO59)=0,"",MIN(K59:AO59))</f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/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9" s="92">
        <f>IF(OR(AT59="",AU59=""),"NA",IFERROR(AT59-AU59,"NA"))</f>
        <v/>
      </c>
    </row>
    <row r="60" ht="14.25" customHeight="1">
      <c r="A60" s="48" t="n">
        <v>32035010</v>
      </c>
      <c r="B60" s="52" t="inlineStr">
        <is>
          <t>La Macarena</t>
        </is>
      </c>
      <c r="C60" s="52" t="inlineStr">
        <is>
          <t>Area Operativa 03 - Meta-Guaviare-Guainía</t>
        </is>
      </c>
      <c r="D60" s="53" t="n">
        <v>-73.79347199999999</v>
      </c>
      <c r="E60" s="53" t="n">
        <v>2.176139</v>
      </c>
      <c r="F60" s="48" t="n">
        <v>227</v>
      </c>
      <c r="G60" s="46" t="n">
        <v>50</v>
      </c>
      <c r="H60" s="46" t="n">
        <v>50350</v>
      </c>
      <c r="I60" s="55" t="inlineStr">
        <is>
          <t>Meta</t>
        </is>
      </c>
      <c r="J60" s="55" t="inlineStr">
        <is>
          <t>La Macarena</t>
        </is>
      </c>
      <c r="K60" s="51" t="n">
        <v>22.4</v>
      </c>
      <c r="L60" s="51" t="n">
        <v>23</v>
      </c>
      <c r="M60" s="51" t="n">
        <v>21.8</v>
      </c>
      <c r="N60" s="51" t="n">
        <v>22.8</v>
      </c>
      <c r="O60" s="51" t="n">
        <v>21.4</v>
      </c>
      <c r="P60" s="51" t="n">
        <v>20.6</v>
      </c>
      <c r="Q60" s="51" t="n">
        <v>22.4</v>
      </c>
      <c r="R60" s="51" t="n">
        <v>22.6</v>
      </c>
      <c r="S60" s="51" t="n">
        <v>22</v>
      </c>
      <c r="T60" s="51" t="n">
        <v>22.8</v>
      </c>
      <c r="U60" s="51" t="n">
        <v>22.2</v>
      </c>
      <c r="V60" s="51" t="n">
        <v>23</v>
      </c>
      <c r="W60" s="51" t="n">
        <v/>
      </c>
      <c r="X60" s="51" t="n">
        <v/>
      </c>
      <c r="Y60" s="51" t="n">
        <v>21.8</v>
      </c>
      <c r="Z60" s="111" t="n">
        <v>21.4</v>
      </c>
      <c r="AA60" s="51" t="n">
        <v>22.6</v>
      </c>
      <c r="AB60" s="51" t="n">
        <v/>
      </c>
      <c r="AC60" s="51" t="n">
        <v/>
      </c>
      <c r="AD60" s="51" t="n">
        <v>23</v>
      </c>
      <c r="AE60" s="51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88">
        <f>COUNTIF(K60:AO60,"&gt;0")</f>
        <v/>
      </c>
      <c r="AQ60" s="89">
        <f>IF(AP60&gt;14,AVERAGE(K60:AO60),"")</f>
        <v/>
      </c>
      <c r="AR60" s="89">
        <f>IFERROR(VLOOKUP(A60,Climatologia!A:U,9+$E$2,FALSE),"")</f>
        <v/>
      </c>
      <c r="AS60" s="89">
        <f>IF(OR(AQ60="",AR60=""),"",IFERROR(AQ60-AR60,""))</f>
        <v/>
      </c>
      <c r="AT60" s="90">
        <f>IF(COUNT(K60:AO60)=0,"",MIN(K60:AO60))</f>
        <v/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/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0" s="92">
        <f>IF(OR(AT60="",AU60=""),"NA",IFERROR(AT60-AU60,"NA"))</f>
        <v/>
      </c>
    </row>
    <row r="61" ht="14.25" customHeight="1">
      <c r="A61" s="48" t="n">
        <v>32075050</v>
      </c>
      <c r="B61" s="52" t="inlineStr">
        <is>
          <t>Mesetas</t>
        </is>
      </c>
      <c r="C61" s="52" t="inlineStr">
        <is>
          <t>Area Operativa 03 - Meta-Guaviare-Guainía</t>
        </is>
      </c>
      <c r="D61" s="53" t="n">
        <v>-74.04300000000001</v>
      </c>
      <c r="E61" s="53" t="n">
        <v>3.38008</v>
      </c>
      <c r="F61" s="48" t="n">
        <v>556</v>
      </c>
      <c r="G61" s="46" t="n">
        <v>50</v>
      </c>
      <c r="H61" s="46" t="n">
        <v>50330</v>
      </c>
      <c r="I61" s="55" t="inlineStr">
        <is>
          <t>Meta</t>
        </is>
      </c>
      <c r="J61" s="55" t="inlineStr">
        <is>
          <t>Mesetas</t>
        </is>
      </c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11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88">
        <f>COUNTIF(K61:AO61,"&gt;0")</f>
        <v/>
      </c>
      <c r="AQ61" s="89">
        <f>IF(AP61&gt;14,AVERAGE(K61:AO61),"")</f>
        <v/>
      </c>
      <c r="AR61" s="89">
        <f>IFERROR(VLOOKUP(A61,Climatologia!A:U,9+$E$2,FALSE),"")</f>
        <v/>
      </c>
      <c r="AS61" s="89">
        <f>IF(OR(AQ61="",AR61=""),"",IFERROR(AQ61-AR61,""))</f>
        <v/>
      </c>
      <c r="AT61" s="90">
        <f>IF(COUNT(K61:AO61)=0,"",MIN(K61:AO61))</f>
        <v/>
      </c>
      <c r="AU61" s="90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>
        <f>IF(OR(AT61="",AU61=""),"NA",IFERROR(AT61-AU61,"NA"))</f>
        <v/>
      </c>
    </row>
    <row r="62" ht="14.25" customHeight="1">
      <c r="A62" s="48" t="n">
        <v>32155010</v>
      </c>
      <c r="B62" s="52" t="inlineStr">
        <is>
          <t>Mapiripana</t>
        </is>
      </c>
      <c r="C62" s="52" t="inlineStr">
        <is>
          <t>Area Operativa 03 - Meta-Guaviare-Guainía</t>
        </is>
      </c>
      <c r="D62" s="53" t="n">
        <v>-70.475139</v>
      </c>
      <c r="E62" s="53" t="n">
        <v>2.811778</v>
      </c>
      <c r="F62" s="48" t="n">
        <v>154</v>
      </c>
      <c r="G62" s="46" t="n">
        <v>94</v>
      </c>
      <c r="H62" s="46" t="n">
        <v>94343</v>
      </c>
      <c r="I62" s="55" t="inlineStr">
        <is>
          <t>Guainía</t>
        </is>
      </c>
      <c r="J62" s="55" t="inlineStr">
        <is>
          <t>Barrancominas</t>
        </is>
      </c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11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88">
        <f>COUNTIF(K62:AO62,"&gt;0")</f>
        <v/>
      </c>
      <c r="AQ62" s="89">
        <f>IF(AP62&gt;14,AVERAGE(K62:AO62),"")</f>
        <v/>
      </c>
      <c r="AR62" s="89">
        <f>IFERROR(VLOOKUP(A62,Climatologia!A:U,9+$E$2,FALSE),"")</f>
        <v/>
      </c>
      <c r="AS62" s="89">
        <f>IF(OR(AQ62="",AR62=""),"",IFERROR(AQ62-AR62,""))</f>
        <v/>
      </c>
      <c r="AT62" s="90">
        <f>IF(COUNT(K62:AO62)=0,"",MIN(K62:AO62))</f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/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2" s="92">
        <f>IF(OR(AT62="",AU62=""),"NA",IFERROR(AT62-AU62,"NA"))</f>
        <v/>
      </c>
    </row>
    <row r="63" ht="14.25" customHeight="1">
      <c r="A63" s="48" t="n">
        <v>33055010</v>
      </c>
      <c r="B63" s="52" t="inlineStr">
        <is>
          <t>Cumaribo</t>
        </is>
      </c>
      <c r="C63" s="52" t="inlineStr">
        <is>
          <t>Area Operativa 03 - Meta-Guaviare-Guainía</t>
        </is>
      </c>
      <c r="D63" s="53" t="n">
        <v>-69.81230600000001</v>
      </c>
      <c r="E63" s="53" t="n">
        <v>4.494806</v>
      </c>
      <c r="F63" s="48" t="n">
        <v>158</v>
      </c>
      <c r="G63" s="46" t="n">
        <v>99</v>
      </c>
      <c r="H63" s="46" t="n">
        <v>99773</v>
      </c>
      <c r="I63" s="55" t="inlineStr">
        <is>
          <t>Vichada</t>
        </is>
      </c>
      <c r="J63" s="55" t="inlineStr">
        <is>
          <t>Cumaribo</t>
        </is>
      </c>
      <c r="K63" s="51" t="n">
        <v>23.6</v>
      </c>
      <c r="L63" s="51" t="n">
        <v>22.6</v>
      </c>
      <c r="M63" s="51" t="n">
        <v>23</v>
      </c>
      <c r="N63" s="51" t="n">
        <v>21.2</v>
      </c>
      <c r="O63" s="51" t="n">
        <v>21.6</v>
      </c>
      <c r="P63" s="51" t="n">
        <v>20.4</v>
      </c>
      <c r="Q63" s="51" t="n">
        <v>21.6</v>
      </c>
      <c r="R63" s="51" t="n">
        <v>22</v>
      </c>
      <c r="S63" s="51" t="n">
        <v>23.8</v>
      </c>
      <c r="T63" s="51" t="n">
        <v>23.6</v>
      </c>
      <c r="U63" s="51" t="n">
        <v>21.2</v>
      </c>
      <c r="V63" s="51" t="n">
        <v/>
      </c>
      <c r="W63" s="51" t="n">
        <v/>
      </c>
      <c r="X63" s="51" t="n">
        <v>22.6</v>
      </c>
      <c r="Y63" s="51" t="n">
        <v>23.6</v>
      </c>
      <c r="Z63" s="111" t="n">
        <v>21.8</v>
      </c>
      <c r="AA63" s="51" t="n">
        <v>22.6</v>
      </c>
      <c r="AB63" s="51" t="n">
        <v>23</v>
      </c>
      <c r="AC63" s="51" t="n">
        <v>22.6</v>
      </c>
      <c r="AD63" s="51" t="n">
        <v>22.2</v>
      </c>
      <c r="AE63" s="51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88">
        <f>COUNTIF(K63:AO63,"&gt;0")</f>
        <v/>
      </c>
      <c r="AQ63" s="89">
        <f>IF(AP63&gt;14,AVERAGE(K63:AO63),"")</f>
        <v/>
      </c>
      <c r="AR63" s="89">
        <f>IFERROR(VLOOKUP(A63,Climatologia!A:U,9+$E$2,FALSE),"")</f>
        <v/>
      </c>
      <c r="AS63" s="89">
        <f>IF(OR(AQ63="",AR63=""),"",IFERROR(AQ63-AR63,""))</f>
        <v/>
      </c>
      <c r="AT63" s="90">
        <f>IF(COUNT(K63:AO63)=0,"",MIN(K63:AO63))</f>
        <v/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/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3" s="92">
        <f>IF(OR(AT63="",AU63=""),"NA",IFERROR(AT63-AU63,"NA"))</f>
        <v/>
      </c>
    </row>
    <row r="64" ht="14.25" customHeight="1">
      <c r="A64" s="48" t="n">
        <v>34015010</v>
      </c>
      <c r="B64" s="52" t="inlineStr">
        <is>
          <t>Las Gaviotas</t>
        </is>
      </c>
      <c r="C64" s="52" t="inlineStr">
        <is>
          <t>Area Operativa 03 - Meta-Guaviare-Guainía</t>
        </is>
      </c>
      <c r="D64" s="53" t="n">
        <v>-70.93022499999999</v>
      </c>
      <c r="E64" s="53" t="n">
        <v>4.553891</v>
      </c>
      <c r="F64" s="48" t="n">
        <v>173</v>
      </c>
      <c r="G64" s="46" t="n">
        <v>99</v>
      </c>
      <c r="H64" s="46" t="n">
        <v>99773</v>
      </c>
      <c r="I64" s="55" t="inlineStr">
        <is>
          <t>Vichada</t>
        </is>
      </c>
      <c r="J64" s="55" t="inlineStr">
        <is>
          <t>Cumaribo</t>
        </is>
      </c>
      <c r="K64" s="51" t="n">
        <v>23.2</v>
      </c>
      <c r="L64" s="51" t="n">
        <v>24</v>
      </c>
      <c r="M64" s="51" t="n">
        <v>23</v>
      </c>
      <c r="N64" s="51" t="n">
        <v>23.8</v>
      </c>
      <c r="O64" s="51" t="n">
        <v>22</v>
      </c>
      <c r="P64" s="51" t="n">
        <v>21.8</v>
      </c>
      <c r="Q64" s="51" t="n">
        <v>22.8</v>
      </c>
      <c r="R64" s="51" t="n">
        <v>21.8</v>
      </c>
      <c r="S64" s="51" t="n">
        <v>23.4</v>
      </c>
      <c r="T64" s="51" t="n">
        <v>24</v>
      </c>
      <c r="U64" s="51" t="n">
        <v>22.2</v>
      </c>
      <c r="V64" s="51" t="n">
        <v>23.6</v>
      </c>
      <c r="W64" s="51" t="n">
        <v>22.6</v>
      </c>
      <c r="X64" s="51" t="n">
        <v>23.6</v>
      </c>
      <c r="Y64" s="51" t="n">
        <v>24.2</v>
      </c>
      <c r="Z64" s="111" t="n">
        <v>21.8</v>
      </c>
      <c r="AA64" s="51" t="n">
        <v>21.6</v>
      </c>
      <c r="AB64" s="51" t="n">
        <v>23.6</v>
      </c>
      <c r="AC64" s="51" t="n">
        <v>22</v>
      </c>
      <c r="AD64" s="51" t="n">
        <v>21.8</v>
      </c>
      <c r="AE64" s="51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88">
        <f>COUNTIF(K64:AO64,"&gt;0")</f>
        <v/>
      </c>
      <c r="AQ64" s="89">
        <f>IF(AP64&gt;14,AVERAGE(K64:AO64),"")</f>
        <v/>
      </c>
      <c r="AR64" s="89">
        <f>IFERROR(VLOOKUP(A64,Climatologia!A:U,9+$E$2,FALSE),"")</f>
        <v/>
      </c>
      <c r="AS64" s="89">
        <f>IF(OR(AQ64="",AR64=""),"",IFERROR(AQ64-AR64,""))</f>
        <v/>
      </c>
      <c r="AT64" s="90">
        <f>IF(COUNT(K64:AO64)=0,"",MIN(K64:AO64))</f>
        <v/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/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4" s="92">
        <f>IF(OR(AT64="",AU64=""),"NA",IFERROR(AT64-AU64,"NA"))</f>
        <v/>
      </c>
    </row>
    <row r="65" ht="14.25" customHeight="1">
      <c r="A65" s="48" t="n">
        <v>35025110</v>
      </c>
      <c r="B65" s="52" t="inlineStr">
        <is>
          <t>La Libertad - Aut</t>
        </is>
      </c>
      <c r="C65" s="52" t="inlineStr">
        <is>
          <t>Area Operativa 03 - Meta-Guaviare-Guainía</t>
        </is>
      </c>
      <c r="D65" s="53" t="n">
        <v>-73.467865</v>
      </c>
      <c r="E65" s="53" t="n">
        <v>4.057415</v>
      </c>
      <c r="F65" s="48" t="n">
        <v>340</v>
      </c>
      <c r="G65" s="46" t="n">
        <v>50</v>
      </c>
      <c r="H65" s="46" t="n">
        <v>50001</v>
      </c>
      <c r="I65" s="55" t="inlineStr">
        <is>
          <t>Meta</t>
        </is>
      </c>
      <c r="J65" s="55" t="inlineStr">
        <is>
          <t>Villavicencio</t>
        </is>
      </c>
      <c r="K65" s="51" t="n">
        <v>24</v>
      </c>
      <c r="L65" s="51" t="n">
        <v>22.2</v>
      </c>
      <c r="M65" s="51" t="n">
        <v>22.2</v>
      </c>
      <c r="N65" s="51" t="n">
        <v>22.8</v>
      </c>
      <c r="O65" s="51" t="n">
        <v>22.8</v>
      </c>
      <c r="P65" s="51" t="n">
        <v>22.4</v>
      </c>
      <c r="Q65" s="51" t="n">
        <v>23.2</v>
      </c>
      <c r="R65" s="51" t="n">
        <v>22</v>
      </c>
      <c r="S65" s="51" t="n">
        <v>24</v>
      </c>
      <c r="T65" s="51" t="n">
        <v>21.8</v>
      </c>
      <c r="U65" s="51" t="n">
        <v>21.8</v>
      </c>
      <c r="V65" s="51" t="n">
        <v>22</v>
      </c>
      <c r="W65" s="51" t="n">
        <v>22.6</v>
      </c>
      <c r="X65" s="51" t="n">
        <v>22.2</v>
      </c>
      <c r="Y65" s="51" t="n">
        <v>23.4</v>
      </c>
      <c r="Z65" s="111" t="n">
        <v>22.2</v>
      </c>
      <c r="AA65" s="51" t="n">
        <v>23.4</v>
      </c>
      <c r="AB65" s="51" t="n">
        <v>24</v>
      </c>
      <c r="AC65" s="51" t="n">
        <v>22.2</v>
      </c>
      <c r="AD65" s="51" t="n">
        <v>22.6</v>
      </c>
      <c r="AE65" s="51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88">
        <f>COUNTIF(K65:AO65,"&gt;0")</f>
        <v/>
      </c>
      <c r="AQ65" s="89">
        <f>IF(AP65&gt;14,AVERAGE(K65:AO65),"")</f>
        <v/>
      </c>
      <c r="AR65" s="89">
        <f>IFERROR(VLOOKUP(A65,Climatologia!A:U,9+$E$2,FALSE),"")</f>
        <v/>
      </c>
      <c r="AS65" s="89">
        <f>IF(OR(AQ65="",AR65=""),"",IFERROR(AQ65-AR65,""))</f>
        <v/>
      </c>
      <c r="AT65" s="90">
        <f>IF(COUNT(K65:AO65)=0,"",MIN(K65:AO65))</f>
        <v/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/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5" s="92">
        <f>IF(OR(AT65="",AU65=""),"NA",IFERROR(AT65-AU65,"NA"))</f>
        <v/>
      </c>
    </row>
    <row r="66" ht="14.25" customHeight="1">
      <c r="A66" s="48" t="n">
        <v>35045020</v>
      </c>
      <c r="B66" s="52" t="inlineStr">
        <is>
          <t>Hacienda La Cabaña</t>
        </is>
      </c>
      <c r="C66" s="52" t="inlineStr">
        <is>
          <t>Area Operativa 03 - Meta-Guaviare-Guainía</t>
        </is>
      </c>
      <c r="D66" s="53" t="n">
        <v>-73.3575</v>
      </c>
      <c r="E66" s="53" t="n">
        <v>4.300444444</v>
      </c>
      <c r="F66" s="48" t="n">
        <v>310</v>
      </c>
      <c r="G66" s="46" t="n">
        <v>50</v>
      </c>
      <c r="H66" s="46" t="n">
        <v>50226</v>
      </c>
      <c r="I66" s="55" t="inlineStr">
        <is>
          <t>Meta</t>
        </is>
      </c>
      <c r="J66" s="55" t="inlineStr">
        <is>
          <t>Cumaral</t>
        </is>
      </c>
      <c r="K66" s="51" t="n">
        <v>21.4</v>
      </c>
      <c r="L66" s="51" t="n">
        <v>22</v>
      </c>
      <c r="M66" s="51" t="n">
        <v>20.8</v>
      </c>
      <c r="N66" s="51" t="n">
        <v>21.6</v>
      </c>
      <c r="O66" s="51" t="n">
        <v>21</v>
      </c>
      <c r="P66" s="51" t="n">
        <v>20.6</v>
      </c>
      <c r="Q66" s="51" t="n">
        <v>21.2</v>
      </c>
      <c r="R66" s="51" t="n">
        <v>20</v>
      </c>
      <c r="S66" s="51" t="n">
        <v>21</v>
      </c>
      <c r="T66" s="51" t="n">
        <v>19.2</v>
      </c>
      <c r="U66" s="51" t="n">
        <v>19.4</v>
      </c>
      <c r="V66" s="51" t="n">
        <v>20</v>
      </c>
      <c r="W66" s="51" t="n">
        <v>21.8</v>
      </c>
      <c r="X66" s="51" t="n">
        <v>21</v>
      </c>
      <c r="Y66" s="51" t="n">
        <v>20.6</v>
      </c>
      <c r="Z66" s="111" t="n">
        <v>20</v>
      </c>
      <c r="AA66" s="51" t="n">
        <v>21.2</v>
      </c>
      <c r="AB66" s="51" t="n">
        <v>21.4</v>
      </c>
      <c r="AC66" s="51" t="n">
        <v>20.8</v>
      </c>
      <c r="AD66" s="51" t="n">
        <v>20.4</v>
      </c>
      <c r="AE66" s="51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88">
        <f>COUNTIF(K66:AO66,"&gt;0")</f>
        <v/>
      </c>
      <c r="AQ66" s="89">
        <f>IF(AP66&gt;14,AVERAGE(K66:AO66),"")</f>
        <v/>
      </c>
      <c r="AR66" s="89">
        <f>IFERROR(VLOOKUP(A66,Climatologia!A:U,9+$E$2,FALSE),"")</f>
        <v/>
      </c>
      <c r="AS66" s="89">
        <f>IF(OR(AQ66="",AR66=""),"",IFERROR(AQ66-AR66,""))</f>
        <v/>
      </c>
      <c r="AT66" s="90">
        <f>IF(COUNT(K66:AO66)=0,"",MIN(K66:AO66))</f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/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6" s="92">
        <f>IF(OR(AT66="",AU66=""),"NA",IFERROR(AT66-AU66,"NA"))</f>
        <v/>
      </c>
    </row>
    <row r="67" ht="14.25" customHeight="1">
      <c r="A67" s="48" t="n">
        <v>35095110</v>
      </c>
      <c r="B67" s="52" t="inlineStr">
        <is>
          <t>Huerta La Grande</t>
        </is>
      </c>
      <c r="C67" s="52" t="inlineStr">
        <is>
          <t>Area Operativa 03 - Meta-Guaviare-Guainía</t>
        </is>
      </c>
      <c r="D67" s="53" t="n">
        <v>-72.915458</v>
      </c>
      <c r="E67" s="53" t="n">
        <v>4.65144</v>
      </c>
      <c r="F67" s="48" t="n">
        <v>345</v>
      </c>
      <c r="G67" s="46" t="n">
        <v>85</v>
      </c>
      <c r="H67" s="46" t="n">
        <v>85440</v>
      </c>
      <c r="I67" s="55" t="inlineStr">
        <is>
          <t>Casanare</t>
        </is>
      </c>
      <c r="J67" s="55" t="inlineStr">
        <is>
          <t>Villanueva</t>
        </is>
      </c>
      <c r="K67" s="51" t="n">
        <v>20.2</v>
      </c>
      <c r="L67" s="51" t="n">
        <v>21.4</v>
      </c>
      <c r="M67" s="51" t="n">
        <v>21.6</v>
      </c>
      <c r="N67" s="51" t="n">
        <v>22</v>
      </c>
      <c r="O67" s="51" t="n">
        <v>21.8</v>
      </c>
      <c r="P67" s="51" t="n">
        <v>20</v>
      </c>
      <c r="Q67" s="51" t="n">
        <v>20.1</v>
      </c>
      <c r="R67" s="51" t="n">
        <v>21.1</v>
      </c>
      <c r="S67" s="51" t="n">
        <v>22.2</v>
      </c>
      <c r="T67" s="51" t="n">
        <v>20.2</v>
      </c>
      <c r="U67" s="51" t="n">
        <v>21</v>
      </c>
      <c r="V67" s="51" t="n">
        <v>20</v>
      </c>
      <c r="W67" s="51" t="n">
        <v>21.6</v>
      </c>
      <c r="X67" s="51" t="n">
        <v>20.8</v>
      </c>
      <c r="Y67" s="51" t="n">
        <v>22.6</v>
      </c>
      <c r="Z67" s="111" t="n">
        <v>21</v>
      </c>
      <c r="AA67" s="51" t="n">
        <v>22.2</v>
      </c>
      <c r="AB67" s="51" t="n">
        <v>22</v>
      </c>
      <c r="AC67" s="51" t="n">
        <v>22.2</v>
      </c>
      <c r="AD67" s="51" t="n">
        <v>20.4</v>
      </c>
      <c r="AE67" s="51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88">
        <f>COUNTIF(K67:AO67,"&gt;0")</f>
        <v/>
      </c>
      <c r="AQ67" s="89">
        <f>IF(AP67&gt;14,AVERAGE(K67:AO67),"")</f>
        <v/>
      </c>
      <c r="AR67" s="89">
        <f>IFERROR(VLOOKUP(A67,Climatologia!A:U,9+$E$2,FALSE),"")</f>
        <v/>
      </c>
      <c r="AS67" s="89">
        <f>IF(OR(AQ67="",AR67=""),"",IFERROR(AQ67-AR67,""))</f>
        <v/>
      </c>
      <c r="AT67" s="90">
        <f>IF(COUNT(K67:AO67)=0,"",MIN(K67:AO67))</f>
        <v/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>
        <f>IF(OR(AT67="",AU67=""),"NA",IFERROR(AT67-AU67,"NA"))</f>
        <v/>
      </c>
    </row>
    <row r="68" ht="14.25" customHeight="1">
      <c r="A68" s="48" t="n">
        <v>35105050</v>
      </c>
      <c r="B68" s="52" t="inlineStr">
        <is>
          <t>Guaicaramo</t>
        </is>
      </c>
      <c r="C68" s="52" t="inlineStr">
        <is>
          <t>Area Operativa 03 - Meta-Guaviare-Guainía</t>
        </is>
      </c>
      <c r="D68" s="53" t="n">
        <v>-72.95363999999999</v>
      </c>
      <c r="E68" s="53" t="n">
        <v>4.46865</v>
      </c>
      <c r="F68" s="48" t="n">
        <v>199</v>
      </c>
      <c r="G68" s="46" t="n">
        <v>50</v>
      </c>
      <c r="H68" s="46" t="n">
        <v>50110</v>
      </c>
      <c r="I68" s="55" t="inlineStr">
        <is>
          <t>Meta</t>
        </is>
      </c>
      <c r="J68" s="55" t="inlineStr">
        <is>
          <t>Barranca De Upía</t>
        </is>
      </c>
      <c r="K68" s="51" t="n">
        <v>23.6</v>
      </c>
      <c r="L68" s="51" t="n">
        <v>22.6</v>
      </c>
      <c r="M68" s="51" t="n">
        <v>22.4</v>
      </c>
      <c r="N68" s="51" t="n">
        <v>23.8</v>
      </c>
      <c r="O68" s="51" t="n">
        <v>22.8</v>
      </c>
      <c r="P68" s="51" t="n">
        <v>22.8</v>
      </c>
      <c r="Q68" s="51" t="n">
        <v>21.4</v>
      </c>
      <c r="R68" s="51" t="n">
        <v>22.8</v>
      </c>
      <c r="S68" s="51" t="n">
        <v>24.2</v>
      </c>
      <c r="T68" s="51" t="n">
        <v>22.2</v>
      </c>
      <c r="U68" s="51" t="n">
        <v>21.4</v>
      </c>
      <c r="V68" s="51" t="n">
        <v>22.2</v>
      </c>
      <c r="W68" s="51" t="n">
        <v>23.2</v>
      </c>
      <c r="X68" s="51" t="n">
        <v>23.2</v>
      </c>
      <c r="Y68" s="51" t="n">
        <v>23.2</v>
      </c>
      <c r="Z68" s="111" t="n">
        <v>22.2</v>
      </c>
      <c r="AA68" s="51" t="n">
        <v>22.6</v>
      </c>
      <c r="AB68" s="51" t="n">
        <v>24</v>
      </c>
      <c r="AC68" s="51" t="n">
        <v>23.2</v>
      </c>
      <c r="AD68" s="51" t="n">
        <v/>
      </c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88">
        <f>COUNTIF(K68:AO68,"&gt;0")</f>
        <v/>
      </c>
      <c r="AQ68" s="89">
        <f>IF(AP68&gt;14,AVERAGE(K68:AO68),"")</f>
        <v/>
      </c>
      <c r="AR68" s="89">
        <f>IFERROR(VLOOKUP(A68,Climatologia!A:U,9+$E$2,FALSE),"")</f>
        <v/>
      </c>
      <c r="AS68" s="89">
        <f>IF(OR(AQ68="",AR68=""),"",IFERROR(AQ68-AR68,""))</f>
        <v/>
      </c>
      <c r="AT68" s="90">
        <f>IF(COUNT(K68:AO68)=0,"",MIN(K68:AO68))</f>
        <v/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>
        <f>IF(OR(AT68="",AU68=""),"NA",IFERROR(AT68-AU68,"NA"))</f>
        <v/>
      </c>
    </row>
    <row r="69" ht="14.25" customHeight="1">
      <c r="A69" s="48" t="n">
        <v>35225030</v>
      </c>
      <c r="B69" s="52" t="inlineStr">
        <is>
          <t>Modulos - Aut</t>
        </is>
      </c>
      <c r="C69" s="52" t="inlineStr">
        <is>
          <t>Area Operativa 03 - Meta-Guaviare-Guainía</t>
        </is>
      </c>
      <c r="D69" s="53" t="n">
        <v>-71.433083</v>
      </c>
      <c r="E69" s="53" t="n">
        <v>4.910528</v>
      </c>
      <c r="F69" s="48" t="n">
        <v>139</v>
      </c>
      <c r="G69" s="46" t="n">
        <v>85</v>
      </c>
      <c r="H69" s="46" t="n">
        <v>85230</v>
      </c>
      <c r="I69" s="55" t="inlineStr">
        <is>
          <t>Casanare</t>
        </is>
      </c>
      <c r="J69" s="55" t="inlineStr">
        <is>
          <t>Orocué</t>
        </is>
      </c>
      <c r="K69" s="51" t="n">
        <v>24.2</v>
      </c>
      <c r="L69" s="51" t="n">
        <v>22.3</v>
      </c>
      <c r="M69" s="51" t="n">
        <v>24</v>
      </c>
      <c r="N69" s="51" t="n">
        <v>23.3</v>
      </c>
      <c r="O69" s="51" t="n">
        <v>24</v>
      </c>
      <c r="P69" s="51" t="n">
        <v/>
      </c>
      <c r="Q69" s="51" t="n">
        <v>23</v>
      </c>
      <c r="R69" s="51" t="n">
        <v>23.4</v>
      </c>
      <c r="S69" s="51" t="n">
        <v>24.4</v>
      </c>
      <c r="T69" s="51" t="n">
        <v>24.3</v>
      </c>
      <c r="U69" s="51" t="n">
        <v>22.3</v>
      </c>
      <c r="V69" s="51" t="n">
        <v>23.3</v>
      </c>
      <c r="W69" s="51" t="n">
        <v>21.3</v>
      </c>
      <c r="X69" s="51" t="n">
        <v>23.4</v>
      </c>
      <c r="Y69" s="51" t="n">
        <v>24.4</v>
      </c>
      <c r="Z69" s="111" t="n">
        <v>23.1</v>
      </c>
      <c r="AA69" s="51" t="n">
        <v>24</v>
      </c>
      <c r="AB69" s="51" t="n">
        <v>24.4</v>
      </c>
      <c r="AC69" s="51" t="n">
        <v>22.4</v>
      </c>
      <c r="AD69" s="51" t="n">
        <v>23.2</v>
      </c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88">
        <f>COUNTIF(K69:AO69,"&gt;0")</f>
        <v/>
      </c>
      <c r="AQ69" s="89">
        <f>IF(AP69&gt;14,AVERAGE(K69:AO69),"")</f>
        <v/>
      </c>
      <c r="AR69" s="89">
        <f>IFERROR(VLOOKUP(A69,Climatologia!A:U,9+$E$2,FALSE),"")</f>
        <v/>
      </c>
      <c r="AS69" s="89">
        <f>IF(OR(AQ69="",AR69=""),"",IFERROR(AQ69-AR69,""))</f>
        <v/>
      </c>
      <c r="AT69" s="90">
        <f>IF(COUNT(K69:AO69)=0,"",MIN(K69:AO69))</f>
        <v/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/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9" s="92">
        <f>IF(OR(AT69="",AU69=""),"NA",IFERROR(AT69-AU69,"NA"))</f>
        <v/>
      </c>
    </row>
    <row r="70" ht="14.25" customHeight="1">
      <c r="A70" s="48" t="n">
        <v>42075010</v>
      </c>
      <c r="B70" s="52" t="inlineStr">
        <is>
          <t>Mitu</t>
        </is>
      </c>
      <c r="C70" s="52" t="inlineStr">
        <is>
          <t>Area Operativa 03 - Meta-Guaviare-Guainía</t>
        </is>
      </c>
      <c r="D70" s="53" t="n">
        <v>-70.239204</v>
      </c>
      <c r="E70" s="53" t="n">
        <v>1.259702</v>
      </c>
      <c r="F70" s="48" t="n">
        <v>168</v>
      </c>
      <c r="G70" s="46" t="n">
        <v>97</v>
      </c>
      <c r="H70" s="46" t="n">
        <v>97001</v>
      </c>
      <c r="I70" s="55" t="inlineStr">
        <is>
          <t>Vaupés</t>
        </is>
      </c>
      <c r="J70" s="55" t="inlineStr">
        <is>
          <t>Mitú</t>
        </is>
      </c>
      <c r="K70" s="51" t="n">
        <v>23.3</v>
      </c>
      <c r="L70" s="51" t="n">
        <v>23.3</v>
      </c>
      <c r="M70" s="51" t="n">
        <v>22.3</v>
      </c>
      <c r="N70" s="51" t="n">
        <v>21.3</v>
      </c>
      <c r="O70" s="51" t="n">
        <v>21.3</v>
      </c>
      <c r="P70" s="51" t="n">
        <v>21.3</v>
      </c>
      <c r="Q70" s="51" t="n">
        <v>21.2</v>
      </c>
      <c r="R70" s="51" t="n">
        <v>21.1</v>
      </c>
      <c r="S70" s="51" t="n">
        <v>22</v>
      </c>
      <c r="T70" s="51" t="n">
        <v>22.2</v>
      </c>
      <c r="U70" s="51" t="n">
        <v>22.3</v>
      </c>
      <c r="V70" s="51" t="n">
        <v>22.3</v>
      </c>
      <c r="W70" s="51" t="n">
        <v>22.4</v>
      </c>
      <c r="X70" s="51" t="n">
        <v>22.2</v>
      </c>
      <c r="Y70" s="51" t="n">
        <v>22.2</v>
      </c>
      <c r="Z70" s="111" t="n">
        <v>21.3</v>
      </c>
      <c r="AA70" s="51" t="n">
        <v>21.1</v>
      </c>
      <c r="AB70" s="51" t="n">
        <v>22.4</v>
      </c>
      <c r="AC70" s="51" t="n">
        <v>22</v>
      </c>
      <c r="AD70" s="51" t="n">
        <v>22.2</v>
      </c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88">
        <f>COUNTIF(K70:AO70,"&gt;0")</f>
        <v/>
      </c>
      <c r="AQ70" s="89">
        <f>IF(AP70&gt;14,AVERAGE(K70:AO70),"")</f>
        <v/>
      </c>
      <c r="AR70" s="89">
        <f>IFERROR(VLOOKUP(A70,Climatologia!A:U,9+$E$2,FALSE),"")</f>
        <v/>
      </c>
      <c r="AS70" s="89">
        <f>IF(OR(AQ70="",AR70=""),"",IFERROR(AQ70-AR70,""))</f>
        <v/>
      </c>
      <c r="AT70" s="90">
        <f>IF(COUNT(K70:AO70)=0,"",MIN(K70:AO70))</f>
        <v/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/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0" s="92">
        <f>IF(OR(AT70="",AU70=""),"NA",IFERROR(AT70-AU70,"NA"))</f>
        <v/>
      </c>
    </row>
    <row r="71" ht="14.25" customHeight="1">
      <c r="A71" s="48" t="n">
        <v>3502500006</v>
      </c>
      <c r="B71" s="52" t="inlineStr">
        <is>
          <t>Morichal</t>
        </is>
      </c>
      <c r="C71" s="52" t="inlineStr">
        <is>
          <t>Area Operativa 03 - Meta-Guaviare-Guainía</t>
        </is>
      </c>
      <c r="D71" s="53" t="n">
        <v>-73.24296388899999</v>
      </c>
      <c r="E71" s="53" t="n">
        <v>3.932547222</v>
      </c>
      <c r="F71" s="48" t="n">
        <v>277</v>
      </c>
      <c r="G71" s="46" t="n">
        <v>50</v>
      </c>
      <c r="H71" s="46" t="n">
        <v>50680</v>
      </c>
      <c r="I71" s="55" t="inlineStr">
        <is>
          <t>Meta</t>
        </is>
      </c>
      <c r="J71" s="55" t="inlineStr">
        <is>
          <t>San Carlos De Guaroa</t>
        </is>
      </c>
      <c r="K71" s="51" t="n">
        <v>20.8</v>
      </c>
      <c r="L71" s="51" t="n">
        <v>21.8</v>
      </c>
      <c r="M71" s="51" t="n">
        <v>20.8</v>
      </c>
      <c r="N71" s="51" t="n">
        <v>20.8</v>
      </c>
      <c r="O71" s="51" t="n">
        <v>21</v>
      </c>
      <c r="P71" s="51" t="n">
        <v>20.8</v>
      </c>
      <c r="Q71" s="51" t="n">
        <v/>
      </c>
      <c r="R71" s="51" t="n">
        <v>20.6</v>
      </c>
      <c r="S71" s="51" t="n">
        <v>22.6</v>
      </c>
      <c r="T71" s="51" t="n">
        <v>20.6</v>
      </c>
      <c r="U71" s="51" t="n">
        <v>20.4</v>
      </c>
      <c r="V71" s="51" t="n">
        <v>21.4</v>
      </c>
      <c r="W71" s="51" t="n">
        <v/>
      </c>
      <c r="X71" s="51" t="n">
        <v/>
      </c>
      <c r="Y71" s="51" t="n">
        <v>21.6</v>
      </c>
      <c r="Z71" s="111" t="n">
        <v>21</v>
      </c>
      <c r="AA71" s="51" t="n">
        <v>21</v>
      </c>
      <c r="AB71" s="51" t="n">
        <v>21</v>
      </c>
      <c r="AC71" s="51" t="n">
        <v>21.2</v>
      </c>
      <c r="AD71" s="51" t="n">
        <v/>
      </c>
      <c r="AE71" s="51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88">
        <f>COUNTIF(K71:AO71,"&gt;0")</f>
        <v/>
      </c>
      <c r="AQ71" s="89">
        <f>IF(AP71&gt;14,AVERAGE(K71:AO71),"")</f>
        <v/>
      </c>
      <c r="AR71" s="89">
        <f>IFERROR(VLOOKUP(A71,Climatologia!A:U,9+$E$2,FALSE),"")</f>
        <v/>
      </c>
      <c r="AS71" s="89">
        <f>IF(OR(AQ71="",AR71=""),"",IFERROR(AQ71-AR71,""))</f>
        <v/>
      </c>
      <c r="AT71" s="90">
        <f>IF(COUNT(K71:AO71)=0,"",MIN(K71:AO71))</f>
        <v/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/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1" s="92">
        <f>IF(OR(AT71="",AU71=""),"NA",IFERROR(AT71-AU71,"NA"))</f>
        <v/>
      </c>
    </row>
    <row r="72" ht="14.25" customHeight="1">
      <c r="A72" s="48" t="n">
        <v>21025030</v>
      </c>
      <c r="B72" s="52" t="inlineStr">
        <is>
          <t>Altamira El Grifo Aut</t>
        </is>
      </c>
      <c r="C72" s="52" t="inlineStr">
        <is>
          <t>Area Operativa 04 - Huila-Caquetá</t>
        </is>
      </c>
      <c r="D72" s="53" t="n">
        <v>-75.73622222</v>
      </c>
      <c r="E72" s="53" t="n">
        <v>2.079166667</v>
      </c>
      <c r="F72" s="48" t="n">
        <v>1368</v>
      </c>
      <c r="G72" s="46" t="n">
        <v>41</v>
      </c>
      <c r="H72" s="46" t="n">
        <v>41026</v>
      </c>
      <c r="I72" s="55" t="inlineStr">
        <is>
          <t>Huila</t>
        </is>
      </c>
      <c r="J72" s="55" t="inlineStr">
        <is>
          <t>Altamira</t>
        </is>
      </c>
      <c r="K72" s="51" t="n">
        <v>18.2</v>
      </c>
      <c r="L72" s="51" t="n">
        <v>16.4</v>
      </c>
      <c r="M72" s="51" t="n">
        <v>17.2</v>
      </c>
      <c r="N72" s="51" t="n">
        <v>18.2</v>
      </c>
      <c r="O72" s="51" t="n">
        <v>17.2</v>
      </c>
      <c r="P72" s="51" t="n">
        <v>17.4</v>
      </c>
      <c r="Q72" s="51" t="n">
        <v>17</v>
      </c>
      <c r="R72" s="51" t="n">
        <v>17.2</v>
      </c>
      <c r="S72" s="51" t="n">
        <v>18.4</v>
      </c>
      <c r="T72" s="51" t="n">
        <v>17.4</v>
      </c>
      <c r="U72" s="51" t="n">
        <v>18</v>
      </c>
      <c r="V72" s="51" t="n">
        <v>18.2</v>
      </c>
      <c r="W72" s="51" t="n">
        <v>20.4</v>
      </c>
      <c r="X72" s="51" t="n">
        <v>18</v>
      </c>
      <c r="Y72" s="51" t="n">
        <v>17.4</v>
      </c>
      <c r="Z72" s="111" t="n">
        <v>17</v>
      </c>
      <c r="AA72" s="51" t="n">
        <v>17.4</v>
      </c>
      <c r="AB72" s="51" t="n">
        <v>18.2</v>
      </c>
      <c r="AC72" s="51" t="n">
        <v>16.4</v>
      </c>
      <c r="AD72" s="51" t="n">
        <v>19</v>
      </c>
      <c r="AE72" s="51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88">
        <f>COUNTIF(K72:AO72,"&gt;0")</f>
        <v/>
      </c>
      <c r="AQ72" s="89">
        <f>IF(AP72&gt;14,AVERAGE(K72:AO72),"")</f>
        <v/>
      </c>
      <c r="AR72" s="89">
        <f>IFERROR(VLOOKUP(A72,Climatologia!A:U,9+$E$2,FALSE),"")</f>
        <v/>
      </c>
      <c r="AS72" s="89">
        <f>IF(OR(AQ72="",AR72=""),"",IFERROR(AQ72-AR72,""))</f>
        <v/>
      </c>
      <c r="AT72" s="90">
        <f>IF(COUNT(K72:AO72)=0,"",MIN(K72:AO72))</f>
        <v/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/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2" s="92">
        <f>IF(OR(AT72="",AU72=""),"NA",IFERROR(AT72-AU72,"NA"))</f>
        <v/>
      </c>
    </row>
    <row r="73" ht="14.25" customHeight="1">
      <c r="A73" s="48" t="n">
        <v>21055030</v>
      </c>
      <c r="B73" s="52" t="inlineStr">
        <is>
          <t>Santa Leticia</t>
        </is>
      </c>
      <c r="C73" s="52" t="inlineStr">
        <is>
          <t>Area Operativa 04 - Huila-Caquetá</t>
        </is>
      </c>
      <c r="D73" s="53" t="n">
        <v>-76.16</v>
      </c>
      <c r="E73" s="53" t="n">
        <v>2.24</v>
      </c>
      <c r="F73" s="48" t="n">
        <v>2085</v>
      </c>
      <c r="G73" s="46" t="n">
        <v>19</v>
      </c>
      <c r="H73" s="46" t="n">
        <v>19355</v>
      </c>
      <c r="I73" s="55" t="inlineStr">
        <is>
          <t>Cauca</t>
        </is>
      </c>
      <c r="J73" s="55" t="inlineStr">
        <is>
          <t>Inzá</t>
        </is>
      </c>
      <c r="K73" s="51" t="n">
        <v>11.2</v>
      </c>
      <c r="L73" s="51" t="n">
        <v>11.2</v>
      </c>
      <c r="M73" s="51" t="n">
        <v>13</v>
      </c>
      <c r="N73" s="51" t="n">
        <v>12.2</v>
      </c>
      <c r="O73" s="51" t="n">
        <v>12.4</v>
      </c>
      <c r="P73" s="51" t="n">
        <v>12.2</v>
      </c>
      <c r="Q73" s="51" t="n">
        <v>12</v>
      </c>
      <c r="R73" s="51" t="n">
        <v>11.6</v>
      </c>
      <c r="S73" s="51" t="n">
        <v>12.4</v>
      </c>
      <c r="T73" s="51" t="n">
        <v>11.4</v>
      </c>
      <c r="U73" s="51" t="n">
        <v>12.6</v>
      </c>
      <c r="V73" s="51" t="n">
        <v>11</v>
      </c>
      <c r="W73" s="51" t="n">
        <v>12</v>
      </c>
      <c r="X73" s="51" t="n">
        <v>12.4</v>
      </c>
      <c r="Y73" s="51" t="n">
        <v>12</v>
      </c>
      <c r="Z73" s="111" t="n">
        <v>12.4</v>
      </c>
      <c r="AA73" s="51" t="n">
        <v>11.2</v>
      </c>
      <c r="AB73" s="51" t="n">
        <v>11.4</v>
      </c>
      <c r="AC73" s="51" t="n">
        <v>12.8</v>
      </c>
      <c r="AD73" s="51" t="n">
        <v>12.2</v>
      </c>
      <c r="AE73" s="51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88">
        <f>COUNTIF(K73:AO73,"&gt;0")</f>
        <v/>
      </c>
      <c r="AQ73" s="89">
        <f>IF(AP73&gt;14,AVERAGE(K73:AO73),"")</f>
        <v/>
      </c>
      <c r="AR73" s="89">
        <f>IFERROR(VLOOKUP(A73,Climatologia!A:U,9+$E$2,FALSE),"")</f>
        <v/>
      </c>
      <c r="AS73" s="89">
        <f>IF(OR(AQ73="",AR73=""),"",IFERROR(AQ73-AR73,""))</f>
        <v/>
      </c>
      <c r="AT73" s="90">
        <f>IF(COUNT(K73:AO73)=0,"",MIN(K73:AO73))</f>
        <v/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/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3" s="92">
        <f>IF(OR(AT73="",AU73=""),"NA",IFERROR(AT73-AU73,"NA"))</f>
        <v/>
      </c>
    </row>
    <row r="74" ht="14.25" customHeight="1">
      <c r="A74" s="48" t="n">
        <v>21065040</v>
      </c>
      <c r="B74" s="52" t="inlineStr">
        <is>
          <t>Zuluaga Aut</t>
        </is>
      </c>
      <c r="C74" s="52" t="inlineStr">
        <is>
          <t>Area Operativa 04 - Huila-Caquetá</t>
        </is>
      </c>
      <c r="D74" s="53" t="n">
        <v>-75.52944444000001</v>
      </c>
      <c r="E74" s="53" t="n">
        <v>2.2525</v>
      </c>
      <c r="F74" s="48" t="n">
        <v>1270</v>
      </c>
      <c r="G74" s="46" t="n">
        <v>41</v>
      </c>
      <c r="H74" s="46" t="n">
        <v>41298</v>
      </c>
      <c r="I74" s="55" t="inlineStr">
        <is>
          <t>Huila</t>
        </is>
      </c>
      <c r="J74" s="55" t="inlineStr">
        <is>
          <t>Garzón</t>
        </is>
      </c>
      <c r="K74" s="51" t="n">
        <v>14.2</v>
      </c>
      <c r="L74" s="51" t="n">
        <v>14</v>
      </c>
      <c r="M74" s="51" t="n">
        <v>17.2</v>
      </c>
      <c r="N74" s="51" t="n">
        <v>16.2</v>
      </c>
      <c r="O74" s="51" t="n">
        <v>17.2</v>
      </c>
      <c r="P74" s="51" t="n">
        <v>17</v>
      </c>
      <c r="Q74" s="51" t="n">
        <v>15.2</v>
      </c>
      <c r="R74" s="51" t="n">
        <v>14</v>
      </c>
      <c r="S74" s="51" t="n">
        <v>17.2</v>
      </c>
      <c r="T74" s="51" t="n">
        <v>14.8</v>
      </c>
      <c r="U74" s="51" t="n">
        <v>16.9</v>
      </c>
      <c r="V74" s="51" t="n">
        <v>14.2</v>
      </c>
      <c r="W74" s="51" t="n">
        <v>16.2</v>
      </c>
      <c r="X74" s="51" t="n">
        <v>16.8</v>
      </c>
      <c r="Y74" s="51" t="n">
        <v>15.2</v>
      </c>
      <c r="Z74" s="111" t="n">
        <v>17</v>
      </c>
      <c r="AA74" s="51" t="n">
        <v>15.2</v>
      </c>
      <c r="AB74" s="51" t="n">
        <v>17</v>
      </c>
      <c r="AC74" s="51" t="n">
        <v>16.2</v>
      </c>
      <c r="AD74" s="51" t="n">
        <v>17.8</v>
      </c>
      <c r="AE74" s="51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88">
        <f>COUNTIF(K74:AO74,"&gt;0")</f>
        <v/>
      </c>
      <c r="AQ74" s="89">
        <f>IF(AP74&gt;14,AVERAGE(K74:AO74),"")</f>
        <v/>
      </c>
      <c r="AR74" s="89">
        <f>IFERROR(VLOOKUP(A74,Climatologia!A:U,9+$E$2,FALSE),"")</f>
        <v/>
      </c>
      <c r="AS74" s="89">
        <f>IF(OR(AQ74="",AR74=""),"",IFERROR(AQ74-AR74,""))</f>
        <v/>
      </c>
      <c r="AT74" s="90">
        <f>IF(COUNT(K74:AO74)=0,"",MIN(K74:AO74))</f>
        <v/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/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4" s="92">
        <f>IF(OR(AT74="",AU74=""),"NA",IFERROR(AT74-AU74,"NA"))</f>
        <v/>
      </c>
    </row>
    <row r="75" ht="14.25" customHeight="1">
      <c r="A75" s="48" t="n">
        <v>21115100</v>
      </c>
      <c r="B75" s="52" t="inlineStr">
        <is>
          <t>Palacio-Vegalarga</t>
        </is>
      </c>
      <c r="C75" s="52" t="inlineStr">
        <is>
          <t>Area Operativa 04 - Huila-Caquetá</t>
        </is>
      </c>
      <c r="D75" s="53" t="n">
        <v>-75.06638889</v>
      </c>
      <c r="E75" s="53" t="n">
        <v>2.942638889</v>
      </c>
      <c r="F75" s="48" t="n">
        <v>1100</v>
      </c>
      <c r="G75" s="46" t="n">
        <v>41</v>
      </c>
      <c r="H75" s="46" t="n">
        <v>41001</v>
      </c>
      <c r="I75" s="55" t="inlineStr">
        <is>
          <t>Huila</t>
        </is>
      </c>
      <c r="J75" s="55" t="inlineStr">
        <is>
          <t>Neiva</t>
        </is>
      </c>
      <c r="K75" s="51" t="n">
        <v>18</v>
      </c>
      <c r="L75" s="51" t="n">
        <v>16</v>
      </c>
      <c r="M75" s="51" t="n">
        <v>15.8</v>
      </c>
      <c r="N75" s="51" t="n">
        <v>18.2</v>
      </c>
      <c r="O75" s="51" t="n">
        <v>17.8</v>
      </c>
      <c r="P75" s="51" t="n">
        <v>18</v>
      </c>
      <c r="Q75" s="51" t="n">
        <v>17</v>
      </c>
      <c r="R75" s="51" t="n">
        <v>15.4</v>
      </c>
      <c r="S75" s="51" t="n">
        <v>18</v>
      </c>
      <c r="T75" s="51" t="n">
        <v>17.6</v>
      </c>
      <c r="U75" s="51" t="n">
        <v>16.2</v>
      </c>
      <c r="V75" s="51" t="n">
        <v>17.2</v>
      </c>
      <c r="W75" s="51" t="n">
        <v>17.8</v>
      </c>
      <c r="X75" s="51" t="n">
        <v>19</v>
      </c>
      <c r="Y75" s="51" t="n">
        <v>17.4</v>
      </c>
      <c r="Z75" s="111" t="n">
        <v>16.2</v>
      </c>
      <c r="AA75" s="51" t="n">
        <v>17.4</v>
      </c>
      <c r="AB75" s="51" t="n">
        <v>18.4</v>
      </c>
      <c r="AC75" s="51" t="n">
        <v/>
      </c>
      <c r="AD75" s="51" t="n">
        <v/>
      </c>
      <c r="AE75" s="51" t="n"/>
      <c r="AF75" s="51" t="n"/>
      <c r="AG75" s="51" t="n"/>
      <c r="AH75" s="51" t="n"/>
      <c r="AI75" s="51" t="n"/>
      <c r="AJ75" s="51" t="n"/>
      <c r="AK75" s="51" t="n"/>
      <c r="AL75" s="116" t="n"/>
      <c r="AM75" s="51" t="n"/>
      <c r="AN75" s="51" t="n"/>
      <c r="AO75" s="51" t="n"/>
      <c r="AP75" s="88">
        <f>COUNTIF(K75:AO75,"&gt;0")</f>
        <v/>
      </c>
      <c r="AQ75" s="89">
        <f>IF(AP75&gt;14,AVERAGE(K75:AO75),"")</f>
        <v/>
      </c>
      <c r="AR75" s="89">
        <f>IFERROR(VLOOKUP(A75,Climatologia!A:U,9+$E$2,FALSE),"")</f>
        <v/>
      </c>
      <c r="AS75" s="89">
        <f>IF(OR(AQ75="",AR75=""),"",IFERROR(AQ75-AR75,""))</f>
        <v/>
      </c>
      <c r="AT75" s="90">
        <f>IF(COUNT(K75:AO75)=0,"",MIN(K75:AO75))</f>
        <v/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/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5" s="92">
        <f>IF(OR(AT75="",AU75=""),"NA",IFERROR(AT75-AU75,"NA"))</f>
        <v/>
      </c>
    </row>
    <row r="76" ht="14.25" customHeight="1">
      <c r="A76" s="48" t="n">
        <v>21135030</v>
      </c>
      <c r="B76" s="52" t="inlineStr">
        <is>
          <t>Anchique</t>
        </is>
      </c>
      <c r="C76" s="52" t="inlineStr">
        <is>
          <t>Area Operativa 04 - Huila-Caquetá</t>
        </is>
      </c>
      <c r="D76" s="53" t="n">
        <v>-75.10899999999999</v>
      </c>
      <c r="E76" s="53" t="n">
        <v>3.573833333</v>
      </c>
      <c r="F76" s="48" t="n">
        <v>415</v>
      </c>
      <c r="G76" s="46" t="n">
        <v>73</v>
      </c>
      <c r="H76" s="46" t="n">
        <v>73483</v>
      </c>
      <c r="I76" s="55" t="inlineStr">
        <is>
          <t>Tolima</t>
        </is>
      </c>
      <c r="J76" s="55" t="inlineStr">
        <is>
          <t>Natagaima</t>
        </is>
      </c>
      <c r="K76" s="51" t="n">
        <v>26</v>
      </c>
      <c r="L76" s="51" t="n">
        <v>25.8</v>
      </c>
      <c r="M76" s="51" t="n">
        <v>24</v>
      </c>
      <c r="N76" s="51" t="n">
        <v>27.8</v>
      </c>
      <c r="O76" s="51" t="n">
        <v>28.8</v>
      </c>
      <c r="P76" s="51" t="n">
        <v>28.8</v>
      </c>
      <c r="Q76" s="51" t="n">
        <v>29</v>
      </c>
      <c r="R76" s="51" t="n">
        <v>24</v>
      </c>
      <c r="S76" s="51" t="n">
        <v>28.6</v>
      </c>
      <c r="T76" s="51" t="n">
        <v>27.4</v>
      </c>
      <c r="U76" s="51" t="n">
        <v>29</v>
      </c>
      <c r="V76" s="51" t="n">
        <v>26.4</v>
      </c>
      <c r="W76" s="51" t="n">
        <v>28.6</v>
      </c>
      <c r="X76" s="51" t="n">
        <v>28.8</v>
      </c>
      <c r="Y76" s="51" t="n">
        <v>28.2</v>
      </c>
      <c r="Z76" s="111" t="n">
        <v>26.6</v>
      </c>
      <c r="AA76" s="51" t="n">
        <v>27.2</v>
      </c>
      <c r="AB76" s="51" t="n">
        <v>29.2</v>
      </c>
      <c r="AC76" s="51" t="n">
        <v>27.4</v>
      </c>
      <c r="AD76" s="51" t="n">
        <v>25</v>
      </c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88">
        <f>COUNTIF(K76:AO76,"&gt;0")</f>
        <v/>
      </c>
      <c r="AQ76" s="89">
        <f>IF(AP76&gt;14,AVERAGE(K76:AO76),"")</f>
        <v/>
      </c>
      <c r="AR76" s="89">
        <f>IFERROR(VLOOKUP(A76,Climatologia!A:U,9+$E$2,FALSE),"")</f>
        <v/>
      </c>
      <c r="AS76" s="89">
        <f>IF(OR(AQ76="",AR76=""),"",IFERROR(AQ76-AR76,""))</f>
        <v/>
      </c>
      <c r="AT76" s="90">
        <f>IF(COUNT(K76:AO76)=0,"",MIN(K76:AO76))</f>
        <v/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/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6" s="92">
        <f>IF(OR(AT76="",AU76=""),"NA",IFERROR(AT76-AU76,"NA"))</f>
        <v/>
      </c>
    </row>
    <row r="77" ht="14.25" customHeight="1">
      <c r="A77" s="48" t="n">
        <v>21145040</v>
      </c>
      <c r="B77" s="52" t="inlineStr">
        <is>
          <t>San Alfonso</t>
        </is>
      </c>
      <c r="C77" s="52" t="inlineStr">
        <is>
          <t>Area Operativa 04 - Huila-Caquetá</t>
        </is>
      </c>
      <c r="D77" s="53" t="n">
        <v>-75.11011111000001</v>
      </c>
      <c r="E77" s="53" t="n">
        <v>3.373361111</v>
      </c>
      <c r="F77" s="48" t="n">
        <v>440</v>
      </c>
      <c r="G77" s="46" t="n">
        <v>41</v>
      </c>
      <c r="H77" s="46" t="n">
        <v>41872</v>
      </c>
      <c r="I77" s="55" t="inlineStr">
        <is>
          <t>Huila</t>
        </is>
      </c>
      <c r="J77" s="55" t="inlineStr">
        <is>
          <t>Villavieja</t>
        </is>
      </c>
      <c r="K77" s="51" t="n">
        <v>24.6</v>
      </c>
      <c r="L77" s="51" t="n">
        <v>23.6</v>
      </c>
      <c r="M77" s="51" t="n">
        <v>22.6</v>
      </c>
      <c r="N77" s="51" t="n">
        <v>24.8</v>
      </c>
      <c r="O77" s="51" t="n">
        <v>24.8</v>
      </c>
      <c r="P77" s="51" t="n">
        <v>27.8</v>
      </c>
      <c r="Q77" s="51" t="n">
        <v>27.4</v>
      </c>
      <c r="R77" s="51" t="n">
        <v>24.6</v>
      </c>
      <c r="S77" s="51" t="n">
        <v>27.4</v>
      </c>
      <c r="T77" s="51" t="n">
        <v>25.4</v>
      </c>
      <c r="U77" s="51" t="n">
        <v>26.2</v>
      </c>
      <c r="V77" s="51" t="n">
        <v>26</v>
      </c>
      <c r="W77" s="51" t="n">
        <v>26.6</v>
      </c>
      <c r="X77" s="51" t="n">
        <v>27</v>
      </c>
      <c r="Y77" s="51" t="n">
        <v>26.6</v>
      </c>
      <c r="Z77" s="111" t="n">
        <v>25.4</v>
      </c>
      <c r="AA77" s="51" t="n">
        <v>25.6</v>
      </c>
      <c r="AB77" s="51" t="n">
        <v>26.2</v>
      </c>
      <c r="AC77" s="51" t="n">
        <v>26</v>
      </c>
      <c r="AD77" s="51" t="n">
        <v>26.2</v>
      </c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88">
        <f>COUNTIF(K77:AO77,"&gt;0")</f>
        <v/>
      </c>
      <c r="AQ77" s="89">
        <f>IF(AP77&gt;14,AVERAGE(K77:AO77),"")</f>
        <v/>
      </c>
      <c r="AR77" s="89">
        <f>IFERROR(VLOOKUP(A77,Climatologia!A:U,9+$E$2,FALSE),"")</f>
        <v/>
      </c>
      <c r="AS77" s="89">
        <f>IF(OR(AQ77="",AR77=""),"",IFERROR(AQ77-AR77,""))</f>
        <v/>
      </c>
      <c r="AT77" s="90">
        <f>IF(COUNT(K77:AO77)=0,"",MIN(K77:AO77))</f>
        <v/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/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7" s="92">
        <f>IF(OR(AT77="",AU77=""),"NA",IFERROR(AT77-AU77,"NA"))</f>
        <v/>
      </c>
    </row>
    <row r="78" ht="14.25" customHeight="1">
      <c r="A78" s="48" t="n">
        <v>21145080</v>
      </c>
      <c r="B78" s="52" t="inlineStr">
        <is>
          <t>Santa Ana - Aut</t>
        </is>
      </c>
      <c r="C78" s="52" t="inlineStr">
        <is>
          <t>Area Operativa 04 - Huila-Caquetá</t>
        </is>
      </c>
      <c r="D78" s="53" t="n">
        <v>-74.70294444</v>
      </c>
      <c r="E78" s="53" t="n">
        <v>3.589777778</v>
      </c>
      <c r="F78" s="48" t="n">
        <v>1410</v>
      </c>
      <c r="G78" s="46" t="n">
        <v>41</v>
      </c>
      <c r="H78" s="46" t="n">
        <v>41206</v>
      </c>
      <c r="I78" s="55" t="inlineStr">
        <is>
          <t>Huila</t>
        </is>
      </c>
      <c r="J78" s="55" t="inlineStr">
        <is>
          <t>Colombia</t>
        </is>
      </c>
      <c r="K78" s="51" t="n">
        <v>14.8</v>
      </c>
      <c r="L78" s="51" t="n">
        <v>15</v>
      </c>
      <c r="M78" s="51" t="n">
        <v>14.4</v>
      </c>
      <c r="N78" s="51" t="n">
        <v>14.2</v>
      </c>
      <c r="O78" s="51" t="n">
        <v>14.2</v>
      </c>
      <c r="P78" s="51" t="n">
        <v>15.2</v>
      </c>
      <c r="Q78" s="51" t="n">
        <v>14.4</v>
      </c>
      <c r="R78" s="51" t="n">
        <v>15.8</v>
      </c>
      <c r="S78" s="51" t="n">
        <v>18</v>
      </c>
      <c r="T78" s="51" t="n">
        <v>13.6</v>
      </c>
      <c r="U78" s="51" t="n">
        <v>15.4</v>
      </c>
      <c r="V78" s="51" t="n">
        <v>14.2</v>
      </c>
      <c r="W78" s="51" t="n">
        <v>15</v>
      </c>
      <c r="X78" s="51" t="n">
        <v>15.2</v>
      </c>
      <c r="Y78" s="51" t="n">
        <v>14.2</v>
      </c>
      <c r="Z78" s="111" t="n">
        <v>16.2</v>
      </c>
      <c r="AA78" s="51" t="n">
        <v>14.2</v>
      </c>
      <c r="AB78" s="51" t="n">
        <v>15.6</v>
      </c>
      <c r="AC78" s="51" t="n">
        <v>14.2</v>
      </c>
      <c r="AD78" s="51" t="n">
        <v>15.6</v>
      </c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88">
        <f>COUNTIF(K78:AO78,"&gt;0")</f>
        <v/>
      </c>
      <c r="AQ78" s="89">
        <f>IF(AP78&gt;14,AVERAGE(K78:AO78),"")</f>
        <v/>
      </c>
      <c r="AR78" s="89">
        <f>IFERROR(VLOOKUP(A78,Climatologia!A:U,9+$E$2,FALSE),"")</f>
        <v/>
      </c>
      <c r="AS78" s="89">
        <f>IF(OR(AQ78="",AR78=""),"",IFERROR(AQ78-AR78,""))</f>
        <v/>
      </c>
      <c r="AT78" s="90">
        <f>IF(COUNT(K78:AO78)=0,"",MIN(K78:AO78))</f>
        <v/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>
        <f>IF(OR(AT78="",AU78=""),"NA",IFERROR(AT78-AU78,"NA"))</f>
        <v/>
      </c>
    </row>
    <row r="79" ht="14.25" customHeight="1">
      <c r="A79" s="48" t="n">
        <v>44045010</v>
      </c>
      <c r="B79" s="52" t="inlineStr">
        <is>
          <t>San Jose De Fragua</t>
        </is>
      </c>
      <c r="C79" s="52" t="inlineStr">
        <is>
          <t>Area Operativa 04 - Huila-Caquetá</t>
        </is>
      </c>
      <c r="D79" s="53" t="n">
        <v>-75.9615</v>
      </c>
      <c r="E79" s="53" t="n">
        <v>1.325138889</v>
      </c>
      <c r="F79" s="48" t="n">
        <v>320</v>
      </c>
      <c r="G79" s="46" t="n">
        <v>18</v>
      </c>
      <c r="H79" s="46" t="n">
        <v>18610</v>
      </c>
      <c r="I79" s="55" t="inlineStr">
        <is>
          <t>Caquetá</t>
        </is>
      </c>
      <c r="J79" s="55" t="inlineStr">
        <is>
          <t>San José Del Fragua</t>
        </is>
      </c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11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88">
        <f>COUNTIF(K79:AO79,"&gt;0")</f>
        <v/>
      </c>
      <c r="AQ79" s="89">
        <f>IF(AP79&gt;14,AVERAGE(K79:AO79),"")</f>
        <v/>
      </c>
      <c r="AR79" s="89">
        <f>IFERROR(VLOOKUP(A79,Climatologia!A:U,9+$E$2,FALSE),"")</f>
        <v/>
      </c>
      <c r="AS79" s="89">
        <f>IF(OR(AQ79="",AR79=""),"",IFERROR(AQ79-AR79,""))</f>
        <v/>
      </c>
      <c r="AT79" s="90">
        <f>IF(COUNT(K79:AO79)=0,"",MIN(K79:AO79))</f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>
        <f>IF(OR(AT79="",AU79=""),"NA",IFERROR(AT79-AU79,"NA"))</f>
        <v/>
      </c>
    </row>
    <row r="80" ht="14.25" customHeight="1">
      <c r="A80" s="48" t="n">
        <v>44045020</v>
      </c>
      <c r="B80" s="52" t="inlineStr">
        <is>
          <t>Valparaiso</t>
        </is>
      </c>
      <c r="C80" s="52" t="inlineStr">
        <is>
          <t>Area Operativa 04 - Huila-Caquetá</t>
        </is>
      </c>
      <c r="D80" s="53" t="n">
        <v>-75.70447222</v>
      </c>
      <c r="E80" s="53" t="n">
        <v>1.19525</v>
      </c>
      <c r="F80" s="48" t="n">
        <v>270</v>
      </c>
      <c r="G80" s="46" t="n">
        <v>18</v>
      </c>
      <c r="H80" s="46" t="n">
        <v>18860</v>
      </c>
      <c r="I80" s="55" t="inlineStr">
        <is>
          <t>Caquetá</t>
        </is>
      </c>
      <c r="J80" s="55" t="inlineStr">
        <is>
          <t>Valparaíso</t>
        </is>
      </c>
      <c r="K80" s="51" t="n">
        <v>23.6</v>
      </c>
      <c r="L80" s="51" t="n">
        <v>23.2</v>
      </c>
      <c r="M80" s="51" t="n">
        <v>23.2</v>
      </c>
      <c r="N80" s="51" t="n">
        <v>23.8</v>
      </c>
      <c r="O80" s="51" t="n">
        <v>23.6</v>
      </c>
      <c r="P80" s="51" t="n">
        <v>23.4</v>
      </c>
      <c r="Q80" s="51" t="n">
        <v>23</v>
      </c>
      <c r="R80" s="51" t="n">
        <v>23</v>
      </c>
      <c r="S80" s="51" t="n">
        <v>23.8</v>
      </c>
      <c r="T80" s="51" t="n">
        <v>22.4</v>
      </c>
      <c r="U80" s="51" t="n">
        <v>22.6</v>
      </c>
      <c r="V80" s="51" t="n">
        <v>23.6</v>
      </c>
      <c r="W80" s="51" t="n">
        <v>23.4</v>
      </c>
      <c r="X80" s="51" t="n">
        <v>22.6</v>
      </c>
      <c r="Y80" s="51" t="n">
        <v>23</v>
      </c>
      <c r="Z80" s="111" t="n">
        <v>22.2</v>
      </c>
      <c r="AA80" s="51" t="n">
        <v>23</v>
      </c>
      <c r="AB80" s="51" t="n">
        <v>23.6</v>
      </c>
      <c r="AC80" s="51" t="n">
        <v>23.2</v>
      </c>
      <c r="AD80" s="51" t="n">
        <v>23.8</v>
      </c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88">
        <f>COUNTIF(K80:AO80,"&gt;0")</f>
        <v/>
      </c>
      <c r="AQ80" s="89">
        <f>IF(AP80&gt;14,AVERAGE(K80:AO80),"")</f>
        <v/>
      </c>
      <c r="AR80" s="89">
        <f>IFERROR(VLOOKUP(A80,Climatologia!A:U,9+$E$2,FALSE),"")</f>
        <v/>
      </c>
      <c r="AS80" s="89">
        <f>IF(OR(AQ80="",AR80=""),"",IFERROR(AQ80-AR80,""))</f>
        <v/>
      </c>
      <c r="AT80" s="90">
        <f>IF(COUNT(K80:AO80)=0,"",MIN(K80:AO80))</f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/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0" s="92">
        <f>IF(OR(AT80="",AU80=""),"NA",IFERROR(AT80-AU80,"NA"))</f>
        <v/>
      </c>
    </row>
    <row r="81" ht="14.25" customHeight="1">
      <c r="A81" s="48" t="n">
        <v>15045010</v>
      </c>
      <c r="B81" s="52" t="inlineStr">
        <is>
          <t>Matitas</t>
        </is>
      </c>
      <c r="C81" s="52" t="inlineStr">
        <is>
          <t>Area Operativa 05 - Magdalena-Cesar-Guajira-San Andrés</t>
        </is>
      </c>
      <c r="D81" s="53" t="n">
        <v>-73.03027778000001</v>
      </c>
      <c r="E81" s="53" t="n">
        <v>11.26388889</v>
      </c>
      <c r="F81" s="48" t="n">
        <v>20</v>
      </c>
      <c r="G81" s="46" t="n">
        <v>44</v>
      </c>
      <c r="H81" s="46" t="n">
        <v>44001</v>
      </c>
      <c r="I81" s="55" t="inlineStr">
        <is>
          <t>La Guajira</t>
        </is>
      </c>
      <c r="J81" s="55" t="inlineStr">
        <is>
          <t>Riohacha</t>
        </is>
      </c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11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88">
        <f>COUNTIF(K81:AO81,"&gt;0")</f>
        <v/>
      </c>
      <c r="AQ81" s="89">
        <f>IF(AP81&gt;14,AVERAGE(K81:AO81),"")</f>
        <v/>
      </c>
      <c r="AR81" s="89">
        <f>IFERROR(VLOOKUP(A81,Climatologia!A:U,9+$E$2,FALSE),"")</f>
        <v/>
      </c>
      <c r="AS81" s="89">
        <f>IF(OR(AQ81="",AR81=""),"",IFERROR(AQ81-AR81,""))</f>
        <v/>
      </c>
      <c r="AT81" s="90">
        <f>IF(COUNT(K81:AO81)=0,"",MIN(K81:AO81))</f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/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1" s="92">
        <f>IF(OR(AT81="",AU81=""),"NA",IFERROR(AT81-AU81,"NA"))</f>
        <v/>
      </c>
    </row>
    <row r="82" ht="14.25" customHeight="1">
      <c r="A82" s="48" t="n">
        <v>15075030</v>
      </c>
      <c r="B82" s="52" t="inlineStr">
        <is>
          <t>Manaure</t>
        </is>
      </c>
      <c r="C82" s="52" t="inlineStr">
        <is>
          <t>Area Operativa 05 - Magdalena-Cesar-Guajira-San Andrés</t>
        </is>
      </c>
      <c r="D82" s="53" t="n">
        <v>-72.4635</v>
      </c>
      <c r="E82" s="53" t="n">
        <v>11.78105556</v>
      </c>
      <c r="F82" s="48" t="n">
        <v>1</v>
      </c>
      <c r="G82" s="46" t="n">
        <v>44</v>
      </c>
      <c r="H82" s="46" t="n">
        <v>44560</v>
      </c>
      <c r="I82" s="55" t="inlineStr">
        <is>
          <t>La Guajira</t>
        </is>
      </c>
      <c r="J82" s="55" t="inlineStr">
        <is>
          <t>Manaure</t>
        </is>
      </c>
      <c r="K82" s="51" t="n">
        <v>27.2</v>
      </c>
      <c r="L82" s="51" t="n">
        <v>26.8</v>
      </c>
      <c r="M82" s="51" t="n">
        <v>27</v>
      </c>
      <c r="N82" s="51" t="n">
        <v>27.4</v>
      </c>
      <c r="O82" s="51" t="n">
        <v>28</v>
      </c>
      <c r="P82" s="51" t="n">
        <v>28.8</v>
      </c>
      <c r="Q82" s="51" t="n">
        <v>29.4</v>
      </c>
      <c r="R82" s="51" t="n">
        <v>28.6</v>
      </c>
      <c r="S82" s="51" t="n">
        <v>27.4</v>
      </c>
      <c r="T82" s="51" t="n">
        <v>28.4</v>
      </c>
      <c r="U82" s="51" t="n">
        <v>28.8</v>
      </c>
      <c r="V82" s="51" t="n">
        <v/>
      </c>
      <c r="W82" s="51" t="n">
        <v>28.2</v>
      </c>
      <c r="X82" s="51" t="n">
        <v>27.2</v>
      </c>
      <c r="Y82" s="51" t="n">
        <v>27.6</v>
      </c>
      <c r="Z82" s="111" t="n">
        <v>28.8</v>
      </c>
      <c r="AA82" s="51" t="n">
        <v>27.8</v>
      </c>
      <c r="AB82" s="51" t="n">
        <v>29</v>
      </c>
      <c r="AC82" s="51" t="n">
        <v>28.2</v>
      </c>
      <c r="AD82" s="51" t="n">
        <v>26.6</v>
      </c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88">
        <f>COUNTIF(K82:AO82,"&gt;0")</f>
        <v/>
      </c>
      <c r="AQ82" s="89">
        <f>IF(AP82&gt;14,AVERAGE(K82:AO82),"")</f>
        <v/>
      </c>
      <c r="AR82" s="89">
        <f>IFERROR(VLOOKUP(A82,Climatologia!A:U,9+$E$2,FALSE),"")</f>
        <v/>
      </c>
      <c r="AS82" s="89">
        <f>IF(OR(AQ82="",AR82=""),"",IFERROR(AQ82-AR82,""))</f>
        <v/>
      </c>
      <c r="AT82" s="90">
        <f>IF(COUNT(K82:AO82)=0,"",MIN(K82:AO82))</f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/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2" s="92">
        <f>IF(OR(AT82="",AU82=""),"NA",IFERROR(AT82-AU82,"NA"))</f>
        <v/>
      </c>
    </row>
    <row r="83" ht="14.25" customHeight="1">
      <c r="A83" s="48" t="n">
        <v>15085030</v>
      </c>
      <c r="B83" s="52" t="inlineStr">
        <is>
          <t>Escuela Agricola Carraipia  - Aut</t>
        </is>
      </c>
      <c r="C83" s="52" t="inlineStr">
        <is>
          <t>Area Operativa 05 - Magdalena-Cesar-Guajira-San Andrés</t>
        </is>
      </c>
      <c r="D83" s="53" t="n">
        <v>-72.35994444000001</v>
      </c>
      <c r="E83" s="53" t="n">
        <v>11.21675</v>
      </c>
      <c r="F83" s="48" t="n">
        <v>118</v>
      </c>
      <c r="G83" s="46" t="n">
        <v>44</v>
      </c>
      <c r="H83" s="46" t="n">
        <v>44430</v>
      </c>
      <c r="I83" s="55" t="inlineStr">
        <is>
          <t>La Guajira</t>
        </is>
      </c>
      <c r="J83" s="55" t="inlineStr">
        <is>
          <t>Maicao</t>
        </is>
      </c>
      <c r="K83" s="51" t="n">
        <v>25.4</v>
      </c>
      <c r="L83" s="51" t="n">
        <v>26.8</v>
      </c>
      <c r="M83" s="51" t="n">
        <v>27.2</v>
      </c>
      <c r="N83" s="51" t="n">
        <v>26</v>
      </c>
      <c r="O83" s="51" t="n">
        <v>27.6</v>
      </c>
      <c r="P83" s="51" t="n">
        <v>27</v>
      </c>
      <c r="Q83" s="51" t="n">
        <v>27.8</v>
      </c>
      <c r="R83" s="51" t="n">
        <v>27.2</v>
      </c>
      <c r="S83" s="51" t="n">
        <v>27.8</v>
      </c>
      <c r="T83" s="51" t="n">
        <v>27.6</v>
      </c>
      <c r="U83" s="51" t="n">
        <v>27</v>
      </c>
      <c r="V83" s="51" t="n">
        <v>27.6</v>
      </c>
      <c r="W83" s="51" t="n">
        <v>27</v>
      </c>
      <c r="X83" s="51" t="n">
        <v>27.4</v>
      </c>
      <c r="Y83" s="51" t="n">
        <v>26.8</v>
      </c>
      <c r="Z83" s="111" t="n">
        <v>27.8</v>
      </c>
      <c r="AA83" s="51" t="n">
        <v>27.2</v>
      </c>
      <c r="AB83" s="51" t="n">
        <v>28</v>
      </c>
      <c r="AC83" s="51" t="n">
        <v>28</v>
      </c>
      <c r="AD83" s="51" t="n">
        <v>25.4</v>
      </c>
      <c r="AE83" s="51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88">
        <f>COUNTIF(K83:AO83,"&gt;0")</f>
        <v/>
      </c>
      <c r="AQ83" s="89">
        <f>IF(AP83&gt;14,AVERAGE(K83:AO83),"")</f>
        <v/>
      </c>
      <c r="AR83" s="89">
        <f>IFERROR(VLOOKUP(A83,Climatologia!A:U,9+$E$2,FALSE),"")</f>
        <v/>
      </c>
      <c r="AS83" s="89">
        <f>IF(OR(AQ83="",AR83=""),"",IFERROR(AQ83-AR83,""))</f>
        <v/>
      </c>
      <c r="AT83" s="90">
        <f>IF(COUNT(K83:AO83)=0,"",MIN(K83:AO83))</f>
        <v/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/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3" s="92">
        <f>IF(OR(AT83="",AU83=""),"NA",IFERROR(AT83-AU83,"NA"))</f>
        <v/>
      </c>
    </row>
    <row r="84" ht="14.25" customHeight="1">
      <c r="A84" s="48" t="n">
        <v>25025002</v>
      </c>
      <c r="B84" s="52" t="inlineStr">
        <is>
          <t>Los Alamos - Aut</t>
        </is>
      </c>
      <c r="C84" s="52" t="inlineStr">
        <is>
          <t>Area Operativa 05 - Magdalena-Cesar-Guajira-San Andrés</t>
        </is>
      </c>
      <c r="D84" s="53" t="n">
        <v>-74.27363889</v>
      </c>
      <c r="E84" s="53" t="n">
        <v>9.304055556</v>
      </c>
      <c r="F84" s="48" t="n">
        <v>25</v>
      </c>
      <c r="G84" s="46" t="n">
        <v>47</v>
      </c>
      <c r="H84" s="46" t="n">
        <v>47692</v>
      </c>
      <c r="I84" s="55" t="inlineStr">
        <is>
          <t>Magdalena</t>
        </is>
      </c>
      <c r="J84" s="55" t="inlineStr">
        <is>
          <t>San Sebastián De Buenavista</t>
        </is>
      </c>
      <c r="K84" s="51" t="n">
        <v>23.6</v>
      </c>
      <c r="L84" s="51" t="n">
        <v>25.2</v>
      </c>
      <c r="M84" s="51" t="n">
        <v>23.6</v>
      </c>
      <c r="N84" s="51" t="n">
        <v>26.6</v>
      </c>
      <c r="O84" s="51" t="n">
        <v>24.8</v>
      </c>
      <c r="P84" s="51" t="n">
        <v>24.6</v>
      </c>
      <c r="Q84" s="51" t="n">
        <v>24.4</v>
      </c>
      <c r="R84" s="51" t="n">
        <v>24.7</v>
      </c>
      <c r="S84" s="51" t="n">
        <v>25.4</v>
      </c>
      <c r="T84" s="51" t="n">
        <v>26.2</v>
      </c>
      <c r="U84" s="51" t="n">
        <v>24</v>
      </c>
      <c r="V84" s="51" t="n">
        <v>24.6</v>
      </c>
      <c r="W84" s="51" t="n">
        <v>24.8</v>
      </c>
      <c r="X84" s="51" t="n">
        <v>25.2</v>
      </c>
      <c r="Y84" s="51" t="n">
        <v>22.8</v>
      </c>
      <c r="Z84" s="111" t="n">
        <v>22.2</v>
      </c>
      <c r="AA84" s="51" t="n">
        <v>26.6</v>
      </c>
      <c r="AB84" s="51" t="n">
        <v/>
      </c>
      <c r="AC84" s="51" t="n">
        <v>22.4</v>
      </c>
      <c r="AD84" s="51" t="n">
        <v/>
      </c>
      <c r="AE84" s="51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88">
        <f>COUNTIF(K84:AO84,"&gt;0")</f>
        <v/>
      </c>
      <c r="AQ84" s="89">
        <f>IF(AP84&gt;14,AVERAGE(K84:AO84),"")</f>
        <v/>
      </c>
      <c r="AR84" s="89">
        <f>IFERROR(VLOOKUP(A84,Climatologia!A:U,9+$E$2,FALSE),"")</f>
        <v/>
      </c>
      <c r="AS84" s="89">
        <f>IF(OR(AQ84="",AR84=""),"",IFERROR(AQ84-AR84,""))</f>
        <v/>
      </c>
      <c r="AT84" s="90">
        <f>IF(COUNT(K84:AO84)=0,"",MIN(K84:AO84))</f>
        <v/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/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4" s="92">
        <f>IF(OR(AT84="",AU84=""),"NA",IFERROR(AT84-AU84,"NA"))</f>
        <v/>
      </c>
    </row>
    <row r="85" ht="14.25" customHeight="1">
      <c r="A85" s="48" t="n">
        <v>28015070</v>
      </c>
      <c r="B85" s="52" t="inlineStr">
        <is>
          <t>Urumita Aut</t>
        </is>
      </c>
      <c r="C85" s="52" t="inlineStr">
        <is>
          <t>Area Operativa 05 - Magdalena-Cesar-Guajira-San Andrés</t>
        </is>
      </c>
      <c r="D85" s="53" t="n">
        <v>-73.01638889</v>
      </c>
      <c r="E85" s="53" t="n">
        <v>10.56638889</v>
      </c>
      <c r="F85" s="48" t="n">
        <v>255</v>
      </c>
      <c r="G85" s="46" t="n">
        <v>44</v>
      </c>
      <c r="H85" s="46" t="n">
        <v>44855</v>
      </c>
      <c r="I85" s="55" t="inlineStr">
        <is>
          <t>La Guajira</t>
        </is>
      </c>
      <c r="J85" s="55" t="inlineStr">
        <is>
          <t>Urumita</t>
        </is>
      </c>
      <c r="K85" s="51" t="n">
        <v>20</v>
      </c>
      <c r="L85" s="51" t="n">
        <v>19.8</v>
      </c>
      <c r="M85" s="51" t="n">
        <v>21.8</v>
      </c>
      <c r="N85" s="51" t="n">
        <v>20</v>
      </c>
      <c r="O85" s="51" t="n">
        <v>21.8</v>
      </c>
      <c r="P85" s="51" t="n">
        <v>21.6</v>
      </c>
      <c r="Q85" s="51" t="n">
        <v>20.6</v>
      </c>
      <c r="R85" s="51" t="n">
        <v>20.4</v>
      </c>
      <c r="S85" s="51" t="n">
        <v>22</v>
      </c>
      <c r="T85" s="51" t="n">
        <v>22.2</v>
      </c>
      <c r="U85" s="51" t="n">
        <v>20.8</v>
      </c>
      <c r="V85" s="51" t="n">
        <v>21.4</v>
      </c>
      <c r="W85" s="51" t="n">
        <v>21.4</v>
      </c>
      <c r="X85" s="51" t="n">
        <v>22.8</v>
      </c>
      <c r="Y85" s="51" t="n">
        <v>21</v>
      </c>
      <c r="Z85" s="111" t="n">
        <v>22</v>
      </c>
      <c r="AA85" s="51" t="n">
        <v>21.6</v>
      </c>
      <c r="AB85" s="51" t="n">
        <v>21.4</v>
      </c>
      <c r="AC85" s="51" t="n">
        <v>21</v>
      </c>
      <c r="AD85" s="51" t="n">
        <v>20.6</v>
      </c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88">
        <f>COUNTIF(K85:AO85,"&gt;0")</f>
        <v/>
      </c>
      <c r="AQ85" s="89">
        <f>IF(AP85&gt;14,AVERAGE(K85:AO85),"")</f>
        <v/>
      </c>
      <c r="AR85" s="89">
        <f>IFERROR(VLOOKUP(A85,Climatologia!A:U,9+$E$2,FALSE),"")</f>
        <v/>
      </c>
      <c r="AS85" s="89">
        <f>IF(OR(AQ85="",AR85=""),"",IFERROR(AQ85-AR85,""))</f>
        <v/>
      </c>
      <c r="AT85" s="90">
        <f>IF(COUNT(K85:AO85)=0,"",MIN(K85:AO85))</f>
        <v/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/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5" s="92">
        <f>IF(OR(AT85="",AU85=""),"NA",IFERROR(AT85-AU85,"NA"))</f>
        <v/>
      </c>
    </row>
    <row r="86" ht="14.25" customHeight="1">
      <c r="A86" s="48" t="n">
        <v>28035010</v>
      </c>
      <c r="B86" s="52" t="inlineStr">
        <is>
          <t>Villa Rosa</t>
        </is>
      </c>
      <c r="C86" s="52" t="inlineStr">
        <is>
          <t>Area Operativa 05 - Magdalena-Cesar-Guajira-San Andrés</t>
        </is>
      </c>
      <c r="D86" s="53" t="n">
        <v>-73.54738888999999</v>
      </c>
      <c r="E86" s="53" t="n">
        <v>10.19066667</v>
      </c>
      <c r="F86" s="48" t="n">
        <v>70</v>
      </c>
      <c r="G86" s="46" t="n">
        <v>20</v>
      </c>
      <c r="H86" s="46" t="n">
        <v>20001</v>
      </c>
      <c r="I86" s="55" t="inlineStr">
        <is>
          <t>Cesar</t>
        </is>
      </c>
      <c r="J86" s="55" t="inlineStr">
        <is>
          <t>Valledupar</t>
        </is>
      </c>
      <c r="K86" s="51" t="n">
        <v>23.4</v>
      </c>
      <c r="L86" s="51" t="n">
        <v/>
      </c>
      <c r="M86" s="51" t="n">
        <v>24.2</v>
      </c>
      <c r="N86" s="51" t="n">
        <v>24</v>
      </c>
      <c r="O86" s="51" t="n">
        <v>26.6</v>
      </c>
      <c r="P86" s="51" t="n">
        <v>25</v>
      </c>
      <c r="Q86" s="51" t="n">
        <v>24.2</v>
      </c>
      <c r="R86" s="51" t="n">
        <v>25.2</v>
      </c>
      <c r="S86" s="51" t="n">
        <v>27.2</v>
      </c>
      <c r="T86" s="51" t="n">
        <v>27.8</v>
      </c>
      <c r="U86" s="51" t="n">
        <v>25.6</v>
      </c>
      <c r="V86" s="51" t="n">
        <v>26.4</v>
      </c>
      <c r="W86" s="51" t="n">
        <v>26.2</v>
      </c>
      <c r="X86" s="51" t="n">
        <v>27.6</v>
      </c>
      <c r="Y86" s="51" t="n">
        <v>27.6</v>
      </c>
      <c r="Z86" s="111" t="n">
        <v>22.8</v>
      </c>
      <c r="AA86" s="51" t="n">
        <v>25.6</v>
      </c>
      <c r="AB86" s="51" t="n">
        <v>25.8</v>
      </c>
      <c r="AC86" s="51" t="n">
        <v>26.4</v>
      </c>
      <c r="AD86" s="51" t="n">
        <v>24</v>
      </c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88">
        <f>COUNTIF(K86:AO86,"&gt;0")</f>
        <v/>
      </c>
      <c r="AQ86" s="89">
        <f>IF(AP86&gt;14,AVERAGE(K86:AO86),"")</f>
        <v/>
      </c>
      <c r="AR86" s="89">
        <f>IFERROR(VLOOKUP(A86,Climatologia!A:U,9+$E$2,FALSE),"")</f>
        <v/>
      </c>
      <c r="AS86" s="89">
        <f>IF(OR(AQ86="",AR86=""),"",IFERROR(AQ86-AR86,""))</f>
        <v/>
      </c>
      <c r="AT86" s="90">
        <f>IF(COUNT(K86:AO86)=0,"",MIN(K86:AO86))</f>
        <v/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/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6" s="92">
        <f>IF(OR(AT86="",AU86=""),"NA",IFERROR(AT86-AU86,"NA"))</f>
        <v/>
      </c>
    </row>
    <row r="87" ht="14.25" customHeight="1">
      <c r="A87" s="48" t="n">
        <v>28035020</v>
      </c>
      <c r="B87" s="52" t="inlineStr">
        <is>
          <t>El Callao</t>
        </is>
      </c>
      <c r="C87" s="52" t="inlineStr">
        <is>
          <t>Area Operativa 05 - Magdalena-Cesar-Guajira-San Andrés</t>
        </is>
      </c>
      <c r="D87" s="53" t="n">
        <v>-73.31944444</v>
      </c>
      <c r="E87" s="53" t="n">
        <v>10.36305556</v>
      </c>
      <c r="F87" s="48" t="n">
        <v>110</v>
      </c>
      <c r="G87" s="46" t="n">
        <v>20</v>
      </c>
      <c r="H87" s="46" t="n">
        <v>20001</v>
      </c>
      <c r="I87" s="55" t="inlineStr">
        <is>
          <t>Cesar</t>
        </is>
      </c>
      <c r="J87" s="55" t="inlineStr">
        <is>
          <t>Valledupar</t>
        </is>
      </c>
      <c r="K87" s="51" t="n">
        <v>24</v>
      </c>
      <c r="L87" s="51" t="n">
        <v>24.2</v>
      </c>
      <c r="M87" s="51" t="n">
        <v>23.6</v>
      </c>
      <c r="N87" s="51" t="n">
        <v>22.8</v>
      </c>
      <c r="O87" s="51" t="n">
        <v>25.6</v>
      </c>
      <c r="P87" s="51" t="n">
        <v>25</v>
      </c>
      <c r="Q87" s="51" t="n">
        <v>23.4</v>
      </c>
      <c r="R87" s="51" t="n">
        <v>26.6</v>
      </c>
      <c r="S87" s="51" t="n">
        <v>28.4</v>
      </c>
      <c r="T87" s="51" t="n">
        <v>27.4</v>
      </c>
      <c r="U87" s="51" t="n">
        <v>25.2</v>
      </c>
      <c r="V87" s="51" t="n">
        <v>26.6</v>
      </c>
      <c r="W87" s="51" t="n">
        <v>27.8</v>
      </c>
      <c r="X87" s="51" t="n">
        <v>27.6</v>
      </c>
      <c r="Y87" s="51" t="n">
        <v>27.6</v>
      </c>
      <c r="Z87" s="111" t="n">
        <v>25.6</v>
      </c>
      <c r="AA87" s="51" t="n">
        <v>25.6</v>
      </c>
      <c r="AB87" s="51" t="n">
        <v>27.4</v>
      </c>
      <c r="AC87" s="51" t="n">
        <v>26.4</v>
      </c>
      <c r="AD87" s="51" t="n">
        <v/>
      </c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88">
        <f>COUNTIF(K87:AO87,"&gt;0")</f>
        <v/>
      </c>
      <c r="AQ87" s="89">
        <f>IF(AP87&gt;14,AVERAGE(K87:AO87),"")</f>
        <v/>
      </c>
      <c r="AR87" s="89">
        <f>IFERROR(VLOOKUP(A87,Climatologia!A:U,9+$E$2,FALSE),"")</f>
        <v/>
      </c>
      <c r="AS87" s="89">
        <f>IF(OR(AQ87="",AR87=""),"",IFERROR(AQ87-AR87,""))</f>
        <v/>
      </c>
      <c r="AT87" s="90">
        <f>IF(COUNT(K87:AO87)=0,"",MIN(K87:AO87))</f>
        <v/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/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7" s="92">
        <f>IF(OR(AT87="",AU87=""),"NA",IFERROR(AT87-AU87,"NA"))</f>
        <v/>
      </c>
    </row>
    <row r="88" ht="14.25" customFormat="1" customHeight="1" s="118">
      <c r="A88" s="48" t="n">
        <v>25025330</v>
      </c>
      <c r="B88" s="52" t="inlineStr">
        <is>
          <t>Colegio Agropecuario Pailitas</t>
        </is>
      </c>
      <c r="C88" s="52" t="inlineStr">
        <is>
          <t>Area Operativa 05 - Magdalena-Cesar-Guajira-San Andrés</t>
        </is>
      </c>
      <c r="D88" s="53" t="n">
        <v>-73.63008333000001</v>
      </c>
      <c r="E88" s="53" t="n">
        <v>8.954222222</v>
      </c>
      <c r="F88" s="48" t="n">
        <v>50</v>
      </c>
      <c r="G88" s="46" t="n">
        <v>20</v>
      </c>
      <c r="H88" s="46" t="n">
        <v>20517</v>
      </c>
      <c r="I88" s="55" t="inlineStr">
        <is>
          <t>Cesar</t>
        </is>
      </c>
      <c r="J88" s="55" t="inlineStr">
        <is>
          <t>Pailitas</t>
        </is>
      </c>
      <c r="K88" s="116" t="n">
        <v>24.8</v>
      </c>
      <c r="L88" s="116" t="n">
        <v>24.2</v>
      </c>
      <c r="M88" s="116" t="n">
        <v>24.2</v>
      </c>
      <c r="N88" s="116" t="n">
        <v>25.8</v>
      </c>
      <c r="O88" s="116" t="n">
        <v>25.6</v>
      </c>
      <c r="P88" s="116" t="n">
        <v>26.2</v>
      </c>
      <c r="Q88" s="116" t="n">
        <v>25.2</v>
      </c>
      <c r="R88" s="116" t="n">
        <v>26.2</v>
      </c>
      <c r="S88" s="116" t="n">
        <v>26.8</v>
      </c>
      <c r="T88" s="116" t="n">
        <v>27.4</v>
      </c>
      <c r="U88" s="116" t="n">
        <v>25</v>
      </c>
      <c r="V88" s="116" t="n">
        <v>25.8</v>
      </c>
      <c r="W88" s="116" t="n">
        <v>27.2</v>
      </c>
      <c r="X88" s="116" t="n">
        <v>25.6</v>
      </c>
      <c r="Y88" s="116" t="n">
        <v>24.6</v>
      </c>
      <c r="Z88" s="117" t="n">
        <v>24.6</v>
      </c>
      <c r="AA88" s="116" t="n">
        <v>25.4</v>
      </c>
      <c r="AB88" s="116" t="n">
        <v>27</v>
      </c>
      <c r="AC88" s="116" t="n">
        <v>27.8</v>
      </c>
      <c r="AD88" s="116" t="n">
        <v>25.6</v>
      </c>
      <c r="AE88" s="116" t="n"/>
      <c r="AF88" s="116" t="n"/>
      <c r="AG88" s="116" t="n"/>
      <c r="AH88" s="116" t="n"/>
      <c r="AI88" s="116" t="n"/>
      <c r="AJ88" s="116" t="n"/>
      <c r="AK88" s="116" t="n"/>
      <c r="AL88" s="116" t="n"/>
      <c r="AM88" s="116" t="n"/>
      <c r="AN88" s="116" t="n"/>
      <c r="AO88" s="116" t="n"/>
      <c r="AP88" s="88">
        <f>COUNTIF(K88:AO88,"&gt;0")</f>
        <v/>
      </c>
      <c r="AQ88" s="89">
        <f>IF(AP88&gt;14,AVERAGE(K88:AO88),"")</f>
        <v/>
      </c>
      <c r="AR88" s="89">
        <f>IFERROR(VLOOKUP(A88,Climatologia!A:U,9+$E$2,FALSE),"")</f>
        <v/>
      </c>
      <c r="AS88" s="89">
        <f>IF(OR(AQ88="",AR88=""),"",IFERROR(AQ88-AR88,""))</f>
        <v/>
      </c>
      <c r="AT88" s="90">
        <f>IF(COUNT(K88:AO88)=0,"",MIN(K88:AO88))</f>
        <v/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/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8" s="92">
        <f>IF(OR(AT88="",AU88=""),"NA",IFERROR(AT88-AU88,"NA"))</f>
        <v/>
      </c>
      <c r="AX88" s="74" t="n"/>
    </row>
    <row r="89" ht="14.25" customHeight="1">
      <c r="A89" s="48" t="n">
        <v>23125100</v>
      </c>
      <c r="B89" s="52" t="inlineStr">
        <is>
          <t>Buenavista</t>
        </is>
      </c>
      <c r="C89" s="52" t="inlineStr">
        <is>
          <t>Area Operativa 06 - Boyacá-Casanare-Vichada</t>
        </is>
      </c>
      <c r="D89" s="53" t="n">
        <v>-73.94311111</v>
      </c>
      <c r="E89" s="53" t="n">
        <v>5.514916667</v>
      </c>
      <c r="F89" s="48" t="n">
        <v>2200</v>
      </c>
      <c r="G89" s="46" t="n">
        <v>15</v>
      </c>
      <c r="H89" s="46" t="n">
        <v>15109</v>
      </c>
      <c r="I89" s="55" t="inlineStr">
        <is>
          <t>Boyacá</t>
        </is>
      </c>
      <c r="J89" s="55" t="inlineStr">
        <is>
          <t>Buenavista</t>
        </is>
      </c>
      <c r="K89" s="51" t="n">
        <v>11.2</v>
      </c>
      <c r="L89" s="51" t="n">
        <v>10.2</v>
      </c>
      <c r="M89" s="51" t="n">
        <v>11</v>
      </c>
      <c r="N89" s="51" t="n">
        <v>11</v>
      </c>
      <c r="O89" s="51" t="n">
        <v>13.2</v>
      </c>
      <c r="P89" s="51" t="n">
        <v>11.6</v>
      </c>
      <c r="Q89" s="51" t="n">
        <v>11.8</v>
      </c>
      <c r="R89" s="51" t="n">
        <v>10.4</v>
      </c>
      <c r="S89" s="51" t="n">
        <v>12</v>
      </c>
      <c r="T89" s="51" t="n">
        <v>12.4</v>
      </c>
      <c r="U89" s="51" t="n">
        <v>13</v>
      </c>
      <c r="V89" s="51" t="n">
        <v>11.2</v>
      </c>
      <c r="W89" s="51" t="n">
        <v>11</v>
      </c>
      <c r="X89" s="51" t="n">
        <v>14</v>
      </c>
      <c r="Y89" s="51" t="n">
        <v>13</v>
      </c>
      <c r="Z89" s="111" t="n">
        <v>11.4</v>
      </c>
      <c r="AA89" s="51" t="n">
        <v>13.8</v>
      </c>
      <c r="AB89" s="51" t="n">
        <v>13</v>
      </c>
      <c r="AC89" s="51" t="n">
        <v>12</v>
      </c>
      <c r="AD89" s="51" t="n">
        <v>10.2</v>
      </c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88">
        <f>COUNTIF(K89:AO89,"&gt;0")</f>
        <v/>
      </c>
      <c r="AQ89" s="89">
        <f>IF(AP89&gt;14,AVERAGE(K89:AO89),"")</f>
        <v/>
      </c>
      <c r="AR89" s="89">
        <f>IFERROR(VLOOKUP(A89,Climatologia!A:U,9+$E$2,FALSE),"")</f>
        <v/>
      </c>
      <c r="AS89" s="89">
        <f>IF(OR(AQ89="",AR89=""),"",IFERROR(AQ89-AR89,""))</f>
        <v/>
      </c>
      <c r="AT89" s="90">
        <f>IF(COUNT(K89:AO89)=0,"",MIN(K89:AO89))</f>
        <v/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/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9" s="92">
        <f>IF(OR(AT89="",AU89=""),"NA",IFERROR(AT89-AU89,"NA"))</f>
        <v/>
      </c>
    </row>
    <row r="90" ht="14.25" customHeight="1">
      <c r="A90" s="48" t="n">
        <v>23125140</v>
      </c>
      <c r="B90" s="52" t="inlineStr">
        <is>
          <t>Aeropuerto Furatena  - Aut</t>
        </is>
      </c>
      <c r="C90" s="52" t="inlineStr">
        <is>
          <t>Area Operativa 06 - Boyacá-Casanare-Vichada</t>
        </is>
      </c>
      <c r="D90" s="53" t="n">
        <v>-74.18241666999999</v>
      </c>
      <c r="E90" s="53" t="n">
        <v>5.520833333</v>
      </c>
      <c r="F90" s="48" t="n">
        <v>1250</v>
      </c>
      <c r="G90" s="46" t="n">
        <v>15</v>
      </c>
      <c r="H90" s="46" t="n">
        <v>15580</v>
      </c>
      <c r="I90" s="55" t="inlineStr">
        <is>
          <t>Boyacá</t>
        </is>
      </c>
      <c r="J90" s="55" t="inlineStr">
        <is>
          <t>Quípama</t>
        </is>
      </c>
      <c r="K90" s="51" t="n">
        <v>19.2</v>
      </c>
      <c r="L90" s="51" t="n">
        <v>18.6</v>
      </c>
      <c r="M90" s="51" t="n">
        <v>19</v>
      </c>
      <c r="N90" s="51" t="n">
        <v>19.2</v>
      </c>
      <c r="O90" s="51" t="n">
        <v>19</v>
      </c>
      <c r="P90" s="51" t="n">
        <v>19.4</v>
      </c>
      <c r="Q90" s="51" t="n">
        <v>17.6</v>
      </c>
      <c r="R90" s="51" t="n">
        <v>18.4</v>
      </c>
      <c r="S90" s="51" t="n">
        <v>19.9</v>
      </c>
      <c r="T90" s="51" t="n">
        <v>18.4</v>
      </c>
      <c r="U90" s="51" t="n">
        <v>19</v>
      </c>
      <c r="V90" s="51" t="n">
        <v>19.2</v>
      </c>
      <c r="W90" s="51" t="n">
        <v>19.4</v>
      </c>
      <c r="X90" s="51" t="n">
        <v>19.6</v>
      </c>
      <c r="Y90" s="51" t="n">
        <v>19.8</v>
      </c>
      <c r="Z90" s="111" t="n">
        <v>19.4</v>
      </c>
      <c r="AA90" s="51" t="n">
        <v>19</v>
      </c>
      <c r="AB90" s="51" t="n">
        <v>19.2</v>
      </c>
      <c r="AC90" s="51" t="n">
        <v>18.4</v>
      </c>
      <c r="AD90" s="51" t="n">
        <v>19</v>
      </c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88">
        <f>COUNTIF(K90:AO90,"&gt;0")</f>
        <v/>
      </c>
      <c r="AQ90" s="89">
        <f>IF(AP90&gt;14,AVERAGE(K90:AO90),"")</f>
        <v/>
      </c>
      <c r="AR90" s="89">
        <f>IFERROR(VLOOKUP(A90,Climatologia!A:U,9+$E$2,FALSE),"")</f>
        <v/>
      </c>
      <c r="AS90" s="89">
        <f>IF(OR(AQ90="",AR90=""),"",IFERROR(AQ90-AR90,""))</f>
        <v/>
      </c>
      <c r="AT90" s="90">
        <f>IF(COUNT(K90:AO90)=0,"",MIN(K90:AO90))</f>
        <v/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/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0" s="92">
        <f>IF(OR(AT90="",AU90=""),"NA",IFERROR(AT90-AU90,"NA"))</f>
        <v/>
      </c>
    </row>
    <row r="91" ht="14.25" customHeight="1">
      <c r="A91" s="48" t="n">
        <v>24015090</v>
      </c>
      <c r="B91" s="52" t="inlineStr">
        <is>
          <t>Institucion Agricola Santa Sofia</t>
        </is>
      </c>
      <c r="C91" s="52" t="inlineStr">
        <is>
          <t>Area Operativa 06 - Boyacá-Casanare-Vichada</t>
        </is>
      </c>
      <c r="D91" s="53" t="n">
        <v>-73.60227777999999</v>
      </c>
      <c r="E91" s="53" t="n">
        <v>5.710666667</v>
      </c>
      <c r="F91" s="48" t="n">
        <v>2300</v>
      </c>
      <c r="G91" s="46" t="n">
        <v>15</v>
      </c>
      <c r="H91" s="46" t="n">
        <v>15696</v>
      </c>
      <c r="I91" s="55" t="inlineStr">
        <is>
          <t>Boyacá</t>
        </is>
      </c>
      <c r="J91" s="55" t="inlineStr">
        <is>
          <t>Santa Sofía</t>
        </is>
      </c>
      <c r="K91" s="51" t="n">
        <v>12.2</v>
      </c>
      <c r="L91" s="51" t="n">
        <v>10.2</v>
      </c>
      <c r="M91" s="51" t="n">
        <v>10.2</v>
      </c>
      <c r="N91" s="51" t="n">
        <v>10.8</v>
      </c>
      <c r="O91" s="51" t="n">
        <v/>
      </c>
      <c r="P91" s="51" t="n">
        <v/>
      </c>
      <c r="Q91" s="51" t="n">
        <v>12</v>
      </c>
      <c r="R91" s="51" t="n">
        <v>9</v>
      </c>
      <c r="S91" s="51" t="n">
        <v>12.4</v>
      </c>
      <c r="T91" s="51" t="n">
        <v>12.4</v>
      </c>
      <c r="U91" s="51" t="n">
        <v>12.4</v>
      </c>
      <c r="V91" s="51" t="n">
        <v>11.8</v>
      </c>
      <c r="W91" s="51" t="n">
        <v>11.8</v>
      </c>
      <c r="X91" s="51" t="n">
        <v/>
      </c>
      <c r="Y91" s="51" t="n">
        <v>12</v>
      </c>
      <c r="Z91" s="111" t="n">
        <v>11.8</v>
      </c>
      <c r="AA91" s="51" t="n">
        <v>13.8</v>
      </c>
      <c r="AB91" s="51" t="n">
        <v>11</v>
      </c>
      <c r="AC91" s="51" t="n">
        <v>11.8</v>
      </c>
      <c r="AD91" s="51" t="n">
        <v>11</v>
      </c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88">
        <f>COUNTIF(K91:AO91,"&gt;0")</f>
        <v/>
      </c>
      <c r="AQ91" s="89">
        <f>IF(AP91&gt;14,AVERAGE(K91:AO91),"")</f>
        <v/>
      </c>
      <c r="AR91" s="89">
        <f>IFERROR(VLOOKUP(A91,Climatologia!A:U,9+$E$2,FALSE),"")</f>
        <v/>
      </c>
      <c r="AS91" s="89">
        <f>IF(OR(AQ91="",AR91=""),"",IFERROR(AQ91-AR91,""))</f>
        <v/>
      </c>
      <c r="AT91" s="90">
        <f>IF(COUNT(K91:AO91)=0,"",MIN(K91:AO91))</f>
        <v/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/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1" s="92">
        <f>IF(OR(AT91="",AU91=""),"NA",IFERROR(AT91-AU91,"NA"))</f>
        <v/>
      </c>
    </row>
    <row r="92" ht="14.25" customHeight="1">
      <c r="A92" s="48" t="n">
        <v>24015220</v>
      </c>
      <c r="B92" s="52" t="inlineStr">
        <is>
          <t>Villa Carmen</t>
        </is>
      </c>
      <c r="C92" s="52" t="inlineStr">
        <is>
          <t>Area Operativa 06 - Boyacá-Casanare-Vichada</t>
        </is>
      </c>
      <c r="D92" s="53" t="n">
        <v>-73.49577778</v>
      </c>
      <c r="E92" s="53" t="n">
        <v>5.509388889</v>
      </c>
      <c r="F92" s="48" t="n">
        <v>2600</v>
      </c>
      <c r="G92" s="46" t="n">
        <v>15</v>
      </c>
      <c r="H92" s="46" t="n">
        <v>15646</v>
      </c>
      <c r="I92" s="55" t="inlineStr">
        <is>
          <t>Boyacá</t>
        </is>
      </c>
      <c r="J92" s="55" t="inlineStr">
        <is>
          <t>Samacá</t>
        </is>
      </c>
      <c r="K92" s="51" t="n">
        <v>9.4</v>
      </c>
      <c r="L92" s="51" t="n">
        <v>10.4</v>
      </c>
      <c r="M92" s="51" t="n">
        <v>9.6</v>
      </c>
      <c r="N92" s="51" t="n">
        <v>9.4</v>
      </c>
      <c r="O92" s="51" t="n">
        <v>10</v>
      </c>
      <c r="P92" s="51" t="n">
        <v>8.800000000000001</v>
      </c>
      <c r="Q92" s="51" t="n">
        <v>8.199999999999999</v>
      </c>
      <c r="R92" s="51" t="n">
        <v>6</v>
      </c>
      <c r="S92" s="51" t="n">
        <v>11.4</v>
      </c>
      <c r="T92" s="51" t="n">
        <v>10.4</v>
      </c>
      <c r="U92" s="51" t="n">
        <v>9.800000000000001</v>
      </c>
      <c r="V92" s="51" t="n">
        <v>10</v>
      </c>
      <c r="W92" s="51" t="n">
        <v>10.4</v>
      </c>
      <c r="X92" s="51" t="n">
        <v>10.6</v>
      </c>
      <c r="Y92" s="51" t="n">
        <v>9.199999999999999</v>
      </c>
      <c r="Z92" s="111" t="n">
        <v>11</v>
      </c>
      <c r="AA92" s="51" t="n">
        <v>10.2</v>
      </c>
      <c r="AB92" s="51" t="n">
        <v>10.8</v>
      </c>
      <c r="AC92" s="51" t="n">
        <v>9.800000000000001</v>
      </c>
      <c r="AD92" s="51" t="n">
        <v>7.8</v>
      </c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88">
        <f>COUNTIF(K92:AO92,"&gt;0")</f>
        <v/>
      </c>
      <c r="AQ92" s="89">
        <f>IF(AP92&gt;14,AVERAGE(K92:AO92),"")</f>
        <v/>
      </c>
      <c r="AR92" s="89">
        <f>IFERROR(VLOOKUP(A92,Climatologia!A:U,9+$E$2,FALSE),"")</f>
        <v/>
      </c>
      <c r="AS92" s="89">
        <f>IF(OR(AQ92="",AR92=""),"",IFERROR(AQ92-AR92,""))</f>
        <v/>
      </c>
      <c r="AT92" s="90">
        <f>IF(COUNT(K92:AO92)=0,"",MIN(K92:AO92))</f>
        <v/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/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2" s="92">
        <f>IF(OR(AT92="",AU92=""),"NA",IFERROR(AT92-AU92,"NA"))</f>
        <v/>
      </c>
    </row>
    <row r="93" ht="14.25" customHeight="1">
      <c r="A93" s="48" t="n">
        <v>24015300</v>
      </c>
      <c r="B93" s="52" t="inlineStr">
        <is>
          <t>Villa De Leiva  - Aut</t>
        </is>
      </c>
      <c r="C93" s="52" t="inlineStr">
        <is>
          <t>Area Operativa 06 - Boyacá-Casanare-Vichada</t>
        </is>
      </c>
      <c r="D93" s="53" t="n">
        <v>-73.51774</v>
      </c>
      <c r="E93" s="53" t="n">
        <v>5.64326</v>
      </c>
      <c r="F93" s="48" t="n">
        <v>2174</v>
      </c>
      <c r="G93" s="46" t="n">
        <v>15</v>
      </c>
      <c r="H93" s="46" t="n">
        <v>15407</v>
      </c>
      <c r="I93" s="55" t="inlineStr">
        <is>
          <t>Boyacá</t>
        </is>
      </c>
      <c r="J93" s="55" t="inlineStr">
        <is>
          <t>Villa De Leyva</t>
        </is>
      </c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11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88">
        <f>COUNTIF(K93:AO93,"&gt;0")</f>
        <v/>
      </c>
      <c r="AQ93" s="89">
        <f>IF(AP93&gt;14,AVERAGE(K93:AO93),"")</f>
        <v/>
      </c>
      <c r="AR93" s="89">
        <f>IFERROR(VLOOKUP(A93,Climatologia!A:U,9+$E$2,FALSE),"")</f>
        <v/>
      </c>
      <c r="AS93" s="89">
        <f>IF(OR(AQ93="",AR93=""),"",IFERROR(AQ93-AR93,""))</f>
        <v/>
      </c>
      <c r="AT93" s="90">
        <f>IF(COUNT(K93:AO93)=0,"",MIN(K93:AO93))</f>
        <v/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>
        <f>IF(OR(AT93="",AU93=""),"NA",IFERROR(AT93-AU93,"NA"))</f>
        <v/>
      </c>
    </row>
    <row r="94" ht="14.25" customHeight="1">
      <c r="A94" s="48" t="n">
        <v>24015360</v>
      </c>
      <c r="B94" s="52" t="inlineStr">
        <is>
          <t>Saboya La Granja</t>
        </is>
      </c>
      <c r="C94" s="52" t="inlineStr">
        <is>
          <t>Area Operativa 06 - Boyacá-Casanare-Vichada</t>
        </is>
      </c>
      <c r="D94" s="53" t="n">
        <v>-73.759</v>
      </c>
      <c r="E94" s="53" t="n">
        <v>5.696222222</v>
      </c>
      <c r="F94" s="48" t="n">
        <v>2550</v>
      </c>
      <c r="G94" s="46" t="n">
        <v>15</v>
      </c>
      <c r="H94" s="46" t="n">
        <v>15632</v>
      </c>
      <c r="I94" s="55" t="inlineStr">
        <is>
          <t>Boyacá</t>
        </is>
      </c>
      <c r="J94" s="55" t="inlineStr">
        <is>
          <t>Saboyá</t>
        </is>
      </c>
      <c r="K94" s="51" t="n">
        <v>7.2</v>
      </c>
      <c r="L94" s="51" t="n">
        <v>6.2</v>
      </c>
      <c r="M94" s="51" t="n">
        <v>4.4</v>
      </c>
      <c r="N94" s="51" t="n">
        <v>4.2</v>
      </c>
      <c r="O94" s="51" t="n">
        <v>7.2</v>
      </c>
      <c r="P94" s="51" t="n">
        <v>8.4</v>
      </c>
      <c r="Q94" s="51" t="n">
        <v>2.2</v>
      </c>
      <c r="R94" s="51" t="n">
        <v>4.4</v>
      </c>
      <c r="S94" s="51" t="n">
        <v>3.2</v>
      </c>
      <c r="T94" s="51" t="n">
        <v>7.4</v>
      </c>
      <c r="U94" s="51" t="n">
        <v>3.2</v>
      </c>
      <c r="V94" s="51" t="n">
        <v>7.2</v>
      </c>
      <c r="W94" s="51" t="n">
        <v>8.199999999999999</v>
      </c>
      <c r="X94" s="51" t="n">
        <v>4.4</v>
      </c>
      <c r="Y94" s="51" t="n">
        <v>4.8</v>
      </c>
      <c r="Z94" s="111" t="n">
        <v>5</v>
      </c>
      <c r="AA94" s="51" t="n">
        <v>6</v>
      </c>
      <c r="AB94" s="51" t="n">
        <v>7.2</v>
      </c>
      <c r="AC94" s="51" t="n">
        <v>8.4</v>
      </c>
      <c r="AD94" s="51" t="n">
        <v>10.2</v>
      </c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88">
        <f>COUNTIF(K94:AO94,"&gt;0")</f>
        <v/>
      </c>
      <c r="AQ94" s="89">
        <f>IF(AP94&gt;14,AVERAGE(K94:AO94),"")</f>
        <v/>
      </c>
      <c r="AR94" s="89">
        <f>IFERROR(VLOOKUP(A94,Climatologia!A:U,9+$E$2,FALSE),"")</f>
        <v/>
      </c>
      <c r="AS94" s="89">
        <f>IF(OR(AQ94="",AR94=""),"",IFERROR(AQ94-AR94,""))</f>
        <v/>
      </c>
      <c r="AT94" s="90">
        <f>IF(COUNT(K94:AO94)=0,"",MIN(K94:AO94))</f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>
        <f>IF(OR(AT94="",AU94=""),"NA",IFERROR(AT94-AU94,"NA"))</f>
        <v/>
      </c>
    </row>
    <row r="95" ht="14.25" customHeight="1">
      <c r="A95" s="48" t="n">
        <v>24035040</v>
      </c>
      <c r="B95" s="52" t="inlineStr">
        <is>
          <t>La Copa</t>
        </is>
      </c>
      <c r="C95" s="52" t="inlineStr">
        <is>
          <t>Area Operativa 06 - Boyacá-Casanare-Vichada</t>
        </is>
      </c>
      <c r="D95" s="53" t="n">
        <v>-73.208777778</v>
      </c>
      <c r="E95" s="53" t="n">
        <v>5.579194444</v>
      </c>
      <c r="F95" s="48" t="n">
        <v>2700</v>
      </c>
      <c r="G95" s="46" t="n">
        <v>15</v>
      </c>
      <c r="H95" s="46" t="n">
        <v>15814</v>
      </c>
      <c r="I95" s="55" t="inlineStr">
        <is>
          <t>Boyacá</t>
        </is>
      </c>
      <c r="J95" s="55" t="inlineStr">
        <is>
          <t>Toca</t>
        </is>
      </c>
      <c r="K95" s="51" t="n">
        <v>3.2</v>
      </c>
      <c r="L95" s="51" t="n">
        <v>6.4</v>
      </c>
      <c r="M95" s="51" t="n">
        <v>5.6</v>
      </c>
      <c r="N95" s="51" t="n">
        <v>6.8</v>
      </c>
      <c r="O95" s="51" t="n">
        <v>4.4</v>
      </c>
      <c r="P95" s="51" t="n">
        <v>6.2</v>
      </c>
      <c r="Q95" s="51" t="n">
        <v>5</v>
      </c>
      <c r="R95" s="51" t="n">
        <v>7</v>
      </c>
      <c r="S95" s="51" t="n">
        <v>6.8</v>
      </c>
      <c r="T95" s="51" t="n">
        <v>8</v>
      </c>
      <c r="U95" s="51" t="n">
        <v>9</v>
      </c>
      <c r="V95" s="51" t="n">
        <v>5.2</v>
      </c>
      <c r="W95" s="51" t="n">
        <v>5.4</v>
      </c>
      <c r="X95" s="51" t="n">
        <v>5.2</v>
      </c>
      <c r="Y95" s="51" t="n">
        <v>6</v>
      </c>
      <c r="Z95" s="111" t="n">
        <v>9.199999999999999</v>
      </c>
      <c r="AA95" s="51" t="n">
        <v>6.6</v>
      </c>
      <c r="AB95" s="51" t="n">
        <v>7</v>
      </c>
      <c r="AC95" s="51" t="n">
        <v>5.4</v>
      </c>
      <c r="AD95" s="51" t="n">
        <v>5.2</v>
      </c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88">
        <f>COUNTIF(K95:AO95,"&gt;0")</f>
        <v/>
      </c>
      <c r="AQ95" s="89">
        <f>IF(AP95&gt;14,AVERAGE(K95:AO95),"")</f>
        <v/>
      </c>
      <c r="AR95" s="89">
        <f>IFERROR(VLOOKUP(A95,Climatologia!A:U,9+$E$2,FALSE),"")</f>
        <v/>
      </c>
      <c r="AS95" s="89">
        <f>IF(OR(AQ95="",AR95=""),"",IFERROR(AQ95-AR95,""))</f>
        <v/>
      </c>
      <c r="AT95" s="90">
        <f>IF(COUNT(K95:AO95)=0,"",MIN(K95:AO95))</f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/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5" s="92">
        <f>IF(OR(AT95="",AU95=""),"NA",IFERROR(AT95-AU95,"NA"))</f>
        <v/>
      </c>
    </row>
    <row r="96" ht="14.25" customHeight="1">
      <c r="A96" s="48" t="n">
        <v>24035070</v>
      </c>
      <c r="B96" s="52" t="inlineStr">
        <is>
          <t>Guican</t>
        </is>
      </c>
      <c r="C96" s="52" t="inlineStr">
        <is>
          <t>Area Operativa 06 - Boyacá-Casanare-Vichada</t>
        </is>
      </c>
      <c r="D96" s="53" t="n">
        <v>-72.40919443999999</v>
      </c>
      <c r="E96" s="53" t="n">
        <v>6.463472222</v>
      </c>
      <c r="F96" s="48" t="n">
        <v>2963</v>
      </c>
      <c r="G96" s="46" t="n">
        <v>15</v>
      </c>
      <c r="H96" s="46" t="n">
        <v>15332</v>
      </c>
      <c r="I96" s="55" t="inlineStr">
        <is>
          <t>Boyacá</t>
        </is>
      </c>
      <c r="J96" s="55" t="inlineStr">
        <is>
          <t>Güicán De La Sierra</t>
        </is>
      </c>
      <c r="K96" s="51" t="n">
        <v>7.9</v>
      </c>
      <c r="L96" s="51" t="n">
        <v>9</v>
      </c>
      <c r="M96" s="51" t="n">
        <v>9.6</v>
      </c>
      <c r="N96" s="51" t="n">
        <v>8</v>
      </c>
      <c r="O96" s="51" t="n">
        <v>7.6</v>
      </c>
      <c r="P96" s="51" t="n">
        <v>8</v>
      </c>
      <c r="Q96" s="51" t="n">
        <v>7</v>
      </c>
      <c r="R96" s="51" t="n">
        <v>7.4</v>
      </c>
      <c r="S96" s="51" t="n">
        <v>8</v>
      </c>
      <c r="T96" s="51" t="n">
        <v>8.800000000000001</v>
      </c>
      <c r="U96" s="51" t="n">
        <v>9.199999999999999</v>
      </c>
      <c r="V96" s="51" t="n">
        <v>8</v>
      </c>
      <c r="W96" s="51" t="n">
        <v>9</v>
      </c>
      <c r="X96" s="51" t="n">
        <v>7.4</v>
      </c>
      <c r="Y96" s="51" t="n">
        <v>8.199999999999999</v>
      </c>
      <c r="Z96" s="111" t="n">
        <v>9</v>
      </c>
      <c r="AA96" s="51" t="n">
        <v/>
      </c>
      <c r="AB96" s="51" t="n">
        <v>8.6</v>
      </c>
      <c r="AC96" s="51" t="n">
        <v>9.4</v>
      </c>
      <c r="AD96" s="51" t="n">
        <v>9</v>
      </c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88">
        <f>COUNTIF(K96:AO96,"&gt;0")</f>
        <v/>
      </c>
      <c r="AQ96" s="89">
        <f>IF(AP96&gt;14,AVERAGE(K96:AO96),"")</f>
        <v/>
      </c>
      <c r="AR96" s="89">
        <f>IFERROR(VLOOKUP(A96,Climatologia!A:U,9+$E$2,FALSE),"")</f>
        <v/>
      </c>
      <c r="AS96" s="89">
        <f>IF(OR(AQ96="",AR96=""),"",IFERROR(AQ96-AR96,""))</f>
        <v/>
      </c>
      <c r="AT96" s="90">
        <f>IF(COUNT(K96:AO96)=0,"",MIN(K96:AO96))</f>
        <v/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/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6" s="92">
        <f>IF(OR(AT96="",AU96=""),"NA",IFERROR(AT96-AU96,"NA"))</f>
        <v/>
      </c>
    </row>
    <row r="97" ht="14.25" customHeight="1">
      <c r="A97" s="48" t="n">
        <v>24035120</v>
      </c>
      <c r="B97" s="52" t="inlineStr">
        <is>
          <t>Surbata Bonza</t>
        </is>
      </c>
      <c r="C97" s="52" t="inlineStr">
        <is>
          <t>Area Operativa 06 - Boyacá-Casanare-Vichada</t>
        </is>
      </c>
      <c r="D97" s="53" t="n">
        <v>-73.07447222</v>
      </c>
      <c r="E97" s="53" t="n">
        <v>5.802444444</v>
      </c>
      <c r="F97" s="48" t="n">
        <v>2485</v>
      </c>
      <c r="G97" s="46" t="n">
        <v>15</v>
      </c>
      <c r="H97" s="46" t="n">
        <v>15238</v>
      </c>
      <c r="I97" s="55" t="inlineStr">
        <is>
          <t>Boyacá</t>
        </is>
      </c>
      <c r="J97" s="55" t="inlineStr">
        <is>
          <t>Duitama</t>
        </is>
      </c>
      <c r="K97" s="51" t="n">
        <v>4.8</v>
      </c>
      <c r="L97" s="51" t="n">
        <v>7</v>
      </c>
      <c r="M97" s="51" t="n">
        <v>4.8</v>
      </c>
      <c r="N97" s="51" t="n">
        <v>5.4</v>
      </c>
      <c r="O97" s="51" t="n">
        <v>3.8</v>
      </c>
      <c r="P97" s="51" t="n">
        <v>7.8</v>
      </c>
      <c r="Q97" s="51" t="n">
        <v>4.8</v>
      </c>
      <c r="R97" s="51" t="n">
        <v>3</v>
      </c>
      <c r="S97" s="51" t="n">
        <v>4.8</v>
      </c>
      <c r="T97" s="51" t="n">
        <v>9.199999999999999</v>
      </c>
      <c r="U97" s="51" t="n">
        <v>9.4</v>
      </c>
      <c r="V97" s="51" t="n">
        <v>5.4</v>
      </c>
      <c r="W97" s="51" t="n">
        <v>5.4</v>
      </c>
      <c r="X97" s="51" t="n">
        <v>5</v>
      </c>
      <c r="Y97" s="51" t="n">
        <v>4.4</v>
      </c>
      <c r="Z97" s="111" t="n">
        <v>9.199999999999999</v>
      </c>
      <c r="AA97" s="51" t="n">
        <v>5.6</v>
      </c>
      <c r="AB97" s="51" t="n">
        <v>6.6</v>
      </c>
      <c r="AC97" s="51" t="n">
        <v>8.199999999999999</v>
      </c>
      <c r="AD97" s="51" t="n">
        <v>3.6</v>
      </c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88">
        <f>COUNTIF(K97:AO97,"&gt;0")</f>
        <v/>
      </c>
      <c r="AQ97" s="89">
        <f>IF(AP97&gt;14,AVERAGE(K97:AO97),"")</f>
        <v/>
      </c>
      <c r="AR97" s="89">
        <f>IFERROR(VLOOKUP(A97,Climatologia!A:U,9+$E$2,FALSE),"")</f>
        <v/>
      </c>
      <c r="AS97" s="89">
        <f>IF(OR(AQ97="",AR97=""),"",IFERROR(AQ97-AR97,""))</f>
        <v/>
      </c>
      <c r="AT97" s="90">
        <f>IF(COUNT(K97:AO97)=0,"",MIN(K97:AO97))</f>
        <v/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/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7" s="92">
        <f>IF(OR(AT97="",AU97=""),"NA",IFERROR(AT97-AU97,"NA"))</f>
        <v/>
      </c>
    </row>
    <row r="98" ht="14.25" customHeight="1">
      <c r="A98" s="48" t="n">
        <v>24035130</v>
      </c>
      <c r="B98" s="52" t="inlineStr">
        <is>
          <t>U P T C</t>
        </is>
      </c>
      <c r="C98" s="52" t="inlineStr">
        <is>
          <t>Area Operativa 06 - Boyacá-Casanare-Vichada</t>
        </is>
      </c>
      <c r="D98" s="53" t="n">
        <v>-73.36081306</v>
      </c>
      <c r="E98" s="53" t="n">
        <v>5.5430775</v>
      </c>
      <c r="F98" s="48" t="n">
        <v>2690</v>
      </c>
      <c r="G98" s="46" t="n">
        <v>15</v>
      </c>
      <c r="H98" s="46" t="n">
        <v>15001</v>
      </c>
      <c r="I98" s="55" t="inlineStr">
        <is>
          <t>Boyacá</t>
        </is>
      </c>
      <c r="J98" s="55" t="inlineStr">
        <is>
          <t>Tunja</t>
        </is>
      </c>
      <c r="K98" s="51" t="n">
        <v>7</v>
      </c>
      <c r="L98" s="51" t="n">
        <v>8.800000000000001</v>
      </c>
      <c r="M98" s="51" t="n">
        <v>9.800000000000001</v>
      </c>
      <c r="N98" s="51" t="n">
        <v>10.2</v>
      </c>
      <c r="O98" s="51" t="n">
        <v>9.6</v>
      </c>
      <c r="P98" s="51" t="n">
        <v>10.6</v>
      </c>
      <c r="Q98" s="51" t="n">
        <v>7.6</v>
      </c>
      <c r="R98" s="51" t="n">
        <v>5.4</v>
      </c>
      <c r="S98" s="51" t="n">
        <v>10</v>
      </c>
      <c r="T98" s="51" t="n">
        <v>10.8</v>
      </c>
      <c r="U98" s="51" t="n">
        <v>9.6</v>
      </c>
      <c r="V98" s="51" t="n">
        <v>8.800000000000001</v>
      </c>
      <c r="W98" s="51" t="n">
        <v>9.800000000000001</v>
      </c>
      <c r="X98" s="51" t="n">
        <v>10</v>
      </c>
      <c r="Y98" s="51" t="n">
        <v>7.6</v>
      </c>
      <c r="Z98" s="111" t="n">
        <v>10.8</v>
      </c>
      <c r="AA98" s="51" t="n">
        <v>8</v>
      </c>
      <c r="AB98" s="51" t="n">
        <v>10.8</v>
      </c>
      <c r="AC98" s="51" t="n">
        <v>10.8</v>
      </c>
      <c r="AD98" s="51" t="n">
        <v>7.4</v>
      </c>
      <c r="AE98" s="51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88">
        <f>COUNTIF(K98:AO98,"&gt;0")</f>
        <v/>
      </c>
      <c r="AQ98" s="89">
        <f>IF(AP98&gt;14,AVERAGE(K98:AO98),"")</f>
        <v/>
      </c>
      <c r="AR98" s="89">
        <f>IFERROR(VLOOKUP(A98,Climatologia!A:U,9+$E$2,FALSE),"")</f>
        <v/>
      </c>
      <c r="AS98" s="89">
        <f>IF(OR(AQ98="",AR98=""),"",IFERROR(AQ98-AR98,""))</f>
        <v/>
      </c>
      <c r="AT98" s="90">
        <f>IF(COUNT(K98:AO98)=0,"",MIN(K98:AO98))</f>
        <v/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/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8" s="92">
        <f>IF(OR(AT98="",AU98=""),"NA",IFERROR(AT98-AU98,"NA"))</f>
        <v/>
      </c>
    </row>
    <row r="99" ht="14.25" customHeight="1">
      <c r="A99" s="48" t="n">
        <v>24035250</v>
      </c>
      <c r="B99" s="52" t="inlineStr">
        <is>
          <t>Chita  - Aut</t>
        </is>
      </c>
      <c r="C99" s="52" t="inlineStr">
        <is>
          <t>Area Operativa 06 - Boyacá-Casanare-Vichada</t>
        </is>
      </c>
      <c r="D99" s="53" t="n">
        <v>-72.46556</v>
      </c>
      <c r="E99" s="53" t="n">
        <v>6.18778</v>
      </c>
      <c r="F99" s="48" t="n">
        <v>2961</v>
      </c>
      <c r="G99" s="46" t="n">
        <v>15</v>
      </c>
      <c r="H99" s="46" t="n">
        <v>15183</v>
      </c>
      <c r="I99" s="55" t="inlineStr">
        <is>
          <t>Boyacá</t>
        </is>
      </c>
      <c r="J99" s="55" t="inlineStr">
        <is>
          <t>Chita</t>
        </is>
      </c>
      <c r="K99" s="51" t="n">
        <v>6.4</v>
      </c>
      <c r="L99" s="51" t="n">
        <v/>
      </c>
      <c r="M99" s="51" t="n">
        <v>7</v>
      </c>
      <c r="N99" s="51" t="n">
        <v>7.2</v>
      </c>
      <c r="O99" s="51" t="n">
        <v/>
      </c>
      <c r="P99" s="51" t="n">
        <v>7.8</v>
      </c>
      <c r="Q99" s="51" t="n">
        <v/>
      </c>
      <c r="R99" s="51" t="n">
        <v>6.2</v>
      </c>
      <c r="S99" s="51" t="n">
        <v>8.800000000000001</v>
      </c>
      <c r="T99" s="51" t="n">
        <v>9</v>
      </c>
      <c r="U99" s="51" t="n">
        <v>9.199999999999999</v>
      </c>
      <c r="V99" s="51" t="n">
        <v>7.8</v>
      </c>
      <c r="W99" s="51" t="n">
        <v>7.4</v>
      </c>
      <c r="X99" s="51" t="n">
        <v>10</v>
      </c>
      <c r="Y99" s="51" t="n">
        <v>6</v>
      </c>
      <c r="Z99" s="111" t="n">
        <v>9.4</v>
      </c>
      <c r="AA99" s="51" t="n">
        <v>8.199999999999999</v>
      </c>
      <c r="AB99" s="51" t="n">
        <v>7.2</v>
      </c>
      <c r="AC99" s="51" t="n">
        <v>8.6</v>
      </c>
      <c r="AD99" s="51" t="n">
        <v/>
      </c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88">
        <f>COUNTIF(K99:AO99,"&gt;0")</f>
        <v/>
      </c>
      <c r="AQ99" s="89">
        <f>IF(AP99&gt;14,AVERAGE(K99:AO99),"")</f>
        <v/>
      </c>
      <c r="AR99" s="89">
        <f>IFERROR(VLOOKUP(A99,Climatologia!A:U,9+$E$2,FALSE),"")</f>
        <v/>
      </c>
      <c r="AS99" s="89">
        <f>IF(OR(AQ99="",AR99=""),"",IFERROR(AQ99-AR99,""))</f>
        <v/>
      </c>
      <c r="AT99" s="90">
        <f>IF(COUNT(K99:AO99)=0,"",MIN(K99:AO99))</f>
        <v/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>
        <f>IF(OR(AT99="",AU99=""),"NA",IFERROR(AT99-AU99,"NA"))</f>
        <v/>
      </c>
    </row>
    <row r="100" ht="14.25" customHeight="1">
      <c r="A100" s="48" t="n">
        <v>24035260</v>
      </c>
      <c r="B100" s="52" t="inlineStr">
        <is>
          <t>Capitanejo</t>
        </is>
      </c>
      <c r="C100" s="52" t="inlineStr">
        <is>
          <t>Area Operativa 06 - Boyacá-Casanare-Vichada</t>
        </is>
      </c>
      <c r="D100" s="53" t="n">
        <v>-72.69661111000001</v>
      </c>
      <c r="E100" s="53" t="n">
        <v>6.520722222</v>
      </c>
      <c r="F100" s="48" t="n">
        <v>1160</v>
      </c>
      <c r="G100" s="46" t="n">
        <v>68</v>
      </c>
      <c r="H100" s="46" t="n">
        <v>68147</v>
      </c>
      <c r="I100" s="55" t="inlineStr">
        <is>
          <t>Santander</t>
        </is>
      </c>
      <c r="J100" s="55" t="inlineStr">
        <is>
          <t>Capitanejo</t>
        </is>
      </c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11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88">
        <f>COUNTIF(K100:AO100,"&gt;0")</f>
        <v/>
      </c>
      <c r="AQ100" s="89">
        <f>IF(AP100&gt;14,AVERAGE(K100:AO100),"")</f>
        <v/>
      </c>
      <c r="AR100" s="89">
        <f>IFERROR(VLOOKUP(A100,Climatologia!A:U,9+$E$2,FALSE),"")</f>
        <v/>
      </c>
      <c r="AS100" s="89">
        <f>IF(OR(AQ100="",AR100=""),"",IFERROR(AQ100-AR100,""))</f>
        <v/>
      </c>
      <c r="AT100" s="90">
        <f>IF(COUNT(K100:AO100)=0,"",MIN(K100:AO100))</f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>
        <f>IF(OR(AT100="",AU100=""),"NA",IFERROR(AT100-AU100,"NA"))</f>
        <v/>
      </c>
    </row>
    <row r="101" ht="14.25" customHeight="1">
      <c r="A101" s="48" t="n">
        <v>24035310</v>
      </c>
      <c r="B101" s="52" t="inlineStr">
        <is>
          <t>Chiscas</t>
        </is>
      </c>
      <c r="C101" s="52" t="inlineStr">
        <is>
          <t>Area Operativa 06 - Boyacá-Casanare-Vichada</t>
        </is>
      </c>
      <c r="D101" s="53" t="n">
        <v>-72.50472222</v>
      </c>
      <c r="E101" s="53" t="n">
        <v>6.549527778</v>
      </c>
      <c r="F101" s="48" t="n">
        <v>2350</v>
      </c>
      <c r="G101" s="46" t="n">
        <v>15</v>
      </c>
      <c r="H101" s="46" t="n">
        <v>15180</v>
      </c>
      <c r="I101" s="55" t="inlineStr">
        <is>
          <t>Boyacá</t>
        </is>
      </c>
      <c r="J101" s="55" t="inlineStr">
        <is>
          <t>Chiscas</t>
        </is>
      </c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111" t="n"/>
      <c r="AA101" s="51" t="n"/>
      <c r="AB101" s="51" t="n"/>
      <c r="AC101" s="51" t="n"/>
      <c r="AD101" s="51" t="n"/>
      <c r="AE101" s="51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88">
        <f>COUNTIF(K101:AO101,"&gt;0")</f>
        <v/>
      </c>
      <c r="AQ101" s="89">
        <f>IF(AP101&gt;14,AVERAGE(K101:AO101),"")</f>
        <v/>
      </c>
      <c r="AR101" s="89">
        <f>IFERROR(VLOOKUP(A101,Climatologia!A:U,9+$E$2,FALSE),"")</f>
        <v/>
      </c>
      <c r="AS101" s="89">
        <f>IF(OR(AQ101="",AR101=""),"",IFERROR(AQ101-AR101,""))</f>
        <v/>
      </c>
      <c r="AT101" s="90">
        <f>IF(COUNT(K101:AO101)=0,"",MIN(K101:AO101))</f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/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1" s="92">
        <f>IF(OR(AT101="",AU101=""),"NA",IFERROR(AT101-AU101,"NA"))</f>
        <v/>
      </c>
    </row>
    <row r="102" ht="14.25" customHeight="1">
      <c r="A102" s="48" t="n">
        <v>24035330</v>
      </c>
      <c r="B102" s="52" t="inlineStr">
        <is>
          <t>Boavita</t>
        </is>
      </c>
      <c r="C102" s="52" t="inlineStr">
        <is>
          <t>Area Operativa 06 - Boyacá-Casanare-Vichada</t>
        </is>
      </c>
      <c r="D102" s="53" t="n">
        <v>-72.58227778</v>
      </c>
      <c r="E102" s="53" t="n">
        <v>6.328972222</v>
      </c>
      <c r="F102" s="48" t="n">
        <v>2150</v>
      </c>
      <c r="G102" s="46" t="n">
        <v>15</v>
      </c>
      <c r="H102" s="46" t="n">
        <v>15097</v>
      </c>
      <c r="I102" s="55" t="inlineStr">
        <is>
          <t>Boyacá</t>
        </is>
      </c>
      <c r="J102" s="55" t="inlineStr">
        <is>
          <t>Boavita</t>
        </is>
      </c>
      <c r="K102" s="51" t="n">
        <v>11</v>
      </c>
      <c r="L102" s="51" t="n">
        <v>13</v>
      </c>
      <c r="M102" s="51" t="n">
        <v>12</v>
      </c>
      <c r="N102" s="51" t="n">
        <v>12.2</v>
      </c>
      <c r="O102" s="51" t="n">
        <v>10.2</v>
      </c>
      <c r="P102" s="51" t="n">
        <v>12</v>
      </c>
      <c r="Q102" s="51" t="n">
        <v>11</v>
      </c>
      <c r="R102" s="51" t="n">
        <v>11.2</v>
      </c>
      <c r="S102" s="51" t="n">
        <v>11</v>
      </c>
      <c r="T102" s="51" t="n">
        <v>13.8</v>
      </c>
      <c r="U102" s="51" t="n">
        <v>12.6</v>
      </c>
      <c r="V102" s="51" t="n">
        <v>11</v>
      </c>
      <c r="W102" s="51" t="n">
        <v>12.8</v>
      </c>
      <c r="X102" s="51" t="n">
        <v>13</v>
      </c>
      <c r="Y102" s="51" t="n">
        <v>12.8</v>
      </c>
      <c r="Z102" s="111" t="n">
        <v>14.2</v>
      </c>
      <c r="AA102" s="51" t="n">
        <v>12</v>
      </c>
      <c r="AB102" s="51" t="n">
        <v>13</v>
      </c>
      <c r="AC102" s="51" t="n">
        <v>13.4</v>
      </c>
      <c r="AD102" s="51" t="n">
        <v>12</v>
      </c>
      <c r="AE102" s="51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88">
        <f>COUNTIF(K102:AO102,"&gt;0")</f>
        <v/>
      </c>
      <c r="AQ102" s="89">
        <f>IF(AP102&gt;14,AVERAGE(K102:AO102),"")</f>
        <v/>
      </c>
      <c r="AR102" s="89">
        <f>IFERROR(VLOOKUP(A102,Climatologia!A:U,9+$E$2,FALSE),"")</f>
        <v/>
      </c>
      <c r="AS102" s="89">
        <f>IF(OR(AQ102="",AR102=""),"",IFERROR(AQ102-AR102,""))</f>
        <v/>
      </c>
      <c r="AT102" s="90">
        <f>IF(COUNT(K102:AO102)=0,"",MIN(K102:AO102))</f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/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2" s="92">
        <f>IF(OR(AT102="",AU102=""),"NA",IFERROR(AT102-AU102,"NA"))</f>
        <v/>
      </c>
    </row>
    <row r="103" ht="14.25" customHeight="1">
      <c r="A103" s="48" t="n">
        <v>24035420</v>
      </c>
      <c r="B103" s="52" t="inlineStr">
        <is>
          <t>Cerinza</t>
        </is>
      </c>
      <c r="C103" s="52" t="inlineStr">
        <is>
          <t>Area Operativa 06 - Boyacá-Casanare-Vichada</t>
        </is>
      </c>
      <c r="D103" s="53" t="n">
        <v>-72.9385</v>
      </c>
      <c r="E103" s="53" t="n">
        <v>5.96225</v>
      </c>
      <c r="F103" s="48" t="n">
        <v>2643</v>
      </c>
      <c r="G103" s="46" t="n">
        <v>15</v>
      </c>
      <c r="H103" s="46" t="n">
        <v>15162</v>
      </c>
      <c r="I103" s="55" t="inlineStr">
        <is>
          <t>Boyacá</t>
        </is>
      </c>
      <c r="J103" s="55" t="inlineStr">
        <is>
          <t>Cerinza</t>
        </is>
      </c>
      <c r="K103" s="51" t="n">
        <v>2.2</v>
      </c>
      <c r="L103" s="109" t="n">
        <v>5.4</v>
      </c>
      <c r="M103" s="51" t="n">
        <v/>
      </c>
      <c r="N103" s="51" t="n">
        <v/>
      </c>
      <c r="O103" s="51" t="n">
        <v/>
      </c>
      <c r="P103" s="51" t="n">
        <v/>
      </c>
      <c r="Q103" s="51" t="n">
        <v/>
      </c>
      <c r="R103" s="51" t="n">
        <v/>
      </c>
      <c r="S103" s="51" t="n">
        <v/>
      </c>
      <c r="T103" s="51" t="n">
        <v/>
      </c>
      <c r="U103" s="51" t="n">
        <v/>
      </c>
      <c r="V103" s="51" t="n">
        <v/>
      </c>
      <c r="W103" s="51" t="n">
        <v/>
      </c>
      <c r="X103" s="51" t="n">
        <v/>
      </c>
      <c r="Y103" s="51" t="n">
        <v/>
      </c>
      <c r="Z103" s="111" t="n">
        <v>3.6</v>
      </c>
      <c r="AA103" s="51" t="n">
        <v>1.2</v>
      </c>
      <c r="AB103" s="51" t="n">
        <v/>
      </c>
      <c r="AC103" s="51" t="n">
        <v/>
      </c>
      <c r="AD103" s="51" t="n">
        <v/>
      </c>
      <c r="AE103" s="51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88">
        <f>COUNTIF(K103:AO103,"&gt;0")</f>
        <v/>
      </c>
      <c r="AQ103" s="89">
        <f>IF(AP103&gt;14,AVERAGE(K103:AO103),"")</f>
        <v/>
      </c>
      <c r="AR103" s="89">
        <f>IFERROR(VLOOKUP(A103,Climatologia!A:U,9+$E$2,FALSE),"")</f>
        <v/>
      </c>
      <c r="AS103" s="89">
        <f>IF(OR(AQ103="",AR103=""),"",IFERROR(AQ103-AR103,""))</f>
        <v/>
      </c>
      <c r="AT103" s="90">
        <f>IF(COUNT(K103:AO103)=0,"",MIN(K103:AO103))</f>
        <v/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/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3" s="92">
        <f>IF(OR(AT103="",AU103=""),"NA",IFERROR(AT103-AU103,"NA"))</f>
        <v/>
      </c>
    </row>
    <row r="104" ht="14.25" customHeight="1">
      <c r="A104" s="48" t="n">
        <v>24035430</v>
      </c>
      <c r="B104" s="52" t="inlineStr">
        <is>
          <t>Tunguavita - Aut</t>
        </is>
      </c>
      <c r="C104" s="52" t="inlineStr">
        <is>
          <t>Area Operativa 06 - Boyacá-Casanare-Vichada</t>
        </is>
      </c>
      <c r="D104" s="53" t="n">
        <v>-73.11636</v>
      </c>
      <c r="E104" s="53" t="n">
        <v>5.74583</v>
      </c>
      <c r="F104" s="48" t="n">
        <v>2521</v>
      </c>
      <c r="G104" s="46" t="n">
        <v>15</v>
      </c>
      <c r="H104" s="46" t="n">
        <v>15516</v>
      </c>
      <c r="I104" s="55" t="inlineStr">
        <is>
          <t>Boyacá</t>
        </is>
      </c>
      <c r="J104" s="55" t="inlineStr">
        <is>
          <t>Paipa</t>
        </is>
      </c>
      <c r="K104" s="51" t="n">
        <v>4.6</v>
      </c>
      <c r="L104" s="51" t="n">
        <v>8.4</v>
      </c>
      <c r="M104" s="51" t="n">
        <v>3.4</v>
      </c>
      <c r="N104" s="51" t="n">
        <v>3.8</v>
      </c>
      <c r="O104" s="51" t="n">
        <v>2.6</v>
      </c>
      <c r="P104" s="51" t="n">
        <v>2.4</v>
      </c>
      <c r="Q104" s="51" t="n">
        <v>3.6</v>
      </c>
      <c r="R104" s="51" t="n">
        <v>5.6</v>
      </c>
      <c r="S104" s="51" t="n">
        <v>3</v>
      </c>
      <c r="T104" s="51" t="n">
        <v>2.4</v>
      </c>
      <c r="U104" s="51" t="n">
        <v>8.199999999999999</v>
      </c>
      <c r="V104" s="51" t="n">
        <v>4</v>
      </c>
      <c r="W104" s="51" t="n">
        <v>5</v>
      </c>
      <c r="X104" s="51" t="n">
        <v>5</v>
      </c>
      <c r="Y104" s="51" t="n">
        <v>2.8</v>
      </c>
      <c r="Z104" s="111" t="n">
        <v>7.8</v>
      </c>
      <c r="AA104" s="51" t="n">
        <v>4</v>
      </c>
      <c r="AB104" s="51" t="n">
        <v>6</v>
      </c>
      <c r="AC104" s="51" t="n">
        <v>7</v>
      </c>
      <c r="AD104" s="51" t="n">
        <v>2</v>
      </c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88">
        <f>COUNTIF(K104:AO104,"&gt;0")</f>
        <v/>
      </c>
      <c r="AQ104" s="89">
        <f>IF(AP104&gt;14,AVERAGE(K104:AO104),"")</f>
        <v/>
      </c>
      <c r="AR104" s="89">
        <f>IFERROR(VLOOKUP(A104,Climatologia!A:U,9+$E$2,FALSE),"")</f>
        <v/>
      </c>
      <c r="AS104" s="89">
        <f>IF(OR(AQ104="",AR104=""),"",IFERROR(AQ104-AR104,""))</f>
        <v/>
      </c>
      <c r="AT104" s="90">
        <f>IF(COUNT(K104:AO104)=0,"",MIN(K104:AO104))</f>
        <v/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/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4" s="92">
        <f>IF(OR(AT104="",AU104=""),"NA",IFERROR(AT104-AU104,"NA"))</f>
        <v/>
      </c>
    </row>
    <row r="105" ht="14.25" customHeight="1">
      <c r="A105" s="48" t="n">
        <v>35075010</v>
      </c>
      <c r="B105" s="52" t="inlineStr">
        <is>
          <t>Nuevo Colon</t>
        </is>
      </c>
      <c r="C105" s="52" t="inlineStr">
        <is>
          <t>Area Operativa 06 - Boyacá-Casanare-Vichada</t>
        </is>
      </c>
      <c r="D105" s="53" t="n">
        <v>-73.45377778</v>
      </c>
      <c r="E105" s="53" t="n">
        <v>5.352694444</v>
      </c>
      <c r="F105" s="48" t="n">
        <v>2438</v>
      </c>
      <c r="G105" s="46" t="n">
        <v>15</v>
      </c>
      <c r="H105" s="46" t="n">
        <v>15494</v>
      </c>
      <c r="I105" s="55" t="inlineStr">
        <is>
          <t>Boyacá</t>
        </is>
      </c>
      <c r="J105" s="55" t="inlineStr">
        <is>
          <t>Nuevo Colón</t>
        </is>
      </c>
      <c r="K105" s="51" t="n">
        <v>10</v>
      </c>
      <c r="L105" s="51" t="n">
        <v>9.800000000000001</v>
      </c>
      <c r="M105" s="51" t="n">
        <v>10.4</v>
      </c>
      <c r="N105" s="51" t="n">
        <v>10.4</v>
      </c>
      <c r="O105" s="51" t="n">
        <v>10.6</v>
      </c>
      <c r="P105" s="51" t="n">
        <v>9.4</v>
      </c>
      <c r="Q105" s="51" t="n">
        <v>9.800000000000001</v>
      </c>
      <c r="R105" s="51" t="n">
        <v>9.6</v>
      </c>
      <c r="S105" s="51" t="n">
        <v>11.4</v>
      </c>
      <c r="T105" s="51" t="n">
        <v>12</v>
      </c>
      <c r="U105" s="51" t="n">
        <v>10.8</v>
      </c>
      <c r="V105" s="51" t="n">
        <v>11.6</v>
      </c>
      <c r="W105" s="51" t="n">
        <v>12.2</v>
      </c>
      <c r="X105" s="51" t="n">
        <v>12.4</v>
      </c>
      <c r="Y105" s="51" t="n">
        <v>10.8</v>
      </c>
      <c r="Z105" s="111" t="n">
        <v>10.4</v>
      </c>
      <c r="AA105" s="51" t="n">
        <v>11</v>
      </c>
      <c r="AB105" s="51" t="n">
        <v>11</v>
      </c>
      <c r="AC105" s="51" t="n">
        <v>11</v>
      </c>
      <c r="AD105" s="51" t="n">
        <v>9.4</v>
      </c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88">
        <f>COUNTIF(K105:AO105,"&gt;0")</f>
        <v/>
      </c>
      <c r="AQ105" s="89">
        <f>IF(AP105&gt;14,AVERAGE(K105:AO105),"")</f>
        <v/>
      </c>
      <c r="AR105" s="89">
        <f>IFERROR(VLOOKUP(A105,Climatologia!A:U,9+$E$2,FALSE),"")</f>
        <v/>
      </c>
      <c r="AS105" s="89">
        <f>IF(OR(AQ105="",AR105=""),"",IFERROR(AQ105-AR105,""))</f>
        <v/>
      </c>
      <c r="AT105" s="90">
        <f>IF(COUNT(K105:AO105)=0,"",MIN(K105:AO105))</f>
        <v/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/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5" s="92">
        <f>IF(OR(AT105="",AU105=""),"NA",IFERROR(AT105-AU105,"NA"))</f>
        <v/>
      </c>
    </row>
    <row r="106" ht="14.25" customHeight="1">
      <c r="A106" s="48" t="n">
        <v>35075020</v>
      </c>
      <c r="B106" s="52" t="inlineStr">
        <is>
          <t>Sutatenza</t>
        </is>
      </c>
      <c r="C106" s="52" t="inlineStr">
        <is>
          <t>Area Operativa 06 - Boyacá-Casanare-Vichada</t>
        </is>
      </c>
      <c r="D106" s="53" t="n">
        <v>-73.44916667</v>
      </c>
      <c r="E106" s="53" t="n">
        <v>5.022277778</v>
      </c>
      <c r="F106" s="48" t="n">
        <v>1930</v>
      </c>
      <c r="G106" s="46" t="n">
        <v>15</v>
      </c>
      <c r="H106" s="46" t="n">
        <v>15778</v>
      </c>
      <c r="I106" s="55" t="inlineStr">
        <is>
          <t>Boyacá</t>
        </is>
      </c>
      <c r="J106" s="55" t="inlineStr">
        <is>
          <t>Sutatenza</t>
        </is>
      </c>
      <c r="K106" s="51" t="n">
        <v/>
      </c>
      <c r="L106" s="51" t="n">
        <v>13.6</v>
      </c>
      <c r="M106" s="51" t="n">
        <v>13.6</v>
      </c>
      <c r="N106" s="51" t="n">
        <v>14.4</v>
      </c>
      <c r="O106" s="51" t="n">
        <v>13.8</v>
      </c>
      <c r="P106" s="51" t="n">
        <v>13.6</v>
      </c>
      <c r="Q106" s="51" t="n">
        <v/>
      </c>
      <c r="R106" s="51" t="n">
        <v>14</v>
      </c>
      <c r="S106" s="51" t="n">
        <v>14.8</v>
      </c>
      <c r="T106" s="51" t="n">
        <v>14.6</v>
      </c>
      <c r="U106" s="51" t="n">
        <v>14.8</v>
      </c>
      <c r="V106" s="51" t="n">
        <v>15</v>
      </c>
      <c r="W106" s="51" t="n">
        <v>15.2</v>
      </c>
      <c r="X106" s="51" t="n">
        <v>14.6</v>
      </c>
      <c r="Y106" s="51" t="n">
        <v>14.8</v>
      </c>
      <c r="Z106" s="111" t="n">
        <v>14.6</v>
      </c>
      <c r="AA106" s="51" t="n">
        <v>14.8</v>
      </c>
      <c r="AB106" s="51" t="n">
        <v>15</v>
      </c>
      <c r="AC106" s="51" t="n">
        <v>14.8</v>
      </c>
      <c r="AD106" s="51" t="n">
        <v>14.2</v>
      </c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88">
        <f>COUNTIF(K106:AO106,"&gt;0")</f>
        <v/>
      </c>
      <c r="AQ106" s="89">
        <f>IF(AP106&gt;14,AVERAGE(K106:AO106),"")</f>
        <v/>
      </c>
      <c r="AR106" s="89">
        <f>IFERROR(VLOOKUP(A106,Climatologia!A:U,9+$E$2,FALSE),"")</f>
        <v/>
      </c>
      <c r="AS106" s="89">
        <f>IF(OR(AQ106="",AR106=""),"",IFERROR(AQ106-AR106,""))</f>
        <v/>
      </c>
      <c r="AT106" s="90">
        <f>IF(COUNT(K106:AO106)=0,"",MIN(K106:AO106))</f>
        <v/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/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6" s="92">
        <f>IF(OR(AT106="",AU106=""),"NA",IFERROR(AT106-AU106,"NA"))</f>
        <v/>
      </c>
    </row>
    <row r="107" ht="14.25" customHeight="1">
      <c r="A107" s="48" t="n">
        <v>35075030</v>
      </c>
      <c r="B107" s="52" t="inlineStr">
        <is>
          <t>Villa Luisa</t>
        </is>
      </c>
      <c r="C107" s="52" t="inlineStr">
        <is>
          <t>Area Operativa 06 - Boyacá-Casanare-Vichada</t>
        </is>
      </c>
      <c r="D107" s="53" t="n">
        <v>-73.34941667</v>
      </c>
      <c r="E107" s="53" t="n">
        <v>5.422222222</v>
      </c>
      <c r="F107" s="48" t="n">
        <v>2200</v>
      </c>
      <c r="G107" s="46" t="n">
        <v>15</v>
      </c>
      <c r="H107" s="46" t="n">
        <v>15599</v>
      </c>
      <c r="I107" s="55" t="inlineStr">
        <is>
          <t>Boyacá</t>
        </is>
      </c>
      <c r="J107" s="55" t="inlineStr">
        <is>
          <t>Ramiriquí</t>
        </is>
      </c>
      <c r="K107" s="51" t="n">
        <v>9.800000000000001</v>
      </c>
      <c r="L107" s="51" t="n">
        <v>11.6</v>
      </c>
      <c r="M107" s="51" t="n">
        <v>12.8</v>
      </c>
      <c r="N107" s="51" t="n">
        <v>11</v>
      </c>
      <c r="O107" s="51" t="n">
        <v>11</v>
      </c>
      <c r="P107" s="51" t="n">
        <v>9.6</v>
      </c>
      <c r="Q107" s="51" t="n">
        <v>10.6</v>
      </c>
      <c r="R107" s="51" t="n">
        <v>9.199999999999999</v>
      </c>
      <c r="S107" s="51" t="n">
        <v>12.6</v>
      </c>
      <c r="T107" s="51" t="n">
        <v>12.8</v>
      </c>
      <c r="U107" s="51" t="n">
        <v>12.8</v>
      </c>
      <c r="V107" s="51" t="n">
        <v>11.8</v>
      </c>
      <c r="W107" s="51" t="n">
        <v>13.2</v>
      </c>
      <c r="X107" s="51" t="n">
        <v>12</v>
      </c>
      <c r="Y107" s="51" t="n">
        <v>13.2</v>
      </c>
      <c r="Z107" s="111" t="n">
        <v>10.4</v>
      </c>
      <c r="AA107" s="51" t="n">
        <v>12</v>
      </c>
      <c r="AB107" s="51" t="n">
        <v>13.4</v>
      </c>
      <c r="AC107" s="51" t="n">
        <v>12.4</v>
      </c>
      <c r="AD107" s="51" t="n">
        <v>11</v>
      </c>
      <c r="AE107" s="51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88">
        <f>COUNTIF(K107:AO107,"&gt;0")</f>
        <v/>
      </c>
      <c r="AQ107" s="89">
        <f>IF(AP107&gt;14,AVERAGE(K107:AO107),"")</f>
        <v/>
      </c>
      <c r="AR107" s="89">
        <f>IFERROR(VLOOKUP(A107,Climatologia!A:U,9+$E$2,FALSE),"")</f>
        <v/>
      </c>
      <c r="AS107" s="89">
        <f>IF(OR(AQ107="",AR107=""),"",IFERROR(AQ107-AR107,""))</f>
        <v/>
      </c>
      <c r="AT107" s="90">
        <f>IF(COUNT(K107:AO107)=0,"",MIN(K107:AO107))</f>
        <v/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/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7" s="92">
        <f>IF(OR(AT107="",AU107=""),"NA",IFERROR(AT107-AU107,"NA"))</f>
        <v/>
      </c>
    </row>
    <row r="108" ht="14.25" customHeight="1">
      <c r="A108" s="48" t="n">
        <v>35075040</v>
      </c>
      <c r="B108" s="52" t="inlineStr">
        <is>
          <t>Institucion Agricola Macanal</t>
        </is>
      </c>
      <c r="C108" s="52" t="inlineStr">
        <is>
          <t>Area Operativa 06 - Boyacá-Casanare-Vichada</t>
        </is>
      </c>
      <c r="D108" s="53" t="n">
        <v>-73.31675</v>
      </c>
      <c r="E108" s="53" t="n">
        <v>4.974361111</v>
      </c>
      <c r="F108" s="48" t="n">
        <v>1300</v>
      </c>
      <c r="G108" s="46" t="n">
        <v>15</v>
      </c>
      <c r="H108" s="46" t="n">
        <v>15425</v>
      </c>
      <c r="I108" s="55" t="inlineStr">
        <is>
          <t>Boyacá</t>
        </is>
      </c>
      <c r="J108" s="55" t="inlineStr">
        <is>
          <t>Macanal</t>
        </is>
      </c>
      <c r="K108" s="51" t="n">
        <v>14.2</v>
      </c>
      <c r="L108" s="51" t="n">
        <v>15.4</v>
      </c>
      <c r="M108" s="51" t="n">
        <v>14</v>
      </c>
      <c r="N108" s="51" t="n">
        <v>15.4</v>
      </c>
      <c r="O108" s="51" t="n">
        <v>14</v>
      </c>
      <c r="P108" s="51" t="n">
        <v>14.2</v>
      </c>
      <c r="Q108" s="51" t="n">
        <v>14.2</v>
      </c>
      <c r="R108" s="51" t="n">
        <v>14.8</v>
      </c>
      <c r="S108" s="51" t="n">
        <v>15</v>
      </c>
      <c r="T108" s="51" t="n">
        <v>15.2</v>
      </c>
      <c r="U108" s="51" t="n">
        <v>14.6</v>
      </c>
      <c r="V108" s="51" t="n">
        <v>15.4</v>
      </c>
      <c r="W108" s="51" t="n">
        <v>15.6</v>
      </c>
      <c r="X108" s="51" t="n">
        <v>14.6</v>
      </c>
      <c r="Y108" s="51" t="n">
        <v>15</v>
      </c>
      <c r="Z108" s="111" t="n">
        <v>14.8</v>
      </c>
      <c r="AA108" s="51" t="n">
        <v>14.8</v>
      </c>
      <c r="AB108" s="51" t="n">
        <v>15.4</v>
      </c>
      <c r="AC108" s="51" t="n">
        <v>15.2</v>
      </c>
      <c r="AD108" s="51" t="n">
        <v>14</v>
      </c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88">
        <f>COUNTIF(K108:AO108,"&gt;0")</f>
        <v/>
      </c>
      <c r="AQ108" s="89">
        <f>IF(AP108&gt;14,AVERAGE(K108:AO108),"")</f>
        <v/>
      </c>
      <c r="AR108" s="89">
        <f>IFERROR(VLOOKUP(A108,Climatologia!A:U,9+$E$2,FALSE),"")</f>
        <v/>
      </c>
      <c r="AS108" s="89">
        <f>IF(OR(AQ108="",AR108=""),"",IFERROR(AQ108-AR108,""))</f>
        <v/>
      </c>
      <c r="AT108" s="90">
        <f>IF(COUNT(K108:AO108)=0,"",MIN(K108:AO108))</f>
        <v/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/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8" s="92">
        <f>IF(OR(AT108="",AU108=""),"NA",IFERROR(AT108-AU108,"NA"))</f>
        <v/>
      </c>
    </row>
    <row r="109" ht="14.25" customHeight="1">
      <c r="A109" s="48" t="n">
        <v>35085040</v>
      </c>
      <c r="B109" s="52" t="inlineStr">
        <is>
          <t>El Vivero</t>
        </is>
      </c>
      <c r="C109" s="52" t="inlineStr">
        <is>
          <t>Area Operativa 06 - Boyacá-Casanare-Vichada</t>
        </is>
      </c>
      <c r="D109" s="53" t="n">
        <v>-73.14477778</v>
      </c>
      <c r="E109" s="53" t="n">
        <v>5.192555556</v>
      </c>
      <c r="F109" s="48" t="n">
        <v>1640</v>
      </c>
      <c r="G109" s="46" t="n">
        <v>15</v>
      </c>
      <c r="H109" s="46" t="n">
        <v>15455</v>
      </c>
      <c r="I109" s="55" t="inlineStr">
        <is>
          <t>Boyacá</t>
        </is>
      </c>
      <c r="J109" s="55" t="inlineStr">
        <is>
          <t>Miraflores</t>
        </is>
      </c>
      <c r="K109" s="51" t="n">
        <v>15.4</v>
      </c>
      <c r="L109" s="51" t="n">
        <v>15.4</v>
      </c>
      <c r="M109" s="51" t="n">
        <v>15.2</v>
      </c>
      <c r="N109" s="51" t="n">
        <v>15.2</v>
      </c>
      <c r="O109" s="51" t="n">
        <v>14.8</v>
      </c>
      <c r="P109" s="51" t="n">
        <v>14.6</v>
      </c>
      <c r="Q109" s="51" t="n">
        <v>15.4</v>
      </c>
      <c r="R109" s="51" t="n">
        <v>15.2</v>
      </c>
      <c r="S109" s="51" t="n">
        <v>16</v>
      </c>
      <c r="T109" s="51" t="n">
        <v>15.8</v>
      </c>
      <c r="U109" s="51" t="n">
        <v>15.4</v>
      </c>
      <c r="V109" s="51" t="n">
        <v>16.4</v>
      </c>
      <c r="W109" s="51" t="n">
        <v>17</v>
      </c>
      <c r="X109" s="51" t="n">
        <v>15.4</v>
      </c>
      <c r="Y109" s="51" t="n">
        <v>15.2</v>
      </c>
      <c r="Z109" s="111" t="n">
        <v>15.4</v>
      </c>
      <c r="AA109" s="51" t="n">
        <v>15.8</v>
      </c>
      <c r="AB109" s="51" t="n">
        <v>16</v>
      </c>
      <c r="AC109" s="51" t="n">
        <v>15.6</v>
      </c>
      <c r="AD109" s="51" t="n">
        <v/>
      </c>
      <c r="AE109" s="51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88">
        <f>COUNTIF(K109:AO109,"&gt;0")</f>
        <v/>
      </c>
      <c r="AQ109" s="89">
        <f>IF(AP109&gt;14,AVERAGE(K109:AO109),"")</f>
        <v/>
      </c>
      <c r="AR109" s="89">
        <f>IFERROR(VLOOKUP(A109,Climatologia!A:U,9+$E$2,FALSE),"")</f>
        <v/>
      </c>
      <c r="AS109" s="89">
        <f>IF(OR(AQ109="",AR109=""),"",IFERROR(AQ109-AR109,""))</f>
        <v/>
      </c>
      <c r="AT109" s="90">
        <f>IF(COUNT(K109:AO109)=0,"",MIN(K109:AO109))</f>
        <v/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/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9" s="92">
        <f>IF(OR(AT109="",AU109=""),"NA",IFERROR(AT109-AU109,"NA"))</f>
        <v/>
      </c>
    </row>
    <row r="110" ht="14.25" customHeight="1">
      <c r="A110" s="48" t="n">
        <v>35085050</v>
      </c>
      <c r="B110" s="52" t="inlineStr">
        <is>
          <t>Campohermoso</t>
        </is>
      </c>
      <c r="C110" s="52" t="inlineStr">
        <is>
          <t>Area Operativa 06 - Boyacá-Casanare-Vichada</t>
        </is>
      </c>
      <c r="D110" s="53" t="n">
        <v>-73.10366667</v>
      </c>
      <c r="E110" s="53" t="n">
        <v>5.0345</v>
      </c>
      <c r="F110" s="48" t="n">
        <v>1300</v>
      </c>
      <c r="G110" s="46" t="n">
        <v>15</v>
      </c>
      <c r="H110" s="46" t="n">
        <v>15135</v>
      </c>
      <c r="I110" s="55" t="inlineStr">
        <is>
          <t>Boyacá</t>
        </is>
      </c>
      <c r="J110" s="55" t="inlineStr">
        <is>
          <t>Campohermoso</t>
        </is>
      </c>
      <c r="K110" s="51" t="n">
        <v>17.6</v>
      </c>
      <c r="L110" s="51" t="n">
        <v>18.6</v>
      </c>
      <c r="M110" s="51" t="n">
        <v>17.8</v>
      </c>
      <c r="N110" s="51" t="n">
        <v>19.2</v>
      </c>
      <c r="O110" s="51" t="n">
        <v/>
      </c>
      <c r="P110" s="51" t="n">
        <v/>
      </c>
      <c r="Q110" s="51" t="n">
        <v>17.4</v>
      </c>
      <c r="R110" s="51" t="n">
        <v>19.2</v>
      </c>
      <c r="S110" s="51" t="n">
        <v>18.8</v>
      </c>
      <c r="T110" s="51" t="n">
        <v>18.4</v>
      </c>
      <c r="U110" s="51" t="n">
        <v>17.8</v>
      </c>
      <c r="V110" s="51" t="n">
        <v/>
      </c>
      <c r="W110" s="51" t="n">
        <v>19.4</v>
      </c>
      <c r="X110" s="51" t="n">
        <v>17.8</v>
      </c>
      <c r="Y110" s="51" t="n">
        <v>18.6</v>
      </c>
      <c r="Z110" s="111" t="n">
        <v>18.2</v>
      </c>
      <c r="AA110" s="51" t="n">
        <v>18.8</v>
      </c>
      <c r="AB110" s="51" t="n">
        <v>19.2</v>
      </c>
      <c r="AC110" s="51" t="n">
        <v>18.8</v>
      </c>
      <c r="AD110" s="51" t="n">
        <v>17.2</v>
      </c>
      <c r="AE110" s="51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88">
        <f>COUNTIF(K110:AO110,"&gt;0")</f>
        <v/>
      </c>
      <c r="AQ110" s="89">
        <f>IF(AP110&gt;14,AVERAGE(K110:AO110),"")</f>
        <v/>
      </c>
      <c r="AR110" s="89">
        <f>IFERROR(VLOOKUP(A110,Climatologia!A:U,9+$E$2,FALSE),"")</f>
        <v/>
      </c>
      <c r="AS110" s="89">
        <f>IF(OR(AQ110="",AR110=""),"",IFERROR(AQ110-AR110,""))</f>
        <v/>
      </c>
      <c r="AT110" s="90">
        <f>IF(COUNT(K110:AO110)=0,"",MIN(K110:AO110))</f>
        <v/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/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0" s="92">
        <f>IF(OR(AT110="",AU110=""),"NA",IFERROR(AT110-AU110,"NA"))</f>
        <v/>
      </c>
    </row>
    <row r="111" ht="14.25" customHeight="1">
      <c r="A111" s="48" t="n">
        <v>35195030</v>
      </c>
      <c r="B111" s="52" t="inlineStr">
        <is>
          <t>Aguazul</t>
        </is>
      </c>
      <c r="C111" s="52" t="inlineStr">
        <is>
          <t>Area Operativa 06 - Boyacá-Casanare-Vichada</t>
        </is>
      </c>
      <c r="D111" s="53" t="n">
        <v>-72.54738888999999</v>
      </c>
      <c r="E111" s="53" t="n">
        <v>5.177083333</v>
      </c>
      <c r="F111" s="48" t="n">
        <v>380</v>
      </c>
      <c r="G111" s="46" t="n">
        <v>85</v>
      </c>
      <c r="H111" s="46" t="n">
        <v>85010</v>
      </c>
      <c r="I111" s="55" t="inlineStr">
        <is>
          <t>Casanare</t>
        </is>
      </c>
      <c r="J111" s="55" t="inlineStr">
        <is>
          <t>Aguazul</t>
        </is>
      </c>
      <c r="K111" s="51" t="n">
        <v>24.8</v>
      </c>
      <c r="L111" s="51" t="n">
        <v>21.6</v>
      </c>
      <c r="M111" s="51" t="n">
        <v>23.6</v>
      </c>
      <c r="N111" s="51" t="n">
        <v>24</v>
      </c>
      <c r="O111" s="51" t="n">
        <v>23.2</v>
      </c>
      <c r="P111" s="51" t="n">
        <v>21</v>
      </c>
      <c r="Q111" s="51" t="n">
        <v>23.2</v>
      </c>
      <c r="R111" s="51" t="n">
        <v>23.8</v>
      </c>
      <c r="S111" s="51" t="n">
        <v>24.8</v>
      </c>
      <c r="T111" s="51" t="n">
        <v>24</v>
      </c>
      <c r="U111" s="51" t="n">
        <v>22.4</v>
      </c>
      <c r="V111" s="51" t="n">
        <v>23.6</v>
      </c>
      <c r="W111" s="51" t="n">
        <v>22.6</v>
      </c>
      <c r="X111" s="51" t="n">
        <v>22.6</v>
      </c>
      <c r="Y111" s="51" t="n">
        <v>25.6</v>
      </c>
      <c r="Z111" s="111" t="n">
        <v>22.8</v>
      </c>
      <c r="AA111" s="51" t="n">
        <v>22.8</v>
      </c>
      <c r="AB111" s="51" t="n">
        <v>24</v>
      </c>
      <c r="AC111" s="51" t="n">
        <v>24.6</v>
      </c>
      <c r="AD111" s="51" t="n">
        <v>22.4</v>
      </c>
      <c r="AE111" s="51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88">
        <f>COUNTIF(K111:AO111,"&gt;0")</f>
        <v/>
      </c>
      <c r="AQ111" s="89">
        <f>IF(AP111&gt;14,AVERAGE(K111:AO111),"")</f>
        <v/>
      </c>
      <c r="AR111" s="89">
        <f>IFERROR(VLOOKUP(A111,Climatologia!A:U,9+$E$2,FALSE),"")</f>
        <v/>
      </c>
      <c r="AS111" s="89">
        <f>IF(OR(AQ111="",AR111=""),"",IFERROR(AQ111-AR111,""))</f>
        <v/>
      </c>
      <c r="AT111" s="90">
        <f>IF(COUNT(K111:AO111)=0,"",MIN(K111:AO111))</f>
        <v/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>
        <f>IF(OR(AT111="",AU111=""),"NA",IFERROR(AT111-AU111,"NA"))</f>
        <v/>
      </c>
    </row>
    <row r="112" ht="14.25" customHeight="1">
      <c r="A112" s="48" t="n">
        <v>35195050</v>
      </c>
      <c r="B112" s="52" t="inlineStr">
        <is>
          <t>Corinto</t>
        </is>
      </c>
      <c r="C112" s="52" t="inlineStr">
        <is>
          <t>Area Operativa 06 - Boyacá-Casanare-Vichada</t>
        </is>
      </c>
      <c r="D112" s="53" t="n">
        <v>-72.71722222</v>
      </c>
      <c r="E112" s="53" t="n">
        <v>5.407277778</v>
      </c>
      <c r="F112" s="48" t="n">
        <v>1550</v>
      </c>
      <c r="G112" s="46" t="n">
        <v>15</v>
      </c>
      <c r="H112" s="46" t="n">
        <v>15518</v>
      </c>
      <c r="I112" s="55" t="inlineStr">
        <is>
          <t>Boyacá</t>
        </is>
      </c>
      <c r="J112" s="55" t="inlineStr">
        <is>
          <t>Pajarito</t>
        </is>
      </c>
      <c r="K112" s="51" t="n">
        <v>14.4</v>
      </c>
      <c r="L112" s="51" t="n">
        <v>14.6</v>
      </c>
      <c r="M112" s="51" t="n">
        <v>16.5</v>
      </c>
      <c r="N112" s="51" t="n">
        <v>14.2</v>
      </c>
      <c r="O112" s="51" t="n">
        <v>15.5</v>
      </c>
      <c r="P112" s="51" t="n">
        <v>14.2</v>
      </c>
      <c r="Q112" s="51" t="n">
        <v>16.5</v>
      </c>
      <c r="R112" s="51" t="n">
        <v>15.8</v>
      </c>
      <c r="S112" s="51" t="n">
        <v>14.4</v>
      </c>
      <c r="T112" s="51" t="n">
        <v>15.6</v>
      </c>
      <c r="U112" s="51" t="n">
        <v>16.8</v>
      </c>
      <c r="V112" s="51" t="n">
        <v>14.6</v>
      </c>
      <c r="W112" s="51" t="n">
        <v>14</v>
      </c>
      <c r="X112" s="51" t="n">
        <v>16.5</v>
      </c>
      <c r="Y112" s="51" t="n">
        <v>14.6</v>
      </c>
      <c r="Z112" s="111" t="n">
        <v>14.6</v>
      </c>
      <c r="AA112" s="51" t="n">
        <v>14.2</v>
      </c>
      <c r="AB112" s="51" t="n">
        <v>14.4</v>
      </c>
      <c r="AC112" s="51" t="n">
        <v>15.4</v>
      </c>
      <c r="AD112" s="51" t="n">
        <v>16.5</v>
      </c>
      <c r="AE112" s="51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88">
        <f>COUNTIF(K112:AO112,"&gt;0")</f>
        <v/>
      </c>
      <c r="AQ112" s="89">
        <f>IF(AP112&gt;14,AVERAGE(K112:AO112),"")</f>
        <v/>
      </c>
      <c r="AR112" s="89">
        <f>IFERROR(VLOOKUP(A112,Climatologia!A:U,9+$E$2,FALSE),"")</f>
        <v/>
      </c>
      <c r="AS112" s="89">
        <f>IF(OR(AQ112="",AR112=""),"",IFERROR(AQ112-AR112,""))</f>
        <v/>
      </c>
      <c r="AT112" s="90">
        <f>IF(COUNT(K112:AO112)=0,"",MIN(K112:AO112))</f>
        <v/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>
        <f>IF(OR(AT112="",AU112=""),"NA",IFERROR(AT112-AU112,"NA"))</f>
        <v/>
      </c>
    </row>
    <row r="113" ht="14.25" customHeight="1">
      <c r="A113" s="48" t="n">
        <v>35215020</v>
      </c>
      <c r="B113" s="52" t="inlineStr">
        <is>
          <t>Aeropuerto Yopal - Aut</t>
        </is>
      </c>
      <c r="C113" s="52" t="inlineStr">
        <is>
          <t>Area Operativa 06 - Boyacá-Casanare-Vichada</t>
        </is>
      </c>
      <c r="D113" s="53" t="n">
        <v>-72.3875</v>
      </c>
      <c r="E113" s="53" t="n">
        <v>5.320444444</v>
      </c>
      <c r="F113" s="48" t="n">
        <v>325</v>
      </c>
      <c r="G113" s="46" t="n">
        <v>85</v>
      </c>
      <c r="H113" s="46" t="n">
        <v>85001</v>
      </c>
      <c r="I113" s="55" t="inlineStr">
        <is>
          <t>Casanare</t>
        </is>
      </c>
      <c r="J113" s="55" t="inlineStr">
        <is>
          <t>Yopal</t>
        </is>
      </c>
      <c r="K113" s="51" t="n">
        <v>21.4</v>
      </c>
      <c r="L113" s="51" t="n">
        <v>18.4</v>
      </c>
      <c r="M113" s="51" t="n">
        <v>19.2</v>
      </c>
      <c r="N113" s="51" t="n">
        <v>19.4</v>
      </c>
      <c r="O113" s="51" t="n">
        <v>19</v>
      </c>
      <c r="P113" s="51" t="n">
        <v>17.6</v>
      </c>
      <c r="Q113" s="51" t="n">
        <v>19.4</v>
      </c>
      <c r="R113" s="51" t="n">
        <v>20</v>
      </c>
      <c r="S113" s="51" t="n">
        <v>20.2</v>
      </c>
      <c r="T113" s="51" t="n">
        <v>19.8</v>
      </c>
      <c r="U113" s="51" t="n">
        <v>18.4</v>
      </c>
      <c r="V113" s="51" t="n">
        <v>19.6</v>
      </c>
      <c r="W113" s="51" t="n">
        <v>18.8</v>
      </c>
      <c r="X113" s="51" t="n">
        <v>19.6</v>
      </c>
      <c r="Y113" s="51" t="n">
        <v>21</v>
      </c>
      <c r="Z113" s="111" t="n">
        <v>19</v>
      </c>
      <c r="AA113" s="51" t="n">
        <v>19.6</v>
      </c>
      <c r="AB113" s="51" t="n">
        <v>21.4</v>
      </c>
      <c r="AC113" s="51" t="n">
        <v>20.2</v>
      </c>
      <c r="AD113" s="51" t="n">
        <v>18.6</v>
      </c>
      <c r="AE113" s="51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88">
        <f>COUNTIF(K113:AO113,"&gt;0")</f>
        <v/>
      </c>
      <c r="AQ113" s="89">
        <f>IF(AP113&gt;14,AVERAGE(K113:AO113),"")</f>
        <v/>
      </c>
      <c r="AR113" s="89">
        <f>IFERROR(VLOOKUP(A113,Climatologia!A:U,9+$E$2,FALSE),"")</f>
        <v/>
      </c>
      <c r="AS113" s="89">
        <f>IF(OR(AQ113="",AR113=""),"",IFERROR(AQ113-AR113,""))</f>
        <v/>
      </c>
      <c r="AT113" s="90">
        <f>IF(COUNT(K113:AO113)=0,"",MIN(K113:AO113))</f>
        <v/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/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3" s="92">
        <f>IF(OR(AT113="",AU113=""),"NA",IFERROR(AT113-AU113,"NA"))</f>
        <v/>
      </c>
    </row>
    <row r="114" ht="14.25" customHeight="1">
      <c r="A114" s="48" t="n">
        <v>35235040</v>
      </c>
      <c r="B114" s="52" t="inlineStr">
        <is>
          <t>Trinidad - Aut</t>
        </is>
      </c>
      <c r="C114" s="52" t="inlineStr">
        <is>
          <t>Area Operativa 06 - Boyacá-Casanare-Vichada</t>
        </is>
      </c>
      <c r="D114" s="53" t="n">
        <v>-71.66616667</v>
      </c>
      <c r="E114" s="53" t="n">
        <v>5.419027778</v>
      </c>
      <c r="F114" s="48" t="n">
        <v>265</v>
      </c>
      <c r="G114" s="46" t="n">
        <v>85</v>
      </c>
      <c r="H114" s="46" t="n">
        <v>85430</v>
      </c>
      <c r="I114" s="55" t="inlineStr">
        <is>
          <t>Casanare</t>
        </is>
      </c>
      <c r="J114" s="55" t="inlineStr">
        <is>
          <t>Trinidad</t>
        </is>
      </c>
      <c r="K114" s="51" t="n">
        <v/>
      </c>
      <c r="L114" s="51" t="n">
        <v>21.6</v>
      </c>
      <c r="M114" s="51" t="n">
        <v/>
      </c>
      <c r="N114" s="51" t="n">
        <v/>
      </c>
      <c r="O114" s="51" t="n">
        <v/>
      </c>
      <c r="P114" s="51" t="n">
        <v>22</v>
      </c>
      <c r="Q114" s="51" t="n">
        <v>21.8</v>
      </c>
      <c r="R114" s="51" t="n">
        <v>22</v>
      </c>
      <c r="S114" s="51" t="n">
        <v>23</v>
      </c>
      <c r="T114" s="51" t="n">
        <v>23.2</v>
      </c>
      <c r="U114" s="51" t="n">
        <v>21.6</v>
      </c>
      <c r="V114" s="51" t="n">
        <v>22.2</v>
      </c>
      <c r="W114" s="51" t="n">
        <v>23</v>
      </c>
      <c r="X114" s="51" t="n">
        <v>22</v>
      </c>
      <c r="Y114" s="51" t="n">
        <v>23</v>
      </c>
      <c r="Z114" s="111" t="n">
        <v>22.6</v>
      </c>
      <c r="AA114" s="51" t="n">
        <v>23.6</v>
      </c>
      <c r="AB114" s="51" t="n">
        <v>23.8</v>
      </c>
      <c r="AC114" s="51" t="n">
        <v>22.6</v>
      </c>
      <c r="AD114" s="51" t="n">
        <v>22.8</v>
      </c>
      <c r="AE114" s="51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88">
        <f>COUNTIF(K114:AO114,"&gt;0")</f>
        <v/>
      </c>
      <c r="AQ114" s="89">
        <f>IF(AP114&gt;14,AVERAGE(K114:AO114),"")</f>
        <v/>
      </c>
      <c r="AR114" s="89">
        <f>IFERROR(VLOOKUP(A114,Climatologia!A:U,9+$E$2,FALSE),"")</f>
        <v/>
      </c>
      <c r="AS114" s="89">
        <f>IF(OR(AQ114="",AR114=""),"",IFERROR(AQ114-AR114,""))</f>
        <v/>
      </c>
      <c r="AT114" s="90">
        <f>IF(COUNT(K114:AO114)=0,"",MIN(K114:AO114))</f>
        <v/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>
        <f>IF(OR(AT114="",AU114=""),"NA",IFERROR(AT114-AU114,"NA"))</f>
        <v/>
      </c>
    </row>
    <row r="115" ht="14.25" customHeight="1">
      <c r="A115" s="48" t="n">
        <v>35235050</v>
      </c>
      <c r="B115" s="52" t="inlineStr">
        <is>
          <t>Tamara - Aut</t>
        </is>
      </c>
      <c r="C115" s="52" t="inlineStr">
        <is>
          <t>Area Operativa 06 - Boyacá-Casanare-Vichada</t>
        </is>
      </c>
      <c r="D115" s="53" t="n">
        <v>-72.16677778</v>
      </c>
      <c r="E115" s="53" t="n">
        <v>5.818583333</v>
      </c>
      <c r="F115" s="48" t="n">
        <v>117</v>
      </c>
      <c r="G115" s="46" t="n">
        <v>85</v>
      </c>
      <c r="H115" s="46" t="n">
        <v>85400</v>
      </c>
      <c r="I115" s="55" t="inlineStr">
        <is>
          <t>Casanare</t>
        </is>
      </c>
      <c r="J115" s="55" t="inlineStr">
        <is>
          <t>Támara</t>
        </is>
      </c>
      <c r="K115" s="51" t="n">
        <v>20.2</v>
      </c>
      <c r="L115" s="51" t="n">
        <v>19.4</v>
      </c>
      <c r="M115" s="51" t="n">
        <v>20.2</v>
      </c>
      <c r="N115" s="51" t="n">
        <v>21.2</v>
      </c>
      <c r="O115" s="51" t="n">
        <v>22.4</v>
      </c>
      <c r="P115" s="51" t="n">
        <v>20.2</v>
      </c>
      <c r="Q115" s="51" t="n">
        <v>20.2</v>
      </c>
      <c r="R115" s="51" t="n">
        <v>21.2</v>
      </c>
      <c r="S115" s="51" t="n">
        <v>20.2</v>
      </c>
      <c r="T115" s="51" t="n">
        <v>20.2</v>
      </c>
      <c r="U115" s="51" t="n">
        <v/>
      </c>
      <c r="V115" s="51" t="n">
        <v>21.2</v>
      </c>
      <c r="W115" s="51" t="n">
        <v>21.2</v>
      </c>
      <c r="X115" s="51" t="n">
        <v>20.4</v>
      </c>
      <c r="Y115" s="51" t="n">
        <v>20.2</v>
      </c>
      <c r="Z115" s="111" t="n">
        <v/>
      </c>
      <c r="AA115" s="51" t="n">
        <v/>
      </c>
      <c r="AB115" s="51" t="n">
        <v/>
      </c>
      <c r="AC115" s="51" t="n">
        <v/>
      </c>
      <c r="AD115" s="51" t="n">
        <v>20.2</v>
      </c>
      <c r="AE115" s="51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88">
        <f>COUNTIF(K115:AO115,"&gt;0")</f>
        <v/>
      </c>
      <c r="AQ115" s="89">
        <f>IF(AP115&gt;14,AVERAGE(K115:AO115),"")</f>
        <v/>
      </c>
      <c r="AR115" s="89">
        <f>IFERROR(VLOOKUP(A115,Climatologia!A:U,9+$E$2,FALSE),"")</f>
        <v/>
      </c>
      <c r="AS115" s="89">
        <f>IF(OR(AQ115="",AR115=""),"",IFERROR(AQ115-AR115,""))</f>
        <v/>
      </c>
      <c r="AT115" s="90">
        <f>IF(COUNT(K115:AO115)=0,"",MIN(K115:AO115))</f>
        <v/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>
        <f>IF(OR(AT115="",AU115=""),"NA",IFERROR(AT115-AU115,"NA"))</f>
        <v/>
      </c>
    </row>
    <row r="116" ht="14.25" customHeight="1">
      <c r="A116" s="48" t="n">
        <v>36015010</v>
      </c>
      <c r="B116" s="52" t="inlineStr">
        <is>
          <t>Paz De Ariporo</t>
        </is>
      </c>
      <c r="C116" s="52" t="inlineStr">
        <is>
          <t>Area Operativa 06 - Boyacá-Casanare-Vichada</t>
        </is>
      </c>
      <c r="D116" s="53" t="n">
        <v>-71.88719444</v>
      </c>
      <c r="E116" s="53" t="n">
        <v>5.878527778</v>
      </c>
      <c r="F116" s="48" t="n">
        <v>342</v>
      </c>
      <c r="G116" s="46" t="n">
        <v>85</v>
      </c>
      <c r="H116" s="46" t="n">
        <v>85250</v>
      </c>
      <c r="I116" s="55" t="inlineStr">
        <is>
          <t>Casanare</t>
        </is>
      </c>
      <c r="J116" s="55" t="inlineStr">
        <is>
          <t>Paz De Ariporo</t>
        </is>
      </c>
      <c r="K116" s="51" t="n">
        <v>22.2</v>
      </c>
      <c r="L116" s="51" t="n">
        <v/>
      </c>
      <c r="M116" s="51" t="n">
        <v>22.4</v>
      </c>
      <c r="N116" s="51" t="n">
        <v>22.2</v>
      </c>
      <c r="O116" s="51" t="n">
        <v>22</v>
      </c>
      <c r="P116" s="51" t="n">
        <v>22.2</v>
      </c>
      <c r="Q116" s="51" t="n">
        <v/>
      </c>
      <c r="R116" s="51" t="n">
        <v>24.2</v>
      </c>
      <c r="S116" s="51" t="n">
        <v>22.6</v>
      </c>
      <c r="T116" s="51" t="n">
        <v>24</v>
      </c>
      <c r="U116" s="51" t="n">
        <v>22.8</v>
      </c>
      <c r="V116" s="51" t="n">
        <v>24.2</v>
      </c>
      <c r="W116" s="51" t="n">
        <v>23</v>
      </c>
      <c r="X116" s="51" t="n">
        <v>23</v>
      </c>
      <c r="Y116" s="51" t="n">
        <v>22.6</v>
      </c>
      <c r="Z116" s="111" t="n">
        <v>23</v>
      </c>
      <c r="AA116" s="51" t="n">
        <v>24.2</v>
      </c>
      <c r="AB116" s="51" t="n">
        <v>24.4</v>
      </c>
      <c r="AC116" s="51" t="n">
        <v>23.8</v>
      </c>
      <c r="AD116" s="51" t="n">
        <v/>
      </c>
      <c r="AE116" s="51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88">
        <f>COUNTIF(K116:AO116,"&gt;0")</f>
        <v/>
      </c>
      <c r="AQ116" s="89">
        <f>IF(AP116&gt;14,AVERAGE(K116:AO116),"")</f>
        <v/>
      </c>
      <c r="AR116" s="89">
        <f>IFERROR(VLOOKUP(A116,Climatologia!A:U,9+$E$2,FALSE),"")</f>
        <v/>
      </c>
      <c r="AS116" s="89">
        <f>IF(OR(AQ116="",AR116=""),"",IFERROR(AQ116-AR116,""))</f>
        <v/>
      </c>
      <c r="AT116" s="90">
        <f>IF(COUNT(K116:AO116)=0,"",MIN(K116:AO116))</f>
        <v/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/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6" s="92">
        <f>IF(OR(AT116="",AU116=""),"NA",IFERROR(AT116-AU116,"NA"))</f>
        <v/>
      </c>
    </row>
    <row r="117" ht="14.25" customHeight="1">
      <c r="A117" s="48" t="n">
        <v>36025010</v>
      </c>
      <c r="B117" s="52" t="inlineStr">
        <is>
          <t>Tame</t>
        </is>
      </c>
      <c r="C117" s="52" t="inlineStr">
        <is>
          <t>Area Operativa 06 - Boyacá-Casanare-Vichada</t>
        </is>
      </c>
      <c r="D117" s="53" t="n">
        <v>-71.74502778</v>
      </c>
      <c r="E117" s="53" t="n">
        <v>6.456194444</v>
      </c>
      <c r="F117" s="48" t="n">
        <v>350</v>
      </c>
      <c r="G117" s="46" t="n">
        <v>81</v>
      </c>
      <c r="H117" s="46" t="n">
        <v>81794</v>
      </c>
      <c r="I117" s="55" t="inlineStr">
        <is>
          <t>Arauca</t>
        </is>
      </c>
      <c r="J117" s="55" t="inlineStr">
        <is>
          <t>Tame</t>
        </is>
      </c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111" t="n"/>
      <c r="AA117" s="51" t="n"/>
      <c r="AB117" s="51" t="n"/>
      <c r="AC117" s="51" t="n"/>
      <c r="AD117" s="51" t="n"/>
      <c r="AE117" s="51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88">
        <f>COUNTIF(K117:AO117,"&gt;0")</f>
        <v/>
      </c>
      <c r="AQ117" s="89">
        <f>IF(AP117&gt;14,AVERAGE(K117:AO117),"")</f>
        <v/>
      </c>
      <c r="AR117" s="89">
        <f>IFERROR(VLOOKUP(A117,Climatologia!A:U,9+$E$2,FALSE),"")</f>
        <v/>
      </c>
      <c r="AS117" s="89">
        <f>IF(OR(AQ117="",AR117=""),"",IFERROR(AQ117-AR117,""))</f>
        <v/>
      </c>
      <c r="AT117" s="90">
        <f>IF(COUNT(K117:AO117)=0,"",MIN(K117:AO117))</f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/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7" s="92">
        <f>IF(OR(AT117="",AU117=""),"NA",IFERROR(AT117-AU117,"NA"))</f>
        <v/>
      </c>
    </row>
    <row r="118" ht="14.25" customHeight="1">
      <c r="A118" s="48" t="n">
        <v>44015030</v>
      </c>
      <c r="B118" s="52" t="inlineStr">
        <is>
          <t>Valencia</t>
        </is>
      </c>
      <c r="C118" s="52" t="inlineStr">
        <is>
          <t>Area Operativa 07 - Nariño-Putumayo</t>
        </is>
      </c>
      <c r="D118" s="53" t="n">
        <v>-76.66875</v>
      </c>
      <c r="E118" s="53" t="n">
        <v>1.900416667</v>
      </c>
      <c r="F118" s="48" t="n">
        <v>2900</v>
      </c>
      <c r="G118" s="46" t="n">
        <v>19</v>
      </c>
      <c r="H118" s="46" t="n">
        <v>19693</v>
      </c>
      <c r="I118" s="55" t="inlineStr">
        <is>
          <t>Cauca</t>
        </is>
      </c>
      <c r="J118" s="55" t="inlineStr">
        <is>
          <t>San Sebastián</t>
        </is>
      </c>
      <c r="K118" s="51" t="n">
        <v>4.6</v>
      </c>
      <c r="L118" s="51" t="n">
        <v>7.4</v>
      </c>
      <c r="M118" s="51" t="n">
        <v>9.6</v>
      </c>
      <c r="N118" s="51" t="n">
        <v>8</v>
      </c>
      <c r="O118" s="51" t="n">
        <v>9.199999999999999</v>
      </c>
      <c r="P118" s="51" t="n">
        <v>7.6</v>
      </c>
      <c r="Q118" s="51" t="n">
        <v>8.800000000000001</v>
      </c>
      <c r="R118" s="51" t="n">
        <v>8.6</v>
      </c>
      <c r="S118" s="51" t="n">
        <v>10.2</v>
      </c>
      <c r="T118" s="51" t="n">
        <v>9.199999999999999</v>
      </c>
      <c r="U118" s="51" t="n">
        <v>9.4</v>
      </c>
      <c r="V118" s="51" t="n">
        <v>5</v>
      </c>
      <c r="W118" s="51" t="n">
        <v>5.6</v>
      </c>
      <c r="X118" s="51" t="n">
        <v>9.199999999999999</v>
      </c>
      <c r="Y118" s="51" t="n">
        <v>7.6</v>
      </c>
      <c r="Z118" s="111" t="n">
        <v>6.6</v>
      </c>
      <c r="AA118" s="51" t="n">
        <v>8.6</v>
      </c>
      <c r="AB118" s="51" t="n">
        <v>9.199999999999999</v>
      </c>
      <c r="AC118" s="51" t="n">
        <v>9</v>
      </c>
      <c r="AD118" s="51" t="n">
        <v>7.6</v>
      </c>
      <c r="AE118" s="51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88">
        <f>COUNTIF(K118:AO118,"&gt;0")</f>
        <v/>
      </c>
      <c r="AQ118" s="89">
        <f>IF(AP118&gt;14,AVERAGE(K118:AO118),"")</f>
        <v/>
      </c>
      <c r="AR118" s="89">
        <f>IFERROR(VLOOKUP(A118,Climatologia!A:U,9+$E$2,FALSE),"")</f>
        <v/>
      </c>
      <c r="AS118" s="89">
        <f>IF(OR(AQ118="",AR118=""),"",IFERROR(AQ118-AR118,""))</f>
        <v/>
      </c>
      <c r="AT118" s="90">
        <f>IF(COUNT(K118:AO118)=0,"",MIN(K118:AO118))</f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/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8" s="92">
        <f>IF(OR(AT118="",AU118=""),"NA",IFERROR(AT118-AU118,"NA"))</f>
        <v/>
      </c>
    </row>
    <row r="119" ht="14.25" customHeight="1">
      <c r="A119" s="48" t="n">
        <v>44015060</v>
      </c>
      <c r="B119" s="52" t="inlineStr">
        <is>
          <t>Acueducto Mocoa - Aut</t>
        </is>
      </c>
      <c r="C119" s="52" t="inlineStr">
        <is>
          <t>Area Operativa 07 - Nariño-Putumayo</t>
        </is>
      </c>
      <c r="D119" s="53" t="n">
        <v>-76.65183333</v>
      </c>
      <c r="E119" s="53" t="n">
        <v>1.157333333</v>
      </c>
      <c r="F119" s="48" t="n">
        <v>650</v>
      </c>
      <c r="G119" s="46" t="n">
        <v>86</v>
      </c>
      <c r="H119" s="46" t="n">
        <v>86001</v>
      </c>
      <c r="I119" s="55" t="inlineStr">
        <is>
          <t>Putumayo</t>
        </is>
      </c>
      <c r="J119" s="55" t="inlineStr">
        <is>
          <t>Mocoa</t>
        </is>
      </c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111" t="n"/>
      <c r="AA119" s="51" t="n"/>
      <c r="AB119" s="51" t="n"/>
      <c r="AC119" s="51" t="n"/>
      <c r="AD119" s="51" t="n"/>
      <c r="AE119" s="51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88">
        <f>COUNTIF(K119:AO119,"&gt;0")</f>
        <v/>
      </c>
      <c r="AQ119" s="89">
        <f>IF(AP119&gt;14,AVERAGE(K119:AO119),"")</f>
        <v/>
      </c>
      <c r="AR119" s="89">
        <f>IFERROR(VLOOKUP(A119,Climatologia!A:U,9+$E$2,FALSE),"")</f>
        <v/>
      </c>
      <c r="AS119" s="89">
        <f>IF(OR(AQ119="",AR119=""),"",IFERROR(AQ119-AR119,""))</f>
        <v/>
      </c>
      <c r="AT119" s="90">
        <f>IF(COUNT(K119:AO119)=0,"",MIN(K119:AO119))</f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/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9" s="92">
        <f>IF(OR(AT119="",AU119=""),"NA",IFERROR(AT119-AU119,"NA"))</f>
        <v/>
      </c>
    </row>
    <row r="120" ht="14.25" customHeight="1">
      <c r="A120" s="48" t="n">
        <v>47015040</v>
      </c>
      <c r="B120" s="52" t="inlineStr">
        <is>
          <t>Michoacan</t>
        </is>
      </c>
      <c r="C120" s="52" t="inlineStr">
        <is>
          <t>Area Operativa 07 - Nariño-Putumayo</t>
        </is>
      </c>
      <c r="D120" s="53" t="n">
        <v>-76.96097222</v>
      </c>
      <c r="E120" s="53" t="n">
        <v>1.198277778</v>
      </c>
      <c r="F120" s="48" t="n">
        <v>2100</v>
      </c>
      <c r="G120" s="46" t="n">
        <v>86</v>
      </c>
      <c r="H120" s="46" t="n">
        <v>86219</v>
      </c>
      <c r="I120" s="55" t="inlineStr">
        <is>
          <t>Putumayo</t>
        </is>
      </c>
      <c r="J120" s="55" t="inlineStr">
        <is>
          <t>Colón</t>
        </is>
      </c>
      <c r="K120" s="51" t="n">
        <v>8.300000000000001</v>
      </c>
      <c r="L120" s="51" t="n">
        <v>9.300000000000001</v>
      </c>
      <c r="M120" s="51" t="n">
        <v>10.5</v>
      </c>
      <c r="N120" s="51" t="n">
        <v>12.9</v>
      </c>
      <c r="O120" s="51" t="n">
        <v>12.4</v>
      </c>
      <c r="P120" s="51" t="n">
        <v>12.7</v>
      </c>
      <c r="Q120" s="51" t="n">
        <v>10.4</v>
      </c>
      <c r="R120" s="51" t="n">
        <v>11.5</v>
      </c>
      <c r="S120" s="51" t="n">
        <v>10.7</v>
      </c>
      <c r="T120" s="51" t="n">
        <v>11.4</v>
      </c>
      <c r="U120" s="51" t="n">
        <v>12.4</v>
      </c>
      <c r="V120" s="51" t="n">
        <v>11.7</v>
      </c>
      <c r="W120" s="51" t="n">
        <v>9.300000000000001</v>
      </c>
      <c r="X120" s="51" t="n">
        <v>10.6</v>
      </c>
      <c r="Y120" s="51" t="n">
        <v>10.9</v>
      </c>
      <c r="Z120" s="111" t="n">
        <v>10.3</v>
      </c>
      <c r="AA120" s="51" t="n">
        <v>13.5</v>
      </c>
      <c r="AB120" s="51" t="n">
        <v>12.5</v>
      </c>
      <c r="AC120" s="51" t="n">
        <v>13.1</v>
      </c>
      <c r="AD120" s="51" t="n">
        <v/>
      </c>
      <c r="AE120" s="51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88">
        <f>COUNTIF(K120:AO120,"&gt;0")</f>
        <v/>
      </c>
      <c r="AQ120" s="89">
        <f>IF(AP120&gt;14,AVERAGE(K120:AO120),"")</f>
        <v/>
      </c>
      <c r="AR120" s="89">
        <f>IFERROR(VLOOKUP(A120,Climatologia!A:U,9+$E$2,FALSE),"")</f>
        <v/>
      </c>
      <c r="AS120" s="89">
        <f>IF(OR(AQ120="",AR120=""),"",IFERROR(AQ120-AR120,""))</f>
        <v/>
      </c>
      <c r="AT120" s="90">
        <f>IF(COUNT(K120:AO120)=0,"",MIN(K120:AO120))</f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/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0" s="92">
        <f>IF(OR(AT120="",AU120=""),"NA",IFERROR(AT120-AU120,"NA"))</f>
        <v/>
      </c>
    </row>
    <row r="121" ht="14.25" customHeight="1">
      <c r="A121" s="48" t="n">
        <v>47015080</v>
      </c>
      <c r="B121" s="52" t="inlineStr">
        <is>
          <t>Monopamba</t>
        </is>
      </c>
      <c r="C121" s="52" t="inlineStr">
        <is>
          <t>Area Operativa 07 - Nariño-Putumayo</t>
        </is>
      </c>
      <c r="D121" s="53" t="n">
        <v>-77.30361111000001</v>
      </c>
      <c r="E121" s="53" t="n">
        <v>0.804916667</v>
      </c>
      <c r="F121" s="48" t="n">
        <v>1776</v>
      </c>
      <c r="G121" s="46" t="n">
        <v>52</v>
      </c>
      <c r="H121" s="46" t="n">
        <v>52573</v>
      </c>
      <c r="I121" s="55" t="inlineStr">
        <is>
          <t>Nariño</t>
        </is>
      </c>
      <c r="J121" s="55" t="inlineStr">
        <is>
          <t>Puerres</t>
        </is>
      </c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111" t="n"/>
      <c r="AA121" s="51" t="n"/>
      <c r="AB121" s="51" t="n"/>
      <c r="AC121" s="51" t="n"/>
      <c r="AD121" s="51" t="n"/>
      <c r="AE121" s="51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88">
        <f>COUNTIF(K121:AO121,"&gt;0")</f>
        <v/>
      </c>
      <c r="AQ121" s="89">
        <f>IF(AP121&gt;14,AVERAGE(K121:AO121),"")</f>
        <v/>
      </c>
      <c r="AR121" s="89">
        <f>IFERROR(VLOOKUP(A121,Climatologia!A:U,9+$E$2,FALSE),"")</f>
        <v/>
      </c>
      <c r="AS121" s="89">
        <f>IF(OR(AQ121="",AR121=""),"",IFERROR(AQ121-AR121,""))</f>
        <v/>
      </c>
      <c r="AT121" s="90">
        <f>IF(COUNT(K121:AO121)=0,"",MIN(K121:AO121))</f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/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1" s="92">
        <f>IF(OR(AT121="",AU121=""),"NA",IFERROR(AT121-AU121,"NA"))</f>
        <v/>
      </c>
    </row>
    <row r="122" ht="14.25" customHeight="1">
      <c r="A122" s="48" t="n">
        <v>47015100</v>
      </c>
      <c r="B122" s="52" t="inlineStr">
        <is>
          <t>El Encano - Aut</t>
        </is>
      </c>
      <c r="C122" s="52" t="inlineStr">
        <is>
          <t>Area Operativa 07 - Nariño-Putumayo</t>
        </is>
      </c>
      <c r="D122" s="53" t="n">
        <v>-77.16147221999999</v>
      </c>
      <c r="E122" s="53" t="n">
        <v>1.159944444</v>
      </c>
      <c r="F122" s="48" t="n">
        <v>2830</v>
      </c>
      <c r="G122" s="46" t="n">
        <v>52</v>
      </c>
      <c r="H122" s="46" t="n">
        <v>52001</v>
      </c>
      <c r="I122" s="55" t="inlineStr">
        <is>
          <t>Nariño</t>
        </is>
      </c>
      <c r="J122" s="55" t="inlineStr">
        <is>
          <t>Pasto</t>
        </is>
      </c>
      <c r="K122" s="51" t="n">
        <v>5.4</v>
      </c>
      <c r="L122" s="51" t="n">
        <v>6.8</v>
      </c>
      <c r="M122" s="51" t="n">
        <v>9.800000000000001</v>
      </c>
      <c r="N122" s="51" t="n">
        <v>7.8</v>
      </c>
      <c r="O122" s="51" t="n">
        <v>9.199999999999999</v>
      </c>
      <c r="P122" s="51" t="n">
        <v>7.2</v>
      </c>
      <c r="Q122" s="51" t="n">
        <v>7</v>
      </c>
      <c r="R122" s="51" t="n">
        <v>5.8</v>
      </c>
      <c r="S122" s="51" t="n">
        <v>8</v>
      </c>
      <c r="T122" s="51" t="n">
        <v>9</v>
      </c>
      <c r="U122" s="51" t="n">
        <v>8.4</v>
      </c>
      <c r="V122" s="51" t="n">
        <v>7.8</v>
      </c>
      <c r="W122" s="51" t="n">
        <v>7</v>
      </c>
      <c r="X122" s="51" t="n">
        <v>10</v>
      </c>
      <c r="Y122" s="51" t="n">
        <v>8.199999999999999</v>
      </c>
      <c r="Z122" s="111" t="n">
        <v>8.4</v>
      </c>
      <c r="AA122" s="51" t="n">
        <v>8.800000000000001</v>
      </c>
      <c r="AB122" s="51" t="n">
        <v>9.4</v>
      </c>
      <c r="AC122" s="51" t="n">
        <v>9.800000000000001</v>
      </c>
      <c r="AD122" s="51" t="n">
        <v>8.4</v>
      </c>
      <c r="AE122" s="51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88">
        <f>COUNTIF(K122:AO122,"&gt;0")</f>
        <v/>
      </c>
      <c r="AQ122" s="89">
        <f>IF(AP122&gt;14,AVERAGE(K122:AO122),"")</f>
        <v/>
      </c>
      <c r="AR122" s="89">
        <f>IFERROR(VLOOKUP(A122,Climatologia!A:U,9+$E$2,FALSE),"")</f>
        <v/>
      </c>
      <c r="AS122" s="89">
        <f>IF(OR(AQ122="",AR122=""),"",IFERROR(AQ122-AR122,""))</f>
        <v/>
      </c>
      <c r="AT122" s="90">
        <f>IF(COUNT(K122:AO122)=0,"",MIN(K122:AO122))</f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/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2" s="92">
        <f>IF(OR(AT122="",AU122=""),"NA",IFERROR(AT122-AU122,"NA"))</f>
        <v/>
      </c>
    </row>
    <row r="123" ht="14.25" customHeight="1">
      <c r="A123" s="48" t="n">
        <v>47035020</v>
      </c>
      <c r="B123" s="52" t="inlineStr">
        <is>
          <t>Puerto Ospina</t>
        </is>
      </c>
      <c r="C123" s="52" t="inlineStr">
        <is>
          <t>Area Operativa 07 - Nariño-Putumayo</t>
        </is>
      </c>
      <c r="D123" s="53" t="n">
        <v>-75.85111111000001</v>
      </c>
      <c r="E123" s="53" t="n">
        <v>0.132861111</v>
      </c>
      <c r="F123" s="48" t="n">
        <v>190</v>
      </c>
      <c r="G123" s="46" t="n">
        <v>86</v>
      </c>
      <c r="H123" s="46" t="n">
        <v>86573</v>
      </c>
      <c r="I123" s="55" t="inlineStr">
        <is>
          <t>Putumayo</t>
        </is>
      </c>
      <c r="J123" s="55" t="inlineStr">
        <is>
          <t>Puerto Leguízamo</t>
        </is>
      </c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111" t="n"/>
      <c r="AA123" s="51" t="n"/>
      <c r="AB123" s="51" t="n"/>
      <c r="AC123" s="51" t="n"/>
      <c r="AD123" s="51" t="n"/>
      <c r="AE123" s="51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88">
        <f>COUNTIF(K123:AO123,"&gt;0")</f>
        <v/>
      </c>
      <c r="AQ123" s="89">
        <f>IF(AP123&gt;14,AVERAGE(K123:AO123),"")</f>
        <v/>
      </c>
      <c r="AR123" s="89">
        <f>IFERROR(VLOOKUP(A123,Climatologia!A:U,9+$E$2,FALSE),"")</f>
        <v/>
      </c>
      <c r="AS123" s="89">
        <f>IF(OR(AQ123="",AR123=""),"",IFERROR(AQ123-AR123,""))</f>
        <v/>
      </c>
      <c r="AT123" s="90">
        <f>IF(COUNT(K123:AO123)=0,"",MIN(K123:AO123))</f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/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3" s="92">
        <f>IF(OR(AT123="",AU123=""),"NA",IFERROR(AT123-AU123,"NA"))</f>
        <v/>
      </c>
    </row>
    <row r="124" ht="14.25" customHeight="1">
      <c r="A124" s="48" t="n">
        <v>51025090</v>
      </c>
      <c r="B124" s="52" t="inlineStr">
        <is>
          <t>Granja El Mira - - Aut</t>
        </is>
      </c>
      <c r="C124" s="52" t="inlineStr">
        <is>
          <t>Area Operativa 07 - Nariño-Putumayo</t>
        </is>
      </c>
      <c r="D124" s="53" t="n">
        <v>-78.69558333000001</v>
      </c>
      <c r="E124" s="53" t="n">
        <v>1.550194444</v>
      </c>
      <c r="F124" s="48" t="n">
        <v>16</v>
      </c>
      <c r="G124" s="46" t="n">
        <v>52</v>
      </c>
      <c r="H124" s="46" t="n">
        <v>52835</v>
      </c>
      <c r="I124" s="55" t="inlineStr">
        <is>
          <t>Nariño</t>
        </is>
      </c>
      <c r="J124" s="55" t="inlineStr">
        <is>
          <t>San Andrés De Tumaco</t>
        </is>
      </c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111" t="n"/>
      <c r="AA124" s="51" t="n"/>
      <c r="AB124" s="51" t="n"/>
      <c r="AC124" s="51" t="n"/>
      <c r="AD124" s="51" t="n"/>
      <c r="AE124" s="51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88">
        <f>COUNTIF(K124:AO124,"&gt;0")</f>
        <v/>
      </c>
      <c r="AQ124" s="89">
        <f>IF(AP124&gt;14,AVERAGE(K124:AO124),"")</f>
        <v/>
      </c>
      <c r="AR124" s="89">
        <f>IFERROR(VLOOKUP(A124,Climatologia!A:U,9+$E$2,FALSE),"")</f>
        <v/>
      </c>
      <c r="AS124" s="89">
        <f>IF(OR(AQ124="",AR124=""),"",IFERROR(AQ124-AR124,""))</f>
        <v/>
      </c>
      <c r="AT124" s="90">
        <f>IF(COUNT(K124:AO124)=0,"",MIN(K124:AO124))</f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>
        <f>IF(OR(AT124="",AU124=""),"NA",IFERROR(AT124-AU124,"NA"))</f>
        <v/>
      </c>
    </row>
    <row r="125" ht="14.25" customHeight="1">
      <c r="A125" s="48" t="n">
        <v>52015010</v>
      </c>
      <c r="B125" s="52" t="inlineStr">
        <is>
          <t>Paispamba</t>
        </is>
      </c>
      <c r="C125" s="52" t="inlineStr">
        <is>
          <t>Area Operativa 07 - Nariño-Putumayo</t>
        </is>
      </c>
      <c r="D125" s="53" t="n">
        <v>-76.61194444</v>
      </c>
      <c r="E125" s="53" t="n">
        <v>2.249722222</v>
      </c>
      <c r="F125" s="48" t="n">
        <v>2450</v>
      </c>
      <c r="G125" s="46" t="n">
        <v>19</v>
      </c>
      <c r="H125" s="46" t="n">
        <v>19760</v>
      </c>
      <c r="I125" s="55" t="inlineStr">
        <is>
          <t>Cauca</t>
        </is>
      </c>
      <c r="J125" s="55" t="inlineStr">
        <is>
          <t>Sotará Paispamba</t>
        </is>
      </c>
      <c r="K125" s="51" t="n">
        <v>11.4</v>
      </c>
      <c r="L125" s="51" t="n">
        <v>12.6</v>
      </c>
      <c r="M125" s="51" t="n">
        <v>13.9</v>
      </c>
      <c r="N125" s="51" t="n">
        <v>13.8</v>
      </c>
      <c r="O125" s="51" t="n">
        <v>13.7</v>
      </c>
      <c r="P125" s="51" t="n">
        <v>13.2</v>
      </c>
      <c r="Q125" s="51" t="n">
        <v>12.6</v>
      </c>
      <c r="R125" s="51" t="n">
        <v>12.8</v>
      </c>
      <c r="S125" s="51" t="n">
        <v>14.7</v>
      </c>
      <c r="T125" s="51" t="n">
        <v>12.8</v>
      </c>
      <c r="U125" s="51" t="n">
        <v>13.4</v>
      </c>
      <c r="V125" s="51" t="n">
        <v>11.7</v>
      </c>
      <c r="W125" s="51" t="n">
        <v>13.3</v>
      </c>
      <c r="X125" s="51" t="n">
        <v>14.2</v>
      </c>
      <c r="Y125" s="51" t="n">
        <v>13.4</v>
      </c>
      <c r="Z125" s="111" t="n">
        <v>13.3</v>
      </c>
      <c r="AA125" s="51" t="n">
        <v>13.8</v>
      </c>
      <c r="AB125" s="51" t="n">
        <v>13.3</v>
      </c>
      <c r="AC125" s="51" t="n">
        <v>13.5</v>
      </c>
      <c r="AD125" s="51" t="n">
        <v>13.4</v>
      </c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88">
        <f>COUNTIF(K125:AO125,"&gt;0")</f>
        <v/>
      </c>
      <c r="AQ125" s="89">
        <f>IF(AP125&gt;14,AVERAGE(K125:AO125),"")</f>
        <v/>
      </c>
      <c r="AR125" s="89">
        <f>IFERROR(VLOOKUP(A125,Climatologia!A:U,9+$E$2,FALSE),"")</f>
        <v/>
      </c>
      <c r="AS125" s="89">
        <f>IF(OR(AQ125="",AR125=""),"",IFERROR(AQ125-AR125,""))</f>
        <v/>
      </c>
      <c r="AT125" s="90">
        <f>IF(COUNT(K125:AO125)=0,"",MIN(K125:AO125))</f>
        <v/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>
        <f>IF(OR(AT125="",AU125=""),"NA",IFERROR(AT125-AU125,"NA"))</f>
        <v/>
      </c>
    </row>
    <row r="126" ht="14.25" customHeight="1">
      <c r="A126" s="48" t="n">
        <v>52025020</v>
      </c>
      <c r="B126" s="52" t="inlineStr">
        <is>
          <t>Milagros Los</t>
        </is>
      </c>
      <c r="C126" s="52" t="inlineStr">
        <is>
          <t>Area Operativa 07 - Nariño-Putumayo</t>
        </is>
      </c>
      <c r="D126" s="53" t="n">
        <v>-76.89166667000001</v>
      </c>
      <c r="E126" s="53" t="n">
        <v>1.753333333</v>
      </c>
      <c r="F126" s="48" t="n">
        <v>2300</v>
      </c>
      <c r="G126" s="46" t="n">
        <v>19</v>
      </c>
      <c r="H126" s="46" t="n">
        <v>19100</v>
      </c>
      <c r="I126" s="55" t="inlineStr">
        <is>
          <t>Cauca</t>
        </is>
      </c>
      <c r="J126" s="55" t="inlineStr">
        <is>
          <t>Bolívar</t>
        </is>
      </c>
      <c r="K126" s="51" t="n">
        <v>13.4</v>
      </c>
      <c r="L126" s="51" t="n">
        <v>14.4</v>
      </c>
      <c r="M126" s="51" t="n">
        <v>15.8</v>
      </c>
      <c r="N126" s="51" t="n">
        <v>15.4</v>
      </c>
      <c r="O126" s="51" t="n">
        <v>15.2</v>
      </c>
      <c r="P126" s="51" t="n">
        <v>15.6</v>
      </c>
      <c r="Q126" s="51" t="n">
        <v>15.4</v>
      </c>
      <c r="R126" s="51" t="n">
        <v>15.6</v>
      </c>
      <c r="S126" s="51" t="n">
        <v>16.2</v>
      </c>
      <c r="T126" s="51" t="n">
        <v>14.4</v>
      </c>
      <c r="U126" s="51" t="n">
        <v>14.6</v>
      </c>
      <c r="V126" s="51" t="n">
        <v>15.4</v>
      </c>
      <c r="W126" s="51" t="n">
        <v>15.2</v>
      </c>
      <c r="X126" s="51" t="n">
        <v>16.4</v>
      </c>
      <c r="Y126" s="51" t="n">
        <v>15.6</v>
      </c>
      <c r="Z126" s="111" t="n">
        <v>16</v>
      </c>
      <c r="AA126" s="51" t="n">
        <v>15.6</v>
      </c>
      <c r="AB126" s="51" t="n">
        <v>16</v>
      </c>
      <c r="AC126" s="51" t="n">
        <v>15.8</v>
      </c>
      <c r="AD126" s="51" t="n">
        <v>15</v>
      </c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88">
        <f>COUNTIF(K126:AO126,"&gt;0")</f>
        <v/>
      </c>
      <c r="AQ126" s="89">
        <f>IF(AP126&gt;14,AVERAGE(K126:AO126),"")</f>
        <v/>
      </c>
      <c r="AR126" s="89">
        <f>IFERROR(VLOOKUP(A126,Climatologia!A:U,9+$E$2,FALSE),"")</f>
        <v/>
      </c>
      <c r="AS126" s="89">
        <f>IF(OR(AQ126="",AR126=""),"",IFERROR(AQ126-AR126,""))</f>
        <v/>
      </c>
      <c r="AT126" s="90">
        <f>IF(COUNT(K126:AO126)=0,"",MIN(K126:AO126))</f>
        <v/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/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6" s="92">
        <f>IF(OR(AT126="",AU126=""),"NA",IFERROR(AT126-AU126,"NA"))</f>
        <v/>
      </c>
    </row>
    <row r="127" ht="14.25" customHeight="1">
      <c r="A127" s="48" t="n">
        <v>52025090</v>
      </c>
      <c r="B127" s="52" t="inlineStr">
        <is>
          <t>La Sierra - Aut</t>
        </is>
      </c>
      <c r="C127" s="52" t="inlineStr">
        <is>
          <t>Area Operativa 07 - Nariño-Putumayo</t>
        </is>
      </c>
      <c r="D127" s="53" t="n">
        <v>-76.75033333</v>
      </c>
      <c r="E127" s="53" t="n">
        <v>2.193833333</v>
      </c>
      <c r="F127" s="48" t="n">
        <v>1870</v>
      </c>
      <c r="G127" s="46" t="n">
        <v>19</v>
      </c>
      <c r="H127" s="46" t="n">
        <v>19392</v>
      </c>
      <c r="I127" s="55" t="inlineStr">
        <is>
          <t>Cauca</t>
        </is>
      </c>
      <c r="J127" s="55" t="inlineStr">
        <is>
          <t>La Sierra</t>
        </is>
      </c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111" t="n"/>
      <c r="AA127" s="51" t="n"/>
      <c r="AB127" s="51" t="n"/>
      <c r="AC127" s="51" t="n"/>
      <c r="AD127" s="51" t="n"/>
      <c r="AE127" s="51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88">
        <f>COUNTIF(K127:AO127,"&gt;0")</f>
        <v/>
      </c>
      <c r="AQ127" s="89">
        <f>IF(AP127&gt;14,AVERAGE(K127:AO127),"")</f>
        <v/>
      </c>
      <c r="AR127" s="89">
        <f>IFERROR(VLOOKUP(A127,Climatologia!A:U,9+$E$2,FALSE),"")</f>
        <v/>
      </c>
      <c r="AS127" s="89">
        <f>IF(OR(AQ127="",AR127=""),"",IFERROR(AQ127-AR127,""))</f>
        <v/>
      </c>
      <c r="AT127" s="90">
        <f>IF(COUNT(K127:AO127)=0,"",MIN(K127:AO127))</f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/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7" s="92">
        <f>IF(OR(AT127="",AU127=""),"NA",IFERROR(AT127-AU127,"NA"))</f>
        <v/>
      </c>
    </row>
    <row r="128" ht="14.25" customHeight="1">
      <c r="A128" s="48" t="n">
        <v>52045010</v>
      </c>
      <c r="B128" s="52" t="inlineStr">
        <is>
          <t>Obonuco</t>
        </is>
      </c>
      <c r="C128" s="52" t="inlineStr">
        <is>
          <t>Area Operativa 07 - Nariño-Putumayo</t>
        </is>
      </c>
      <c r="D128" s="53" t="n">
        <v>-77.30308333000001</v>
      </c>
      <c r="E128" s="53" t="n">
        <v>1.198222222</v>
      </c>
      <c r="F128" s="48" t="n">
        <v>2710</v>
      </c>
      <c r="G128" s="46" t="n">
        <v>52</v>
      </c>
      <c r="H128" s="46" t="n">
        <v>52001</v>
      </c>
      <c r="I128" s="55" t="inlineStr">
        <is>
          <t>Nariño</t>
        </is>
      </c>
      <c r="J128" s="55" t="inlineStr">
        <is>
          <t>Pasto</t>
        </is>
      </c>
      <c r="K128" s="51" t="n">
        <v>8.800000000000001</v>
      </c>
      <c r="L128" s="51" t="n">
        <v>10.2</v>
      </c>
      <c r="M128" s="51" t="n">
        <v>10.8</v>
      </c>
      <c r="N128" s="51" t="n">
        <v>9.6</v>
      </c>
      <c r="O128" s="51" t="n">
        <v>11.4</v>
      </c>
      <c r="P128" s="51" t="n">
        <v>9.199999999999999</v>
      </c>
      <c r="Q128" s="51" t="n">
        <v>8.800000000000001</v>
      </c>
      <c r="R128" s="51" t="n">
        <v>9.800000000000001</v>
      </c>
      <c r="S128" s="51" t="n">
        <v>10.8</v>
      </c>
      <c r="T128" s="51" t="n">
        <v>11</v>
      </c>
      <c r="U128" s="51" t="n">
        <v>10.2</v>
      </c>
      <c r="V128" s="51" t="n">
        <v>11.2</v>
      </c>
      <c r="W128" s="51" t="n">
        <v>11</v>
      </c>
      <c r="X128" s="51" t="n">
        <v>11.3</v>
      </c>
      <c r="Y128" s="51" t="n">
        <v>10.8</v>
      </c>
      <c r="Z128" s="111" t="n">
        <v>11</v>
      </c>
      <c r="AA128" s="51" t="n">
        <v>11.3</v>
      </c>
      <c r="AB128" s="51" t="n">
        <v>11.6</v>
      </c>
      <c r="AC128" s="51" t="n">
        <v>11.4</v>
      </c>
      <c r="AD128" s="51" t="n">
        <v>11.2</v>
      </c>
      <c r="AE128" s="51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88">
        <f>COUNTIF(K128:AO128,"&gt;0")</f>
        <v/>
      </c>
      <c r="AQ128" s="89">
        <f>IF(AP128&gt;14,AVERAGE(K128:AO128),"")</f>
        <v/>
      </c>
      <c r="AR128" s="89">
        <f>IFERROR(VLOOKUP(A128,Climatologia!A:U,9+$E$2,FALSE),"")</f>
        <v/>
      </c>
      <c r="AS128" s="89">
        <f>IF(OR(AQ128="",AR128=""),"",IFERROR(AQ128-AR128,""))</f>
        <v/>
      </c>
      <c r="AT128" s="90">
        <f>IF(COUNT(K128:AO128)=0,"",MIN(K128:AO128))</f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/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8" s="92">
        <f>IF(OR(AT128="",AU128=""),"NA",IFERROR(AT128-AU128,"NA"))</f>
        <v/>
      </c>
    </row>
    <row r="129" ht="14.25" customHeight="1">
      <c r="A129" s="48" t="n">
        <v>52045030</v>
      </c>
      <c r="B129" s="52" t="inlineStr">
        <is>
          <t>San Bernardo</t>
        </is>
      </c>
      <c r="C129" s="52" t="inlineStr">
        <is>
          <t>Area Operativa 07 - Nariño-Putumayo</t>
        </is>
      </c>
      <c r="D129" s="53" t="n">
        <v>-77.03261111</v>
      </c>
      <c r="E129" s="53" t="n">
        <v>1.538722222</v>
      </c>
      <c r="F129" s="48" t="n">
        <v>2190</v>
      </c>
      <c r="G129" s="46" t="n">
        <v>52</v>
      </c>
      <c r="H129" s="46" t="n">
        <v>52685</v>
      </c>
      <c r="I129" s="55" t="inlineStr">
        <is>
          <t>Nariño</t>
        </is>
      </c>
      <c r="J129" s="55" t="inlineStr">
        <is>
          <t>San Bernardo</t>
        </is>
      </c>
      <c r="K129" s="51" t="n">
        <v>9.4</v>
      </c>
      <c r="L129" s="51" t="n">
        <v>13</v>
      </c>
      <c r="M129" s="51" t="n">
        <v>12.6</v>
      </c>
      <c r="N129" s="51" t="n">
        <v>13</v>
      </c>
      <c r="O129" s="51" t="n">
        <v>12.4</v>
      </c>
      <c r="P129" s="51" t="n">
        <v>11.8</v>
      </c>
      <c r="Q129" s="51" t="n">
        <v>12.2</v>
      </c>
      <c r="R129" s="51" t="n">
        <v>9.800000000000001</v>
      </c>
      <c r="S129" s="51" t="n">
        <v>14.6</v>
      </c>
      <c r="T129" s="51" t="n">
        <v>9.6</v>
      </c>
      <c r="U129" s="51" t="n">
        <v>10</v>
      </c>
      <c r="V129" s="51" t="n">
        <v>9.6</v>
      </c>
      <c r="W129" s="51" t="n">
        <v>10.4</v>
      </c>
      <c r="X129" s="51" t="n">
        <v>13.8</v>
      </c>
      <c r="Y129" s="51" t="n">
        <v>11.8</v>
      </c>
      <c r="Z129" s="111" t="n">
        <v>13</v>
      </c>
      <c r="AA129" s="51" t="n">
        <v>11</v>
      </c>
      <c r="AB129" s="51" t="n">
        <v>10.8</v>
      </c>
      <c r="AC129" s="51" t="n">
        <v>11.2</v>
      </c>
      <c r="AD129" s="51" t="n">
        <v>10.6</v>
      </c>
      <c r="AE129" s="51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88">
        <f>COUNTIF(K129:AO129,"&gt;0")</f>
        <v/>
      </c>
      <c r="AQ129" s="89">
        <f>IF(AP129&gt;14,AVERAGE(K129:AO129),"")</f>
        <v/>
      </c>
      <c r="AR129" s="89">
        <f>IFERROR(VLOOKUP(A129,Climatologia!A:U,9+$E$2,FALSE),"")</f>
        <v/>
      </c>
      <c r="AS129" s="89">
        <f>IF(OR(AQ129="",AR129=""),"",IFERROR(AQ129-AR129,""))</f>
        <v/>
      </c>
      <c r="AT129" s="90">
        <f>IF(COUNT(K129:AO129)=0,"",MIN(K129:AO129))</f>
        <v/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/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9" s="92">
        <f>IF(OR(AT129="",AU129=""),"NA",IFERROR(AT129-AU129,"NA"))</f>
        <v/>
      </c>
    </row>
    <row r="130" ht="14.25" customHeight="1">
      <c r="A130" s="48" t="n">
        <v>52045040</v>
      </c>
      <c r="B130" s="52" t="inlineStr">
        <is>
          <t>Taminango</t>
        </is>
      </c>
      <c r="C130" s="52" t="inlineStr">
        <is>
          <t>Area Operativa 07 - Nariño-Putumayo</t>
        </is>
      </c>
      <c r="D130" s="53" t="n">
        <v>-77.2675</v>
      </c>
      <c r="E130" s="53" t="n">
        <v>1.549166667</v>
      </c>
      <c r="F130" s="48" t="n">
        <v>1875</v>
      </c>
      <c r="G130" s="46" t="n">
        <v>52</v>
      </c>
      <c r="H130" s="46" t="n">
        <v>52786</v>
      </c>
      <c r="I130" s="55" t="inlineStr">
        <is>
          <t>Nariño</t>
        </is>
      </c>
      <c r="J130" s="55" t="inlineStr">
        <is>
          <t>Taminango</t>
        </is>
      </c>
      <c r="K130" s="51" t="n">
        <v>14.6</v>
      </c>
      <c r="L130" s="51" t="n">
        <v>15.2</v>
      </c>
      <c r="M130" s="51" t="n">
        <v>14.8</v>
      </c>
      <c r="N130" s="51" t="n">
        <v>16</v>
      </c>
      <c r="O130" s="51" t="n">
        <v>15.6</v>
      </c>
      <c r="P130" s="51" t="n">
        <v>15.4</v>
      </c>
      <c r="Q130" s="51" t="n">
        <v>15.2</v>
      </c>
      <c r="R130" s="51" t="n">
        <v>15</v>
      </c>
      <c r="S130" s="51" t="n">
        <v>14</v>
      </c>
      <c r="T130" s="51" t="n">
        <v>15.6</v>
      </c>
      <c r="U130" s="51" t="n">
        <v>15.8</v>
      </c>
      <c r="V130" s="51" t="n">
        <v>15.2</v>
      </c>
      <c r="W130" s="51" t="n">
        <v>16.8</v>
      </c>
      <c r="X130" s="51" t="n">
        <v>17</v>
      </c>
      <c r="Y130" s="51" t="n">
        <v>17</v>
      </c>
      <c r="Z130" s="111" t="n">
        <v>17.2</v>
      </c>
      <c r="AA130" s="51" t="n">
        <v>18.4</v>
      </c>
      <c r="AB130" s="51" t="n">
        <v>18.6</v>
      </c>
      <c r="AC130" s="51" t="n">
        <v>17.4</v>
      </c>
      <c r="AD130" s="51" t="n">
        <v>16.4</v>
      </c>
      <c r="AE130" s="51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88">
        <f>COUNTIF(K130:AO130,"&gt;0")</f>
        <v/>
      </c>
      <c r="AQ130" s="89">
        <f>IF(AP130&gt;14,AVERAGE(K130:AO130),"")</f>
        <v/>
      </c>
      <c r="AR130" s="89">
        <f>IFERROR(VLOOKUP(A130,Climatologia!A:U,9+$E$2,FALSE),"")</f>
        <v/>
      </c>
      <c r="AS130" s="89">
        <f>IF(OR(AQ130="",AR130=""),"",IFERROR(AQ130-AR130,""))</f>
        <v/>
      </c>
      <c r="AT130" s="90">
        <f>IF(COUNT(K130:AO130)=0,"",MIN(K130:AO130))</f>
        <v/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/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0" s="92">
        <f>IF(OR(AT130="",AU130=""),"NA",IFERROR(AT130-AU130,"NA"))</f>
        <v/>
      </c>
    </row>
    <row r="131" ht="14.25" customHeight="1">
      <c r="A131" s="48" t="n">
        <v>52045090</v>
      </c>
      <c r="B131" s="52" t="inlineStr">
        <is>
          <t>El Comun</t>
        </is>
      </c>
      <c r="C131" s="52" t="inlineStr">
        <is>
          <t>Area Operativa 07 - Nariño-Putumayo</t>
        </is>
      </c>
      <c r="D131" s="53" t="n">
        <v>-77.62958333</v>
      </c>
      <c r="E131" s="53" t="n">
        <v>0.932638889</v>
      </c>
      <c r="F131" s="48" t="n">
        <v>3141</v>
      </c>
      <c r="G131" s="46" t="n">
        <v>52</v>
      </c>
      <c r="H131" s="46" t="n">
        <v>52585</v>
      </c>
      <c r="I131" s="55" t="inlineStr">
        <is>
          <t>Nariño</t>
        </is>
      </c>
      <c r="J131" s="55" t="inlineStr">
        <is>
          <t>Pupiales</t>
        </is>
      </c>
      <c r="K131" s="51" t="n">
        <v>2.2</v>
      </c>
      <c r="L131" s="51" t="n">
        <v>3</v>
      </c>
      <c r="M131" s="51" t="n">
        <v>6.2</v>
      </c>
      <c r="N131" s="51" t="n">
        <v>6.4</v>
      </c>
      <c r="O131" s="51" t="n">
        <v>6</v>
      </c>
      <c r="P131" s="51" t="n">
        <v>6.4</v>
      </c>
      <c r="Q131" s="51" t="n">
        <v>6.2</v>
      </c>
      <c r="R131" s="51" t="n">
        <v>6.4</v>
      </c>
      <c r="S131" s="51" t="n">
        <v>5.2</v>
      </c>
      <c r="T131" s="51" t="n">
        <v/>
      </c>
      <c r="U131" s="51" t="n">
        <v>6</v>
      </c>
      <c r="V131" s="51" t="n">
        <v>4.8</v>
      </c>
      <c r="W131" s="51" t="n">
        <v>6</v>
      </c>
      <c r="X131" s="51" t="n">
        <v>6.2</v>
      </c>
      <c r="Y131" s="51" t="n">
        <v>7</v>
      </c>
      <c r="Z131" s="111" t="n">
        <v>6.4</v>
      </c>
      <c r="AA131" s="51" t="n">
        <v>6.4</v>
      </c>
      <c r="AB131" s="51" t="n">
        <v>5.4</v>
      </c>
      <c r="AC131" s="51" t="n">
        <v>7</v>
      </c>
      <c r="AD131" s="51" t="n">
        <v>6</v>
      </c>
      <c r="AE131" s="51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88">
        <f>COUNTIF(K131:AO131,"&gt;0")</f>
        <v/>
      </c>
      <c r="AQ131" s="89">
        <f>IF(AP131&gt;14,AVERAGE(K131:AO131),"")</f>
        <v/>
      </c>
      <c r="AR131" s="89">
        <f>IFERROR(VLOOKUP(A131,Climatologia!A:U,9+$E$2,FALSE),"")</f>
        <v/>
      </c>
      <c r="AS131" s="89">
        <f>IF(OR(AQ131="",AR131=""),"",IFERROR(AQ131-AR131,""))</f>
        <v/>
      </c>
      <c r="AT131" s="90">
        <f>IF(COUNT(K131:AO131)=0,"",MIN(K131:AO131))</f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/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1" s="92">
        <f>IF(OR(AT131="",AU131=""),"NA",IFERROR(AT131-AU131,"NA"))</f>
        <v/>
      </c>
    </row>
    <row r="132" ht="14.25" customHeight="1">
      <c r="A132" s="48" t="n">
        <v>52055030</v>
      </c>
      <c r="B132" s="52" t="inlineStr">
        <is>
          <t>Bombona</t>
        </is>
      </c>
      <c r="C132" s="52" t="inlineStr">
        <is>
          <t>Area Operativa 07 - Nariño-Putumayo</t>
        </is>
      </c>
      <c r="D132" s="53" t="n">
        <v>-77.46511111</v>
      </c>
      <c r="E132" s="53" t="n">
        <v>1.184361111</v>
      </c>
      <c r="F132" s="48" t="n">
        <v>1493</v>
      </c>
      <c r="G132" s="46" t="n">
        <v>52</v>
      </c>
      <c r="H132" s="46" t="n">
        <v>52207</v>
      </c>
      <c r="I132" s="55" t="inlineStr">
        <is>
          <t>Nariño</t>
        </is>
      </c>
      <c r="J132" s="55" t="inlineStr">
        <is>
          <t>Consacá</t>
        </is>
      </c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11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88">
        <f>COUNTIF(K132:AO132,"&gt;0")</f>
        <v/>
      </c>
      <c r="AQ132" s="89">
        <f>IF(AP132&gt;14,AVERAGE(K132:AO132),"")</f>
        <v/>
      </c>
      <c r="AR132" s="89">
        <f>IFERROR(VLOOKUP(A132,Climatologia!A:U,9+$E$2,FALSE),"")</f>
        <v/>
      </c>
      <c r="AS132" s="89">
        <f>IF(OR(AQ132="",AR132=""),"",IFERROR(AQ132-AR132,""))</f>
        <v/>
      </c>
      <c r="AT132" s="90">
        <f>IF(COUNT(K132:AO132)=0,"",MIN(K132:AO132))</f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/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2" s="92">
        <f>IF(OR(AT132="",AU132=""),"NA",IFERROR(AT132-AU132,"NA"))</f>
        <v/>
      </c>
    </row>
    <row r="133" ht="14.25" customHeight="1">
      <c r="A133" s="48" t="n">
        <v>52055060</v>
      </c>
      <c r="B133" s="52" t="inlineStr">
        <is>
          <t>Tanama</t>
        </is>
      </c>
      <c r="C133" s="52" t="inlineStr">
        <is>
          <t>Area Operativa 07 - Nariño-Putumayo</t>
        </is>
      </c>
      <c r="D133" s="53" t="n">
        <v>-77.58305556000001</v>
      </c>
      <c r="E133" s="53" t="n">
        <v>1.373555556</v>
      </c>
      <c r="F133" s="48" t="n">
        <v>1500</v>
      </c>
      <c r="G133" s="46" t="n">
        <v>52</v>
      </c>
      <c r="H133" s="46" t="n">
        <v>52678</v>
      </c>
      <c r="I133" s="55" t="inlineStr">
        <is>
          <t>Nariño</t>
        </is>
      </c>
      <c r="J133" s="55" t="inlineStr">
        <is>
          <t>Samaniego</t>
        </is>
      </c>
      <c r="K133" s="51" t="n">
        <v>14.2</v>
      </c>
      <c r="L133" s="51" t="n">
        <v>16</v>
      </c>
      <c r="M133" s="51" t="n">
        <v>15.8</v>
      </c>
      <c r="N133" s="51" t="n">
        <v>16.2</v>
      </c>
      <c r="O133" s="51" t="n">
        <v>15.4</v>
      </c>
      <c r="P133" s="51" t="n">
        <v>17</v>
      </c>
      <c r="Q133" s="51" t="n">
        <v>15</v>
      </c>
      <c r="R133" s="51" t="n">
        <v>14.8</v>
      </c>
      <c r="S133" s="51" t="n">
        <v>16.6</v>
      </c>
      <c r="T133" s="51" t="n">
        <v>14.2</v>
      </c>
      <c r="U133" s="51" t="n">
        <v>17.2</v>
      </c>
      <c r="V133" s="51" t="n">
        <v>15</v>
      </c>
      <c r="W133" s="51" t="n">
        <v>14.6</v>
      </c>
      <c r="X133" s="51" t="n">
        <v>14</v>
      </c>
      <c r="Y133" s="51" t="n">
        <v>16.2</v>
      </c>
      <c r="Z133" s="111" t="n">
        <v>15.8</v>
      </c>
      <c r="AA133" s="51" t="n">
        <v>17</v>
      </c>
      <c r="AB133" s="51" t="n">
        <v>16.2</v>
      </c>
      <c r="AC133" s="51" t="n">
        <v>15.8</v>
      </c>
      <c r="AD133" s="51" t="n">
        <v>17.8</v>
      </c>
      <c r="AE133" s="51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88">
        <f>COUNTIF(K133:AO133,"&gt;0")</f>
        <v/>
      </c>
      <c r="AQ133" s="89">
        <f>IF(AP133&gt;14,AVERAGE(K133:AO133),"")</f>
        <v/>
      </c>
      <c r="AR133" s="89">
        <f>IFERROR(VLOOKUP(A133,Climatologia!A:U,9+$E$2,FALSE),"")</f>
        <v/>
      </c>
      <c r="AS133" s="89">
        <f>IF(OR(AQ133="",AR133=""),"",IFERROR(AQ133-AR133,""))</f>
        <v/>
      </c>
      <c r="AT133" s="90">
        <f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/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3" s="92">
        <f>IF(OR(AT133="",AU133=""),"NA",IFERROR(AT133-AU133,"NA"))</f>
        <v/>
      </c>
    </row>
    <row r="134" ht="14.25" customHeight="1">
      <c r="A134" s="48" t="n">
        <v>52055090</v>
      </c>
      <c r="B134" s="52" t="inlineStr">
        <is>
          <t>Sindagua</t>
        </is>
      </c>
      <c r="C134" s="52" t="inlineStr">
        <is>
          <t>Area Operativa 07 - Nariño-Putumayo</t>
        </is>
      </c>
      <c r="D134" s="53" t="n">
        <v>-77.38936111</v>
      </c>
      <c r="E134" s="53" t="n">
        <v>1.107583333</v>
      </c>
      <c r="F134" s="48" t="n">
        <v>2800</v>
      </c>
      <c r="G134" s="46" t="n">
        <v>52</v>
      </c>
      <c r="H134" s="46" t="n">
        <v>52788</v>
      </c>
      <c r="I134" s="55" t="inlineStr">
        <is>
          <t>Nariño</t>
        </is>
      </c>
      <c r="J134" s="55" t="inlineStr">
        <is>
          <t>Tangua</t>
        </is>
      </c>
      <c r="K134" s="51" t="n">
        <v>8.4</v>
      </c>
      <c r="L134" s="51" t="n">
        <v>9</v>
      </c>
      <c r="M134" s="51" t="n">
        <v>12</v>
      </c>
      <c r="N134" s="51" t="n">
        <v>12</v>
      </c>
      <c r="O134" s="51" t="n">
        <v/>
      </c>
      <c r="P134" s="51" t="n">
        <v/>
      </c>
      <c r="Q134" s="51" t="n">
        <v>10</v>
      </c>
      <c r="R134" s="51" t="n">
        <v>10.8</v>
      </c>
      <c r="S134" s="51" t="n">
        <v>11.8</v>
      </c>
      <c r="T134" s="51" t="n">
        <v>11</v>
      </c>
      <c r="U134" s="51" t="n">
        <v>10.1</v>
      </c>
      <c r="V134" s="51" t="n">
        <v>11</v>
      </c>
      <c r="W134" s="51" t="n">
        <v>12</v>
      </c>
      <c r="X134" s="51" t="n">
        <v>11.9</v>
      </c>
      <c r="Y134" s="51" t="n">
        <v>11</v>
      </c>
      <c r="Z134" s="111" t="n">
        <v>10</v>
      </c>
      <c r="AA134" s="51" t="n">
        <v>10.4</v>
      </c>
      <c r="AB134" s="51" t="n">
        <v>11.5</v>
      </c>
      <c r="AC134" s="51" t="n">
        <v>10.2</v>
      </c>
      <c r="AD134" s="51" t="n">
        <v>10.3</v>
      </c>
      <c r="AE134" s="51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88">
        <f>COUNTIF(K134:AO134,"&gt;0")</f>
        <v/>
      </c>
      <c r="AQ134" s="89">
        <f>IF(AP134&gt;14,AVERAGE(K134:AO134),"")</f>
        <v/>
      </c>
      <c r="AR134" s="89">
        <f>IFERROR(VLOOKUP(A134,Climatologia!A:U,9+$E$2,FALSE),"")</f>
        <v/>
      </c>
      <c r="AS134" s="89">
        <f>IF(OR(AQ134="",AR134=""),"",IFERROR(AQ134-AR134,""))</f>
        <v/>
      </c>
      <c r="AT134" s="90">
        <f>IF(COUNT(K134:AO134)=0,"",MIN(K134:AO134))</f>
        <v/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/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4" s="92">
        <f>IF(OR(AT134="",AU134=""),"NA",IFERROR(AT134-AU134,"NA"))</f>
        <v/>
      </c>
    </row>
    <row r="135" ht="14.25" customHeight="1">
      <c r="A135" s="48" t="n">
        <v>52055200</v>
      </c>
      <c r="B135" s="52" t="inlineStr">
        <is>
          <t>Funes</t>
        </is>
      </c>
      <c r="C135" s="52" t="inlineStr">
        <is>
          <t>Area Operativa 07 - Nariño-Putumayo</t>
        </is>
      </c>
      <c r="D135" s="53" t="n">
        <v>-77.44580556</v>
      </c>
      <c r="E135" s="53" t="n">
        <v>1.004222222</v>
      </c>
      <c r="F135" s="48" t="n">
        <v>2181</v>
      </c>
      <c r="G135" s="46" t="n">
        <v>52</v>
      </c>
      <c r="H135" s="46" t="n">
        <v>52287</v>
      </c>
      <c r="I135" s="55" t="inlineStr">
        <is>
          <t>Nariño</t>
        </is>
      </c>
      <c r="J135" s="55" t="inlineStr">
        <is>
          <t>Funes</t>
        </is>
      </c>
      <c r="K135" s="51" t="n">
        <v>10.4</v>
      </c>
      <c r="L135" s="51" t="n">
        <v>12</v>
      </c>
      <c r="M135" s="51" t="n">
        <v>13.8</v>
      </c>
      <c r="N135" s="51" t="n">
        <v>9.199999999999999</v>
      </c>
      <c r="O135" s="51" t="n">
        <v>16</v>
      </c>
      <c r="P135" s="51" t="n">
        <v>14.4</v>
      </c>
      <c r="Q135" s="51" t="n">
        <v>11.6</v>
      </c>
      <c r="R135" s="51" t="n">
        <v>12</v>
      </c>
      <c r="S135" s="51" t="n">
        <v>16.2</v>
      </c>
      <c r="T135" s="51" t="n">
        <v>11.8</v>
      </c>
      <c r="U135" s="51" t="n">
        <v>13.6</v>
      </c>
      <c r="V135" s="51" t="n">
        <v>13.8</v>
      </c>
      <c r="W135" s="51" t="n">
        <v>15</v>
      </c>
      <c r="X135" s="51" t="n">
        <v>14.4</v>
      </c>
      <c r="Y135" s="51" t="n">
        <v>14.4</v>
      </c>
      <c r="Z135" s="111" t="n">
        <v>15.2</v>
      </c>
      <c r="AA135" s="51" t="n">
        <v>9.6</v>
      </c>
      <c r="AB135" s="51" t="n">
        <v>9.800000000000001</v>
      </c>
      <c r="AC135" s="51" t="n">
        <v>13.4</v>
      </c>
      <c r="AD135" s="51" t="n">
        <v>14.8</v>
      </c>
      <c r="AE135" s="51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88">
        <f>COUNTIF(K135:AO135,"&gt;0")</f>
        <v/>
      </c>
      <c r="AQ135" s="89">
        <f>IF(AP135&gt;14,AVERAGE(K135:AO135),"")</f>
        <v/>
      </c>
      <c r="AR135" s="89">
        <f>IFERROR(VLOOKUP(A135,Climatologia!A:U,9+$E$2,FALSE),"")</f>
        <v/>
      </c>
      <c r="AS135" s="89">
        <f>IF(OR(AQ135="",AR135=""),"",IFERROR(AQ135-AR135,""))</f>
        <v/>
      </c>
      <c r="AT135" s="90">
        <f>IF(COUNT(K135:AO135)=0,"",MIN(K135:AO135))</f>
        <v/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/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5" s="92">
        <f>IF(OR(AT135="",AU135=""),"NA",IFERROR(AT135-AU135,"NA"))</f>
        <v/>
      </c>
    </row>
    <row r="136" ht="14.25" customHeight="1">
      <c r="A136" s="48" t="n">
        <v>52055210</v>
      </c>
      <c r="B136" s="52" t="inlineStr">
        <is>
          <t>Botana - Aut</t>
        </is>
      </c>
      <c r="C136" s="52" t="inlineStr">
        <is>
          <t>Area Operativa 07 - Nariño-Putumayo</t>
        </is>
      </c>
      <c r="D136" s="53" t="n">
        <v>-77.27880556</v>
      </c>
      <c r="E136" s="53" t="n">
        <v>1.16</v>
      </c>
      <c r="F136" s="48" t="n">
        <v>2820</v>
      </c>
      <c r="G136" s="46" t="n">
        <v>52</v>
      </c>
      <c r="H136" s="46" t="n">
        <v>52001</v>
      </c>
      <c r="I136" s="55" t="inlineStr">
        <is>
          <t>Nariño</t>
        </is>
      </c>
      <c r="J136" s="55" t="inlineStr">
        <is>
          <t>Pasto</t>
        </is>
      </c>
      <c r="K136" s="51" t="n">
        <v>6.4</v>
      </c>
      <c r="L136" s="51" t="n">
        <v>9.199999999999999</v>
      </c>
      <c r="M136" s="51" t="n">
        <v>10.8</v>
      </c>
      <c r="N136" s="51" t="n">
        <v>9</v>
      </c>
      <c r="O136" s="51" t="n">
        <v>10.8</v>
      </c>
      <c r="P136" s="51" t="n">
        <v>8</v>
      </c>
      <c r="Q136" s="51" t="n">
        <v>7.2</v>
      </c>
      <c r="R136" s="51" t="n">
        <v>8.6</v>
      </c>
      <c r="S136" s="51" t="n">
        <v>10</v>
      </c>
      <c r="T136" s="51" t="n">
        <v>10.6</v>
      </c>
      <c r="U136" s="51" t="n">
        <v>10.4</v>
      </c>
      <c r="V136" s="51" t="n">
        <v>10.8</v>
      </c>
      <c r="W136" s="51" t="n">
        <v>9.800000000000001</v>
      </c>
      <c r="X136" s="51" t="n">
        <v>11.2</v>
      </c>
      <c r="Y136" s="51" t="n">
        <v>9.4</v>
      </c>
      <c r="Z136" s="111" t="n">
        <v>11.4</v>
      </c>
      <c r="AA136" s="51" t="n">
        <v>10.6</v>
      </c>
      <c r="AB136" s="51" t="n">
        <v>11</v>
      </c>
      <c r="AC136" s="51" t="n">
        <v>10.4</v>
      </c>
      <c r="AD136" s="51" t="n">
        <v>10</v>
      </c>
      <c r="AE136" s="51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88">
        <f>COUNTIF(K136:AO136,"&gt;0")</f>
        <v/>
      </c>
      <c r="AQ136" s="89">
        <f>IF(AP136&gt;14,AVERAGE(K136:AO136),"")</f>
        <v/>
      </c>
      <c r="AR136" s="89">
        <f>IFERROR(VLOOKUP(A136,Climatologia!A:U,9+$E$2,FALSE),"")</f>
        <v/>
      </c>
      <c r="AS136" s="89">
        <f>IF(OR(AQ136="",AR136=""),"",IFERROR(AQ136-AR136,""))</f>
        <v/>
      </c>
      <c r="AT136" s="90">
        <f>IF(COUNT(K136:AO136)=0,"",MIN(K136:AO136))</f>
        <v/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/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6" s="92">
        <f>IF(OR(AT136="",AU136=""),"NA",IFERROR(AT136-AU136,"NA"))</f>
        <v/>
      </c>
    </row>
    <row r="137" ht="14.25" customHeight="1">
      <c r="A137" s="48" t="n">
        <v>52055220</v>
      </c>
      <c r="B137" s="52" t="inlineStr">
        <is>
          <t>El Paraiso - Aut</t>
        </is>
      </c>
      <c r="C137" s="52" t="inlineStr">
        <is>
          <t>Area Operativa 07 - Nariño-Putumayo</t>
        </is>
      </c>
      <c r="D137" s="53" t="n">
        <v>-77.636935689</v>
      </c>
      <c r="E137" s="53" t="n">
        <v>1.070707855</v>
      </c>
      <c r="F137" s="48" t="n">
        <v>3033</v>
      </c>
      <c r="G137" s="46" t="n">
        <v>52</v>
      </c>
      <c r="H137" s="46" t="n">
        <v>52838</v>
      </c>
      <c r="I137" s="55" t="inlineStr">
        <is>
          <t>Nariño</t>
        </is>
      </c>
      <c r="J137" s="55" t="inlineStr">
        <is>
          <t>Túquerres</t>
        </is>
      </c>
      <c r="K137" s="51" t="n">
        <v>6</v>
      </c>
      <c r="L137" s="51" t="n">
        <v>6.2</v>
      </c>
      <c r="M137" s="51" t="n">
        <v>8.4</v>
      </c>
      <c r="N137" s="51" t="n">
        <v>8</v>
      </c>
      <c r="O137" s="51" t="n">
        <v>8.4</v>
      </c>
      <c r="P137" s="51" t="n">
        <v>5.6</v>
      </c>
      <c r="Q137" s="51" t="n">
        <v>6.2</v>
      </c>
      <c r="R137" s="51" t="n">
        <v>6</v>
      </c>
      <c r="S137" s="51" t="n">
        <v>6.4</v>
      </c>
      <c r="T137" s="51" t="n">
        <v>7.2</v>
      </c>
      <c r="U137" s="51" t="n">
        <v>7.8</v>
      </c>
      <c r="V137" s="51" t="n">
        <v>7.6</v>
      </c>
      <c r="W137" s="51" t="n">
        <v>7.8</v>
      </c>
      <c r="X137" s="51" t="n">
        <v>9</v>
      </c>
      <c r="Y137" s="51" t="n">
        <v>8.699999999999999</v>
      </c>
      <c r="Z137" s="111" t="n">
        <v>8</v>
      </c>
      <c r="AA137" s="51" t="n">
        <v>7.8</v>
      </c>
      <c r="AB137" s="51" t="n">
        <v>7.6</v>
      </c>
      <c r="AC137" s="51" t="n">
        <v>8.4</v>
      </c>
      <c r="AD137" s="51" t="n">
        <v>7.6</v>
      </c>
      <c r="AE137" s="51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88">
        <f>COUNTIF(K137:AO137,"&gt;0")</f>
        <v/>
      </c>
      <c r="AQ137" s="89">
        <f>IF(AP137&gt;14,AVERAGE(K137:AO137),"")</f>
        <v/>
      </c>
      <c r="AR137" s="89">
        <f>IFERROR(VLOOKUP(A137,Climatologia!A:U,9+$E$2,FALSE),"")</f>
        <v/>
      </c>
      <c r="AS137" s="89">
        <f>IF(OR(AQ137="",AR137=""),"",IFERROR(AQ137-AR137,""))</f>
        <v/>
      </c>
      <c r="AT137" s="90">
        <f>IF(COUNT(K137:AO137)=0,"",MIN(K137:AO137))</f>
        <v/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/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7" s="92">
        <f>IF(OR(AT137="",AU137=""),"NA",IFERROR(AT137-AU137,"NA"))</f>
        <v/>
      </c>
    </row>
    <row r="138" ht="14.25" customHeight="1">
      <c r="A138" s="48" t="n">
        <v>53045040</v>
      </c>
      <c r="B138" s="52" t="inlineStr">
        <is>
          <t>Aeropuerto Guapi - Aut</t>
        </is>
      </c>
      <c r="C138" s="52" t="inlineStr">
        <is>
          <t>Area Operativa 07 - Nariño-Putumayo</t>
        </is>
      </c>
      <c r="D138" s="53" t="n">
        <v>-77.89475</v>
      </c>
      <c r="E138" s="53" t="n">
        <v>2.574416667</v>
      </c>
      <c r="F138" s="48" t="n">
        <v>42</v>
      </c>
      <c r="G138" s="46" t="n">
        <v>19</v>
      </c>
      <c r="H138" s="46" t="n">
        <v>19318</v>
      </c>
      <c r="I138" s="55" t="inlineStr">
        <is>
          <t>Cauca</t>
        </is>
      </c>
      <c r="J138" s="55" t="inlineStr">
        <is>
          <t>Guapi</t>
        </is>
      </c>
      <c r="K138" s="51" t="n">
        <v>23.8</v>
      </c>
      <c r="L138" s="51" t="n">
        <v>23.6</v>
      </c>
      <c r="M138" s="51" t="n">
        <v>24.2</v>
      </c>
      <c r="N138" s="51" t="n">
        <v>25.4</v>
      </c>
      <c r="O138" s="51" t="n">
        <v>24.6</v>
      </c>
      <c r="P138" s="51" t="n">
        <v>24.2</v>
      </c>
      <c r="Q138" s="51" t="n">
        <v>24</v>
      </c>
      <c r="R138" s="51" t="n">
        <v>24.2</v>
      </c>
      <c r="S138" s="51" t="n">
        <v>24.6</v>
      </c>
      <c r="T138" s="51" t="n">
        <v>24.4</v>
      </c>
      <c r="U138" s="51" t="n">
        <v>23.8</v>
      </c>
      <c r="V138" s="51" t="n">
        <v>23.6</v>
      </c>
      <c r="W138" s="51" t="n">
        <v>24.8</v>
      </c>
      <c r="X138" s="51" t="n">
        <v>25.4</v>
      </c>
      <c r="Y138" s="51" t="n">
        <v>25.2</v>
      </c>
      <c r="Z138" s="111" t="n">
        <v>25.2</v>
      </c>
      <c r="AA138" s="51" t="n">
        <v>25</v>
      </c>
      <c r="AB138" s="51" t="n">
        <v>24.8</v>
      </c>
      <c r="AC138" s="51" t="n">
        <v>25.4</v>
      </c>
      <c r="AD138" s="51" t="n">
        <v>25</v>
      </c>
      <c r="AE138" s="51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88">
        <f>COUNTIF(K138:AO138,"&gt;0")</f>
        <v/>
      </c>
      <c r="AQ138" s="89">
        <f>IF(AP138&gt;14,AVERAGE(K138:AO138),"")</f>
        <v/>
      </c>
      <c r="AR138" s="89">
        <f>IFERROR(VLOOKUP(A138,Climatologia!A:U,9+$E$2,FALSE),"")</f>
        <v/>
      </c>
      <c r="AS138" s="89">
        <f>IF(OR(AQ138="",AR138=""),"",IFERROR(AQ138-AR138,""))</f>
        <v/>
      </c>
      <c r="AT138" s="90">
        <f>IF(COUNT(K138:AO138)=0,"",MIN(K138:AO138))</f>
        <v/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>
        <f>IF(OR(AT138="",AU138=""),"NA",IFERROR(AT138-AU138,"NA"))</f>
        <v/>
      </c>
    </row>
    <row r="139" ht="14.25" customHeight="1">
      <c r="A139" s="48" t="n">
        <v>16015020</v>
      </c>
      <c r="B139" s="52" t="inlineStr">
        <is>
          <t>Iser Pamplona</t>
        </is>
      </c>
      <c r="C139" s="52" t="inlineStr">
        <is>
          <t>Area Operativa 08 - Santanderes-Arauca</t>
        </is>
      </c>
      <c r="D139" s="53" t="n">
        <v>-72.645</v>
      </c>
      <c r="E139" s="53" t="n">
        <v>7.373111111</v>
      </c>
      <c r="F139" s="48" t="n">
        <v>2340</v>
      </c>
      <c r="G139" s="46" t="n">
        <v>54</v>
      </c>
      <c r="H139" s="46" t="n">
        <v>54518</v>
      </c>
      <c r="I139" s="55" t="inlineStr">
        <is>
          <t>Norte De Santander</t>
        </is>
      </c>
      <c r="J139" s="55" t="inlineStr">
        <is>
          <t>Pamplona</t>
        </is>
      </c>
      <c r="K139" s="51" t="n">
        <v>11.8</v>
      </c>
      <c r="L139" s="51" t="n">
        <v>12</v>
      </c>
      <c r="M139" s="51" t="n">
        <v>12.2</v>
      </c>
      <c r="N139" s="51" t="n">
        <v>10.4</v>
      </c>
      <c r="O139" s="51" t="n">
        <v>12.2</v>
      </c>
      <c r="P139" s="51" t="n">
        <v>11.8</v>
      </c>
      <c r="Q139" s="51" t="n">
        <v>11.2</v>
      </c>
      <c r="R139" s="51" t="n">
        <v>12</v>
      </c>
      <c r="S139" s="51" t="n">
        <v>10.8</v>
      </c>
      <c r="T139" s="51" t="n">
        <v>11.8</v>
      </c>
      <c r="U139" s="51" t="n">
        <v>12.2</v>
      </c>
      <c r="V139" s="51" t="n">
        <v>12.6</v>
      </c>
      <c r="W139" s="51" t="n">
        <v>13</v>
      </c>
      <c r="X139" s="51" t="n">
        <v>12.8</v>
      </c>
      <c r="Y139" s="51" t="n">
        <v>11.2</v>
      </c>
      <c r="Z139" s="111" t="n">
        <v>12.2</v>
      </c>
      <c r="AA139" s="51" t="n">
        <v>10.2</v>
      </c>
      <c r="AB139" s="51" t="n">
        <v/>
      </c>
      <c r="AC139" s="51" t="n">
        <v/>
      </c>
      <c r="AD139" s="51" t="n">
        <v/>
      </c>
      <c r="AE139" s="51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88">
        <f>COUNTIF(K139:AO139,"&gt;0")</f>
        <v/>
      </c>
      <c r="AQ139" s="89">
        <f>IF(AP139&gt;14,AVERAGE(K139:AO139),"")</f>
        <v/>
      </c>
      <c r="AR139" s="89">
        <f>IFERROR(VLOOKUP(A139,Climatologia!A:U,9+$E$2,FALSE),"")</f>
        <v/>
      </c>
      <c r="AS139" s="89">
        <f>IF(OR(AQ139="",AR139=""),"",IFERROR(AQ139-AR139,""))</f>
        <v/>
      </c>
      <c r="AT139" s="90">
        <f>IF(COUNT(K139:AO139)=0,"",MIN(K139:AO139))</f>
        <v/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>
        <f>IF(OR(AT139="",AU139=""),"NA",IFERROR(AT139-AU139,"NA"))</f>
        <v/>
      </c>
    </row>
    <row r="140" ht="14.25" customHeight="1">
      <c r="A140" s="48" t="n">
        <v>16015100</v>
      </c>
      <c r="B140" s="52" t="inlineStr">
        <is>
          <t>Ragonvalia</t>
        </is>
      </c>
      <c r="C140" s="52" t="inlineStr">
        <is>
          <t>Area Operativa 08 - Santanderes-Arauca</t>
        </is>
      </c>
      <c r="D140" s="53" t="n">
        <v>-72.48388889</v>
      </c>
      <c r="E140" s="53" t="n">
        <v>7.576666667</v>
      </c>
      <c r="F140" s="48" t="n">
        <v>1550</v>
      </c>
      <c r="G140" s="46" t="n">
        <v>54</v>
      </c>
      <c r="H140" s="46" t="n">
        <v>54599</v>
      </c>
      <c r="I140" s="55" t="inlineStr">
        <is>
          <t>Norte De Santander</t>
        </is>
      </c>
      <c r="J140" s="55" t="inlineStr">
        <is>
          <t>Ragonvalia</t>
        </is>
      </c>
      <c r="K140" s="51" t="n">
        <v>16.2</v>
      </c>
      <c r="L140" s="51" t="n">
        <v>15.6</v>
      </c>
      <c r="M140" s="51" t="n">
        <v>15.4</v>
      </c>
      <c r="N140" s="51" t="n">
        <v>14.6</v>
      </c>
      <c r="O140" s="51" t="n">
        <v>14.8</v>
      </c>
      <c r="P140" s="51" t="n">
        <v>14.4</v>
      </c>
      <c r="Q140" s="51" t="n">
        <v>14.4</v>
      </c>
      <c r="R140" s="51" t="n">
        <v>14.2</v>
      </c>
      <c r="S140" s="51" t="n">
        <v>15</v>
      </c>
      <c r="T140" s="51" t="n">
        <v>14.8</v>
      </c>
      <c r="U140" s="51" t="n">
        <v>15.6</v>
      </c>
      <c r="V140" s="51" t="n">
        <v>14.6</v>
      </c>
      <c r="W140" s="51" t="n">
        <v>16.2</v>
      </c>
      <c r="X140" s="51" t="n">
        <v>14.8</v>
      </c>
      <c r="Y140" s="51" t="n">
        <v>15</v>
      </c>
      <c r="Z140" s="111" t="n">
        <v>16.8</v>
      </c>
      <c r="AA140" s="51" t="n">
        <v>14.4</v>
      </c>
      <c r="AB140" s="51" t="n">
        <v>16.2</v>
      </c>
      <c r="AC140" s="51" t="n">
        <v>15.8</v>
      </c>
      <c r="AD140" s="51" t="n">
        <v>15.6</v>
      </c>
      <c r="AE140" s="51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88">
        <f>COUNTIF(K140:AO140,"&gt;0")</f>
        <v/>
      </c>
      <c r="AQ140" s="89">
        <f>IF(AP140&gt;14,AVERAGE(K140:AO140),"")</f>
        <v/>
      </c>
      <c r="AR140" s="89">
        <f>IFERROR(VLOOKUP(A140,Climatologia!A:U,9+$E$2,FALSE),"")</f>
        <v/>
      </c>
      <c r="AS140" s="89">
        <f>IF(OR(AQ140="",AR140=""),"",IFERROR(AQ140-AR140,""))</f>
        <v/>
      </c>
      <c r="AT140" s="90">
        <f>IF(COUNT(K140:AO140)=0,"",MIN(K140:AO140))</f>
        <v/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/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0" s="92">
        <f>IF(OR(AT140="",AU140=""),"NA",IFERROR(AT140-AU140,"NA"))</f>
        <v/>
      </c>
    </row>
    <row r="141" ht="14.25" customHeight="1">
      <c r="A141" s="48" t="n">
        <v>16025010</v>
      </c>
      <c r="B141" s="52" t="inlineStr">
        <is>
          <t>Carmen De Tonchala</t>
        </is>
      </c>
      <c r="C141" s="52" t="inlineStr">
        <is>
          <t>Area Operativa 08 - Santanderes-Arauca</t>
        </is>
      </c>
      <c r="D141" s="53" t="n">
        <v>-72.56611110999999</v>
      </c>
      <c r="E141" s="53" t="n">
        <v>7.848888889</v>
      </c>
      <c r="F141" s="48" t="n">
        <v>285</v>
      </c>
      <c r="G141" s="46" t="n">
        <v>54</v>
      </c>
      <c r="H141" s="46" t="n">
        <v>54001</v>
      </c>
      <c r="I141" s="55" t="inlineStr">
        <is>
          <t>Norte De Santander</t>
        </is>
      </c>
      <c r="J141" s="55" t="inlineStr">
        <is>
          <t>San José De Cúcuta</t>
        </is>
      </c>
      <c r="K141" s="51" t="n">
        <v>24.8</v>
      </c>
      <c r="L141" s="51" t="n">
        <v>24.4</v>
      </c>
      <c r="M141" s="51" t="n">
        <v>23.4</v>
      </c>
      <c r="N141" s="51" t="n">
        <v>24.2</v>
      </c>
      <c r="O141" s="51" t="n">
        <v>24.4</v>
      </c>
      <c r="P141" s="51" t="n">
        <v>24.8</v>
      </c>
      <c r="Q141" s="51" t="n">
        <v>24</v>
      </c>
      <c r="R141" s="51" t="n">
        <v>26</v>
      </c>
      <c r="S141" s="51" t="n">
        <v>27.2</v>
      </c>
      <c r="T141" s="51" t="n">
        <v>26.4</v>
      </c>
      <c r="U141" s="51" t="n">
        <v>24</v>
      </c>
      <c r="V141" s="51" t="n">
        <v>24.8</v>
      </c>
      <c r="W141" s="51" t="n">
        <v>25.4</v>
      </c>
      <c r="X141" s="51" t="n">
        <v>24</v>
      </c>
      <c r="Y141" s="51" t="n">
        <v>26</v>
      </c>
      <c r="Z141" s="111" t="n">
        <v>25.1</v>
      </c>
      <c r="AA141" s="51" t="n">
        <v>27.4</v>
      </c>
      <c r="AB141" s="51" t="n">
        <v>29</v>
      </c>
      <c r="AC141" s="51" t="n">
        <v>24</v>
      </c>
      <c r="AD141" s="51" t="n">
        <v>25.8</v>
      </c>
      <c r="AE141" s="51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88">
        <f>COUNTIF(K141:AO141,"&gt;0")</f>
        <v/>
      </c>
      <c r="AQ141" s="89">
        <f>IF(AP141&gt;14,AVERAGE(K141:AO141),"")</f>
        <v/>
      </c>
      <c r="AR141" s="89">
        <f>IFERROR(VLOOKUP(A141,Climatologia!A:U,9+$E$2,FALSE),"")</f>
        <v/>
      </c>
      <c r="AS141" s="89">
        <f>IF(OR(AQ141="",AR141=""),"",IFERROR(AQ141-AR141,""))</f>
        <v/>
      </c>
      <c r="AT141" s="90">
        <f>IF(COUNT(K141:AO141)=0,"",MIN(K141:AO141))</f>
        <v/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/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1" s="92">
        <f>IF(OR(AT141="",AU141=""),"NA",IFERROR(AT141-AU141,"NA"))</f>
        <v/>
      </c>
    </row>
    <row r="142" ht="14.25" customHeight="1">
      <c r="A142" s="48" t="n">
        <v>16025030</v>
      </c>
      <c r="B142" s="52" t="inlineStr">
        <is>
          <t>Salazar</t>
        </is>
      </c>
      <c r="C142" s="52" t="inlineStr">
        <is>
          <t>Area Operativa 08 - Santanderes-Arauca</t>
        </is>
      </c>
      <c r="D142" s="53" t="n">
        <v>-72.83055555999999</v>
      </c>
      <c r="E142" s="53" t="n">
        <v>7.774583333</v>
      </c>
      <c r="F142" s="48" t="n">
        <v>860</v>
      </c>
      <c r="G142" s="46" t="n">
        <v>54</v>
      </c>
      <c r="H142" s="46" t="n">
        <v>54660</v>
      </c>
      <c r="I142" s="55" t="inlineStr">
        <is>
          <t>Norte De Santander</t>
        </is>
      </c>
      <c r="J142" s="55" t="inlineStr">
        <is>
          <t>Salazar</t>
        </is>
      </c>
      <c r="K142" s="51" t="n">
        <v>20.4</v>
      </c>
      <c r="L142" s="51" t="n">
        <v>21</v>
      </c>
      <c r="M142" s="51" t="n">
        <v>21.2</v>
      </c>
      <c r="N142" s="51" t="n">
        <v>20.6</v>
      </c>
      <c r="O142" s="51" t="n">
        <v>20.4</v>
      </c>
      <c r="P142" s="51" t="n">
        <v>20.4</v>
      </c>
      <c r="Q142" s="51" t="n">
        <v>20.6</v>
      </c>
      <c r="R142" s="51" t="n">
        <v>22.2</v>
      </c>
      <c r="S142" s="51" t="n">
        <v>20.2</v>
      </c>
      <c r="T142" s="51" t="n">
        <v>21.2</v>
      </c>
      <c r="U142" s="51" t="n">
        <v>20.4</v>
      </c>
      <c r="V142" s="51" t="n">
        <v>20</v>
      </c>
      <c r="W142" s="51" t="n">
        <v>20.2</v>
      </c>
      <c r="X142" s="51" t="n">
        <v>20</v>
      </c>
      <c r="Y142" s="51" t="n">
        <v>21.2</v>
      </c>
      <c r="Z142" s="111" t="n">
        <v>20.6</v>
      </c>
      <c r="AA142" s="51" t="n">
        <v>20.2</v>
      </c>
      <c r="AB142" s="51" t="n">
        <v>21.6</v>
      </c>
      <c r="AC142" s="51" t="n">
        <v>21</v>
      </c>
      <c r="AD142" s="51" t="n">
        <v>21.2</v>
      </c>
      <c r="AE142" s="51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88">
        <f>COUNTIF(K142:AO142,"&gt;0")</f>
        <v/>
      </c>
      <c r="AQ142" s="89">
        <f>IF(AP142&gt;14,AVERAGE(K142:AO142),"")</f>
        <v/>
      </c>
      <c r="AR142" s="89">
        <f>IFERROR(VLOOKUP(A142,Climatologia!A:U,9+$E$2,FALSE),"")</f>
        <v/>
      </c>
      <c r="AS142" s="89">
        <f>IF(OR(AQ142="",AR142=""),"",IFERROR(AQ142-AR142,""))</f>
        <v/>
      </c>
      <c r="AT142" s="90">
        <f>IF(COUNT(K142:AO142)=0,"",MIN(K142:AO142))</f>
        <v/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/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2" s="92">
        <f>IF(OR(AT142="",AU142=""),"NA",IFERROR(AT142-AU142,"NA"))</f>
        <v/>
      </c>
    </row>
    <row r="143" ht="14.25" customHeight="1">
      <c r="A143" s="48" t="n">
        <v>16025040</v>
      </c>
      <c r="B143" s="52" t="inlineStr">
        <is>
          <t>Cinera-Villa Olga Aut</t>
        </is>
      </c>
      <c r="C143" s="52" t="inlineStr">
        <is>
          <t>Area Operativa 08 - Santanderes-Arauca</t>
        </is>
      </c>
      <c r="D143" s="53" t="n">
        <v>-72.47878</v>
      </c>
      <c r="E143" s="53" t="n">
        <v>8.16728</v>
      </c>
      <c r="F143" s="48" t="n">
        <v>96</v>
      </c>
      <c r="G143" s="46" t="n">
        <v>54</v>
      </c>
      <c r="H143" s="46" t="n">
        <v>54001</v>
      </c>
      <c r="I143" s="55" t="inlineStr">
        <is>
          <t>Norte De Santander</t>
        </is>
      </c>
      <c r="J143" s="55" t="inlineStr">
        <is>
          <t>San José De Cúcuta</t>
        </is>
      </c>
      <c r="K143" s="51" t="n">
        <v>25</v>
      </c>
      <c r="L143" s="51" t="n">
        <v>25.2</v>
      </c>
      <c r="M143" s="51" t="n">
        <v>24.8</v>
      </c>
      <c r="N143" s="51" t="n">
        <v>24.2</v>
      </c>
      <c r="O143" s="51" t="n">
        <v>25</v>
      </c>
      <c r="P143" s="51" t="n">
        <v>24.4</v>
      </c>
      <c r="Q143" s="51" t="n">
        <v>24</v>
      </c>
      <c r="R143" s="51" t="n">
        <v>26</v>
      </c>
      <c r="S143" s="51" t="n">
        <v>24.8</v>
      </c>
      <c r="T143" s="51" t="n">
        <v>25.8</v>
      </c>
      <c r="U143" s="51" t="n">
        <v>23.6</v>
      </c>
      <c r="V143" s="51" t="n">
        <v>24.6</v>
      </c>
      <c r="W143" s="51" t="n">
        <v>23.4</v>
      </c>
      <c r="X143" s="51" t="n">
        <v>24</v>
      </c>
      <c r="Y143" s="51" t="n">
        <v>25.6</v>
      </c>
      <c r="Z143" s="111" t="n">
        <v>24.4</v>
      </c>
      <c r="AA143" s="51" t="n">
        <v>24</v>
      </c>
      <c r="AB143" s="51" t="n">
        <v>25.4</v>
      </c>
      <c r="AC143" s="51" t="n">
        <v>27.2</v>
      </c>
      <c r="AD143" s="51" t="n">
        <v>25.4</v>
      </c>
      <c r="AE143" s="51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88">
        <f>COUNTIF(K143:AO143,"&gt;0")</f>
        <v/>
      </c>
      <c r="AQ143" s="89">
        <f>IF(AP143&gt;14,AVERAGE(K143:AO143),"")</f>
        <v/>
      </c>
      <c r="AR143" s="89">
        <f>IFERROR(VLOOKUP(A143,Climatologia!A:U,9+$E$2,FALSE),"")</f>
        <v/>
      </c>
      <c r="AS143" s="89">
        <f>IF(OR(AQ143="",AR143=""),"",IFERROR(AQ143-AR143,""))</f>
        <v/>
      </c>
      <c r="AT143" s="90">
        <f>IF(COUNT(K143:AO143)=0,"",MIN(K143:AO143))</f>
        <v/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/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3" s="92">
        <f>IF(OR(AT143="",AU143=""),"NA",IFERROR(AT143-AU143,"NA"))</f>
        <v/>
      </c>
    </row>
    <row r="144" ht="14.25" customHeight="1">
      <c r="A144" s="48" t="n">
        <v>16055010</v>
      </c>
      <c r="B144" s="52" t="inlineStr">
        <is>
          <t>Aeropuerto Aguas Claras</t>
        </is>
      </c>
      <c r="C144" s="52" t="inlineStr">
        <is>
          <t>Area Operativa 08 - Santanderes-Arauca</t>
        </is>
      </c>
      <c r="D144" s="53" t="n">
        <v>-73.3575</v>
      </c>
      <c r="E144" s="53" t="n">
        <v>8.315277778</v>
      </c>
      <c r="F144" s="48" t="n">
        <v>1435</v>
      </c>
      <c r="G144" s="46" t="n">
        <v>54</v>
      </c>
      <c r="H144" s="46" t="n">
        <v>54498</v>
      </c>
      <c r="I144" s="55" t="inlineStr">
        <is>
          <t>Norte De Santander</t>
        </is>
      </c>
      <c r="J144" s="55" t="inlineStr">
        <is>
          <t>Ocaña</t>
        </is>
      </c>
      <c r="K144" s="51" t="n">
        <v>18.2</v>
      </c>
      <c r="L144" s="51" t="n">
        <v>18</v>
      </c>
      <c r="M144" s="51" t="n">
        <v>17.2</v>
      </c>
      <c r="N144" s="51" t="n">
        <v>17.6</v>
      </c>
      <c r="O144" s="51" t="n">
        <v>16.6</v>
      </c>
      <c r="P144" s="51" t="n">
        <v>15.2</v>
      </c>
      <c r="Q144" s="51" t="n">
        <v>14.6</v>
      </c>
      <c r="R144" s="51" t="n">
        <v>19.2</v>
      </c>
      <c r="S144" s="51" t="n">
        <v>15.6</v>
      </c>
      <c r="T144" s="51" t="n">
        <v>18</v>
      </c>
      <c r="U144" s="51" t="n">
        <v>18.4</v>
      </c>
      <c r="V144" s="51" t="n">
        <v>17</v>
      </c>
      <c r="W144" s="51" t="n">
        <v>18.4</v>
      </c>
      <c r="X144" s="51" t="n">
        <v>17.2</v>
      </c>
      <c r="Y144" s="51" t="n">
        <v>18.4</v>
      </c>
      <c r="Z144" s="111" t="n">
        <v>18.2</v>
      </c>
      <c r="AA144" s="51" t="n">
        <v>17.4</v>
      </c>
      <c r="AB144" s="51" t="n">
        <v>18.8</v>
      </c>
      <c r="AC144" s="51" t="n">
        <v>18</v>
      </c>
      <c r="AD144" s="51" t="n">
        <v>17.6</v>
      </c>
      <c r="AE144" s="51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88">
        <f>COUNTIF(K144:AO144,"&gt;0")</f>
        <v/>
      </c>
      <c r="AQ144" s="89">
        <f>IF(AP144&gt;14,AVERAGE(K144:AO144),"")</f>
        <v/>
      </c>
      <c r="AR144" s="89">
        <f>IFERROR(VLOOKUP(A144,Climatologia!A:U,9+$E$2,FALSE),"")</f>
        <v/>
      </c>
      <c r="AS144" s="89">
        <f>IF(OR(AQ144="",AR144=""),"",IFERROR(AQ144-AR144,""))</f>
        <v/>
      </c>
      <c r="AT144" s="90">
        <f>IF(COUNT(K144:AO144)=0,"",MIN(K144:AO144))</f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/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4" s="92">
        <f>IF(OR(AT144="",AU144=""),"NA",IFERROR(AT144-AU144,"NA"))</f>
        <v/>
      </c>
    </row>
    <row r="145" ht="14.25" customHeight="1">
      <c r="A145" s="48" t="n">
        <v>16055040</v>
      </c>
      <c r="B145" s="52" t="inlineStr">
        <is>
          <t>Abrego Centro Admo</t>
        </is>
      </c>
      <c r="C145" s="52" t="inlineStr">
        <is>
          <t>Area Operativa 08 - Santanderes-Arauca</t>
        </is>
      </c>
      <c r="D145" s="53" t="n">
        <v>-73.22305556000001</v>
      </c>
      <c r="E145" s="53" t="n">
        <v>8.087222221999999</v>
      </c>
      <c r="F145" s="48" t="n">
        <v>1430</v>
      </c>
      <c r="G145" s="46" t="n">
        <v>54</v>
      </c>
      <c r="H145" s="46" t="n">
        <v>54003</v>
      </c>
      <c r="I145" s="55" t="inlineStr">
        <is>
          <t>Norte De Santander</t>
        </is>
      </c>
      <c r="J145" s="55" t="inlineStr">
        <is>
          <t>Ábrego</t>
        </is>
      </c>
      <c r="K145" s="51" t="n">
        <v>15</v>
      </c>
      <c r="L145" s="51" t="n">
        <v>14</v>
      </c>
      <c r="M145" s="51" t="n">
        <v>14</v>
      </c>
      <c r="N145" s="51" t="n">
        <v>13.6</v>
      </c>
      <c r="O145" s="51" t="n">
        <v>16.2</v>
      </c>
      <c r="P145" s="51" t="n">
        <v>11.4</v>
      </c>
      <c r="Q145" s="51" t="n">
        <v>11.2</v>
      </c>
      <c r="R145" s="51" t="n">
        <v>12.2</v>
      </c>
      <c r="S145" s="51" t="n">
        <v>12</v>
      </c>
      <c r="T145" s="51" t="n">
        <v>13.2</v>
      </c>
      <c r="U145" s="51" t="n">
        <v>15</v>
      </c>
      <c r="V145" s="51" t="n">
        <v>14.2</v>
      </c>
      <c r="W145" s="51" t="n">
        <v>13.2</v>
      </c>
      <c r="X145" s="51" t="n">
        <v>13.2</v>
      </c>
      <c r="Y145" s="51" t="n">
        <v>14.6</v>
      </c>
      <c r="Z145" s="111" t="n">
        <v>15.8</v>
      </c>
      <c r="AA145" s="51" t="n">
        <v>13.2</v>
      </c>
      <c r="AB145" s="51" t="n">
        <v>16</v>
      </c>
      <c r="AC145" s="51" t="n">
        <v/>
      </c>
      <c r="AD145" s="51" t="n">
        <v/>
      </c>
      <c r="AE145" s="51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88">
        <f>COUNTIF(K145:AO145,"&gt;0")</f>
        <v/>
      </c>
      <c r="AQ145" s="89">
        <f>IF(AP145&gt;14,AVERAGE(K145:AO145),"")</f>
        <v/>
      </c>
      <c r="AR145" s="89">
        <f>IFERROR(VLOOKUP(A145,Climatologia!A:U,9+$E$2,FALSE),"")</f>
        <v/>
      </c>
      <c r="AS145" s="89">
        <f>IF(OR(AQ145="",AR145=""),"",IFERROR(AQ145-AR145,""))</f>
        <v/>
      </c>
      <c r="AT145" s="90">
        <f>IF(COUNT(K145:AO145)=0,"",MIN(K145:AO145))</f>
        <v/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/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5" s="92">
        <f>IF(OR(AT145="",AU145=""),"NA",IFERROR(AT145-AU145,"NA"))</f>
        <v/>
      </c>
    </row>
    <row r="146" ht="14.25" customHeight="1">
      <c r="A146" s="48" t="n">
        <v>23125060</v>
      </c>
      <c r="B146" s="52" t="inlineStr">
        <is>
          <t>Albania</t>
        </is>
      </c>
      <c r="C146" s="52" t="inlineStr">
        <is>
          <t>Area Operativa 08 - Santanderes-Arauca</t>
        </is>
      </c>
      <c r="D146" s="53" t="n">
        <v>-73.91333333</v>
      </c>
      <c r="E146" s="53" t="n">
        <v>5.758333333</v>
      </c>
      <c r="F146" s="48" t="n">
        <v>1690</v>
      </c>
      <c r="G146" s="46" t="n">
        <v>68</v>
      </c>
      <c r="H146" s="46" t="n">
        <v>68020</v>
      </c>
      <c r="I146" s="55" t="inlineStr">
        <is>
          <t>Santander</t>
        </is>
      </c>
      <c r="J146" s="55" t="inlineStr">
        <is>
          <t>Albania</t>
        </is>
      </c>
      <c r="K146" s="51" t="n">
        <v>17.2</v>
      </c>
      <c r="L146" s="51" t="n">
        <v>17</v>
      </c>
      <c r="M146" s="51" t="n">
        <v>16.2</v>
      </c>
      <c r="N146" s="51" t="n">
        <v>16.2</v>
      </c>
      <c r="O146" s="51" t="n">
        <v>16.6</v>
      </c>
      <c r="P146" s="51" t="n">
        <v>16.8</v>
      </c>
      <c r="Q146" s="51" t="n">
        <v>15.2</v>
      </c>
      <c r="R146" s="51" t="n">
        <v>16.2</v>
      </c>
      <c r="S146" s="51" t="n">
        <v>17</v>
      </c>
      <c r="T146" s="51" t="n">
        <v>16.8</v>
      </c>
      <c r="U146" s="51" t="n">
        <v>17.6</v>
      </c>
      <c r="V146" s="51" t="n">
        <v>16.4</v>
      </c>
      <c r="W146" s="51" t="n">
        <v>16.2</v>
      </c>
      <c r="X146" s="51" t="n">
        <v>17.6</v>
      </c>
      <c r="Y146" s="51" t="n">
        <v>17.4</v>
      </c>
      <c r="Z146" s="111" t="n">
        <v>17</v>
      </c>
      <c r="AA146" s="51" t="n">
        <v>18</v>
      </c>
      <c r="AB146" s="51" t="n">
        <v>18.2</v>
      </c>
      <c r="AC146" s="51" t="n">
        <v>17</v>
      </c>
      <c r="AD146" s="51" t="n">
        <v>16.2</v>
      </c>
      <c r="AE146" s="51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88">
        <f>COUNTIF(K146:AO146,"&gt;0")</f>
        <v/>
      </c>
      <c r="AQ146" s="89">
        <f>IF(AP146&gt;14,AVERAGE(K146:AO146),"")</f>
        <v/>
      </c>
      <c r="AR146" s="89">
        <f>IFERROR(VLOOKUP(A146,Climatologia!A:U,9+$E$2,FALSE),"")</f>
        <v/>
      </c>
      <c r="AS146" s="89">
        <f>IF(OR(AQ146="",AR146=""),"",IFERROR(AQ146-AR146,""))</f>
        <v/>
      </c>
      <c r="AT146" s="90">
        <f>IF(COUNT(K146:AO146)=0,"",MIN(K146:AO146))</f>
        <v/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/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6" s="92">
        <f>IF(OR(AT146="",AU146=""),"NA",IFERROR(AT146-AU146,"NA"))</f>
        <v/>
      </c>
    </row>
    <row r="147" ht="14.25" customHeight="1">
      <c r="A147" s="48" t="n">
        <v>23125120</v>
      </c>
      <c r="B147" s="52" t="inlineStr">
        <is>
          <t>Cimitarra</t>
        </is>
      </c>
      <c r="C147" s="52" t="inlineStr">
        <is>
          <t>Area Operativa 08 - Santanderes-Arauca</t>
        </is>
      </c>
      <c r="D147" s="53" t="n">
        <v>-73.95222222</v>
      </c>
      <c r="E147" s="53" t="n">
        <v>6.308611111</v>
      </c>
      <c r="F147" s="48" t="n">
        <v>198</v>
      </c>
      <c r="G147" s="46" t="n">
        <v>68</v>
      </c>
      <c r="H147" s="46" t="n">
        <v>68190</v>
      </c>
      <c r="I147" s="55" t="inlineStr">
        <is>
          <t>Santander</t>
        </is>
      </c>
      <c r="J147" s="55" t="inlineStr">
        <is>
          <t>Cimitarra</t>
        </is>
      </c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111" t="n"/>
      <c r="AA147" s="51" t="n"/>
      <c r="AB147" s="51" t="n"/>
      <c r="AC147" s="51" t="n"/>
      <c r="AD147" s="51" t="n"/>
      <c r="AE147" s="51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88">
        <f>COUNTIF(K147:AO147,"&gt;0")</f>
        <v/>
      </c>
      <c r="AQ147" s="89">
        <f>IF(AP147&gt;14,AVERAGE(K147:AO147),"")</f>
        <v/>
      </c>
      <c r="AR147" s="89">
        <f>IFERROR(VLOOKUP(A147,Climatologia!A:U,9+$E$2,FALSE),"")</f>
        <v/>
      </c>
      <c r="AS147" s="89">
        <f>IF(OR(AQ147="",AR147=""),"",IFERROR(AQ147-AR147,""))</f>
        <v/>
      </c>
      <c r="AT147" s="90">
        <f>IF(COUNT(K147:AO147)=0,"",MIN(K147:AO147))</f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/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7" s="92">
        <f>IF(OR(AT147="",AU147=""),"NA",IFERROR(AT147-AU147,"NA"))</f>
        <v/>
      </c>
    </row>
    <row r="148" ht="14.25" customHeight="1">
      <c r="A148" s="48" t="n">
        <v>23145020</v>
      </c>
      <c r="B148" s="52" t="inlineStr">
        <is>
          <t xml:space="preserve">El Carmen </t>
        </is>
      </c>
      <c r="C148" s="52" t="inlineStr">
        <is>
          <t>Area Operativa 08 - Santanderes-Arauca</t>
        </is>
      </c>
      <c r="D148" s="53" t="n">
        <v>-73.51000000000001</v>
      </c>
      <c r="E148" s="53" t="n">
        <v>6.696388889</v>
      </c>
      <c r="F148" s="48" t="n">
        <v>805</v>
      </c>
      <c r="G148" s="46" t="n">
        <v>68</v>
      </c>
      <c r="H148" s="46" t="n">
        <v>68235</v>
      </c>
      <c r="I148" s="55" t="inlineStr">
        <is>
          <t>Santander</t>
        </is>
      </c>
      <c r="J148" s="55" t="inlineStr">
        <is>
          <t>El Carmen De Chucurí</t>
        </is>
      </c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111" t="n"/>
      <c r="AA148" s="51" t="n"/>
      <c r="AB148" s="51" t="n"/>
      <c r="AC148" s="51" t="n"/>
      <c r="AD148" s="51" t="n"/>
      <c r="AE148" s="51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88">
        <f>COUNTIF(K148:AO148,"&gt;0")</f>
        <v/>
      </c>
      <c r="AQ148" s="89">
        <f>IF(AP148&gt;14,AVERAGE(K148:AO148),"")</f>
        <v/>
      </c>
      <c r="AR148" s="89">
        <f>IFERROR(VLOOKUP(A148,Climatologia!A:U,9+$E$2,FALSE),"")</f>
        <v/>
      </c>
      <c r="AS148" s="89">
        <f>IF(OR(AQ148="",AR148=""),"",IFERROR(AQ148-AR148,""))</f>
        <v/>
      </c>
      <c r="AT148" s="90">
        <f>IF(COUNT(K148:AO148)=0,"",MIN(K148:AO148))</f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/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8" s="92">
        <f>IF(OR(AT148="",AU148=""),"NA",IFERROR(AT148-AU148,"NA"))</f>
        <v/>
      </c>
    </row>
    <row r="149" ht="14.25" customHeight="1">
      <c r="A149" s="48" t="n">
        <v>23155040</v>
      </c>
      <c r="B149" s="52" t="inlineStr">
        <is>
          <t>El Centro</t>
        </is>
      </c>
      <c r="C149" s="52" t="inlineStr">
        <is>
          <t>Area Operativa 08 - Santanderes-Arauca</t>
        </is>
      </c>
      <c r="D149" s="53" t="n">
        <v>-73.76508333</v>
      </c>
      <c r="E149" s="53" t="n">
        <v>6.859555556</v>
      </c>
      <c r="F149" s="48" t="n">
        <v>114</v>
      </c>
      <c r="G149" s="46" t="n">
        <v>68</v>
      </c>
      <c r="H149" s="46" t="n">
        <v>68081</v>
      </c>
      <c r="I149" s="55" t="inlineStr">
        <is>
          <t>Santander</t>
        </is>
      </c>
      <c r="J149" s="55" t="inlineStr">
        <is>
          <t>Barrancabermeja</t>
        </is>
      </c>
      <c r="K149" s="51" t="n">
        <v>25.8</v>
      </c>
      <c r="L149" s="51" t="n">
        <v>25.2</v>
      </c>
      <c r="M149" s="51" t="n">
        <v>24.8</v>
      </c>
      <c r="N149" s="51" t="n">
        <v>24</v>
      </c>
      <c r="O149" s="51" t="n">
        <v>23.8</v>
      </c>
      <c r="P149" s="51" t="n">
        <v>24.8</v>
      </c>
      <c r="Q149" s="51" t="n">
        <v>24.6</v>
      </c>
      <c r="R149" s="51" t="n">
        <v>24.8</v>
      </c>
      <c r="S149" s="51" t="n">
        <v>24.8</v>
      </c>
      <c r="T149" s="51" t="n">
        <v>26.2</v>
      </c>
      <c r="U149" s="51" t="n">
        <v>23.8</v>
      </c>
      <c r="V149" s="51" t="n">
        <v>25.2</v>
      </c>
      <c r="W149" s="51" t="n">
        <v>23.4</v>
      </c>
      <c r="X149" s="51" t="n">
        <v>25.8</v>
      </c>
      <c r="Y149" s="51" t="n">
        <v>26.2</v>
      </c>
      <c r="Z149" s="111" t="n">
        <v>23.8</v>
      </c>
      <c r="AA149" s="51" t="n">
        <v>24</v>
      </c>
      <c r="AB149" s="51" t="n">
        <v/>
      </c>
      <c r="AC149" s="51" t="n">
        <v/>
      </c>
      <c r="AD149" s="51" t="n">
        <v/>
      </c>
      <c r="AE149" s="51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88">
        <f>COUNTIF(K149:AO149,"&gt;0")</f>
        <v/>
      </c>
      <c r="AQ149" s="89">
        <f>IF(AP149&gt;14,AVERAGE(K149:AO149),"")</f>
        <v/>
      </c>
      <c r="AR149" s="89">
        <f>IFERROR(VLOOKUP(A149,Climatologia!A:U,9+$E$2,FALSE),"")</f>
        <v/>
      </c>
      <c r="AS149" s="89">
        <f>IF(OR(AQ149="",AR149=""),"",IFERROR(AQ149-AR149,""))</f>
        <v/>
      </c>
      <c r="AT149" s="90">
        <f>IF(COUNT(K149:AO149)=0,"",MIN(K149:AO149))</f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/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9" s="92">
        <f>IF(OR(AT149="",AU149=""),"NA",IFERROR(AT149-AU149,"NA"))</f>
        <v/>
      </c>
    </row>
    <row r="150" ht="14.25" customHeight="1">
      <c r="A150" s="48" t="n">
        <v>23185010</v>
      </c>
      <c r="B150" s="52" t="inlineStr">
        <is>
          <t>Villa Leiva</t>
        </is>
      </c>
      <c r="C150" s="52" t="inlineStr">
        <is>
          <t>Area Operativa 08 - Santanderes-Arauca</t>
        </is>
      </c>
      <c r="D150" s="53" t="n">
        <v>-73.53722222</v>
      </c>
      <c r="E150" s="53" t="n">
        <v>7.456111111</v>
      </c>
      <c r="F150" s="48" t="n">
        <v>328</v>
      </c>
      <c r="G150" s="46" t="n">
        <v>68</v>
      </c>
      <c r="H150" s="46" t="n">
        <v>68655</v>
      </c>
      <c r="I150" s="55" t="inlineStr">
        <is>
          <t>Santander</t>
        </is>
      </c>
      <c r="J150" s="55" t="inlineStr">
        <is>
          <t>Sabana De Torres</t>
        </is>
      </c>
      <c r="K150" s="51" t="n">
        <v>24.4</v>
      </c>
      <c r="L150" s="51" t="n">
        <v>25</v>
      </c>
      <c r="M150" s="51" t="n">
        <v>24.4</v>
      </c>
      <c r="N150" s="51" t="n">
        <v>23.4</v>
      </c>
      <c r="O150" s="51" t="n">
        <v>24.8</v>
      </c>
      <c r="P150" s="51" t="n">
        <v>24.4</v>
      </c>
      <c r="Q150" s="51" t="n">
        <v>26</v>
      </c>
      <c r="R150" s="51" t="n">
        <v>24</v>
      </c>
      <c r="S150" s="51" t="n">
        <v>24</v>
      </c>
      <c r="T150" s="51" t="n">
        <v>25</v>
      </c>
      <c r="U150" s="51" t="n">
        <v>23.4</v>
      </c>
      <c r="V150" s="51" t="n">
        <v>23.8</v>
      </c>
      <c r="W150" s="51" t="n">
        <v>26</v>
      </c>
      <c r="X150" s="51" t="n">
        <v>25.6</v>
      </c>
      <c r="Y150" s="51" t="n">
        <v>24.4</v>
      </c>
      <c r="Z150" s="111" t="n">
        <v>22.9</v>
      </c>
      <c r="AA150" s="51" t="n">
        <v>23.4</v>
      </c>
      <c r="AB150" s="51" t="n">
        <v>25.6</v>
      </c>
      <c r="AC150" s="51" t="n">
        <v>22.6</v>
      </c>
      <c r="AD150" s="51" t="n">
        <v>22.6</v>
      </c>
      <c r="AE150" s="51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88">
        <f>COUNTIF(K150:AO150,"&gt;0")</f>
        <v/>
      </c>
      <c r="AQ150" s="89">
        <f>IF(AP150&gt;14,AVERAGE(K150:AO150),"")</f>
        <v/>
      </c>
      <c r="AR150" s="89">
        <f>IFERROR(VLOOKUP(A150,Climatologia!A:U,9+$E$2,FALSE),"")</f>
        <v/>
      </c>
      <c r="AS150" s="89">
        <f>IF(OR(AQ150="",AR150=""),"",IFERROR(AQ150-AR150,""))</f>
        <v/>
      </c>
      <c r="AT150" s="90">
        <f>IF(COUNT(K150:AO150)=0,"",MIN(K150:AO150))</f>
        <v/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/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0" s="92">
        <f>IF(OR(AT150="",AU150=""),"NA",IFERROR(AT150-AU150,"NA"))</f>
        <v/>
      </c>
    </row>
    <row r="151" ht="14.25" customHeight="1">
      <c r="A151" s="48" t="n">
        <v>23195090</v>
      </c>
      <c r="B151" s="52" t="inlineStr">
        <is>
          <t>Vivero Surata  - Aut</t>
        </is>
      </c>
      <c r="C151" s="52" t="inlineStr">
        <is>
          <t>Area Operativa 08 - Santanderes-Arauca</t>
        </is>
      </c>
      <c r="D151" s="53" t="n">
        <v>-72.9875</v>
      </c>
      <c r="E151" s="53" t="n">
        <v>7.36583</v>
      </c>
      <c r="F151" s="48" t="n">
        <v>1791</v>
      </c>
      <c r="G151" s="46" t="n">
        <v>68</v>
      </c>
      <c r="H151" s="46" t="n">
        <v>68780</v>
      </c>
      <c r="I151" s="55" t="inlineStr">
        <is>
          <t>Santander</t>
        </is>
      </c>
      <c r="J151" s="55" t="inlineStr">
        <is>
          <t>Suratá</t>
        </is>
      </c>
      <c r="K151" s="51" t="n">
        <v>15.4</v>
      </c>
      <c r="L151" s="51" t="n">
        <v>15.4</v>
      </c>
      <c r="M151" s="51" t="n">
        <v>15</v>
      </c>
      <c r="N151" s="51" t="n">
        <v>14.8</v>
      </c>
      <c r="O151" s="51" t="n">
        <v>14.2</v>
      </c>
      <c r="P151" s="51" t="n">
        <v>14.8</v>
      </c>
      <c r="Q151" s="51" t="n">
        <v>14.2</v>
      </c>
      <c r="R151" s="51" t="n">
        <v>15.4</v>
      </c>
      <c r="S151" s="51" t="n">
        <v>15.8</v>
      </c>
      <c r="T151" s="51" t="n">
        <v>16.2</v>
      </c>
      <c r="U151" s="51" t="n">
        <v>16.4</v>
      </c>
      <c r="V151" s="51" t="n">
        <v>14.4</v>
      </c>
      <c r="W151" s="51" t="n">
        <v>14.4</v>
      </c>
      <c r="X151" s="51" t="n">
        <v>16.2</v>
      </c>
      <c r="Y151" s="51" t="n">
        <v>15.4</v>
      </c>
      <c r="Z151" s="111" t="n">
        <v>16.2</v>
      </c>
      <c r="AA151" s="51" t="n">
        <v>15.4</v>
      </c>
      <c r="AB151" s="51" t="n">
        <v>17.4</v>
      </c>
      <c r="AC151" s="51" t="n">
        <v>17.2</v>
      </c>
      <c r="AD151" s="51" t="n">
        <v>16.6</v>
      </c>
      <c r="AE151" s="51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88">
        <f>COUNTIF(K151:AO151,"&gt;0")</f>
        <v/>
      </c>
      <c r="AQ151" s="89">
        <f>IF(AP151&gt;14,AVERAGE(K151:AO151),"")</f>
        <v/>
      </c>
      <c r="AR151" s="89">
        <f>IFERROR(VLOOKUP(A151,Climatologia!A:U,9+$E$2,FALSE),"")</f>
        <v/>
      </c>
      <c r="AS151" s="89">
        <f>IF(OR(AQ151="",AR151=""),"",IFERROR(AQ151-AR151,""))</f>
        <v/>
      </c>
      <c r="AT151" s="90">
        <f>IF(COUNT(K151:AO151)=0,"",MIN(K151:AO151))</f>
        <v/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/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1" s="92">
        <f>IF(OR(AT151="",AU151=""),"NA",IFERROR(AT151-AU151,"NA"))</f>
        <v/>
      </c>
    </row>
    <row r="152" ht="14.25" customHeight="1">
      <c r="A152" s="48" t="n">
        <v>23195110</v>
      </c>
      <c r="B152" s="52" t="inlineStr">
        <is>
          <t>Llano Grande  - Aut</t>
        </is>
      </c>
      <c r="C152" s="52" t="inlineStr">
        <is>
          <t>Area Operativa 08 - Santanderes-Arauca</t>
        </is>
      </c>
      <c r="D152" s="53" t="n">
        <v>-73.16722222</v>
      </c>
      <c r="E152" s="53" t="n">
        <v>7.025555556</v>
      </c>
      <c r="F152" s="48" t="n">
        <v>777</v>
      </c>
      <c r="G152" s="46" t="n">
        <v>68</v>
      </c>
      <c r="H152" s="46" t="n">
        <v>68307</v>
      </c>
      <c r="I152" s="55" t="inlineStr">
        <is>
          <t>Santander</t>
        </is>
      </c>
      <c r="J152" s="55" t="inlineStr">
        <is>
          <t>Girón</t>
        </is>
      </c>
      <c r="K152" s="51" t="n">
        <v>21.2</v>
      </c>
      <c r="L152" s="51" t="n">
        <v>19.8</v>
      </c>
      <c r="M152" s="51" t="n">
        <v>20.4</v>
      </c>
      <c r="N152" s="51" t="n">
        <v>19.4</v>
      </c>
      <c r="O152" s="51" t="n">
        <v>20.4</v>
      </c>
      <c r="P152" s="51" t="n">
        <v>20</v>
      </c>
      <c r="Q152" s="51" t="n">
        <v>18.8</v>
      </c>
      <c r="R152" s="51" t="n">
        <v>19.6</v>
      </c>
      <c r="S152" s="51" t="n">
        <v>19.4</v>
      </c>
      <c r="T152" s="51" t="n">
        <v>20.6</v>
      </c>
      <c r="U152" s="51" t="n">
        <v>20</v>
      </c>
      <c r="V152" s="51" t="n">
        <v>19.8</v>
      </c>
      <c r="W152" s="51" t="n">
        <v>20.4</v>
      </c>
      <c r="X152" s="51" t="n">
        <v>22</v>
      </c>
      <c r="Y152" s="51" t="n">
        <v>20.4</v>
      </c>
      <c r="Z152" s="111" t="n">
        <v>21.4</v>
      </c>
      <c r="AA152" s="51" t="n">
        <v>19.8</v>
      </c>
      <c r="AB152" s="51" t="n">
        <v>22</v>
      </c>
      <c r="AC152" s="51" t="n">
        <v>22.2</v>
      </c>
      <c r="AD152" s="51" t="n">
        <v>20.6</v>
      </c>
      <c r="AE152" s="51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88">
        <f>COUNTIF(K152:AO152,"&gt;0")</f>
        <v/>
      </c>
      <c r="AQ152" s="89">
        <f>IF(AP152&gt;14,AVERAGE(K152:AO152),"")</f>
        <v/>
      </c>
      <c r="AR152" s="89">
        <f>IFERROR(VLOOKUP(A152,Climatologia!A:U,9+$E$2,FALSE),"")</f>
        <v/>
      </c>
      <c r="AS152" s="89">
        <f>IF(OR(AQ152="",AR152=""),"",IFERROR(AQ152-AR152,""))</f>
        <v/>
      </c>
      <c r="AT152" s="90">
        <f>IF(COUNT(K152:AO152)=0,"",MIN(K152:AO152))</f>
        <v/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/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2" s="92">
        <f>IF(OR(AT152="",AU152=""),"NA",IFERROR(AT152-AU152,"NA"))</f>
        <v/>
      </c>
    </row>
    <row r="153" ht="14.25" customHeight="1">
      <c r="A153" s="48" t="n">
        <v>24015250</v>
      </c>
      <c r="B153" s="52" t="inlineStr">
        <is>
          <t xml:space="preserve">La Laja </t>
        </is>
      </c>
      <c r="C153" s="52" t="inlineStr">
        <is>
          <t>Area Operativa 08 - Santanderes-Arauca</t>
        </is>
      </c>
      <c r="D153" s="53" t="n">
        <v>-73.41538889</v>
      </c>
      <c r="E153" s="53" t="n">
        <v>6.237166667</v>
      </c>
      <c r="F153" s="48" t="n">
        <v>1400</v>
      </c>
      <c r="G153" s="46" t="n">
        <v>68</v>
      </c>
      <c r="H153" s="46" t="n">
        <v>68320</v>
      </c>
      <c r="I153" s="55" t="inlineStr">
        <is>
          <t>Santander</t>
        </is>
      </c>
      <c r="J153" s="55" t="inlineStr">
        <is>
          <t>Guadalupe</t>
        </is>
      </c>
      <c r="K153" s="51" t="n">
        <v>16</v>
      </c>
      <c r="L153" s="51" t="n">
        <v>16.2</v>
      </c>
      <c r="M153" s="51" t="n">
        <v>17</v>
      </c>
      <c r="N153" s="51" t="n">
        <v>16</v>
      </c>
      <c r="O153" s="51" t="n">
        <v>16</v>
      </c>
      <c r="P153" s="51" t="n">
        <v>15.2</v>
      </c>
      <c r="Q153" s="51" t="n">
        <v>14.8</v>
      </c>
      <c r="R153" s="51" t="n">
        <v>15</v>
      </c>
      <c r="S153" s="51" t="n">
        <v>16</v>
      </c>
      <c r="T153" s="51" t="n">
        <v>14</v>
      </c>
      <c r="U153" s="51" t="n">
        <v>16.4</v>
      </c>
      <c r="V153" s="51" t="n">
        <v>17</v>
      </c>
      <c r="W153" s="51" t="n">
        <v>16.4</v>
      </c>
      <c r="X153" s="51" t="n">
        <v>17.4</v>
      </c>
      <c r="Y153" s="51" t="n">
        <v>16.8</v>
      </c>
      <c r="Z153" s="111" t="n">
        <v>16.8</v>
      </c>
      <c r="AA153" s="51" t="n">
        <v>15.6</v>
      </c>
      <c r="AB153" s="51" t="n">
        <v>18</v>
      </c>
      <c r="AC153" s="51" t="n">
        <v>17</v>
      </c>
      <c r="AD153" s="51" t="n">
        <v>16.2</v>
      </c>
      <c r="AE153" s="51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88">
        <f>COUNTIF(K153:AO153,"&gt;0")</f>
        <v/>
      </c>
      <c r="AQ153" s="89">
        <f>IF(AP153&gt;14,AVERAGE(K153:AO153),"")</f>
        <v/>
      </c>
      <c r="AR153" s="89">
        <f>IFERROR(VLOOKUP(A153,Climatologia!A:U,9+$E$2,FALSE),"")</f>
        <v/>
      </c>
      <c r="AS153" s="89">
        <f>IF(OR(AQ153="",AR153=""),"",IFERROR(AQ153-AR153,""))</f>
        <v/>
      </c>
      <c r="AT153" s="90">
        <f>IF(COUNT(K153:AO153)=0,"",MIN(K153:AO153))</f>
        <v/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/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3" s="92">
        <f>IF(OR(AT153="",AU153=""),"NA",IFERROR(AT153-AU153,"NA"))</f>
        <v/>
      </c>
    </row>
    <row r="154" ht="14.25" customHeight="1">
      <c r="A154" s="48" t="n">
        <v>24015260</v>
      </c>
      <c r="B154" s="52" t="inlineStr">
        <is>
          <t>Chima</t>
        </is>
      </c>
      <c r="C154" s="52" t="inlineStr">
        <is>
          <t>Area Operativa 08 - Santanderes-Arauca</t>
        </is>
      </c>
      <c r="D154" s="53" t="n">
        <v>-73.36833333</v>
      </c>
      <c r="E154" s="53" t="n">
        <v>6.355</v>
      </c>
      <c r="F154" s="48" t="n">
        <v>190</v>
      </c>
      <c r="G154" s="46" t="n">
        <v>68</v>
      </c>
      <c r="H154" s="46" t="n">
        <v>68176</v>
      </c>
      <c r="I154" s="55" t="inlineStr">
        <is>
          <t>Santander</t>
        </is>
      </c>
      <c r="J154" s="55" t="inlineStr">
        <is>
          <t>Chima</t>
        </is>
      </c>
      <c r="K154" s="51" t="n">
        <v>19.4</v>
      </c>
      <c r="L154" s="51" t="n">
        <v>19</v>
      </c>
      <c r="M154" s="51" t="n">
        <v>18.8</v>
      </c>
      <c r="N154" s="51" t="n">
        <v>19.2</v>
      </c>
      <c r="O154" s="51" t="n">
        <v>18.6</v>
      </c>
      <c r="P154" s="51" t="n">
        <v>19.6</v>
      </c>
      <c r="Q154" s="51" t="n">
        <v>18</v>
      </c>
      <c r="R154" s="51" t="n">
        <v>18.2</v>
      </c>
      <c r="S154" s="51" t="n">
        <v>19</v>
      </c>
      <c r="T154" s="51" t="n">
        <v>18.4</v>
      </c>
      <c r="U154" s="51" t="n">
        <v>19.6</v>
      </c>
      <c r="V154" s="51" t="n">
        <v>19.2</v>
      </c>
      <c r="W154" s="51" t="n">
        <v>18.8</v>
      </c>
      <c r="X154" s="51" t="n">
        <v>19</v>
      </c>
      <c r="Y154" s="51" t="n">
        <v>19.6</v>
      </c>
      <c r="Z154" s="111" t="n">
        <v>19.8</v>
      </c>
      <c r="AA154" s="51" t="n">
        <v>19.4</v>
      </c>
      <c r="AB154" s="51" t="n">
        <v>19</v>
      </c>
      <c r="AC154" s="51" t="n">
        <v>19.8</v>
      </c>
      <c r="AD154" s="51" t="n">
        <v>19.2</v>
      </c>
      <c r="AE154" s="51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88">
        <f>COUNTIF(K154:AO154,"&gt;0")</f>
        <v/>
      </c>
      <c r="AQ154" s="89">
        <f>IF(AP154&gt;14,AVERAGE(K154:AO154),"")</f>
        <v/>
      </c>
      <c r="AR154" s="89">
        <f>IFERROR(VLOOKUP(A154,Climatologia!A:U,9+$E$2,FALSE),"")</f>
        <v/>
      </c>
      <c r="AS154" s="89">
        <f>IF(OR(AQ154="",AR154=""),"",IFERROR(AQ154-AR154,""))</f>
        <v/>
      </c>
      <c r="AT154" s="90">
        <f>IF(COUNT(K154:AO154)=0,"",MIN(K154:AO154))</f>
        <v/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/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4" s="92">
        <f>IF(OR(AT154="",AU154=""),"NA",IFERROR(AT154-AU154,"NA"))</f>
        <v/>
      </c>
    </row>
    <row r="155" ht="14.25" customHeight="1">
      <c r="A155" s="48" t="n">
        <v>24025040</v>
      </c>
      <c r="B155" s="52" t="inlineStr">
        <is>
          <t>Escuela Agricola Mogotes</t>
        </is>
      </c>
      <c r="C155" s="52" t="inlineStr">
        <is>
          <t>Area Operativa 08 - Santanderes-Arauca</t>
        </is>
      </c>
      <c r="D155" s="53" t="n">
        <v>-72.96888889</v>
      </c>
      <c r="E155" s="53" t="n">
        <v>6.47</v>
      </c>
      <c r="F155" s="48" t="n">
        <v>1673</v>
      </c>
      <c r="G155" s="46" t="n">
        <v>68</v>
      </c>
      <c r="H155" s="46" t="n">
        <v>68464</v>
      </c>
      <c r="I155" s="55" t="inlineStr">
        <is>
          <t>Santander</t>
        </is>
      </c>
      <c r="J155" s="55" t="inlineStr">
        <is>
          <t>Mogotes</t>
        </is>
      </c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111" t="n"/>
      <c r="AA155" s="51" t="n"/>
      <c r="AB155" s="51" t="n"/>
      <c r="AC155" s="51" t="n"/>
      <c r="AD155" s="51" t="n"/>
      <c r="AE155" s="51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88">
        <f>COUNTIF(K155:AO155,"&gt;0")</f>
        <v/>
      </c>
      <c r="AQ155" s="89">
        <f>IF(AP155&gt;14,AVERAGE(K155:AO155),"")</f>
        <v/>
      </c>
      <c r="AR155" s="89">
        <f>IFERROR(VLOOKUP(A155,Climatologia!A:U,9+$E$2,FALSE),"")</f>
        <v/>
      </c>
      <c r="AS155" s="89">
        <f>IF(OR(AQ155="",AR155=""),"",IFERROR(AQ155-AR155,""))</f>
        <v/>
      </c>
      <c r="AT155" s="90">
        <f>IF(COUNT(K155:AO155)=0,"",MIN(K155:AO155))</f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/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5" s="92">
        <f>IF(OR(AT155="",AU155=""),"NA",IFERROR(AT155-AU155,"NA"))</f>
        <v/>
      </c>
    </row>
    <row r="156" ht="14.25" customHeight="1">
      <c r="A156" s="48" t="n">
        <v>24035400</v>
      </c>
      <c r="B156" s="52" t="inlineStr">
        <is>
          <t>El Volcan</t>
        </is>
      </c>
      <c r="C156" s="52" t="inlineStr">
        <is>
          <t>Area Operativa 08 - Santanderes-Arauca</t>
        </is>
      </c>
      <c r="D156" s="53" t="n">
        <v>-72.67777778</v>
      </c>
      <c r="E156" s="53" t="n">
        <v>6.845277778</v>
      </c>
      <c r="F156" s="48" t="n">
        <v>2841</v>
      </c>
      <c r="G156" s="46" t="n">
        <v>68</v>
      </c>
      <c r="H156" s="46" t="n">
        <v>68162</v>
      </c>
      <c r="I156" s="55" t="inlineStr">
        <is>
          <t>Santander</t>
        </is>
      </c>
      <c r="J156" s="55" t="inlineStr">
        <is>
          <t>Cerrito</t>
        </is>
      </c>
      <c r="K156" s="51" t="n">
        <v>9</v>
      </c>
      <c r="L156" s="51" t="n">
        <v>10</v>
      </c>
      <c r="M156" s="51" t="n">
        <v>10</v>
      </c>
      <c r="N156" s="51" t="n">
        <v>9.199999999999999</v>
      </c>
      <c r="O156" s="51" t="n">
        <v>9</v>
      </c>
      <c r="P156" s="51" t="n">
        <v>10.6</v>
      </c>
      <c r="Q156" s="51" t="n">
        <v>10.2</v>
      </c>
      <c r="R156" s="51" t="n">
        <v>11</v>
      </c>
      <c r="S156" s="51" t="n">
        <v>10.2</v>
      </c>
      <c r="T156" s="51" t="n">
        <v>9.800000000000001</v>
      </c>
      <c r="U156" s="51" t="n">
        <v>11</v>
      </c>
      <c r="V156" s="51" t="n">
        <v>12</v>
      </c>
      <c r="W156" s="51" t="n">
        <v>11.2</v>
      </c>
      <c r="X156" s="51" t="n">
        <v>11</v>
      </c>
      <c r="Y156" s="51" t="n">
        <v>9.6</v>
      </c>
      <c r="Z156" s="111" t="n">
        <v>10.4</v>
      </c>
      <c r="AA156" s="51" t="n">
        <v>10.2</v>
      </c>
      <c r="AB156" s="51" t="n">
        <v>10.4</v>
      </c>
      <c r="AC156" s="51" t="n">
        <v>10</v>
      </c>
      <c r="AD156" s="51" t="n">
        <v>9.6</v>
      </c>
      <c r="AE156" s="51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88">
        <f>COUNTIF(K156:AO156,"&gt;0")</f>
        <v/>
      </c>
      <c r="AQ156" s="89">
        <f>IF(AP156&gt;14,AVERAGE(K156:AO156),"")</f>
        <v/>
      </c>
      <c r="AR156" s="89">
        <f>IFERROR(VLOOKUP(A156,Climatologia!A:U,9+$E$2,FALSE),"")</f>
        <v/>
      </c>
      <c r="AS156" s="89">
        <f>IF(OR(AQ156="",AR156=""),"",IFERROR(AQ156-AR156,""))</f>
        <v/>
      </c>
      <c r="AT156" s="90">
        <f>IF(COUNT(K156:AO156)=0,"",MIN(K156:AO156))</f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/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6" s="92">
        <f>IF(OR(AT156="",AU156=""),"NA",IFERROR(AT156-AU156,"NA"))</f>
        <v/>
      </c>
    </row>
    <row r="157" ht="14.25" customHeight="1">
      <c r="A157" s="48" t="n">
        <v>24055030</v>
      </c>
      <c r="B157" s="52" t="inlineStr">
        <is>
          <t>Zapatoca</t>
        </is>
      </c>
      <c r="C157" s="52" t="inlineStr">
        <is>
          <t>Area Operativa 08 - Santanderes-Arauca</t>
        </is>
      </c>
      <c r="D157" s="53" t="n">
        <v>-73.28274999999999</v>
      </c>
      <c r="E157" s="53" t="n">
        <v>6.792777778</v>
      </c>
      <c r="F157" s="48" t="n">
        <v>1810</v>
      </c>
      <c r="G157" s="46" t="n">
        <v>68</v>
      </c>
      <c r="H157" s="46" t="n">
        <v>68895</v>
      </c>
      <c r="I157" s="55" t="inlineStr">
        <is>
          <t>Santander</t>
        </is>
      </c>
      <c r="J157" s="55" t="inlineStr">
        <is>
          <t>Zapatoca</t>
        </is>
      </c>
      <c r="K157" s="51" t="n">
        <v>13.8</v>
      </c>
      <c r="L157" s="51" t="n">
        <v>14.2</v>
      </c>
      <c r="M157" s="51" t="n">
        <v>14.4</v>
      </c>
      <c r="N157" s="51" t="n">
        <v>14</v>
      </c>
      <c r="O157" s="51" t="n">
        <v>12.8</v>
      </c>
      <c r="P157" s="51" t="n">
        <v>14</v>
      </c>
      <c r="Q157" s="51" t="n">
        <v>13.2</v>
      </c>
      <c r="R157" s="51" t="n">
        <v>13.2</v>
      </c>
      <c r="S157" s="51" t="n">
        <v>13.6</v>
      </c>
      <c r="T157" s="51" t="n">
        <v>13.8</v>
      </c>
      <c r="U157" s="51" t="n">
        <v>13.2</v>
      </c>
      <c r="V157" s="51" t="n">
        <v>13.6</v>
      </c>
      <c r="W157" s="51" t="n">
        <v>15.8</v>
      </c>
      <c r="X157" s="51" t="n">
        <v>13.2</v>
      </c>
      <c r="Y157" s="51" t="n">
        <v>15.2</v>
      </c>
      <c r="Z157" s="111" t="n">
        <v>12.8</v>
      </c>
      <c r="AA157" s="51" t="n">
        <v>13</v>
      </c>
      <c r="AB157" s="51" t="n">
        <v>14.6</v>
      </c>
      <c r="AC157" s="51" t="n">
        <v>15.8</v>
      </c>
      <c r="AD157" s="51" t="n">
        <v>14.2</v>
      </c>
      <c r="AE157" s="51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88">
        <f>COUNTIF(K157:AO157,"&gt;0")</f>
        <v/>
      </c>
      <c r="AQ157" s="89">
        <f>IF(AP157&gt;14,AVERAGE(K157:AO157),"")</f>
        <v/>
      </c>
      <c r="AR157" s="89">
        <f>IFERROR(VLOOKUP(A157,Climatologia!A:U,9+$E$2,FALSE),"")</f>
        <v/>
      </c>
      <c r="AS157" s="89">
        <f>IF(OR(AQ157="",AR157=""),"",IFERROR(AQ157-AR157,""))</f>
        <v/>
      </c>
      <c r="AT157" s="90">
        <f>IF(COUNT(K157:AO157)=0,"",MIN(K157:AO157))</f>
        <v/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/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7" s="92">
        <f>IF(OR(AT157="",AU157=""),"NA",IFERROR(AT157-AU157,"NA"))</f>
        <v/>
      </c>
    </row>
    <row r="158" ht="14.25" customHeight="1">
      <c r="A158" s="48" t="n">
        <v>24055040</v>
      </c>
      <c r="B158" s="52" t="inlineStr">
        <is>
          <t xml:space="preserve">El Palmar </t>
        </is>
      </c>
      <c r="C158" s="52" t="inlineStr">
        <is>
          <t>Area Operativa 08 - Santanderes-Arauca</t>
        </is>
      </c>
      <c r="D158" s="53" t="n">
        <v>-73.292</v>
      </c>
      <c r="E158" s="53" t="n">
        <v>6.549722222</v>
      </c>
      <c r="F158" s="48" t="n">
        <v>940</v>
      </c>
      <c r="G158" s="46" t="n">
        <v>68</v>
      </c>
      <c r="H158" s="46" t="n">
        <v>68522</v>
      </c>
      <c r="I158" s="55" t="inlineStr">
        <is>
          <t>Santander</t>
        </is>
      </c>
      <c r="J158" s="55" t="inlineStr">
        <is>
          <t>Palmar</t>
        </is>
      </c>
      <c r="K158" s="51" t="n">
        <v>21.4</v>
      </c>
      <c r="L158" s="51" t="n">
        <v>21</v>
      </c>
      <c r="M158" s="51" t="n">
        <v>21.2</v>
      </c>
      <c r="N158" s="51" t="n">
        <v>21.6</v>
      </c>
      <c r="O158" s="51" t="n">
        <v>21</v>
      </c>
      <c r="P158" s="51" t="n">
        <v>19.2</v>
      </c>
      <c r="Q158" s="51" t="n">
        <v>19.8</v>
      </c>
      <c r="R158" s="51" t="n">
        <v>21</v>
      </c>
      <c r="S158" s="51" t="n">
        <v>21.2</v>
      </c>
      <c r="T158" s="51" t="n">
        <v>20.8</v>
      </c>
      <c r="U158" s="51" t="n">
        <v>20.4</v>
      </c>
      <c r="V158" s="51" t="n">
        <v>21</v>
      </c>
      <c r="W158" s="51" t="n">
        <v>21.4</v>
      </c>
      <c r="X158" s="51" t="n">
        <v>21.8</v>
      </c>
      <c r="Y158" s="51" t="n">
        <v>21.2</v>
      </c>
      <c r="Z158" s="111" t="n">
        <v>20.4</v>
      </c>
      <c r="AA158" s="51" t="n">
        <v>20.8</v>
      </c>
      <c r="AB158" s="51" t="n">
        <v>22</v>
      </c>
      <c r="AC158" s="51" t="n">
        <v>20.6</v>
      </c>
      <c r="AD158" s="51" t="n">
        <v>21.4</v>
      </c>
      <c r="AE158" s="51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88">
        <f>COUNTIF(K158:AO158,"&gt;0")</f>
        <v/>
      </c>
      <c r="AQ158" s="89">
        <f>IF(AP158&gt;14,AVERAGE(K158:AO158),"")</f>
        <v/>
      </c>
      <c r="AR158" s="89">
        <f>IFERROR(VLOOKUP(A158,Climatologia!A:U,9+$E$2,FALSE),"")</f>
        <v/>
      </c>
      <c r="AS158" s="89">
        <f>IF(OR(AQ158="",AR158=""),"",IFERROR(AQ158-AR158,""))</f>
        <v/>
      </c>
      <c r="AT158" s="90">
        <f>IF(COUNT(K158:AO158)=0,"",MIN(K158:AO158))</f>
        <v/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/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8" s="92">
        <f>IF(OR(AT158="",AU158=""),"NA",IFERROR(AT158-AU158,"NA"))</f>
        <v/>
      </c>
    </row>
    <row r="159" ht="14.25" customHeight="1">
      <c r="A159" s="48" t="n">
        <v>37015020</v>
      </c>
      <c r="B159" s="52" t="inlineStr">
        <is>
          <t>Berlin</t>
        </is>
      </c>
      <c r="C159" s="52" t="inlineStr">
        <is>
          <t>Area Operativa 08 - Santanderes-Arauca</t>
        </is>
      </c>
      <c r="D159" s="53" t="n">
        <v>-72.86861111</v>
      </c>
      <c r="E159" s="53" t="n">
        <v>7.186944444</v>
      </c>
      <c r="F159" s="48" t="n">
        <v>3214</v>
      </c>
      <c r="G159" s="46" t="n">
        <v>68</v>
      </c>
      <c r="H159" s="46" t="n">
        <v>68820</v>
      </c>
      <c r="I159" s="55" t="inlineStr">
        <is>
          <t>Santander</t>
        </is>
      </c>
      <c r="J159" s="55" t="inlineStr">
        <is>
          <t>Tona</t>
        </is>
      </c>
      <c r="K159" s="51" t="n">
        <v>5.4</v>
      </c>
      <c r="L159" s="51" t="n">
        <v>6.6</v>
      </c>
      <c r="M159" s="51" t="n">
        <v>7.2</v>
      </c>
      <c r="N159" s="51" t="n">
        <v>5.8</v>
      </c>
      <c r="O159" s="51" t="n">
        <v>6.2</v>
      </c>
      <c r="P159" s="51" t="n">
        <v>6.6</v>
      </c>
      <c r="Q159" s="51" t="n">
        <v>5.8</v>
      </c>
      <c r="R159" s="51" t="n">
        <v>6</v>
      </c>
      <c r="S159" s="51" t="n">
        <v>7.2</v>
      </c>
      <c r="T159" s="51" t="n">
        <v>7</v>
      </c>
      <c r="U159" s="51" t="n">
        <v>6.8</v>
      </c>
      <c r="V159" s="51" t="n">
        <v>6.4</v>
      </c>
      <c r="W159" s="51" t="n">
        <v>6.8</v>
      </c>
      <c r="X159" s="51" t="n">
        <v>7.2</v>
      </c>
      <c r="Y159" s="51" t="n">
        <v>5.6</v>
      </c>
      <c r="Z159" s="111" t="n">
        <v>7.4</v>
      </c>
      <c r="AA159" s="51" t="n">
        <v>6.8</v>
      </c>
      <c r="AB159" s="51" t="n">
        <v>7.6</v>
      </c>
      <c r="AC159" s="51" t="n">
        <v>3.8</v>
      </c>
      <c r="AD159" s="51" t="n">
        <v>5.6</v>
      </c>
      <c r="AE159" s="51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88">
        <f>COUNTIF(K159:AO159,"&gt;0")</f>
        <v/>
      </c>
      <c r="AQ159" s="89">
        <f>IF(AP159&gt;14,AVERAGE(K159:AO159),"")</f>
        <v/>
      </c>
      <c r="AR159" s="89">
        <f>IFERROR(VLOOKUP(A159,Climatologia!A:U,9+$E$2,FALSE),"")</f>
        <v/>
      </c>
      <c r="AS159" s="89">
        <f>IF(OR(AQ159="",AR159=""),"",IFERROR(AQ159-AR159,""))</f>
        <v/>
      </c>
      <c r="AT159" s="90">
        <f>IF(COUNT(K159:AO159)=0,"",MIN(K159:AO159))</f>
        <v/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/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9" s="92">
        <f>IF(OR(AT159="",AU159=""),"NA",IFERROR(AT159-AU159,"NA"))</f>
        <v/>
      </c>
    </row>
    <row r="160" ht="14.25" customHeight="1">
      <c r="A160" s="48" t="n">
        <v>37035010</v>
      </c>
      <c r="B160" s="52" t="inlineStr">
        <is>
          <t>Tunebia</t>
        </is>
      </c>
      <c r="C160" s="52" t="inlineStr">
        <is>
          <t>Area Operativa 08 - Santanderes-Arauca</t>
        </is>
      </c>
      <c r="D160" s="53" t="n">
        <v>-72.11583333</v>
      </c>
      <c r="E160" s="53" t="n">
        <v>7.006111111</v>
      </c>
      <c r="F160" s="48" t="n">
        <v>370</v>
      </c>
      <c r="G160" s="46" t="n">
        <v>54</v>
      </c>
      <c r="H160" s="46" t="n">
        <v>54820</v>
      </c>
      <c r="I160" s="55" t="inlineStr">
        <is>
          <t>Norte De Santander</t>
        </is>
      </c>
      <c r="J160" s="55" t="inlineStr">
        <is>
          <t>Toledo</t>
        </is>
      </c>
      <c r="K160" s="51" t="n">
        <v>22</v>
      </c>
      <c r="L160" s="51" t="n">
        <v>22.2</v>
      </c>
      <c r="M160" s="51" t="n">
        <v>20.2</v>
      </c>
      <c r="N160" s="51" t="n">
        <v>22</v>
      </c>
      <c r="O160" s="51" t="n">
        <v>20</v>
      </c>
      <c r="P160" s="51" t="n">
        <v>21</v>
      </c>
      <c r="Q160" s="51" t="n">
        <v>19.6</v>
      </c>
      <c r="R160" s="51" t="n">
        <v>21</v>
      </c>
      <c r="S160" s="51" t="n">
        <v>21</v>
      </c>
      <c r="T160" s="51" t="n">
        <v>21.6</v>
      </c>
      <c r="U160" s="51" t="n">
        <v>20.2</v>
      </c>
      <c r="V160" s="51" t="n">
        <v>21.4</v>
      </c>
      <c r="W160" s="51" t="n">
        <v>21.4</v>
      </c>
      <c r="X160" s="51" t="n">
        <v>21.2</v>
      </c>
      <c r="Y160" s="51" t="n">
        <v>21.2</v>
      </c>
      <c r="Z160" s="111" t="n">
        <v>21.4</v>
      </c>
      <c r="AA160" s="51" t="n">
        <v>21.2</v>
      </c>
      <c r="AB160" s="51" t="n">
        <v>21</v>
      </c>
      <c r="AC160" s="51" t="n">
        <v>21.2</v>
      </c>
      <c r="AD160" s="51" t="n">
        <v/>
      </c>
      <c r="AE160" s="51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88">
        <f>COUNTIF(K160:AO160,"&gt;0")</f>
        <v/>
      </c>
      <c r="AQ160" s="89">
        <f>IF(AP160&gt;14,AVERAGE(K160:AO160),"")</f>
        <v/>
      </c>
      <c r="AR160" s="89">
        <f>IFERROR(VLOOKUP(A160,Climatologia!A:U,9+$E$2,FALSE),"")</f>
        <v/>
      </c>
      <c r="AS160" s="89">
        <f>IF(OR(AQ160="",AR160=""),"",IFERROR(AQ160-AR160,""))</f>
        <v/>
      </c>
      <c r="AT160" s="90">
        <f>IF(COUNT(K160:AO160)=0,"",MIN(K160:AO160))</f>
        <v/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/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0" s="92">
        <f>IF(OR(AT160="",AU160=""),"NA",IFERROR(AT160-AU160,"NA"))</f>
        <v/>
      </c>
    </row>
    <row r="161" ht="14.25" customHeight="1">
      <c r="A161" s="48" t="n">
        <v>26025090</v>
      </c>
      <c r="B161" s="52" t="inlineStr">
        <is>
          <t>Venta De Cajibio</t>
        </is>
      </c>
      <c r="C161" s="52" t="inlineStr">
        <is>
          <t>Area Operativa 09 - Cauca-Valle-Caldas</t>
        </is>
      </c>
      <c r="D161" s="53" t="n">
        <v>-76.561833333</v>
      </c>
      <c r="E161" s="53" t="n">
        <v>2.58475</v>
      </c>
      <c r="F161" s="48" t="n">
        <v>1850</v>
      </c>
      <c r="G161" s="46" t="n">
        <v>19</v>
      </c>
      <c r="H161" s="46" t="n">
        <v>19130</v>
      </c>
      <c r="I161" s="55" t="inlineStr">
        <is>
          <t>Cauca</t>
        </is>
      </c>
      <c r="J161" s="55" t="inlineStr">
        <is>
          <t>Cajibío</t>
        </is>
      </c>
      <c r="K161" s="51" t="n">
        <v>14.8</v>
      </c>
      <c r="L161" s="51" t="n">
        <v>15.8</v>
      </c>
      <c r="M161" s="51" t="n">
        <v>16</v>
      </c>
      <c r="N161" s="51" t="n">
        <v/>
      </c>
      <c r="O161" s="51" t="n">
        <v>15</v>
      </c>
      <c r="P161" s="51" t="n">
        <v/>
      </c>
      <c r="Q161" s="51" t="n">
        <v>14.8</v>
      </c>
      <c r="R161" s="51" t="n">
        <v>14.8</v>
      </c>
      <c r="S161" s="51" t="n">
        <v>15</v>
      </c>
      <c r="T161" s="51" t="n">
        <v>14.2</v>
      </c>
      <c r="U161" s="51" t="n">
        <v>16.2</v>
      </c>
      <c r="V161" s="51" t="n">
        <v>14.8</v>
      </c>
      <c r="W161" s="51" t="n">
        <v>14.6</v>
      </c>
      <c r="X161" s="51" t="n">
        <v>14.6</v>
      </c>
      <c r="Y161" s="51" t="n">
        <v>16</v>
      </c>
      <c r="Z161" s="111" t="n">
        <v>16</v>
      </c>
      <c r="AA161" s="51" t="n">
        <v>16.2</v>
      </c>
      <c r="AB161" s="51" t="n">
        <v>16.2</v>
      </c>
      <c r="AC161" s="51" t="n">
        <v>16</v>
      </c>
      <c r="AD161" s="51" t="n">
        <v>17</v>
      </c>
      <c r="AE161" s="51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88">
        <f>COUNTIF(K161:AO161,"&gt;0")</f>
        <v/>
      </c>
      <c r="AQ161" s="89">
        <f>IF(AP161&gt;14,AVERAGE(K161:AO161),"")</f>
        <v/>
      </c>
      <c r="AR161" s="89">
        <f>IFERROR(VLOOKUP(A161,Climatologia!A:U,9+$E$2,FALSE),"")</f>
        <v/>
      </c>
      <c r="AS161" s="89">
        <f>IF(OR(AQ161="",AR161=""),"",IFERROR(AQ161-AR161,""))</f>
        <v/>
      </c>
      <c r="AT161" s="90">
        <f>IF(COUNT(K161:AO161)=0,"",MIN(K161:AO161))</f>
        <v/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/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1" s="92">
        <f>IF(OR(AT161="",AU161=""),"NA",IFERROR(AT161-AU161,"NA"))</f>
        <v/>
      </c>
    </row>
    <row r="162" ht="14.25" customHeight="1">
      <c r="A162" s="48" t="n">
        <v>26025110</v>
      </c>
      <c r="B162" s="52" t="inlineStr">
        <is>
          <t>Lomitas</t>
        </is>
      </c>
      <c r="C162" s="52" t="inlineStr">
        <is>
          <t>Area Operativa 09 - Cauca-Valle-Caldas</t>
        </is>
      </c>
      <c r="D162" s="53" t="n">
        <v>-76.55625000000001</v>
      </c>
      <c r="E162" s="53" t="n">
        <v>3.075388889</v>
      </c>
      <c r="F162" s="48" t="n">
        <v>1009</v>
      </c>
      <c r="G162" s="46" t="n">
        <v>19</v>
      </c>
      <c r="H162" s="46" t="n">
        <v>19698</v>
      </c>
      <c r="I162" s="55" t="inlineStr">
        <is>
          <t>Cauca</t>
        </is>
      </c>
      <c r="J162" s="55" t="inlineStr">
        <is>
          <t>Santander De Quilichao</t>
        </is>
      </c>
      <c r="K162" s="51" t="n">
        <v>19</v>
      </c>
      <c r="L162" s="51" t="n">
        <v>19.6</v>
      </c>
      <c r="M162" s="51" t="n">
        <v>19</v>
      </c>
      <c r="N162" s="51" t="n">
        <v>18</v>
      </c>
      <c r="O162" s="51" t="n">
        <v>18.6</v>
      </c>
      <c r="P162" s="51" t="n">
        <v>18.4</v>
      </c>
      <c r="Q162" s="51" t="n">
        <v>18.8</v>
      </c>
      <c r="R162" s="51" t="n">
        <v>18</v>
      </c>
      <c r="S162" s="51" t="n">
        <v>18.6</v>
      </c>
      <c r="T162" s="51" t="n">
        <v>18</v>
      </c>
      <c r="U162" s="51" t="n">
        <v>18</v>
      </c>
      <c r="V162" s="51" t="n">
        <v>18</v>
      </c>
      <c r="W162" s="51" t="n">
        <v>19</v>
      </c>
      <c r="X162" s="51" t="n">
        <v>18</v>
      </c>
      <c r="Y162" s="51" t="n">
        <v>19</v>
      </c>
      <c r="Z162" s="111" t="n">
        <v>18.6</v>
      </c>
      <c r="AA162" s="51" t="n">
        <v>18.2</v>
      </c>
      <c r="AB162" s="51" t="n">
        <v>19.2</v>
      </c>
      <c r="AC162" s="51" t="n">
        <v>18.6</v>
      </c>
      <c r="AD162" s="51" t="n">
        <v>18.6</v>
      </c>
      <c r="AE162" s="51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88">
        <f>COUNTIF(K162:AO162,"&gt;0")</f>
        <v/>
      </c>
      <c r="AQ162" s="89">
        <f>IF(AP162&gt;14,AVERAGE(K162:AO162),"")</f>
        <v/>
      </c>
      <c r="AR162" s="89">
        <f>IFERROR(VLOOKUP(A162,Climatologia!A:U,9+$E$2,FALSE),"")</f>
        <v/>
      </c>
      <c r="AS162" s="89">
        <f>IF(OR(AQ162="",AR162=""),"",IFERROR(AQ162-AR162,""))</f>
        <v/>
      </c>
      <c r="AT162" s="90">
        <f>IF(COUNT(K162:AO162)=0,"",MIN(K162:AO162))</f>
        <v/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/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2" s="92">
        <f>IF(OR(AT162="",AU162=""),"NA",IFERROR(AT162-AU162,"NA"))</f>
        <v/>
      </c>
    </row>
    <row r="163" ht="14.25" customHeight="1">
      <c r="A163" s="48" t="n">
        <v>26075010</v>
      </c>
      <c r="B163" s="52" t="inlineStr">
        <is>
          <t>Palmira Ica</t>
        </is>
      </c>
      <c r="C163" s="52" t="inlineStr">
        <is>
          <t>Area Operativa 09 - Cauca-Valle-Caldas</t>
        </is>
      </c>
      <c r="D163" s="53" t="n">
        <v>-76.314888889</v>
      </c>
      <c r="E163" s="53" t="n">
        <v>3.513472222</v>
      </c>
      <c r="F163" s="48" t="n">
        <v>1018</v>
      </c>
      <c r="G163" s="46" t="n">
        <v>76</v>
      </c>
      <c r="H163" s="46" t="n">
        <v>76520</v>
      </c>
      <c r="I163" s="55" t="inlineStr">
        <is>
          <t>Valle Del Cauca</t>
        </is>
      </c>
      <c r="J163" s="55" t="inlineStr">
        <is>
          <t>Palmira</t>
        </is>
      </c>
      <c r="K163" s="51" t="n">
        <v>19</v>
      </c>
      <c r="L163" s="51" t="n">
        <v>20.4</v>
      </c>
      <c r="M163" s="51" t="n">
        <v>19</v>
      </c>
      <c r="N163" s="51" t="n">
        <v>19.2</v>
      </c>
      <c r="O163" s="51" t="n">
        <v>18</v>
      </c>
      <c r="P163" s="51" t="n">
        <v>18.6</v>
      </c>
      <c r="Q163" s="51" t="n">
        <v>21.6</v>
      </c>
      <c r="R163" s="51" t="n">
        <v>18</v>
      </c>
      <c r="S163" s="51" t="n">
        <v>19.2</v>
      </c>
      <c r="T163" s="51" t="n">
        <v>20.2</v>
      </c>
      <c r="U163" s="51" t="n">
        <v>22.6</v>
      </c>
      <c r="V163" s="51" t="n">
        <v>19.2</v>
      </c>
      <c r="W163" s="51" t="n">
        <v>20</v>
      </c>
      <c r="X163" s="51" t="n">
        <v>20</v>
      </c>
      <c r="Y163" s="51" t="n">
        <v>21</v>
      </c>
      <c r="Z163" s="111" t="n">
        <v>20.8</v>
      </c>
      <c r="AA163" s="51" t="n">
        <v>18.4</v>
      </c>
      <c r="AB163" s="51" t="n">
        <v>19.6</v>
      </c>
      <c r="AC163" s="51" t="n">
        <v>19.8</v>
      </c>
      <c r="AD163" s="51" t="n">
        <v>20</v>
      </c>
      <c r="AE163" s="51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88">
        <f>COUNTIF(K163:AO163,"&gt;0")</f>
        <v/>
      </c>
      <c r="AQ163" s="89">
        <f>IF(AP163&gt;14,AVERAGE(K163:AO163),"")</f>
        <v/>
      </c>
      <c r="AR163" s="89">
        <f>IFERROR(VLOOKUP(A163,Climatologia!A:U,9+$E$2,FALSE),"")</f>
        <v/>
      </c>
      <c r="AS163" s="89">
        <f>IF(OR(AQ163="",AR163=""),"",IFERROR(AQ163-AR163,""))</f>
        <v/>
      </c>
      <c r="AT163" s="90">
        <f>IF(COUNT(K163:AO163)=0,"",MIN(K163:AO163))</f>
        <v/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/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3" s="92">
        <f>IF(OR(AT163="",AU163=""),"NA",IFERROR(AT163-AU163,"NA"))</f>
        <v/>
      </c>
    </row>
    <row r="164" ht="14.25" customHeight="1">
      <c r="A164" s="48" t="n">
        <v>26105140</v>
      </c>
      <c r="B164" s="52" t="inlineStr">
        <is>
          <t>Barragan</t>
        </is>
      </c>
      <c r="C164" s="52" t="inlineStr">
        <is>
          <t>Area Operativa 09 - Cauca-Valle-Caldas</t>
        </is>
      </c>
      <c r="D164" s="53" t="n">
        <v>-75.88802777799999</v>
      </c>
      <c r="E164" s="53" t="n">
        <v>4.033055556</v>
      </c>
      <c r="F164" s="48" t="n">
        <v>2902</v>
      </c>
      <c r="G164" s="46" t="n">
        <v>76</v>
      </c>
      <c r="H164" s="46" t="n">
        <v>76834</v>
      </c>
      <c r="I164" s="55" t="inlineStr">
        <is>
          <t>Valle Del Cauca</t>
        </is>
      </c>
      <c r="J164" s="55" t="inlineStr">
        <is>
          <t>Tuluá</t>
        </is>
      </c>
      <c r="K164" s="51" t="n">
        <v>11</v>
      </c>
      <c r="L164" s="51" t="n">
        <v>8</v>
      </c>
      <c r="M164" s="51" t="n">
        <v>9</v>
      </c>
      <c r="N164" s="51" t="n">
        <v>10.8</v>
      </c>
      <c r="O164" s="51" t="n">
        <v>9</v>
      </c>
      <c r="P164" s="51" t="n">
        <v>8</v>
      </c>
      <c r="Q164" s="51" t="n">
        <v>9.199999999999999</v>
      </c>
      <c r="R164" s="51" t="n">
        <v>10</v>
      </c>
      <c r="S164" s="51" t="n">
        <v/>
      </c>
      <c r="T164" s="51" t="n">
        <v/>
      </c>
      <c r="U164" s="51" t="n">
        <v/>
      </c>
      <c r="V164" s="51" t="n">
        <v/>
      </c>
      <c r="W164" s="51" t="n">
        <v/>
      </c>
      <c r="X164" s="51" t="n">
        <v/>
      </c>
      <c r="Y164" s="51" t="n">
        <v/>
      </c>
      <c r="Z164" s="111" t="n">
        <v/>
      </c>
      <c r="AA164" s="51" t="n">
        <v/>
      </c>
      <c r="AB164" s="51" t="n">
        <v/>
      </c>
      <c r="AC164" s="51" t="n">
        <v/>
      </c>
      <c r="AD164" s="51" t="n">
        <v/>
      </c>
      <c r="AE164" s="51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88">
        <f>COUNTIF(K164:AO164,"&gt;0")</f>
        <v/>
      </c>
      <c r="AQ164" s="89">
        <f>IF(AP164&gt;14,AVERAGE(K164:AO164),"")</f>
        <v/>
      </c>
      <c r="AR164" s="89">
        <f>IFERROR(VLOOKUP(A164,Climatologia!A:U,9+$E$2,FALSE),"")</f>
        <v/>
      </c>
      <c r="AS164" s="89">
        <f>IF(OR(AQ164="",AR164=""),"",IFERROR(AQ164-AR164,""))</f>
        <v/>
      </c>
      <c r="AT164" s="90">
        <f>IF(COUNT(K164:AO164)=0,"",MIN(K164:AO164))</f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/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4" s="92">
        <f>IF(OR(AT164="",AU164=""),"NA",IFERROR(AT164-AU164,"NA"))</f>
        <v/>
      </c>
    </row>
    <row r="165" ht="14.25" customHeight="1">
      <c r="A165" s="48" t="n">
        <v>26105150</v>
      </c>
      <c r="B165" s="52" t="inlineStr">
        <is>
          <t>San Marcos</t>
        </is>
      </c>
      <c r="C165" s="52" t="inlineStr">
        <is>
          <t>Area Operativa 09 - Cauca-Valle-Caldas</t>
        </is>
      </c>
      <c r="D165" s="53" t="n">
        <v>-76.03305555599999</v>
      </c>
      <c r="E165" s="53" t="n">
        <v>4.238916667</v>
      </c>
      <c r="F165" s="48" t="n">
        <v>1011</v>
      </c>
      <c r="G165" s="46" t="n">
        <v>76</v>
      </c>
      <c r="H165" s="46" t="n">
        <v>76113</v>
      </c>
      <c r="I165" s="55" t="inlineStr">
        <is>
          <t>Valle Del Cauca</t>
        </is>
      </c>
      <c r="J165" s="55" t="inlineStr">
        <is>
          <t>Bugalagrande</t>
        </is>
      </c>
      <c r="K165" s="51" t="n">
        <v>19.6</v>
      </c>
      <c r="L165" s="51" t="n">
        <v>19</v>
      </c>
      <c r="M165" s="51" t="n">
        <v>19.6</v>
      </c>
      <c r="N165" s="51" t="n">
        <v/>
      </c>
      <c r="O165" s="51" t="n">
        <v>19.6</v>
      </c>
      <c r="P165" s="51" t="n">
        <v>20.2</v>
      </c>
      <c r="Q165" s="51" t="n">
        <v>18.1</v>
      </c>
      <c r="R165" s="51" t="n">
        <v>18.2</v>
      </c>
      <c r="S165" s="51" t="n">
        <v>18</v>
      </c>
      <c r="T165" s="51" t="n">
        <v>19.4</v>
      </c>
      <c r="U165" s="51" t="n">
        <v>18.6</v>
      </c>
      <c r="V165" s="51" t="n">
        <v>19</v>
      </c>
      <c r="W165" s="51" t="n">
        <v>20</v>
      </c>
      <c r="X165" s="51" t="n">
        <v>19.2</v>
      </c>
      <c r="Y165" s="51" t="n">
        <v>19.2</v>
      </c>
      <c r="Z165" s="111" t="n">
        <v>20</v>
      </c>
      <c r="AA165" s="51" t="n">
        <v>19</v>
      </c>
      <c r="AB165" s="51" t="n">
        <v>18</v>
      </c>
      <c r="AC165" s="51" t="n">
        <v/>
      </c>
      <c r="AD165" s="51" t="n">
        <v/>
      </c>
      <c r="AE165" s="51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88">
        <f>COUNTIF(K165:AO165,"&gt;0")</f>
        <v/>
      </c>
      <c r="AQ165" s="89">
        <f>IF(AP165&gt;14,AVERAGE(K165:AO165),"")</f>
        <v/>
      </c>
      <c r="AR165" s="89">
        <f>IFERROR(VLOOKUP(A165,Climatologia!A:U,9+$E$2,FALSE),"")</f>
        <v/>
      </c>
      <c r="AS165" s="89">
        <f>IF(OR(AQ165="",AR165=""),"",IFERROR(AQ165-AR165,""))</f>
        <v/>
      </c>
      <c r="AT165" s="90">
        <f>IF(COUNT(K165:AO165)=0,"",MIN(K165:AO165))</f>
        <v/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/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5" s="92">
        <f>IF(OR(AT165="",AU165=""),"NA",IFERROR(AT165-AU165,"NA"))</f>
        <v/>
      </c>
    </row>
    <row r="166" ht="14.25" customHeight="1">
      <c r="A166" s="48" t="n">
        <v>26105230</v>
      </c>
      <c r="B166" s="52" t="inlineStr">
        <is>
          <t>Mateguadua</t>
        </is>
      </c>
      <c r="C166" s="52" t="inlineStr">
        <is>
          <t>Area Operativa 09 - Cauca-Valle-Caldas</t>
        </is>
      </c>
      <c r="D166" s="53" t="n">
        <v>-76.16852778000001</v>
      </c>
      <c r="E166" s="53" t="n">
        <v>4.028333333</v>
      </c>
      <c r="F166" s="48" t="n">
        <v>1119</v>
      </c>
      <c r="G166" s="46" t="n">
        <v>76</v>
      </c>
      <c r="H166" s="46" t="n">
        <v>76834</v>
      </c>
      <c r="I166" s="55" t="inlineStr">
        <is>
          <t>Valle Del Cauca</t>
        </is>
      </c>
      <c r="J166" s="55" t="inlineStr">
        <is>
          <t>Tuluá</t>
        </is>
      </c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111" t="n"/>
      <c r="AA166" s="51" t="n"/>
      <c r="AB166" s="51" t="n"/>
      <c r="AC166" s="51" t="n"/>
      <c r="AD166" s="51" t="n"/>
      <c r="AE166" s="51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88">
        <f>COUNTIF(K166:AO166,"&gt;0")</f>
        <v/>
      </c>
      <c r="AQ166" s="89">
        <f>IF(AP166&gt;14,AVERAGE(K166:AO166),"")</f>
        <v/>
      </c>
      <c r="AR166" s="89">
        <f>IFERROR(VLOOKUP(A166,Climatologia!A:U,9+$E$2,FALSE),"")</f>
        <v/>
      </c>
      <c r="AS166" s="89">
        <f>IF(OR(AQ166="",AR166=""),"",IFERROR(AQ166-AR166,""))</f>
        <v/>
      </c>
      <c r="AT166" s="90">
        <f>IF(COUNT(K166:AO166)=0,"",MIN(K166:AO166))</f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/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6" s="92">
        <f>IF(OR(AT166="",AU166=""),"NA",IFERROR(AT166-AU166,"NA"))</f>
        <v/>
      </c>
    </row>
    <row r="167" ht="14.25" customHeight="1">
      <c r="A167" s="48" t="n">
        <v>26125130</v>
      </c>
      <c r="B167" s="52" t="inlineStr">
        <is>
          <t>Cumbarco</t>
        </is>
      </c>
      <c r="C167" s="52" t="inlineStr">
        <is>
          <t>Area Operativa 09 - Cauca-Valle-Caldas</t>
        </is>
      </c>
      <c r="D167" s="53" t="n">
        <v>-75.83236110999999</v>
      </c>
      <c r="E167" s="53" t="n">
        <v>4.185055556</v>
      </c>
      <c r="F167" s="48" t="n">
        <v>1749</v>
      </c>
      <c r="G167" s="46" t="n">
        <v>76</v>
      </c>
      <c r="H167" s="46" t="n">
        <v>76736</v>
      </c>
      <c r="I167" s="55" t="inlineStr">
        <is>
          <t>Valle Del Cauca</t>
        </is>
      </c>
      <c r="J167" s="55" t="inlineStr">
        <is>
          <t>Sevilla</t>
        </is>
      </c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111" t="n"/>
      <c r="AA167" s="51" t="n"/>
      <c r="AB167" s="51" t="n"/>
      <c r="AC167" s="51" t="n"/>
      <c r="AD167" s="51" t="n"/>
      <c r="AE167" s="51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88">
        <f>COUNTIF(K167:AO167,"&gt;0")</f>
        <v/>
      </c>
      <c r="AQ167" s="89">
        <f>IF(AP167&gt;14,AVERAGE(K167:AO167),"")</f>
        <v/>
      </c>
      <c r="AR167" s="89">
        <f>IFERROR(VLOOKUP(A167,Climatologia!A:U,9+$E$2,FALSE),"")</f>
        <v/>
      </c>
      <c r="AS167" s="89">
        <f>IF(OR(AQ167="",AR167=""),"",IFERROR(AQ167-AR167,""))</f>
        <v/>
      </c>
      <c r="AT167" s="90">
        <f>IF(COUNT(K167:AO167)=0,"",MIN(K167:AO167))</f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/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7" s="92">
        <f>IF(OR(AT167="",AU167=""),"NA",IFERROR(AT167-AU167,"NA"))</f>
        <v/>
      </c>
    </row>
    <row r="168" ht="14.25" customHeight="1">
      <c r="A168" s="48" t="n">
        <v>26135100</v>
      </c>
      <c r="B168" s="52" t="inlineStr">
        <is>
          <t>La Bohemia</t>
        </is>
      </c>
      <c r="C168" s="52" t="inlineStr">
        <is>
          <t>Area Operativa 09 - Cauca-Valle-Caldas</t>
        </is>
      </c>
      <c r="D168" s="53" t="n">
        <v>-75.87755556</v>
      </c>
      <c r="E168" s="53" t="n">
        <v>4.878027778</v>
      </c>
      <c r="F168" s="48" t="n">
        <v>995</v>
      </c>
      <c r="G168" s="46" t="n">
        <v>66</v>
      </c>
      <c r="H168" s="46" t="n">
        <v>66001</v>
      </c>
      <c r="I168" s="55" t="inlineStr">
        <is>
          <t>Risaralda</t>
        </is>
      </c>
      <c r="J168" s="55" t="inlineStr">
        <is>
          <t>Pereira</t>
        </is>
      </c>
      <c r="K168" s="51" t="n">
        <v>19.8</v>
      </c>
      <c r="L168" s="51" t="n">
        <v>20.2</v>
      </c>
      <c r="M168" s="51" t="n">
        <v>19.4</v>
      </c>
      <c r="N168" s="51" t="n">
        <v>19.8</v>
      </c>
      <c r="O168" s="51" t="n">
        <v>20.2</v>
      </c>
      <c r="P168" s="51" t="n">
        <v>19.6</v>
      </c>
      <c r="Q168" s="51" t="n">
        <v>19.2</v>
      </c>
      <c r="R168" s="51" t="n">
        <v>17.8</v>
      </c>
      <c r="S168" s="51" t="n">
        <v>18.4</v>
      </c>
      <c r="T168" s="51" t="n">
        <v>20.2</v>
      </c>
      <c r="U168" s="51" t="n">
        <v>20.8</v>
      </c>
      <c r="V168" s="51" t="n">
        <v>19.2</v>
      </c>
      <c r="W168" s="51" t="n">
        <v>20.4</v>
      </c>
      <c r="X168" s="51" t="n">
        <v/>
      </c>
      <c r="Y168" s="51" t="n">
        <v>20.4</v>
      </c>
      <c r="Z168" s="111" t="n">
        <v/>
      </c>
      <c r="AA168" s="51" t="n">
        <v>19.8</v>
      </c>
      <c r="AB168" s="51" t="n">
        <v>20.6</v>
      </c>
      <c r="AC168" s="51" t="n">
        <v>20.8</v>
      </c>
      <c r="AD168" s="51" t="n">
        <v>20.4</v>
      </c>
      <c r="AE168" s="51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88">
        <f>COUNTIF(K168:AO168,"&gt;0")</f>
        <v/>
      </c>
      <c r="AQ168" s="89">
        <f>IF(AP168&gt;14,AVERAGE(K168:AO168),"")</f>
        <v/>
      </c>
      <c r="AR168" s="89">
        <f>IFERROR(VLOOKUP(A168,Climatologia!A:U,9+$E$2,FALSE),"")</f>
        <v/>
      </c>
      <c r="AS168" s="89">
        <f>IF(OR(AQ168="",AR168=""),"",IFERROR(AQ168-AR168,""))</f>
        <v/>
      </c>
      <c r="AT168" s="90">
        <f>IF(COUNT(K168:AO168)=0,"",MIN(K168:AO168))</f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/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8" s="92">
        <f>IF(OR(AT168="",AU168=""),"NA",IFERROR(AT168-AU168,"NA"))</f>
        <v/>
      </c>
    </row>
    <row r="169" ht="14.25" customHeight="1">
      <c r="A169" s="48" t="n">
        <v>26145020</v>
      </c>
      <c r="B169" s="52" t="inlineStr">
        <is>
          <t>Bellavista</t>
        </is>
      </c>
      <c r="C169" s="52" t="inlineStr">
        <is>
          <t>Area Operativa 09 - Cauca-Valle-Caldas</t>
        </is>
      </c>
      <c r="D169" s="53" t="n">
        <v>-75.800138889</v>
      </c>
      <c r="E169" s="53" t="n">
        <v>5.275944444</v>
      </c>
      <c r="F169" s="48" t="n">
        <v>1984</v>
      </c>
      <c r="G169" s="46" t="n">
        <v>17</v>
      </c>
      <c r="H169" s="46" t="n">
        <v>17042</v>
      </c>
      <c r="I169" s="55" t="inlineStr">
        <is>
          <t>Caldas</t>
        </is>
      </c>
      <c r="J169" s="55" t="inlineStr">
        <is>
          <t>Anserma</t>
        </is>
      </c>
      <c r="K169" s="51" t="n">
        <v>15.2</v>
      </c>
      <c r="L169" s="51" t="n">
        <v>15.6</v>
      </c>
      <c r="M169" s="51" t="n">
        <v>14</v>
      </c>
      <c r="N169" s="51" t="n">
        <v>14.8</v>
      </c>
      <c r="O169" s="51" t="n">
        <v>13.6</v>
      </c>
      <c r="P169" s="51" t="n">
        <v>14.2</v>
      </c>
      <c r="Q169" s="51" t="n">
        <v>13.2</v>
      </c>
      <c r="R169" s="51" t="n">
        <v>14</v>
      </c>
      <c r="S169" s="51" t="n">
        <v>14.2</v>
      </c>
      <c r="T169" s="51" t="n">
        <v>15</v>
      </c>
      <c r="U169" s="51" t="n">
        <v>15</v>
      </c>
      <c r="V169" s="51" t="n">
        <v>14.8</v>
      </c>
      <c r="W169" s="51" t="n">
        <v>15</v>
      </c>
      <c r="X169" s="51" t="n">
        <v>12</v>
      </c>
      <c r="Y169" s="51" t="n">
        <v>15</v>
      </c>
      <c r="Z169" s="111" t="n">
        <v>15.8</v>
      </c>
      <c r="AA169" s="51" t="n">
        <v>15.2</v>
      </c>
      <c r="AB169" s="51" t="n">
        <v>14.8</v>
      </c>
      <c r="AC169" s="51" t="n">
        <v>16</v>
      </c>
      <c r="AD169" s="51" t="n">
        <v>15</v>
      </c>
      <c r="AE169" s="51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88">
        <f>COUNTIF(K169:AO169,"&gt;0")</f>
        <v/>
      </c>
      <c r="AQ169" s="89">
        <f>IF(AP169&gt;14,AVERAGE(K169:AO169),"")</f>
        <v/>
      </c>
      <c r="AR169" s="89">
        <f>IFERROR(VLOOKUP(A169,Climatologia!A:U,9+$E$2,FALSE),"")</f>
        <v/>
      </c>
      <c r="AS169" s="89">
        <f>IF(OR(AQ169="",AR169=""),"",IFERROR(AQ169-AR169,""))</f>
        <v/>
      </c>
      <c r="AT169" s="90">
        <f>IF(COUNT(K169:AO169)=0,"",MIN(K169:AO169))</f>
        <v/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/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9" s="92">
        <f>IF(OR(AT169="",AU169=""),"NA",IFERROR(AT169-AU169,"NA"))</f>
        <v/>
      </c>
    </row>
    <row r="170" ht="14.25" customHeight="1">
      <c r="A170" s="48" t="n">
        <v>26155170</v>
      </c>
      <c r="B170" s="52" t="inlineStr">
        <is>
          <t>Tesorito Finca  - Aut</t>
        </is>
      </c>
      <c r="C170" s="52" t="inlineStr">
        <is>
          <t>Area Operativa 09 - Cauca-Valle-Caldas</t>
        </is>
      </c>
      <c r="D170" s="53" t="n">
        <v>-75.43833333000001</v>
      </c>
      <c r="E170" s="53" t="n">
        <v>5.032222222</v>
      </c>
      <c r="F170" s="48" t="n">
        <v>2325</v>
      </c>
      <c r="G170" s="46" t="n">
        <v>17</v>
      </c>
      <c r="H170" s="46" t="n">
        <v>17001</v>
      </c>
      <c r="I170" s="55" t="inlineStr">
        <is>
          <t>Caldas</t>
        </is>
      </c>
      <c r="J170" s="55" t="inlineStr">
        <is>
          <t>Manizales</t>
        </is>
      </c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111" t="n"/>
      <c r="AA170" s="51" t="n"/>
      <c r="AB170" s="51" t="n"/>
      <c r="AC170" s="51" t="n"/>
      <c r="AD170" s="51" t="n"/>
      <c r="AE170" s="51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88">
        <f>COUNTIF(K170:AO170,"&gt;0")</f>
        <v/>
      </c>
      <c r="AQ170" s="89">
        <f>IF(AP170&gt;14,AVERAGE(K170:AO170),"")</f>
        <v/>
      </c>
      <c r="AR170" s="89">
        <f>IFERROR(VLOOKUP(A170,Climatologia!A:U,9+$E$2,FALSE),"")</f>
        <v/>
      </c>
      <c r="AS170" s="89">
        <f>IF(OR(AQ170="",AR170=""),"",IFERROR(AQ170-AR170,""))</f>
        <v/>
      </c>
      <c r="AT170" s="90">
        <f>IF(COUNT(K170:AO170)=0,"",MIN(K170:AO170))</f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/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0" s="92">
        <f>IF(OR(AT170="",AU170=""),"NA",IFERROR(AT170-AU170,"NA"))</f>
        <v/>
      </c>
    </row>
    <row r="171" ht="14.25" customHeight="1">
      <c r="A171" s="48" t="n">
        <v>21135020</v>
      </c>
      <c r="B171" s="52" t="inlineStr">
        <is>
          <t>Jabalcon</t>
        </is>
      </c>
      <c r="C171" s="52" t="inlineStr">
        <is>
          <t>Area Operativa 10 - Tolima</t>
        </is>
      </c>
      <c r="D171" s="53" t="n">
        <v>-75.01575</v>
      </c>
      <c r="E171" s="53" t="n">
        <v>3.85575</v>
      </c>
      <c r="F171" s="48" t="n">
        <v>313</v>
      </c>
      <c r="G171" s="46" t="n">
        <v>73</v>
      </c>
      <c r="H171" s="46" t="n">
        <v>73671</v>
      </c>
      <c r="I171" s="55" t="inlineStr">
        <is>
          <t>Tolima</t>
        </is>
      </c>
      <c r="J171" s="55" t="inlineStr">
        <is>
          <t>Saldaña</t>
        </is>
      </c>
      <c r="K171" s="51" t="n">
        <v>25</v>
      </c>
      <c r="L171" s="51" t="n">
        <v>20</v>
      </c>
      <c r="M171" s="51" t="n">
        <v>20.2</v>
      </c>
      <c r="N171" s="51" t="n">
        <v>20.4</v>
      </c>
      <c r="O171" s="51" t="n">
        <v>20.6</v>
      </c>
      <c r="P171" s="51" t="n">
        <v>21.2</v>
      </c>
      <c r="Q171" s="51" t="n">
        <v>21.8</v>
      </c>
      <c r="R171" s="51" t="n">
        <v>23.6</v>
      </c>
      <c r="S171" s="51" t="n">
        <v>24.2</v>
      </c>
      <c r="T171" s="51" t="n">
        <v>24.8</v>
      </c>
      <c r="U171" s="51" t="n">
        <v>25.2</v>
      </c>
      <c r="V171" s="51" t="n">
        <v>25.4</v>
      </c>
      <c r="W171" s="51" t="n">
        <v>26</v>
      </c>
      <c r="X171" s="51" t="n">
        <v>24.6</v>
      </c>
      <c r="Y171" s="51" t="n">
        <v>25</v>
      </c>
      <c r="Z171" s="111" t="n">
        <v/>
      </c>
      <c r="AA171" s="51" t="n">
        <v>25.6</v>
      </c>
      <c r="AB171" s="51" t="n">
        <v/>
      </c>
      <c r="AC171" s="51" t="n">
        <v>26.4</v>
      </c>
      <c r="AD171" s="51" t="n">
        <v/>
      </c>
      <c r="AE171" s="51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88">
        <f>COUNTIF(K171:AO171,"&gt;0")</f>
        <v/>
      </c>
      <c r="AQ171" s="89">
        <f>IF(AP171&gt;14,AVERAGE(K171:AO171),"")</f>
        <v/>
      </c>
      <c r="AR171" s="89">
        <f>IFERROR(VLOOKUP(A171,Climatologia!A:U,9+$E$2,FALSE),"")</f>
        <v/>
      </c>
      <c r="AS171" s="89">
        <f>IF(OR(AQ171="",AR171=""),"",IFERROR(AQ171-AR171,""))</f>
        <v/>
      </c>
      <c r="AT171" s="90">
        <f>IF(COUNT(K171:AO171)=0,"",MIN(K171:AO171))</f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/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1" s="92">
        <f>IF(OR(AT171="",AU171=""),"NA",IFERROR(AT171-AU171,"NA"))</f>
        <v/>
      </c>
    </row>
    <row r="172" ht="14.25" customHeight="1">
      <c r="A172" s="48" t="n">
        <v>21165010</v>
      </c>
      <c r="B172" s="52" t="inlineStr">
        <is>
          <t>Pst De Monta</t>
        </is>
      </c>
      <c r="C172" s="52" t="inlineStr">
        <is>
          <t>Area Operativa 10 - Tolima</t>
        </is>
      </c>
      <c r="D172" s="53" t="n">
        <v>-74.91702778</v>
      </c>
      <c r="E172" s="53" t="n">
        <v>3.787611111</v>
      </c>
      <c r="F172" s="48" t="n">
        <v>311</v>
      </c>
      <c r="G172" s="46" t="n">
        <v>73</v>
      </c>
      <c r="H172" s="46" t="n">
        <v>73563</v>
      </c>
      <c r="I172" s="55" t="inlineStr">
        <is>
          <t>Tolima</t>
        </is>
      </c>
      <c r="J172" s="55" t="inlineStr">
        <is>
          <t>Prado</t>
        </is>
      </c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111" t="n"/>
      <c r="AA172" s="51" t="n"/>
      <c r="AB172" s="51" t="n"/>
      <c r="AC172" s="51" t="n"/>
      <c r="AD172" s="51" t="n"/>
      <c r="AE172" s="51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88">
        <f>COUNTIF(K172:AO172,"&gt;0")</f>
        <v/>
      </c>
      <c r="AQ172" s="89">
        <f>IF(AP172&gt;14,AVERAGE(K172:AO172),"")</f>
        <v/>
      </c>
      <c r="AR172" s="89">
        <f>IFERROR(VLOOKUP(A172,Climatologia!A:U,9+$E$2,FALSE),"")</f>
        <v/>
      </c>
      <c r="AS172" s="89">
        <f>IF(OR(AQ172="",AR172=""),"",IFERROR(AQ172-AR172,""))</f>
        <v/>
      </c>
      <c r="AT172" s="90">
        <f>IF(COUNT(K172:AO172)=0,"",MIN(K172:AO172))</f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/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2" s="92">
        <f>IF(OR(AT172="",AU172=""),"NA",IFERROR(AT172-AU172,"NA"))</f>
        <v/>
      </c>
    </row>
    <row r="173" ht="14.25" customHeight="1">
      <c r="A173" s="48" t="n">
        <v>21185030</v>
      </c>
      <c r="B173" s="52" t="inlineStr">
        <is>
          <t>Guamo</t>
        </is>
      </c>
      <c r="C173" s="52" t="inlineStr">
        <is>
          <t>Area Operativa 10 - Tolima</t>
        </is>
      </c>
      <c r="D173" s="53" t="n">
        <v>-74.98138889000001</v>
      </c>
      <c r="E173" s="53" t="n">
        <v>4.008833333</v>
      </c>
      <c r="F173" s="48" t="n">
        <v>332</v>
      </c>
      <c r="G173" s="46" t="n">
        <v>73</v>
      </c>
      <c r="H173" s="46" t="n">
        <v>73319</v>
      </c>
      <c r="I173" s="55" t="inlineStr">
        <is>
          <t>Tolima</t>
        </is>
      </c>
      <c r="J173" s="55" t="inlineStr">
        <is>
          <t>Guamo</t>
        </is>
      </c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111" t="n"/>
      <c r="AA173" s="51" t="n"/>
      <c r="AB173" s="51" t="n"/>
      <c r="AC173" s="51" t="n"/>
      <c r="AD173" s="51" t="n"/>
      <c r="AE173" s="51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88">
        <f>COUNTIF(K173:AO173,"&gt;0")</f>
        <v/>
      </c>
      <c r="AQ173" s="89">
        <f>IF(AP173&gt;14,AVERAGE(K173:AO173),"")</f>
        <v/>
      </c>
      <c r="AR173" s="89">
        <f>IFERROR(VLOOKUP(A173,Climatologia!A:U,9+$E$2,FALSE),"")</f>
        <v/>
      </c>
      <c r="AS173" s="89">
        <f>IF(OR(AQ173="",AR173=""),"",IFERROR(AQ173-AR173,""))</f>
        <v/>
      </c>
      <c r="AT173" s="90">
        <f>IF(COUNT(K173:AO173)=0,"",MIN(K173:AO173))</f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/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3" s="92">
        <f>IF(OR(AT173="",AU173=""),"NA",IFERROR(AT173-AU173,"NA"))</f>
        <v/>
      </c>
    </row>
    <row r="174" ht="14.25" customHeight="1">
      <c r="A174" s="48" t="n">
        <v>21185080</v>
      </c>
      <c r="B174" s="52" t="inlineStr">
        <is>
          <t>Valle De San Juan</t>
        </is>
      </c>
      <c r="C174" s="52" t="inlineStr">
        <is>
          <t>Area Operativa 10 - Tolima</t>
        </is>
      </c>
      <c r="D174" s="53" t="n">
        <v>-75.104611111</v>
      </c>
      <c r="E174" s="53" t="n">
        <v>4.216458333</v>
      </c>
      <c r="F174" s="48" t="n">
        <v>591</v>
      </c>
      <c r="G174" s="46" t="n">
        <v>73</v>
      </c>
      <c r="H174" s="46" t="n">
        <v>73854</v>
      </c>
      <c r="I174" s="55" t="inlineStr">
        <is>
          <t>Tolima</t>
        </is>
      </c>
      <c r="J174" s="55" t="inlineStr">
        <is>
          <t>Valle De San Juan</t>
        </is>
      </c>
      <c r="K174" s="51" t="n">
        <v>24.4</v>
      </c>
      <c r="L174" s="51" t="n">
        <v>21.6</v>
      </c>
      <c r="M174" s="51" t="n">
        <v>21.4</v>
      </c>
      <c r="N174" s="51" t="n">
        <v>21.8</v>
      </c>
      <c r="O174" s="51" t="n">
        <v>22.2</v>
      </c>
      <c r="P174" s="51" t="n">
        <v>20.6</v>
      </c>
      <c r="Q174" s="51" t="n">
        <v>23.8</v>
      </c>
      <c r="R174" s="51" t="n">
        <v>20.4</v>
      </c>
      <c r="S174" s="51" t="n">
        <v>20.6</v>
      </c>
      <c r="T174" s="51" t="n">
        <v>20.4</v>
      </c>
      <c r="U174" s="51" t="n">
        <v>23.6</v>
      </c>
      <c r="V174" s="51" t="n">
        <v>22</v>
      </c>
      <c r="W174" s="51" t="n">
        <v>22.2</v>
      </c>
      <c r="X174" s="51" t="n">
        <v>21.4</v>
      </c>
      <c r="Y174" s="51" t="n">
        <v>22</v>
      </c>
      <c r="Z174" s="111" t="n">
        <v>22.6</v>
      </c>
      <c r="AA174" s="51" t="n">
        <v>21.2</v>
      </c>
      <c r="AB174" s="51" t="n">
        <v>24</v>
      </c>
      <c r="AC174" s="51" t="n">
        <v>22.6</v>
      </c>
      <c r="AD174" s="51" t="n">
        <v>22.8</v>
      </c>
      <c r="AE174" s="51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88">
        <f>COUNTIF(K174:AO174,"&gt;0")</f>
        <v/>
      </c>
      <c r="AQ174" s="89">
        <f>IF(AP174&gt;14,AVERAGE(K174:AO174),"")</f>
        <v/>
      </c>
      <c r="AR174" s="89">
        <f>IFERROR(VLOOKUP(A174,Climatologia!A:U,9+$E$2,FALSE),"")</f>
        <v/>
      </c>
      <c r="AS174" s="89">
        <f>IF(OR(AQ174="",AR174=""),"",IFERROR(AQ174-AR174,""))</f>
        <v/>
      </c>
      <c r="AT174" s="90">
        <f>IF(COUNT(K174:AO174)=0,"",MIN(K174:AO174))</f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/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4" s="92">
        <f>IF(OR(AT174="",AU174=""),"NA",IFERROR(AT174-AU174,"NA"))</f>
        <v/>
      </c>
    </row>
    <row r="175" ht="14.25" customHeight="1">
      <c r="A175" s="48" t="n">
        <v>21215080</v>
      </c>
      <c r="B175" s="52" t="inlineStr">
        <is>
          <t>Chicoral</t>
        </is>
      </c>
      <c r="C175" s="52" t="inlineStr">
        <is>
          <t>Area Operativa 10 - Tolima</t>
        </is>
      </c>
      <c r="D175" s="53" t="n">
        <v>-74.99536111</v>
      </c>
      <c r="E175" s="53" t="n">
        <v>4.231527778</v>
      </c>
      <c r="F175" s="48" t="n">
        <v>432</v>
      </c>
      <c r="G175" s="46" t="n">
        <v>73</v>
      </c>
      <c r="H175" s="46" t="n">
        <v>73268</v>
      </c>
      <c r="I175" s="55" t="inlineStr">
        <is>
          <t>Tolima</t>
        </is>
      </c>
      <c r="J175" s="55" t="inlineStr">
        <is>
          <t>Espinal</t>
        </is>
      </c>
      <c r="K175" s="51" t="n">
        <v>24.4</v>
      </c>
      <c r="L175" s="51" t="n">
        <v>24.2</v>
      </c>
      <c r="M175" s="51" t="n">
        <v>23.4</v>
      </c>
      <c r="N175" s="51" t="n">
        <v>24.6</v>
      </c>
      <c r="O175" s="51" t="n">
        <v>25</v>
      </c>
      <c r="P175" s="51" t="n">
        <v>23.8</v>
      </c>
      <c r="Q175" s="51" t="n">
        <v>22.6</v>
      </c>
      <c r="R175" s="51" t="n">
        <v>25</v>
      </c>
      <c r="S175" s="51" t="n">
        <v>22.6</v>
      </c>
      <c r="T175" s="51" t="n">
        <v>22.8</v>
      </c>
      <c r="U175" s="51" t="n">
        <v>25.8</v>
      </c>
      <c r="V175" s="51" t="n">
        <v>24.4</v>
      </c>
      <c r="W175" s="51" t="n">
        <v>24.2</v>
      </c>
      <c r="X175" s="51" t="n">
        <v>25.8</v>
      </c>
      <c r="Y175" s="51" t="n">
        <v>25</v>
      </c>
      <c r="Z175" s="111" t="n">
        <v/>
      </c>
      <c r="AA175" s="51" t="n">
        <v>21.6</v>
      </c>
      <c r="AB175" s="51" t="n">
        <v>25.6</v>
      </c>
      <c r="AC175" s="51" t="n">
        <v>25</v>
      </c>
      <c r="AD175" s="51" t="n">
        <v/>
      </c>
      <c r="AE175" s="51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88">
        <f>COUNTIF(K175:AO175,"&gt;0")</f>
        <v/>
      </c>
      <c r="AQ175" s="89">
        <f>IF(AP175&gt;14,AVERAGE(K175:AO175),"")</f>
        <v/>
      </c>
      <c r="AR175" s="89">
        <f>IFERROR(VLOOKUP(A175,Climatologia!A:U,9+$E$2,FALSE),"")</f>
        <v/>
      </c>
      <c r="AS175" s="89">
        <f>IF(OR(AQ175="",AR175=""),"",IFERROR(AQ175-AR175,""))</f>
        <v/>
      </c>
      <c r="AT175" s="90">
        <f>IF(COUNT(K175:AO175)=0,"",MIN(K175:AO175))</f>
        <v/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/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5" s="92">
        <f>IF(OR(AT175="",AU175=""),"NA",IFERROR(AT175-AU175,"NA"))</f>
        <v/>
      </c>
    </row>
    <row r="176" ht="14.25" customHeight="1">
      <c r="A176" s="48" t="n">
        <v>21235010</v>
      </c>
      <c r="B176" s="52" t="inlineStr">
        <is>
          <t>Jerusalen</t>
        </is>
      </c>
      <c r="C176" s="52" t="inlineStr">
        <is>
          <t>Area Operativa 10 - Tolima</t>
        </is>
      </c>
      <c r="D176" s="53" t="n">
        <v>-74.70238888999999</v>
      </c>
      <c r="E176" s="53" t="n">
        <v>4.561805556</v>
      </c>
      <c r="F176" s="48" t="n">
        <v>297</v>
      </c>
      <c r="G176" s="46" t="n">
        <v>25</v>
      </c>
      <c r="H176" s="46" t="n">
        <v>25368</v>
      </c>
      <c r="I176" s="55" t="inlineStr">
        <is>
          <t>Cundinamarca</t>
        </is>
      </c>
      <c r="J176" s="55" t="inlineStr">
        <is>
          <t>Jerusalén</t>
        </is>
      </c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111" t="n"/>
      <c r="AA176" s="51" t="n"/>
      <c r="AB176" s="51" t="n"/>
      <c r="AC176" s="51" t="n"/>
      <c r="AD176" s="51" t="n"/>
      <c r="AE176" s="51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88">
        <f>COUNTIF(K176:AO176,"&gt;0")</f>
        <v/>
      </c>
      <c r="AQ176" s="89">
        <f>IF(AP176&gt;14,AVERAGE(K176:AO176),"")</f>
        <v/>
      </c>
      <c r="AR176" s="89">
        <f>IFERROR(VLOOKUP(A176,Climatologia!A:U,9+$E$2,FALSE),"")</f>
        <v/>
      </c>
      <c r="AS176" s="89">
        <f>IF(OR(AQ176="",AR176=""),"",IFERROR(AQ176-AR176,""))</f>
        <v/>
      </c>
      <c r="AT176" s="90">
        <f>IF(COUNT(K176:AO176)=0,"",MIN(K176:AO176))</f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/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6" s="92">
        <f>IF(OR(AT176="",AU176=""),"NA",IFERROR(AT176-AU176,"NA"))</f>
        <v/>
      </c>
    </row>
    <row r="177" ht="14.25" customHeight="1">
      <c r="A177" s="48" t="n">
        <v>21245010</v>
      </c>
      <c r="B177" s="52" t="inlineStr">
        <is>
          <t>Perales Hato Opia</t>
        </is>
      </c>
      <c r="C177" s="52" t="inlineStr">
        <is>
          <t>Area Operativa 10 - Tolima</t>
        </is>
      </c>
      <c r="D177" s="53" t="n">
        <v>-75.20052222</v>
      </c>
      <c r="E177" s="53" t="n">
        <v>4.429666667</v>
      </c>
      <c r="F177" s="48" t="n">
        <v>826</v>
      </c>
      <c r="G177" s="46" t="n">
        <v>73</v>
      </c>
      <c r="H177" s="46" t="n">
        <v>73001</v>
      </c>
      <c r="I177" s="55" t="inlineStr">
        <is>
          <t>Tolima</t>
        </is>
      </c>
      <c r="J177" s="55" t="inlineStr">
        <is>
          <t>Ibagué</t>
        </is>
      </c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111" t="n"/>
      <c r="AA177" s="51" t="n"/>
      <c r="AB177" s="51" t="n"/>
      <c r="AC177" s="51" t="n"/>
      <c r="AD177" s="51" t="n"/>
      <c r="AE177" s="51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88">
        <f>COUNTIF(K177:AO177,"&gt;0")</f>
        <v/>
      </c>
      <c r="AQ177" s="89">
        <f>IF(AP177&gt;14,AVERAGE(K177:AO177),"")</f>
        <v/>
      </c>
      <c r="AR177" s="89">
        <f>IFERROR(VLOOKUP(A177,Climatologia!A:U,9+$E$2,FALSE),"")</f>
        <v/>
      </c>
      <c r="AS177" s="89">
        <f>IF(OR(AQ177="",AR177=""),"",IFERROR(AQ177-AR177,""))</f>
        <v/>
      </c>
      <c r="AT177" s="90">
        <f>IF(COUNT(K177:AO177)=0,"",MIN(K177:AO177))</f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/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7" s="92">
        <f>IF(OR(AT177="",AU177=""),"NA",IFERROR(AT177-AU177,"NA"))</f>
        <v/>
      </c>
    </row>
    <row r="178" ht="14.25" customHeight="1">
      <c r="A178" s="48" t="n">
        <v>21245140</v>
      </c>
      <c r="B178" s="52" t="inlineStr">
        <is>
          <t>Santa Isabel</t>
        </is>
      </c>
      <c r="C178" s="52" t="inlineStr">
        <is>
          <t>Area Operativa 10 - Tolima</t>
        </is>
      </c>
      <c r="D178" s="53" t="n">
        <v>-75.09445556</v>
      </c>
      <c r="E178" s="53" t="n">
        <v>4.711861111</v>
      </c>
      <c r="F178" s="48" t="n">
        <v>2288</v>
      </c>
      <c r="G178" s="46" t="n">
        <v>73</v>
      </c>
      <c r="H178" s="46" t="n">
        <v>73686</v>
      </c>
      <c r="I178" s="55" t="inlineStr">
        <is>
          <t>Tolima</t>
        </is>
      </c>
      <c r="J178" s="55" t="inlineStr">
        <is>
          <t>Santa Isabel</t>
        </is>
      </c>
      <c r="K178" s="51" t="n">
        <v>13.6</v>
      </c>
      <c r="L178" s="51" t="n">
        <v>12.4</v>
      </c>
      <c r="M178" s="51" t="n">
        <v>13.2</v>
      </c>
      <c r="N178" s="51" t="n">
        <v>12.6</v>
      </c>
      <c r="O178" s="51" t="n">
        <v>13.2</v>
      </c>
      <c r="P178" s="51" t="n">
        <v>13.8</v>
      </c>
      <c r="Q178" s="51" t="n">
        <v>13.8</v>
      </c>
      <c r="R178" s="51" t="n">
        <v>14</v>
      </c>
      <c r="S178" s="51" t="n">
        <v>14</v>
      </c>
      <c r="T178" s="51" t="n">
        <v/>
      </c>
      <c r="U178" s="51" t="n">
        <v>13.4</v>
      </c>
      <c r="V178" s="51" t="n">
        <v>13.4</v>
      </c>
      <c r="W178" s="51" t="n">
        <v>13.6</v>
      </c>
      <c r="X178" s="51" t="n">
        <v>13.8</v>
      </c>
      <c r="Y178" s="51" t="n">
        <v>14.2</v>
      </c>
      <c r="Z178" s="111" t="n">
        <v>12.8</v>
      </c>
      <c r="AA178" s="51" t="n">
        <v>13.8</v>
      </c>
      <c r="AB178" s="51" t="n">
        <v>15</v>
      </c>
      <c r="AC178" s="51" t="n">
        <v>14</v>
      </c>
      <c r="AD178" s="51" t="n">
        <v>13.4</v>
      </c>
      <c r="AE178" s="51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88">
        <f>COUNTIF(K178:AO178,"&gt;0")</f>
        <v/>
      </c>
      <c r="AQ178" s="89">
        <f>IF(AP178&gt;14,AVERAGE(K178:AO178),"")</f>
        <v/>
      </c>
      <c r="AR178" s="89">
        <f>IFERROR(VLOOKUP(A178,Climatologia!A:U,9+$E$2,FALSE),"")</f>
        <v/>
      </c>
      <c r="AS178" s="89">
        <f>IF(OR(AQ178="",AR178=""),"",IFERROR(AQ178-AR178,""))</f>
        <v/>
      </c>
      <c r="AT178" s="90">
        <f>IF(COUNT(K178:AO178)=0,"",MIN(K178:AO178))</f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/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8" s="92">
        <f>IF(OR(AT178="",AU178=""),"NA",IFERROR(AT178-AU178,"NA"))</f>
        <v/>
      </c>
    </row>
    <row r="179" ht="14.25" customHeight="1">
      <c r="A179" s="48" t="n">
        <v>21255080</v>
      </c>
      <c r="B179" s="52" t="inlineStr">
        <is>
          <t xml:space="preserve">El Salto </t>
        </is>
      </c>
      <c r="C179" s="52" t="inlineStr">
        <is>
          <t>Area Operativa 10 - Tolima</t>
        </is>
      </c>
      <c r="D179" s="53" t="n">
        <v>-74.76794443999999</v>
      </c>
      <c r="E179" s="53" t="n">
        <v>4.783778</v>
      </c>
      <c r="F179" s="48" t="n">
        <v>308</v>
      </c>
      <c r="G179" s="46" t="n">
        <v>73</v>
      </c>
      <c r="H179" s="46" t="n">
        <v>73030</v>
      </c>
      <c r="I179" s="55" t="inlineStr">
        <is>
          <t>Tolima</t>
        </is>
      </c>
      <c r="J179" s="55" t="inlineStr">
        <is>
          <t>Ambalema</t>
        </is>
      </c>
      <c r="K179" s="51" t="n">
        <v>26.4</v>
      </c>
      <c r="L179" s="51" t="n">
        <v>22.8</v>
      </c>
      <c r="M179" s="51" t="n">
        <v/>
      </c>
      <c r="N179" s="51" t="n">
        <v>22.6</v>
      </c>
      <c r="O179" s="51" t="n">
        <v>25.6</v>
      </c>
      <c r="P179" s="51" t="n">
        <v>25</v>
      </c>
      <c r="Q179" s="51" t="n">
        <v/>
      </c>
      <c r="R179" s="51" t="n">
        <v>25.8</v>
      </c>
      <c r="S179" s="51" t="n">
        <v>25.2</v>
      </c>
      <c r="T179" s="51" t="n">
        <v>25.6</v>
      </c>
      <c r="U179" s="51" t="n">
        <v>25.4</v>
      </c>
      <c r="V179" s="51" t="n">
        <v>25.4</v>
      </c>
      <c r="W179" s="51" t="n">
        <v>25.8</v>
      </c>
      <c r="X179" s="51" t="n">
        <v/>
      </c>
      <c r="Y179" s="51" t="n">
        <v/>
      </c>
      <c r="Z179" s="111" t="n">
        <v/>
      </c>
      <c r="AA179" s="51" t="n">
        <v>25</v>
      </c>
      <c r="AB179" s="51" t="n">
        <v/>
      </c>
      <c r="AC179" s="51" t="n">
        <v>24.8</v>
      </c>
      <c r="AD179" s="51" t="n">
        <v>25.6</v>
      </c>
      <c r="AE179" s="51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88">
        <f>COUNTIF(K179:AO179,"&gt;0")</f>
        <v/>
      </c>
      <c r="AQ179" s="89">
        <f>IF(AP179&gt;14,AVERAGE(K179:AO179),"")</f>
        <v/>
      </c>
      <c r="AR179" s="89">
        <f>IFERROR(VLOOKUP(A179,Climatologia!A:U,9+$E$2,FALSE),"")</f>
        <v/>
      </c>
      <c r="AS179" s="89">
        <f>IF(OR(AQ179="",AR179=""),"",IFERROR(AQ179-AR179,""))</f>
        <v/>
      </c>
      <c r="AT179" s="90">
        <f>IF(COUNT(K179:AO179)=0,"",MIN(K179:AO179))</f>
        <v/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/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9" s="92">
        <f>IF(OR(AT179="",AU179=""),"NA",IFERROR(AT179-AU179,"NA"))</f>
        <v/>
      </c>
    </row>
    <row r="180" ht="14.25" customHeight="1">
      <c r="A180" s="48" t="n">
        <v>21255090</v>
      </c>
      <c r="B180" s="52" t="inlineStr">
        <is>
          <t>Armero Granja</t>
        </is>
      </c>
      <c r="C180" s="52" t="inlineStr">
        <is>
          <t>Area Operativa 10 - Tolima</t>
        </is>
      </c>
      <c r="D180" s="53" t="n">
        <v>-74.89999166699999</v>
      </c>
      <c r="E180" s="53" t="n">
        <v>5</v>
      </c>
      <c r="F180" s="48" t="n">
        <v>321</v>
      </c>
      <c r="G180" s="46" t="n">
        <v>73</v>
      </c>
      <c r="H180" s="46" t="n">
        <v>73055</v>
      </c>
      <c r="I180" s="55" t="inlineStr">
        <is>
          <t>Tolima</t>
        </is>
      </c>
      <c r="J180" s="55" t="inlineStr">
        <is>
          <t>Armero</t>
        </is>
      </c>
      <c r="K180" s="51" t="n">
        <v>23.6</v>
      </c>
      <c r="L180" s="51" t="n">
        <v>21.8</v>
      </c>
      <c r="M180" s="51" t="n">
        <v>23.2</v>
      </c>
      <c r="N180" s="51" t="n">
        <v>23.8</v>
      </c>
      <c r="O180" s="51" t="n">
        <v>23.6</v>
      </c>
      <c r="P180" s="51" t="n">
        <v>22.2</v>
      </c>
      <c r="Q180" s="51" t="n">
        <v>23.4</v>
      </c>
      <c r="R180" s="51" t="n">
        <v>23.6</v>
      </c>
      <c r="S180" s="51" t="n">
        <v>22</v>
      </c>
      <c r="T180" s="51" t="n">
        <v>22.8</v>
      </c>
      <c r="U180" s="51" t="n">
        <v>23.8</v>
      </c>
      <c r="V180" s="51" t="n">
        <v>23.8</v>
      </c>
      <c r="W180" s="51" t="n">
        <v>24.2</v>
      </c>
      <c r="X180" s="51" t="n">
        <v>24.6</v>
      </c>
      <c r="Y180" s="51" t="n">
        <v>25.4</v>
      </c>
      <c r="Z180" s="111" t="n">
        <v>23.8</v>
      </c>
      <c r="AA180" s="51" t="n">
        <v>20.6</v>
      </c>
      <c r="AB180" s="51" t="n">
        <v>21</v>
      </c>
      <c r="AC180" s="51" t="n">
        <v>23.6</v>
      </c>
      <c r="AD180" s="51" t="n">
        <v>25.2</v>
      </c>
      <c r="AE180" s="51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88">
        <f>COUNTIF(K180:AO180,"&gt;0")</f>
        <v/>
      </c>
      <c r="AQ180" s="89">
        <f>IF(AP180&gt;14,AVERAGE(K180:AO180),"")</f>
        <v/>
      </c>
      <c r="AR180" s="89">
        <f>IFERROR(VLOOKUP(A180,Climatologia!A:U,9+$E$2,FALSE),"")</f>
        <v/>
      </c>
      <c r="AS180" s="89">
        <f>IF(OR(AQ180="",AR180=""),"",IFERROR(AQ180-AR180,""))</f>
        <v/>
      </c>
      <c r="AT180" s="90">
        <f>IF(COUNT(K180:AO180)=0,"",MIN(K180:AO180))</f>
        <v/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/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0" s="92">
        <f>IF(OR(AT180="",AU180=""),"NA",IFERROR(AT180-AU180,"NA"))</f>
        <v/>
      </c>
    </row>
    <row r="181" ht="14.25" customHeight="1">
      <c r="A181" s="48" t="n">
        <v>21255120</v>
      </c>
      <c r="B181" s="52" t="inlineStr">
        <is>
          <t>Villahermosa</t>
        </is>
      </c>
      <c r="C181" s="52" t="inlineStr">
        <is>
          <t>Area Operativa 10 - Tolima</t>
        </is>
      </c>
      <c r="D181" s="53" t="n">
        <v>-75.117336111</v>
      </c>
      <c r="E181" s="53" t="n">
        <v>5.026761944</v>
      </c>
      <c r="F181" s="48" t="n">
        <v>2069</v>
      </c>
      <c r="G181" s="46" t="n">
        <v>73</v>
      </c>
      <c r="H181" s="46" t="n">
        <v>73870</v>
      </c>
      <c r="I181" s="55" t="inlineStr">
        <is>
          <t>Tolima</t>
        </is>
      </c>
      <c r="J181" s="55" t="inlineStr">
        <is>
          <t>Villahermosa</t>
        </is>
      </c>
      <c r="K181" s="51" t="n">
        <v>12.6</v>
      </c>
      <c r="L181" s="51" t="n">
        <v>13.2</v>
      </c>
      <c r="M181" s="51" t="n">
        <v>13</v>
      </c>
      <c r="N181" s="51" t="n">
        <v>13.4</v>
      </c>
      <c r="O181" s="51" t="n">
        <v>13.2</v>
      </c>
      <c r="P181" s="51" t="n">
        <v>13</v>
      </c>
      <c r="Q181" s="51" t="n">
        <v>14.6</v>
      </c>
      <c r="R181" s="51" t="n">
        <v>13.8</v>
      </c>
      <c r="S181" s="51" t="n">
        <v>13</v>
      </c>
      <c r="T181" s="51" t="n">
        <v>13.8</v>
      </c>
      <c r="U181" s="51" t="n">
        <v>13.4</v>
      </c>
      <c r="V181" s="51" t="n">
        <v>13</v>
      </c>
      <c r="W181" s="51" t="n">
        <v>13.2</v>
      </c>
      <c r="X181" s="51" t="n">
        <v>14.8</v>
      </c>
      <c r="Y181" s="51" t="n">
        <v>15</v>
      </c>
      <c r="Z181" s="111" t="n">
        <v>12.6</v>
      </c>
      <c r="AA181" s="51" t="n">
        <v>12.2</v>
      </c>
      <c r="AB181" s="51" t="n">
        <v>14.8</v>
      </c>
      <c r="AC181" s="51" t="n">
        <v>13.6</v>
      </c>
      <c r="AD181" s="51" t="n">
        <v>14</v>
      </c>
      <c r="AE181" s="51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88">
        <f>COUNTIF(K181:AO181,"&gt;0")</f>
        <v/>
      </c>
      <c r="AQ181" s="89">
        <f>IF(AP181&gt;14,AVERAGE(K181:AO181),"")</f>
        <v/>
      </c>
      <c r="AR181" s="89">
        <f>IFERROR(VLOOKUP(A181,Climatologia!A:U,9+$E$2,FALSE),"")</f>
        <v/>
      </c>
      <c r="AS181" s="89">
        <f>IF(OR(AQ181="",AR181=""),"",IFERROR(AQ181-AR181,""))</f>
        <v/>
      </c>
      <c r="AT181" s="90">
        <f>IF(COUNT(K181:AO181)=0,"",MIN(K181:AO181))</f>
        <v/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/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1" s="92">
        <f>IF(OR(AT181="",AU181=""),"NA",IFERROR(AT181-AU181,"NA"))</f>
        <v/>
      </c>
    </row>
    <row r="182" ht="14.25" customHeight="1">
      <c r="A182" s="48" t="n">
        <v>22045010</v>
      </c>
      <c r="B182" s="52" t="inlineStr">
        <is>
          <t>Demostracion Granja  - Aut</t>
        </is>
      </c>
      <c r="C182" s="52" t="inlineStr">
        <is>
          <t>Area Operativa 10 - Tolima</t>
        </is>
      </c>
      <c r="D182" s="53" t="n">
        <v>-75.50344444</v>
      </c>
      <c r="E182" s="53" t="n">
        <v>3.722444444</v>
      </c>
      <c r="F182" s="48" t="n">
        <v>895</v>
      </c>
      <c r="G182" s="46" t="n">
        <v>73</v>
      </c>
      <c r="H182" s="46" t="n">
        <v>73168</v>
      </c>
      <c r="I182" s="55" t="inlineStr">
        <is>
          <t>Tolima</t>
        </is>
      </c>
      <c r="J182" s="55" t="inlineStr">
        <is>
          <t>Chaparral</t>
        </is>
      </c>
      <c r="K182" s="51" t="n">
        <v>18.8</v>
      </c>
      <c r="L182" s="51" t="n">
        <v>19.6</v>
      </c>
      <c r="M182" s="51" t="n">
        <v>17.2</v>
      </c>
      <c r="N182" s="51" t="n">
        <v>19.2</v>
      </c>
      <c r="O182" s="51" t="n">
        <v>19.6</v>
      </c>
      <c r="P182" s="51" t="n">
        <v>19</v>
      </c>
      <c r="Q182" s="51" t="n">
        <v>18.6</v>
      </c>
      <c r="R182" s="51" t="n">
        <v>18.2</v>
      </c>
      <c r="S182" s="51" t="n">
        <v>18.2</v>
      </c>
      <c r="T182" s="51" t="n">
        <v>19.2</v>
      </c>
      <c r="U182" s="51" t="n">
        <v>18.2</v>
      </c>
      <c r="V182" s="51" t="n">
        <v>18.6</v>
      </c>
      <c r="W182" s="51" t="n">
        <v>19.2</v>
      </c>
      <c r="X182" s="51" t="n">
        <v>18</v>
      </c>
      <c r="Y182" s="51" t="n">
        <v>18.2</v>
      </c>
      <c r="Z182" s="111" t="n">
        <v>18.4</v>
      </c>
      <c r="AA182" s="51" t="n">
        <v>19</v>
      </c>
      <c r="AB182" s="51" t="n">
        <v>22.4</v>
      </c>
      <c r="AC182" s="51" t="n">
        <v>18.6</v>
      </c>
      <c r="AD182" s="51" t="n">
        <v>17.8</v>
      </c>
      <c r="AE182" s="51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88">
        <f>COUNTIF(K182:AO182,"&gt;0")</f>
        <v/>
      </c>
      <c r="AQ182" s="89">
        <f>IF(AP182&gt;14,AVERAGE(K182:AO182),"")</f>
        <v/>
      </c>
      <c r="AR182" s="89">
        <f>IFERROR(VLOOKUP(A182,Climatologia!A:U,9+$E$2,FALSE),"")</f>
        <v/>
      </c>
      <c r="AS182" s="89">
        <f>IF(OR(AQ182="",AR182=""),"",IFERROR(AQ182-AR182,""))</f>
        <v/>
      </c>
      <c r="AT182" s="90">
        <f>IF(COUNT(K182:AO182)=0,"",MIN(K182:AO182))</f>
        <v/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/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2" s="92">
        <f>IF(OR(AT182="",AU182=""),"NA",IFERROR(AT182-AU182,"NA"))</f>
        <v/>
      </c>
    </row>
    <row r="183" ht="14.25" customHeight="1">
      <c r="A183" s="48" t="n">
        <v>22055020</v>
      </c>
      <c r="B183" s="52" t="inlineStr">
        <is>
          <t>Mesa De Pole</t>
        </is>
      </c>
      <c r="C183" s="52" t="inlineStr">
        <is>
          <t>Area Operativa 10 - Tolima</t>
        </is>
      </c>
      <c r="D183" s="53" t="n">
        <v>-75.53636111</v>
      </c>
      <c r="E183" s="53" t="n">
        <v>3.455777778</v>
      </c>
      <c r="F183" s="48" t="n">
        <v>699</v>
      </c>
      <c r="G183" s="46" t="n">
        <v>73</v>
      </c>
      <c r="H183" s="46" t="n">
        <v>73067</v>
      </c>
      <c r="I183" s="55" t="inlineStr">
        <is>
          <t>Tolima</t>
        </is>
      </c>
      <c r="J183" s="55" t="inlineStr">
        <is>
          <t>Ataco</t>
        </is>
      </c>
      <c r="K183" s="51" t="n">
        <v>21.4</v>
      </c>
      <c r="L183" s="51" t="n">
        <v>22.6</v>
      </c>
      <c r="M183" s="51" t="n">
        <v>22.4</v>
      </c>
      <c r="N183" s="51" t="n">
        <v>22.8</v>
      </c>
      <c r="O183" s="51" t="n">
        <v>23.8</v>
      </c>
      <c r="P183" s="51" t="n">
        <v>23.4</v>
      </c>
      <c r="Q183" s="51" t="n">
        <v>23.8</v>
      </c>
      <c r="R183" s="51" t="n">
        <v>21.2</v>
      </c>
      <c r="S183" s="51" t="n">
        <v>22.4</v>
      </c>
      <c r="T183" s="51" t="n">
        <v>20.6</v>
      </c>
      <c r="U183" s="51" t="n">
        <v>22</v>
      </c>
      <c r="V183" s="51" t="n">
        <v>20.6</v>
      </c>
      <c r="W183" s="51" t="n">
        <v>22</v>
      </c>
      <c r="X183" s="51" t="n">
        <v>22.8</v>
      </c>
      <c r="Y183" s="51" t="n">
        <v>22.6</v>
      </c>
      <c r="Z183" s="111" t="n">
        <v>23.2</v>
      </c>
      <c r="AA183" s="51" t="n">
        <v/>
      </c>
      <c r="AB183" s="51" t="n">
        <v/>
      </c>
      <c r="AC183" s="51" t="n">
        <v/>
      </c>
      <c r="AD183" s="51" t="n">
        <v/>
      </c>
      <c r="AE183" s="51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88">
        <f>COUNTIF(K183:AO183,"&gt;0")</f>
        <v/>
      </c>
      <c r="AQ183" s="89">
        <f>IF(AP183&gt;14,AVERAGE(K183:AO183),"")</f>
        <v/>
      </c>
      <c r="AR183" s="89">
        <f>IFERROR(VLOOKUP(A183,Climatologia!A:U,9+$E$2,FALSE),"")</f>
        <v/>
      </c>
      <c r="AS183" s="89">
        <f>IF(OR(AQ183="",AR183=""),"",IFERROR(AQ183-AR183,""))</f>
        <v/>
      </c>
      <c r="AT183" s="90">
        <f>IF(COUNT(K183:AO183)=0,"",MIN(K183:AO183))</f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/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3" s="92">
        <f>IF(OR(AT183="",AU183=""),"NA",IFERROR(AT183-AU183,"NA"))</f>
        <v/>
      </c>
    </row>
    <row r="184" ht="14.25" customHeight="1">
      <c r="A184" s="48" t="n">
        <v>22065040</v>
      </c>
      <c r="B184" s="52" t="inlineStr">
        <is>
          <t>San Antonio Quinta</t>
        </is>
      </c>
      <c r="C184" s="52" t="inlineStr">
        <is>
          <t>Area Operativa 10 - Tolima</t>
        </is>
      </c>
      <c r="D184" s="53" t="n">
        <v>-75.46775</v>
      </c>
      <c r="E184" s="53" t="n">
        <v>3.9212</v>
      </c>
      <c r="F184" s="48" t="n">
        <v>1566</v>
      </c>
      <c r="G184" s="46" t="n">
        <v>73</v>
      </c>
      <c r="H184" s="46" t="n">
        <v>73675</v>
      </c>
      <c r="I184" s="55" t="inlineStr">
        <is>
          <t>Tolima</t>
        </is>
      </c>
      <c r="J184" s="55" t="inlineStr">
        <is>
          <t>San Antonio</t>
        </is>
      </c>
      <c r="K184" s="51" t="n">
        <v>17.2</v>
      </c>
      <c r="L184" s="51" t="n">
        <v>17</v>
      </c>
      <c r="M184" s="51" t="n">
        <v>16</v>
      </c>
      <c r="N184" s="51" t="n">
        <v>15.8</v>
      </c>
      <c r="O184" s="51" t="n">
        <v>17.6</v>
      </c>
      <c r="P184" s="51" t="n">
        <v>16.4</v>
      </c>
      <c r="Q184" s="51" t="n">
        <v>15.8</v>
      </c>
      <c r="R184" s="51" t="n">
        <v>15.2</v>
      </c>
      <c r="S184" s="51" t="n">
        <v>16.6</v>
      </c>
      <c r="T184" s="51" t="n">
        <v>15.4</v>
      </c>
      <c r="U184" s="51" t="n">
        <v>16.4</v>
      </c>
      <c r="V184" s="51" t="n">
        <v>15.6</v>
      </c>
      <c r="W184" s="51" t="n">
        <v>17.8</v>
      </c>
      <c r="X184" s="51" t="n">
        <v>16.4</v>
      </c>
      <c r="Y184" s="51" t="n">
        <v>16.6</v>
      </c>
      <c r="Z184" s="111" t="n">
        <v>17</v>
      </c>
      <c r="AA184" s="51" t="n">
        <v>14.6</v>
      </c>
      <c r="AB184" s="51" t="n">
        <v/>
      </c>
      <c r="AC184" s="51" t="n">
        <v>15.6</v>
      </c>
      <c r="AD184" s="51" t="n">
        <v>16.2</v>
      </c>
      <c r="AE184" s="51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88">
        <f>COUNTIF(K184:AO184,"&gt;0")</f>
        <v/>
      </c>
      <c r="AQ184" s="89">
        <f>IF(AP184&gt;14,AVERAGE(K184:AO184),"")</f>
        <v/>
      </c>
      <c r="AR184" s="89">
        <f>IFERROR(VLOOKUP(A184,Climatologia!A:U,9+$E$2,FALSE),"")</f>
        <v/>
      </c>
      <c r="AS184" s="89">
        <f>IF(OR(AQ184="",AR184=""),"",IFERROR(AQ184-AR184,""))</f>
        <v/>
      </c>
      <c r="AT184" s="90">
        <f>IF(COUNT(K184:AO184)=0,"",MIN(K184:AO184))</f>
        <v/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/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4" s="92">
        <f>IF(OR(AT184="",AU184=""),"NA",IFERROR(AT184-AU184,"NA"))</f>
        <v/>
      </c>
    </row>
    <row r="185" ht="14.25" customHeight="1">
      <c r="A185" s="48" t="n">
        <v>23025040</v>
      </c>
      <c r="B185" s="52" t="inlineStr">
        <is>
          <t>Albania</t>
        </is>
      </c>
      <c r="C185" s="52" t="inlineStr">
        <is>
          <t>Area Operativa 10 - Tolima</t>
        </is>
      </c>
      <c r="D185" s="53" t="n">
        <v>-74.914580556</v>
      </c>
      <c r="E185" s="53" t="n">
        <v>5.301108889</v>
      </c>
      <c r="F185" s="48" t="n">
        <v>788</v>
      </c>
      <c r="G185" s="46" t="n">
        <v>73</v>
      </c>
      <c r="H185" s="46" t="n">
        <v>73443</v>
      </c>
      <c r="I185" s="55" t="inlineStr">
        <is>
          <t>Tolima</t>
        </is>
      </c>
      <c r="J185" s="55" t="inlineStr">
        <is>
          <t>San Sebastián De Mariquita</t>
        </is>
      </c>
      <c r="K185" s="51" t="n">
        <v>21.8</v>
      </c>
      <c r="L185" s="51" t="n">
        <v>20.6</v>
      </c>
      <c r="M185" s="51" t="n">
        <v>20.4</v>
      </c>
      <c r="N185" s="51" t="n">
        <v>21.6</v>
      </c>
      <c r="O185" s="51" t="n">
        <v/>
      </c>
      <c r="P185" s="51" t="n">
        <v>23</v>
      </c>
      <c r="Q185" s="51" t="n">
        <v>21.6</v>
      </c>
      <c r="R185" s="51" t="n">
        <v>22</v>
      </c>
      <c r="S185" s="51" t="n">
        <v>22.8</v>
      </c>
      <c r="T185" s="51" t="n">
        <v>23.4</v>
      </c>
      <c r="U185" s="51" t="n">
        <v>22.4</v>
      </c>
      <c r="V185" s="51" t="n">
        <v>21.6</v>
      </c>
      <c r="W185" s="51" t="n">
        <v>23</v>
      </c>
      <c r="X185" s="51" t="n">
        <v>22.4</v>
      </c>
      <c r="Y185" s="51" t="n">
        <v/>
      </c>
      <c r="Z185" s="111" t="n">
        <v>21.6</v>
      </c>
      <c r="AA185" s="51" t="n">
        <v>22</v>
      </c>
      <c r="AB185" s="51" t="n">
        <v>22.4</v>
      </c>
      <c r="AC185" s="51" t="n">
        <v>24</v>
      </c>
      <c r="AD185" s="51" t="n">
        <v>22.2</v>
      </c>
      <c r="AE185" s="51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88">
        <f>COUNTIF(K185:AO185,"&gt;0")</f>
        <v/>
      </c>
      <c r="AQ185" s="89">
        <f>IF(AP185&gt;14,AVERAGE(K185:AO185),"")</f>
        <v/>
      </c>
      <c r="AR185" s="89">
        <f>IFERROR(VLOOKUP(A185,Climatologia!A:U,9+$E$2,FALSE),"")</f>
        <v/>
      </c>
      <c r="AS185" s="89">
        <f>IF(OR(AQ185="",AR185=""),"",IFERROR(AQ185-AR185,""))</f>
        <v/>
      </c>
      <c r="AT185" s="90">
        <f>IF(COUNT(K185:AO185)=0,"",MIN(K185:AO185))</f>
        <v/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/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5" s="92">
        <f>IF(OR(AT185="",AU185=""),"NA",IFERROR(AT185-AU185,"NA"))</f>
        <v/>
      </c>
    </row>
    <row r="186" ht="14.25" customHeight="1">
      <c r="A186" s="48" t="n">
        <v>23055040</v>
      </c>
      <c r="B186" s="52" t="inlineStr">
        <is>
          <t>Samana</t>
        </is>
      </c>
      <c r="C186" s="52" t="inlineStr">
        <is>
          <t>Area Operativa 10 - Tolima</t>
        </is>
      </c>
      <c r="D186" s="53" t="n">
        <v>-74.99292777799999</v>
      </c>
      <c r="E186" s="53" t="n">
        <v>5.418288056</v>
      </c>
      <c r="F186" s="48" t="n">
        <v>1532</v>
      </c>
      <c r="G186" s="46" t="n">
        <v>17</v>
      </c>
      <c r="H186" s="46" t="n">
        <v>17662</v>
      </c>
      <c r="I186" s="55" t="inlineStr">
        <is>
          <t>Caldas</t>
        </is>
      </c>
      <c r="J186" s="55" t="inlineStr">
        <is>
          <t>Samaná</t>
        </is>
      </c>
      <c r="K186" s="51" t="n">
        <v>17.4</v>
      </c>
      <c r="L186" s="51" t="n">
        <v>16.2</v>
      </c>
      <c r="M186" s="51" t="n">
        <v>16.2</v>
      </c>
      <c r="N186" s="51" t="n">
        <v>18</v>
      </c>
      <c r="O186" s="51" t="n">
        <v>18.2</v>
      </c>
      <c r="P186" s="51" t="n">
        <v>19.2</v>
      </c>
      <c r="Q186" s="51" t="n">
        <v>17.4</v>
      </c>
      <c r="R186" s="51" t="n">
        <v>18.4</v>
      </c>
      <c r="S186" s="51" t="n">
        <v>18</v>
      </c>
      <c r="T186" s="51" t="n">
        <v>19</v>
      </c>
      <c r="U186" s="51" t="n">
        <v>17.4</v>
      </c>
      <c r="V186" s="51" t="n">
        <v>17.6</v>
      </c>
      <c r="W186" s="51" t="n">
        <v>19.4</v>
      </c>
      <c r="X186" s="51" t="n">
        <v>18</v>
      </c>
      <c r="Y186" s="51" t="n">
        <v>16</v>
      </c>
      <c r="Z186" s="111" t="n">
        <v>17</v>
      </c>
      <c r="AA186" s="51" t="n">
        <v>17.2</v>
      </c>
      <c r="AB186" s="51" t="n">
        <v>19.6</v>
      </c>
      <c r="AC186" s="51" t="n">
        <v>19</v>
      </c>
      <c r="AD186" s="51" t="n">
        <v>18.2</v>
      </c>
      <c r="AE186" s="51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88">
        <f>COUNTIF(K186:AO186,"&gt;0")</f>
        <v/>
      </c>
      <c r="AQ186" s="89">
        <f>IF(AP186&gt;14,AVERAGE(K186:AO186),"")</f>
        <v/>
      </c>
      <c r="AR186" s="89">
        <f>IFERROR(VLOOKUP(A186,Climatologia!A:U,9+$E$2,FALSE),"")</f>
        <v/>
      </c>
      <c r="AS186" s="89">
        <f>IF(OR(AQ186="",AR186=""),"",IFERROR(AQ186-AR186,""))</f>
        <v/>
      </c>
      <c r="AT186" s="90">
        <f>IF(COUNT(K186:AO186)=0,"",MIN(K186:AO186))</f>
        <v/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/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6" s="92">
        <f>IF(OR(AT186="",AU186=""),"NA",IFERROR(AT186-AU186,"NA"))</f>
        <v/>
      </c>
    </row>
    <row r="187" ht="14.25" customHeight="1">
      <c r="A187" s="48" t="n">
        <v>21195060</v>
      </c>
      <c r="B187" s="52" t="inlineStr">
        <is>
          <t>Pandi</t>
        </is>
      </c>
      <c r="C187" s="52" t="inlineStr">
        <is>
          <t>Area Operativa 11 - Cundinamarca-Amazonas</t>
        </is>
      </c>
      <c r="D187" s="93" t="n">
        <v>-74.48741667</v>
      </c>
      <c r="E187" s="93" t="n">
        <v>4.192722222</v>
      </c>
      <c r="F187" s="48" t="n">
        <v>950</v>
      </c>
      <c r="G187" s="46" t="n">
        <v>25</v>
      </c>
      <c r="H187" s="46" t="n">
        <v>25524</v>
      </c>
      <c r="I187" s="55" t="inlineStr">
        <is>
          <t>Cundinamarca</t>
        </is>
      </c>
      <c r="J187" s="55" t="inlineStr">
        <is>
          <t>Pandi</t>
        </is>
      </c>
      <c r="K187" s="51" t="n">
        <v>23.2</v>
      </c>
      <c r="L187" s="51" t="n">
        <v>20.8</v>
      </c>
      <c r="M187" s="51" t="n">
        <v>20.4</v>
      </c>
      <c r="N187" s="51" t="n">
        <v>20.8</v>
      </c>
      <c r="O187" s="51" t="n">
        <v>23.2</v>
      </c>
      <c r="P187" s="51" t="n">
        <v>22.6</v>
      </c>
      <c r="Q187" s="51" t="n">
        <v>22.8</v>
      </c>
      <c r="R187" s="51" t="n">
        <v>23.2</v>
      </c>
      <c r="S187" s="51" t="n">
        <v>22.8</v>
      </c>
      <c r="T187" s="51" t="n">
        <v>22.6</v>
      </c>
      <c r="U187" s="51" t="n">
        <v>23.2</v>
      </c>
      <c r="V187" s="51" t="n">
        <v>22.2</v>
      </c>
      <c r="W187" s="51" t="n">
        <v>23.2</v>
      </c>
      <c r="X187" s="51" t="n">
        <v>24.2</v>
      </c>
      <c r="Y187" s="51" t="n">
        <v>23.8</v>
      </c>
      <c r="Z187" s="111" t="n">
        <v>23.8</v>
      </c>
      <c r="AA187" s="51" t="n">
        <v>22.2</v>
      </c>
      <c r="AB187" s="51" t="n">
        <v>23.4</v>
      </c>
      <c r="AC187" s="51" t="n">
        <v>22.4</v>
      </c>
      <c r="AD187" s="51" t="n">
        <v>22.2</v>
      </c>
      <c r="AE187" s="51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88">
        <f>COUNTIF(K187:AO187,"&gt;0")</f>
        <v/>
      </c>
      <c r="AQ187" s="89">
        <f>IF(AP187&gt;14,AVERAGE(K187:AO187),"")</f>
        <v/>
      </c>
      <c r="AR187" s="89">
        <f>IFERROR(VLOOKUP(A187,Climatologia!A:U,9+$E$2,FALSE),"")</f>
        <v/>
      </c>
      <c r="AS187" s="89">
        <f>IF(OR(AQ187="",AR187=""),"",IFERROR(AQ187-AR187,""))</f>
        <v/>
      </c>
      <c r="AT187" s="90">
        <f>IF(COUNT(K187:AO187)=0,"",MIN(K187:AO187))</f>
        <v/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/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7" s="92">
        <f>IF(OR(AT187="",AU187=""),"NA",IFERROR(AT187-AU187,"NA"))</f>
        <v/>
      </c>
    </row>
    <row r="188" ht="14.25" customHeight="1">
      <c r="A188" s="48" t="n">
        <v>21195120</v>
      </c>
      <c r="B188" s="52" t="inlineStr">
        <is>
          <t>Ita Valsalice</t>
        </is>
      </c>
      <c r="C188" s="52" t="inlineStr">
        <is>
          <t>Area Operativa 11 - Cundinamarca-Amazonas</t>
        </is>
      </c>
      <c r="D188" s="53" t="n">
        <v>-74.39272</v>
      </c>
      <c r="E188" s="53" t="n">
        <v>4.39292</v>
      </c>
      <c r="F188" s="48" t="n">
        <v>1421</v>
      </c>
      <c r="G188" s="46" t="n">
        <v>25</v>
      </c>
      <c r="H188" s="46" t="n">
        <v>25743</v>
      </c>
      <c r="I188" s="55" t="inlineStr">
        <is>
          <t>Cundinamarca</t>
        </is>
      </c>
      <c r="J188" s="55" t="inlineStr">
        <is>
          <t>Silvania</t>
        </is>
      </c>
      <c r="K188" s="51" t="n">
        <v>19.4</v>
      </c>
      <c r="L188" s="51" t="n">
        <v>17.8</v>
      </c>
      <c r="M188" s="51" t="n">
        <v>18.4</v>
      </c>
      <c r="N188" s="51" t="n">
        <v>17.8</v>
      </c>
      <c r="O188" s="51" t="n">
        <v>18.8</v>
      </c>
      <c r="P188" s="51" t="n">
        <v>18.4</v>
      </c>
      <c r="Q188" s="51" t="n">
        <v>18.8</v>
      </c>
      <c r="R188" s="51" t="n">
        <v>19.4</v>
      </c>
      <c r="S188" s="51" t="n">
        <v>18.6</v>
      </c>
      <c r="T188" s="51" t="n">
        <v>19.2</v>
      </c>
      <c r="U188" s="51" t="n">
        <v>18.8</v>
      </c>
      <c r="V188" s="51" t="n">
        <v>18.4</v>
      </c>
      <c r="W188" s="51" t="n">
        <v>18.6</v>
      </c>
      <c r="X188" s="51" t="n">
        <v>18.8</v>
      </c>
      <c r="Y188" s="51" t="n">
        <v>19.8</v>
      </c>
      <c r="Z188" s="111" t="n">
        <v>18</v>
      </c>
      <c r="AA188" s="51" t="n">
        <v>18.4</v>
      </c>
      <c r="AB188" s="51" t="n">
        <v>19.6</v>
      </c>
      <c r="AC188" s="51" t="n">
        <v>18</v>
      </c>
      <c r="AD188" s="51" t="n">
        <v>18.4</v>
      </c>
      <c r="AE188" s="51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88">
        <f>COUNTIF(K188:AO188,"&gt;0")</f>
        <v/>
      </c>
      <c r="AQ188" s="89">
        <f>IF(AP188&gt;14,AVERAGE(K188:AO188),"")</f>
        <v/>
      </c>
      <c r="AR188" s="89">
        <f>IFERROR(VLOOKUP(A188,Climatologia!A:U,9+$E$2,FALSE),"")</f>
        <v/>
      </c>
      <c r="AS188" s="89">
        <f>IF(OR(AQ188="",AR188=""),"",IFERROR(AQ188-AR188,""))</f>
        <v/>
      </c>
      <c r="AT188" s="90">
        <f>IF(COUNT(K188:AO188)=0,"",MIN(K188:AO188))</f>
        <v/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/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8" s="92">
        <f>IF(OR(AT188="",AU188=""),"NA",IFERROR(AT188-AU188,"NA"))</f>
        <v/>
      </c>
    </row>
    <row r="189" ht="14.25" customHeight="1">
      <c r="A189" s="48" t="n">
        <v>21195190</v>
      </c>
      <c r="B189" s="52" t="inlineStr">
        <is>
          <t>Pasca</t>
        </is>
      </c>
      <c r="C189" s="52" t="inlineStr">
        <is>
          <t>Area Operativa 11 - Cundinamarca-Amazonas</t>
        </is>
      </c>
      <c r="D189" s="53" t="n">
        <v>-74.30839899999999</v>
      </c>
      <c r="E189" s="53" t="n">
        <v>4.307189</v>
      </c>
      <c r="F189" s="48" t="n">
        <v>2187</v>
      </c>
      <c r="G189" s="46" t="n">
        <v>25</v>
      </c>
      <c r="H189" s="46" t="n">
        <v>25535</v>
      </c>
      <c r="I189" s="55" t="inlineStr">
        <is>
          <t>Cundinamarca</t>
        </is>
      </c>
      <c r="J189" s="55" t="inlineStr">
        <is>
          <t>Pasca</t>
        </is>
      </c>
      <c r="K189" s="51" t="n">
        <v>13.6</v>
      </c>
      <c r="L189" s="51" t="n">
        <v>13.8</v>
      </c>
      <c r="M189" s="51" t="n">
        <v>14.8</v>
      </c>
      <c r="N189" s="51" t="n">
        <v>13.4</v>
      </c>
      <c r="O189" s="51" t="n">
        <v>13.6</v>
      </c>
      <c r="P189" s="51" t="n">
        <v>14</v>
      </c>
      <c r="Q189" s="51" t="n">
        <v>13.2</v>
      </c>
      <c r="R189" s="51" t="n">
        <v>12.8</v>
      </c>
      <c r="S189" s="51" t="n">
        <v>14.2</v>
      </c>
      <c r="T189" s="51" t="n">
        <v>12.8</v>
      </c>
      <c r="U189" s="51" t="n">
        <v>13</v>
      </c>
      <c r="V189" s="51" t="n">
        <v>12.6</v>
      </c>
      <c r="W189" s="51" t="n">
        <v>14.4</v>
      </c>
      <c r="X189" s="51" t="n">
        <v>15</v>
      </c>
      <c r="Y189" s="51" t="n">
        <v>14.4</v>
      </c>
      <c r="Z189" s="111" t="n">
        <v>14.2</v>
      </c>
      <c r="AA189" s="51" t="n">
        <v>12.6</v>
      </c>
      <c r="AB189" s="51" t="n">
        <v>15</v>
      </c>
      <c r="AC189" s="51" t="n">
        <v>11.8</v>
      </c>
      <c r="AD189" s="51" t="n">
        <v>14</v>
      </c>
      <c r="AE189" s="51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88">
        <f>COUNTIF(K189:AO189,"&gt;0")</f>
        <v/>
      </c>
      <c r="AQ189" s="89">
        <f>IF(AP189&gt;14,AVERAGE(K189:AO189),"")</f>
        <v/>
      </c>
      <c r="AR189" s="89">
        <f>IFERROR(VLOOKUP(A189,Climatologia!A:U,9+$E$2,FALSE),"")</f>
        <v/>
      </c>
      <c r="AS189" s="89">
        <f>IF(OR(AQ189="",AR189=""),"",IFERROR(AQ189-AR189,""))</f>
        <v/>
      </c>
      <c r="AT189" s="90">
        <f>IF(COUNT(K189:AO189)=0,"",MIN(K189:AO189))</f>
        <v/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>
        <f>IF(OR(AT189="",AU189=""),"NA",IFERROR(AT189-AU189,"NA"))</f>
        <v/>
      </c>
    </row>
    <row r="190" ht="14.25" customHeight="1">
      <c r="A190" s="48" t="n">
        <v>21205420</v>
      </c>
      <c r="B190" s="52" t="inlineStr">
        <is>
          <t>Tibaitata</t>
        </is>
      </c>
      <c r="C190" s="52" t="inlineStr">
        <is>
          <t>Area Operativa 11 - Cundinamarca-Amazonas</t>
        </is>
      </c>
      <c r="D190" s="53" t="n">
        <v>-74.205626</v>
      </c>
      <c r="E190" s="53" t="n">
        <v>4.688662</v>
      </c>
      <c r="F190" s="48" t="n">
        <v>2543</v>
      </c>
      <c r="G190" s="46" t="n">
        <v>25</v>
      </c>
      <c r="H190" s="46" t="n">
        <v>25473</v>
      </c>
      <c r="I190" s="55" t="inlineStr">
        <is>
          <t>Cundinamarca</t>
        </is>
      </c>
      <c r="J190" s="55" t="inlineStr">
        <is>
          <t>Mosquera</t>
        </is>
      </c>
      <c r="K190" s="51" t="n">
        <v>8.4</v>
      </c>
      <c r="L190" s="51" t="n">
        <v>8.6</v>
      </c>
      <c r="M190" s="51" t="n">
        <v>7.4</v>
      </c>
      <c r="N190" s="51" t="n">
        <v>8.800000000000001</v>
      </c>
      <c r="O190" s="51" t="n">
        <v>7</v>
      </c>
      <c r="P190" s="51" t="n">
        <v>6.4</v>
      </c>
      <c r="Q190" s="51" t="n">
        <v>6.2</v>
      </c>
      <c r="R190" s="51" t="n">
        <v>4.6</v>
      </c>
      <c r="S190" s="51" t="n">
        <v>9</v>
      </c>
      <c r="T190" s="51" t="n">
        <v>6.4</v>
      </c>
      <c r="U190" s="51" t="n">
        <v>8</v>
      </c>
      <c r="V190" s="51" t="n">
        <v>6.8</v>
      </c>
      <c r="W190" s="51" t="n">
        <v>6</v>
      </c>
      <c r="X190" s="51" t="n">
        <v>10.2</v>
      </c>
      <c r="Y190" s="51" t="n">
        <v>6.2</v>
      </c>
      <c r="Z190" s="111" t="n">
        <v>9</v>
      </c>
      <c r="AA190" s="51" t="n">
        <v>8</v>
      </c>
      <c r="AB190" s="51" t="n">
        <v>8</v>
      </c>
      <c r="AC190" s="51" t="n">
        <v>6.4</v>
      </c>
      <c r="AD190" s="51" t="n">
        <v>10</v>
      </c>
      <c r="AE190" s="51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88">
        <f>COUNTIF(K190:AO190,"&gt;0")</f>
        <v/>
      </c>
      <c r="AQ190" s="89">
        <f>IF(AP190&gt;14,AVERAGE(K190:AO190),"")</f>
        <v/>
      </c>
      <c r="AR190" s="89">
        <f>IFERROR(VLOOKUP(A190,Climatologia!A:U,9+$E$2,FALSE),"")</f>
        <v/>
      </c>
      <c r="AS190" s="89">
        <f>IF(OR(AQ190="",AR190=""),"",IFERROR(AQ190-AR190,""))</f>
        <v/>
      </c>
      <c r="AT190" s="90">
        <f>IF(COUNT(K190:AO190)=0,"",MIN(K190:AO190))</f>
        <v/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>
        <f>IF(OR(AT190="",AU190=""),"NA",IFERROR(AT190-AU190,"NA"))</f>
        <v/>
      </c>
    </row>
    <row r="191" ht="14.25" customHeight="1">
      <c r="A191" s="48" t="n">
        <v>21205660</v>
      </c>
      <c r="B191" s="52" t="inlineStr">
        <is>
          <t>Mercedes</t>
        </is>
      </c>
      <c r="C191" s="52" t="inlineStr">
        <is>
          <t>Area Operativa 11 - Cundinamarca-Amazonas</t>
        </is>
      </c>
      <c r="D191" s="93" t="n">
        <v>-74.52318</v>
      </c>
      <c r="E191" s="93" t="n">
        <v>4.5791</v>
      </c>
      <c r="F191" s="48" t="n">
        <v>765</v>
      </c>
      <c r="G191" s="46" t="n">
        <v>25</v>
      </c>
      <c r="H191" s="46" t="n">
        <v>25035</v>
      </c>
      <c r="I191" s="55" t="inlineStr">
        <is>
          <t>Cundinamarca</t>
        </is>
      </c>
      <c r="J191" s="55" t="inlineStr">
        <is>
          <t>Anapoima</t>
        </is>
      </c>
      <c r="K191" s="51" t="n">
        <v>24.2</v>
      </c>
      <c r="L191" s="51" t="n">
        <v>21.4</v>
      </c>
      <c r="M191" s="51" t="n">
        <v>21</v>
      </c>
      <c r="N191" s="51" t="n">
        <v>23.4</v>
      </c>
      <c r="O191" s="51" t="n">
        <v>23.6</v>
      </c>
      <c r="P191" s="51" t="n">
        <v>22.6</v>
      </c>
      <c r="Q191" s="51" t="n">
        <v>23</v>
      </c>
      <c r="R191" s="51" t="n">
        <v>23.2</v>
      </c>
      <c r="S191" s="51" t="n">
        <v>23</v>
      </c>
      <c r="T191" s="51" t="n">
        <v>23.4</v>
      </c>
      <c r="U191" s="51" t="n">
        <v>22.2</v>
      </c>
      <c r="V191" s="51" t="n">
        <v>22.8</v>
      </c>
      <c r="W191" s="51" t="n">
        <v>24</v>
      </c>
      <c r="X191" s="51" t="n">
        <v>24.8</v>
      </c>
      <c r="Y191" s="51" t="n">
        <v>24.2</v>
      </c>
      <c r="Z191" s="111" t="n">
        <v>20.4</v>
      </c>
      <c r="AA191" s="51" t="n">
        <v>22</v>
      </c>
      <c r="AB191" s="51" t="n">
        <v>23.6</v>
      </c>
      <c r="AC191" s="51" t="n">
        <v>23</v>
      </c>
      <c r="AD191" s="51" t="n">
        <v>22</v>
      </c>
      <c r="AE191" s="51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88">
        <f>COUNTIF(K191:AO191,"&gt;0")</f>
        <v/>
      </c>
      <c r="AQ191" s="89">
        <f>IF(AP191&gt;14,AVERAGE(K191:AO191),"")</f>
        <v/>
      </c>
      <c r="AR191" s="89">
        <f>IFERROR(VLOOKUP(A191,Climatologia!A:U,9+$E$2,FALSE),"")</f>
        <v/>
      </c>
      <c r="AS191" s="89">
        <f>IF(OR(AQ191="",AR191=""),"",IFERROR(AQ191-AR191,""))</f>
        <v/>
      </c>
      <c r="AT191" s="90">
        <f>IF(COUNT(K191:AO191)=0,"",MIN(K191:AO191))</f>
        <v/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>
        <f>IF(OR(AT191="",AU191=""),"NA",IFERROR(AT191-AU191,"NA"))</f>
        <v/>
      </c>
    </row>
    <row r="192" ht="14.25" customHeight="1">
      <c r="A192" s="48" t="n">
        <v>21205700</v>
      </c>
      <c r="B192" s="52" t="inlineStr">
        <is>
          <t>Guasca</t>
        </is>
      </c>
      <c r="C192" s="52" t="inlineStr">
        <is>
          <t>Area Operativa 11 - Cundinamarca-Amazonas</t>
        </is>
      </c>
      <c r="D192" s="53" t="n">
        <v>-73.864453</v>
      </c>
      <c r="E192" s="53" t="n">
        <v>4.877953</v>
      </c>
      <c r="F192" s="48" t="n">
        <v>2750</v>
      </c>
      <c r="G192" s="46" t="n">
        <v>25</v>
      </c>
      <c r="H192" s="46" t="n">
        <v>25322</v>
      </c>
      <c r="I192" s="55" t="inlineStr">
        <is>
          <t>Cundinamarca</t>
        </is>
      </c>
      <c r="J192" s="55" t="inlineStr">
        <is>
          <t>Guasca</t>
        </is>
      </c>
      <c r="K192" s="51" t="n">
        <v>10.2</v>
      </c>
      <c r="L192" s="51" t="n">
        <v>10.4</v>
      </c>
      <c r="M192" s="51" t="n">
        <v>10.2</v>
      </c>
      <c r="N192" s="51" t="n">
        <v>9.4</v>
      </c>
      <c r="O192" s="51" t="n">
        <v>9.6</v>
      </c>
      <c r="P192" s="51" t="n">
        <v>9.199999999999999</v>
      </c>
      <c r="Q192" s="51" t="n">
        <v>10.4</v>
      </c>
      <c r="R192" s="51" t="n">
        <v>7.8</v>
      </c>
      <c r="S192" s="51" t="n">
        <v>10.8</v>
      </c>
      <c r="T192" s="51" t="n">
        <v>7.6</v>
      </c>
      <c r="U192" s="51" t="n">
        <v>9.6</v>
      </c>
      <c r="V192" s="51" t="n">
        <v>8.199999999999999</v>
      </c>
      <c r="W192" s="51" t="n">
        <v>8.199999999999999</v>
      </c>
      <c r="X192" s="51" t="n">
        <v>11.4</v>
      </c>
      <c r="Y192" s="51" t="n">
        <v>10.8</v>
      </c>
      <c r="Z192" s="111" t="n">
        <v>10.8</v>
      </c>
      <c r="AA192" s="51" t="n">
        <v>9.800000000000001</v>
      </c>
      <c r="AB192" s="51" t="n">
        <v>9.199999999999999</v>
      </c>
      <c r="AC192" s="51" t="n">
        <v>9.199999999999999</v>
      </c>
      <c r="AD192" s="51" t="n">
        <v>8.6</v>
      </c>
      <c r="AE192" s="51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88">
        <f>COUNTIF(K192:AO192,"&gt;0")</f>
        <v/>
      </c>
      <c r="AQ192" s="89">
        <f>IF(AP192&gt;14,AVERAGE(K192:AO192),"")</f>
        <v/>
      </c>
      <c r="AR192" s="89">
        <f>IFERROR(VLOOKUP(A192,Climatologia!A:U,9+$E$2,FALSE),"")</f>
        <v/>
      </c>
      <c r="AS192" s="89">
        <f>IF(OR(AQ192="",AR192=""),"",IFERROR(AQ192-AR192,""))</f>
        <v/>
      </c>
      <c r="AT192" s="90">
        <f>IF(COUNT(K192:AO192)=0,"",MIN(K192:AO192))</f>
        <v/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>
        <f>IF(OR(AT192="",AU192=""),"NA",IFERROR(AT192-AU192,"NA"))</f>
        <v/>
      </c>
    </row>
    <row r="193" ht="14.25" customHeight="1">
      <c r="A193" s="48" t="n">
        <v>21205720</v>
      </c>
      <c r="B193" s="52" t="inlineStr">
        <is>
          <t>Granja San Jorge</t>
        </is>
      </c>
      <c r="C193" s="52" t="inlineStr">
        <is>
          <t>Area Operativa 11 - Cundinamarca-Amazonas</t>
        </is>
      </c>
      <c r="D193" s="53" t="n">
        <v>-74.18927778</v>
      </c>
      <c r="E193" s="53" t="n">
        <v>4.50575</v>
      </c>
      <c r="F193" s="48" t="n">
        <v>2900</v>
      </c>
      <c r="G193" s="46" t="n">
        <v>25</v>
      </c>
      <c r="H193" s="46" t="n">
        <v>25754</v>
      </c>
      <c r="I193" s="55" t="inlineStr">
        <is>
          <t>Cundinamarca</t>
        </is>
      </c>
      <c r="J193" s="55" t="inlineStr">
        <is>
          <t>Soacha</t>
        </is>
      </c>
      <c r="K193" s="51" t="n">
        <v>8</v>
      </c>
      <c r="L193" s="51" t="n">
        <v>8.199999999999999</v>
      </c>
      <c r="M193" s="51" t="n">
        <v>10.6</v>
      </c>
      <c r="N193" s="51" t="n">
        <v>8.199999999999999</v>
      </c>
      <c r="O193" s="51" t="n">
        <v>10.6</v>
      </c>
      <c r="P193" s="51" t="n">
        <v>8.4</v>
      </c>
      <c r="Q193" s="51" t="n">
        <v>9.4</v>
      </c>
      <c r="R193" s="51" t="n">
        <v>6.2</v>
      </c>
      <c r="S193" s="51" t="n">
        <v>11.4</v>
      </c>
      <c r="T193" s="51" t="n">
        <v>7</v>
      </c>
      <c r="U193" s="51" t="n">
        <v>8.6</v>
      </c>
      <c r="V193" s="51" t="n">
        <v>8.4</v>
      </c>
      <c r="W193" s="51" t="n">
        <v>7.2</v>
      </c>
      <c r="X193" s="51" t="n">
        <v>11</v>
      </c>
      <c r="Y193" s="51" t="n">
        <v>6.6</v>
      </c>
      <c r="Z193" s="111" t="n">
        <v>10.2</v>
      </c>
      <c r="AA193" s="51" t="n">
        <v>8.6</v>
      </c>
      <c r="AB193" s="51" t="n">
        <v>10</v>
      </c>
      <c r="AC193" s="51" t="n">
        <v>8</v>
      </c>
      <c r="AD193" s="51" t="n">
        <v/>
      </c>
      <c r="AE193" s="51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88">
        <f>COUNTIF(K193:AO193,"&gt;0")</f>
        <v/>
      </c>
      <c r="AQ193" s="89">
        <f>IF(AP193&gt;14,AVERAGE(K193:AO193),"")</f>
        <v/>
      </c>
      <c r="AR193" s="89">
        <f>IFERROR(VLOOKUP(A193,Climatologia!A:U,9+$E$2,FALSE),"")</f>
        <v/>
      </c>
      <c r="AS193" s="89">
        <f>IF(OR(AQ193="",AR193=""),"",IFERROR(AQ193-AR193,""))</f>
        <v/>
      </c>
      <c r="AT193" s="90">
        <f>IF(COUNT(K193:AO193)=0,"",MIN(K193:AO193))</f>
        <v/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/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3" s="92">
        <f>IF(OR(AT193="",AU193=""),"NA",IFERROR(AT193-AU193,"NA"))</f>
        <v/>
      </c>
    </row>
    <row r="194" ht="14.25" customHeight="1">
      <c r="A194" s="48" t="n">
        <v>21205740</v>
      </c>
      <c r="B194" s="52" t="inlineStr">
        <is>
          <t>Silos</t>
        </is>
      </c>
      <c r="C194" s="52" t="inlineStr">
        <is>
          <t>Area Operativa 11 - Cundinamarca-Amazonas</t>
        </is>
      </c>
      <c r="D194" s="53" t="n">
        <v>-73.70141667</v>
      </c>
      <c r="E194" s="53" t="n">
        <v>5.117722222</v>
      </c>
      <c r="F194" s="48" t="n">
        <v>2709</v>
      </c>
      <c r="G194" s="46" t="n">
        <v>25</v>
      </c>
      <c r="H194" s="46" t="n">
        <v>25183</v>
      </c>
      <c r="I194" s="55" t="inlineStr">
        <is>
          <t>Cundinamarca</t>
        </is>
      </c>
      <c r="J194" s="55" t="inlineStr">
        <is>
          <t>Chocontá</t>
        </is>
      </c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111" t="n"/>
      <c r="AA194" s="51" t="n"/>
      <c r="AB194" s="51" t="n"/>
      <c r="AC194" s="51" t="n"/>
      <c r="AD194" s="51" t="n"/>
      <c r="AE194" s="51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88">
        <f>COUNTIF(K194:AO194,"&gt;0")</f>
        <v/>
      </c>
      <c r="AQ194" s="89">
        <f>IF(AP194&gt;14,AVERAGE(K194:AO194),"")</f>
        <v/>
      </c>
      <c r="AR194" s="89">
        <f>IFERROR(VLOOKUP(A194,Climatologia!A:U,9+$E$2,FALSE),"")</f>
        <v/>
      </c>
      <c r="AS194" s="89">
        <f>IF(OR(AQ194="",AR194=""),"",IFERROR(AQ194-AR194,""))</f>
        <v/>
      </c>
      <c r="AT194" s="90">
        <f>IF(COUNT(K194:AO194)=0,"",MIN(K194:AO194))</f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/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4" s="92">
        <f>IF(OR(AT194="",AU194=""),"NA",IFERROR(AT194-AU194,"NA"))</f>
        <v/>
      </c>
    </row>
    <row r="195" ht="14.25" customHeight="1">
      <c r="A195" s="48" t="n">
        <v>21205920</v>
      </c>
      <c r="B195" s="52" t="inlineStr">
        <is>
          <t>Suasuque</t>
        </is>
      </c>
      <c r="C195" s="52" t="inlineStr">
        <is>
          <t>Area Operativa 11 - Cundinamarca-Amazonas</t>
        </is>
      </c>
      <c r="D195" s="53" t="n">
        <v>-73.96388889000001</v>
      </c>
      <c r="E195" s="53" t="n">
        <v>4.820833333</v>
      </c>
      <c r="F195" s="48" t="n">
        <v>2650</v>
      </c>
      <c r="G195" s="46" t="n">
        <v>25</v>
      </c>
      <c r="H195" s="46" t="n">
        <v>25758</v>
      </c>
      <c r="I195" s="55" t="inlineStr">
        <is>
          <t>Cundinamarca</t>
        </is>
      </c>
      <c r="J195" s="55" t="inlineStr">
        <is>
          <t>Sopó</t>
        </is>
      </c>
      <c r="K195" s="51" t="n">
        <v>5.8</v>
      </c>
      <c r="L195" s="51" t="n">
        <v>8.6</v>
      </c>
      <c r="M195" s="51" t="n">
        <v>7.2</v>
      </c>
      <c r="N195" s="51" t="n">
        <v>8.199999999999999</v>
      </c>
      <c r="O195" s="51" t="n">
        <v>5.8</v>
      </c>
      <c r="P195" s="51" t="n">
        <v>5.4</v>
      </c>
      <c r="Q195" s="51" t="n">
        <v>6</v>
      </c>
      <c r="R195" s="51" t="n">
        <v>5.4</v>
      </c>
      <c r="S195" s="51" t="n">
        <v>5.2</v>
      </c>
      <c r="T195" s="51" t="n">
        <v>7</v>
      </c>
      <c r="U195" s="51" t="n">
        <v>5.8</v>
      </c>
      <c r="V195" s="51" t="n">
        <v>4.6</v>
      </c>
      <c r="W195" s="51" t="n">
        <v>5</v>
      </c>
      <c r="X195" s="51" t="n">
        <v>6.2</v>
      </c>
      <c r="Y195" s="51" t="n">
        <v>6.4</v>
      </c>
      <c r="Z195" s="111" t="n">
        <v>6.2</v>
      </c>
      <c r="AA195" s="51" t="n">
        <v>5.2</v>
      </c>
      <c r="AB195" s="51" t="n">
        <v>4.8</v>
      </c>
      <c r="AC195" s="51" t="n">
        <v>7.4</v>
      </c>
      <c r="AD195" s="51" t="n">
        <v>6.4</v>
      </c>
      <c r="AE195" s="51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88">
        <f>COUNTIF(K195:AO195,"&gt;0")</f>
        <v/>
      </c>
      <c r="AQ195" s="89">
        <f>IF(AP195&gt;14,AVERAGE(K195:AO195),"")</f>
        <v/>
      </c>
      <c r="AR195" s="89">
        <f>IFERROR(VLOOKUP(A195,Climatologia!A:U,9+$E$2,FALSE),"")</f>
        <v/>
      </c>
      <c r="AS195" s="89">
        <f>IF(OR(AQ195="",AR195=""),"",IFERROR(AQ195-AR195,""))</f>
        <v/>
      </c>
      <c r="AT195" s="90">
        <f>IF(COUNT(K195:AO195)=0,"",MIN(K195:AO195))</f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/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5" s="92">
        <f>IF(OR(AT195="",AU195=""),"NA",IFERROR(AT195-AU195,"NA"))</f>
        <v/>
      </c>
    </row>
    <row r="196" ht="14.25" customHeight="1">
      <c r="A196" s="48" t="n">
        <v>21205940</v>
      </c>
      <c r="B196" s="52" t="inlineStr">
        <is>
          <t>Villa Ines</t>
        </is>
      </c>
      <c r="C196" s="52" t="inlineStr">
        <is>
          <t>Area Operativa 11 - Cundinamarca-Amazonas</t>
        </is>
      </c>
      <c r="D196" s="53" t="n">
        <v>-74.38056</v>
      </c>
      <c r="E196" s="53" t="n">
        <v>4.83211</v>
      </c>
      <c r="F196" s="48" t="n">
        <v>2590</v>
      </c>
      <c r="G196" s="46" t="n">
        <v>25</v>
      </c>
      <c r="H196" s="46" t="n">
        <v>25269</v>
      </c>
      <c r="I196" s="55" t="inlineStr">
        <is>
          <t>Cundinamarca</t>
        </is>
      </c>
      <c r="J196" s="55" t="inlineStr">
        <is>
          <t>Facatativá</t>
        </is>
      </c>
      <c r="K196" s="51" t="n">
        <v>8.800000000000001</v>
      </c>
      <c r="L196" s="51" t="n">
        <v>10</v>
      </c>
      <c r="M196" s="51" t="n">
        <v>8</v>
      </c>
      <c r="N196" s="51" t="n">
        <v>9.4</v>
      </c>
      <c r="O196" s="51" t="n">
        <v>9</v>
      </c>
      <c r="P196" s="51" t="n">
        <v>8</v>
      </c>
      <c r="Q196" s="51" t="n">
        <v>6.8</v>
      </c>
      <c r="R196" s="51" t="n">
        <v>8.800000000000001</v>
      </c>
      <c r="S196" s="51" t="n">
        <v>9</v>
      </c>
      <c r="T196" s="51" t="n">
        <v>7</v>
      </c>
      <c r="U196" s="51" t="n">
        <v>10</v>
      </c>
      <c r="V196" s="51" t="n">
        <v>10.4</v>
      </c>
      <c r="W196" s="51" t="n">
        <v>11</v>
      </c>
      <c r="X196" s="51" t="n">
        <v>8.800000000000001</v>
      </c>
      <c r="Y196" s="51" t="n">
        <v>7.4</v>
      </c>
      <c r="Z196" s="111" t="n">
        <v>10.2</v>
      </c>
      <c r="AA196" s="51" t="n">
        <v>9.4</v>
      </c>
      <c r="AB196" s="51" t="n">
        <v>10</v>
      </c>
      <c r="AC196" s="51" t="n">
        <v>9.800000000000001</v>
      </c>
      <c r="AD196" s="51" t="n">
        <v>10</v>
      </c>
      <c r="AE196" s="51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88">
        <f>COUNTIF(K196:AO196,"&gt;0")</f>
        <v/>
      </c>
      <c r="AQ196" s="89">
        <f>IF(AP196&gt;14,AVERAGE(K196:AO196),"")</f>
        <v/>
      </c>
      <c r="AR196" s="89">
        <f>IFERROR(VLOOKUP(A196,Climatologia!A:U,9+$E$2,FALSE),"")</f>
        <v/>
      </c>
      <c r="AS196" s="89">
        <f>IF(OR(AQ196="",AR196=""),"",IFERROR(AQ196-AR196,""))</f>
        <v/>
      </c>
      <c r="AT196" s="90">
        <f>IF(COUNT(K196:AO196)=0,"",MIN(K196:AO196))</f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/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6" s="92">
        <f>IF(OR(AT196="",AU196=""),"NA",IFERROR(AT196-AU196,"NA"))</f>
        <v/>
      </c>
    </row>
    <row r="197" ht="14.25" customHeight="1">
      <c r="A197" s="48" t="n">
        <v>21205960</v>
      </c>
      <c r="B197" s="52" t="inlineStr">
        <is>
          <t>Tachi</t>
        </is>
      </c>
      <c r="C197" s="52" t="inlineStr">
        <is>
          <t>Area Operativa 11 - Cundinamarca-Amazonas</t>
        </is>
      </c>
      <c r="D197" s="93" t="n">
        <v>-74.15258333</v>
      </c>
      <c r="E197" s="93" t="n">
        <v>4.939055556</v>
      </c>
      <c r="F197" s="48" t="n">
        <v>2650</v>
      </c>
      <c r="G197" s="46" t="n">
        <v>25</v>
      </c>
      <c r="H197" s="46" t="n">
        <v>25769</v>
      </c>
      <c r="I197" s="55" t="inlineStr">
        <is>
          <t>Cundinamarca</t>
        </is>
      </c>
      <c r="J197" s="55" t="inlineStr">
        <is>
          <t>Subachoque</t>
        </is>
      </c>
      <c r="K197" s="51" t="n">
        <v>8.6</v>
      </c>
      <c r="L197" s="51" t="n">
        <v>9</v>
      </c>
      <c r="M197" s="51" t="n">
        <v>9.199999999999999</v>
      </c>
      <c r="N197" s="51" t="n">
        <v>7.2</v>
      </c>
      <c r="O197" s="51" t="n">
        <v>10.4</v>
      </c>
      <c r="P197" s="51" t="n">
        <v>8.6</v>
      </c>
      <c r="Q197" s="51" t="n">
        <v>7.2</v>
      </c>
      <c r="R197" s="51" t="n">
        <v>5.2</v>
      </c>
      <c r="S197" s="51" t="n">
        <v>9.800000000000001</v>
      </c>
      <c r="T197" s="51" t="n">
        <v>7</v>
      </c>
      <c r="U197" s="51" t="n">
        <v>9.6</v>
      </c>
      <c r="V197" s="51" t="n">
        <v>6.6</v>
      </c>
      <c r="W197" s="51" t="n">
        <v>5.6</v>
      </c>
      <c r="X197" s="51" t="n">
        <v>9.800000000000001</v>
      </c>
      <c r="Y197" s="51" t="n">
        <v>6.4</v>
      </c>
      <c r="Z197" s="111" t="n">
        <v>9.199999999999999</v>
      </c>
      <c r="AA197" s="51" t="n">
        <v>7.4</v>
      </c>
      <c r="AB197" s="51" t="n">
        <v>7</v>
      </c>
      <c r="AC197" s="51" t="n">
        <v>6.2</v>
      </c>
      <c r="AD197" s="51" t="n">
        <v/>
      </c>
      <c r="AE197" s="51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88">
        <f>COUNTIF(K197:AO197,"&gt;0")</f>
        <v/>
      </c>
      <c r="AQ197" s="89">
        <f>IF(AP197&gt;14,AVERAGE(K197:AO197),"")</f>
        <v/>
      </c>
      <c r="AR197" s="89">
        <f>IFERROR(VLOOKUP(A197,Climatologia!A:U,9+$E$2,FALSE),"")</f>
        <v/>
      </c>
      <c r="AS197" s="89">
        <f>IF(OR(AQ197="",AR197=""),"",IFERROR(AQ197-AR197,""))</f>
        <v/>
      </c>
      <c r="AT197" s="90">
        <f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/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7" s="92">
        <f>IF(OR(AT197="",AU197=""),"NA",IFERROR(AT197-AU197,"NA"))</f>
        <v/>
      </c>
    </row>
    <row r="198" ht="14.25" customHeight="1">
      <c r="A198" s="48" t="n">
        <v>21205980</v>
      </c>
      <c r="B198" s="52" t="inlineStr">
        <is>
          <t>Granja Providencia</t>
        </is>
      </c>
      <c r="C198" s="52" t="inlineStr">
        <is>
          <t>Area Operativa 11 - Cundinamarca-Amazonas</t>
        </is>
      </c>
      <c r="D198" s="93" t="n">
        <v>-74.20091667</v>
      </c>
      <c r="E198" s="93" t="n">
        <v>4.792388889</v>
      </c>
      <c r="F198" s="48" t="n">
        <v>2560</v>
      </c>
      <c r="G198" s="46" t="n">
        <v>47</v>
      </c>
      <c r="H198" s="46" t="n">
        <v>47798</v>
      </c>
      <c r="I198" s="55" t="inlineStr">
        <is>
          <t>Magdalena</t>
        </is>
      </c>
      <c r="J198" s="55" t="inlineStr">
        <is>
          <t>Tenerife</t>
        </is>
      </c>
      <c r="K198" s="51" t="n">
        <v>11</v>
      </c>
      <c r="L198" s="51" t="n">
        <v>9.199999999999999</v>
      </c>
      <c r="M198" s="51" t="n">
        <v>10.2</v>
      </c>
      <c r="N198" s="51" t="n">
        <v>10</v>
      </c>
      <c r="O198" s="51" t="n">
        <v>10.6</v>
      </c>
      <c r="P198" s="51" t="n">
        <v>8.199999999999999</v>
      </c>
      <c r="Q198" s="51" t="n">
        <v>8.6</v>
      </c>
      <c r="R198" s="51" t="n">
        <v>7</v>
      </c>
      <c r="S198" s="51" t="n">
        <v>11.2</v>
      </c>
      <c r="T198" s="51" t="n">
        <v>7.4</v>
      </c>
      <c r="U198" s="51" t="n">
        <v>10.8</v>
      </c>
      <c r="V198" s="51" t="n">
        <v>9</v>
      </c>
      <c r="W198" s="51" t="n">
        <v>7.6</v>
      </c>
      <c r="X198" s="51" t="n">
        <v>10</v>
      </c>
      <c r="Y198" s="51" t="n">
        <v>8.199999999999999</v>
      </c>
      <c r="Z198" s="111" t="n">
        <v>10.2</v>
      </c>
      <c r="AA198" s="51" t="n">
        <v>9.199999999999999</v>
      </c>
      <c r="AB198" s="51" t="n">
        <v>8.800000000000001</v>
      </c>
      <c r="AC198" s="51" t="n">
        <v>8.199999999999999</v>
      </c>
      <c r="AD198" s="51" t="n">
        <v>10.2</v>
      </c>
      <c r="AE198" s="51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88">
        <f>COUNTIF(K198:AO198,"&gt;0")</f>
        <v/>
      </c>
      <c r="AQ198" s="89">
        <f>IF(AP198&gt;14,AVERAGE(K198:AO198),"")</f>
        <v/>
      </c>
      <c r="AR198" s="89">
        <f>IFERROR(VLOOKUP(A198,Climatologia!A:U,9+$E$2,FALSE),"")</f>
        <v/>
      </c>
      <c r="AS198" s="89">
        <f>IF(OR(AQ198="",AR198=""),"",IFERROR(AQ198-AR198,""))</f>
        <v/>
      </c>
      <c r="AT198" s="90">
        <f>IF(COUNT(K198:AO198)=0,"",MIN(K198:AO198))</f>
        <v/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/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8" s="92">
        <f>IF(OR(AT198="",AU198=""),"NA",IFERROR(AT198-AU198,"NA"))</f>
        <v/>
      </c>
    </row>
    <row r="199" ht="14.25" customHeight="1">
      <c r="A199" s="48" t="n">
        <v>21206020</v>
      </c>
      <c r="B199" s="52" t="inlineStr">
        <is>
          <t>Santillana</t>
        </is>
      </c>
      <c r="C199" s="52" t="inlineStr">
        <is>
          <t>Area Operativa 11 - Cundinamarca-Amazonas</t>
        </is>
      </c>
      <c r="D199" s="93" t="n">
        <v>-74.10483333000001</v>
      </c>
      <c r="E199" s="93" t="n">
        <v>4.898527778</v>
      </c>
      <c r="F199" s="48" t="n">
        <v>2575</v>
      </c>
      <c r="G199" s="46" t="n">
        <v>25</v>
      </c>
      <c r="H199" s="46" t="n">
        <v>25785</v>
      </c>
      <c r="I199" s="55" t="inlineStr">
        <is>
          <t>Cundinamarca</t>
        </is>
      </c>
      <c r="J199" s="55" t="inlineStr">
        <is>
          <t>Tabio</t>
        </is>
      </c>
      <c r="K199" s="51" t="n">
        <v>10</v>
      </c>
      <c r="L199" s="51" t="n">
        <v>11</v>
      </c>
      <c r="M199" s="51" t="n">
        <v>10</v>
      </c>
      <c r="N199" s="51" t="n">
        <v>9.199999999999999</v>
      </c>
      <c r="O199" s="51" t="n">
        <v>6.6</v>
      </c>
      <c r="P199" s="51" t="n">
        <v>7</v>
      </c>
      <c r="Q199" s="51" t="n">
        <v>9</v>
      </c>
      <c r="R199" s="51" t="n">
        <v/>
      </c>
      <c r="S199" s="51" t="n">
        <v>7</v>
      </c>
      <c r="T199" s="51" t="n">
        <v/>
      </c>
      <c r="U199" s="51" t="n">
        <v>8.199999999999999</v>
      </c>
      <c r="V199" s="51" t="n">
        <v/>
      </c>
      <c r="W199" s="51" t="n">
        <v>8</v>
      </c>
      <c r="X199" s="51" t="n">
        <v>10</v>
      </c>
      <c r="Y199" s="51" t="n">
        <v>8.4</v>
      </c>
      <c r="Z199" s="111" t="n">
        <v>7.6</v>
      </c>
      <c r="AA199" s="51" t="n">
        <v>8</v>
      </c>
      <c r="AB199" s="51" t="n">
        <v>7.8</v>
      </c>
      <c r="AC199" s="51" t="n">
        <v/>
      </c>
      <c r="AD199" s="51" t="n">
        <v/>
      </c>
      <c r="AE199" s="51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88">
        <f>COUNTIF(K199:AO199,"&gt;0")</f>
        <v/>
      </c>
      <c r="AQ199" s="89">
        <f>IF(AP199&gt;14,AVERAGE(K199:AO199),"")</f>
        <v/>
      </c>
      <c r="AR199" s="89">
        <f>IFERROR(VLOOKUP(A199,Climatologia!A:U,9+$E$2,FALSE),"")</f>
        <v/>
      </c>
      <c r="AS199" s="89">
        <f>IF(OR(AQ199="",AR199=""),"",IFERROR(AQ199-AR199,""))</f>
        <v/>
      </c>
      <c r="AT199" s="90">
        <f>IF(COUNT(K199:AO199)=0,"",MIN(K199:AO199))</f>
        <v/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/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9" s="92">
        <f>IF(OR(AT199="",AU199=""),"NA",IFERROR(AT199-AU199,"NA"))</f>
        <v/>
      </c>
    </row>
    <row r="200" ht="14.25" customHeight="1">
      <c r="A200" s="48" t="n">
        <v>21206060</v>
      </c>
      <c r="B200" s="52" t="inlineStr">
        <is>
          <t>Casablanca</t>
        </is>
      </c>
      <c r="C200" s="52" t="inlineStr">
        <is>
          <t>Area Operativa 11 - Cundinamarca-Amazonas</t>
        </is>
      </c>
      <c r="D200" s="53" t="n">
        <v>-74.25333333</v>
      </c>
      <c r="E200" s="53" t="n">
        <v>4.717111111</v>
      </c>
      <c r="F200" s="48" t="n">
        <v>2575</v>
      </c>
      <c r="G200" s="46" t="n">
        <v>25</v>
      </c>
      <c r="H200" s="46" t="n">
        <v>25430</v>
      </c>
      <c r="I200" s="55" t="inlineStr">
        <is>
          <t>Cundinamarca</t>
        </is>
      </c>
      <c r="J200" s="55" t="inlineStr">
        <is>
          <t>Madrid</t>
        </is>
      </c>
      <c r="K200" s="51" t="n">
        <v>10.8</v>
      </c>
      <c r="L200" s="51" t="n">
        <v>8.4</v>
      </c>
      <c r="M200" s="51" t="n">
        <v>8.199999999999999</v>
      </c>
      <c r="N200" s="51" t="n">
        <v>10.2</v>
      </c>
      <c r="O200" s="51" t="n">
        <v>8.800000000000001</v>
      </c>
      <c r="P200" s="51" t="n">
        <v>7.8</v>
      </c>
      <c r="Q200" s="51" t="n">
        <v>6.4</v>
      </c>
      <c r="R200" s="51" t="n">
        <v>5.8</v>
      </c>
      <c r="S200" s="51" t="n">
        <v>10.8</v>
      </c>
      <c r="T200" s="51" t="n">
        <v>7.4</v>
      </c>
      <c r="U200" s="51" t="n">
        <v>8.4</v>
      </c>
      <c r="V200" s="51" t="n">
        <v>8.199999999999999</v>
      </c>
      <c r="W200" s="51" t="n">
        <v>6.4</v>
      </c>
      <c r="X200" s="51" t="n">
        <v>9.4</v>
      </c>
      <c r="Y200" s="51" t="n">
        <v>7.4</v>
      </c>
      <c r="Z200" s="111" t="n">
        <v>10.4</v>
      </c>
      <c r="AA200" s="51" t="n">
        <v>6.6</v>
      </c>
      <c r="AB200" s="51" t="n">
        <v>7.8</v>
      </c>
      <c r="AC200" s="51" t="n">
        <v>6</v>
      </c>
      <c r="AD200" s="51" t="n">
        <v/>
      </c>
      <c r="AE200" s="51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88">
        <f>COUNTIF(K200:AO200,"&gt;0")</f>
        <v/>
      </c>
      <c r="AQ200" s="89">
        <f>IF(AP200&gt;14,AVERAGE(K200:AO200),"")</f>
        <v/>
      </c>
      <c r="AR200" s="89">
        <f>IFERROR(VLOOKUP(A200,Climatologia!A:U,9+$E$2,FALSE),"")</f>
        <v/>
      </c>
      <c r="AS200" s="89">
        <f>IF(OR(AQ200="",AR200=""),"",IFERROR(AQ200-AR200,""))</f>
        <v/>
      </c>
      <c r="AT200" s="90">
        <f>IF(COUNT(K200:AO200)=0,"",MIN(K200:AO200))</f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/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0" s="92">
        <f>IF(OR(AT200="",AU200=""),"NA",IFERROR(AT200-AU200,"NA"))</f>
        <v/>
      </c>
    </row>
    <row r="201" ht="14.25" customHeight="1">
      <c r="A201" s="48" t="n">
        <v>21206260</v>
      </c>
      <c r="B201" s="52" t="inlineStr">
        <is>
          <t>C.Univ.Agrop-Udca</t>
        </is>
      </c>
      <c r="C201" s="52" t="inlineStr">
        <is>
          <t>Area Operativa 11 - Cundinamarca-Amazonas</t>
        </is>
      </c>
      <c r="D201" s="93" t="n">
        <v>-74.04972222000001</v>
      </c>
      <c r="E201" s="93" t="n">
        <v>4.798638889</v>
      </c>
      <c r="F201" s="48" t="n">
        <v>2570</v>
      </c>
      <c r="G201" s="46" t="n">
        <v>11</v>
      </c>
      <c r="H201" s="46" t="n">
        <v>11001</v>
      </c>
      <c r="I201" s="55" t="inlineStr">
        <is>
          <t>Bogotá, D.C.</t>
        </is>
      </c>
      <c r="J201" s="55" t="inlineStr">
        <is>
          <t>Bogotá, D.C</t>
        </is>
      </c>
      <c r="K201" s="51" t="n">
        <v>10.6</v>
      </c>
      <c r="L201" s="51" t="n">
        <v>10</v>
      </c>
      <c r="M201" s="51" t="n">
        <v>9.6</v>
      </c>
      <c r="N201" s="51" t="n">
        <v>9.199999999999999</v>
      </c>
      <c r="O201" s="51" t="n">
        <v>9.6</v>
      </c>
      <c r="P201" s="51" t="n">
        <v>9.6</v>
      </c>
      <c r="Q201" s="51" t="n">
        <v>8.4</v>
      </c>
      <c r="R201" s="51" t="n">
        <v>7</v>
      </c>
      <c r="S201" s="51" t="n">
        <v>9.800000000000001</v>
      </c>
      <c r="T201" s="51" t="n">
        <v>8.4</v>
      </c>
      <c r="U201" s="51" t="n">
        <v>9.6</v>
      </c>
      <c r="V201" s="51" t="n">
        <v>9</v>
      </c>
      <c r="W201" s="51" t="n">
        <v/>
      </c>
      <c r="X201" s="51" t="n">
        <v>8.4</v>
      </c>
      <c r="Y201" s="51" t="n">
        <v>8</v>
      </c>
      <c r="Z201" s="111" t="n">
        <v>9.6</v>
      </c>
      <c r="AA201" s="51" t="n">
        <v>8</v>
      </c>
      <c r="AB201" s="51" t="n">
        <v>9.4</v>
      </c>
      <c r="AC201" s="51" t="n">
        <v/>
      </c>
      <c r="AD201" s="51" t="n">
        <v/>
      </c>
      <c r="AE201" s="51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88">
        <f>COUNTIF(K201:AO201,"&gt;0")</f>
        <v/>
      </c>
      <c r="AQ201" s="89">
        <f>IF(AP201&gt;14,AVERAGE(K201:AO201),"")</f>
        <v/>
      </c>
      <c r="AR201" s="89">
        <f>IFERROR(VLOOKUP(A201,Climatologia!A:U,9+$E$2,FALSE),"")</f>
        <v/>
      </c>
      <c r="AS201" s="89">
        <f>IF(OR(AQ201="",AR201=""),"",IFERROR(AQ201-AR201,""))</f>
        <v/>
      </c>
      <c r="AT201" s="90">
        <f>IF(COUNT(K201:AO201)=0,"",MIN(K201:AO201))</f>
        <v/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/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1" s="92">
        <f>IF(OR(AT201="",AU201=""),"NA",IFERROR(AT201-AU201,"NA"))</f>
        <v/>
      </c>
    </row>
    <row r="202" ht="14.25" customHeight="1">
      <c r="A202" s="48" t="n">
        <v>21206600</v>
      </c>
      <c r="B202" s="52" t="inlineStr">
        <is>
          <t>Nueva Generacion</t>
        </is>
      </c>
      <c r="C202" s="52" t="inlineStr">
        <is>
          <t>Area Operativa 11 - Cundinamarca-Amazonas</t>
        </is>
      </c>
      <c r="D202" s="53" t="n">
        <v>-74.10224700000001</v>
      </c>
      <c r="E202" s="53" t="n">
        <v>4.786594</v>
      </c>
      <c r="F202" s="48" t="n">
        <v>2590</v>
      </c>
      <c r="G202" s="46" t="n">
        <v>11</v>
      </c>
      <c r="H202" s="46" t="n">
        <v>11001</v>
      </c>
      <c r="I202" s="55" t="inlineStr">
        <is>
          <t>Bogotá, D.C.</t>
        </is>
      </c>
      <c r="J202" s="55" t="inlineStr">
        <is>
          <t>Bogotá, D.C</t>
        </is>
      </c>
      <c r="K202" s="51" t="n">
        <v>9.800000000000001</v>
      </c>
      <c r="L202" s="51" t="n">
        <v>8.6</v>
      </c>
      <c r="M202" s="51" t="n">
        <v>8.6</v>
      </c>
      <c r="N202" s="51" t="n">
        <v>9.800000000000001</v>
      </c>
      <c r="O202" s="51" t="n">
        <v>9</v>
      </c>
      <c r="P202" s="51" t="n">
        <v>6.8</v>
      </c>
      <c r="Q202" s="51" t="n">
        <v>8.4</v>
      </c>
      <c r="R202" s="51" t="n">
        <v>6.2</v>
      </c>
      <c r="S202" s="51" t="n">
        <v>9.6</v>
      </c>
      <c r="T202" s="51" t="n">
        <v>8.199999999999999</v>
      </c>
      <c r="U202" s="51" t="n">
        <v>9.800000000000001</v>
      </c>
      <c r="V202" s="51" t="n">
        <v>8.4</v>
      </c>
      <c r="W202" s="51" t="n">
        <v>8.199999999999999</v>
      </c>
      <c r="X202" s="51" t="n">
        <v>7.8</v>
      </c>
      <c r="Y202" s="51" t="n">
        <v>8</v>
      </c>
      <c r="Z202" s="111" t="n">
        <v>9.4</v>
      </c>
      <c r="AA202" s="51" t="n">
        <v>7.4</v>
      </c>
      <c r="AB202" s="51" t="n">
        <v>7.8</v>
      </c>
      <c r="AC202" s="51" t="n">
        <v>8.800000000000001</v>
      </c>
      <c r="AD202" s="51" t="n">
        <v>9.800000000000001</v>
      </c>
      <c r="AE202" s="51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88">
        <f>COUNTIF(K202:AO202,"&gt;0")</f>
        <v/>
      </c>
      <c r="AQ202" s="89">
        <f>IF(AP202&gt;14,AVERAGE(K202:AO202),"")</f>
        <v/>
      </c>
      <c r="AR202" s="89">
        <f>IFERROR(VLOOKUP(A202,Climatologia!A:U,9+$E$2,FALSE),"")</f>
        <v/>
      </c>
      <c r="AS202" s="89">
        <f>IF(OR(AQ202="",AR202=""),"",IFERROR(AQ202-AR202,""))</f>
        <v/>
      </c>
      <c r="AT202" s="90">
        <f>IF(COUNT(K202:AO202)=0,"",MIN(K202:AO202))</f>
        <v/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/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2" s="92">
        <f>IF(OR(AT202="",AU202=""),"NA",IFERROR(AT202-AU202,"NA"))</f>
        <v/>
      </c>
    </row>
    <row r="203" ht="14.25" customHeight="1">
      <c r="A203" s="48" t="n">
        <v>21206650</v>
      </c>
      <c r="B203" s="52" t="inlineStr">
        <is>
          <t>Colegio San Cayetano</t>
        </is>
      </c>
      <c r="C203" s="52" t="inlineStr">
        <is>
          <t>Area Operativa 11 - Cundinamarca-Amazonas</t>
        </is>
      </c>
      <c r="D203" s="53" t="n">
        <v>-74.088222222</v>
      </c>
      <c r="E203" s="53" t="n">
        <v>4.516752778</v>
      </c>
      <c r="F203" s="48" t="n">
        <v>3100</v>
      </c>
      <c r="G203" s="46" t="n">
        <v>11</v>
      </c>
      <c r="H203" s="46" t="n">
        <v>11001</v>
      </c>
      <c r="I203" s="55" t="inlineStr">
        <is>
          <t>Bogotá, D.C.</t>
        </is>
      </c>
      <c r="J203" s="55" t="inlineStr">
        <is>
          <t>Bogotá, D.C</t>
        </is>
      </c>
      <c r="K203" s="51" t="n">
        <v>6</v>
      </c>
      <c r="L203" s="51" t="n">
        <v>5.4</v>
      </c>
      <c r="M203" s="51" t="n">
        <v>5.6</v>
      </c>
      <c r="N203" s="51" t="n">
        <v>5.2</v>
      </c>
      <c r="O203" s="51" t="n">
        <v>6.2</v>
      </c>
      <c r="P203" s="51" t="n">
        <v>5.6</v>
      </c>
      <c r="Q203" s="51" t="n">
        <v>5.2</v>
      </c>
      <c r="R203" s="51" t="n">
        <v>4.8</v>
      </c>
      <c r="S203" s="51" t="n">
        <v>5</v>
      </c>
      <c r="T203" s="51" t="n">
        <v>5.4</v>
      </c>
      <c r="U203" s="51" t="n">
        <v>5</v>
      </c>
      <c r="V203" s="51" t="n">
        <v>5.8</v>
      </c>
      <c r="W203" s="51" t="n">
        <v>5.2</v>
      </c>
      <c r="X203" s="51" t="n">
        <v>5.4</v>
      </c>
      <c r="Y203" s="51" t="n">
        <v>5.8</v>
      </c>
      <c r="Z203" s="111" t="n">
        <v>5.2</v>
      </c>
      <c r="AA203" s="51" t="n">
        <v>4.2</v>
      </c>
      <c r="AB203" s="51" t="n">
        <v>4.8</v>
      </c>
      <c r="AC203" s="51" t="n">
        <v>5.4</v>
      </c>
      <c r="AD203" s="51" t="n">
        <v>5</v>
      </c>
      <c r="AE203" s="51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88">
        <f>COUNTIF(K203:AO203,"&gt;0")</f>
        <v/>
      </c>
      <c r="AQ203" s="89">
        <f>IF(AP203&gt;14,AVERAGE(K203:AO203),"")</f>
        <v/>
      </c>
      <c r="AR203" s="89">
        <f>IFERROR(VLOOKUP(A203,Climatologia!A:U,9+$E$2,FALSE),"")</f>
        <v/>
      </c>
      <c r="AS203" s="89">
        <f>IF(OR(AQ203="",AR203=""),"",IFERROR(AQ203-AR203,""))</f>
        <v/>
      </c>
      <c r="AT203" s="90">
        <f>IF(COUNT(K203:AO203)=0,"",MIN(K203:AO203))</f>
        <v/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/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3" s="92">
        <f>IF(OR(AT203="",AU203=""),"NA",IFERROR(AT203-AU203,"NA"))</f>
        <v/>
      </c>
    </row>
    <row r="204" ht="14.25" customHeight="1">
      <c r="A204" s="48" t="n">
        <v>23065110</v>
      </c>
      <c r="B204" s="52" t="inlineStr">
        <is>
          <t>Yacopi</t>
        </is>
      </c>
      <c r="C204" s="52" t="inlineStr">
        <is>
          <t>Area Operativa 11 - Cundinamarca-Amazonas</t>
        </is>
      </c>
      <c r="D204" s="53" t="n">
        <v>-74.35124999999999</v>
      </c>
      <c r="E204" s="53" t="n">
        <v>5.48121</v>
      </c>
      <c r="F204" s="48" t="n">
        <v>1347</v>
      </c>
      <c r="G204" s="46" t="n">
        <v>25</v>
      </c>
      <c r="H204" s="46" t="n">
        <v>25885</v>
      </c>
      <c r="I204" s="55" t="inlineStr">
        <is>
          <t>Cundinamarca</t>
        </is>
      </c>
      <c r="J204" s="55" t="inlineStr">
        <is>
          <t>Yacopí</t>
        </is>
      </c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111" t="n"/>
      <c r="AA204" s="51" t="n"/>
      <c r="AB204" s="51" t="n"/>
      <c r="AC204" s="51" t="n"/>
      <c r="AD204" s="51" t="n"/>
      <c r="AE204" s="51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88">
        <f>COUNTIF(K204:AO204,"&gt;0")</f>
        <v/>
      </c>
      <c r="AQ204" s="89">
        <f>IF(AP204&gt;14,AVERAGE(K204:AO204),"")</f>
        <v/>
      </c>
      <c r="AR204" s="89">
        <f>IFERROR(VLOOKUP(A204,Climatologia!A:U,9+$E$2,FALSE),"")</f>
        <v/>
      </c>
      <c r="AS204" s="89">
        <f>IF(OR(AQ204="",AR204=""),"",IFERROR(AQ204-AR204,""))</f>
        <v/>
      </c>
      <c r="AT204" s="90">
        <f>IF(COUNT(K204:AO204)=0,"",MIN(K204:AO204))</f>
        <v/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>
        <f>IF(OR(AT204="",AU204=""),"NA",IFERROR(AT204-AU204,"NA"))</f>
        <v/>
      </c>
    </row>
    <row r="205" ht="14.25" customHeight="1">
      <c r="A205" s="48" t="n">
        <v>24015120</v>
      </c>
      <c r="B205" s="52" t="inlineStr">
        <is>
          <t>Isla Del Santuario</t>
        </is>
      </c>
      <c r="C205" s="52" t="inlineStr">
        <is>
          <t>Area Operativa 11 - Cundinamarca-Amazonas</t>
        </is>
      </c>
      <c r="D205" s="53" t="n">
        <v>-73.73480556</v>
      </c>
      <c r="E205" s="53" t="n">
        <v>5.467277778</v>
      </c>
      <c r="F205" s="48" t="n">
        <v>2580</v>
      </c>
      <c r="G205" s="46" t="n">
        <v>25</v>
      </c>
      <c r="H205" s="46" t="n">
        <v>25288</v>
      </c>
      <c r="I205" s="55" t="inlineStr">
        <is>
          <t>Cundinamarca</t>
        </is>
      </c>
      <c r="J205" s="55" t="inlineStr">
        <is>
          <t>Fúquene</t>
        </is>
      </c>
      <c r="K205" s="51" t="n">
        <v>9.800000000000001</v>
      </c>
      <c r="L205" s="51" t="n">
        <v>10.6</v>
      </c>
      <c r="M205" s="51" t="n">
        <v>11.6</v>
      </c>
      <c r="N205" s="51" t="n">
        <v>9.800000000000001</v>
      </c>
      <c r="O205" s="51" t="n">
        <v>10.6</v>
      </c>
      <c r="P205" s="51" t="n">
        <v>11</v>
      </c>
      <c r="Q205" s="51" t="n">
        <v>10.4</v>
      </c>
      <c r="R205" s="51" t="n">
        <v>7.8</v>
      </c>
      <c r="S205" s="51" t="n">
        <v>13.2</v>
      </c>
      <c r="T205" s="51" t="n">
        <v>11.6</v>
      </c>
      <c r="U205" s="51" t="n">
        <v>11.6</v>
      </c>
      <c r="V205" s="51" t="n">
        <v>9.6</v>
      </c>
      <c r="W205" s="51" t="n">
        <v>10.2</v>
      </c>
      <c r="X205" s="51" t="n">
        <v>11</v>
      </c>
      <c r="Y205" s="51" t="n">
        <v>10.8</v>
      </c>
      <c r="Z205" s="111" t="n">
        <v>11.8</v>
      </c>
      <c r="AA205" s="51" t="n">
        <v>11</v>
      </c>
      <c r="AB205" s="51" t="n">
        <v>12.2</v>
      </c>
      <c r="AC205" s="51" t="n">
        <v/>
      </c>
      <c r="AD205" s="51" t="n">
        <v/>
      </c>
      <c r="AE205" s="51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88">
        <f>COUNTIF(K205:AO205,"&gt;0")</f>
        <v/>
      </c>
      <c r="AQ205" s="89">
        <f>IF(AP205&gt;14,AVERAGE(K205:AO205),"")</f>
        <v/>
      </c>
      <c r="AR205" s="89">
        <f>IFERROR(VLOOKUP(A205,Climatologia!A:U,9+$E$2,FALSE),"")</f>
        <v/>
      </c>
      <c r="AS205" s="89">
        <f>IF(OR(AQ205="",AR205=""),"",IFERROR(AQ205-AR205,""))</f>
        <v/>
      </c>
      <c r="AT205" s="90">
        <f>IF(COUNT(K205:AO205)=0,"",MIN(K205:AO205))</f>
        <v/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>
        <f>IF(OR(AT205="",AU205=""),"NA",IFERROR(AT205-AU205,"NA"))</f>
        <v/>
      </c>
    </row>
    <row r="206" ht="14.25" customHeight="1">
      <c r="A206" s="48" t="n">
        <v>35025060</v>
      </c>
      <c r="B206" s="52" t="inlineStr">
        <is>
          <t>La Bolsa</t>
        </is>
      </c>
      <c r="C206" s="52" t="inlineStr">
        <is>
          <t>Area Operativa 11 - Cundinamarca-Amazonas</t>
        </is>
      </c>
      <c r="D206" s="53" t="n">
        <v>-73.995885</v>
      </c>
      <c r="E206" s="53" t="n">
        <v>4.587059</v>
      </c>
      <c r="F206" s="48" t="n">
        <v>3195</v>
      </c>
      <c r="G206" s="46" t="n">
        <v>25</v>
      </c>
      <c r="H206" s="46" t="n">
        <v>25181</v>
      </c>
      <c r="I206" s="55" t="inlineStr">
        <is>
          <t>Cundinamarca</t>
        </is>
      </c>
      <c r="J206" s="55" t="inlineStr">
        <is>
          <t>Choachí</t>
        </is>
      </c>
      <c r="K206" s="51" t="n">
        <v>7</v>
      </c>
      <c r="L206" s="51" t="n">
        <v>5.8</v>
      </c>
      <c r="M206" s="51" t="n">
        <v>7</v>
      </c>
      <c r="N206" s="51" t="n">
        <v>6</v>
      </c>
      <c r="O206" s="51" t="n">
        <v>5.2</v>
      </c>
      <c r="P206" s="51" t="n">
        <v>5.4</v>
      </c>
      <c r="Q206" s="51" t="n">
        <v>5.4</v>
      </c>
      <c r="R206" s="51" t="n">
        <v>4.8</v>
      </c>
      <c r="S206" s="51" t="n">
        <v>5</v>
      </c>
      <c r="T206" s="51" t="n">
        <v>4.4</v>
      </c>
      <c r="U206" s="51" t="n">
        <v>6</v>
      </c>
      <c r="V206" s="51" t="n">
        <v>6</v>
      </c>
      <c r="W206" s="51" t="n">
        <v>6</v>
      </c>
      <c r="X206" s="51" t="n">
        <v>6.6</v>
      </c>
      <c r="Y206" s="51" t="n">
        <v>6.8</v>
      </c>
      <c r="Z206" s="111" t="n">
        <v>6.4</v>
      </c>
      <c r="AA206" s="51" t="n">
        <v>6.6</v>
      </c>
      <c r="AB206" s="51" t="n">
        <v>5.8</v>
      </c>
      <c r="AC206" s="51" t="n">
        <v>7</v>
      </c>
      <c r="AD206" s="51" t="n">
        <v>4</v>
      </c>
      <c r="AE206" s="51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88">
        <f>COUNTIF(K206:AO206,"&gt;0")</f>
        <v/>
      </c>
      <c r="AQ206" s="89">
        <f>IF(AP206&gt;14,AVERAGE(K206:AO206),"")</f>
        <v/>
      </c>
      <c r="AR206" s="89">
        <f>IFERROR(VLOOKUP(A206,Climatologia!A:U,9+$E$2,FALSE),"")</f>
        <v/>
      </c>
      <c r="AS206" s="89">
        <f>IF(OR(AQ206="",AR206=""),"",IFERROR(AQ206-AR206,""))</f>
        <v/>
      </c>
      <c r="AT206" s="90">
        <f>IF(COUNT(K206:AO206)=0,"",MIN(K206:AO206))</f>
        <v/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/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6" s="92">
        <f>IF(OR(AT206="",AU206=""),"NA",IFERROR(AT206-AU206,"NA"))</f>
        <v/>
      </c>
    </row>
    <row r="207" ht="14.25" customHeight="1">
      <c r="A207" s="48" t="n">
        <v>47075010</v>
      </c>
      <c r="B207" s="52" t="inlineStr">
        <is>
          <t>La Chorrera</t>
        </is>
      </c>
      <c r="C207" s="52" t="inlineStr">
        <is>
          <t>Area Operativa 11 - Cundinamarca-Amazonas</t>
        </is>
      </c>
      <c r="D207" s="53" t="n">
        <v>-72.789583333</v>
      </c>
      <c r="E207" s="53" t="n">
        <v>-1.444611111</v>
      </c>
      <c r="F207" s="48" t="n">
        <v>160</v>
      </c>
      <c r="G207" s="46" t="n">
        <v>91</v>
      </c>
      <c r="H207" s="46" t="n">
        <v>91405</v>
      </c>
      <c r="I207" s="55" t="inlineStr">
        <is>
          <t>Amazonas</t>
        </is>
      </c>
      <c r="J207" s="55" t="inlineStr">
        <is>
          <t>La Chorrera</t>
        </is>
      </c>
      <c r="K207" s="51" t="n">
        <v>23</v>
      </c>
      <c r="L207" s="51" t="n">
        <v>23.2</v>
      </c>
      <c r="M207" s="51" t="n">
        <v>23</v>
      </c>
      <c r="N207" s="51" t="n">
        <v>23.2</v>
      </c>
      <c r="O207" s="51" t="n">
        <v>23.6</v>
      </c>
      <c r="P207" s="51" t="n">
        <v>23.2</v>
      </c>
      <c r="Q207" s="51" t="n">
        <v>23.8</v>
      </c>
      <c r="R207" s="51" t="n">
        <v>23.4</v>
      </c>
      <c r="S207" s="51" t="n">
        <v>24</v>
      </c>
      <c r="T207" s="51" t="n">
        <v>24.2</v>
      </c>
      <c r="U207" s="51" t="n">
        <v>23</v>
      </c>
      <c r="V207" s="51" t="n">
        <v>23.4</v>
      </c>
      <c r="W207" s="51" t="n">
        <v>22.6</v>
      </c>
      <c r="X207" s="51" t="n">
        <v>23.2</v>
      </c>
      <c r="Y207" s="51" t="n">
        <v>20</v>
      </c>
      <c r="Z207" s="111" t="n">
        <v>21.4</v>
      </c>
      <c r="AA207" s="51" t="n">
        <v>21.6</v>
      </c>
      <c r="AB207" s="51" t="n">
        <v>21.4</v>
      </c>
      <c r="AC207" s="51" t="n">
        <v>21.6</v>
      </c>
      <c r="AD207" s="51" t="n">
        <v>21</v>
      </c>
      <c r="AE207" s="51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88">
        <f>COUNTIF(K207:AO207,"&gt;0")</f>
        <v/>
      </c>
      <c r="AQ207" s="89">
        <f>IF(AP207&gt;14,AVERAGE(K207:AO207),"")</f>
        <v/>
      </c>
      <c r="AR207" s="89">
        <f>IFERROR(VLOOKUP(A207,Climatologia!A:U,9+$E$2,FALSE),"")</f>
        <v/>
      </c>
      <c r="AS207" s="89">
        <f>IF(OR(AQ207="",AR207=""),"",IFERROR(AQ207-AR207,""))</f>
        <v/>
      </c>
      <c r="AT207" s="90">
        <f>IF(COUNT(K207:AO207)=0,"",MIN(K207:AO207))</f>
        <v/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/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7" s="92">
        <f>IF(OR(AT207="",AU207=""),"NA",IFERROR(AT207-AU207,"NA"))</f>
        <v/>
      </c>
    </row>
    <row r="208">
      <c r="Z208" s="110" t="n"/>
      <c r="AB208" s="84" t="n"/>
      <c r="AC208" s="84" t="n"/>
      <c r="AD208" s="84" t="n"/>
      <c r="AE208" s="84" t="n"/>
      <c r="AF208" s="84" t="n"/>
      <c r="AG208" s="76" t="n"/>
      <c r="AH208" s="95" t="n"/>
      <c r="AI208" s="95" t="n"/>
      <c r="AJ208" s="95" t="n"/>
      <c r="AK208" s="95" t="n"/>
      <c r="AL208" s="95" t="n"/>
      <c r="AM208" s="95" t="n"/>
      <c r="AN208" s="95" t="n"/>
      <c r="AO208" s="95" t="n"/>
      <c r="AP208" s="96" t="n"/>
      <c r="AQ208" s="96" t="n"/>
    </row>
  </sheetData>
  <conditionalFormatting sqref="K5:AO207">
    <cfRule type="cellIs" priority="1" operator="equal" dxfId="16">
      <formula>""</formula>
    </cfRule>
    <cfRule type="cellIs" priority="2" operator="between" dxfId="15" stopIfTrue="1">
      <formula>40</formula>
      <formula>500</formula>
    </cfRule>
    <cfRule type="cellIs" priority="3" operator="between" dxfId="6" stopIfTrue="1">
      <formula>-9.9</formula>
      <formula>-500</formula>
    </cfRule>
  </conditionalFormatting>
  <conditionalFormatting sqref="U3:U4 W4 Y4 AA4 AC4">
    <cfRule type="cellIs" priority="8915" operator="equal" dxfId="12" stopIfTrue="1">
      <formula>1</formula>
    </cfRule>
  </conditionalFormatting>
  <conditionalFormatting sqref="U208">
    <cfRule type="cellIs" priority="84" operator="equal" dxfId="12" stopIfTrue="1">
      <formula>1</formula>
    </cfRule>
  </conditionalFormatting>
  <conditionalFormatting sqref="AP5:AP207">
    <cfRule type="cellIs" priority="9" operator="lessThan" dxfId="11">
      <formula>14</formula>
    </cfRule>
  </conditionalFormatting>
  <conditionalFormatting sqref="AR1">
    <cfRule type="cellIs" priority="13609" operator="between" dxfId="3" stopIfTrue="1">
      <formula>0.1</formula>
      <formula>10</formula>
    </cfRule>
    <cfRule type="cellIs" priority="13610" operator="greaterThan" dxfId="9" stopIfTrue="1">
      <formula>"0.1"</formula>
    </cfRule>
  </conditionalFormatting>
  <conditionalFormatting sqref="AT5:AT207">
    <cfRule type="cellIs" priority="17376" operator="equal" dxfId="3" stopIfTrue="1">
      <formula>"40.0"</formula>
    </cfRule>
    <cfRule type="cellIs" priority="17377" operator="between" dxfId="6" stopIfTrue="1">
      <formula>-8.1</formula>
      <formula>-10</formula>
    </cfRule>
    <cfRule type="cellIs" priority="17378" operator="between" dxfId="6" stopIfTrue="1">
      <formula>-9.9</formula>
      <formula>-10</formula>
    </cfRule>
    <cfRule type="cellIs" priority="17379" operator="between" dxfId="3" stopIfTrue="1">
      <formula>-9.9</formula>
      <formula>-10</formula>
    </cfRule>
    <cfRule type="cellIs" priority="17737" operator="between" dxfId="3" stopIfTrue="1">
      <formula>0</formula>
      <formula>-8</formula>
    </cfRule>
    <cfRule type="cellIs" priority="17738" operator="lessThan" dxfId="3" stopIfTrue="1">
      <formula>-8</formula>
    </cfRule>
  </conditionalFormatting>
  <conditionalFormatting sqref="AW5:AW207">
    <cfRule type="cellIs" priority="7" operator="equal" dxfId="2">
      <formula>"NA"</formula>
    </cfRule>
    <cfRule type="cellIs" priority="12294" operator="lessThan" dxfId="1" stopIfTrue="1">
      <formula>0</formula>
    </cfRule>
    <cfRule type="cellIs" priority="12295" operator="greaterThan" dxfId="0" stopIfTrue="1">
      <formula>0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384"/>
  <sheetViews>
    <sheetView topLeftCell="A22" workbookViewId="0">
      <selection activeCell="A45" sqref="A45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105" t="inlineStr">
        <is>
          <t>INFORMACIÓN GENERAL ESTACIONES</t>
        </is>
      </c>
      <c r="B1" s="106" t="n"/>
      <c r="C1" s="106" t="n"/>
      <c r="D1" s="106" t="n"/>
      <c r="E1" s="106" t="n"/>
      <c r="F1" s="106" t="n"/>
      <c r="G1" s="106" t="n"/>
      <c r="H1" s="106" t="n"/>
      <c r="I1" s="122" t="n"/>
      <c r="J1" s="107" t="inlineStr">
        <is>
          <t>NORMAL CLIMATOLÓGICA ESTÁNDAR DE LA TEMPERATURA MINIMA PARA EL PERIODO 1991-2020 (°C)</t>
        </is>
      </c>
      <c r="K1" s="106" t="n"/>
      <c r="L1" s="106" t="n"/>
      <c r="M1" s="106" t="n"/>
      <c r="N1" s="106" t="n"/>
      <c r="O1" s="106" t="n"/>
      <c r="P1" s="106" t="n"/>
      <c r="Q1" s="106" t="n"/>
      <c r="R1" s="106" t="n"/>
      <c r="S1" s="106" t="n"/>
      <c r="T1" s="106" t="n"/>
      <c r="U1" s="106" t="n"/>
      <c r="V1" s="122" t="n"/>
      <c r="W1" s="121" t="inlineStr">
        <is>
          <t>Cumplen la directriz No 1203 del 2017 de la OMM</t>
        </is>
      </c>
      <c r="X1" s="122" t="n"/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23.17707885304659</v>
      </c>
      <c r="K3" s="15" t="n">
        <v>23.14426474362873</v>
      </c>
      <c r="L3" s="15" t="n">
        <v>23.22097232385495</v>
      </c>
      <c r="M3" s="15" t="n">
        <v>23.19555981268626</v>
      </c>
      <c r="N3" s="15" t="n">
        <v>23.00174110835401</v>
      </c>
      <c r="O3" s="15" t="n">
        <v>22.22953138815208</v>
      </c>
      <c r="P3" s="15" t="n">
        <v>21.59281959378734</v>
      </c>
      <c r="Q3" s="15" t="n">
        <v>21.82882961124896</v>
      </c>
      <c r="R3" s="15" t="n">
        <v>22.35039661487938</v>
      </c>
      <c r="S3" s="15" t="n">
        <v>22.90883440860214</v>
      </c>
      <c r="T3" s="15" t="n">
        <v>23.16192749778956</v>
      </c>
      <c r="U3" s="15" t="n">
        <v>23.16659498207886</v>
      </c>
      <c r="V3" s="16" t="n">
        <v>22.74821257817574</v>
      </c>
      <c r="W3" s="17" t="n">
        <v>314</v>
      </c>
      <c r="X3" s="18" t="n">
        <v>0.8722222222222222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14.71617050691244</v>
      </c>
      <c r="K4" s="15" t="n">
        <v>14.81148806265801</v>
      </c>
      <c r="L4" s="15" t="n">
        <v>15.17777085650723</v>
      </c>
      <c r="M4" s="15" t="n">
        <v>15.43755336617405</v>
      </c>
      <c r="N4" s="15" t="n">
        <v>15.61767281105991</v>
      </c>
      <c r="O4" s="15" t="n">
        <v>15.22673801030519</v>
      </c>
      <c r="P4" s="15" t="n">
        <v>14.77395624768261</v>
      </c>
      <c r="Q4" s="15" t="n">
        <v>14.78540372493654</v>
      </c>
      <c r="R4" s="15" t="n">
        <v>15.0297619047619</v>
      </c>
      <c r="S4" s="15" t="n">
        <v>15.19415680704239</v>
      </c>
      <c r="T4" s="15" t="n">
        <v>15.42286900200694</v>
      </c>
      <c r="U4" s="15" t="n">
        <v>15.01068799304463</v>
      </c>
      <c r="V4" s="16" t="n">
        <v>15.10035244109099</v>
      </c>
      <c r="W4" s="17" t="n">
        <v>343</v>
      </c>
      <c r="X4" s="18" t="n">
        <v>0.9527777777777777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16.4887649884416</v>
      </c>
      <c r="K5" s="15" t="n">
        <v>16.97996318673258</v>
      </c>
      <c r="L5" s="15" t="n">
        <v>17.11570736853521</v>
      </c>
      <c r="M5" s="15" t="n">
        <v>17.05762847772132</v>
      </c>
      <c r="N5" s="15" t="n">
        <v>17.10239183373377</v>
      </c>
      <c r="O5" s="15" t="n">
        <v>16.66091732979665</v>
      </c>
      <c r="P5" s="15" t="n">
        <v>16.49518923632569</v>
      </c>
      <c r="Q5" s="15" t="n">
        <v>16.44642806663166</v>
      </c>
      <c r="R5" s="15" t="n">
        <v>16.62800480169746</v>
      </c>
      <c r="S5" s="15" t="n">
        <v>16.63024926124426</v>
      </c>
      <c r="T5" s="15" t="n">
        <v>16.97308664409501</v>
      </c>
      <c r="U5" s="15" t="n">
        <v>16.86338079200288</v>
      </c>
      <c r="V5" s="16" t="n">
        <v>16.78680933224651</v>
      </c>
      <c r="W5" s="17" t="n">
        <v>293</v>
      </c>
      <c r="X5" s="18" t="n">
        <v>0.8138888888888889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14" t="n">
        <v>14.83082431994186</v>
      </c>
      <c r="K6" s="15" t="n">
        <v>15.14926848358482</v>
      </c>
      <c r="L6" s="15" t="n">
        <v>15.56298565263991</v>
      </c>
      <c r="M6" s="15" t="n">
        <v>15.92186431070179</v>
      </c>
      <c r="N6" s="15" t="n">
        <v>16.13692626894796</v>
      </c>
      <c r="O6" s="15" t="n">
        <v>15.9079205651706</v>
      </c>
      <c r="P6" s="15" t="n">
        <v>15.70055559833813</v>
      </c>
      <c r="Q6" s="15" t="n">
        <v>15.71338533342282</v>
      </c>
      <c r="R6" s="15" t="n">
        <v>15.59440124325593</v>
      </c>
      <c r="S6" s="15" t="n">
        <v>15.59488583308741</v>
      </c>
      <c r="T6" s="15" t="n">
        <v>15.58139425697092</v>
      </c>
      <c r="U6" s="15" t="n">
        <v>15.31598968328668</v>
      </c>
      <c r="V6" s="16" t="n">
        <v>15.5842001291124</v>
      </c>
      <c r="W6" s="17" t="n">
        <v>316</v>
      </c>
      <c r="X6" s="18" t="n">
        <v>0.8777777777777778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23.4785168652214</v>
      </c>
      <c r="K7" s="15" t="n">
        <v>23.52037069751111</v>
      </c>
      <c r="L7" s="15" t="n">
        <v>23.69844358608681</v>
      </c>
      <c r="M7" s="15" t="n">
        <v>23.8610202474656</v>
      </c>
      <c r="N7" s="15" t="n">
        <v>23.71810441741387</v>
      </c>
      <c r="O7" s="15" t="n">
        <v>23.50647089867987</v>
      </c>
      <c r="P7" s="15" t="n">
        <v>23.3172385928308</v>
      </c>
      <c r="Q7" s="15" t="n">
        <v>23.41484549163583</v>
      </c>
      <c r="R7" s="15" t="n">
        <v>23.36796359323946</v>
      </c>
      <c r="S7" s="15" t="n">
        <v>23.19717815604636</v>
      </c>
      <c r="T7" s="15" t="n">
        <v>23.15793150727829</v>
      </c>
      <c r="U7" s="15" t="n">
        <v>23.3368416749135</v>
      </c>
      <c r="V7" s="16" t="n">
        <v>23.46457714402692</v>
      </c>
      <c r="W7" s="17" t="n">
        <v>293</v>
      </c>
      <c r="X7" s="18" t="n">
        <v>0.8138888888888889</v>
      </c>
    </row>
    <row r="8" ht="13.9" customHeight="1">
      <c r="A8" s="10" t="n">
        <v>27015090</v>
      </c>
      <c r="B8" s="11" t="inlineStr">
        <is>
          <t>CO</t>
        </is>
      </c>
      <c r="C8" s="19" t="inlineStr">
        <is>
          <t>Tulio Ospina</t>
        </is>
      </c>
      <c r="D8" s="11" t="inlineStr">
        <is>
          <t>Bello</t>
        </is>
      </c>
      <c r="E8" s="11" t="inlineStr">
        <is>
          <t>Antioquia</t>
        </is>
      </c>
      <c r="F8" s="11" t="n">
        <v>1</v>
      </c>
      <c r="G8" s="11" t="n">
        <v>1453</v>
      </c>
      <c r="H8" s="12" t="n">
        <v>-75.55325000000001</v>
      </c>
      <c r="I8" s="13" t="n">
        <v>6.31969444</v>
      </c>
      <c r="J8" s="14" t="n">
        <v>16.99809964503708</v>
      </c>
      <c r="K8" s="15" t="n">
        <v>17.30887984762198</v>
      </c>
      <c r="L8" s="15" t="n">
        <v>17.50094325992247</v>
      </c>
      <c r="M8" s="15" t="n">
        <v>17.75593485512026</v>
      </c>
      <c r="N8" s="15" t="n">
        <v>17.7549157042347</v>
      </c>
      <c r="O8" s="15" t="n">
        <v>17.42113990147783</v>
      </c>
      <c r="P8" s="15" t="n">
        <v>17.20506668314588</v>
      </c>
      <c r="Q8" s="15" t="n">
        <v>17.32409015715468</v>
      </c>
      <c r="R8" s="15" t="n">
        <v>17.37008747000126</v>
      </c>
      <c r="S8" s="15" t="n">
        <v>17.3389565909996</v>
      </c>
      <c r="T8" s="15" t="n">
        <v>17.36382714412025</v>
      </c>
      <c r="U8" s="15" t="n">
        <v>17.28310703939034</v>
      </c>
      <c r="V8" s="16" t="n">
        <v>17.38542069151886</v>
      </c>
      <c r="W8" s="17" t="n">
        <v>310</v>
      </c>
      <c r="X8" s="18" t="n">
        <v>0.8611111111111112</v>
      </c>
    </row>
    <row r="9" ht="13.9" customHeight="1">
      <c r="A9" s="10" t="n">
        <v>26225040</v>
      </c>
      <c r="B9" s="11" t="inlineStr">
        <is>
          <t>CO</t>
        </is>
      </c>
      <c r="C9" s="11" t="inlineStr">
        <is>
          <t>Hacienda Piunti</t>
        </is>
      </c>
      <c r="D9" s="11" t="inlineStr">
        <is>
          <t>Buriticá</t>
        </is>
      </c>
      <c r="E9" s="11" t="inlineStr">
        <is>
          <t>Antioquia</t>
        </is>
      </c>
      <c r="F9" s="11" t="n">
        <v>1</v>
      </c>
      <c r="G9" s="11" t="n">
        <v>1650</v>
      </c>
      <c r="H9" s="12" t="n">
        <v>-75.91297222</v>
      </c>
      <c r="I9" s="13" t="n">
        <v>6.7295</v>
      </c>
      <c r="J9" s="14" t="n">
        <v>16.28326382635615</v>
      </c>
      <c r="K9" s="15" t="n">
        <v>16.44834945084492</v>
      </c>
      <c r="L9" s="15" t="n">
        <v>16.56978412227578</v>
      </c>
      <c r="M9" s="15" t="n">
        <v>16.60695767195767</v>
      </c>
      <c r="N9" s="15" t="n">
        <v>16.57034441560582</v>
      </c>
      <c r="O9" s="15" t="n">
        <v>16.55558146323664</v>
      </c>
      <c r="P9" s="15" t="n">
        <v>16.36798573184909</v>
      </c>
      <c r="Q9" s="15" t="n">
        <v>16.39280021206737</v>
      </c>
      <c r="R9" s="15" t="n">
        <v>16.29194368424253</v>
      </c>
      <c r="S9" s="15" t="n">
        <v>16.30902733040734</v>
      </c>
      <c r="T9" s="15" t="n">
        <v>16.34459770114943</v>
      </c>
      <c r="U9" s="15" t="n">
        <v>16.37673842249921</v>
      </c>
      <c r="V9" s="16" t="n">
        <v>16.426447836041</v>
      </c>
      <c r="W9" s="17" t="n">
        <v>222</v>
      </c>
      <c r="X9" s="18" t="n">
        <v>0.925</v>
      </c>
    </row>
    <row r="10" ht="13.9" customHeight="1">
      <c r="A10" s="10" t="n">
        <v>27015260</v>
      </c>
      <c r="B10" s="11" t="inlineStr">
        <is>
          <t>AM</t>
        </is>
      </c>
      <c r="C10" s="11" t="inlineStr">
        <is>
          <t>La Salada</t>
        </is>
      </c>
      <c r="D10" s="11" t="inlineStr">
        <is>
          <t xml:space="preserve">Caldas </t>
        </is>
      </c>
      <c r="E10" s="11" t="inlineStr">
        <is>
          <t>Antioquia</t>
        </is>
      </c>
      <c r="F10" s="11" t="n">
        <v>1</v>
      </c>
      <c r="G10" s="11" t="n">
        <v>1923</v>
      </c>
      <c r="H10" s="12" t="n">
        <v>-75.62466667</v>
      </c>
      <c r="I10" s="13" t="n">
        <v>6.04836111</v>
      </c>
      <c r="J10" s="14" t="n">
        <v>12.6826193746538</v>
      </c>
      <c r="K10" s="15" t="n">
        <v>12.89204895897273</v>
      </c>
      <c r="L10" s="15" t="n">
        <v>13.2100119474313</v>
      </c>
      <c r="M10" s="15" t="n">
        <v>13.45828224776501</v>
      </c>
      <c r="N10" s="15" t="n">
        <v>13.75172188974845</v>
      </c>
      <c r="O10" s="15" t="n">
        <v>13.23694388100067</v>
      </c>
      <c r="P10" s="15" t="n">
        <v>12.94546489563567</v>
      </c>
      <c r="Q10" s="15" t="n">
        <v>13.02495903737839</v>
      </c>
      <c r="R10" s="15" t="n">
        <v>13.01098388839768</v>
      </c>
      <c r="S10" s="15" t="n">
        <v>13.21942693527788</v>
      </c>
      <c r="T10" s="15" t="n">
        <v>13.40481135902637</v>
      </c>
      <c r="U10" s="15" t="n">
        <v>13.14032258064516</v>
      </c>
      <c r="V10" s="16" t="n">
        <v>13.16479974966109</v>
      </c>
      <c r="W10" s="17" t="n">
        <v>215</v>
      </c>
      <c r="X10" s="18" t="n">
        <v>0.8958333333333334</v>
      </c>
    </row>
    <row r="11" ht="13.9" customHeight="1">
      <c r="A11" s="10" t="n">
        <v>11115020</v>
      </c>
      <c r="B11" s="11" t="inlineStr">
        <is>
          <t>CO</t>
        </is>
      </c>
      <c r="C11" s="11" t="inlineStr">
        <is>
          <t>Cañasgordas - Aut</t>
        </is>
      </c>
      <c r="D11" s="11" t="inlineStr">
        <is>
          <t>Cañasgordas</t>
        </is>
      </c>
      <c r="E11" s="11" t="inlineStr">
        <is>
          <t>Antioquia</t>
        </is>
      </c>
      <c r="F11" s="11" t="n">
        <v>1</v>
      </c>
      <c r="G11" s="11" t="n">
        <v>1294</v>
      </c>
      <c r="H11" s="12" t="n">
        <v>-76.02966667</v>
      </c>
      <c r="I11" s="13" t="n">
        <v>6.75802778</v>
      </c>
      <c r="J11" s="14" t="n">
        <v>15.87261239119304</v>
      </c>
      <c r="K11" s="15" t="n">
        <v>16.06837200211453</v>
      </c>
      <c r="L11" s="15" t="n">
        <v>16.30364564896957</v>
      </c>
      <c r="M11" s="15" t="n">
        <v>16.57672693757117</v>
      </c>
      <c r="N11" s="15" t="n">
        <v>16.81965069745439</v>
      </c>
      <c r="O11" s="15" t="n">
        <v>16.79455749957534</v>
      </c>
      <c r="P11" s="15" t="n">
        <v>16.58855134113199</v>
      </c>
      <c r="Q11" s="15" t="n">
        <v>16.52287898234506</v>
      </c>
      <c r="R11" s="15" t="n">
        <v>16.43886904761905</v>
      </c>
      <c r="S11" s="15" t="n">
        <v>16.38900665642601</v>
      </c>
      <c r="T11" s="15" t="n">
        <v>16.35519223147048</v>
      </c>
      <c r="U11" s="15" t="n">
        <v>16.17291282642089</v>
      </c>
      <c r="V11" s="16" t="n">
        <v>16.40858135519096</v>
      </c>
      <c r="W11" s="17" t="n">
        <v>341</v>
      </c>
      <c r="X11" s="18" t="n">
        <v>0.9472222222222222</v>
      </c>
    </row>
    <row r="12" ht="13.9" customHeight="1">
      <c r="A12" s="10" t="n">
        <v>12015070</v>
      </c>
      <c r="B12" s="11" t="inlineStr">
        <is>
          <t>SP</t>
        </is>
      </c>
      <c r="C12" s="11" t="inlineStr">
        <is>
          <t>Aeropuerto Los Cedros</t>
        </is>
      </c>
      <c r="D12" s="11" t="inlineStr">
        <is>
          <t>Carepa</t>
        </is>
      </c>
      <c r="E12" s="11" t="inlineStr">
        <is>
          <t>Antioquia</t>
        </is>
      </c>
      <c r="F12" s="11" t="n">
        <v>1</v>
      </c>
      <c r="G12" s="11" t="n">
        <v>41</v>
      </c>
      <c r="H12" s="12" t="n">
        <v>-76.71788889</v>
      </c>
      <c r="I12" s="13" t="n">
        <v>7.81638889</v>
      </c>
      <c r="J12" s="14" t="n">
        <v>23.72830499496795</v>
      </c>
      <c r="K12" s="15" t="n">
        <v>23.89613067713543</v>
      </c>
      <c r="L12" s="15" t="n">
        <v>23.97659992584353</v>
      </c>
      <c r="M12" s="15" t="n">
        <v>24.10938565200159</v>
      </c>
      <c r="N12" s="15" t="n">
        <v>23.81853170189099</v>
      </c>
      <c r="O12" s="15" t="n">
        <v>23.51543103448276</v>
      </c>
      <c r="P12" s="15" t="n">
        <v>23.31782568238214</v>
      </c>
      <c r="Q12" s="15" t="n">
        <v>23.40440461967344</v>
      </c>
      <c r="R12" s="15" t="n">
        <v>23.20104269293925</v>
      </c>
      <c r="S12" s="15" t="n">
        <v>23.20756656273802</v>
      </c>
      <c r="T12" s="15" t="n">
        <v>23.18615933412604</v>
      </c>
      <c r="U12" s="15" t="n">
        <v>23.54193385827347</v>
      </c>
      <c r="V12" s="16" t="n">
        <v>23.57527639470455</v>
      </c>
      <c r="W12" s="17" t="n">
        <v>342</v>
      </c>
      <c r="X12" s="18" t="n">
        <v>0.95</v>
      </c>
    </row>
    <row r="13" ht="13.9" customHeight="1">
      <c r="A13" s="10" t="n">
        <v>12015060</v>
      </c>
      <c r="B13" s="11" t="inlineStr">
        <is>
          <t>CO</t>
        </is>
      </c>
      <c r="C13" s="11" t="inlineStr">
        <is>
          <t>Tulenapa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39</v>
      </c>
      <c r="H13" s="12" t="n">
        <v>-76.67</v>
      </c>
      <c r="I13" s="13" t="n">
        <v>7.77</v>
      </c>
      <c r="J13" s="14" t="n">
        <v>23.23348388017973</v>
      </c>
      <c r="K13" s="15" t="n">
        <v>23.42315757024885</v>
      </c>
      <c r="L13" s="15" t="n">
        <v>23.56839225990505</v>
      </c>
      <c r="M13" s="15" t="n">
        <v>23.97538021185485</v>
      </c>
      <c r="N13" s="15" t="n">
        <v>23.84045698924731</v>
      </c>
      <c r="O13" s="15" t="n">
        <v>23.29631256640587</v>
      </c>
      <c r="P13" s="15" t="n">
        <v>23.24394867624469</v>
      </c>
      <c r="Q13" s="15" t="n">
        <v>23.51538385754694</v>
      </c>
      <c r="R13" s="15" t="n">
        <v>23.35284215004521</v>
      </c>
      <c r="S13" s="15" t="n">
        <v>23.36190841006587</v>
      </c>
      <c r="T13" s="15" t="n">
        <v>23.2197518700967</v>
      </c>
      <c r="U13" s="15" t="n">
        <v>23.23853683877147</v>
      </c>
      <c r="V13" s="16" t="n">
        <v>23.43912960671771</v>
      </c>
      <c r="W13" s="17" t="n">
        <v>207</v>
      </c>
      <c r="X13" s="18" t="n">
        <v>0.8625</v>
      </c>
    </row>
    <row r="14" ht="13.9" customHeight="1">
      <c r="A14" s="10" t="n">
        <v>11025010</v>
      </c>
      <c r="B14" s="11" t="inlineStr">
        <is>
          <t>CO</t>
        </is>
      </c>
      <c r="C14" s="11" t="inlineStr">
        <is>
          <t xml:space="preserve">La Mansa </t>
        </is>
      </c>
      <c r="D14" s="11" t="inlineStr">
        <is>
          <t>Ciudad Bolívar</t>
        </is>
      </c>
      <c r="E14" s="11" t="inlineStr">
        <is>
          <t>Antioquia</t>
        </is>
      </c>
      <c r="F14" s="11" t="n">
        <v>1</v>
      </c>
      <c r="G14" s="11" t="n">
        <v>2018</v>
      </c>
      <c r="H14" s="12" t="n">
        <v>-76.08433332999999</v>
      </c>
      <c r="I14" s="13" t="n">
        <v>5.87830556</v>
      </c>
      <c r="J14" s="14" t="n">
        <v>13.09283993025307</v>
      </c>
      <c r="K14" s="15" t="n">
        <v>13.48190094171473</v>
      </c>
      <c r="L14" s="15" t="n">
        <v>13.59311258050784</v>
      </c>
      <c r="M14" s="15" t="n">
        <v>13.7991197964597</v>
      </c>
      <c r="N14" s="15" t="n">
        <v>13.84682369410842</v>
      </c>
      <c r="O14" s="15" t="n">
        <v>13.50945505016849</v>
      </c>
      <c r="P14" s="15" t="n">
        <v>13.08642339326126</v>
      </c>
      <c r="Q14" s="15" t="n">
        <v>12.97787788901248</v>
      </c>
      <c r="R14" s="15" t="n">
        <v>13.18774135099937</v>
      </c>
      <c r="S14" s="15" t="n">
        <v>13.22637992831541</v>
      </c>
      <c r="T14" s="15" t="n">
        <v>13.46837602627258</v>
      </c>
      <c r="U14" s="15" t="n">
        <v>13.44629575645992</v>
      </c>
      <c r="V14" s="16" t="n">
        <v>13.39302886146111</v>
      </c>
      <c r="W14" s="17" t="n">
        <v>346</v>
      </c>
      <c r="X14" s="18" t="n">
        <v>0.9611111111111111</v>
      </c>
    </row>
    <row r="15" ht="13.9" customHeight="1">
      <c r="A15" s="10" t="n">
        <v>26215010</v>
      </c>
      <c r="B15" s="11" t="inlineStr">
        <is>
          <t>CO</t>
        </is>
      </c>
      <c r="C15" s="11" t="inlineStr">
        <is>
          <t>Concordia</t>
        </is>
      </c>
      <c r="D15" s="11" t="inlineStr">
        <is>
          <t xml:space="preserve">Concordia </t>
        </is>
      </c>
      <c r="E15" s="11" t="inlineStr">
        <is>
          <t>Antioquia</t>
        </is>
      </c>
      <c r="F15" s="11" t="n">
        <v>1</v>
      </c>
      <c r="G15" s="11" t="n">
        <v>2032</v>
      </c>
      <c r="H15" s="12" t="n">
        <v>-75.91952778</v>
      </c>
      <c r="I15" s="13" t="n">
        <v>6.03955556</v>
      </c>
      <c r="J15" s="14" t="n">
        <v>14.5387233946728</v>
      </c>
      <c r="K15" s="15" t="n">
        <v>14.66319820919821</v>
      </c>
      <c r="L15" s="15" t="n">
        <v>14.69960808174738</v>
      </c>
      <c r="M15" s="15" t="n">
        <v>14.64590416644111</v>
      </c>
      <c r="N15" s="15" t="n">
        <v>14.67782256366795</v>
      </c>
      <c r="O15" s="15" t="n">
        <v>14.74965989238908</v>
      </c>
      <c r="P15" s="15" t="n">
        <v>14.59061390963504</v>
      </c>
      <c r="Q15" s="15" t="n">
        <v>14.52523923203233</v>
      </c>
      <c r="R15" s="15" t="n">
        <v>14.29997401434949</v>
      </c>
      <c r="S15" s="15" t="n">
        <v>14.26232861564341</v>
      </c>
      <c r="T15" s="15" t="n">
        <v>14.23358015202035</v>
      </c>
      <c r="U15" s="15" t="n">
        <v>14.40191765064334</v>
      </c>
      <c r="V15" s="16" t="n">
        <v>14.52404749020338</v>
      </c>
      <c r="W15" s="17" t="n">
        <v>317</v>
      </c>
      <c r="X15" s="18" t="n">
        <v>0.8805555555555555</v>
      </c>
    </row>
    <row r="16" ht="13.9" customHeight="1">
      <c r="A16" s="10" t="n">
        <v>26175040</v>
      </c>
      <c r="B16" s="11" t="inlineStr">
        <is>
          <t>CO</t>
        </is>
      </c>
      <c r="C16" s="11" t="inlineStr">
        <is>
          <t>Hacienda Tunez</t>
        </is>
      </c>
      <c r="D16" s="11" t="inlineStr">
        <is>
          <t>Fredonia</t>
        </is>
      </c>
      <c r="E16" s="11" t="inlineStr">
        <is>
          <t>Antioquia</t>
        </is>
      </c>
      <c r="F16" s="11" t="n">
        <v>1</v>
      </c>
      <c r="G16" s="11" t="n">
        <v>604</v>
      </c>
      <c r="H16" s="12" t="n">
        <v>-75.65097222000001</v>
      </c>
      <c r="I16" s="13" t="n">
        <v>5.80025</v>
      </c>
      <c r="J16" s="14" t="n">
        <v>19.4010211861811</v>
      </c>
      <c r="K16" s="15" t="n">
        <v>19.63839930503724</v>
      </c>
      <c r="L16" s="15" t="n">
        <v>20.10086666344247</v>
      </c>
      <c r="M16" s="15" t="n">
        <v>20.32446679438059</v>
      </c>
      <c r="N16" s="15" t="n">
        <v>20.33293778801843</v>
      </c>
      <c r="O16" s="15" t="n">
        <v>19.96115977725423</v>
      </c>
      <c r="P16" s="15" t="n">
        <v>19.58116233784754</v>
      </c>
      <c r="Q16" s="15" t="n">
        <v>19.43591941884281</v>
      </c>
      <c r="R16" s="15" t="n">
        <v>19.57690058079426</v>
      </c>
      <c r="S16" s="15" t="n">
        <v>19.80807508342603</v>
      </c>
      <c r="T16" s="15" t="n">
        <v>20.05299223073649</v>
      </c>
      <c r="U16" s="15" t="n">
        <v>19.77621211285727</v>
      </c>
      <c r="V16" s="16" t="n">
        <v>19.83250943990154</v>
      </c>
      <c r="W16" s="17" t="n">
        <v>286</v>
      </c>
      <c r="X16" s="18" t="n">
        <v>0.7944444444444444</v>
      </c>
    </row>
    <row r="17" ht="13.9" customHeight="1">
      <c r="A17" s="10" t="n">
        <v>11115040</v>
      </c>
      <c r="B17" s="11" t="inlineStr">
        <is>
          <t>CO</t>
        </is>
      </c>
      <c r="C17" s="11" t="inlineStr">
        <is>
          <t>Musinga</t>
        </is>
      </c>
      <c r="D17" s="11" t="inlineStr">
        <is>
          <t>Frontino</t>
        </is>
      </c>
      <c r="E17" s="11" t="inlineStr">
        <is>
          <t>Antioquia</t>
        </is>
      </c>
      <c r="F17" s="11" t="n">
        <v>1</v>
      </c>
      <c r="G17" s="11" t="n">
        <v>1396</v>
      </c>
      <c r="H17" s="12" t="n">
        <v>-76.20333332999999</v>
      </c>
      <c r="I17" s="13" t="n">
        <v>6.77797222</v>
      </c>
      <c r="J17" s="14" t="n">
        <v>15.08752531157068</v>
      </c>
      <c r="K17" s="15" t="n">
        <v>15.12819772379819</v>
      </c>
      <c r="L17" s="15" t="n">
        <v>15.44082574873377</v>
      </c>
      <c r="M17" s="15" t="n">
        <v>15.82605410443698</v>
      </c>
      <c r="N17" s="15" t="n">
        <v>15.92789395624768</v>
      </c>
      <c r="O17" s="15" t="n">
        <v>15.83232373034989</v>
      </c>
      <c r="P17" s="15" t="n">
        <v>15.55446650124069</v>
      </c>
      <c r="Q17" s="15" t="n">
        <v>15.50039534896464</v>
      </c>
      <c r="R17" s="15" t="n">
        <v>15.4702064813242</v>
      </c>
      <c r="S17" s="15" t="n">
        <v>15.31694133791613</v>
      </c>
      <c r="T17" s="15" t="n">
        <v>15.48125304342902</v>
      </c>
      <c r="U17" s="15" t="n">
        <v>15.37084145776927</v>
      </c>
      <c r="V17" s="16" t="n">
        <v>15.4947437288151</v>
      </c>
      <c r="W17" s="17" t="n">
        <v>343</v>
      </c>
      <c r="X17" s="18" t="n">
        <v>0.9527777777777777</v>
      </c>
    </row>
    <row r="18" ht="13.9" customHeight="1">
      <c r="A18" s="10" t="n">
        <v>26195030</v>
      </c>
      <c r="B18" s="11" t="inlineStr">
        <is>
          <t>CO</t>
        </is>
      </c>
      <c r="C18" s="11" t="inlineStr">
        <is>
          <t xml:space="preserve">El Jardín </t>
        </is>
      </c>
      <c r="D18" s="11" t="inlineStr">
        <is>
          <t>Jardín</t>
        </is>
      </c>
      <c r="E18" s="11" t="inlineStr">
        <is>
          <t>Antioquia</t>
        </is>
      </c>
      <c r="F18" s="11" t="n">
        <v>1</v>
      </c>
      <c r="G18" s="11" t="n">
        <v>2161</v>
      </c>
      <c r="H18" s="12" t="n">
        <v>-75.80055556000001</v>
      </c>
      <c r="I18" s="13" t="n">
        <v>5.58772222</v>
      </c>
      <c r="J18" s="14" t="n">
        <v>13.11933848517075</v>
      </c>
      <c r="K18" s="15" t="n">
        <v>13.34600533759982</v>
      </c>
      <c r="L18" s="15" t="n">
        <v>13.53329833147942</v>
      </c>
      <c r="M18" s="15" t="n">
        <v>13.69401394467601</v>
      </c>
      <c r="N18" s="15" t="n">
        <v>13.76180776259336</v>
      </c>
      <c r="O18" s="15" t="n">
        <v>13.4513929939792</v>
      </c>
      <c r="P18" s="15" t="n">
        <v>13.06544980965739</v>
      </c>
      <c r="Q18" s="15" t="n">
        <v>13.03569060419867</v>
      </c>
      <c r="R18" s="15" t="n">
        <v>13.09128032620849</v>
      </c>
      <c r="S18" s="15" t="n">
        <v>13.12014835388245</v>
      </c>
      <c r="T18" s="15" t="n">
        <v>13.28901149425287</v>
      </c>
      <c r="U18" s="15" t="n">
        <v>13.28235271172887</v>
      </c>
      <c r="V18" s="16" t="n">
        <v>13.3158158462856</v>
      </c>
      <c r="W18" s="17" t="n">
        <v>289</v>
      </c>
      <c r="X18" s="18" t="n">
        <v>0.8027777777777778</v>
      </c>
    </row>
    <row r="19" ht="13.9" customHeight="1">
      <c r="A19" s="10" t="n">
        <v>26185020</v>
      </c>
      <c r="B19" s="11" t="inlineStr">
        <is>
          <t>CO</t>
        </is>
      </c>
      <c r="C19" s="11" t="inlineStr">
        <is>
          <t>Mesopotamia</t>
        </is>
      </c>
      <c r="D19" s="11" t="inlineStr">
        <is>
          <t xml:space="preserve">La Unión </t>
        </is>
      </c>
      <c r="E19" s="11" t="inlineStr">
        <is>
          <t>Antioquia</t>
        </is>
      </c>
      <c r="F19" s="11" t="n">
        <v>1</v>
      </c>
      <c r="G19" s="11" t="n">
        <v>2408</v>
      </c>
      <c r="H19" s="12" t="n">
        <v>-75.31863889</v>
      </c>
      <c r="I19" s="13" t="n">
        <v>5.88636111</v>
      </c>
      <c r="J19" s="14" t="n">
        <v>9.639451242120876</v>
      </c>
      <c r="K19" s="15" t="n">
        <v>9.998856551472485</v>
      </c>
      <c r="L19" s="15" t="n">
        <v>10.23607341490545</v>
      </c>
      <c r="M19" s="15" t="n">
        <v>10.3192191835117</v>
      </c>
      <c r="N19" s="15" t="n">
        <v>10.45509084167594</v>
      </c>
      <c r="O19" s="15" t="n">
        <v>9.782699167657555</v>
      </c>
      <c r="P19" s="15" t="n">
        <v>9.334976958525345</v>
      </c>
      <c r="Q19" s="15" t="n">
        <v>9.460302905029993</v>
      </c>
      <c r="R19" s="15" t="n">
        <v>9.863147047166073</v>
      </c>
      <c r="S19" s="15" t="n">
        <v>9.948045977011496</v>
      </c>
      <c r="T19" s="15" t="n">
        <v>10.0772637449748</v>
      </c>
      <c r="U19" s="15" t="n">
        <v>9.780912124582873</v>
      </c>
      <c r="V19" s="16" t="n">
        <v>9.908003263219548</v>
      </c>
      <c r="W19" s="17" t="n">
        <v>347</v>
      </c>
      <c r="X19" s="18" t="n">
        <v>0.9638888888888889</v>
      </c>
    </row>
    <row r="20" ht="13.9" customHeight="1">
      <c r="A20" s="20" t="n">
        <v>27015330</v>
      </c>
      <c r="B20" s="11" t="inlineStr">
        <is>
          <t>SP</t>
        </is>
      </c>
      <c r="C20" s="11" t="inlineStr">
        <is>
          <t xml:space="preserve">Aeropuerto Olaya Herrera - AUT </t>
        </is>
      </c>
      <c r="D20" s="11" t="inlineStr">
        <is>
          <t>Medellín</t>
        </is>
      </c>
      <c r="E20" s="11" t="inlineStr">
        <is>
          <t>Antioquia</t>
        </is>
      </c>
      <c r="F20" s="11" t="n">
        <v>1</v>
      </c>
      <c r="G20" s="11" t="n">
        <v>1490</v>
      </c>
      <c r="H20" s="12" t="n">
        <v>-75.59</v>
      </c>
      <c r="I20" s="13" t="n">
        <v>6.22</v>
      </c>
      <c r="J20" s="14" t="n">
        <v>17.50000741564701</v>
      </c>
      <c r="K20" s="15" t="n">
        <v>17.80640315447093</v>
      </c>
      <c r="L20" s="15" t="n">
        <v>17.95293288839451</v>
      </c>
      <c r="M20" s="15" t="n">
        <v>17.93206114733463</v>
      </c>
      <c r="N20" s="15" t="n">
        <v>17.93025583982202</v>
      </c>
      <c r="O20" s="15" t="n">
        <v>17.69818866428855</v>
      </c>
      <c r="P20" s="15" t="n">
        <v>17.48384501297738</v>
      </c>
      <c r="Q20" s="15" t="n">
        <v>17.58853046594982</v>
      </c>
      <c r="R20" s="15" t="n">
        <v>17.48153256704981</v>
      </c>
      <c r="S20" s="15" t="n">
        <v>17.42027003183614</v>
      </c>
      <c r="T20" s="15" t="n">
        <v>17.55502972651605</v>
      </c>
      <c r="U20" s="15" t="n">
        <v>17.6117582754785</v>
      </c>
      <c r="V20" s="16" t="n">
        <v>17.66340126581378</v>
      </c>
      <c r="W20" s="17" t="n">
        <v>344</v>
      </c>
      <c r="X20" s="18" t="n">
        <v>0.9555555555555556</v>
      </c>
    </row>
    <row r="21" ht="13.9" customHeight="1">
      <c r="A21" s="10" t="n">
        <v>12015010</v>
      </c>
      <c r="B21" s="11" t="inlineStr">
        <is>
          <t>CO</t>
        </is>
      </c>
      <c r="C21" s="11" t="inlineStr">
        <is>
          <t>Villarteaga</t>
        </is>
      </c>
      <c r="D21" s="11" t="inlineStr">
        <is>
          <t>Mutatá</t>
        </is>
      </c>
      <c r="E21" s="11" t="inlineStr">
        <is>
          <t>Antioquia</t>
        </is>
      </c>
      <c r="F21" s="11" t="n">
        <v>1</v>
      </c>
      <c r="G21" s="11" t="n">
        <v>132</v>
      </c>
      <c r="H21" s="12" t="n">
        <v>-76.48602778</v>
      </c>
      <c r="I21" s="13" t="n">
        <v>7.33466667</v>
      </c>
      <c r="J21" s="14" t="n">
        <v>22.61219168989778</v>
      </c>
      <c r="K21" s="15" t="n">
        <v>22.60336566725456</v>
      </c>
      <c r="L21" s="15" t="n">
        <v>22.70162892468541</v>
      </c>
      <c r="M21" s="15" t="n">
        <v>22.94704676762148</v>
      </c>
      <c r="N21" s="15" t="n">
        <v>22.88656027201077</v>
      </c>
      <c r="O21" s="15" t="n">
        <v>22.70843824119686</v>
      </c>
      <c r="P21" s="15" t="n">
        <v>22.49304659498208</v>
      </c>
      <c r="Q21" s="15" t="n">
        <v>22.48250430107527</v>
      </c>
      <c r="R21" s="15" t="n">
        <v>22.62677635582808</v>
      </c>
      <c r="S21" s="15" t="n">
        <v>22.35393070489845</v>
      </c>
      <c r="T21" s="15" t="n">
        <v>22.46555658678597</v>
      </c>
      <c r="U21" s="15" t="n">
        <v>22.58563236047107</v>
      </c>
      <c r="V21" s="16" t="n">
        <v>22.62222320555898</v>
      </c>
      <c r="W21" s="17" t="n">
        <v>108</v>
      </c>
      <c r="X21" s="18" t="n">
        <v>0.9</v>
      </c>
    </row>
    <row r="22" ht="13.9" customHeight="1">
      <c r="A22" s="10" t="n">
        <v>12025030</v>
      </c>
      <c r="B22" s="11" t="inlineStr">
        <is>
          <t>CO</t>
        </is>
      </c>
      <c r="C22" s="11" t="inlineStr">
        <is>
          <t xml:space="preserve">El Mellito </t>
        </is>
      </c>
      <c r="D22" s="11" t="inlineStr">
        <is>
          <t>Necoclí</t>
        </is>
      </c>
      <c r="E22" s="11" t="inlineStr">
        <is>
          <t>Antioquia</t>
        </is>
      </c>
      <c r="F22" s="11" t="n">
        <v>1</v>
      </c>
      <c r="G22" s="11" t="n">
        <v>54</v>
      </c>
      <c r="H22" s="12" t="n">
        <v>-76.67336111</v>
      </c>
      <c r="I22" s="13" t="n">
        <v>8.542666670000001</v>
      </c>
      <c r="J22" s="14" t="n">
        <v>23.23819875660391</v>
      </c>
      <c r="K22" s="15" t="n">
        <v>23.64082355422356</v>
      </c>
      <c r="L22" s="15" t="n">
        <v>24.28232670248423</v>
      </c>
      <c r="M22" s="15" t="n">
        <v>24.51878713118512</v>
      </c>
      <c r="N22" s="15" t="n">
        <v>24.1826993592772</v>
      </c>
      <c r="O22" s="15" t="n">
        <v>23.83492708317572</v>
      </c>
      <c r="P22" s="15" t="n">
        <v>23.5851940821597</v>
      </c>
      <c r="Q22" s="15" t="n">
        <v>23.51044146518865</v>
      </c>
      <c r="R22" s="15" t="n">
        <v>23.51069654143218</v>
      </c>
      <c r="S22" s="15" t="n">
        <v>23.56278101967108</v>
      </c>
      <c r="T22" s="15" t="n">
        <v>23.49348717780304</v>
      </c>
      <c r="U22" s="15" t="n">
        <v>23.38451969038375</v>
      </c>
      <c r="V22" s="16" t="n">
        <v>23.72874021363235</v>
      </c>
      <c r="W22" s="17" t="n">
        <v>290</v>
      </c>
      <c r="X22" s="18" t="n">
        <v>0.8055555555555556</v>
      </c>
    </row>
    <row r="23" ht="13.9" customHeight="1">
      <c r="A23" s="10" t="n">
        <v>23085110</v>
      </c>
      <c r="B23" s="11" t="inlineStr">
        <is>
          <t>CO</t>
        </is>
      </c>
      <c r="C23" s="11" t="inlineStr">
        <is>
          <t>El Peñol</t>
        </is>
      </c>
      <c r="D23" s="11" t="inlineStr">
        <is>
          <t>Peñol</t>
        </is>
      </c>
      <c r="E23" s="11" t="inlineStr">
        <is>
          <t>Antioquia</t>
        </is>
      </c>
      <c r="F23" s="11" t="n">
        <v>1</v>
      </c>
      <c r="G23" s="11" t="n">
        <v>2022</v>
      </c>
      <c r="H23" s="12" t="n">
        <v>-75.24138889</v>
      </c>
      <c r="I23" s="13" t="n">
        <v>6.2138889</v>
      </c>
      <c r="J23" s="14" t="n">
        <v>13.01710530694123</v>
      </c>
      <c r="K23" s="15" t="n">
        <v>13.23112467421845</v>
      </c>
      <c r="L23" s="15" t="n">
        <v>13.34697946308864</v>
      </c>
      <c r="M23" s="15" t="n">
        <v>13.4083080852736</v>
      </c>
      <c r="N23" s="15" t="n">
        <v>13.74427629813437</v>
      </c>
      <c r="O23" s="15" t="n">
        <v>13.46206094043888</v>
      </c>
      <c r="P23" s="15" t="n">
        <v>13.25344086021505</v>
      </c>
      <c r="Q23" s="15" t="n">
        <v>13.2928973207542</v>
      </c>
      <c r="R23" s="15" t="n">
        <v>13.05107074438971</v>
      </c>
      <c r="S23" s="15" t="n">
        <v>13.09084501214612</v>
      </c>
      <c r="T23" s="15" t="n">
        <v>13.21643397470984</v>
      </c>
      <c r="U23" s="15" t="n">
        <v>13.15893616363861</v>
      </c>
      <c r="V23" s="16" t="n">
        <v>13.27278990366239</v>
      </c>
      <c r="W23" s="17" t="n">
        <v>302</v>
      </c>
      <c r="X23" s="18" t="n">
        <v>0.8388888888888889</v>
      </c>
    </row>
    <row r="24" ht="13.9" customHeight="1">
      <c r="A24" s="10" t="n">
        <v>23095010</v>
      </c>
      <c r="B24" s="11" t="inlineStr">
        <is>
          <t>CP</t>
        </is>
      </c>
      <c r="C24" s="11" t="inlineStr">
        <is>
          <t>Aeropuerto Puerto Berrío</t>
        </is>
      </c>
      <c r="D24" s="11" t="inlineStr">
        <is>
          <t>Puerto Berrío</t>
        </is>
      </c>
      <c r="E24" s="11" t="inlineStr">
        <is>
          <t>Antioquia</t>
        </is>
      </c>
      <c r="F24" s="11" t="n">
        <v>8</v>
      </c>
      <c r="G24" s="11" t="n">
        <v>150</v>
      </c>
      <c r="H24" s="12" t="n">
        <v>-74.41222222</v>
      </c>
      <c r="I24" s="13" t="n">
        <v>6.465</v>
      </c>
      <c r="J24" s="14" t="n">
        <v>23.10973240108057</v>
      </c>
      <c r="K24" s="15" t="n">
        <v>23.35714855865718</v>
      </c>
      <c r="L24" s="15" t="n">
        <v>23.4744623655914</v>
      </c>
      <c r="M24" s="15" t="n">
        <v>23.43824561403509</v>
      </c>
      <c r="N24" s="15" t="n">
        <v>23.44559139784946</v>
      </c>
      <c r="O24" s="15" t="n">
        <v>23.24505142165759</v>
      </c>
      <c r="P24" s="15" t="n">
        <v>22.96518518518518</v>
      </c>
      <c r="Q24" s="15" t="n">
        <v>22.85703413149113</v>
      </c>
      <c r="R24" s="15" t="n">
        <v>22.76201642036125</v>
      </c>
      <c r="S24" s="15" t="n">
        <v>22.89644493882091</v>
      </c>
      <c r="T24" s="15" t="n">
        <v>23.18157579329993</v>
      </c>
      <c r="U24" s="15" t="n">
        <v>23.38576105137395</v>
      </c>
      <c r="V24" s="16" t="n">
        <v>23.17652077328364</v>
      </c>
      <c r="W24" s="17" t="n">
        <v>233</v>
      </c>
      <c r="X24" s="18" t="n">
        <v>0.9708333333333333</v>
      </c>
    </row>
    <row r="25" ht="13.9" customHeight="1">
      <c r="A25" s="10" t="n">
        <v>23175020</v>
      </c>
      <c r="B25" s="11" t="inlineStr">
        <is>
          <t>CO</t>
        </is>
      </c>
      <c r="C25" s="11" t="inlineStr">
        <is>
          <t>Aeropuerto Otú</t>
        </is>
      </c>
      <c r="D25" s="11" t="inlineStr">
        <is>
          <t>Remedios</t>
        </is>
      </c>
      <c r="E25" s="11" t="inlineStr">
        <is>
          <t>Antioquia</t>
        </is>
      </c>
      <c r="F25" s="11" t="n">
        <v>1</v>
      </c>
      <c r="G25" s="11" t="n">
        <v>643</v>
      </c>
      <c r="H25" s="12" t="n">
        <v>-74.71630556000001</v>
      </c>
      <c r="I25" s="13" t="n">
        <v>7.01175</v>
      </c>
      <c r="J25" s="14" t="n">
        <v>19.96879480881168</v>
      </c>
      <c r="K25" s="15" t="n">
        <v>20.09824174331673</v>
      </c>
      <c r="L25" s="15" t="n">
        <v>20.1963764214247</v>
      </c>
      <c r="M25" s="15" t="n">
        <v>20.30222266192012</v>
      </c>
      <c r="N25" s="15" t="n">
        <v>20.25026971571198</v>
      </c>
      <c r="O25" s="15" t="n">
        <v>19.95147326623823</v>
      </c>
      <c r="P25" s="15" t="n">
        <v>19.75765290493711</v>
      </c>
      <c r="Q25" s="15" t="n">
        <v>19.84207820198917</v>
      </c>
      <c r="R25" s="15" t="n">
        <v>19.77825759734093</v>
      </c>
      <c r="S25" s="15" t="n">
        <v>19.9022509558245</v>
      </c>
      <c r="T25" s="15" t="n">
        <v>20.04965386558623</v>
      </c>
      <c r="U25" s="15" t="n">
        <v>19.95251852840605</v>
      </c>
      <c r="V25" s="16" t="n">
        <v>20.00414922262562</v>
      </c>
      <c r="W25" s="17" t="n">
        <v>293</v>
      </c>
      <c r="X25" s="18" t="n">
        <v>0.8138888888888889</v>
      </c>
    </row>
    <row r="26" ht="13.9" customHeight="1">
      <c r="A26" s="10" t="n">
        <v>23085270</v>
      </c>
      <c r="B26" s="11" t="inlineStr">
        <is>
          <t>SP</t>
        </is>
      </c>
      <c r="C26" s="11" t="inlineStr">
        <is>
          <t xml:space="preserve">Aeropuerto José María Córdova - AUT </t>
        </is>
      </c>
      <c r="D26" s="11" t="inlineStr">
        <is>
          <t xml:space="preserve">Rionegro </t>
        </is>
      </c>
      <c r="E26" s="11" t="inlineStr">
        <is>
          <t>Antioquia</t>
        </is>
      </c>
      <c r="F26" s="11" t="n">
        <v>1</v>
      </c>
      <c r="G26" s="11" t="n">
        <v>2157</v>
      </c>
      <c r="H26" s="12" t="n">
        <v>-75.43000000000001</v>
      </c>
      <c r="I26" s="13" t="n">
        <v>6.17</v>
      </c>
      <c r="J26" s="14" t="n">
        <v>12.43654121863799</v>
      </c>
      <c r="K26" s="15" t="n">
        <v>12.76102216748768</v>
      </c>
      <c r="L26" s="15" t="n">
        <v>12.9314623655914</v>
      </c>
      <c r="M26" s="15" t="n">
        <v>13.22992337164751</v>
      </c>
      <c r="N26" s="15" t="n">
        <v>13.28040071684588</v>
      </c>
      <c r="O26" s="15" t="n">
        <v>12.62459770114943</v>
      </c>
      <c r="P26" s="15" t="n">
        <v>12.07893548387097</v>
      </c>
      <c r="Q26" s="15" t="n">
        <v>12.11288468668891</v>
      </c>
      <c r="R26" s="15" t="n">
        <v>12.49988109393579</v>
      </c>
      <c r="S26" s="15" t="n">
        <v>12.68178853046595</v>
      </c>
      <c r="T26" s="15" t="n">
        <v>12.90945812807882</v>
      </c>
      <c r="U26" s="15" t="n">
        <v>12.72505005561735</v>
      </c>
      <c r="V26" s="16" t="n">
        <v>12.68932879333481</v>
      </c>
      <c r="W26" s="17" t="n">
        <v>354</v>
      </c>
      <c r="X26" s="18" t="n">
        <v>0.9833333333333333</v>
      </c>
    </row>
    <row r="27" ht="13.9" customHeight="1">
      <c r="A27" s="10" t="n">
        <v>23085260</v>
      </c>
      <c r="B27" s="11" t="inlineStr">
        <is>
          <t>AM</t>
        </is>
      </c>
      <c r="C27" s="11" t="inlineStr">
        <is>
          <t xml:space="preserve">La Selva - AUT </t>
        </is>
      </c>
      <c r="D27" s="11" t="inlineStr">
        <is>
          <t xml:space="preserve">Rionegro </t>
        </is>
      </c>
      <c r="E27" s="11" t="inlineStr">
        <is>
          <t>Antioquia</t>
        </is>
      </c>
      <c r="F27" s="11" t="n">
        <v>1</v>
      </c>
      <c r="G27" s="11" t="n">
        <v>2125</v>
      </c>
      <c r="H27" s="12" t="n">
        <v>-75.41455556000001</v>
      </c>
      <c r="I27" s="13" t="n">
        <v>6.13191667</v>
      </c>
      <c r="J27" s="14" t="n">
        <v>12.25947944109439</v>
      </c>
      <c r="K27" s="15" t="n">
        <v>12.48032495520527</v>
      </c>
      <c r="L27" s="15" t="n">
        <v>12.79103294825676</v>
      </c>
      <c r="M27" s="15" t="n">
        <v>13.13571167987435</v>
      </c>
      <c r="N27" s="15" t="n">
        <v>13.06735953594006</v>
      </c>
      <c r="O27" s="15" t="n">
        <v>12.27816574565281</v>
      </c>
      <c r="P27" s="15" t="n">
        <v>11.68336852513188</v>
      </c>
      <c r="Q27" s="15" t="n">
        <v>11.59115225494214</v>
      </c>
      <c r="R27" s="15" t="n">
        <v>12.26197069307227</v>
      </c>
      <c r="S27" s="15" t="n">
        <v>12.58391215193283</v>
      </c>
      <c r="T27" s="15" t="n">
        <v>12.81548153466484</v>
      </c>
      <c r="U27" s="15" t="n">
        <v>12.69876331850514</v>
      </c>
      <c r="V27" s="16" t="n">
        <v>12.47056023202273</v>
      </c>
      <c r="W27" s="17" t="n">
        <v>228</v>
      </c>
      <c r="X27" s="18" t="n">
        <v>0.95</v>
      </c>
    </row>
    <row r="28" ht="13.9" customHeight="1">
      <c r="A28" s="10" t="n">
        <v>23085220</v>
      </c>
      <c r="B28" s="11" t="inlineStr">
        <is>
          <t>CP</t>
        </is>
      </c>
      <c r="C28" s="11" t="inlineStr">
        <is>
          <t>San Carlos</t>
        </is>
      </c>
      <c r="D28" s="11" t="inlineStr">
        <is>
          <t xml:space="preserve">San Carlos </t>
        </is>
      </c>
      <c r="E28" s="11" t="inlineStr">
        <is>
          <t>Antioquia</t>
        </is>
      </c>
      <c r="F28" s="11" t="n">
        <v>1</v>
      </c>
      <c r="G28" s="11" t="n">
        <v>1113</v>
      </c>
      <c r="H28" s="12" t="n">
        <v>-75.03891666999999</v>
      </c>
      <c r="I28" s="13" t="n">
        <v>6.15766667</v>
      </c>
      <c r="J28" s="14" t="n">
        <v>17.19595799908972</v>
      </c>
      <c r="K28" s="15" t="n">
        <v>17.31799372657993</v>
      </c>
      <c r="L28" s="15" t="n">
        <v>17.40635295831347</v>
      </c>
      <c r="M28" s="15" t="n">
        <v>17.54414463054187</v>
      </c>
      <c r="N28" s="15" t="n">
        <v>17.45163952585919</v>
      </c>
      <c r="O28" s="15" t="n">
        <v>17.33127358567359</v>
      </c>
      <c r="P28" s="15" t="n">
        <v>17.15169679302693</v>
      </c>
      <c r="Q28" s="15" t="n">
        <v>17.04478795016214</v>
      </c>
      <c r="R28" s="15" t="n">
        <v>16.95155993431855</v>
      </c>
      <c r="S28" s="15" t="n">
        <v>17.02685764164768</v>
      </c>
      <c r="T28" s="15" t="n">
        <v>17.11437146506112</v>
      </c>
      <c r="U28" s="15" t="n">
        <v>17.16270860627034</v>
      </c>
      <c r="V28" s="16" t="n">
        <v>17.22494540137871</v>
      </c>
      <c r="W28" s="17" t="n">
        <v>296</v>
      </c>
      <c r="X28" s="18" t="n">
        <v>0.8222222222222222</v>
      </c>
    </row>
    <row r="29" ht="13.9" customHeight="1">
      <c r="A29" s="10" t="n">
        <v>23085140</v>
      </c>
      <c r="B29" s="11" t="inlineStr">
        <is>
          <t>CO</t>
        </is>
      </c>
      <c r="C29" s="11" t="inlineStr">
        <is>
          <t>San Francisco</t>
        </is>
      </c>
      <c r="D29" s="11" t="inlineStr">
        <is>
          <t xml:space="preserve">San Francisco </t>
        </is>
      </c>
      <c r="E29" s="11" t="inlineStr">
        <is>
          <t>Antioquia</t>
        </is>
      </c>
      <c r="F29" s="11" t="n">
        <v>1</v>
      </c>
      <c r="G29" s="11" t="n">
        <v>1325</v>
      </c>
      <c r="H29" s="12" t="n">
        <v>-75.10069444</v>
      </c>
      <c r="I29" s="13" t="n">
        <v>5.96380556</v>
      </c>
      <c r="J29" s="14" t="n">
        <v>17.43738873881032</v>
      </c>
      <c r="K29" s="15" t="n">
        <v>17.64325491288356</v>
      </c>
      <c r="L29" s="15" t="n">
        <v>17.58598964254137</v>
      </c>
      <c r="M29" s="15" t="n">
        <v>17.54730669585842</v>
      </c>
      <c r="N29" s="15" t="n">
        <v>17.627966537298</v>
      </c>
      <c r="O29" s="15" t="n">
        <v>17.58239571719137</v>
      </c>
      <c r="P29" s="15" t="n">
        <v>17.30388921225242</v>
      </c>
      <c r="Q29" s="15" t="n">
        <v>17.2009115948938</v>
      </c>
      <c r="R29" s="15" t="n">
        <v>17.13369154047315</v>
      </c>
      <c r="S29" s="15" t="n">
        <v>17.03968447295848</v>
      </c>
      <c r="T29" s="15" t="n">
        <v>17.27282225933568</v>
      </c>
      <c r="U29" s="15" t="n">
        <v>17.41532612548742</v>
      </c>
      <c r="V29" s="16" t="n">
        <v>17.39921895416533</v>
      </c>
      <c r="W29" s="17" t="n">
        <v>320</v>
      </c>
      <c r="X29" s="18" t="n">
        <v>0.8888888888888888</v>
      </c>
    </row>
    <row r="30" ht="13.9" customHeight="1">
      <c r="A30" s="10" t="n">
        <v>23085210</v>
      </c>
      <c r="B30" s="11" t="inlineStr">
        <is>
          <t>CP</t>
        </is>
      </c>
      <c r="C30" s="11" t="inlineStr">
        <is>
          <t xml:space="preserve">Las Violetas </t>
        </is>
      </c>
      <c r="D30" s="11" t="inlineStr">
        <is>
          <t>San Rafael</t>
        </is>
      </c>
      <c r="E30" s="11" t="inlineStr">
        <is>
          <t>Antioquia</t>
        </is>
      </c>
      <c r="F30" s="11" t="n">
        <v>1</v>
      </c>
      <c r="G30" s="11" t="n">
        <v>1016</v>
      </c>
      <c r="H30" s="12" t="n">
        <v>-75.00277778</v>
      </c>
      <c r="I30" s="13" t="n">
        <v>6.34888889</v>
      </c>
      <c r="J30" s="14" t="n">
        <v>17.59379031696273</v>
      </c>
      <c r="K30" s="15" t="n">
        <v>17.86364105163535</v>
      </c>
      <c r="L30" s="15" t="n">
        <v>18.12831085275988</v>
      </c>
      <c r="M30" s="15" t="n">
        <v>18.42541523163937</v>
      </c>
      <c r="N30" s="15" t="n">
        <v>18.4191210852366</v>
      </c>
      <c r="O30" s="15" t="n">
        <v>17.95936809741982</v>
      </c>
      <c r="P30" s="15" t="n">
        <v>17.38384182615061</v>
      </c>
      <c r="Q30" s="15" t="n">
        <v>17.14750407272042</v>
      </c>
      <c r="R30" s="15" t="n">
        <v>17.8160553366174</v>
      </c>
      <c r="S30" s="15" t="n">
        <v>18.10844634347786</v>
      </c>
      <c r="T30" s="15" t="n">
        <v>18.29747837985769</v>
      </c>
      <c r="U30" s="15" t="n">
        <v>18.06712674916234</v>
      </c>
      <c r="V30" s="16" t="n">
        <v>17.93417494530334</v>
      </c>
      <c r="W30" s="17" t="n">
        <v>116</v>
      </c>
      <c r="X30" s="18" t="n">
        <v>0.9666666666666667</v>
      </c>
    </row>
    <row r="31" ht="13.9" customHeight="1">
      <c r="A31" s="10" t="n">
        <v>23085080</v>
      </c>
      <c r="B31" s="11" t="inlineStr">
        <is>
          <t>CP</t>
        </is>
      </c>
      <c r="C31" s="11" t="inlineStr">
        <is>
          <t>Granja Experiomental El Nus - AUT</t>
        </is>
      </c>
      <c r="D31" s="11" t="inlineStr">
        <is>
          <t>San Roque</t>
        </is>
      </c>
      <c r="E31" s="11" t="inlineStr">
        <is>
          <t>Antioquia</t>
        </is>
      </c>
      <c r="F31" s="11" t="n">
        <v>1</v>
      </c>
      <c r="G31" s="11" t="n">
        <v>859</v>
      </c>
      <c r="H31" s="12" t="n">
        <v>-74.83669444</v>
      </c>
      <c r="I31" s="13" t="n">
        <v>6.48358333</v>
      </c>
      <c r="J31" s="14" t="n">
        <v>18.11130295272231</v>
      </c>
      <c r="K31" s="15" t="n">
        <v>18.33720081923324</v>
      </c>
      <c r="L31" s="15" t="n">
        <v>18.4741935483871</v>
      </c>
      <c r="M31" s="15" t="n">
        <v>18.72756658978881</v>
      </c>
      <c r="N31" s="15" t="n">
        <v>19.05311827956989</v>
      </c>
      <c r="O31" s="15" t="n">
        <v>19.02992816091954</v>
      </c>
      <c r="P31" s="15" t="n">
        <v>18.15666295884316</v>
      </c>
      <c r="Q31" s="15" t="n">
        <v>18.36653225806452</v>
      </c>
      <c r="R31" s="15" t="n">
        <v>18.62827586206897</v>
      </c>
      <c r="S31" s="15" t="n">
        <v>18.69663041239237</v>
      </c>
      <c r="T31" s="15" t="n">
        <v>18.95925459668755</v>
      </c>
      <c r="U31" s="15" t="n">
        <v>18.83943548387096</v>
      </c>
      <c r="V31" s="16" t="n">
        <v>18.6150084935457</v>
      </c>
      <c r="W31" s="17" t="n">
        <v>103</v>
      </c>
      <c r="X31" s="18" t="n">
        <v>0.8583333333333333</v>
      </c>
    </row>
    <row r="32" ht="13.9" customHeight="1">
      <c r="A32" s="10" t="n">
        <v>23085160</v>
      </c>
      <c r="B32" s="11" t="inlineStr">
        <is>
          <t>CO</t>
        </is>
      </c>
      <c r="C32" s="11" t="inlineStr">
        <is>
          <t>Corrientes</t>
        </is>
      </c>
      <c r="D32" s="11" t="inlineStr">
        <is>
          <t>San Vicente</t>
        </is>
      </c>
      <c r="E32" s="11" t="inlineStr">
        <is>
          <t>Antioquia</t>
        </is>
      </c>
      <c r="F32" s="11" t="n">
        <v>1</v>
      </c>
      <c r="G32" s="11" t="n">
        <v>1965</v>
      </c>
      <c r="H32" s="12" t="n">
        <v>-75.25355556000001</v>
      </c>
      <c r="I32" s="13" t="n">
        <v>6.31194444</v>
      </c>
      <c r="J32" s="14" t="n">
        <v>11.99389294983845</v>
      </c>
      <c r="K32" s="15" t="n">
        <v>12.18312668940255</v>
      </c>
      <c r="L32" s="15" t="n">
        <v>12.70794446211138</v>
      </c>
      <c r="M32" s="15" t="n">
        <v>13.14452265167782</v>
      </c>
      <c r="N32" s="15" t="n">
        <v>13.34739366322097</v>
      </c>
      <c r="O32" s="15" t="n">
        <v>12.64672589809084</v>
      </c>
      <c r="P32" s="15" t="n">
        <v>12.11643461871215</v>
      </c>
      <c r="Q32" s="15" t="n">
        <v>12.25528144334689</v>
      </c>
      <c r="R32" s="15" t="n">
        <v>12.72721656949303</v>
      </c>
      <c r="S32" s="15" t="n">
        <v>12.98583186509861</v>
      </c>
      <c r="T32" s="15" t="n">
        <v>12.99615702244116</v>
      </c>
      <c r="U32" s="15" t="n">
        <v>12.47575201605546</v>
      </c>
      <c r="V32" s="16" t="n">
        <v>12.63168998745744</v>
      </c>
      <c r="W32" s="17" t="n">
        <v>294</v>
      </c>
      <c r="X32" s="18" t="n">
        <v>0.8166666666666667</v>
      </c>
    </row>
    <row r="33" ht="13.9" customHeight="1">
      <c r="A33" s="10" t="n">
        <v>26225030</v>
      </c>
      <c r="B33" s="11" t="inlineStr">
        <is>
          <t>AM</t>
        </is>
      </c>
      <c r="C33" s="11" t="inlineStr">
        <is>
          <t xml:space="preserve">Hacienda Cotove </t>
        </is>
      </c>
      <c r="D33" s="11" t="inlineStr">
        <is>
          <t>Santa Fe de Antioquia</t>
        </is>
      </c>
      <c r="E33" s="11" t="inlineStr">
        <is>
          <t>Antioquia</t>
        </is>
      </c>
      <c r="F33" s="11" t="n">
        <v>1</v>
      </c>
      <c r="G33" s="11" t="n">
        <v>534</v>
      </c>
      <c r="H33" s="12" t="n">
        <v>-75.82733332999999</v>
      </c>
      <c r="I33" s="13" t="n">
        <v>6.53391667</v>
      </c>
      <c r="J33" s="14" t="n">
        <v>20.3690797952176</v>
      </c>
      <c r="K33" s="15" t="n">
        <v>21.22880231618013</v>
      </c>
      <c r="L33" s="15" t="n">
        <v>21.43319368222589</v>
      </c>
      <c r="M33" s="15" t="n">
        <v>21.87086363974958</v>
      </c>
      <c r="N33" s="15" t="n">
        <v>21.75787697981886</v>
      </c>
      <c r="O33" s="15" t="n">
        <v>21.48455624090682</v>
      </c>
      <c r="P33" s="15" t="n">
        <v>21.16764921701981</v>
      </c>
      <c r="Q33" s="15" t="n">
        <v>21.15693311631127</v>
      </c>
      <c r="R33" s="15" t="n">
        <v>20.98875614500443</v>
      </c>
      <c r="S33" s="15" t="n">
        <v>21.17106738770129</v>
      </c>
      <c r="T33" s="15" t="n">
        <v>21.0241076521005</v>
      </c>
      <c r="U33" s="15" t="n">
        <v>20.75168180459529</v>
      </c>
      <c r="V33" s="16" t="n">
        <v>21.20038066473596</v>
      </c>
      <c r="W33" s="17" t="n">
        <v>305</v>
      </c>
      <c r="X33" s="18" t="n">
        <v>0.8472222222222222</v>
      </c>
    </row>
    <row r="34" ht="13.9" customHeight="1">
      <c r="A34" s="10" t="n">
        <v>27015110</v>
      </c>
      <c r="B34" s="35" t="inlineStr">
        <is>
          <t>CO</t>
        </is>
      </c>
      <c r="C34" s="35" t="inlineStr">
        <is>
          <t>Aragón</t>
        </is>
      </c>
      <c r="D34" s="35" t="inlineStr">
        <is>
          <t>Santa Rosa de Osos</t>
        </is>
      </c>
      <c r="E34" s="21" t="inlineStr">
        <is>
          <t>Antioquia</t>
        </is>
      </c>
      <c r="F34" s="35" t="n">
        <v>1</v>
      </c>
      <c r="G34" s="35" t="n">
        <v>2652</v>
      </c>
      <c r="H34" s="36" t="n">
        <v>-75.55571917</v>
      </c>
      <c r="I34" s="37" t="n">
        <v>6.78006389</v>
      </c>
      <c r="J34" s="22" t="n">
        <v>6.391249536522062</v>
      </c>
      <c r="K34" s="23" t="n">
        <v>6.50806678705146</v>
      </c>
      <c r="L34" s="23" t="n">
        <v>7.409310344827585</v>
      </c>
      <c r="M34" s="23" t="n">
        <v>8.615205710636745</v>
      </c>
      <c r="N34" s="23" t="n">
        <v>9.054489597495159</v>
      </c>
      <c r="O34" s="23" t="n">
        <v>8.327685550082101</v>
      </c>
      <c r="P34" s="23" t="n">
        <v>7.80265850945495</v>
      </c>
      <c r="Q34" s="23" t="n">
        <v>7.676784946236559</v>
      </c>
      <c r="R34" s="23" t="n">
        <v>8.14404105090312</v>
      </c>
      <c r="S34" s="23" t="n">
        <v>8.319354838709678</v>
      </c>
      <c r="T34" s="23" t="n">
        <v>7.454738186462325</v>
      </c>
      <c r="U34" s="23" t="n">
        <v>6.858980485862207</v>
      </c>
      <c r="V34" s="38" t="n">
        <v>7.713547128686996</v>
      </c>
      <c r="W34" s="39" t="n">
        <v>113</v>
      </c>
      <c r="X34" s="24" t="n">
        <v>0.9416666666666667</v>
      </c>
    </row>
    <row r="35" ht="13.9" customHeight="1">
      <c r="A35" s="10" t="n">
        <v>27015190</v>
      </c>
      <c r="B35" s="35" t="inlineStr">
        <is>
          <t>CO</t>
        </is>
      </c>
      <c r="C35" s="35" t="inlineStr">
        <is>
          <t>Guayabito</t>
        </is>
      </c>
      <c r="D35" s="35" t="inlineStr">
        <is>
          <t>Santo Domingo</t>
        </is>
      </c>
      <c r="E35" s="21" t="inlineStr">
        <is>
          <t>Antioquia</t>
        </is>
      </c>
      <c r="F35" s="35" t="n">
        <v>1</v>
      </c>
      <c r="G35" s="35" t="n">
        <v>1440</v>
      </c>
      <c r="H35" s="36" t="n">
        <v>-75.14675</v>
      </c>
      <c r="I35" s="37" t="n">
        <v>6.54038889</v>
      </c>
      <c r="J35" s="22" t="n">
        <v>16.19333439702746</v>
      </c>
      <c r="K35" s="23" t="n">
        <v>16.33335695011672</v>
      </c>
      <c r="L35" s="23" t="n">
        <v>16.57941840728381</v>
      </c>
      <c r="M35" s="23" t="n">
        <v>16.73474991529179</v>
      </c>
      <c r="N35" s="23" t="n">
        <v>16.84537301983046</v>
      </c>
      <c r="O35" s="23" t="n">
        <v>16.70543209876543</v>
      </c>
      <c r="P35" s="23" t="n">
        <v>16.33631685269712</v>
      </c>
      <c r="Q35" s="23" t="n">
        <v>16.39284517919016</v>
      </c>
      <c r="R35" s="23" t="n">
        <v>16.46269035980094</v>
      </c>
      <c r="S35" s="23" t="n">
        <v>16.47133440448235</v>
      </c>
      <c r="T35" s="23" t="n">
        <v>16.60536738199045</v>
      </c>
      <c r="U35" s="23" t="n">
        <v>16.55650298783873</v>
      </c>
      <c r="V35" s="38" t="n">
        <v>16.51806016285962</v>
      </c>
      <c r="W35" s="39" t="n">
        <v>349</v>
      </c>
      <c r="X35" s="24" t="n">
        <v>0.9694444444444444</v>
      </c>
    </row>
    <row r="36" ht="13.9" customHeight="1">
      <c r="A36" s="10" t="n">
        <v>23070020</v>
      </c>
      <c r="B36" s="35" t="inlineStr">
        <is>
          <t>PG</t>
        </is>
      </c>
      <c r="C36" s="35" t="inlineStr">
        <is>
          <t>Rio Claro</t>
        </is>
      </c>
      <c r="D36" s="35" t="inlineStr">
        <is>
          <t>Sonsón</t>
        </is>
      </c>
      <c r="E36" s="21" t="inlineStr">
        <is>
          <t>Antioquia</t>
        </is>
      </c>
      <c r="F36" s="35" t="n">
        <v>1</v>
      </c>
      <c r="G36" s="35" t="n">
        <v>449</v>
      </c>
      <c r="H36" s="36" t="n">
        <v>-74.84836111</v>
      </c>
      <c r="I36" s="37" t="n">
        <v>5.85552778</v>
      </c>
      <c r="J36" s="22" t="n">
        <v>21.32346072200648</v>
      </c>
      <c r="K36" s="23" t="n">
        <v>21.56740916951645</v>
      </c>
      <c r="L36" s="23" t="n">
        <v>21.52269147377156</v>
      </c>
      <c r="M36" s="23" t="n">
        <v>21.44252073153706</v>
      </c>
      <c r="N36" s="23" t="n">
        <v>21.61266715175034</v>
      </c>
      <c r="O36" s="23" t="n">
        <v>21.29501260814872</v>
      </c>
      <c r="P36" s="23" t="n">
        <v>20.96957087010912</v>
      </c>
      <c r="Q36" s="23" t="n">
        <v>20.86438103415751</v>
      </c>
      <c r="R36" s="23" t="n">
        <v>21.02125935528476</v>
      </c>
      <c r="S36" s="23" t="n">
        <v>21.20450442011592</v>
      </c>
      <c r="T36" s="23" t="n">
        <v>21.35440586673154</v>
      </c>
      <c r="U36" s="23" t="n">
        <v>21.44120230791041</v>
      </c>
      <c r="V36" s="38" t="n">
        <v>21.30159047591999</v>
      </c>
      <c r="W36" s="39" t="n">
        <v>222</v>
      </c>
      <c r="X36" s="24" t="n">
        <v>0.925</v>
      </c>
    </row>
    <row r="37" ht="13.9" customHeight="1">
      <c r="A37" s="10" t="n">
        <v>26175030</v>
      </c>
      <c r="B37" s="35" t="inlineStr">
        <is>
          <t>CP</t>
        </is>
      </c>
      <c r="C37" s="35" t="inlineStr">
        <is>
          <t xml:space="preserve">La Granja Nacional </t>
        </is>
      </c>
      <c r="D37" s="35" t="inlineStr">
        <is>
          <t>Támesis</t>
        </is>
      </c>
      <c r="E37" s="21" t="inlineStr">
        <is>
          <t>Antioquia</t>
        </is>
      </c>
      <c r="F37" s="35" t="n">
        <v>1</v>
      </c>
      <c r="G37" s="35" t="n">
        <v>1153</v>
      </c>
      <c r="H37" s="36" t="n">
        <v>-75.69091666999999</v>
      </c>
      <c r="I37" s="37" t="n">
        <v>5.71733333</v>
      </c>
      <c r="J37" s="22" t="n">
        <v>18.45298882356057</v>
      </c>
      <c r="K37" s="23" t="n">
        <v>18.76175883779301</v>
      </c>
      <c r="L37" s="23" t="n">
        <v>18.83665949624607</v>
      </c>
      <c r="M37" s="23" t="n">
        <v>18.9262087210363</v>
      </c>
      <c r="N37" s="23" t="n">
        <v>18.9237232198033</v>
      </c>
      <c r="O37" s="23" t="n">
        <v>18.75866946420969</v>
      </c>
      <c r="P37" s="23" t="n">
        <v>18.36660053272561</v>
      </c>
      <c r="Q37" s="23" t="n">
        <v>18.42298687050189</v>
      </c>
      <c r="R37" s="23" t="n">
        <v>18.4180827333586</v>
      </c>
      <c r="S37" s="23" t="n">
        <v>18.404071053375</v>
      </c>
      <c r="T37" s="23" t="n">
        <v>18.63478109330666</v>
      </c>
      <c r="U37" s="23" t="n">
        <v>18.54342353502685</v>
      </c>
      <c r="V37" s="38" t="n">
        <v>18.6208295317453</v>
      </c>
      <c r="W37" s="39" t="n">
        <v>357</v>
      </c>
      <c r="X37" s="24" t="n">
        <v>0.9916666666666667</v>
      </c>
    </row>
    <row r="38" ht="13.9" customHeight="1">
      <c r="A38" s="10" t="n">
        <v>26235030</v>
      </c>
      <c r="B38" s="35" t="inlineStr">
        <is>
          <t>CO</t>
        </is>
      </c>
      <c r="C38" s="35" t="inlineStr">
        <is>
          <t>Matanzas</t>
        </is>
      </c>
      <c r="D38" s="35" t="inlineStr">
        <is>
          <t xml:space="preserve">Toledo </t>
        </is>
      </c>
      <c r="E38" s="21" t="inlineStr">
        <is>
          <t>Antioquia</t>
        </is>
      </c>
      <c r="F38" s="35" t="n">
        <v>1</v>
      </c>
      <c r="G38" s="35" t="n">
        <v>569</v>
      </c>
      <c r="H38" s="36" t="n">
        <v>-75.66594443999999</v>
      </c>
      <c r="I38" s="37" t="n">
        <v>7.03583333</v>
      </c>
      <c r="J38" s="22" t="n">
        <v>19.4163173788577</v>
      </c>
      <c r="K38" s="23" t="n">
        <v>19.17667141703873</v>
      </c>
      <c r="L38" s="23" t="n">
        <v>19.64468392275956</v>
      </c>
      <c r="M38" s="23" t="n">
        <v>19.77530012771392</v>
      </c>
      <c r="N38" s="23" t="n">
        <v>19.7283097092007</v>
      </c>
      <c r="O38" s="23" t="n">
        <v>19.77344088669951</v>
      </c>
      <c r="P38" s="23" t="n">
        <v>20.11596758302877</v>
      </c>
      <c r="Q38" s="23" t="n">
        <v>19.98744679273266</v>
      </c>
      <c r="R38" s="23" t="n">
        <v>19.90622514139756</v>
      </c>
      <c r="S38" s="23" t="n">
        <v>20.1569429280397</v>
      </c>
      <c r="T38" s="23" t="n">
        <v>20.08783652618136</v>
      </c>
      <c r="U38" s="23" t="n">
        <v>19.78048436265738</v>
      </c>
      <c r="V38" s="38" t="n">
        <v>19.79580223135896</v>
      </c>
      <c r="W38" s="39" t="n">
        <v>113</v>
      </c>
      <c r="X38" s="24" t="n">
        <v>0.9416666666666667</v>
      </c>
    </row>
    <row r="39" ht="13.9" customHeight="1">
      <c r="A39" s="10" t="n">
        <v>11075020</v>
      </c>
      <c r="B39" s="35" t="inlineStr">
        <is>
          <t>CO</t>
        </is>
      </c>
      <c r="C39" s="35" t="inlineStr">
        <is>
          <t>Urrao</t>
        </is>
      </c>
      <c r="D39" s="35" t="inlineStr">
        <is>
          <t>Urrao</t>
        </is>
      </c>
      <c r="E39" s="21" t="inlineStr">
        <is>
          <t>Antioquia</t>
        </is>
      </c>
      <c r="F39" s="35" t="n">
        <v>1</v>
      </c>
      <c r="G39" s="35" t="n">
        <v>1833</v>
      </c>
      <c r="H39" s="36" t="n">
        <v>-76.14330556</v>
      </c>
      <c r="I39" s="37" t="n">
        <v>6.29830556</v>
      </c>
      <c r="J39" s="22" t="n">
        <v>12.72099815954655</v>
      </c>
      <c r="K39" s="23" t="n">
        <v>13.25537746833099</v>
      </c>
      <c r="L39" s="23" t="n">
        <v>13.36583698192979</v>
      </c>
      <c r="M39" s="23" t="n">
        <v>13.80539403604059</v>
      </c>
      <c r="N39" s="23" t="n">
        <v>14.12797864095247</v>
      </c>
      <c r="O39" s="23" t="n">
        <v>13.7582625994695</v>
      </c>
      <c r="P39" s="23" t="n">
        <v>13.44129480286738</v>
      </c>
      <c r="Q39" s="23" t="n">
        <v>13.38474743130227</v>
      </c>
      <c r="R39" s="23" t="n">
        <v>13.51810517559855</v>
      </c>
      <c r="S39" s="23" t="n">
        <v>13.29727641235706</v>
      </c>
      <c r="T39" s="23" t="n">
        <v>13.58672687465791</v>
      </c>
      <c r="U39" s="23" t="n">
        <v>13.41261086932606</v>
      </c>
      <c r="V39" s="38" t="n">
        <v>13.47288412103159</v>
      </c>
      <c r="W39" s="39" t="n">
        <v>284</v>
      </c>
      <c r="X39" s="24" t="n">
        <v>0.7888888888888889</v>
      </c>
    </row>
    <row r="40" ht="13.9" customHeight="1">
      <c r="A40" s="10" t="n">
        <v>26255020</v>
      </c>
      <c r="B40" s="35" t="inlineStr">
        <is>
          <t>CO</t>
        </is>
      </c>
      <c r="C40" s="35" t="inlineStr">
        <is>
          <t>Santa Isabel</t>
        </is>
      </c>
      <c r="D40" s="35" t="inlineStr">
        <is>
          <t>Valdivia</t>
        </is>
      </c>
      <c r="E40" s="21" t="inlineStr">
        <is>
          <t>Antioquia</t>
        </is>
      </c>
      <c r="F40" s="35" t="n">
        <v>1</v>
      </c>
      <c r="G40" s="35" t="n">
        <v>1131</v>
      </c>
      <c r="H40" s="36" t="n">
        <v>-75.442275</v>
      </c>
      <c r="I40" s="37" t="n">
        <v>7.15722222</v>
      </c>
      <c r="J40" s="22" t="n">
        <v>18.92735060555263</v>
      </c>
      <c r="K40" s="23" t="n">
        <v>18.79216215320301</v>
      </c>
      <c r="L40" s="23" t="n">
        <v>19.01203985518137</v>
      </c>
      <c r="M40" s="23" t="n">
        <v>19.17497675386099</v>
      </c>
      <c r="N40" s="23" t="n">
        <v>19.25631023063488</v>
      </c>
      <c r="O40" s="23" t="n">
        <v>19.24550808314423</v>
      </c>
      <c r="P40" s="23" t="n">
        <v>18.9840496495224</v>
      </c>
      <c r="Q40" s="23" t="n">
        <v>18.96532254228837</v>
      </c>
      <c r="R40" s="23" t="n">
        <v>18.94291942698601</v>
      </c>
      <c r="S40" s="23" t="n">
        <v>19.01992012060863</v>
      </c>
      <c r="T40" s="23" t="n">
        <v>19.04884496993611</v>
      </c>
      <c r="U40" s="23" t="n">
        <v>19.06707680289566</v>
      </c>
      <c r="V40" s="38" t="n">
        <v>19.03637343281785</v>
      </c>
      <c r="W40" s="39" t="n">
        <v>339</v>
      </c>
      <c r="X40" s="24" t="n">
        <v>0.9416666666666667</v>
      </c>
    </row>
    <row r="41" ht="13.9" customHeight="1">
      <c r="A41" s="10" t="n">
        <v>23105030</v>
      </c>
      <c r="B41" s="35" t="inlineStr">
        <is>
          <t>CO</t>
        </is>
      </c>
      <c r="C41" s="35" t="inlineStr">
        <is>
          <t>Vegachí</t>
        </is>
      </c>
      <c r="D41" s="35" t="inlineStr">
        <is>
          <t>Vegachí</t>
        </is>
      </c>
      <c r="E41" s="21" t="inlineStr">
        <is>
          <t>Antioquia</t>
        </is>
      </c>
      <c r="F41" s="35" t="n">
        <v>1</v>
      </c>
      <c r="G41" s="35" t="n">
        <v>990</v>
      </c>
      <c r="H41" s="36" t="n">
        <v>-74.79652777999999</v>
      </c>
      <c r="I41" s="37" t="n">
        <v>6.77411111</v>
      </c>
      <c r="J41" s="22" t="n">
        <v>17.51662868817814</v>
      </c>
      <c r="K41" s="23" t="n">
        <v>18.15763336280578</v>
      </c>
      <c r="L41" s="23" t="n">
        <v>18.55926403823178</v>
      </c>
      <c r="M41" s="23" t="n">
        <v>18.83840911680911</v>
      </c>
      <c r="N41" s="23" t="n">
        <v>18.90880662229049</v>
      </c>
      <c r="O41" s="23" t="n">
        <v>18.63319540229885</v>
      </c>
      <c r="P41" s="23" t="n">
        <v>18.29315405594694</v>
      </c>
      <c r="Q41" s="23" t="n">
        <v>18.428370554177</v>
      </c>
      <c r="R41" s="23" t="n">
        <v>18.38587596311734</v>
      </c>
      <c r="S41" s="23" t="n">
        <v>18.52755878530072</v>
      </c>
      <c r="T41" s="23" t="n">
        <v>18.3411317418214</v>
      </c>
      <c r="U41" s="23" t="n">
        <v>17.96803497577691</v>
      </c>
      <c r="V41" s="38" t="n">
        <v>18.3798386088962</v>
      </c>
      <c r="W41" s="39" t="n">
        <v>309</v>
      </c>
      <c r="X41" s="24" t="n">
        <v>0.8583333333333333</v>
      </c>
    </row>
    <row r="42" ht="13.9" customHeight="1">
      <c r="A42" s="10" t="n">
        <v>37055010</v>
      </c>
      <c r="B42" s="35" t="inlineStr">
        <is>
          <t>SP</t>
        </is>
      </c>
      <c r="C42" s="35" t="inlineStr">
        <is>
          <t>Aeropuerto Santiago Pérez</t>
        </is>
      </c>
      <c r="D42" s="35" t="inlineStr">
        <is>
          <t>Arauca</t>
        </is>
      </c>
      <c r="E42" s="21" t="inlineStr">
        <is>
          <t>Arauca</t>
        </is>
      </c>
      <c r="F42" s="35" t="n">
        <v>8</v>
      </c>
      <c r="G42" s="35" t="n">
        <v>128</v>
      </c>
      <c r="H42" s="36" t="n">
        <v>-70.73805556000001</v>
      </c>
      <c r="I42" s="37" t="n">
        <v>7.06944444</v>
      </c>
      <c r="J42" s="22" t="n">
        <v>21.0589559217201</v>
      </c>
      <c r="K42" s="23" t="n">
        <v>21.50441234554535</v>
      </c>
      <c r="L42" s="23" t="n">
        <v>22.44291532689877</v>
      </c>
      <c r="M42" s="23" t="n">
        <v>22.96369112528595</v>
      </c>
      <c r="N42" s="23" t="n">
        <v>23.07494517310646</v>
      </c>
      <c r="O42" s="23" t="n">
        <v>22.77254127896369</v>
      </c>
      <c r="P42" s="23" t="n">
        <v>22.63793386599099</v>
      </c>
      <c r="Q42" s="23" t="n">
        <v>22.74684508164078</v>
      </c>
      <c r="R42" s="23" t="n">
        <v>22.92342671991459</v>
      </c>
      <c r="S42" s="23" t="n">
        <v>23.06253726362625</v>
      </c>
      <c r="T42" s="23" t="n">
        <v>23.08585422368181</v>
      </c>
      <c r="U42" s="23" t="n">
        <v>22.16906393125772</v>
      </c>
      <c r="V42" s="38" t="n">
        <v>22.5369268548027</v>
      </c>
      <c r="W42" s="39" t="n">
        <v>333</v>
      </c>
      <c r="X42" s="24" t="n">
        <v>0.925</v>
      </c>
    </row>
    <row r="43" ht="13.9" customHeight="1">
      <c r="A43" s="10" t="n">
        <v>36025010</v>
      </c>
      <c r="B43" s="35" t="inlineStr">
        <is>
          <t>CO</t>
        </is>
      </c>
      <c r="C43" s="35" t="inlineStr">
        <is>
          <t>Tame</t>
        </is>
      </c>
      <c r="D43" s="35" t="inlineStr">
        <is>
          <t>Tame</t>
        </is>
      </c>
      <c r="E43" s="21" t="inlineStr">
        <is>
          <t>Arauca</t>
        </is>
      </c>
      <c r="F43" s="35" t="n">
        <v>6</v>
      </c>
      <c r="G43" s="35" t="n">
        <v>350</v>
      </c>
      <c r="H43" s="36" t="n">
        <v>-71.74502778</v>
      </c>
      <c r="I43" s="37" t="n">
        <v>6.45619444</v>
      </c>
      <c r="J43" s="22" t="n">
        <v>22.05880490993892</v>
      </c>
      <c r="K43" s="23" t="n">
        <v>22.03751666183715</v>
      </c>
      <c r="L43" s="23" t="n">
        <v>21.90524281397147</v>
      </c>
      <c r="M43" s="23" t="n">
        <v>21.68983515189933</v>
      </c>
      <c r="N43" s="23" t="n">
        <v>21.68895964423205</v>
      </c>
      <c r="O43" s="23" t="n">
        <v>21.63953190825402</v>
      </c>
      <c r="P43" s="23" t="n">
        <v>21.67498647959552</v>
      </c>
      <c r="Q43" s="23" t="n">
        <v>21.70037986605372</v>
      </c>
      <c r="R43" s="23" t="n">
        <v>21.63752371829958</v>
      </c>
      <c r="S43" s="23" t="n">
        <v>22.07055118821722</v>
      </c>
      <c r="T43" s="23" t="n">
        <v>22.1703237024022</v>
      </c>
      <c r="U43" s="23" t="n">
        <v>22.17221073523959</v>
      </c>
      <c r="V43" s="38" t="n">
        <v>21.87048889832839</v>
      </c>
      <c r="W43" s="39" t="n">
        <v>213</v>
      </c>
      <c r="X43" s="24" t="n">
        <v>0.8875</v>
      </c>
    </row>
    <row r="44" ht="13.9" customHeight="1">
      <c r="A44" s="10" t="n">
        <v>17025020</v>
      </c>
      <c r="B44" s="35" t="inlineStr">
        <is>
          <t>SP</t>
        </is>
      </c>
      <c r="C44" s="35" t="inlineStr">
        <is>
          <t>Aeropuerto El Embrujo</t>
        </is>
      </c>
      <c r="D44" s="35" t="inlineStr">
        <is>
          <t>Isla de Providencia</t>
        </is>
      </c>
      <c r="E44" s="21" t="inlineStr">
        <is>
          <t>Archipiélago de San Andres, Providencia y Santa Catalina</t>
        </is>
      </c>
      <c r="F44" s="35" t="n">
        <v>11</v>
      </c>
      <c r="G44" s="35" t="n">
        <v>7</v>
      </c>
      <c r="H44" s="36" t="n">
        <v>-81.35772222</v>
      </c>
      <c r="I44" s="37" t="n">
        <v>13.3595</v>
      </c>
      <c r="J44" s="22" t="n">
        <v>24.81726770309779</v>
      </c>
      <c r="K44" s="23" t="n">
        <v>24.8172455561221</v>
      </c>
      <c r="L44" s="23" t="n">
        <v>25.16294560084171</v>
      </c>
      <c r="M44" s="23" t="n">
        <v>26.03368956670579</v>
      </c>
      <c r="N44" s="23" t="n">
        <v>26.33669126664955</v>
      </c>
      <c r="O44" s="23" t="n">
        <v>26.4796212297234</v>
      </c>
      <c r="P44" s="23" t="n">
        <v>26.40894902444402</v>
      </c>
      <c r="Q44" s="23" t="n">
        <v>26.22881307277662</v>
      </c>
      <c r="R44" s="23" t="n">
        <v>25.70956757694413</v>
      </c>
      <c r="S44" s="23" t="n">
        <v>25.13314238186318</v>
      </c>
      <c r="T44" s="23" t="n">
        <v>25.11447285325591</v>
      </c>
      <c r="U44" s="23" t="n">
        <v>25.09291641764292</v>
      </c>
      <c r="V44" s="38" t="n">
        <v>25.61127685417226</v>
      </c>
      <c r="W44" s="39" t="n">
        <v>308</v>
      </c>
      <c r="X44" s="24" t="n">
        <v>0.8555555555555555</v>
      </c>
    </row>
    <row r="45" ht="13.9" customHeight="1">
      <c r="A45" s="10" t="n">
        <v>17015010</v>
      </c>
      <c r="B45" s="35" t="inlineStr">
        <is>
          <t>SP</t>
        </is>
      </c>
      <c r="C45" s="35" t="inlineStr">
        <is>
          <t>Aeropuerto Sesquicentenario</t>
        </is>
      </c>
      <c r="D45" s="35" t="inlineStr">
        <is>
          <t>Isla de San Andrés</t>
        </is>
      </c>
      <c r="E45" s="21" t="inlineStr">
        <is>
          <t>Archipiélago de San Andres, Providencia y Santa Catalina</t>
        </is>
      </c>
      <c r="F45" s="35" t="n">
        <v>11</v>
      </c>
      <c r="G45" s="35" t="n">
        <v>1</v>
      </c>
      <c r="H45" s="36" t="n">
        <v>-81.7038888888889</v>
      </c>
      <c r="I45" s="37" t="n">
        <v>12.58694444444444</v>
      </c>
      <c r="J45" s="22" t="n">
        <v>25.16566912481633</v>
      </c>
      <c r="K45" s="23" t="n">
        <v>25.15880584105361</v>
      </c>
      <c r="L45" s="23" t="n">
        <v>25.50788105733787</v>
      </c>
      <c r="M45" s="23" t="n">
        <v>26.19960510044801</v>
      </c>
      <c r="N45" s="23" t="n">
        <v>26.46345529914681</v>
      </c>
      <c r="O45" s="23" t="n">
        <v>26.43051143005805</v>
      </c>
      <c r="P45" s="23" t="n">
        <v>26.31299491433096</v>
      </c>
      <c r="Q45" s="23" t="n">
        <v>26.25928857853033</v>
      </c>
      <c r="R45" s="23" t="n">
        <v>26.01813723632689</v>
      </c>
      <c r="S45" s="23" t="n">
        <v>25.75790053661579</v>
      </c>
      <c r="T45" s="23" t="n">
        <v>25.55404487422392</v>
      </c>
      <c r="U45" s="23" t="n">
        <v>25.52841775762243</v>
      </c>
      <c r="V45" s="38" t="n">
        <v>25.86305931254259</v>
      </c>
      <c r="W45" s="39" t="n">
        <v>320</v>
      </c>
      <c r="X45" s="24" t="n">
        <v>0.8888888888888888</v>
      </c>
    </row>
    <row r="46" ht="13.9" customHeight="1">
      <c r="A46" s="10" t="n">
        <v>29045110</v>
      </c>
      <c r="B46" s="35" t="inlineStr">
        <is>
          <t>CO</t>
        </is>
      </c>
      <c r="C46" s="35" t="inlineStr">
        <is>
          <t>Juan de Acosta</t>
        </is>
      </c>
      <c r="D46" s="35" t="inlineStr">
        <is>
          <t>Juan de Acosta</t>
        </is>
      </c>
      <c r="E46" s="21" t="inlineStr">
        <is>
          <t>Atlántico</t>
        </is>
      </c>
      <c r="F46" s="35" t="n">
        <v>2</v>
      </c>
      <c r="G46" s="35" t="n">
        <v>20</v>
      </c>
      <c r="H46" s="36" t="n">
        <v>-75.04611111</v>
      </c>
      <c r="I46" s="37" t="n">
        <v>10.83388889</v>
      </c>
      <c r="J46" s="22" t="n">
        <v>23.11620728151344</v>
      </c>
      <c r="K46" s="23" t="n">
        <v>23.35484829426372</v>
      </c>
      <c r="L46" s="23" t="n">
        <v>24.08645575061932</v>
      </c>
      <c r="M46" s="23" t="n">
        <v>24.84730054904066</v>
      </c>
      <c r="N46" s="23" t="n">
        <v>24.94615645883387</v>
      </c>
      <c r="O46" s="23" t="n">
        <v>24.6266978690142</v>
      </c>
      <c r="P46" s="23" t="n">
        <v>24.39150319381252</v>
      </c>
      <c r="Q46" s="23" t="n">
        <v>24.46460530630743</v>
      </c>
      <c r="R46" s="23" t="n">
        <v>24.12409582260604</v>
      </c>
      <c r="S46" s="23" t="n">
        <v>23.66130624224468</v>
      </c>
      <c r="T46" s="23" t="n">
        <v>23.78338084403464</v>
      </c>
      <c r="U46" s="23" t="n">
        <v>23.40965762401779</v>
      </c>
      <c r="V46" s="38" t="n">
        <v>24.06768460302569</v>
      </c>
      <c r="W46" s="39" t="n">
        <v>293</v>
      </c>
      <c r="X46" s="24" t="n">
        <v>0.8138888888888889</v>
      </c>
    </row>
    <row r="47" ht="13.9" customHeight="1">
      <c r="A47" s="10" t="n">
        <v>29035080</v>
      </c>
      <c r="B47" s="35" t="inlineStr">
        <is>
          <t>CP</t>
        </is>
      </c>
      <c r="C47" s="35" t="inlineStr">
        <is>
          <t>Normal Manatí</t>
        </is>
      </c>
      <c r="D47" s="35" t="inlineStr">
        <is>
          <t>Manatí</t>
        </is>
      </c>
      <c r="E47" s="21" t="inlineStr">
        <is>
          <t>Atlántico</t>
        </is>
      </c>
      <c r="F47" s="35" t="n">
        <v>2</v>
      </c>
      <c r="G47" s="35" t="n">
        <v>10</v>
      </c>
      <c r="H47" s="36" t="n">
        <v>-74.95463889</v>
      </c>
      <c r="I47" s="37" t="n">
        <v>10.45358333</v>
      </c>
      <c r="J47" s="22" t="n">
        <v>22.85808239988084</v>
      </c>
      <c r="K47" s="23" t="n">
        <v>23.38051969785789</v>
      </c>
      <c r="L47" s="23" t="n">
        <v>23.85227238961108</v>
      </c>
      <c r="M47" s="23" t="n">
        <v>24.47208292368396</v>
      </c>
      <c r="N47" s="23" t="n">
        <v>24.43913476599074</v>
      </c>
      <c r="O47" s="23" t="n">
        <v>24.5499607529798</v>
      </c>
      <c r="P47" s="23" t="n">
        <v>24.29282246073495</v>
      </c>
      <c r="Q47" s="23" t="n">
        <v>24.26625890461838</v>
      </c>
      <c r="R47" s="23" t="n">
        <v>24.12003876046261</v>
      </c>
      <c r="S47" s="23" t="n">
        <v>23.89913365476711</v>
      </c>
      <c r="T47" s="23" t="n">
        <v>23.9417425411226</v>
      </c>
      <c r="U47" s="23" t="n">
        <v>23.37471632610787</v>
      </c>
      <c r="V47" s="38" t="n">
        <v>23.95389713148482</v>
      </c>
      <c r="W47" s="39" t="n">
        <v>293</v>
      </c>
      <c r="X47" s="24" t="n">
        <v>0.8138888888888889</v>
      </c>
    </row>
    <row r="48" ht="13.9" customHeight="1">
      <c r="A48" s="10" t="n">
        <v>29035200</v>
      </c>
      <c r="B48" s="35" t="inlineStr">
        <is>
          <t>CP</t>
        </is>
      </c>
      <c r="C48" s="35" t="inlineStr">
        <is>
          <t xml:space="preserve">Repelón - AUT </t>
        </is>
      </c>
      <c r="D48" s="35" t="inlineStr">
        <is>
          <t>Repelón</t>
        </is>
      </c>
      <c r="E48" s="21" t="inlineStr">
        <is>
          <t>Atlántico</t>
        </is>
      </c>
      <c r="F48" s="35" t="n">
        <v>2</v>
      </c>
      <c r="G48" s="35" t="n">
        <v>10</v>
      </c>
      <c r="H48" s="36" t="n">
        <v>-75.12694444</v>
      </c>
      <c r="I48" s="37" t="n">
        <v>10.49</v>
      </c>
      <c r="J48" s="22" t="n">
        <v>22.86681076276338</v>
      </c>
      <c r="K48" s="23" t="n">
        <v>23.38781458689458</v>
      </c>
      <c r="L48" s="23" t="n">
        <v>23.74269603716791</v>
      </c>
      <c r="M48" s="23" t="n">
        <v>24.50782450774612</v>
      </c>
      <c r="N48" s="23" t="n">
        <v>24.68056175762605</v>
      </c>
      <c r="O48" s="23" t="n">
        <v>24.68699945424114</v>
      </c>
      <c r="P48" s="23" t="n">
        <v>24.34269901807142</v>
      </c>
      <c r="Q48" s="23" t="n">
        <v>24.55931768021868</v>
      </c>
      <c r="R48" s="23" t="n">
        <v>24.37148342892046</v>
      </c>
      <c r="S48" s="23" t="n">
        <v>24.18533416851694</v>
      </c>
      <c r="T48" s="23" t="n">
        <v>24.16077960104198</v>
      </c>
      <c r="U48" s="23" t="n">
        <v>23.65877751054808</v>
      </c>
      <c r="V48" s="38" t="n">
        <v>24.09592487614639</v>
      </c>
      <c r="W48" s="39" t="n">
        <v>282</v>
      </c>
      <c r="X48" s="24" t="n">
        <v>0.7833333333333333</v>
      </c>
    </row>
    <row r="49" ht="13.9" customHeight="1">
      <c r="A49" s="10" t="n">
        <v>29045190</v>
      </c>
      <c r="B49" s="35" t="inlineStr">
        <is>
          <t>SP</t>
        </is>
      </c>
      <c r="C49" s="35" t="inlineStr">
        <is>
          <t xml:space="preserve">Aeropuerto Ernesto Cortissoz - AUT </t>
        </is>
      </c>
      <c r="D49" s="35" t="inlineStr">
        <is>
          <t>Soledad</t>
        </is>
      </c>
      <c r="E49" s="21" t="inlineStr">
        <is>
          <t>Atlántico</t>
        </is>
      </c>
      <c r="F49" s="35" t="n">
        <v>2</v>
      </c>
      <c r="G49" s="35" t="n">
        <v>14</v>
      </c>
      <c r="H49" s="36" t="n">
        <v>-74.77972222000001</v>
      </c>
      <c r="I49" s="37" t="n">
        <v>10.91777778</v>
      </c>
      <c r="J49" s="22" t="n">
        <v>23.79893949846119</v>
      </c>
      <c r="K49" s="23" t="n">
        <v>24.0815428483583</v>
      </c>
      <c r="L49" s="23" t="n">
        <v>24.36345974457076</v>
      </c>
      <c r="M49" s="23" t="n">
        <v>25.00043538247782</v>
      </c>
      <c r="N49" s="23" t="n">
        <v>25.08312120705891</v>
      </c>
      <c r="O49" s="23" t="n">
        <v>24.96927836228857</v>
      </c>
      <c r="P49" s="23" t="n">
        <v>24.84616941928422</v>
      </c>
      <c r="Q49" s="23" t="n">
        <v>24.75295901904628</v>
      </c>
      <c r="R49" s="23" t="n">
        <v>24.3286702513619</v>
      </c>
      <c r="S49" s="23" t="n">
        <v>24.13623936110855</v>
      </c>
      <c r="T49" s="23" t="n">
        <v>24.28821392528289</v>
      </c>
      <c r="U49" s="23" t="n">
        <v>24.41443084098605</v>
      </c>
      <c r="V49" s="38" t="n">
        <v>24.50528832169045</v>
      </c>
      <c r="W49" s="39" t="n">
        <v>315</v>
      </c>
      <c r="X49" s="24" t="n">
        <v>0.875</v>
      </c>
    </row>
    <row r="50" ht="13.9" customHeight="1">
      <c r="A50" s="10" t="n">
        <v>14015080</v>
      </c>
      <c r="B50" s="35" t="inlineStr">
        <is>
          <t>SP</t>
        </is>
      </c>
      <c r="C50" s="35" t="inlineStr">
        <is>
          <t>Aeropuerto Rafael Nuñez</t>
        </is>
      </c>
      <c r="D50" s="35" t="inlineStr">
        <is>
          <t>Cartagena de Indias</t>
        </is>
      </c>
      <c r="E50" s="21" t="inlineStr">
        <is>
          <t>Bolívar</t>
        </is>
      </c>
      <c r="F50" s="35" t="n">
        <v>2</v>
      </c>
      <c r="G50" s="35" t="n">
        <v>2</v>
      </c>
      <c r="H50" s="36" t="n">
        <v>-75.51602778</v>
      </c>
      <c r="I50" s="37" t="n">
        <v>10.44725</v>
      </c>
      <c r="J50" s="22" t="n">
        <v>24.02549157794375</v>
      </c>
      <c r="K50" s="23" t="n">
        <v>24.24160828316001</v>
      </c>
      <c r="L50" s="23" t="n">
        <v>24.87878979289157</v>
      </c>
      <c r="M50" s="23" t="n">
        <v>25.82759724502828</v>
      </c>
      <c r="N50" s="23" t="n">
        <v>26.10629865635539</v>
      </c>
      <c r="O50" s="23" t="n">
        <v>26.06326610341553</v>
      </c>
      <c r="P50" s="23" t="n">
        <v>25.7317140296979</v>
      </c>
      <c r="Q50" s="23" t="n">
        <v>25.86230323116423</v>
      </c>
      <c r="R50" s="23" t="n">
        <v>25.82266311109949</v>
      </c>
      <c r="S50" s="23" t="n">
        <v>25.55148308394313</v>
      </c>
      <c r="T50" s="23" t="n">
        <v>25.48048852389518</v>
      </c>
      <c r="U50" s="23" t="n">
        <v>24.82910777528763</v>
      </c>
      <c r="V50" s="38" t="n">
        <v>25.36840095115684</v>
      </c>
      <c r="W50" s="39" t="n">
        <v>355</v>
      </c>
      <c r="X50" s="24" t="n">
        <v>0.9861111111111112</v>
      </c>
    </row>
    <row r="51" ht="13.9" customHeight="1">
      <c r="A51" s="10" t="n">
        <v>29015020</v>
      </c>
      <c r="B51" s="35" t="inlineStr">
        <is>
          <t>AM</t>
        </is>
      </c>
      <c r="C51" s="35" t="inlineStr">
        <is>
          <t>Carmen de Bolívar</t>
        </is>
      </c>
      <c r="D51" s="35" t="inlineStr">
        <is>
          <t>El Carmén de Bolívar</t>
        </is>
      </c>
      <c r="E51" s="21" t="inlineStr">
        <is>
          <t>Bolívar</t>
        </is>
      </c>
      <c r="F51" s="35" t="n">
        <v>2</v>
      </c>
      <c r="G51" s="35" t="n">
        <v>152</v>
      </c>
      <c r="H51" s="36" t="n">
        <v>-75.11</v>
      </c>
      <c r="I51" s="37" t="n">
        <v>9.720000000000001</v>
      </c>
      <c r="J51" s="22" t="n">
        <v>19.78016091954023</v>
      </c>
      <c r="K51" s="23" t="n">
        <v>20.4193751933557</v>
      </c>
      <c r="L51" s="23" t="n">
        <v>21.35245161290323</v>
      </c>
      <c r="M51" s="23" t="n">
        <v>22.77747126436782</v>
      </c>
      <c r="N51" s="23" t="n">
        <v>22.99647167487685</v>
      </c>
      <c r="O51" s="23" t="n">
        <v>22.87629310344828</v>
      </c>
      <c r="P51" s="23" t="n">
        <v>22.475</v>
      </c>
      <c r="Q51" s="23" t="n">
        <v>22.43842891278376</v>
      </c>
      <c r="R51" s="23" t="n">
        <v>22.38823145245559</v>
      </c>
      <c r="S51" s="23" t="n">
        <v>22.06354838709677</v>
      </c>
      <c r="T51" s="23" t="n">
        <v>21.87029853128991</v>
      </c>
      <c r="U51" s="23" t="n">
        <v>20.78051909529107</v>
      </c>
      <c r="V51" s="38" t="n">
        <v>21.85152084561743</v>
      </c>
      <c r="W51" s="39" t="n">
        <v>103</v>
      </c>
      <c r="X51" s="24" t="n">
        <v>0.8583333333333333</v>
      </c>
    </row>
    <row r="52" ht="13.9" customHeight="1">
      <c r="A52" s="10" t="n">
        <v>25025100</v>
      </c>
      <c r="B52" s="35" t="inlineStr">
        <is>
          <t>CP</t>
        </is>
      </c>
      <c r="C52" s="35" t="inlineStr">
        <is>
          <t>Aeropuerto Baracoa</t>
        </is>
      </c>
      <c r="D52" s="35" t="inlineStr">
        <is>
          <t>Magangué</t>
        </is>
      </c>
      <c r="E52" s="21" t="inlineStr">
        <is>
          <t>Bolívar</t>
        </is>
      </c>
      <c r="F52" s="35" t="n">
        <v>2</v>
      </c>
      <c r="G52" s="35" t="n">
        <v>18</v>
      </c>
      <c r="H52" s="36" t="n">
        <v>-74.84527778</v>
      </c>
      <c r="I52" s="37" t="n">
        <v>9.28194444</v>
      </c>
      <c r="J52" s="22" t="n">
        <v>22.93612837014673</v>
      </c>
      <c r="K52" s="23" t="n">
        <v>23.29088726712482</v>
      </c>
      <c r="L52" s="23" t="n">
        <v>24.34135005973716</v>
      </c>
      <c r="M52" s="23" t="n">
        <v>24.8015719759168</v>
      </c>
      <c r="N52" s="23" t="n">
        <v>24.6259691323693</v>
      </c>
      <c r="O52" s="23" t="n">
        <v>24.60859108739281</v>
      </c>
      <c r="P52" s="23" t="n">
        <v>24.38104746014089</v>
      </c>
      <c r="Q52" s="23" t="n">
        <v>24.11781156016973</v>
      </c>
      <c r="R52" s="23" t="n">
        <v>23.89385655496766</v>
      </c>
      <c r="S52" s="23" t="n">
        <v>23.61036086539424</v>
      </c>
      <c r="T52" s="23" t="n">
        <v>24.05584690293742</v>
      </c>
      <c r="U52" s="23" t="n">
        <v>23.41629032258064</v>
      </c>
      <c r="V52" s="38" t="n">
        <v>24.00664262990652</v>
      </c>
      <c r="W52" s="39" t="n">
        <v>103</v>
      </c>
      <c r="X52" s="24" t="n">
        <v>0.8583333333333333</v>
      </c>
    </row>
    <row r="53" ht="13.9" customHeight="1">
      <c r="A53" s="10" t="n">
        <v>29035110</v>
      </c>
      <c r="B53" s="35" t="inlineStr">
        <is>
          <t>CO</t>
        </is>
      </c>
      <c r="C53" s="35" t="inlineStr">
        <is>
          <t>San Pablo</t>
        </is>
      </c>
      <c r="D53" s="35" t="inlineStr">
        <is>
          <t>María La Baja</t>
        </is>
      </c>
      <c r="E53" s="21" t="inlineStr">
        <is>
          <t>Bolívar</t>
        </is>
      </c>
      <c r="F53" s="35" t="n">
        <v>2</v>
      </c>
      <c r="G53" s="35" t="n">
        <v>20</v>
      </c>
      <c r="H53" s="36" t="n">
        <v>-75.25861111</v>
      </c>
      <c r="I53" s="37" t="n">
        <v>10.04316667</v>
      </c>
      <c r="J53" s="22" t="n">
        <v>21.9844249287808</v>
      </c>
      <c r="K53" s="23" t="n">
        <v>22.50763244826838</v>
      </c>
      <c r="L53" s="23" t="n">
        <v>23.21527636527359</v>
      </c>
      <c r="M53" s="23" t="n">
        <v>24.14139220908698</v>
      </c>
      <c r="N53" s="23" t="n">
        <v>24.1917486539333</v>
      </c>
      <c r="O53" s="23" t="n">
        <v>24.02984049807196</v>
      </c>
      <c r="P53" s="23" t="n">
        <v>23.92933722106592</v>
      </c>
      <c r="Q53" s="23" t="n">
        <v>23.97926535253565</v>
      </c>
      <c r="R53" s="23" t="n">
        <v>23.7254865927842</v>
      </c>
      <c r="S53" s="23" t="n">
        <v>23.60171118101983</v>
      </c>
      <c r="T53" s="23" t="n">
        <v>23.41530138882886</v>
      </c>
      <c r="U53" s="23" t="n">
        <v>22.79965339719008</v>
      </c>
      <c r="V53" s="38" t="n">
        <v>23.46008918640329</v>
      </c>
      <c r="W53" s="39" t="n">
        <v>297</v>
      </c>
      <c r="X53" s="24" t="n">
        <v>0.825</v>
      </c>
    </row>
    <row r="54" ht="13.9" customHeight="1">
      <c r="A54" s="10" t="n">
        <v>23205020</v>
      </c>
      <c r="B54" s="35" t="inlineStr">
        <is>
          <t>CO</t>
        </is>
      </c>
      <c r="C54" s="35" t="inlineStr">
        <is>
          <t>Colegio Cooperativo</t>
        </is>
      </c>
      <c r="D54" s="35" t="inlineStr">
        <is>
          <t>San Pablo</t>
        </is>
      </c>
      <c r="E54" s="21" t="inlineStr">
        <is>
          <t>Bolívar</t>
        </is>
      </c>
      <c r="F54" s="35" t="n">
        <v>8</v>
      </c>
      <c r="G54" s="35" t="n">
        <v>165</v>
      </c>
      <c r="H54" s="36" t="n">
        <v>-73.92555556000001</v>
      </c>
      <c r="I54" s="37" t="n">
        <v>7.475</v>
      </c>
      <c r="J54" s="22" t="n">
        <v>23.26945161290323</v>
      </c>
      <c r="K54" s="23" t="n">
        <v>23.48473448989791</v>
      </c>
      <c r="L54" s="23" t="n">
        <v>23.62168239745121</v>
      </c>
      <c r="M54" s="23" t="n">
        <v>23.57885097890614</v>
      </c>
      <c r="N54" s="23" t="n">
        <v>23.52909840151609</v>
      </c>
      <c r="O54" s="23" t="n">
        <v>23.56302809706258</v>
      </c>
      <c r="P54" s="23" t="n">
        <v>23.47547100955289</v>
      </c>
      <c r="Q54" s="23" t="n">
        <v>23.37537881596836</v>
      </c>
      <c r="R54" s="23" t="n">
        <v>23.21098690932311</v>
      </c>
      <c r="S54" s="23" t="n">
        <v>23.33026915113872</v>
      </c>
      <c r="T54" s="23" t="n">
        <v>23.44010994502748</v>
      </c>
      <c r="U54" s="23" t="n">
        <v>23.64783665352074</v>
      </c>
      <c r="V54" s="38" t="n">
        <v>23.46057487185571</v>
      </c>
      <c r="W54" s="39" t="n">
        <v>283</v>
      </c>
      <c r="X54" s="24" t="n">
        <v>0.7861111111111111</v>
      </c>
    </row>
    <row r="55" ht="13.9" customHeight="1">
      <c r="A55" s="10" t="n">
        <v>23205050</v>
      </c>
      <c r="B55" s="35" t="inlineStr">
        <is>
          <t>CO</t>
        </is>
      </c>
      <c r="C55" s="35" t="inlineStr">
        <is>
          <t>Canelos -AUT</t>
        </is>
      </c>
      <c r="D55" s="35" t="inlineStr">
        <is>
          <t>Santa Rosa del Sur</t>
        </is>
      </c>
      <c r="E55" s="21" t="inlineStr">
        <is>
          <t>Bolívar</t>
        </is>
      </c>
      <c r="F55" s="35" t="n">
        <v>8</v>
      </c>
      <c r="G55" s="35" t="n">
        <v>750</v>
      </c>
      <c r="H55" s="36" t="n">
        <v>-74.24097222</v>
      </c>
      <c r="I55" s="37" t="n">
        <v>7.88541667</v>
      </c>
      <c r="J55" s="22" t="n">
        <v>16.26499494088081</v>
      </c>
      <c r="K55" s="23" t="n">
        <v>16.96729599887837</v>
      </c>
      <c r="L55" s="23" t="n">
        <v>17.78811761037423</v>
      </c>
      <c r="M55" s="23" t="n">
        <v>18.2953722702254</v>
      </c>
      <c r="N55" s="23" t="n">
        <v>18.40374832468435</v>
      </c>
      <c r="O55" s="23" t="n">
        <v>18.12877434258661</v>
      </c>
      <c r="P55" s="23" t="n">
        <v>17.80987612275166</v>
      </c>
      <c r="Q55" s="23" t="n">
        <v>17.84717754045896</v>
      </c>
      <c r="R55" s="23" t="n">
        <v>17.92049972164915</v>
      </c>
      <c r="S55" s="23" t="n">
        <v>18.00291769039266</v>
      </c>
      <c r="T55" s="23" t="n">
        <v>17.72966982168257</v>
      </c>
      <c r="U55" s="23" t="n">
        <v>17.1495713989199</v>
      </c>
      <c r="V55" s="38" t="n">
        <v>17.69233464862372</v>
      </c>
      <c r="W55" s="39" t="n">
        <v>318</v>
      </c>
      <c r="X55" s="24" t="n">
        <v>0.8833333333333333</v>
      </c>
    </row>
    <row r="56" ht="13.9" customHeight="1">
      <c r="A56" s="10" t="n">
        <v>23205030</v>
      </c>
      <c r="B56" s="35" t="inlineStr">
        <is>
          <t>CO</t>
        </is>
      </c>
      <c r="C56" s="35" t="inlineStr">
        <is>
          <t>Santa Rosa de Simití</t>
        </is>
      </c>
      <c r="D56" s="35" t="inlineStr">
        <is>
          <t>Santa Rosa del Sur</t>
        </is>
      </c>
      <c r="E56" s="21" t="inlineStr">
        <is>
          <t>Bolívar</t>
        </is>
      </c>
      <c r="F56" s="35" t="n">
        <v>8</v>
      </c>
      <c r="G56" s="35" t="n">
        <v>650</v>
      </c>
      <c r="H56" s="36" t="n">
        <v>-74.05916667</v>
      </c>
      <c r="I56" s="37" t="n">
        <v>7.96527778</v>
      </c>
      <c r="J56" s="22" t="n">
        <v>21.12236040044494</v>
      </c>
      <c r="K56" s="23" t="n">
        <v>21.61825396825397</v>
      </c>
      <c r="L56" s="23" t="n">
        <v>21.88272617723396</v>
      </c>
      <c r="M56" s="23" t="n">
        <v>21.73479940805612</v>
      </c>
      <c r="N56" s="23" t="n">
        <v>21.54859443541256</v>
      </c>
      <c r="O56" s="23" t="n">
        <v>21.54164194490057</v>
      </c>
      <c r="P56" s="23" t="n">
        <v>21.35691976387638</v>
      </c>
      <c r="Q56" s="23" t="n">
        <v>21.42895444658885</v>
      </c>
      <c r="R56" s="23" t="n">
        <v>21.04890599343186</v>
      </c>
      <c r="S56" s="23" t="n">
        <v>21.04504180343385</v>
      </c>
      <c r="T56" s="23" t="n">
        <v>21.00011676701332</v>
      </c>
      <c r="U56" s="23" t="n">
        <v>21.07368681250772</v>
      </c>
      <c r="V56" s="38" t="n">
        <v>21.36683349342951</v>
      </c>
      <c r="W56" s="39" t="n">
        <v>110</v>
      </c>
      <c r="X56" s="24" t="n">
        <v>0.9166666666666666</v>
      </c>
    </row>
    <row r="57" ht="13.9" customHeight="1">
      <c r="A57" s="10" t="n">
        <v>24035020</v>
      </c>
      <c r="B57" s="35" t="inlineStr">
        <is>
          <t>CO</t>
        </is>
      </c>
      <c r="C57" s="35" t="inlineStr">
        <is>
          <t>Beteitiva</t>
        </is>
      </c>
      <c r="D57" s="35" t="inlineStr">
        <is>
          <t>Betéitiva</t>
        </is>
      </c>
      <c r="E57" s="21" t="inlineStr">
        <is>
          <t>Boyacá</t>
        </is>
      </c>
      <c r="F57" s="35" t="n">
        <v>6</v>
      </c>
      <c r="G57" s="35" t="n">
        <v>2575</v>
      </c>
      <c r="H57" s="36" t="n">
        <v>-72.81061111</v>
      </c>
      <c r="I57" s="37" t="n">
        <v>5.907277779999999</v>
      </c>
      <c r="J57" s="22" t="n">
        <v>7.782046201110717</v>
      </c>
      <c r="K57" s="23" t="n">
        <v>8.146723590585658</v>
      </c>
      <c r="L57" s="23" t="n">
        <v>8.753775776503808</v>
      </c>
      <c r="M57" s="23" t="n">
        <v>9.335727272727272</v>
      </c>
      <c r="N57" s="23" t="n">
        <v>9.258968938469833</v>
      </c>
      <c r="O57" s="23" t="n">
        <v>9.50369597069597</v>
      </c>
      <c r="P57" s="23" t="n">
        <v>8.614955530836735</v>
      </c>
      <c r="Q57" s="23" t="n">
        <v>8.952042827650294</v>
      </c>
      <c r="R57" s="23" t="n">
        <v>8.615465608465609</v>
      </c>
      <c r="S57" s="23" t="n">
        <v>8.912710789766406</v>
      </c>
      <c r="T57" s="23" t="n">
        <v>8.862305236270753</v>
      </c>
      <c r="U57" s="23" t="n">
        <v>8.3572432332221</v>
      </c>
      <c r="V57" s="38" t="n">
        <v>8.757971748025431</v>
      </c>
      <c r="W57" s="39" t="n">
        <v>115</v>
      </c>
      <c r="X57" s="24" t="n">
        <v>0.9583333333333334</v>
      </c>
    </row>
    <row r="58" ht="13.9" customHeight="1">
      <c r="A58" s="10" t="n">
        <v>24035330</v>
      </c>
      <c r="B58" s="35" t="inlineStr">
        <is>
          <t>AM</t>
        </is>
      </c>
      <c r="C58" s="35" t="inlineStr">
        <is>
          <t>Boavita</t>
        </is>
      </c>
      <c r="D58" s="35" t="inlineStr">
        <is>
          <t>Boavita</t>
        </is>
      </c>
      <c r="E58" s="21" t="inlineStr">
        <is>
          <t>Boyacá</t>
        </is>
      </c>
      <c r="F58" s="35" t="n">
        <v>6</v>
      </c>
      <c r="G58" s="35" t="n">
        <v>2150</v>
      </c>
      <c r="H58" s="36" t="n">
        <v>-72.58227778</v>
      </c>
      <c r="I58" s="37" t="n">
        <v>6.32897222</v>
      </c>
      <c r="J58" s="22" t="n">
        <v>10.53011549183592</v>
      </c>
      <c r="K58" s="23" t="n">
        <v>10.99855557081045</v>
      </c>
      <c r="L58" s="23" t="n">
        <v>11.62098240320586</v>
      </c>
      <c r="M58" s="23" t="n">
        <v>12.16263820470717</v>
      </c>
      <c r="N58" s="23" t="n">
        <v>12.31363858695391</v>
      </c>
      <c r="O58" s="23" t="n">
        <v>11.66705024630542</v>
      </c>
      <c r="P58" s="23" t="n">
        <v>11.27595769595214</v>
      </c>
      <c r="Q58" s="23" t="n">
        <v>11.3332420575631</v>
      </c>
      <c r="R58" s="23" t="n">
        <v>11.24552141934105</v>
      </c>
      <c r="S58" s="23" t="n">
        <v>11.71502328956834</v>
      </c>
      <c r="T58" s="23" t="n">
        <v>12.00739514469851</v>
      </c>
      <c r="U58" s="23" t="n">
        <v>11.11288476987726</v>
      </c>
      <c r="V58" s="38" t="n">
        <v>11.49858374006826</v>
      </c>
      <c r="W58" s="39" t="n">
        <v>305</v>
      </c>
      <c r="X58" s="24" t="n">
        <v>0.8472222222222222</v>
      </c>
    </row>
    <row r="59" ht="13.9" customHeight="1">
      <c r="A59" s="10" t="n">
        <v>23125100</v>
      </c>
      <c r="B59" s="35" t="inlineStr">
        <is>
          <t>CP</t>
        </is>
      </c>
      <c r="C59" s="35" t="inlineStr">
        <is>
          <t>Buenavista</t>
        </is>
      </c>
      <c r="D59" s="35" t="inlineStr">
        <is>
          <t xml:space="preserve">Buenavista </t>
        </is>
      </c>
      <c r="E59" s="21" t="inlineStr">
        <is>
          <t>Boyacá</t>
        </is>
      </c>
      <c r="F59" s="35" t="n">
        <v>6</v>
      </c>
      <c r="G59" s="35" t="n">
        <v>2200</v>
      </c>
      <c r="H59" s="36" t="n">
        <v>-73.94311111</v>
      </c>
      <c r="I59" s="37" t="n">
        <v>5.51491667</v>
      </c>
      <c r="J59" s="22" t="n">
        <v>10.21862513904338</v>
      </c>
      <c r="K59" s="23" t="n">
        <v>10.73330049261084</v>
      </c>
      <c r="L59" s="23" t="n">
        <v>11.43870967741935</v>
      </c>
      <c r="M59" s="23" t="n">
        <v>11.78640211640212</v>
      </c>
      <c r="N59" s="23" t="n">
        <v>11.93785687801261</v>
      </c>
      <c r="O59" s="23" t="n">
        <v>11.45995238095238</v>
      </c>
      <c r="P59" s="23" t="n">
        <v>11.21</v>
      </c>
      <c r="Q59" s="23" t="n">
        <v>11.03161290322581</v>
      </c>
      <c r="R59" s="23" t="n">
        <v>11.04377011494253</v>
      </c>
      <c r="S59" s="23" t="n">
        <v>11.23677419354839</v>
      </c>
      <c r="T59" s="23" t="n">
        <v>11.30074074074074</v>
      </c>
      <c r="U59" s="23" t="n">
        <v>10.3883064516129</v>
      </c>
      <c r="V59" s="38" t="n">
        <v>11.14883759070925</v>
      </c>
      <c r="W59" s="39" t="n">
        <v>116</v>
      </c>
      <c r="X59" s="24" t="n">
        <v>0.9666666666666667</v>
      </c>
    </row>
    <row r="60" ht="13.9" customHeight="1">
      <c r="A60" s="10" t="n">
        <v>35085050</v>
      </c>
      <c r="B60" s="35" t="inlineStr">
        <is>
          <t>CO</t>
        </is>
      </c>
      <c r="C60" s="35" t="inlineStr">
        <is>
          <t>Campohermoso</t>
        </is>
      </c>
      <c r="D60" s="35" t="inlineStr">
        <is>
          <t>Campohermoso</t>
        </is>
      </c>
      <c r="E60" s="21" t="inlineStr">
        <is>
          <t>Boyacá</t>
        </is>
      </c>
      <c r="F60" s="35" t="n">
        <v>6</v>
      </c>
      <c r="G60" s="35" t="n">
        <v>1300</v>
      </c>
      <c r="H60" s="36" t="n">
        <v>-73.10366667</v>
      </c>
      <c r="I60" s="37" t="n">
        <v>5.0345</v>
      </c>
      <c r="J60" s="22" t="n">
        <v>16.84120669685285</v>
      </c>
      <c r="K60" s="23" t="n">
        <v>17.39490644491644</v>
      </c>
      <c r="L60" s="23" t="n">
        <v>17.90201767567596</v>
      </c>
      <c r="M60" s="23" t="n">
        <v>18.02659835386352</v>
      </c>
      <c r="N60" s="23" t="n">
        <v>17.74546329166524</v>
      </c>
      <c r="O60" s="23" t="n">
        <v>17.32357429411493</v>
      </c>
      <c r="P60" s="23" t="n">
        <v>16.8961896395846</v>
      </c>
      <c r="Q60" s="23" t="n">
        <v>16.8655441109516</v>
      </c>
      <c r="R60" s="23" t="n">
        <v>16.87605142820363</v>
      </c>
      <c r="S60" s="23" t="n">
        <v>17.27453878977636</v>
      </c>
      <c r="T60" s="23" t="n">
        <v>17.55139703390935</v>
      </c>
      <c r="U60" s="23" t="n">
        <v>17.17681567060053</v>
      </c>
      <c r="V60" s="38" t="n">
        <v>17.32285861917625</v>
      </c>
      <c r="W60" s="39" t="n">
        <v>345</v>
      </c>
      <c r="X60" s="24" t="n">
        <v>0.9583333333333334</v>
      </c>
    </row>
    <row r="61" ht="13.9" customHeight="1">
      <c r="A61" s="10" t="n">
        <v>24035420</v>
      </c>
      <c r="B61" s="35" t="inlineStr">
        <is>
          <t>CO</t>
        </is>
      </c>
      <c r="C61" s="35" t="inlineStr">
        <is>
          <t>Cerinza</t>
        </is>
      </c>
      <c r="D61" s="35" t="inlineStr">
        <is>
          <t>Cerinza</t>
        </is>
      </c>
      <c r="E61" s="21" t="inlineStr">
        <is>
          <t>Boyacá</t>
        </is>
      </c>
      <c r="F61" s="35" t="n">
        <v>6</v>
      </c>
      <c r="G61" s="35" t="n">
        <v>2643</v>
      </c>
      <c r="H61" s="36" t="n">
        <v>-72.9385</v>
      </c>
      <c r="I61" s="37" t="n">
        <v>5.96225</v>
      </c>
      <c r="J61" s="22" t="n">
        <v>4.219964669738864</v>
      </c>
      <c r="K61" s="23" t="n">
        <v>5.421609499483063</v>
      </c>
      <c r="L61" s="23" t="n">
        <v>7.01768219832736</v>
      </c>
      <c r="M61" s="23" t="n">
        <v>8.223611111111113</v>
      </c>
      <c r="N61" s="23" t="n">
        <v>7.812570404505887</v>
      </c>
      <c r="O61" s="23" t="n">
        <v>6.123703703703704</v>
      </c>
      <c r="P61" s="23" t="n">
        <v>5.414093986459578</v>
      </c>
      <c r="Q61" s="23" t="n">
        <v>6.078972520908006</v>
      </c>
      <c r="R61" s="23" t="n">
        <v>5.550293742017881</v>
      </c>
      <c r="S61" s="23" t="n">
        <v>6.514314516129032</v>
      </c>
      <c r="T61" s="23" t="n">
        <v>7.66875</v>
      </c>
      <c r="U61" s="23" t="n">
        <v>5.332543600031781</v>
      </c>
      <c r="V61" s="38" t="n">
        <v>6.281509162701355</v>
      </c>
      <c r="W61" s="39" t="n">
        <v>106</v>
      </c>
      <c r="X61" s="24" t="n">
        <v>0.8833333333333333</v>
      </c>
    </row>
    <row r="62" ht="13.9" customHeight="1">
      <c r="A62" s="10" t="n">
        <v>24035310</v>
      </c>
      <c r="B62" s="35" t="inlineStr">
        <is>
          <t>CO</t>
        </is>
      </c>
      <c r="C62" s="35" t="inlineStr">
        <is>
          <t>Chiscas</t>
        </is>
      </c>
      <c r="D62" s="35" t="inlineStr">
        <is>
          <t>Chiscas</t>
        </is>
      </c>
      <c r="E62" s="21" t="inlineStr">
        <is>
          <t>Boyacá</t>
        </is>
      </c>
      <c r="F62" s="35" t="n">
        <v>6</v>
      </c>
      <c r="G62" s="35" t="n">
        <v>2350</v>
      </c>
      <c r="H62" s="36" t="n">
        <v>-72.50472222</v>
      </c>
      <c r="I62" s="37" t="n">
        <v>6.54952778</v>
      </c>
      <c r="J62" s="22" t="n">
        <v>9.75558388130929</v>
      </c>
      <c r="K62" s="23" t="n">
        <v>10.14777177371209</v>
      </c>
      <c r="L62" s="23" t="n">
        <v>10.5189821303593</v>
      </c>
      <c r="M62" s="23" t="n">
        <v>11.02324002397894</v>
      </c>
      <c r="N62" s="23" t="n">
        <v>11.24032239987826</v>
      </c>
      <c r="O62" s="23" t="n">
        <v>10.99317641798022</v>
      </c>
      <c r="P62" s="23" t="n">
        <v>10.7266712929532</v>
      </c>
      <c r="Q62" s="23" t="n">
        <v>10.68780570100986</v>
      </c>
      <c r="R62" s="23" t="n">
        <v>10.55201043605182</v>
      </c>
      <c r="S62" s="23" t="n">
        <v>10.4942084809539</v>
      </c>
      <c r="T62" s="23" t="n">
        <v>10.39175238863653</v>
      </c>
      <c r="U62" s="23" t="n">
        <v>9.999487598750546</v>
      </c>
      <c r="V62" s="38" t="n">
        <v>10.54425104379783</v>
      </c>
      <c r="W62" s="39" t="n">
        <v>323</v>
      </c>
      <c r="X62" s="24" t="n">
        <v>0.8972222222222223</v>
      </c>
    </row>
    <row r="63" ht="13.9" customHeight="1">
      <c r="A63" s="10" t="n">
        <v>24035250</v>
      </c>
      <c r="B63" s="35" t="inlineStr">
        <is>
          <t>CO</t>
        </is>
      </c>
      <c r="C63" s="35" t="inlineStr">
        <is>
          <t>Chita - AUT</t>
        </is>
      </c>
      <c r="D63" s="35" t="inlineStr">
        <is>
          <t>Chita</t>
        </is>
      </c>
      <c r="E63" s="21" t="inlineStr">
        <is>
          <t>Boyacá</t>
        </is>
      </c>
      <c r="F63" s="35" t="n">
        <v>6</v>
      </c>
      <c r="G63" s="35" t="n">
        <v>2888</v>
      </c>
      <c r="H63" s="36" t="n">
        <v>-72.46633333</v>
      </c>
      <c r="I63" s="37" t="n">
        <v>6.18833333</v>
      </c>
      <c r="J63" s="22" t="n">
        <v>5.156324649880224</v>
      </c>
      <c r="K63" s="23" t="n">
        <v>5.561018125552608</v>
      </c>
      <c r="L63" s="23" t="n">
        <v>6.455011682586766</v>
      </c>
      <c r="M63" s="23" t="n">
        <v>7.223861423879896</v>
      </c>
      <c r="N63" s="23" t="n">
        <v>7.631430934656742</v>
      </c>
      <c r="O63" s="23" t="n">
        <v>7.366907030815077</v>
      </c>
      <c r="P63" s="23" t="n">
        <v>7.138078798115875</v>
      </c>
      <c r="Q63" s="23" t="n">
        <v>7.05940812150675</v>
      </c>
      <c r="R63" s="23" t="n">
        <v>6.699165602383992</v>
      </c>
      <c r="S63" s="23" t="n">
        <v>6.768858560794045</v>
      </c>
      <c r="T63" s="23" t="n">
        <v>6.688901473154346</v>
      </c>
      <c r="U63" s="23" t="n">
        <v>5.603375645245211</v>
      </c>
      <c r="V63" s="38" t="n">
        <v>6.612695170714294</v>
      </c>
      <c r="W63" s="39" t="n">
        <v>324</v>
      </c>
      <c r="X63" s="24" t="n">
        <v>0.9</v>
      </c>
    </row>
    <row r="64" ht="13.9" customHeight="1">
      <c r="A64" s="10" t="n">
        <v>35095030</v>
      </c>
      <c r="B64" s="35" t="inlineStr">
        <is>
          <t>CO</t>
        </is>
      </c>
      <c r="C64" s="35" t="inlineStr">
        <is>
          <t>El Tunel</t>
        </is>
      </c>
      <c r="D64" s="35" t="inlineStr">
        <is>
          <t>Cuítiva</t>
        </is>
      </c>
      <c r="E64" s="21" t="inlineStr">
        <is>
          <t>Boyacá</t>
        </is>
      </c>
      <c r="F64" s="35" t="n">
        <v>6</v>
      </c>
      <c r="G64" s="35" t="n">
        <v>3000</v>
      </c>
      <c r="H64" s="36" t="n">
        <v>-72.94769443999999</v>
      </c>
      <c r="I64" s="37" t="n">
        <v>5.57491389</v>
      </c>
      <c r="J64" s="22" t="n">
        <v>7.245503893214684</v>
      </c>
      <c r="K64" s="23" t="n">
        <v>7.805309659944141</v>
      </c>
      <c r="L64" s="23" t="n">
        <v>8.291135335558028</v>
      </c>
      <c r="M64" s="23" t="n">
        <v>8.975302955665025</v>
      </c>
      <c r="N64" s="23" t="n">
        <v>9.136879723909756</v>
      </c>
      <c r="O64" s="23" t="n">
        <v>8.8860056839712</v>
      </c>
      <c r="P64" s="23" t="n">
        <v>8.395154286655956</v>
      </c>
      <c r="Q64" s="23" t="n">
        <v>8.357120257075762</v>
      </c>
      <c r="R64" s="23" t="n">
        <v>8.076444170771758</v>
      </c>
      <c r="S64" s="23" t="n">
        <v>8.11307603686636</v>
      </c>
      <c r="T64" s="23" t="n">
        <v>8.308298008352356</v>
      </c>
      <c r="U64" s="23" t="n">
        <v>7.76344606588155</v>
      </c>
      <c r="V64" s="38" t="n">
        <v>8.27947300648888</v>
      </c>
      <c r="W64" s="39" t="n">
        <v>115</v>
      </c>
      <c r="X64" s="24" t="n">
        <v>0.9583333333333334</v>
      </c>
    </row>
    <row r="65" ht="13.9" customHeight="1">
      <c r="A65" s="10" t="n">
        <v>24035120</v>
      </c>
      <c r="B65" s="35" t="inlineStr">
        <is>
          <t>AM</t>
        </is>
      </c>
      <c r="C65" s="35" t="inlineStr">
        <is>
          <t>Surbata Bonza</t>
        </is>
      </c>
      <c r="D65" s="35" t="inlineStr">
        <is>
          <t>Duitama</t>
        </is>
      </c>
      <c r="E65" s="21" t="inlineStr">
        <is>
          <t>Boyacá</t>
        </is>
      </c>
      <c r="F65" s="35" t="n">
        <v>6</v>
      </c>
      <c r="G65" s="35" t="n">
        <v>2485</v>
      </c>
      <c r="H65" s="36" t="n">
        <v>-73.07447222</v>
      </c>
      <c r="I65" s="37" t="n">
        <v>5.80244444</v>
      </c>
      <c r="J65" s="22" t="n">
        <v>5.566146654363287</v>
      </c>
      <c r="K65" s="23" t="n">
        <v>6.045019489034482</v>
      </c>
      <c r="L65" s="23" t="n">
        <v>7.41524117289367</v>
      </c>
      <c r="M65" s="23" t="n">
        <v>8.547649121206595</v>
      </c>
      <c r="N65" s="23" t="n">
        <v>8.409335063650969</v>
      </c>
      <c r="O65" s="23" t="n">
        <v>7.272110161443493</v>
      </c>
      <c r="P65" s="23" t="n">
        <v>6.608547866462216</v>
      </c>
      <c r="Q65" s="23" t="n">
        <v>6.556861469281818</v>
      </c>
      <c r="R65" s="23" t="n">
        <v>6.201025396147868</v>
      </c>
      <c r="S65" s="23" t="n">
        <v>7.197958689702768</v>
      </c>
      <c r="T65" s="23" t="n">
        <v>7.978230375780912</v>
      </c>
      <c r="U65" s="23" t="n">
        <v>6.753473693370564</v>
      </c>
      <c r="V65" s="38" t="n">
        <v>7.045966596111555</v>
      </c>
      <c r="W65" s="39" t="n">
        <v>347</v>
      </c>
      <c r="X65" s="24" t="n">
        <v>0.9638888888888889</v>
      </c>
    </row>
    <row r="66" ht="13.9" customHeight="1">
      <c r="A66" s="10" t="n">
        <v>24035070</v>
      </c>
      <c r="B66" s="35" t="inlineStr">
        <is>
          <t>CO</t>
        </is>
      </c>
      <c r="C66" s="35" t="inlineStr">
        <is>
          <t>Guicán</t>
        </is>
      </c>
      <c r="D66" s="35" t="inlineStr">
        <is>
          <t>Guicán</t>
        </is>
      </c>
      <c r="E66" s="21" t="inlineStr">
        <is>
          <t>Boyacá</t>
        </is>
      </c>
      <c r="F66" s="35" t="n">
        <v>6</v>
      </c>
      <c r="G66" s="35" t="n">
        <v>2963</v>
      </c>
      <c r="H66" s="36" t="n">
        <v>-72.40919443999999</v>
      </c>
      <c r="I66" s="37" t="n">
        <v>6.46347222</v>
      </c>
      <c r="J66" s="22" t="n">
        <v>7.274197209127132</v>
      </c>
      <c r="K66" s="23" t="n">
        <v>7.707562321911897</v>
      </c>
      <c r="L66" s="23" t="n">
        <v>8.167567071991989</v>
      </c>
      <c r="M66" s="23" t="n">
        <v>8.800811468990778</v>
      </c>
      <c r="N66" s="23" t="n">
        <v>9.062802942913251</v>
      </c>
      <c r="O66" s="23" t="n">
        <v>8.755354691030554</v>
      </c>
      <c r="P66" s="23" t="n">
        <v>8.315020293646946</v>
      </c>
      <c r="Q66" s="23" t="n">
        <v>8.154892031710718</v>
      </c>
      <c r="R66" s="23" t="n">
        <v>8.373975443724005</v>
      </c>
      <c r="S66" s="23" t="n">
        <v>8.367611289913159</v>
      </c>
      <c r="T66" s="23" t="n">
        <v>8.15746479527839</v>
      </c>
      <c r="U66" s="23" t="n">
        <v>7.696136526680577</v>
      </c>
      <c r="V66" s="38" t="n">
        <v>8.236116340576617</v>
      </c>
      <c r="W66" s="39" t="n">
        <v>293</v>
      </c>
      <c r="X66" s="24" t="n">
        <v>0.8138888888888889</v>
      </c>
    </row>
    <row r="67" ht="13.9" customHeight="1">
      <c r="A67" s="10" t="n">
        <v>24035240</v>
      </c>
      <c r="B67" s="35" t="inlineStr">
        <is>
          <t>CO</t>
        </is>
      </c>
      <c r="C67" s="35" t="inlineStr">
        <is>
          <t>Sierra Nevada del Cocuy</t>
        </is>
      </c>
      <c r="D67" s="35" t="inlineStr">
        <is>
          <t>Guicán</t>
        </is>
      </c>
      <c r="E67" s="21" t="inlineStr">
        <is>
          <t>Boyacá</t>
        </is>
      </c>
      <c r="F67" s="35" t="n">
        <v>6</v>
      </c>
      <c r="G67" s="35" t="n">
        <v>3716</v>
      </c>
      <c r="H67" s="36" t="n">
        <v>-72.37519444</v>
      </c>
      <c r="I67" s="37" t="n">
        <v>6.41008333</v>
      </c>
      <c r="J67" s="22" t="n">
        <v>-0.6977089245041732</v>
      </c>
      <c r="K67" s="23" t="n">
        <v>-0.3919519094520482</v>
      </c>
      <c r="L67" s="23" t="n">
        <v>0.6777577939428711</v>
      </c>
      <c r="M67" s="23" t="n">
        <v>1.288140126458974</v>
      </c>
      <c r="N67" s="23" t="n">
        <v>1.447227522513757</v>
      </c>
      <c r="O67" s="23" t="n">
        <v>1.562844031947741</v>
      </c>
      <c r="P67" s="23" t="n">
        <v>1.456060716301735</v>
      </c>
      <c r="Q67" s="23" t="n">
        <v>1.425938483900825</v>
      </c>
      <c r="R67" s="23" t="n">
        <v>1.409431716839993</v>
      </c>
      <c r="S67" s="23" t="n">
        <v>1.354834965961681</v>
      </c>
      <c r="T67" s="23" t="n">
        <v>1.326669555433923</v>
      </c>
      <c r="U67" s="23" t="n">
        <v>0.4399401859117401</v>
      </c>
      <c r="V67" s="38" t="n">
        <v>0.9415986887714182</v>
      </c>
      <c r="W67" s="39" t="n">
        <v>298</v>
      </c>
      <c r="X67" s="24" t="n">
        <v>0.8277777777777777</v>
      </c>
    </row>
    <row r="68" ht="13.9" customHeight="1">
      <c r="A68" s="10" t="n">
        <v>24035010</v>
      </c>
      <c r="B68" s="35" t="inlineStr">
        <is>
          <t>CO</t>
        </is>
      </c>
      <c r="C68" s="35" t="inlineStr">
        <is>
          <t>Cusagui</t>
        </is>
      </c>
      <c r="D68" s="35" t="inlineStr">
        <is>
          <t>La Uvita</t>
        </is>
      </c>
      <c r="E68" s="21" t="inlineStr">
        <is>
          <t>Boyacá</t>
        </is>
      </c>
      <c r="F68" s="35" t="n">
        <v>6</v>
      </c>
      <c r="G68" s="35" t="n">
        <v>2950</v>
      </c>
      <c r="H68" s="36" t="n">
        <v>-72.54888889</v>
      </c>
      <c r="I68" s="37" t="n">
        <v>6.24811111</v>
      </c>
      <c r="J68" s="22" t="n">
        <v>7.956727273201401</v>
      </c>
      <c r="K68" s="23" t="n">
        <v>8.067781895755841</v>
      </c>
      <c r="L68" s="23" t="n">
        <v>8.572413215123632</v>
      </c>
      <c r="M68" s="23" t="n">
        <v>9.14499187321276</v>
      </c>
      <c r="N68" s="23" t="n">
        <v>9.230191034621244</v>
      </c>
      <c r="O68" s="23" t="n">
        <v>8.824069835372518</v>
      </c>
      <c r="P68" s="23" t="n">
        <v>8.490549707666428</v>
      </c>
      <c r="Q68" s="23" t="n">
        <v>8.473145329689194</v>
      </c>
      <c r="R68" s="23" t="n">
        <v>8.496844219424679</v>
      </c>
      <c r="S68" s="23" t="n">
        <v>8.747178987840684</v>
      </c>
      <c r="T68" s="23" t="n">
        <v>8.826782115996675</v>
      </c>
      <c r="U68" s="23" t="n">
        <v>8.34000809051013</v>
      </c>
      <c r="V68" s="38" t="n">
        <v>8.59755696486793</v>
      </c>
      <c r="W68" s="39" t="n">
        <v>336</v>
      </c>
      <c r="X68" s="24" t="n">
        <v>0.9333333333333333</v>
      </c>
    </row>
    <row r="69" ht="13.9" customHeight="1">
      <c r="A69" s="10" t="n">
        <v>35075040</v>
      </c>
      <c r="B69" s="35" t="inlineStr">
        <is>
          <t>CP</t>
        </is>
      </c>
      <c r="C69" s="35" t="inlineStr">
        <is>
          <t>Institución Agrícola Macanal</t>
        </is>
      </c>
      <c r="D69" s="35" t="inlineStr">
        <is>
          <t>Macanal</t>
        </is>
      </c>
      <c r="E69" s="21" t="inlineStr">
        <is>
          <t>Boyacá</t>
        </is>
      </c>
      <c r="F69" s="35" t="n">
        <v>6</v>
      </c>
      <c r="G69" s="35" t="n">
        <v>1700</v>
      </c>
      <c r="H69" s="36" t="n">
        <v>-73.31675</v>
      </c>
      <c r="I69" s="37" t="n">
        <v>4.97436111</v>
      </c>
      <c r="J69" s="22" t="n">
        <v>13.06797552836485</v>
      </c>
      <c r="K69" s="23" t="n">
        <v>13.60296903907452</v>
      </c>
      <c r="L69" s="23" t="n">
        <v>14.23578573142271</v>
      </c>
      <c r="M69" s="23" t="n">
        <v>14.51311895639481</v>
      </c>
      <c r="N69" s="23" t="n">
        <v>14.43663164833354</v>
      </c>
      <c r="O69" s="23" t="n">
        <v>13.90504469987228</v>
      </c>
      <c r="P69" s="23" t="n">
        <v>13.55130183634838</v>
      </c>
      <c r="Q69" s="23" t="n">
        <v>13.4865987549519</v>
      </c>
      <c r="R69" s="23" t="n">
        <v>13.35897156684815</v>
      </c>
      <c r="S69" s="23" t="n">
        <v>13.78207885304659</v>
      </c>
      <c r="T69" s="23" t="n">
        <v>14.15967341725962</v>
      </c>
      <c r="U69" s="23" t="n">
        <v>13.57846866889136</v>
      </c>
      <c r="V69" s="38" t="n">
        <v>13.80655155840073</v>
      </c>
      <c r="W69" s="39" t="n">
        <v>217</v>
      </c>
      <c r="X69" s="24" t="n">
        <v>0.9041666666666667</v>
      </c>
    </row>
    <row r="70" ht="13.9" customHeight="1">
      <c r="A70" s="10" t="n">
        <v>35085040</v>
      </c>
      <c r="B70" s="35" t="inlineStr">
        <is>
          <t>CO</t>
        </is>
      </c>
      <c r="C70" s="35" t="inlineStr">
        <is>
          <t>El Vivero</t>
        </is>
      </c>
      <c r="D70" s="35" t="inlineStr">
        <is>
          <t xml:space="preserve">Miraflores </t>
        </is>
      </c>
      <c r="E70" s="21" t="inlineStr">
        <is>
          <t>Boyacá</t>
        </is>
      </c>
      <c r="F70" s="35" t="n">
        <v>6</v>
      </c>
      <c r="G70" s="35" t="n">
        <v>1640</v>
      </c>
      <c r="H70" s="36" t="n">
        <v>-73.14477778</v>
      </c>
      <c r="I70" s="37" t="n">
        <v>5.19255556</v>
      </c>
      <c r="J70" s="22" t="n">
        <v>13.82701399556238</v>
      </c>
      <c r="K70" s="23" t="n">
        <v>14.16113707493018</v>
      </c>
      <c r="L70" s="23" t="n">
        <v>14.35646505376344</v>
      </c>
      <c r="M70" s="23" t="n">
        <v>14.56561439518336</v>
      </c>
      <c r="N70" s="23" t="n">
        <v>14.23205703599813</v>
      </c>
      <c r="O70" s="23" t="n">
        <v>13.84925464190981</v>
      </c>
      <c r="P70" s="23" t="n">
        <v>13.61231765453679</v>
      </c>
      <c r="Q70" s="23" t="n">
        <v>13.52690033085194</v>
      </c>
      <c r="R70" s="23" t="n">
        <v>13.68558876117497</v>
      </c>
      <c r="S70" s="23" t="n">
        <v>13.91967741935484</v>
      </c>
      <c r="T70" s="23" t="n">
        <v>14.03908620689655</v>
      </c>
      <c r="U70" s="23" t="n">
        <v>14.21790322580645</v>
      </c>
      <c r="V70" s="38" t="n">
        <v>13.9994179829974</v>
      </c>
      <c r="W70" s="39" t="n">
        <v>112</v>
      </c>
      <c r="X70" s="24" t="n">
        <v>0.9333333333333333</v>
      </c>
    </row>
    <row r="71" ht="13.9" customHeight="1">
      <c r="A71" s="10" t="n">
        <v>35075010</v>
      </c>
      <c r="B71" s="35" t="inlineStr">
        <is>
          <t>AM</t>
        </is>
      </c>
      <c r="C71" s="35" t="inlineStr">
        <is>
          <t>Nuevo Colón</t>
        </is>
      </c>
      <c r="D71" s="35" t="inlineStr">
        <is>
          <t>Nuevo Colón</t>
        </is>
      </c>
      <c r="E71" s="21" t="inlineStr">
        <is>
          <t>Boyacá</t>
        </is>
      </c>
      <c r="F71" s="35" t="n">
        <v>6</v>
      </c>
      <c r="G71" s="35" t="n">
        <v>2438</v>
      </c>
      <c r="H71" s="36" t="n">
        <v>-73.45377778</v>
      </c>
      <c r="I71" s="37" t="n">
        <v>5.35269444</v>
      </c>
      <c r="J71" s="22" t="n">
        <v>9.15475763193672</v>
      </c>
      <c r="K71" s="23" t="n">
        <v>9.666369703973746</v>
      </c>
      <c r="L71" s="23" t="n">
        <v>10.55825865833614</v>
      </c>
      <c r="M71" s="23" t="n">
        <v>10.88711682782947</v>
      </c>
      <c r="N71" s="23" t="n">
        <v>11.01988607094302</v>
      </c>
      <c r="O71" s="23" t="n">
        <v>10.57650516260504</v>
      </c>
      <c r="P71" s="23" t="n">
        <v>10.11868743047831</v>
      </c>
      <c r="Q71" s="23" t="n">
        <v>9.92254338427481</v>
      </c>
      <c r="R71" s="23" t="n">
        <v>9.57296573114647</v>
      </c>
      <c r="S71" s="23" t="n">
        <v>9.992631863587196</v>
      </c>
      <c r="T71" s="23" t="n">
        <v>10.44054976632563</v>
      </c>
      <c r="U71" s="23" t="n">
        <v>9.73126092483712</v>
      </c>
      <c r="V71" s="38" t="n">
        <v>10.13679442968947</v>
      </c>
      <c r="W71" s="39" t="n">
        <v>344</v>
      </c>
      <c r="X71" s="24" t="n">
        <v>0.9555555555555556</v>
      </c>
    </row>
    <row r="72" ht="13.9" customHeight="1">
      <c r="A72" s="10" t="n">
        <v>23125080</v>
      </c>
      <c r="B72" s="35" t="inlineStr">
        <is>
          <t>CO</t>
        </is>
      </c>
      <c r="C72" s="35" t="inlineStr">
        <is>
          <t>Otanche</t>
        </is>
      </c>
      <c r="D72" s="35" t="inlineStr">
        <is>
          <t>Otanche</t>
        </is>
      </c>
      <c r="E72" s="21" t="inlineStr">
        <is>
          <t>Boyacá</t>
        </is>
      </c>
      <c r="F72" s="35" t="n">
        <v>6</v>
      </c>
      <c r="G72" s="35" t="n">
        <v>1100</v>
      </c>
      <c r="H72" s="36" t="n">
        <v>-74.18461111000001</v>
      </c>
      <c r="I72" s="37" t="n">
        <v>5.66172222</v>
      </c>
      <c r="J72" s="22" t="n">
        <v>18.70378243277205</v>
      </c>
      <c r="K72" s="23" t="n">
        <v>18.89053605781192</v>
      </c>
      <c r="L72" s="23" t="n">
        <v>18.91263310644589</v>
      </c>
      <c r="M72" s="23" t="n">
        <v>18.89495116469293</v>
      </c>
      <c r="N72" s="23" t="n">
        <v>19.03393944260511</v>
      </c>
      <c r="O72" s="23" t="n">
        <v>18.79273432805528</v>
      </c>
      <c r="P72" s="23" t="n">
        <v>18.61776657532403</v>
      </c>
      <c r="Q72" s="23" t="n">
        <v>18.77686266056936</v>
      </c>
      <c r="R72" s="23" t="n">
        <v>18.53727205876728</v>
      </c>
      <c r="S72" s="23" t="n">
        <v>18.6220538385585</v>
      </c>
      <c r="T72" s="23" t="n">
        <v>18.57430063763397</v>
      </c>
      <c r="U72" s="23" t="n">
        <v>18.72451426862852</v>
      </c>
      <c r="V72" s="38" t="n">
        <v>18.75677888098874</v>
      </c>
      <c r="W72" s="39" t="n">
        <v>314</v>
      </c>
      <c r="X72" s="24" t="n">
        <v>0.8722222222222222</v>
      </c>
    </row>
    <row r="73" ht="13.9" customHeight="1">
      <c r="A73" s="10" t="n">
        <v>24025030</v>
      </c>
      <c r="B73" s="35" t="inlineStr">
        <is>
          <t>CP</t>
        </is>
      </c>
      <c r="C73" s="35" t="inlineStr">
        <is>
          <t>La Sierra - AUT</t>
        </is>
      </c>
      <c r="D73" s="35" t="inlineStr">
        <is>
          <t>Paipa</t>
        </is>
      </c>
      <c r="E73" s="21" t="inlineStr">
        <is>
          <t>Boyacá</t>
        </is>
      </c>
      <c r="F73" s="35" t="n">
        <v>6</v>
      </c>
      <c r="G73" s="35" t="n">
        <v>2700</v>
      </c>
      <c r="H73" s="36" t="n">
        <v>-73.16389138999999</v>
      </c>
      <c r="I73" s="37" t="n">
        <v>5.96638889</v>
      </c>
      <c r="J73" s="22" t="n">
        <v>8.026797789299804</v>
      </c>
      <c r="K73" s="23" t="n">
        <v>8.109868341028362</v>
      </c>
      <c r="L73" s="23" t="n">
        <v>8.281573234008608</v>
      </c>
      <c r="M73" s="23" t="n">
        <v>8.638822748661038</v>
      </c>
      <c r="N73" s="23" t="n">
        <v>8.643899460698053</v>
      </c>
      <c r="O73" s="23" t="n">
        <v>8.568984211191109</v>
      </c>
      <c r="P73" s="23" t="n">
        <v>8.465101871166848</v>
      </c>
      <c r="Q73" s="23" t="n">
        <v>8.49820672445351</v>
      </c>
      <c r="R73" s="23" t="n">
        <v>8.4089090124215</v>
      </c>
      <c r="S73" s="23" t="n">
        <v>8.342192152860118</v>
      </c>
      <c r="T73" s="23" t="n">
        <v>8.391458882098206</v>
      </c>
      <c r="U73" s="23" t="n">
        <v>8.195224754850647</v>
      </c>
      <c r="V73" s="38" t="n">
        <v>8.380919931894818</v>
      </c>
      <c r="W73" s="39" t="n">
        <v>351</v>
      </c>
      <c r="X73" s="24" t="n">
        <v>0.975</v>
      </c>
    </row>
    <row r="74" ht="13.9" customHeight="1">
      <c r="A74" s="10" t="n">
        <v>24035430</v>
      </c>
      <c r="B74" s="35" t="inlineStr">
        <is>
          <t>AM</t>
        </is>
      </c>
      <c r="C74" s="35" t="inlineStr">
        <is>
          <t xml:space="preserve">Tunguavita - AUT </t>
        </is>
      </c>
      <c r="D74" s="35" t="inlineStr">
        <is>
          <t>Paipa</t>
        </is>
      </c>
      <c r="E74" s="21" t="inlineStr">
        <is>
          <t>Boyacá</t>
        </is>
      </c>
      <c r="F74" s="35" t="n">
        <v>6</v>
      </c>
      <c r="G74" s="35" t="n">
        <v>2470</v>
      </c>
      <c r="H74" s="36" t="n">
        <v>-73.11636111</v>
      </c>
      <c r="I74" s="37" t="n">
        <v>5.74591667</v>
      </c>
      <c r="J74" s="22" t="n">
        <v>5.80626887017321</v>
      </c>
      <c r="K74" s="23" t="n">
        <v>6.368974325097989</v>
      </c>
      <c r="L74" s="23" t="n">
        <v>7.751495704613984</v>
      </c>
      <c r="M74" s="23" t="n">
        <v>8.642001585414189</v>
      </c>
      <c r="N74" s="23" t="n">
        <v>8.625743948302349</v>
      </c>
      <c r="O74" s="23" t="n">
        <v>7.55213054187192</v>
      </c>
      <c r="P74" s="23" t="n">
        <v>6.748305893547631</v>
      </c>
      <c r="Q74" s="23" t="n">
        <v>6.686798225737789</v>
      </c>
      <c r="R74" s="23" t="n">
        <v>6.577004617349445</v>
      </c>
      <c r="S74" s="23" t="n">
        <v>7.55369670003708</v>
      </c>
      <c r="T74" s="23" t="n">
        <v>8.406424173117523</v>
      </c>
      <c r="U74" s="23" t="n">
        <v>7.02241167434716</v>
      </c>
      <c r="V74" s="38" t="n">
        <v>7.311771354967522</v>
      </c>
      <c r="W74" s="39" t="n">
        <v>338</v>
      </c>
      <c r="X74" s="24" t="n">
        <v>0.9388888888888889</v>
      </c>
    </row>
    <row r="75" ht="13.9" customHeight="1">
      <c r="A75" s="10" t="n">
        <v>35195050</v>
      </c>
      <c r="B75" s="35" t="inlineStr">
        <is>
          <t>CO</t>
        </is>
      </c>
      <c r="C75" s="35" t="inlineStr">
        <is>
          <t>Corinto</t>
        </is>
      </c>
      <c r="D75" s="35" t="inlineStr">
        <is>
          <t>Pajarito</t>
        </is>
      </c>
      <c r="E75" s="21" t="inlineStr">
        <is>
          <t>Boyacá</t>
        </is>
      </c>
      <c r="F75" s="35" t="n">
        <v>6</v>
      </c>
      <c r="G75" s="35" t="n">
        <v>1550</v>
      </c>
      <c r="H75" s="36" t="n">
        <v>-72.71722222000001</v>
      </c>
      <c r="I75" s="37" t="n">
        <v>5.407277779999999</v>
      </c>
      <c r="J75" s="22" t="n">
        <v>14.68721707246735</v>
      </c>
      <c r="K75" s="23" t="n">
        <v>15.10883478590375</v>
      </c>
      <c r="L75" s="23" t="n">
        <v>15.70126177233963</v>
      </c>
      <c r="M75" s="23" t="n">
        <v>15.96667816091954</v>
      </c>
      <c r="N75" s="23" t="n">
        <v>15.81636559139785</v>
      </c>
      <c r="O75" s="23" t="n">
        <v>15.57737931034483</v>
      </c>
      <c r="P75" s="23" t="n">
        <v>15.22725499231951</v>
      </c>
      <c r="Q75" s="23" t="n">
        <v>15.24686243974787</v>
      </c>
      <c r="R75" s="23" t="n">
        <v>15.18462068965517</v>
      </c>
      <c r="S75" s="23" t="n">
        <v>15.31622461170848</v>
      </c>
      <c r="T75" s="23" t="n">
        <v>15.40827586206897</v>
      </c>
      <c r="U75" s="23" t="n">
        <v>14.87474462365592</v>
      </c>
      <c r="V75" s="38" t="n">
        <v>15.34297665937741</v>
      </c>
      <c r="W75" s="39" t="n">
        <v>115</v>
      </c>
      <c r="X75" s="24" t="n">
        <v>0.9583333333333334</v>
      </c>
    </row>
    <row r="76" ht="13.9" customHeight="1">
      <c r="A76" s="10" t="n">
        <v>23125140</v>
      </c>
      <c r="B76" s="35" t="inlineStr">
        <is>
          <t>CO</t>
        </is>
      </c>
      <c r="C76" s="35" t="inlineStr">
        <is>
          <t>Aeropuerto Furatena - AUT</t>
        </is>
      </c>
      <c r="D76" s="35" t="inlineStr">
        <is>
          <t>Quípama</t>
        </is>
      </c>
      <c r="E76" s="21" t="inlineStr">
        <is>
          <t>Boyacá</t>
        </is>
      </c>
      <c r="F76" s="35" t="n">
        <v>6</v>
      </c>
      <c r="G76" s="35" t="n">
        <v>1250</v>
      </c>
      <c r="H76" s="36" t="n">
        <v>-74.18241666999999</v>
      </c>
      <c r="I76" s="37" t="n">
        <v>5.52083333</v>
      </c>
      <c r="J76" s="22" t="n">
        <v>17.69713453927158</v>
      </c>
      <c r="K76" s="23" t="n">
        <v>17.70098980163598</v>
      </c>
      <c r="L76" s="23" t="n">
        <v>17.73236273922592</v>
      </c>
      <c r="M76" s="23" t="n">
        <v>17.62879982219372</v>
      </c>
      <c r="N76" s="23" t="n">
        <v>17.86893861099831</v>
      </c>
      <c r="O76" s="23" t="n">
        <v>17.79126859730308</v>
      </c>
      <c r="P76" s="23" t="n">
        <v>17.61315978277952</v>
      </c>
      <c r="Q76" s="23" t="n">
        <v>17.6108625601729</v>
      </c>
      <c r="R76" s="23" t="n">
        <v>17.65629355956942</v>
      </c>
      <c r="S76" s="23" t="n">
        <v>17.69828352098059</v>
      </c>
      <c r="T76" s="23" t="n">
        <v>17.80747776306889</v>
      </c>
      <c r="U76" s="23" t="n">
        <v>17.86245453917432</v>
      </c>
      <c r="V76" s="38" t="n">
        <v>17.72233548636452</v>
      </c>
      <c r="W76" s="39" t="n">
        <v>314</v>
      </c>
      <c r="X76" s="24" t="n">
        <v>0.8722222222222222</v>
      </c>
    </row>
    <row r="77" ht="13.9" customHeight="1">
      <c r="A77" s="10" t="n">
        <v>35075030</v>
      </c>
      <c r="B77" s="35" t="inlineStr">
        <is>
          <t>CO</t>
        </is>
      </c>
      <c r="C77" s="35" t="inlineStr">
        <is>
          <t>Villa Luisa</t>
        </is>
      </c>
      <c r="D77" s="35" t="inlineStr">
        <is>
          <t>Ramiriquí</t>
        </is>
      </c>
      <c r="E77" s="21" t="inlineStr">
        <is>
          <t>Boyacá</t>
        </is>
      </c>
      <c r="F77" s="35" t="n">
        <v>6</v>
      </c>
      <c r="G77" s="35" t="n">
        <v>2200</v>
      </c>
      <c r="H77" s="36" t="n">
        <v>-73.34941667</v>
      </c>
      <c r="I77" s="37" t="n">
        <v>5.42222222</v>
      </c>
      <c r="J77" s="22" t="n">
        <v>10.78029035436199</v>
      </c>
      <c r="K77" s="23" t="n">
        <v>11.33573540324618</v>
      </c>
      <c r="L77" s="23" t="n">
        <v>12.40962864721486</v>
      </c>
      <c r="M77" s="23" t="n">
        <v>12.83488112781216</v>
      </c>
      <c r="N77" s="23" t="n">
        <v>12.99742383512545</v>
      </c>
      <c r="O77" s="23" t="n">
        <v>12.43081896551724</v>
      </c>
      <c r="P77" s="23" t="n">
        <v>11.93279876190937</v>
      </c>
      <c r="Q77" s="23" t="n">
        <v>11.71482091212458</v>
      </c>
      <c r="R77" s="23" t="n">
        <v>11.18889545703339</v>
      </c>
      <c r="S77" s="23" t="n">
        <v>11.51729936107215</v>
      </c>
      <c r="T77" s="23" t="n">
        <v>12.2136231884058</v>
      </c>
      <c r="U77" s="23" t="n">
        <v>11.58019991348412</v>
      </c>
      <c r="V77" s="38" t="n">
        <v>11.91136799394227</v>
      </c>
      <c r="W77" s="39" t="n">
        <v>291</v>
      </c>
      <c r="X77" s="24" t="n">
        <v>0.8083333333333333</v>
      </c>
    </row>
    <row r="78" ht="13.9" customHeight="1">
      <c r="A78" s="10" t="n">
        <v>24015220</v>
      </c>
      <c r="B78" s="35" t="inlineStr">
        <is>
          <t>CP</t>
        </is>
      </c>
      <c r="C78" s="35" t="inlineStr">
        <is>
          <t>Villa Carmen</t>
        </is>
      </c>
      <c r="D78" s="35" t="inlineStr">
        <is>
          <t>Samacá</t>
        </is>
      </c>
      <c r="E78" s="21" t="inlineStr">
        <is>
          <t>Boyacá</t>
        </is>
      </c>
      <c r="F78" s="35" t="n">
        <v>6</v>
      </c>
      <c r="G78" s="35" t="n">
        <v>2600</v>
      </c>
      <c r="H78" s="36" t="n">
        <v>-73.49577778</v>
      </c>
      <c r="I78" s="37" t="n">
        <v>5.509388889999999</v>
      </c>
      <c r="J78" s="22" t="n">
        <v>7.551626939986228</v>
      </c>
      <c r="K78" s="23" t="n">
        <v>8.40314489682306</v>
      </c>
      <c r="L78" s="23" t="n">
        <v>9.203645941211821</v>
      </c>
      <c r="M78" s="23" t="n">
        <v>9.648045889900827</v>
      </c>
      <c r="N78" s="23" t="n">
        <v>9.761889200005115</v>
      </c>
      <c r="O78" s="23" t="n">
        <v>9.299278416347381</v>
      </c>
      <c r="P78" s="23" t="n">
        <v>8.901509939819173</v>
      </c>
      <c r="Q78" s="23" t="n">
        <v>8.693120049559717</v>
      </c>
      <c r="R78" s="23" t="n">
        <v>8.26551900070373</v>
      </c>
      <c r="S78" s="23" t="n">
        <v>8.498079612267599</v>
      </c>
      <c r="T78" s="23" t="n">
        <v>8.922222222222224</v>
      </c>
      <c r="U78" s="23" t="n">
        <v>8.062958843159068</v>
      </c>
      <c r="V78" s="38" t="n">
        <v>8.767586746000497</v>
      </c>
      <c r="W78" s="39" t="n">
        <v>334</v>
      </c>
      <c r="X78" s="24" t="n">
        <v>0.9277777777777778</v>
      </c>
    </row>
    <row r="79" ht="13.9" customHeight="1">
      <c r="A79" s="10" t="n">
        <v>24015090</v>
      </c>
      <c r="B79" s="35" t="inlineStr">
        <is>
          <t>CO</t>
        </is>
      </c>
      <c r="C79" s="35" t="inlineStr">
        <is>
          <t>Institución Agrícola Santa Sofía</t>
        </is>
      </c>
      <c r="D79" s="35" t="inlineStr">
        <is>
          <t>Santa Sofía</t>
        </is>
      </c>
      <c r="E79" s="21" t="inlineStr">
        <is>
          <t>Boyacá</t>
        </is>
      </c>
      <c r="F79" s="35" t="n">
        <v>6</v>
      </c>
      <c r="G79" s="35" t="n">
        <v>2300</v>
      </c>
      <c r="H79" s="36" t="n">
        <v>-73.60227777999999</v>
      </c>
      <c r="I79" s="37" t="n">
        <v>5.71066667</v>
      </c>
      <c r="J79" s="22" t="n">
        <v>10.35550611790879</v>
      </c>
      <c r="K79" s="23" t="n">
        <v>10.64484869949767</v>
      </c>
      <c r="L79" s="23" t="n">
        <v>11.36157011409015</v>
      </c>
      <c r="M79" s="23" t="n">
        <v>11.74005868113478</v>
      </c>
      <c r="N79" s="23" t="n">
        <v>11.90985171406034</v>
      </c>
      <c r="O79" s="23" t="n">
        <v>11.69236611323968</v>
      </c>
      <c r="P79" s="23" t="n">
        <v>11.47881802826185</v>
      </c>
      <c r="Q79" s="23" t="n">
        <v>11.39937555137893</v>
      </c>
      <c r="R79" s="23" t="n">
        <v>11.22937715871128</v>
      </c>
      <c r="S79" s="23" t="n">
        <v>11.05071344388701</v>
      </c>
      <c r="T79" s="23" t="n">
        <v>11.06299735787603</v>
      </c>
      <c r="U79" s="23" t="n">
        <v>10.79410666684219</v>
      </c>
      <c r="V79" s="38" t="n">
        <v>11.22663247057406</v>
      </c>
      <c r="W79" s="39" t="n">
        <v>344</v>
      </c>
      <c r="X79" s="24" t="n">
        <v>0.9555555555555556</v>
      </c>
    </row>
    <row r="80" ht="13.9" customHeight="1">
      <c r="A80" s="10" t="n">
        <v>24035320</v>
      </c>
      <c r="B80" s="35" t="inlineStr">
        <is>
          <t>CO</t>
        </is>
      </c>
      <c r="C80" s="35" t="inlineStr">
        <is>
          <t>Sativanorte</t>
        </is>
      </c>
      <c r="D80" s="35" t="inlineStr">
        <is>
          <t>Sativanorte</t>
        </is>
      </c>
      <c r="E80" s="21" t="inlineStr">
        <is>
          <t>Boyacá</t>
        </is>
      </c>
      <c r="F80" s="35" t="n">
        <v>6</v>
      </c>
      <c r="G80" s="35" t="n">
        <v>2594</v>
      </c>
      <c r="H80" s="36" t="n">
        <v>-72.70483333</v>
      </c>
      <c r="I80" s="37" t="n">
        <v>6.116861109999999</v>
      </c>
      <c r="J80" s="22" t="n">
        <v>9.197258655323171</v>
      </c>
      <c r="K80" s="23" t="n">
        <v>9.407889843234669</v>
      </c>
      <c r="L80" s="23" t="n">
        <v>9.790493140526509</v>
      </c>
      <c r="M80" s="23" t="n">
        <v>10.29310755336617</v>
      </c>
      <c r="N80" s="23" t="n">
        <v>10.30765985194277</v>
      </c>
      <c r="O80" s="23" t="n">
        <v>9.978962585034013</v>
      </c>
      <c r="P80" s="23" t="n">
        <v>9.737181259600614</v>
      </c>
      <c r="Q80" s="23" t="n">
        <v>9.77571110757985</v>
      </c>
      <c r="R80" s="23" t="n">
        <v>9.655769230769232</v>
      </c>
      <c r="S80" s="23" t="n">
        <v>9.80707867017775</v>
      </c>
      <c r="T80" s="23" t="n">
        <v>9.914909101571663</v>
      </c>
      <c r="U80" s="23" t="n">
        <v>9.536505967151127</v>
      </c>
      <c r="V80" s="38" t="n">
        <v>9.783543913856462</v>
      </c>
      <c r="W80" s="39" t="n">
        <v>334</v>
      </c>
      <c r="X80" s="24" t="n">
        <v>0.9277777777777778</v>
      </c>
    </row>
    <row r="81" ht="13.9" customHeight="1">
      <c r="A81" s="10" t="n">
        <v>35235010</v>
      </c>
      <c r="B81" s="35" t="inlineStr">
        <is>
          <t>CO</t>
        </is>
      </c>
      <c r="C81" s="35" t="inlineStr">
        <is>
          <t>El Cardón</t>
        </is>
      </c>
      <c r="D81" s="35" t="inlineStr">
        <is>
          <t>Socotá</t>
        </is>
      </c>
      <c r="E81" s="21" t="inlineStr">
        <is>
          <t>Boyacá</t>
        </is>
      </c>
      <c r="F81" s="35" t="n">
        <v>6</v>
      </c>
      <c r="G81" s="35" t="n">
        <v>3590</v>
      </c>
      <c r="H81" s="36" t="n">
        <v>-72.52927778</v>
      </c>
      <c r="I81" s="37" t="n">
        <v>6.011666669999999</v>
      </c>
      <c r="J81" s="22" t="n">
        <v>2.92511497332298</v>
      </c>
      <c r="K81" s="23" t="n">
        <v>3.132461746211319</v>
      </c>
      <c r="L81" s="23" t="n">
        <v>3.553185985921289</v>
      </c>
      <c r="M81" s="23" t="n">
        <v>4.076893395135812</v>
      </c>
      <c r="N81" s="23" t="n">
        <v>4.144888788122595</v>
      </c>
      <c r="O81" s="23" t="n">
        <v>3.577286929049381</v>
      </c>
      <c r="P81" s="23" t="n">
        <v>3.279951032282511</v>
      </c>
      <c r="Q81" s="23" t="n">
        <v>3.27930357719568</v>
      </c>
      <c r="R81" s="23" t="n">
        <v>3.29803956043956</v>
      </c>
      <c r="S81" s="23" t="n">
        <v>3.608744222540563</v>
      </c>
      <c r="T81" s="23" t="n">
        <v>3.898819047619048</v>
      </c>
      <c r="U81" s="23" t="n">
        <v>3.244595228795498</v>
      </c>
      <c r="V81" s="38" t="n">
        <v>3.50160704055302</v>
      </c>
      <c r="W81" s="39" t="n">
        <v>310</v>
      </c>
      <c r="X81" s="24" t="n">
        <v>0.8611111111111112</v>
      </c>
    </row>
    <row r="82" ht="13.9" customHeight="1">
      <c r="A82" s="10" t="n">
        <v>24035340</v>
      </c>
      <c r="B82" s="35" t="inlineStr">
        <is>
          <t>CP</t>
        </is>
      </c>
      <c r="C82" s="11" t="inlineStr">
        <is>
          <t>Aeropuerto Alberto Lleras Camargo</t>
        </is>
      </c>
      <c r="D82" s="35" t="inlineStr">
        <is>
          <t>Sogamoso</t>
        </is>
      </c>
      <c r="E82" s="21" t="inlineStr">
        <is>
          <t>Boyacá</t>
        </is>
      </c>
      <c r="F82" s="35" t="n">
        <v>6</v>
      </c>
      <c r="G82" s="35" t="n">
        <v>2500</v>
      </c>
      <c r="H82" s="36" t="n">
        <v>-72.96791666999999</v>
      </c>
      <c r="I82" s="37" t="n">
        <v>5.67694444</v>
      </c>
      <c r="J82" s="22" t="n">
        <v>3.843800570102387</v>
      </c>
      <c r="K82" s="23" t="n">
        <v>4.364055875203318</v>
      </c>
      <c r="L82" s="23" t="n">
        <v>6.431075457991872</v>
      </c>
      <c r="M82" s="23" t="n">
        <v>7.919549484371716</v>
      </c>
      <c r="N82" s="23" t="n">
        <v>8.129244794476211</v>
      </c>
      <c r="O82" s="23" t="n">
        <v>7.242397859271424</v>
      </c>
      <c r="P82" s="23" t="n">
        <v>6.303639297436109</v>
      </c>
      <c r="Q82" s="23" t="n">
        <v>6.283863760187055</v>
      </c>
      <c r="R82" s="23" t="n">
        <v>5.78013164199793</v>
      </c>
      <c r="S82" s="23" t="n">
        <v>6.976600734545777</v>
      </c>
      <c r="T82" s="23" t="n">
        <v>7.686342625172673</v>
      </c>
      <c r="U82" s="23" t="n">
        <v>5.498770654195432</v>
      </c>
      <c r="V82" s="38" t="n">
        <v>6.371622729579326</v>
      </c>
      <c r="W82" s="39" t="n">
        <v>333</v>
      </c>
      <c r="X82" s="24" t="n">
        <v>0.925</v>
      </c>
    </row>
    <row r="83" ht="13.9" customHeight="1">
      <c r="A83" s="10" t="n">
        <v>35075020</v>
      </c>
      <c r="B83" s="35" t="inlineStr">
        <is>
          <t>CP</t>
        </is>
      </c>
      <c r="C83" s="35" t="inlineStr">
        <is>
          <t>Sutatenza</t>
        </is>
      </c>
      <c r="D83" s="35" t="inlineStr">
        <is>
          <t>Sutatenza</t>
        </is>
      </c>
      <c r="E83" s="21" t="inlineStr">
        <is>
          <t>Boyacá</t>
        </is>
      </c>
      <c r="F83" s="35" t="n">
        <v>6</v>
      </c>
      <c r="G83" s="35" t="n">
        <v>1930</v>
      </c>
      <c r="H83" s="36" t="n">
        <v>-73.44916667</v>
      </c>
      <c r="I83" s="37" t="n">
        <v>5.02227778</v>
      </c>
      <c r="J83" s="22" t="n">
        <v>13.49239117538005</v>
      </c>
      <c r="K83" s="23" t="n">
        <v>14.00057708834522</v>
      </c>
      <c r="L83" s="23" t="n">
        <v>14.69728984832798</v>
      </c>
      <c r="M83" s="23" t="n">
        <v>14.85383296661713</v>
      </c>
      <c r="N83" s="23" t="n">
        <v>14.66491104166299</v>
      </c>
      <c r="O83" s="23" t="n">
        <v>14.16516248048815</v>
      </c>
      <c r="P83" s="23" t="n">
        <v>13.70193813231633</v>
      </c>
      <c r="Q83" s="23" t="n">
        <v>13.650700267219</v>
      </c>
      <c r="R83" s="23" t="n">
        <v>13.60304714989444</v>
      </c>
      <c r="S83" s="23" t="n">
        <v>13.92075025890837</v>
      </c>
      <c r="T83" s="23" t="n">
        <v>14.28912487653272</v>
      </c>
      <c r="U83" s="23" t="n">
        <v>13.85425639803282</v>
      </c>
      <c r="V83" s="38" t="n">
        <v>14.07449847364377</v>
      </c>
      <c r="W83" s="39" t="n">
        <v>340</v>
      </c>
      <c r="X83" s="24" t="n">
        <v>0.9444444444444444</v>
      </c>
    </row>
    <row r="84" ht="13.9" customHeight="1">
      <c r="A84" s="10" t="n">
        <v>24035040</v>
      </c>
      <c r="B84" s="35" t="inlineStr">
        <is>
          <t>CO</t>
        </is>
      </c>
      <c r="C84" s="35" t="inlineStr">
        <is>
          <t xml:space="preserve">La Copa </t>
        </is>
      </c>
      <c r="D84" s="35" t="inlineStr">
        <is>
          <t>Toca</t>
        </is>
      </c>
      <c r="E84" s="21" t="inlineStr">
        <is>
          <t>Boyacá</t>
        </is>
      </c>
      <c r="F84" s="35" t="n">
        <v>6</v>
      </c>
      <c r="G84" s="35" t="n">
        <v>2700</v>
      </c>
      <c r="H84" s="36" t="n">
        <v>-73.20877777999999</v>
      </c>
      <c r="I84" s="37" t="n">
        <v>5.57919444</v>
      </c>
      <c r="J84" s="22" t="n">
        <v>5.720008737493588</v>
      </c>
      <c r="K84" s="23" t="n">
        <v>6.481427789135325</v>
      </c>
      <c r="L84" s="23" t="n">
        <v>7.774566583953684</v>
      </c>
      <c r="M84" s="23" t="n">
        <v>8.606564698250523</v>
      </c>
      <c r="N84" s="23" t="n">
        <v>8.508042226384831</v>
      </c>
      <c r="O84" s="23" t="n">
        <v>7.755014643593955</v>
      </c>
      <c r="P84" s="23" t="n">
        <v>7.292686126628285</v>
      </c>
      <c r="Q84" s="23" t="n">
        <v>7.183347182212587</v>
      </c>
      <c r="R84" s="23" t="n">
        <v>6.977271989977734</v>
      </c>
      <c r="S84" s="23" t="n">
        <v>7.471608983874277</v>
      </c>
      <c r="T84" s="23" t="n">
        <v>8.057814788647699</v>
      </c>
      <c r="U84" s="23" t="n">
        <v>6.867909869210006</v>
      </c>
      <c r="V84" s="38" t="n">
        <v>7.391355301613541</v>
      </c>
      <c r="W84" s="39" t="n">
        <v>307</v>
      </c>
      <c r="X84" s="24" t="n">
        <v>0.8527777777777777</v>
      </c>
    </row>
    <row r="85" ht="13.9" customHeight="1">
      <c r="A85" s="10" t="n">
        <v>24035130</v>
      </c>
      <c r="B85" s="35" t="inlineStr">
        <is>
          <t>CP</t>
        </is>
      </c>
      <c r="C85" s="35" t="inlineStr">
        <is>
          <t>U P T C</t>
        </is>
      </c>
      <c r="D85" s="35" t="inlineStr">
        <is>
          <t>Tunja</t>
        </is>
      </c>
      <c r="E85" s="21" t="inlineStr">
        <is>
          <t>Boyacá</t>
        </is>
      </c>
      <c r="F85" s="35" t="n">
        <v>6</v>
      </c>
      <c r="G85" s="35" t="n">
        <v>2690</v>
      </c>
      <c r="H85" s="36" t="n">
        <v>-73.36081306</v>
      </c>
      <c r="I85" s="37" t="n">
        <v>5.5430775</v>
      </c>
      <c r="J85" s="22" t="n">
        <v>7.414157292083342</v>
      </c>
      <c r="K85" s="23" t="n">
        <v>8.228588572644894</v>
      </c>
      <c r="L85" s="23" t="n">
        <v>9.278262987681787</v>
      </c>
      <c r="M85" s="23" t="n">
        <v>9.93108843537415</v>
      </c>
      <c r="N85" s="23" t="n">
        <v>9.871304258882795</v>
      </c>
      <c r="O85" s="23" t="n">
        <v>9.255497423701943</v>
      </c>
      <c r="P85" s="23" t="n">
        <v>8.603598858898398</v>
      </c>
      <c r="Q85" s="23" t="n">
        <v>8.496856769018894</v>
      </c>
      <c r="R85" s="23" t="n">
        <v>8.159618451306919</v>
      </c>
      <c r="S85" s="23" t="n">
        <v>8.690975422427035</v>
      </c>
      <c r="T85" s="23" t="n">
        <v>9.008838126159555</v>
      </c>
      <c r="U85" s="23" t="n">
        <v>8.200690653432588</v>
      </c>
      <c r="V85" s="38" t="n">
        <v>8.761623104301025</v>
      </c>
      <c r="W85" s="39" t="n">
        <v>340</v>
      </c>
      <c r="X85" s="24" t="n">
        <v>0.9444444444444444</v>
      </c>
    </row>
    <row r="86" ht="13.9" customHeight="1">
      <c r="A86" s="10" t="n">
        <v>24015300</v>
      </c>
      <c r="B86" s="35" t="inlineStr">
        <is>
          <t>CP</t>
        </is>
      </c>
      <c r="C86" s="35" t="inlineStr">
        <is>
          <t>Villa de Leyva</t>
        </is>
      </c>
      <c r="D86" s="35" t="inlineStr">
        <is>
          <t>Villa de Leiva</t>
        </is>
      </c>
      <c r="E86" s="21" t="inlineStr">
        <is>
          <t>Boyacá</t>
        </is>
      </c>
      <c r="F86" s="35" t="n">
        <v>6</v>
      </c>
      <c r="G86" s="35" t="n">
        <v>2215</v>
      </c>
      <c r="H86" s="36" t="n">
        <v>-73.54394443999999</v>
      </c>
      <c r="I86" s="37" t="n">
        <v>5.65583333</v>
      </c>
      <c r="J86" s="22" t="n">
        <v>9.732124239552864</v>
      </c>
      <c r="K86" s="23" t="n">
        <v>10.45196345309077</v>
      </c>
      <c r="L86" s="23" t="n">
        <v>11.08016264623606</v>
      </c>
      <c r="M86" s="23" t="n">
        <v>11.4725336076075</v>
      </c>
      <c r="N86" s="23" t="n">
        <v>11.48566797373428</v>
      </c>
      <c r="O86" s="23" t="n">
        <v>11.06120452796049</v>
      </c>
      <c r="P86" s="23" t="n">
        <v>10.51662842130473</v>
      </c>
      <c r="Q86" s="23" t="n">
        <v>10.55103762213973</v>
      </c>
      <c r="R86" s="23" t="n">
        <v>10.53725657165312</v>
      </c>
      <c r="S86" s="23" t="n">
        <v>10.8786055665417</v>
      </c>
      <c r="T86" s="23" t="n">
        <v>11.21257389162562</v>
      </c>
      <c r="U86" s="23" t="n">
        <v>10.59602467699153</v>
      </c>
      <c r="V86" s="38" t="n">
        <v>10.7979819332032</v>
      </c>
      <c r="W86" s="39" t="n">
        <v>311</v>
      </c>
      <c r="X86" s="24" t="n">
        <v>0.8638888888888889</v>
      </c>
    </row>
    <row r="87" ht="13.9" customHeight="1">
      <c r="A87" s="10" t="n">
        <v>26185010</v>
      </c>
      <c r="B87" s="35" t="inlineStr">
        <is>
          <t>CO</t>
        </is>
      </c>
      <c r="C87" s="35" t="inlineStr">
        <is>
          <t>La Pelada</t>
        </is>
      </c>
      <c r="D87" s="35" t="inlineStr">
        <is>
          <t>Aguadas</t>
        </is>
      </c>
      <c r="E87" s="21" t="inlineStr">
        <is>
          <t>Caldas</t>
        </is>
      </c>
      <c r="F87" s="35" t="n">
        <v>1</v>
      </c>
      <c r="G87" s="35" t="n">
        <v>2180</v>
      </c>
      <c r="H87" s="36" t="n">
        <v>-75.34477778</v>
      </c>
      <c r="I87" s="37" t="n">
        <v>5.578749999999999</v>
      </c>
      <c r="J87" s="22" t="n">
        <v>12.07498849850351</v>
      </c>
      <c r="K87" s="23" t="n">
        <v>12.18457491233016</v>
      </c>
      <c r="L87" s="23" t="n">
        <v>12.37712247969266</v>
      </c>
      <c r="M87" s="23" t="n">
        <v>12.41304896857528</v>
      </c>
      <c r="N87" s="23" t="n">
        <v>12.64072365826815</v>
      </c>
      <c r="O87" s="23" t="n">
        <v>12.53816923313293</v>
      </c>
      <c r="P87" s="23" t="n">
        <v>12.32541652669019</v>
      </c>
      <c r="Q87" s="23" t="n">
        <v>12.38858720117751</v>
      </c>
      <c r="R87" s="23" t="n">
        <v>12.31555968411504</v>
      </c>
      <c r="S87" s="23" t="n">
        <v>12.3101507198565</v>
      </c>
      <c r="T87" s="23" t="n">
        <v>12.32674889322399</v>
      </c>
      <c r="U87" s="23" t="n">
        <v>12.30717626020394</v>
      </c>
      <c r="V87" s="38" t="n">
        <v>12.35018891964749</v>
      </c>
      <c r="W87" s="39" t="n">
        <v>221</v>
      </c>
      <c r="X87" s="24" t="n">
        <v>0.9208333333333333</v>
      </c>
    </row>
    <row r="88" ht="13.9" customHeight="1">
      <c r="A88" s="10" t="n">
        <v>26145020</v>
      </c>
      <c r="B88" s="35" t="inlineStr">
        <is>
          <t>CO</t>
        </is>
      </c>
      <c r="C88" s="35" t="inlineStr">
        <is>
          <t>Bellavista</t>
        </is>
      </c>
      <c r="D88" s="35" t="inlineStr">
        <is>
          <t>Anserma</t>
        </is>
      </c>
      <c r="E88" s="21" t="inlineStr">
        <is>
          <t>Caldas</t>
        </is>
      </c>
      <c r="F88" s="35" t="n">
        <v>9</v>
      </c>
      <c r="G88" s="35" t="n">
        <v>1984</v>
      </c>
      <c r="H88" s="36" t="n">
        <v>-75.80013889</v>
      </c>
      <c r="I88" s="37" t="n">
        <v>5.27594444</v>
      </c>
      <c r="J88" s="22" t="n">
        <v>13.55832671161049</v>
      </c>
      <c r="K88" s="23" t="n">
        <v>13.74963273913902</v>
      </c>
      <c r="L88" s="23" t="n">
        <v>14.09235771397062</v>
      </c>
      <c r="M88" s="23" t="n">
        <v>14.15882846388028</v>
      </c>
      <c r="N88" s="23" t="n">
        <v>14.27602057035998</v>
      </c>
      <c r="O88" s="23" t="n">
        <v>13.97197692820256</v>
      </c>
      <c r="P88" s="23" t="n">
        <v>13.62930109243467</v>
      </c>
      <c r="Q88" s="23" t="n">
        <v>13.51583552309867</v>
      </c>
      <c r="R88" s="23" t="n">
        <v>13.60400348932676</v>
      </c>
      <c r="S88" s="23" t="n">
        <v>13.77605041757155</v>
      </c>
      <c r="T88" s="23" t="n">
        <v>13.84315634880972</v>
      </c>
      <c r="U88" s="23" t="n">
        <v>13.86973700407861</v>
      </c>
      <c r="V88" s="38" t="n">
        <v>13.83710225020691</v>
      </c>
      <c r="W88" s="39" t="n">
        <v>288</v>
      </c>
      <c r="X88" s="24" t="n">
        <v>0.8</v>
      </c>
    </row>
    <row r="89" ht="13.9" customHeight="1">
      <c r="A89" s="10" t="n">
        <v>26155110</v>
      </c>
      <c r="B89" s="35" t="inlineStr">
        <is>
          <t>CP</t>
        </is>
      </c>
      <c r="C89" s="35" t="inlineStr">
        <is>
          <t>Aeropuerto La Nubia</t>
        </is>
      </c>
      <c r="D89" s="35" t="inlineStr">
        <is>
          <t>Manizales</t>
        </is>
      </c>
      <c r="E89" s="21" t="inlineStr">
        <is>
          <t>Caldas</t>
        </is>
      </c>
      <c r="F89" s="35" t="n">
        <v>9</v>
      </c>
      <c r="G89" s="35" t="n">
        <v>2104</v>
      </c>
      <c r="H89" s="36" t="n">
        <v>-75.46991666999999</v>
      </c>
      <c r="I89" s="37" t="n">
        <v>5.02977778</v>
      </c>
      <c r="J89" s="22" t="n">
        <v>12.61667927326659</v>
      </c>
      <c r="K89" s="23" t="n">
        <v>12.89273942851529</v>
      </c>
      <c r="L89" s="23" t="n">
        <v>13.1088509984639</v>
      </c>
      <c r="M89" s="23" t="n">
        <v>13.33327932858967</v>
      </c>
      <c r="N89" s="23" t="n">
        <v>13.4605336519315</v>
      </c>
      <c r="O89" s="23" t="n">
        <v>13.49951468710089</v>
      </c>
      <c r="P89" s="23" t="n">
        <v>13.29035636303712</v>
      </c>
      <c r="Q89" s="23" t="n">
        <v>13.28714456391876</v>
      </c>
      <c r="R89" s="23" t="n">
        <v>12.95355389324738</v>
      </c>
      <c r="S89" s="23" t="n">
        <v>12.64236028142838</v>
      </c>
      <c r="T89" s="23" t="n">
        <v>12.67458492975734</v>
      </c>
      <c r="U89" s="23" t="n">
        <v>12.82017921146953</v>
      </c>
      <c r="V89" s="38" t="n">
        <v>13.04831471756053</v>
      </c>
      <c r="W89" s="39" t="n">
        <v>110</v>
      </c>
      <c r="X89" s="24" t="n">
        <v>0.9166666666666666</v>
      </c>
    </row>
    <row r="90" ht="13.9" customHeight="1">
      <c r="A90" s="10" t="n">
        <v>26155170</v>
      </c>
      <c r="B90" s="35" t="inlineStr">
        <is>
          <t>CO</t>
        </is>
      </c>
      <c r="C90" s="35" t="inlineStr">
        <is>
          <t xml:space="preserve">Finca Tesorito  - AUT </t>
        </is>
      </c>
      <c r="D90" s="35" t="inlineStr">
        <is>
          <t>Manizales</t>
        </is>
      </c>
      <c r="E90" s="21" t="inlineStr">
        <is>
          <t>Caldas</t>
        </is>
      </c>
      <c r="F90" s="35" t="n">
        <v>9</v>
      </c>
      <c r="G90" s="35" t="n">
        <v>2325</v>
      </c>
      <c r="H90" s="36" t="n">
        <v>-75.43833332999999</v>
      </c>
      <c r="I90" s="37" t="n">
        <v>5.03222222</v>
      </c>
      <c r="J90" s="22" t="n">
        <v>11.37413200613447</v>
      </c>
      <c r="K90" s="23" t="n">
        <v>11.6814985780503</v>
      </c>
      <c r="L90" s="23" t="n">
        <v>11.86215579038438</v>
      </c>
      <c r="M90" s="23" t="n">
        <v>12.02479406130268</v>
      </c>
      <c r="N90" s="23" t="n">
        <v>12.05232974910395</v>
      </c>
      <c r="O90" s="23" t="n">
        <v>11.82782608695652</v>
      </c>
      <c r="P90" s="23" t="n">
        <v>11.72508648901356</v>
      </c>
      <c r="Q90" s="23" t="n">
        <v>11.76560931899642</v>
      </c>
      <c r="R90" s="23" t="n">
        <v>11.71973333333333</v>
      </c>
      <c r="S90" s="23" t="n">
        <v>11.63741521918941</v>
      </c>
      <c r="T90" s="23" t="n">
        <v>11.58692413793104</v>
      </c>
      <c r="U90" s="23" t="n">
        <v>11.48359767025089</v>
      </c>
      <c r="V90" s="38" t="n">
        <v>11.72842520338725</v>
      </c>
      <c r="W90" s="39" t="n">
        <v>287</v>
      </c>
      <c r="X90" s="24" t="n">
        <v>0.7972222222222223</v>
      </c>
    </row>
    <row r="91" ht="13.9" customHeight="1">
      <c r="A91" s="10" t="n">
        <v>26185040</v>
      </c>
      <c r="B91" s="35" t="inlineStr">
        <is>
          <t>CO</t>
        </is>
      </c>
      <c r="C91" s="35" t="inlineStr">
        <is>
          <t>San Felix</t>
        </is>
      </c>
      <c r="D91" s="35" t="inlineStr">
        <is>
          <t xml:space="preserve">Salamina </t>
        </is>
      </c>
      <c r="E91" s="21" t="inlineStr">
        <is>
          <t>Caldas</t>
        </is>
      </c>
      <c r="F91" s="35" t="n">
        <v>1</v>
      </c>
      <c r="G91" s="35" t="n">
        <v>2690</v>
      </c>
      <c r="H91" s="36" t="n">
        <v>-75.37533332999999</v>
      </c>
      <c r="I91" s="37" t="n">
        <v>5.372944439999999</v>
      </c>
      <c r="J91" s="22" t="n">
        <v>5.132120669056153</v>
      </c>
      <c r="K91" s="23" t="n">
        <v>5.720307125888058</v>
      </c>
      <c r="L91" s="23" t="n">
        <v>6.071808725201385</v>
      </c>
      <c r="M91" s="23" t="n">
        <v>6.358222577762807</v>
      </c>
      <c r="N91" s="23" t="n">
        <v>6.656015325670499</v>
      </c>
      <c r="O91" s="23" t="n">
        <v>6.207495037802921</v>
      </c>
      <c r="P91" s="23" t="n">
        <v>5.96138682458544</v>
      </c>
      <c r="Q91" s="23" t="n">
        <v>5.838544640565217</v>
      </c>
      <c r="R91" s="23" t="n">
        <v>5.969515737073031</v>
      </c>
      <c r="S91" s="23" t="n">
        <v>6.067001449077963</v>
      </c>
      <c r="T91" s="23" t="n">
        <v>6.178734839801451</v>
      </c>
      <c r="U91" s="23" t="n">
        <v>5.460377958619061</v>
      </c>
      <c r="V91" s="38" t="n">
        <v>5.968460909258666</v>
      </c>
      <c r="W91" s="39" t="n">
        <v>327</v>
      </c>
      <c r="X91" s="24" t="n">
        <v>0.9083333333333333</v>
      </c>
    </row>
    <row r="92" ht="13.9" customHeight="1">
      <c r="A92" s="10" t="n">
        <v>23055040</v>
      </c>
      <c r="B92" s="35" t="inlineStr">
        <is>
          <t>CO</t>
        </is>
      </c>
      <c r="C92" s="35" t="inlineStr">
        <is>
          <t>Samaná</t>
        </is>
      </c>
      <c r="D92" s="35" t="inlineStr">
        <is>
          <t>Samaná</t>
        </is>
      </c>
      <c r="E92" s="21" t="inlineStr">
        <is>
          <t>Caldas</t>
        </is>
      </c>
      <c r="F92" s="35" t="n">
        <v>10</v>
      </c>
      <c r="G92" s="35" t="n">
        <v>1532</v>
      </c>
      <c r="H92" s="36" t="n">
        <v>-74.99292778</v>
      </c>
      <c r="I92" s="37" t="n">
        <v>5.41828806</v>
      </c>
      <c r="J92" s="22" t="n">
        <v>16.68126540936816</v>
      </c>
      <c r="K92" s="23" t="n">
        <v>16.80406471929686</v>
      </c>
      <c r="L92" s="23" t="n">
        <v>16.73736176572079</v>
      </c>
      <c r="M92" s="23" t="n">
        <v>16.81429474186406</v>
      </c>
      <c r="N92" s="23" t="n">
        <v>16.92166566197081</v>
      </c>
      <c r="O92" s="23" t="n">
        <v>17.32399768840142</v>
      </c>
      <c r="P92" s="23" t="n">
        <v>16.78852483149106</v>
      </c>
      <c r="Q92" s="23" t="n">
        <v>16.99302516391574</v>
      </c>
      <c r="R92" s="23" t="n">
        <v>16.7940049395581</v>
      </c>
      <c r="S92" s="23" t="n">
        <v>16.63523465771801</v>
      </c>
      <c r="T92" s="23" t="n">
        <v>16.49568034470537</v>
      </c>
      <c r="U92" s="23" t="n">
        <v>16.86831924507537</v>
      </c>
      <c r="V92" s="38" t="n">
        <v>16.82145326409048</v>
      </c>
      <c r="W92" s="39" t="n">
        <v>291</v>
      </c>
      <c r="X92" s="24" t="n">
        <v>0.8083333333333333</v>
      </c>
    </row>
    <row r="93" ht="13.9" customHeight="1">
      <c r="A93" s="10" t="n">
        <v>44045030</v>
      </c>
      <c r="B93" s="35" t="inlineStr">
        <is>
          <t>CO</t>
        </is>
      </c>
      <c r="C93" s="35" t="inlineStr">
        <is>
          <t>La Mono</t>
        </is>
      </c>
      <c r="D93" s="35" t="inlineStr">
        <is>
          <t>Belén de Los Andaquíes</t>
        </is>
      </c>
      <c r="E93" s="21" t="inlineStr">
        <is>
          <t>Caquetá</t>
        </is>
      </c>
      <c r="F93" s="35" t="n">
        <v>4</v>
      </c>
      <c r="G93" s="35" t="n">
        <v>300</v>
      </c>
      <c r="H93" s="36" t="n">
        <v>-75.80772222</v>
      </c>
      <c r="I93" s="37" t="n">
        <v>1.30336111</v>
      </c>
      <c r="J93" s="22" t="n">
        <v>20.33612903225806</v>
      </c>
      <c r="K93" s="23" t="n">
        <v>20.1532612661923</v>
      </c>
      <c r="L93" s="23" t="n">
        <v>20.14129032258065</v>
      </c>
      <c r="M93" s="23" t="n">
        <v>19.99586206896551</v>
      </c>
      <c r="N93" s="23" t="n">
        <v>19.94118279569892</v>
      </c>
      <c r="O93" s="23" t="n">
        <v>19.89837037037037</v>
      </c>
      <c r="P93" s="23" t="n">
        <v>19.62322580645161</v>
      </c>
      <c r="Q93" s="23" t="n">
        <v>19.78387096774194</v>
      </c>
      <c r="R93" s="23" t="n">
        <v>20.02533333333333</v>
      </c>
      <c r="S93" s="23" t="n">
        <v>20.08387096774194</v>
      </c>
      <c r="T93" s="23" t="n">
        <v>20.204</v>
      </c>
      <c r="U93" s="23" t="n">
        <v>20.16</v>
      </c>
      <c r="V93" s="38" t="n">
        <v>20.02886641094455</v>
      </c>
      <c r="W93" s="39" t="n">
        <v>120</v>
      </c>
      <c r="X93" s="24" t="n">
        <v>1</v>
      </c>
    </row>
    <row r="94" ht="13.9" customHeight="1">
      <c r="A94" s="10" t="n">
        <v>46035010</v>
      </c>
      <c r="B94" s="35" t="inlineStr">
        <is>
          <t>CO</t>
        </is>
      </c>
      <c r="C94" s="35" t="inlineStr">
        <is>
          <t>Maguare</t>
        </is>
      </c>
      <c r="D94" s="35" t="inlineStr">
        <is>
          <t>El Doncello</t>
        </is>
      </c>
      <c r="E94" s="21" t="inlineStr">
        <is>
          <t>Caquetá</t>
        </is>
      </c>
      <c r="F94" s="35" t="n">
        <v>4</v>
      </c>
      <c r="G94" s="35" t="n">
        <v>270</v>
      </c>
      <c r="H94" s="36" t="n">
        <v>-75.16266666999999</v>
      </c>
      <c r="I94" s="37" t="n">
        <v>1.64022222</v>
      </c>
      <c r="J94" s="22" t="n">
        <v>21.10613263463421</v>
      </c>
      <c r="K94" s="23" t="n">
        <v>21.46019843535192</v>
      </c>
      <c r="L94" s="23" t="n">
        <v>21.57211723588624</v>
      </c>
      <c r="M94" s="23" t="n">
        <v>21.60583667822173</v>
      </c>
      <c r="N94" s="23" t="n">
        <v>21.55713705732865</v>
      </c>
      <c r="O94" s="23" t="n">
        <v>20.98848669283394</v>
      </c>
      <c r="P94" s="23" t="n">
        <v>20.66105773361891</v>
      </c>
      <c r="Q94" s="23" t="n">
        <v>20.76015835741293</v>
      </c>
      <c r="R94" s="23" t="n">
        <v>20.98148059212152</v>
      </c>
      <c r="S94" s="23" t="n">
        <v>21.33716095746471</v>
      </c>
      <c r="T94" s="23" t="n">
        <v>21.57571180900324</v>
      </c>
      <c r="U94" s="23" t="n">
        <v>21.42208988144472</v>
      </c>
      <c r="V94" s="38" t="n">
        <v>21.25229733877689</v>
      </c>
      <c r="W94" s="39" t="n">
        <v>298</v>
      </c>
      <c r="X94" s="24" t="n">
        <v>0.8277777777777777</v>
      </c>
    </row>
    <row r="95" ht="13.9" customHeight="1">
      <c r="A95" s="10" t="n">
        <v>44035020</v>
      </c>
      <c r="B95" s="35" t="inlineStr">
        <is>
          <t>CO</t>
        </is>
      </c>
      <c r="C95" s="35" t="inlineStr">
        <is>
          <t>Aeropuerto Gustavo Artunduaga</t>
        </is>
      </c>
      <c r="D95" s="35" t="inlineStr">
        <is>
          <t xml:space="preserve">Florencia </t>
        </is>
      </c>
      <c r="E95" s="21" t="inlineStr">
        <is>
          <t>Caquetá</t>
        </is>
      </c>
      <c r="F95" s="35" t="n">
        <v>4</v>
      </c>
      <c r="G95" s="35" t="n">
        <v>244</v>
      </c>
      <c r="H95" s="36" t="n">
        <v>-75.55955556000001</v>
      </c>
      <c r="I95" s="37" t="n">
        <v>1.58905556</v>
      </c>
      <c r="J95" s="22" t="n">
        <v>21.61773982602037</v>
      </c>
      <c r="K95" s="23" t="n">
        <v>21.77212450703829</v>
      </c>
      <c r="L95" s="23" t="n">
        <v>21.65547636168882</v>
      </c>
      <c r="M95" s="23" t="n">
        <v>21.58033944535669</v>
      </c>
      <c r="N95" s="23" t="n">
        <v>21.58327956989248</v>
      </c>
      <c r="O95" s="23" t="n">
        <v>21.00223566579284</v>
      </c>
      <c r="P95" s="23" t="n">
        <v>20.61278756231203</v>
      </c>
      <c r="Q95" s="23" t="n">
        <v>20.72338306178979</v>
      </c>
      <c r="R95" s="23" t="n">
        <v>20.9808107911856</v>
      </c>
      <c r="S95" s="23" t="n">
        <v>21.49775491286615</v>
      </c>
      <c r="T95" s="23" t="n">
        <v>21.56105551799263</v>
      </c>
      <c r="U95" s="23" t="n">
        <v>21.69011295619471</v>
      </c>
      <c r="V95" s="38" t="n">
        <v>21.3564250148442</v>
      </c>
      <c r="W95" s="39" t="n">
        <v>222</v>
      </c>
      <c r="X95" s="24" t="n">
        <v>0.925</v>
      </c>
    </row>
    <row r="96" ht="13.9" customHeight="1">
      <c r="A96" s="10" t="n">
        <v>44035030</v>
      </c>
      <c r="B96" s="35" t="inlineStr">
        <is>
          <t>AM</t>
        </is>
      </c>
      <c r="C96" s="35" t="inlineStr">
        <is>
          <t>Macagual</t>
        </is>
      </c>
      <c r="D96" s="35" t="inlineStr">
        <is>
          <t xml:space="preserve">Florencia </t>
        </is>
      </c>
      <c r="E96" s="21" t="inlineStr">
        <is>
          <t>Caquetá</t>
        </is>
      </c>
      <c r="F96" s="35" t="n">
        <v>4</v>
      </c>
      <c r="G96" s="35" t="n">
        <v>280</v>
      </c>
      <c r="H96" s="36" t="n">
        <v>-75.66</v>
      </c>
      <c r="I96" s="37" t="n">
        <v>1.5</v>
      </c>
      <c r="J96" s="22" t="n">
        <v>21.49523625236153</v>
      </c>
      <c r="K96" s="23" t="n">
        <v>21.67716060592321</v>
      </c>
      <c r="L96" s="23" t="n">
        <v>21.99348636688228</v>
      </c>
      <c r="M96" s="23" t="n">
        <v>21.99655618149411</v>
      </c>
      <c r="N96" s="23" t="n">
        <v>21.97142826734781</v>
      </c>
      <c r="O96" s="23" t="n">
        <v>21.50540884356356</v>
      </c>
      <c r="P96" s="23" t="n">
        <v>21.03623200490785</v>
      </c>
      <c r="Q96" s="23" t="n">
        <v>21.08344640706551</v>
      </c>
      <c r="R96" s="23" t="n">
        <v>21.30550479906183</v>
      </c>
      <c r="S96" s="23" t="n">
        <v>21.75555161910557</v>
      </c>
      <c r="T96" s="23" t="n">
        <v>21.97082286079183</v>
      </c>
      <c r="U96" s="23" t="n">
        <v>21.93667763564454</v>
      </c>
      <c r="V96" s="38" t="n">
        <v>21.6439593203458</v>
      </c>
      <c r="W96" s="39" t="n">
        <v>299</v>
      </c>
      <c r="X96" s="24" t="n">
        <v>0.8305555555555556</v>
      </c>
    </row>
    <row r="97" ht="13.9" customHeight="1">
      <c r="A97" s="10" t="n">
        <v>46035020</v>
      </c>
      <c r="B97" s="35" t="inlineStr">
        <is>
          <t>CO</t>
        </is>
      </c>
      <c r="C97" s="35" t="inlineStr">
        <is>
          <t>Puerto Rico</t>
        </is>
      </c>
      <c r="D97" s="35" t="inlineStr">
        <is>
          <t xml:space="preserve">Puerto Rico </t>
        </is>
      </c>
      <c r="E97" s="21" t="inlineStr">
        <is>
          <t>Caquetá</t>
        </is>
      </c>
      <c r="F97" s="35" t="n">
        <v>4</v>
      </c>
      <c r="G97" s="35" t="n">
        <v>285</v>
      </c>
      <c r="H97" s="36" t="n">
        <v>-75.15066666999999</v>
      </c>
      <c r="I97" s="37" t="n">
        <v>1.91752778</v>
      </c>
      <c r="J97" s="22" t="n">
        <v>21.59725806451613</v>
      </c>
      <c r="K97" s="23" t="n">
        <v>22.04521185852603</v>
      </c>
      <c r="L97" s="23" t="n">
        <v>22.26864994026284</v>
      </c>
      <c r="M97" s="23" t="n">
        <v>22.14109811165846</v>
      </c>
      <c r="N97" s="23" t="n">
        <v>22.08230255839822</v>
      </c>
      <c r="O97" s="23" t="n">
        <v>21.50873015873016</v>
      </c>
      <c r="P97" s="23" t="n">
        <v>21.0808220185862</v>
      </c>
      <c r="Q97" s="23" t="n">
        <v>21.12338709677419</v>
      </c>
      <c r="R97" s="23" t="n">
        <v>21.32663003663004</v>
      </c>
      <c r="S97" s="23" t="n">
        <v>21.62251237412528</v>
      </c>
      <c r="T97" s="23" t="n">
        <v>22.15884327677431</v>
      </c>
      <c r="U97" s="23" t="n">
        <v>22.07128754171301</v>
      </c>
      <c r="V97" s="38" t="n">
        <v>21.75222775305791</v>
      </c>
      <c r="W97" s="39" t="n">
        <v>107</v>
      </c>
      <c r="X97" s="24" t="n">
        <v>0.8916666666666667</v>
      </c>
    </row>
    <row r="98" ht="13.9" customHeight="1">
      <c r="A98" s="10" t="n">
        <v>44045010</v>
      </c>
      <c r="B98" s="35" t="inlineStr">
        <is>
          <t>CO</t>
        </is>
      </c>
      <c r="C98" s="35" t="inlineStr">
        <is>
          <t>San José del Fragüa</t>
        </is>
      </c>
      <c r="D98" s="35" t="inlineStr">
        <is>
          <t>San José del Fragua</t>
        </is>
      </c>
      <c r="E98" s="21" t="inlineStr">
        <is>
          <t>Caquetá</t>
        </is>
      </c>
      <c r="F98" s="35" t="n">
        <v>4</v>
      </c>
      <c r="G98" s="35" t="n">
        <v>320</v>
      </c>
      <c r="H98" s="36" t="n">
        <v>-75.9615</v>
      </c>
      <c r="I98" s="37" t="n">
        <v>1.32513889</v>
      </c>
      <c r="J98" s="22" t="n">
        <v>21.62377699030668</v>
      </c>
      <c r="K98" s="23" t="n">
        <v>21.61874565147688</v>
      </c>
      <c r="L98" s="23" t="n">
        <v>21.42764887796757</v>
      </c>
      <c r="M98" s="23" t="n">
        <v>21.29990904729347</v>
      </c>
      <c r="N98" s="23" t="n">
        <v>21.29943517488567</v>
      </c>
      <c r="O98" s="23" t="n">
        <v>20.7506861027449</v>
      </c>
      <c r="P98" s="23" t="n">
        <v>20.42024604057418</v>
      </c>
      <c r="Q98" s="23" t="n">
        <v>20.55343552484264</v>
      </c>
      <c r="R98" s="23" t="n">
        <v>20.9214094475129</v>
      </c>
      <c r="S98" s="23" t="n">
        <v>21.19008648005746</v>
      </c>
      <c r="T98" s="23" t="n">
        <v>21.42910986433745</v>
      </c>
      <c r="U98" s="23" t="n">
        <v>21.56937275985663</v>
      </c>
      <c r="V98" s="38" t="n">
        <v>21.1753218301547</v>
      </c>
      <c r="W98" s="39" t="n">
        <v>312</v>
      </c>
      <c r="X98" s="24" t="n">
        <v>0.8666666666666667</v>
      </c>
    </row>
    <row r="99" ht="13.9" customHeight="1">
      <c r="A99" s="10" t="n">
        <v>46015020</v>
      </c>
      <c r="B99" s="35" t="inlineStr">
        <is>
          <t>CO</t>
        </is>
      </c>
      <c r="C99" s="35" t="inlineStr">
        <is>
          <t>Santa Rosa Caguán</t>
        </is>
      </c>
      <c r="D99" s="35" t="inlineStr">
        <is>
          <t>San Vicente del Caguán</t>
        </is>
      </c>
      <c r="E99" s="21" t="inlineStr">
        <is>
          <t>Caquetá</t>
        </is>
      </c>
      <c r="F99" s="35" t="n">
        <v>4</v>
      </c>
      <c r="G99" s="35" t="n">
        <v>240</v>
      </c>
      <c r="H99" s="36" t="n">
        <v>-74.78505556</v>
      </c>
      <c r="I99" s="37" t="n">
        <v>1.73547222</v>
      </c>
      <c r="J99" s="22" t="n">
        <v>21.35677367925199</v>
      </c>
      <c r="K99" s="23" t="n">
        <v>21.96663623163998</v>
      </c>
      <c r="L99" s="23" t="n">
        <v>22.43001648510102</v>
      </c>
      <c r="M99" s="23" t="n">
        <v>22.56762601784952</v>
      </c>
      <c r="N99" s="23" t="n">
        <v>22.50288030640006</v>
      </c>
      <c r="O99" s="23" t="n">
        <v>22.01637861455766</v>
      </c>
      <c r="P99" s="23" t="n">
        <v>21.59107833736729</v>
      </c>
      <c r="Q99" s="23" t="n">
        <v>21.70949613619362</v>
      </c>
      <c r="R99" s="23" t="n">
        <v>21.92379714070519</v>
      </c>
      <c r="S99" s="23" t="n">
        <v>22.24674235482105</v>
      </c>
      <c r="T99" s="23" t="n">
        <v>22.41320639247938</v>
      </c>
      <c r="U99" s="23" t="n">
        <v>21.85944302850708</v>
      </c>
      <c r="V99" s="38" t="n">
        <v>22.04867289373948</v>
      </c>
      <c r="W99" s="39" t="n">
        <v>304</v>
      </c>
      <c r="X99" s="24" t="n">
        <v>0.8444444444444444</v>
      </c>
    </row>
    <row r="100" ht="13.9" customHeight="1">
      <c r="A100" s="10" t="n">
        <v>44045020</v>
      </c>
      <c r="B100" s="35" t="inlineStr">
        <is>
          <t>CO</t>
        </is>
      </c>
      <c r="C100" s="35" t="inlineStr">
        <is>
          <t>Valparaiso</t>
        </is>
      </c>
      <c r="D100" s="35" t="inlineStr">
        <is>
          <t>Valparaíso</t>
        </is>
      </c>
      <c r="E100" s="21" t="inlineStr">
        <is>
          <t>Caquetá</t>
        </is>
      </c>
      <c r="F100" s="35" t="n">
        <v>4</v>
      </c>
      <c r="G100" s="35" t="n">
        <v>270</v>
      </c>
      <c r="H100" s="36" t="n">
        <v>-75.70447222000001</v>
      </c>
      <c r="I100" s="37" t="n">
        <v>1.19525</v>
      </c>
      <c r="J100" s="22" t="n">
        <v>22.44291044947152</v>
      </c>
      <c r="K100" s="23" t="n">
        <v>22.42037753492416</v>
      </c>
      <c r="L100" s="23" t="n">
        <v>22.52992293145883</v>
      </c>
      <c r="M100" s="23" t="n">
        <v>22.4591470534574</v>
      </c>
      <c r="N100" s="23" t="n">
        <v>22.42117424042232</v>
      </c>
      <c r="O100" s="23" t="n">
        <v>22.02919956352714</v>
      </c>
      <c r="P100" s="23" t="n">
        <v>21.60737697819834</v>
      </c>
      <c r="Q100" s="23" t="n">
        <v>21.71542096121011</v>
      </c>
      <c r="R100" s="23" t="n">
        <v>22.14579845514455</v>
      </c>
      <c r="S100" s="23" t="n">
        <v>22.37516242213684</v>
      </c>
      <c r="T100" s="23" t="n">
        <v>22.68176671121252</v>
      </c>
      <c r="U100" s="23" t="n">
        <v>22.57375093567085</v>
      </c>
      <c r="V100" s="38" t="n">
        <v>22.28350068640288</v>
      </c>
      <c r="W100" s="39" t="n">
        <v>313</v>
      </c>
      <c r="X100" s="24" t="n">
        <v>0.8694444444444445</v>
      </c>
    </row>
    <row r="101" ht="13.9" customHeight="1">
      <c r="A101" s="10" t="n">
        <v>35195030</v>
      </c>
      <c r="B101" s="35" t="inlineStr">
        <is>
          <t>CO</t>
        </is>
      </c>
      <c r="C101" s="35" t="inlineStr">
        <is>
          <t>Aguazul</t>
        </is>
      </c>
      <c r="D101" s="35" t="inlineStr">
        <is>
          <t>Aguazul</t>
        </is>
      </c>
      <c r="E101" s="21" t="inlineStr">
        <is>
          <t>Casanare</t>
        </is>
      </c>
      <c r="F101" s="35" t="n">
        <v>6</v>
      </c>
      <c r="G101" s="35" t="n">
        <v>380</v>
      </c>
      <c r="H101" s="36" t="n">
        <v>-72.54738889000001</v>
      </c>
      <c r="I101" s="37" t="n">
        <v>5.177083329999999</v>
      </c>
      <c r="J101" s="22" t="n">
        <v>23.17200444938821</v>
      </c>
      <c r="K101" s="23" t="n">
        <v>24.02535419561282</v>
      </c>
      <c r="L101" s="23" t="n">
        <v>24.30793912368502</v>
      </c>
      <c r="M101" s="23" t="n">
        <v>23.39298190953363</v>
      </c>
      <c r="N101" s="23" t="n">
        <v>23.04565284178188</v>
      </c>
      <c r="O101" s="23" t="n">
        <v>22.58230204342274</v>
      </c>
      <c r="P101" s="23" t="n">
        <v>22.23140545638599</v>
      </c>
      <c r="Q101" s="23" t="n">
        <v>22.5308162078518</v>
      </c>
      <c r="R101" s="23" t="n">
        <v>22.86843884935839</v>
      </c>
      <c r="S101" s="23" t="n">
        <v>23.10008713385243</v>
      </c>
      <c r="T101" s="23" t="n">
        <v>23.37557471264368</v>
      </c>
      <c r="U101" s="23" t="n">
        <v>23.13155913978495</v>
      </c>
      <c r="V101" s="38" t="n">
        <v>23.1470096719418</v>
      </c>
      <c r="W101" s="39" t="n">
        <v>104</v>
      </c>
      <c r="X101" s="24" t="n">
        <v>0.8666666666666667</v>
      </c>
    </row>
    <row r="102" ht="13.9" customHeight="1">
      <c r="A102" s="10" t="n">
        <v>35225030</v>
      </c>
      <c r="B102" s="35" t="inlineStr">
        <is>
          <t>CO</t>
        </is>
      </c>
      <c r="C102" s="35" t="inlineStr">
        <is>
          <t xml:space="preserve">Módulos - AUT </t>
        </is>
      </c>
      <c r="D102" s="35" t="inlineStr">
        <is>
          <t>Orocué</t>
        </is>
      </c>
      <c r="E102" s="21" t="inlineStr">
        <is>
          <t>Casanare</t>
        </is>
      </c>
      <c r="F102" s="35" t="n">
        <v>3</v>
      </c>
      <c r="G102" s="35" t="n">
        <v>130</v>
      </c>
      <c r="H102" s="36" t="n">
        <v>-71.43305556000001</v>
      </c>
      <c r="I102" s="37" t="n">
        <v>4.91047222</v>
      </c>
      <c r="J102" s="22" t="n">
        <v>21.20964202199975</v>
      </c>
      <c r="K102" s="23" t="n">
        <v>21.52270224411604</v>
      </c>
      <c r="L102" s="23" t="n">
        <v>22.19060078964417</v>
      </c>
      <c r="M102" s="23" t="n">
        <v>22.59074958949097</v>
      </c>
      <c r="N102" s="23" t="n">
        <v>22.69060175839334</v>
      </c>
      <c r="O102" s="23" t="n">
        <v>22.62485844906781</v>
      </c>
      <c r="P102" s="23" t="n">
        <v>22.3649321183081</v>
      </c>
      <c r="Q102" s="23" t="n">
        <v>22.49395085458767</v>
      </c>
      <c r="R102" s="23" t="n">
        <v>22.62335339263911</v>
      </c>
      <c r="S102" s="23" t="n">
        <v>22.75458724508714</v>
      </c>
      <c r="T102" s="23" t="n">
        <v>22.9643312883902</v>
      </c>
      <c r="U102" s="23" t="n">
        <v>21.99612905726699</v>
      </c>
      <c r="V102" s="38" t="n">
        <v>22.33553656741594</v>
      </c>
      <c r="W102" s="39" t="n">
        <v>312</v>
      </c>
      <c r="X102" s="24" t="n">
        <v>0.8666666666666667</v>
      </c>
    </row>
    <row r="103" ht="13.9" customHeight="1">
      <c r="A103" s="10" t="n">
        <v>36015010</v>
      </c>
      <c r="B103" s="35" t="inlineStr">
        <is>
          <t>CP</t>
        </is>
      </c>
      <c r="C103" s="35" t="inlineStr">
        <is>
          <t>Paz de Ariporo</t>
        </is>
      </c>
      <c r="D103" s="35" t="inlineStr">
        <is>
          <t>Paz de Ariporo</t>
        </is>
      </c>
      <c r="E103" s="21" t="inlineStr">
        <is>
          <t>Casanare</t>
        </is>
      </c>
      <c r="F103" s="35" t="n">
        <v>6</v>
      </c>
      <c r="G103" s="35" t="n">
        <v>342</v>
      </c>
      <c r="H103" s="36" t="n">
        <v>-71.88719444</v>
      </c>
      <c r="I103" s="37" t="n">
        <v>5.87852778</v>
      </c>
      <c r="J103" s="22" t="n">
        <v>22.82090894644844</v>
      </c>
      <c r="K103" s="23" t="n">
        <v>23.58016432641433</v>
      </c>
      <c r="L103" s="23" t="n">
        <v>24.07285283100223</v>
      </c>
      <c r="M103" s="23" t="n">
        <v>23.45435494867436</v>
      </c>
      <c r="N103" s="23" t="n">
        <v>22.87057747474702</v>
      </c>
      <c r="O103" s="23" t="n">
        <v>22.29147597995874</v>
      </c>
      <c r="P103" s="23" t="n">
        <v>22.0295923866024</v>
      </c>
      <c r="Q103" s="23" t="n">
        <v>22.17911179087876</v>
      </c>
      <c r="R103" s="23" t="n">
        <v>22.3742700237183</v>
      </c>
      <c r="S103" s="23" t="n">
        <v>22.6328308967636</v>
      </c>
      <c r="T103" s="23" t="n">
        <v>22.75009074410164</v>
      </c>
      <c r="U103" s="23" t="n">
        <v>22.70499853638546</v>
      </c>
      <c r="V103" s="38" t="n">
        <v>22.8134357404746</v>
      </c>
      <c r="W103" s="39" t="n">
        <v>235</v>
      </c>
      <c r="X103" s="24" t="n">
        <v>0.9791666666666666</v>
      </c>
    </row>
    <row r="104" ht="13.9" customHeight="1">
      <c r="A104" s="10" t="n">
        <v>35235050</v>
      </c>
      <c r="B104" s="35" t="inlineStr">
        <is>
          <t>CO</t>
        </is>
      </c>
      <c r="C104" s="35" t="inlineStr">
        <is>
          <t xml:space="preserve">Tamara - AUT </t>
        </is>
      </c>
      <c r="D104" s="35" t="inlineStr">
        <is>
          <t>Támara</t>
        </is>
      </c>
      <c r="E104" s="21" t="inlineStr">
        <is>
          <t>Casanare</t>
        </is>
      </c>
      <c r="F104" s="35" t="n">
        <v>6</v>
      </c>
      <c r="G104" s="35" t="n">
        <v>1017</v>
      </c>
      <c r="H104" s="36" t="n">
        <v>-72.16677778</v>
      </c>
      <c r="I104" s="37" t="n">
        <v>5.81858333</v>
      </c>
      <c r="J104" s="22" t="n">
        <v>19.06659525076171</v>
      </c>
      <c r="K104" s="23" t="n">
        <v>19.92833538587849</v>
      </c>
      <c r="L104" s="23" t="n">
        <v>20.17748037207715</v>
      </c>
      <c r="M104" s="23" t="n">
        <v>19.46655172413794</v>
      </c>
      <c r="N104" s="23" t="n">
        <v>19.19193961952027</v>
      </c>
      <c r="O104" s="23" t="n">
        <v>18.5924347826087</v>
      </c>
      <c r="P104" s="23" t="n">
        <v>18.26587365444262</v>
      </c>
      <c r="Q104" s="23" t="n">
        <v>18.40598416965353</v>
      </c>
      <c r="R104" s="23" t="n">
        <v>18.54048531289911</v>
      </c>
      <c r="S104" s="23" t="n">
        <v>18.75583446627941</v>
      </c>
      <c r="T104" s="23" t="n">
        <v>19.32427225871191</v>
      </c>
      <c r="U104" s="23" t="n">
        <v>19.18227770885029</v>
      </c>
      <c r="V104" s="38" t="n">
        <v>19.07483872548509</v>
      </c>
      <c r="W104" s="39" t="n">
        <v>112</v>
      </c>
      <c r="X104" s="24" t="n">
        <v>0.9333333333333333</v>
      </c>
    </row>
    <row r="105" ht="13.9" customHeight="1">
      <c r="A105" s="10" t="n">
        <v>35195020</v>
      </c>
      <c r="B105" s="35" t="inlineStr">
        <is>
          <t>ME</t>
        </is>
      </c>
      <c r="C105" s="35" t="inlineStr">
        <is>
          <t>Tauramena</t>
        </is>
      </c>
      <c r="D105" s="35" t="inlineStr">
        <is>
          <t>Tauramena</t>
        </is>
      </c>
      <c r="E105" s="21" t="inlineStr">
        <is>
          <t>Casanare</t>
        </is>
      </c>
      <c r="F105" s="35" t="n">
        <v>6</v>
      </c>
      <c r="G105" s="35" t="n">
        <v>460</v>
      </c>
      <c r="H105" s="36" t="n">
        <v>-72.86984167</v>
      </c>
      <c r="I105" s="37" t="n">
        <v>5.027257779999999</v>
      </c>
      <c r="J105" s="22" t="n">
        <v>21.55568483500186</v>
      </c>
      <c r="K105" s="23" t="n">
        <v>22.35651916410537</v>
      </c>
      <c r="L105" s="23" t="n">
        <v>22.52310247364797</v>
      </c>
      <c r="M105" s="23" t="n">
        <v>22.09206486042693</v>
      </c>
      <c r="N105" s="23" t="n">
        <v>21.63793919169447</v>
      </c>
      <c r="O105" s="23" t="n">
        <v>21.29552727604452</v>
      </c>
      <c r="P105" s="23" t="n">
        <v>20.99477242233512</v>
      </c>
      <c r="Q105" s="23" t="n">
        <v>21.17957012789049</v>
      </c>
      <c r="R105" s="23" t="n">
        <v>21.46224946318049</v>
      </c>
      <c r="S105" s="23" t="n">
        <v>21.61665830935019</v>
      </c>
      <c r="T105" s="23" t="n">
        <v>21.66164787798408</v>
      </c>
      <c r="U105" s="23" t="n">
        <v>21.56809886499403</v>
      </c>
      <c r="V105" s="38" t="n">
        <v>21.66198623888796</v>
      </c>
      <c r="W105" s="39" t="n">
        <v>112</v>
      </c>
      <c r="X105" s="24" t="n">
        <v>0.9333333333333333</v>
      </c>
    </row>
    <row r="106" ht="13.9" customHeight="1">
      <c r="A106" s="10" t="n">
        <v>35095110</v>
      </c>
      <c r="B106" s="35" t="inlineStr">
        <is>
          <t>CP</t>
        </is>
      </c>
      <c r="C106" s="35" t="inlineStr">
        <is>
          <t>La Huerta Grande</t>
        </is>
      </c>
      <c r="D106" s="35" t="inlineStr">
        <is>
          <t xml:space="preserve">Villanueva </t>
        </is>
      </c>
      <c r="E106" s="21" t="inlineStr">
        <is>
          <t>Casanare</t>
        </is>
      </c>
      <c r="F106" s="35" t="n">
        <v>3</v>
      </c>
      <c r="G106" s="35" t="n">
        <v>352</v>
      </c>
      <c r="H106" s="36" t="n">
        <v>-72.91547</v>
      </c>
      <c r="I106" s="37" t="n">
        <v>4.65147</v>
      </c>
      <c r="J106" s="22" t="n">
        <v>21.72249772881096</v>
      </c>
      <c r="K106" s="23" t="n">
        <v>22.25129788114857</v>
      </c>
      <c r="L106" s="23" t="n">
        <v>22.48321856304795</v>
      </c>
      <c r="M106" s="23" t="n">
        <v>21.89665064530702</v>
      </c>
      <c r="N106" s="23" t="n">
        <v>21.56450224647022</v>
      </c>
      <c r="O106" s="23" t="n">
        <v>21.09618287791391</v>
      </c>
      <c r="P106" s="23" t="n">
        <v>20.8208805694599</v>
      </c>
      <c r="Q106" s="23" t="n">
        <v>21.17954086440843</v>
      </c>
      <c r="R106" s="23" t="n">
        <v>21.30308702791461</v>
      </c>
      <c r="S106" s="23" t="n">
        <v>21.61683020857526</v>
      </c>
      <c r="T106" s="23" t="n">
        <v>21.90971345209774</v>
      </c>
      <c r="U106" s="23" t="n">
        <v>21.71726493115174</v>
      </c>
      <c r="V106" s="38" t="n">
        <v>21.63013891635886</v>
      </c>
      <c r="W106" s="39" t="n">
        <v>294</v>
      </c>
      <c r="X106" s="24" t="n">
        <v>0.8166666666666667</v>
      </c>
    </row>
    <row r="107" ht="13.9" customHeight="1">
      <c r="A107" s="10" t="n">
        <v>35215020</v>
      </c>
      <c r="B107" s="35" t="inlineStr">
        <is>
          <t>CP</t>
        </is>
      </c>
      <c r="C107" s="35" t="inlineStr">
        <is>
          <t xml:space="preserve">Aeropuerto Yopal - AUT </t>
        </is>
      </c>
      <c r="D107" s="35" t="inlineStr">
        <is>
          <t>Yopal</t>
        </is>
      </c>
      <c r="E107" s="21" t="inlineStr">
        <is>
          <t>Casanare</t>
        </is>
      </c>
      <c r="F107" s="35" t="n">
        <v>6</v>
      </c>
      <c r="G107" s="35" t="n">
        <v>325</v>
      </c>
      <c r="H107" s="36" t="n">
        <v>-72.3875</v>
      </c>
      <c r="I107" s="37" t="n">
        <v>5.32044444</v>
      </c>
      <c r="J107" s="22" t="n">
        <v>23.81200076804915</v>
      </c>
      <c r="K107" s="23" t="n">
        <v>24.49755119959861</v>
      </c>
      <c r="L107" s="23" t="n">
        <v>24.02070937873357</v>
      </c>
      <c r="M107" s="23" t="n">
        <v>23.18080459770114</v>
      </c>
      <c r="N107" s="23" t="n">
        <v>22.66281959378734</v>
      </c>
      <c r="O107" s="23" t="n">
        <v>22.03277869002007</v>
      </c>
      <c r="P107" s="23" t="n">
        <v>21.8744421098889</v>
      </c>
      <c r="Q107" s="23" t="n">
        <v>22.11768219832736</v>
      </c>
      <c r="R107" s="23" t="n">
        <v>22.39663970483894</v>
      </c>
      <c r="S107" s="23" t="n">
        <v>22.73194743130227</v>
      </c>
      <c r="T107" s="23" t="n">
        <v>23.01635840674155</v>
      </c>
      <c r="U107" s="23" t="n">
        <v>23.12469062847608</v>
      </c>
      <c r="V107" s="38" t="n">
        <v>22.95570205895542</v>
      </c>
      <c r="W107" s="39" t="n">
        <v>103</v>
      </c>
      <c r="X107" s="24" t="n">
        <v>0.8583333333333333</v>
      </c>
    </row>
    <row r="108" ht="13.9" customHeight="1">
      <c r="A108" s="10" t="n">
        <v>52025010</v>
      </c>
      <c r="B108" s="35" t="inlineStr">
        <is>
          <t>CO</t>
        </is>
      </c>
      <c r="C108" s="35" t="inlineStr">
        <is>
          <t>Bolívar</t>
        </is>
      </c>
      <c r="D108" s="35" t="inlineStr">
        <is>
          <t>Bolívar</t>
        </is>
      </c>
      <c r="E108" s="21" t="inlineStr">
        <is>
          <t>Cauca</t>
        </is>
      </c>
      <c r="F108" s="35" t="n">
        <v>7</v>
      </c>
      <c r="G108" s="35" t="n">
        <v>1510</v>
      </c>
      <c r="H108" s="36" t="n">
        <v>-77.00402778</v>
      </c>
      <c r="I108" s="37" t="n">
        <v>1.82994444</v>
      </c>
      <c r="J108" s="22" t="n">
        <v>17.70806605222734</v>
      </c>
      <c r="K108" s="23" t="n">
        <v>17.90180606430607</v>
      </c>
      <c r="L108" s="23" t="n">
        <v>17.93084263854425</v>
      </c>
      <c r="M108" s="23" t="n">
        <v>18.05045566502463</v>
      </c>
      <c r="N108" s="23" t="n">
        <v>17.97094508301405</v>
      </c>
      <c r="O108" s="23" t="n">
        <v>17.92293187621357</v>
      </c>
      <c r="P108" s="23" t="n">
        <v>18.15104403753458</v>
      </c>
      <c r="Q108" s="23" t="n">
        <v>18.32360048677067</v>
      </c>
      <c r="R108" s="23" t="n">
        <v>17.94885057471264</v>
      </c>
      <c r="S108" s="23" t="n">
        <v>17.69863010752688</v>
      </c>
      <c r="T108" s="23" t="n">
        <v>17.34753329684364</v>
      </c>
      <c r="U108" s="23" t="n">
        <v>17.65284540023895</v>
      </c>
      <c r="V108" s="38" t="n">
        <v>17.88396260691311</v>
      </c>
      <c r="W108" s="39" t="n">
        <v>115</v>
      </c>
      <c r="X108" s="24" t="n">
        <v>0.9583333333333334</v>
      </c>
    </row>
    <row r="109" ht="13.9" customHeight="1">
      <c r="A109" s="10" t="n">
        <v>52025020</v>
      </c>
      <c r="B109" s="35" t="inlineStr">
        <is>
          <t>CO</t>
        </is>
      </c>
      <c r="C109" s="35" t="inlineStr">
        <is>
          <t xml:space="preserve">Los Milagros </t>
        </is>
      </c>
      <c r="D109" s="35" t="inlineStr">
        <is>
          <t>Bolívar</t>
        </is>
      </c>
      <c r="E109" s="21" t="inlineStr">
        <is>
          <t>Cauca</t>
        </is>
      </c>
      <c r="F109" s="35" t="n">
        <v>7</v>
      </c>
      <c r="G109" s="35" t="n">
        <v>2300</v>
      </c>
      <c r="H109" s="36" t="n">
        <v>-76.89166666999999</v>
      </c>
      <c r="I109" s="37" t="n">
        <v>1.75333333</v>
      </c>
      <c r="J109" s="22" t="n">
        <v>12.90830893232339</v>
      </c>
      <c r="K109" s="23" t="n">
        <v>13.06819857239397</v>
      </c>
      <c r="L109" s="23" t="n">
        <v>13.24494006960507</v>
      </c>
      <c r="M109" s="23" t="n">
        <v>13.37442104071117</v>
      </c>
      <c r="N109" s="23" t="n">
        <v>13.49882593363319</v>
      </c>
      <c r="O109" s="23" t="n">
        <v>13.37164325244785</v>
      </c>
      <c r="P109" s="23" t="n">
        <v>13.19300778642936</v>
      </c>
      <c r="Q109" s="23" t="n">
        <v>13.30893327683316</v>
      </c>
      <c r="R109" s="23" t="n">
        <v>13.24615019157088</v>
      </c>
      <c r="S109" s="23" t="n">
        <v>12.9298129284317</v>
      </c>
      <c r="T109" s="23" t="n">
        <v>12.87858030539065</v>
      </c>
      <c r="U109" s="23" t="n">
        <v>12.96410785646603</v>
      </c>
      <c r="V109" s="38" t="n">
        <v>13.16557751218637</v>
      </c>
      <c r="W109" s="39" t="n">
        <v>351</v>
      </c>
      <c r="X109" s="24" t="n">
        <v>0.975</v>
      </c>
    </row>
    <row r="110" ht="13.9" customHeight="1">
      <c r="A110" s="10" t="n">
        <v>26025090</v>
      </c>
      <c r="B110" s="35" t="inlineStr">
        <is>
          <t>CO</t>
        </is>
      </c>
      <c r="C110" s="35" t="inlineStr">
        <is>
          <t>Venta de Cajibío</t>
        </is>
      </c>
      <c r="D110" s="35" t="inlineStr">
        <is>
          <t>Cajibío</t>
        </is>
      </c>
      <c r="E110" s="21" t="inlineStr">
        <is>
          <t>Cauca</t>
        </is>
      </c>
      <c r="F110" s="35" t="n">
        <v>9</v>
      </c>
      <c r="G110" s="35" t="n">
        <v>1850</v>
      </c>
      <c r="H110" s="36" t="n">
        <v>-76.56183333</v>
      </c>
      <c r="I110" s="37" t="n">
        <v>2.58475</v>
      </c>
      <c r="J110" s="22" t="n">
        <v>13.76840103351373</v>
      </c>
      <c r="K110" s="23" t="n">
        <v>14.00715676796596</v>
      </c>
      <c r="L110" s="23" t="n">
        <v>14.27848431639732</v>
      </c>
      <c r="M110" s="23" t="n">
        <v>14.39955584373056</v>
      </c>
      <c r="N110" s="23" t="n">
        <v>14.38428589084874</v>
      </c>
      <c r="O110" s="23" t="n">
        <v>14.08464727217041</v>
      </c>
      <c r="P110" s="23" t="n">
        <v>13.81878578211911</v>
      </c>
      <c r="Q110" s="23" t="n">
        <v>13.81981919292388</v>
      </c>
      <c r="R110" s="23" t="n">
        <v>13.66748994960647</v>
      </c>
      <c r="S110" s="23" t="n">
        <v>13.77527138157203</v>
      </c>
      <c r="T110" s="23" t="n">
        <v>14.10833221057359</v>
      </c>
      <c r="U110" s="23" t="n">
        <v>13.93962220417356</v>
      </c>
      <c r="V110" s="38" t="n">
        <v>14.00432098713295</v>
      </c>
      <c r="W110" s="39" t="n">
        <v>345</v>
      </c>
      <c r="X110" s="24" t="n">
        <v>0.9583333333333334</v>
      </c>
    </row>
    <row r="111" ht="13.9" customHeight="1">
      <c r="A111" s="10" t="n">
        <v>21055030</v>
      </c>
      <c r="B111" s="35" t="inlineStr">
        <is>
          <t>CO</t>
        </is>
      </c>
      <c r="C111" s="35" t="inlineStr">
        <is>
          <t>Santa Leticia</t>
        </is>
      </c>
      <c r="D111" s="35" t="inlineStr">
        <is>
          <t>Inzá</t>
        </is>
      </c>
      <c r="E111" s="21" t="inlineStr">
        <is>
          <t>Cauca</t>
        </is>
      </c>
      <c r="F111" s="35" t="n">
        <v>4</v>
      </c>
      <c r="G111" s="35" t="n">
        <v>2085</v>
      </c>
      <c r="H111" s="36" t="n">
        <v>-76.16</v>
      </c>
      <c r="I111" s="37" t="n">
        <v>2.24</v>
      </c>
      <c r="J111" s="22" t="n">
        <v>12.07323052450249</v>
      </c>
      <c r="K111" s="23" t="n">
        <v>12.26248138085366</v>
      </c>
      <c r="L111" s="23" t="n">
        <v>12.34124742407309</v>
      </c>
      <c r="M111" s="23" t="n">
        <v>12.41495823810338</v>
      </c>
      <c r="N111" s="23" t="n">
        <v>12.51466177396931</v>
      </c>
      <c r="O111" s="23" t="n">
        <v>12.16726529659904</v>
      </c>
      <c r="P111" s="23" t="n">
        <v>11.80563736724846</v>
      </c>
      <c r="Q111" s="23" t="n">
        <v>11.60078927362504</v>
      </c>
      <c r="R111" s="23" t="n">
        <v>11.56542790478997</v>
      </c>
      <c r="S111" s="23" t="n">
        <v>11.85382804355499</v>
      </c>
      <c r="T111" s="23" t="n">
        <v>12.07856462534911</v>
      </c>
      <c r="U111" s="23" t="n">
        <v>12.17331852334064</v>
      </c>
      <c r="V111" s="38" t="n">
        <v>12.07095086466743</v>
      </c>
      <c r="W111" s="39" t="n">
        <v>328</v>
      </c>
      <c r="X111" s="24" t="n">
        <v>0.9111111111111111</v>
      </c>
    </row>
    <row r="112" ht="13.9" customHeight="1">
      <c r="A112" s="10" t="n">
        <v>52025090</v>
      </c>
      <c r="B112" s="35" t="inlineStr">
        <is>
          <t>CP</t>
        </is>
      </c>
      <c r="C112" s="35" t="inlineStr">
        <is>
          <t>La Sierra</t>
        </is>
      </c>
      <c r="D112" s="35" t="inlineStr">
        <is>
          <t>La Sierra</t>
        </is>
      </c>
      <c r="E112" s="21" t="inlineStr">
        <is>
          <t>Cauca</t>
        </is>
      </c>
      <c r="F112" s="35" t="n">
        <v>7</v>
      </c>
      <c r="G112" s="35" t="n">
        <v>1870</v>
      </c>
      <c r="H112" s="36" t="n">
        <v>-76.75033332999999</v>
      </c>
      <c r="I112" s="37" t="n">
        <v>2.19383333</v>
      </c>
      <c r="J112" s="22" t="n">
        <v>14.70749253781992</v>
      </c>
      <c r="K112" s="23" t="n">
        <v>14.95225192859235</v>
      </c>
      <c r="L112" s="23" t="n">
        <v>14.96691868335427</v>
      </c>
      <c r="M112" s="23" t="n">
        <v>15.06084910109048</v>
      </c>
      <c r="N112" s="23" t="n">
        <v>15.3300734643431</v>
      </c>
      <c r="O112" s="23" t="n">
        <v>15.22531572159925</v>
      </c>
      <c r="P112" s="23" t="n">
        <v>15.06265897802605</v>
      </c>
      <c r="Q112" s="23" t="n">
        <v>15.07466785146545</v>
      </c>
      <c r="R112" s="23" t="n">
        <v>14.9793962585034</v>
      </c>
      <c r="S112" s="23" t="n">
        <v>14.6909785358217</v>
      </c>
      <c r="T112" s="23" t="n">
        <v>14.53973894377836</v>
      </c>
      <c r="U112" s="23" t="n">
        <v>14.78078893039687</v>
      </c>
      <c r="V112" s="38" t="n">
        <v>14.94759424456593</v>
      </c>
      <c r="W112" s="39" t="n">
        <v>318</v>
      </c>
      <c r="X112" s="24" t="n">
        <v>0.8833333333333333</v>
      </c>
    </row>
    <row r="113" ht="13.9" customHeight="1">
      <c r="A113" s="10" t="n">
        <v>52025060</v>
      </c>
      <c r="B113" s="35" t="inlineStr">
        <is>
          <t>CP</t>
        </is>
      </c>
      <c r="C113" s="35" t="inlineStr">
        <is>
          <t>Granja Experimental Universidad de Nariño</t>
        </is>
      </c>
      <c r="D113" s="35" t="inlineStr">
        <is>
          <t>Mercaderes</t>
        </is>
      </c>
      <c r="E113" s="21" t="inlineStr">
        <is>
          <t>Cauca</t>
        </is>
      </c>
      <c r="F113" s="35" t="n">
        <v>7</v>
      </c>
      <c r="G113" s="35" t="n">
        <v>580</v>
      </c>
      <c r="H113" s="36" t="n">
        <v>-77.19</v>
      </c>
      <c r="I113" s="37" t="n">
        <v>1.91</v>
      </c>
      <c r="J113" s="22" t="n">
        <v>20.58775537634408</v>
      </c>
      <c r="K113" s="23" t="n">
        <v>20.63820045296338</v>
      </c>
      <c r="L113" s="23" t="n">
        <v>20.95331572117167</v>
      </c>
      <c r="M113" s="23" t="n">
        <v>21.3105795019157</v>
      </c>
      <c r="N113" s="23" t="n">
        <v>21.07436422597713</v>
      </c>
      <c r="O113" s="23" t="n">
        <v>20.62002554278416</v>
      </c>
      <c r="P113" s="23" t="n">
        <v>19.8081183678514</v>
      </c>
      <c r="Q113" s="23" t="n">
        <v>20.02353299341681</v>
      </c>
      <c r="R113" s="23" t="n">
        <v>20.6880736863711</v>
      </c>
      <c r="S113" s="23" t="n">
        <v>20.89741265223468</v>
      </c>
      <c r="T113" s="23" t="n">
        <v>20.96479885057471</v>
      </c>
      <c r="U113" s="23" t="n">
        <v>20.68061529271206</v>
      </c>
      <c r="V113" s="38" t="n">
        <v>20.68723272202641</v>
      </c>
      <c r="W113" s="39" t="n">
        <v>100</v>
      </c>
      <c r="X113" s="24" t="n">
        <v>0.8333333333333334</v>
      </c>
    </row>
    <row r="114" ht="13.9" customHeight="1">
      <c r="A114" s="10" t="n">
        <v>26065020</v>
      </c>
      <c r="B114" s="35" t="inlineStr">
        <is>
          <t>CO</t>
        </is>
      </c>
      <c r="C114" s="35" t="inlineStr">
        <is>
          <t>Miranda</t>
        </is>
      </c>
      <c r="D114" s="35" t="inlineStr">
        <is>
          <t>Miranda</t>
        </is>
      </c>
      <c r="E114" s="21" t="inlineStr">
        <is>
          <t>Cauca</t>
        </is>
      </c>
      <c r="F114" s="35" t="n">
        <v>9</v>
      </c>
      <c r="G114" s="35" t="n">
        <v>1133</v>
      </c>
      <c r="H114" s="36" t="n">
        <v>-76.22305556000001</v>
      </c>
      <c r="I114" s="37" t="n">
        <v>3.24566667</v>
      </c>
      <c r="J114" s="22" t="n">
        <v>17.92120132340778</v>
      </c>
      <c r="K114" s="23" t="n">
        <v>17.95254711562502</v>
      </c>
      <c r="L114" s="23" t="n">
        <v>18.01274196038379</v>
      </c>
      <c r="M114" s="23" t="n">
        <v>18.07794405707199</v>
      </c>
      <c r="N114" s="23" t="n">
        <v>18.09013501185915</v>
      </c>
      <c r="O114" s="23" t="n">
        <v>18.02891537649543</v>
      </c>
      <c r="P114" s="23" t="n">
        <v>17.8748554635466</v>
      </c>
      <c r="Q114" s="23" t="n">
        <v>17.93841397849462</v>
      </c>
      <c r="R114" s="23" t="n">
        <v>17.94132457580733</v>
      </c>
      <c r="S114" s="23" t="n">
        <v>17.94451490365469</v>
      </c>
      <c r="T114" s="23" t="n">
        <v>17.87782624357337</v>
      </c>
      <c r="U114" s="23" t="n">
        <v>17.94460279940675</v>
      </c>
      <c r="V114" s="38" t="n">
        <v>17.96708523411054</v>
      </c>
      <c r="W114" s="39" t="n">
        <v>325</v>
      </c>
      <c r="X114" s="24" t="n">
        <v>0.9027777777777778</v>
      </c>
    </row>
    <row r="115" ht="13.9" customHeight="1">
      <c r="A115" s="10" t="n">
        <v>52015020</v>
      </c>
      <c r="B115" s="35" t="inlineStr">
        <is>
          <t>CO</t>
        </is>
      </c>
      <c r="C115" s="35" t="inlineStr">
        <is>
          <t>La Fonda Citec</t>
        </is>
      </c>
      <c r="D115" s="35" t="inlineStr">
        <is>
          <t>Patía (El Bordo)</t>
        </is>
      </c>
      <c r="E115" s="21" t="inlineStr">
        <is>
          <t>Cauca</t>
        </is>
      </c>
      <c r="F115" s="35" t="n">
        <v>7</v>
      </c>
      <c r="G115" s="35" t="n">
        <v>580</v>
      </c>
      <c r="H115" s="36" t="n">
        <v>-77.04999721999999</v>
      </c>
      <c r="I115" s="37" t="n">
        <v>2.14999722</v>
      </c>
      <c r="J115" s="22" t="n">
        <v>20.98007086062703</v>
      </c>
      <c r="K115" s="23" t="n">
        <v>21.07975467699605</v>
      </c>
      <c r="L115" s="23" t="n">
        <v>21.14863771712159</v>
      </c>
      <c r="M115" s="23" t="n">
        <v>21.41150574712643</v>
      </c>
      <c r="N115" s="23" t="n">
        <v>21.06068471140774</v>
      </c>
      <c r="O115" s="23" t="n">
        <v>20.33515544608648</v>
      </c>
      <c r="P115" s="23" t="n">
        <v>18.82036559139785</v>
      </c>
      <c r="Q115" s="23" t="n">
        <v>18.92186379928316</v>
      </c>
      <c r="R115" s="23" t="n">
        <v>20.2353908045977</v>
      </c>
      <c r="S115" s="23" t="n">
        <v>20.47305821282907</v>
      </c>
      <c r="T115" s="23" t="n">
        <v>20.94691954022989</v>
      </c>
      <c r="U115" s="23" t="n">
        <v>21.09367245657568</v>
      </c>
      <c r="V115" s="38" t="n">
        <v>20.54225663035656</v>
      </c>
      <c r="W115" s="39" t="n">
        <v>118</v>
      </c>
      <c r="X115" s="24" t="n">
        <v>0.9833333333333333</v>
      </c>
    </row>
    <row r="116" ht="13.9" customHeight="1">
      <c r="A116" s="10" t="n">
        <v>26025100</v>
      </c>
      <c r="B116" s="35" t="inlineStr">
        <is>
          <t>CO</t>
        </is>
      </c>
      <c r="C116" s="35" t="inlineStr">
        <is>
          <t>Tunia</t>
        </is>
      </c>
      <c r="D116" s="35" t="inlineStr">
        <is>
          <t>Piendamó</t>
        </is>
      </c>
      <c r="E116" s="21" t="inlineStr">
        <is>
          <t>Cauca</t>
        </is>
      </c>
      <c r="F116" s="35" t="n">
        <v>9</v>
      </c>
      <c r="G116" s="35" t="n">
        <v>1822</v>
      </c>
      <c r="H116" s="36" t="n">
        <v>-76.52633333</v>
      </c>
      <c r="I116" s="37" t="n">
        <v>2.67447222</v>
      </c>
      <c r="J116" s="22" t="n">
        <v>14.33426080030474</v>
      </c>
      <c r="K116" s="23" t="n">
        <v>14.63099169650537</v>
      </c>
      <c r="L116" s="23" t="n">
        <v>14.80621117875001</v>
      </c>
      <c r="M116" s="23" t="n">
        <v>14.90724622121173</v>
      </c>
      <c r="N116" s="23" t="n">
        <v>14.85412944946995</v>
      </c>
      <c r="O116" s="23" t="n">
        <v>14.57335548648142</v>
      </c>
      <c r="P116" s="23" t="n">
        <v>14.19925820969017</v>
      </c>
      <c r="Q116" s="23" t="n">
        <v>14.09020260607024</v>
      </c>
      <c r="R116" s="23" t="n">
        <v>14.05886243386243</v>
      </c>
      <c r="S116" s="23" t="n">
        <v>14.3349241888174</v>
      </c>
      <c r="T116" s="23" t="n">
        <v>14.54396178469722</v>
      </c>
      <c r="U116" s="23" t="n">
        <v>14.47015453289758</v>
      </c>
      <c r="V116" s="38" t="n">
        <v>14.48362988239652</v>
      </c>
      <c r="W116" s="39" t="n">
        <v>328</v>
      </c>
      <c r="X116" s="24" t="n">
        <v>0.9111111111111111</v>
      </c>
    </row>
    <row r="117" ht="13.9" customHeight="1">
      <c r="A117" s="10" t="n">
        <v>26035030</v>
      </c>
      <c r="B117" s="35" t="inlineStr">
        <is>
          <t>CP</t>
        </is>
      </c>
      <c r="C117" s="35" t="inlineStr">
        <is>
          <t>Aeropuerto Guillermo León Valencia</t>
        </is>
      </c>
      <c r="D117" s="35" t="inlineStr">
        <is>
          <t>Popayán</t>
        </is>
      </c>
      <c r="E117" s="21" t="inlineStr">
        <is>
          <t>Cauca</t>
        </is>
      </c>
      <c r="F117" s="35" t="n">
        <v>9</v>
      </c>
      <c r="G117" s="35" t="n">
        <v>1752</v>
      </c>
      <c r="H117" s="36" t="n">
        <v>-76.60875</v>
      </c>
      <c r="I117" s="37" t="n">
        <v>2.45288889</v>
      </c>
      <c r="J117" s="22" t="n">
        <v>13.89046495225504</v>
      </c>
      <c r="K117" s="23" t="n">
        <v>14.02890291129073</v>
      </c>
      <c r="L117" s="23" t="n">
        <v>14.31781709457976</v>
      </c>
      <c r="M117" s="23" t="n">
        <v>14.53632275132275</v>
      </c>
      <c r="N117" s="23" t="n">
        <v>14.33908175012747</v>
      </c>
      <c r="O117" s="23" t="n">
        <v>13.52580732520797</v>
      </c>
      <c r="P117" s="23" t="n">
        <v>12.90795689807327</v>
      </c>
      <c r="Q117" s="23" t="n">
        <v>12.52621405278987</v>
      </c>
      <c r="R117" s="23" t="n">
        <v>12.85572651192456</v>
      </c>
      <c r="S117" s="23" t="n">
        <v>14.03286312638185</v>
      </c>
      <c r="T117" s="23" t="n">
        <v>14.49835430970807</v>
      </c>
      <c r="U117" s="23" t="n">
        <v>14.42273523420679</v>
      </c>
      <c r="V117" s="38" t="n">
        <v>13.82352057648901</v>
      </c>
      <c r="W117" s="39" t="n">
        <v>311</v>
      </c>
      <c r="X117" s="24" t="n">
        <v>0.8638888888888889</v>
      </c>
    </row>
    <row r="118" ht="13.9" customHeight="1">
      <c r="A118" s="10" t="n">
        <v>26045010</v>
      </c>
      <c r="B118" s="35" t="inlineStr">
        <is>
          <t>CO</t>
        </is>
      </c>
      <c r="C118" s="35" t="inlineStr">
        <is>
          <t>Ingenio Bengala</t>
        </is>
      </c>
      <c r="D118" s="35" t="inlineStr">
        <is>
          <t>Puerto Tejada</t>
        </is>
      </c>
      <c r="E118" s="21" t="inlineStr">
        <is>
          <t>Cauca</t>
        </is>
      </c>
      <c r="F118" s="35" t="n">
        <v>9</v>
      </c>
      <c r="G118" s="35" t="n">
        <v>983</v>
      </c>
      <c r="H118" s="36" t="n">
        <v>-76.41447222000001</v>
      </c>
      <c r="I118" s="37" t="n">
        <v>3.26280556</v>
      </c>
      <c r="J118" s="22" t="n">
        <v>17.52954070660522</v>
      </c>
      <c r="K118" s="23" t="n">
        <v>17.48714237996997</v>
      </c>
      <c r="L118" s="23" t="n">
        <v>17.57385684949089</v>
      </c>
      <c r="M118" s="23" t="n">
        <v>17.51293152709359</v>
      </c>
      <c r="N118" s="23" t="n">
        <v>17.77406967741935</v>
      </c>
      <c r="O118" s="23" t="n">
        <v>17.6507045991046</v>
      </c>
      <c r="P118" s="23" t="n">
        <v>17.47151062909406</v>
      </c>
      <c r="Q118" s="23" t="n">
        <v>17.36758921614461</v>
      </c>
      <c r="R118" s="23" t="n">
        <v>17.47176383137102</v>
      </c>
      <c r="S118" s="23" t="n">
        <v>17.40198340921705</v>
      </c>
      <c r="T118" s="23" t="n">
        <v>17.42825803187872</v>
      </c>
      <c r="U118" s="23" t="n">
        <v>17.48545591783078</v>
      </c>
      <c r="V118" s="38" t="n">
        <v>17.51290056460165</v>
      </c>
      <c r="W118" s="39" t="n">
        <v>288</v>
      </c>
      <c r="X118" s="24" t="n">
        <v>0.8</v>
      </c>
    </row>
    <row r="119" ht="13.9" customHeight="1">
      <c r="A119" s="10" t="n">
        <v>44015030</v>
      </c>
      <c r="B119" s="35" t="inlineStr">
        <is>
          <t>CP</t>
        </is>
      </c>
      <c r="C119" s="35" t="inlineStr">
        <is>
          <t>Valencia</t>
        </is>
      </c>
      <c r="D119" s="35" t="inlineStr">
        <is>
          <t>San Sebastián</t>
        </is>
      </c>
      <c r="E119" s="21" t="inlineStr">
        <is>
          <t>Cauca</t>
        </is>
      </c>
      <c r="F119" s="35" t="n">
        <v>7</v>
      </c>
      <c r="G119" s="35" t="n">
        <v>2900</v>
      </c>
      <c r="H119" s="36" t="n">
        <v>-76.66875</v>
      </c>
      <c r="I119" s="37" t="n">
        <v>1.90041667</v>
      </c>
      <c r="J119" s="22" t="n">
        <v>5.302367965866106</v>
      </c>
      <c r="K119" s="23" t="n">
        <v>5.906849184329564</v>
      </c>
      <c r="L119" s="23" t="n">
        <v>6.362707136873619</v>
      </c>
      <c r="M119" s="23" t="n">
        <v>6.677018571994791</v>
      </c>
      <c r="N119" s="23" t="n">
        <v>6.920858370390549</v>
      </c>
      <c r="O119" s="23" t="n">
        <v>6.856564821330832</v>
      </c>
      <c r="P119" s="23" t="n">
        <v>6.638222852416403</v>
      </c>
      <c r="Q119" s="23" t="n">
        <v>5.938605205757041</v>
      </c>
      <c r="R119" s="23" t="n">
        <v>5.344342451078083</v>
      </c>
      <c r="S119" s="23" t="n">
        <v>5.513088846513764</v>
      </c>
      <c r="T119" s="23" t="n">
        <v>6.230730651340997</v>
      </c>
      <c r="U119" s="23" t="n">
        <v>5.971120486607696</v>
      </c>
      <c r="V119" s="38" t="n">
        <v>6.138539712041621</v>
      </c>
      <c r="W119" s="39" t="n">
        <v>351</v>
      </c>
      <c r="X119" s="24" t="n">
        <v>0.975</v>
      </c>
    </row>
    <row r="120" ht="13.9" customHeight="1">
      <c r="A120" s="10" t="n">
        <v>26025030</v>
      </c>
      <c r="B120" s="35" t="inlineStr">
        <is>
          <t>CO</t>
        </is>
      </c>
      <c r="C120" s="35" t="inlineStr">
        <is>
          <t>Japio 1</t>
        </is>
      </c>
      <c r="D120" s="35" t="inlineStr">
        <is>
          <t>Santander de Quilichao</t>
        </is>
      </c>
      <c r="E120" s="21" t="inlineStr">
        <is>
          <t>Cauca</t>
        </is>
      </c>
      <c r="F120" s="35" t="n">
        <v>9</v>
      </c>
      <c r="G120" s="35" t="n">
        <v>1040</v>
      </c>
      <c r="H120" s="36" t="n">
        <v>-76.44141667</v>
      </c>
      <c r="I120" s="37" t="n">
        <v>3.04836111</v>
      </c>
      <c r="J120" s="22" t="n">
        <v>18.46649313464108</v>
      </c>
      <c r="K120" s="23" t="n">
        <v>18.56571011746874</v>
      </c>
      <c r="L120" s="23" t="n">
        <v>18.79786021505376</v>
      </c>
      <c r="M120" s="23" t="n">
        <v>18.89108994708995</v>
      </c>
      <c r="N120" s="23" t="n">
        <v>18.86406451612903</v>
      </c>
      <c r="O120" s="23" t="n">
        <v>18.54032840722495</v>
      </c>
      <c r="P120" s="23" t="n">
        <v>17.59660437523174</v>
      </c>
      <c r="Q120" s="23" t="n">
        <v>17.42135483870968</v>
      </c>
      <c r="R120" s="23" t="n">
        <v>18.07558620689655</v>
      </c>
      <c r="S120" s="23" t="n">
        <v>18.37647385984427</v>
      </c>
      <c r="T120" s="23" t="n">
        <v>18.61333004926108</v>
      </c>
      <c r="U120" s="23" t="n">
        <v>18.68543070400283</v>
      </c>
      <c r="V120" s="38" t="n">
        <v>18.40786053096281</v>
      </c>
      <c r="W120" s="39" t="n">
        <v>119</v>
      </c>
      <c r="X120" s="24" t="n">
        <v>0.9916666666666667</v>
      </c>
    </row>
    <row r="121" ht="13.9" customHeight="1">
      <c r="A121" s="10" t="n">
        <v>26025110</v>
      </c>
      <c r="B121" s="35" t="inlineStr">
        <is>
          <t>CO</t>
        </is>
      </c>
      <c r="C121" s="35" t="inlineStr">
        <is>
          <t>Lomitas</t>
        </is>
      </c>
      <c r="D121" s="35" t="inlineStr">
        <is>
          <t>Santander de Quilichao</t>
        </is>
      </c>
      <c r="E121" s="21" t="inlineStr">
        <is>
          <t>Cauca</t>
        </is>
      </c>
      <c r="F121" s="35" t="n">
        <v>9</v>
      </c>
      <c r="G121" s="35" t="n">
        <v>1009</v>
      </c>
      <c r="H121" s="36" t="n">
        <v>-76.55625000000001</v>
      </c>
      <c r="I121" s="37" t="n">
        <v>3.07538889</v>
      </c>
      <c r="J121" s="22" t="n">
        <v>18.37153700189753</v>
      </c>
      <c r="K121" s="23" t="n">
        <v>18.32026251113472</v>
      </c>
      <c r="L121" s="23" t="n">
        <v>18.20605945604048</v>
      </c>
      <c r="M121" s="23" t="n">
        <v>18.21364435429344</v>
      </c>
      <c r="N121" s="23" t="n">
        <v>18.43375149342891</v>
      </c>
      <c r="O121" s="23" t="n">
        <v>18.21703703703704</v>
      </c>
      <c r="P121" s="23" t="n">
        <v>18.04587813620072</v>
      </c>
      <c r="Q121" s="23" t="n">
        <v>17.92353706847765</v>
      </c>
      <c r="R121" s="23" t="n">
        <v>18.07315789473684</v>
      </c>
      <c r="S121" s="23" t="n">
        <v>18.13827956989248</v>
      </c>
      <c r="T121" s="23" t="n">
        <v>18.26083484573503</v>
      </c>
      <c r="U121" s="23" t="n">
        <v>18.41455071370182</v>
      </c>
      <c r="V121" s="38" t="n">
        <v>18.21821084021472</v>
      </c>
      <c r="W121" s="39" t="n">
        <v>217</v>
      </c>
      <c r="X121" s="24" t="n">
        <v>0.9041666666666667</v>
      </c>
    </row>
    <row r="122" ht="13.9" customHeight="1">
      <c r="A122" s="10" t="n">
        <v>52015010</v>
      </c>
      <c r="B122" s="35" t="inlineStr">
        <is>
          <t>CO</t>
        </is>
      </c>
      <c r="C122" s="35" t="inlineStr">
        <is>
          <t>Paispamba</t>
        </is>
      </c>
      <c r="D122" s="35" t="inlineStr">
        <is>
          <t>Sotará (Paispamba)</t>
        </is>
      </c>
      <c r="E122" s="21" t="inlineStr">
        <is>
          <t>Cauca</t>
        </is>
      </c>
      <c r="F122" s="35" t="n">
        <v>7</v>
      </c>
      <c r="G122" s="35" t="n">
        <v>2450</v>
      </c>
      <c r="H122" s="36" t="n">
        <v>-76.61194444</v>
      </c>
      <c r="I122" s="37" t="n">
        <v>2.24972222</v>
      </c>
      <c r="J122" s="22" t="n">
        <v>11.09465949820789</v>
      </c>
      <c r="K122" s="23" t="n">
        <v>11.26431536216019</v>
      </c>
      <c r="L122" s="23" t="n">
        <v>11.59624731182796</v>
      </c>
      <c r="M122" s="23" t="n">
        <v>11.683</v>
      </c>
      <c r="N122" s="23" t="n">
        <v>11.83709677419355</v>
      </c>
      <c r="O122" s="23" t="n">
        <v>11.68691133004926</v>
      </c>
      <c r="P122" s="23" t="n">
        <v>11.59910752688172</v>
      </c>
      <c r="Q122" s="23" t="n">
        <v>11.41155222734255</v>
      </c>
      <c r="R122" s="23" t="n">
        <v>11.32678407224959</v>
      </c>
      <c r="S122" s="23" t="n">
        <v>11.11451612903226</v>
      </c>
      <c r="T122" s="23" t="n">
        <v>11.15708045977011</v>
      </c>
      <c r="U122" s="23" t="n">
        <v>11.04418740399386</v>
      </c>
      <c r="V122" s="38" t="n">
        <v>11.40128817464241</v>
      </c>
      <c r="W122" s="39" t="n">
        <v>120</v>
      </c>
      <c r="X122" s="24" t="n">
        <v>1</v>
      </c>
    </row>
    <row r="123" ht="13.9" customHeight="1">
      <c r="A123" s="10" t="n">
        <v>26025070</v>
      </c>
      <c r="B123" s="35" t="inlineStr">
        <is>
          <t>CO</t>
        </is>
      </c>
      <c r="C123" s="35" t="inlineStr">
        <is>
          <t>Gabriel López</t>
        </is>
      </c>
      <c r="D123" s="35" t="inlineStr">
        <is>
          <t>Totoró</t>
        </is>
      </c>
      <c r="E123" s="21" t="inlineStr">
        <is>
          <t>Cauca</t>
        </is>
      </c>
      <c r="F123" s="35" t="n">
        <v>9</v>
      </c>
      <c r="G123" s="35" t="n">
        <v>3071</v>
      </c>
      <c r="H123" s="36" t="n">
        <v>-76.28905556000001</v>
      </c>
      <c r="I123" s="37" t="n">
        <v>2.50975</v>
      </c>
      <c r="J123" s="22" t="n">
        <v>5.705518669095088</v>
      </c>
      <c r="K123" s="23" t="n">
        <v>5.945998068637327</v>
      </c>
      <c r="L123" s="23" t="n">
        <v>6.40512738576948</v>
      </c>
      <c r="M123" s="23" t="n">
        <v>6.768532937884396</v>
      </c>
      <c r="N123" s="23" t="n">
        <v>6.932554646604384</v>
      </c>
      <c r="O123" s="23" t="n">
        <v>7.010989867486181</v>
      </c>
      <c r="P123" s="23" t="n">
        <v>6.82142374793693</v>
      </c>
      <c r="Q123" s="23" t="n">
        <v>6.537623749966759</v>
      </c>
      <c r="R123" s="23" t="n">
        <v>6.352491816175128</v>
      </c>
      <c r="S123" s="23" t="n">
        <v>6.230790177119877</v>
      </c>
      <c r="T123" s="23" t="n">
        <v>6.229707986243564</v>
      </c>
      <c r="U123" s="23" t="n">
        <v>6.171636625675372</v>
      </c>
      <c r="V123" s="38" t="n">
        <v>6.426032973216208</v>
      </c>
      <c r="W123" s="39" t="n">
        <v>301</v>
      </c>
      <c r="X123" s="24" t="n">
        <v>0.8361111111111111</v>
      </c>
    </row>
    <row r="124" ht="13.9" customHeight="1">
      <c r="A124" s="10" t="n">
        <v>23215030</v>
      </c>
      <c r="B124" s="35" t="inlineStr">
        <is>
          <t>PM</t>
        </is>
      </c>
      <c r="C124" s="35" t="inlineStr">
        <is>
          <t>Aguas Claras</t>
        </is>
      </c>
      <c r="D124" s="35" t="inlineStr">
        <is>
          <t>Aguachica</t>
        </is>
      </c>
      <c r="E124" s="21" t="inlineStr">
        <is>
          <t>Cesar</t>
        </is>
      </c>
      <c r="F124" s="35" t="n">
        <v>8</v>
      </c>
      <c r="G124" s="35" t="n">
        <v>208</v>
      </c>
      <c r="H124" s="36" t="n">
        <v>-73.60277778</v>
      </c>
      <c r="I124" s="37" t="n">
        <v>8.22888889</v>
      </c>
      <c r="J124" s="22" t="n">
        <v>23.12872281959378</v>
      </c>
      <c r="K124" s="23" t="n">
        <v>23.91629100529101</v>
      </c>
      <c r="L124" s="23" t="n">
        <v>24.31887933094385</v>
      </c>
      <c r="M124" s="23" t="n">
        <v>24.33444170771757</v>
      </c>
      <c r="N124" s="23" t="n">
        <v>23.94017575083426</v>
      </c>
      <c r="O124" s="23" t="n">
        <v>23.76242528735632</v>
      </c>
      <c r="P124" s="23" t="n">
        <v>23.29195340501792</v>
      </c>
      <c r="Q124" s="23" t="n">
        <v>23.4245376344086</v>
      </c>
      <c r="R124" s="23" t="n">
        <v>23.26371921182266</v>
      </c>
      <c r="S124" s="23" t="n">
        <v>23.21162365591398</v>
      </c>
      <c r="T124" s="23" t="n">
        <v>23.28257206012379</v>
      </c>
      <c r="U124" s="23" t="n">
        <v>23.26212664277181</v>
      </c>
      <c r="V124" s="38" t="n">
        <v>23.59478904264963</v>
      </c>
      <c r="W124" s="39" t="n">
        <v>119</v>
      </c>
      <c r="X124" s="24" t="n">
        <v>0.9916666666666667</v>
      </c>
    </row>
    <row r="125" ht="13.9" customHeight="1">
      <c r="A125" s="10" t="n">
        <v>28025090</v>
      </c>
      <c r="B125" s="35" t="inlineStr">
        <is>
          <t>CO</t>
        </is>
      </c>
      <c r="C125" s="35" t="inlineStr">
        <is>
          <t>Hacienda Centenario</t>
        </is>
      </c>
      <c r="D125" s="35" t="inlineStr">
        <is>
          <t>Agustín Codazzi</t>
        </is>
      </c>
      <c r="E125" s="21" t="inlineStr">
        <is>
          <t>Cesar</t>
        </is>
      </c>
      <c r="F125" s="35" t="n">
        <v>5</v>
      </c>
      <c r="G125" s="35" t="n">
        <v>100</v>
      </c>
      <c r="H125" s="36" t="n">
        <v>-73.26547222000001</v>
      </c>
      <c r="I125" s="37" t="n">
        <v>9.850250000000001</v>
      </c>
      <c r="J125" s="22" t="n">
        <v>20.27430481560626</v>
      </c>
      <c r="K125" s="23" t="n">
        <v>20.97429646471026</v>
      </c>
      <c r="L125" s="23" t="n">
        <v>22.4289336413679</v>
      </c>
      <c r="M125" s="23" t="n">
        <v>23.26908113342596</v>
      </c>
      <c r="N125" s="23" t="n">
        <v>23.42880384187558</v>
      </c>
      <c r="O125" s="23" t="n">
        <v>23.07613295634516</v>
      </c>
      <c r="P125" s="23" t="n">
        <v>22.97567608453838</v>
      </c>
      <c r="Q125" s="23" t="n">
        <v>22.99943149531225</v>
      </c>
      <c r="R125" s="23" t="n">
        <v>22.98148639247579</v>
      </c>
      <c r="S125" s="23" t="n">
        <v>22.86184274904705</v>
      </c>
      <c r="T125" s="23" t="n">
        <v>22.48938805435613</v>
      </c>
      <c r="U125" s="23" t="n">
        <v>21.1253000467892</v>
      </c>
      <c r="V125" s="38" t="n">
        <v>22.4070564729875</v>
      </c>
      <c r="W125" s="39" t="n">
        <v>308</v>
      </c>
      <c r="X125" s="24" t="n">
        <v>0.8555555555555555</v>
      </c>
    </row>
    <row r="126" ht="13.9" customHeight="1">
      <c r="A126" s="10" t="n">
        <v>28025070</v>
      </c>
      <c r="B126" s="35" t="inlineStr">
        <is>
          <t>AM</t>
        </is>
      </c>
      <c r="C126" s="35" t="inlineStr">
        <is>
          <t>Motilonia Codazzi</t>
        </is>
      </c>
      <c r="D126" s="35" t="inlineStr">
        <is>
          <t>Agustín Codazzi</t>
        </is>
      </c>
      <c r="E126" s="21" t="inlineStr">
        <is>
          <t>Cesar</t>
        </is>
      </c>
      <c r="F126" s="35" t="n">
        <v>5</v>
      </c>
      <c r="G126" s="35" t="n">
        <v>180</v>
      </c>
      <c r="H126" s="36" t="n">
        <v>-73.24938889000001</v>
      </c>
      <c r="I126" s="37" t="n">
        <v>10.00180556</v>
      </c>
      <c r="J126" s="22" t="n">
        <v>22.57522535311572</v>
      </c>
      <c r="K126" s="23" t="n">
        <v>23.29158342455756</v>
      </c>
      <c r="L126" s="23" t="n">
        <v>24.28637786049076</v>
      </c>
      <c r="M126" s="23" t="n">
        <v>24.8045615817771</v>
      </c>
      <c r="N126" s="23" t="n">
        <v>24.64640641427811</v>
      </c>
      <c r="O126" s="23" t="n">
        <v>24.69647980852879</v>
      </c>
      <c r="P126" s="23" t="n">
        <v>24.24276100768592</v>
      </c>
      <c r="Q126" s="23" t="n">
        <v>24.09473836076172</v>
      </c>
      <c r="R126" s="23" t="n">
        <v>24.00032415009427</v>
      </c>
      <c r="S126" s="23" t="n">
        <v>23.7220468372996</v>
      </c>
      <c r="T126" s="23" t="n">
        <v>23.51037635094017</v>
      </c>
      <c r="U126" s="23" t="n">
        <v>22.94703236966141</v>
      </c>
      <c r="V126" s="38" t="n">
        <v>23.90149279326593</v>
      </c>
      <c r="W126" s="39" t="n">
        <v>334</v>
      </c>
      <c r="X126" s="24" t="n">
        <v>0.9277777777777778</v>
      </c>
    </row>
    <row r="127" ht="13.9" customHeight="1">
      <c r="A127" s="10" t="n">
        <v>28025080</v>
      </c>
      <c r="B127" s="35" t="inlineStr">
        <is>
          <t>CP</t>
        </is>
      </c>
      <c r="C127" s="35" t="inlineStr">
        <is>
          <t>Socomba</t>
        </is>
      </c>
      <c r="D127" s="35" t="inlineStr">
        <is>
          <t>Becerrill</t>
        </is>
      </c>
      <c r="E127" s="21" t="inlineStr">
        <is>
          <t>Cesar</t>
        </is>
      </c>
      <c r="F127" s="35" t="n">
        <v>5</v>
      </c>
      <c r="G127" s="35" t="n">
        <v>170</v>
      </c>
      <c r="H127" s="36" t="n">
        <v>-73.24055556</v>
      </c>
      <c r="I127" s="37" t="n">
        <v>9.686666670000001</v>
      </c>
      <c r="J127" s="22" t="n">
        <v>20.55971589538052</v>
      </c>
      <c r="K127" s="23" t="n">
        <v>21.20339024926139</v>
      </c>
      <c r="L127" s="23" t="n">
        <v>21.65052183201794</v>
      </c>
      <c r="M127" s="23" t="n">
        <v>22.36832505667351</v>
      </c>
      <c r="N127" s="23" t="n">
        <v>22.18394650398445</v>
      </c>
      <c r="O127" s="23" t="n">
        <v>22.23795463875205</v>
      </c>
      <c r="P127" s="23" t="n">
        <v>22.17712066905615</v>
      </c>
      <c r="Q127" s="23" t="n">
        <v>22.21582602209618</v>
      </c>
      <c r="R127" s="23" t="n">
        <v>22.25060605084945</v>
      </c>
      <c r="S127" s="23" t="n">
        <v>22.09159018491741</v>
      </c>
      <c r="T127" s="23" t="n">
        <v>21.96423022848986</v>
      </c>
      <c r="U127" s="23" t="n">
        <v>20.94645867116324</v>
      </c>
      <c r="V127" s="38" t="n">
        <v>21.82080716688685</v>
      </c>
      <c r="W127" s="39" t="n">
        <v>205</v>
      </c>
      <c r="X127" s="24" t="n">
        <v>0.8541666666666666</v>
      </c>
    </row>
    <row r="128" ht="13.9" customHeight="1">
      <c r="A128" s="10" t="n">
        <v>25025250</v>
      </c>
      <c r="B128" s="35" t="inlineStr">
        <is>
          <t>CO</t>
        </is>
      </c>
      <c r="C128" s="35" t="inlineStr">
        <is>
          <t>Chiriguaná</t>
        </is>
      </c>
      <c r="D128" s="35" t="inlineStr">
        <is>
          <t>Chiriguaná</t>
        </is>
      </c>
      <c r="E128" s="21" t="inlineStr">
        <is>
          <t>Cesar</t>
        </is>
      </c>
      <c r="F128" s="35" t="n">
        <v>5</v>
      </c>
      <c r="G128" s="35" t="n">
        <v>40</v>
      </c>
      <c r="H128" s="36" t="n">
        <v>-73.59338889</v>
      </c>
      <c r="I128" s="37" t="n">
        <v>9.361027780000001</v>
      </c>
      <c r="J128" s="22" t="n">
        <v>21.7632997035267</v>
      </c>
      <c r="K128" s="23" t="n">
        <v>21.89889293730143</v>
      </c>
      <c r="L128" s="23" t="n">
        <v>22.23537531648922</v>
      </c>
      <c r="M128" s="23" t="n">
        <v>22.44847467825916</v>
      </c>
      <c r="N128" s="23" t="n">
        <v>22.29507063688999</v>
      </c>
      <c r="O128" s="23" t="n">
        <v>22.58210278325663</v>
      </c>
      <c r="P128" s="23" t="n">
        <v>22.87265805053066</v>
      </c>
      <c r="Q128" s="23" t="n">
        <v>22.66003362393796</v>
      </c>
      <c r="R128" s="23" t="n">
        <v>22.32813400991812</v>
      </c>
      <c r="S128" s="23" t="n">
        <v>22.12063707595517</v>
      </c>
      <c r="T128" s="23" t="n">
        <v>22.30963559429076</v>
      </c>
      <c r="U128" s="23" t="n">
        <v>22.27768329694174</v>
      </c>
      <c r="V128" s="38" t="n">
        <v>22.31599980894147</v>
      </c>
      <c r="W128" s="39" t="n">
        <v>309</v>
      </c>
      <c r="X128" s="24" t="n">
        <v>0.8583333333333333</v>
      </c>
    </row>
    <row r="129" ht="13.9" customHeight="1">
      <c r="A129" s="10" t="n">
        <v>23215050</v>
      </c>
      <c r="B129" s="35" t="inlineStr">
        <is>
          <t>PM</t>
        </is>
      </c>
      <c r="C129" s="35" t="inlineStr">
        <is>
          <t>La Mata</t>
        </is>
      </c>
      <c r="D129" s="35" t="inlineStr">
        <is>
          <t>La Gloria</t>
        </is>
      </c>
      <c r="E129" s="21" t="inlineStr">
        <is>
          <t>Cesar</t>
        </is>
      </c>
      <c r="F129" s="35" t="n">
        <v>8</v>
      </c>
      <c r="G129" s="35" t="n">
        <v>163</v>
      </c>
      <c r="H129" s="36" t="n">
        <v>-73.63638889000001</v>
      </c>
      <c r="I129" s="37" t="n">
        <v>8.61444444</v>
      </c>
      <c r="J129" s="22" t="n">
        <v>22.84396654719235</v>
      </c>
      <c r="K129" s="23" t="n">
        <v>22.97676789827173</v>
      </c>
      <c r="L129" s="23" t="n">
        <v>23.04266918067633</v>
      </c>
      <c r="M129" s="23" t="n">
        <v>23.05900114942529</v>
      </c>
      <c r="N129" s="23" t="n">
        <v>22.92507494542808</v>
      </c>
      <c r="O129" s="23" t="n">
        <v>22.93896146787628</v>
      </c>
      <c r="P129" s="23" t="n">
        <v>22.8710961001116</v>
      </c>
      <c r="Q129" s="23" t="n">
        <v>22.74726990736779</v>
      </c>
      <c r="R129" s="23" t="n">
        <v>22.66533843761879</v>
      </c>
      <c r="S129" s="23" t="n">
        <v>22.68125188843209</v>
      </c>
      <c r="T129" s="23" t="n">
        <v>22.7557298901234</v>
      </c>
      <c r="U129" s="23" t="n">
        <v>23.02163341069409</v>
      </c>
      <c r="V129" s="38" t="n">
        <v>22.87739673526815</v>
      </c>
      <c r="W129" s="39" t="n">
        <v>217</v>
      </c>
      <c r="X129" s="24" t="n">
        <v>0.9041666666666667</v>
      </c>
    </row>
    <row r="130" ht="13.9" customHeight="1">
      <c r="A130" s="10" t="n">
        <v>25025330</v>
      </c>
      <c r="B130" s="35" t="inlineStr">
        <is>
          <t>CP</t>
        </is>
      </c>
      <c r="C130" s="35" t="inlineStr">
        <is>
          <t>Colegio Agropecuario Pailitas</t>
        </is>
      </c>
      <c r="D130" s="35" t="inlineStr">
        <is>
          <t>Pailitas</t>
        </is>
      </c>
      <c r="E130" s="21" t="inlineStr">
        <is>
          <t>Cesar</t>
        </is>
      </c>
      <c r="F130" s="35" t="n">
        <v>5</v>
      </c>
      <c r="G130" s="35" t="n">
        <v>50</v>
      </c>
      <c r="H130" s="36" t="n">
        <v>-73.63008332999999</v>
      </c>
      <c r="I130" s="37" t="n">
        <v>8.95422222</v>
      </c>
      <c r="J130" s="22" t="n">
        <v>21.19528535980149</v>
      </c>
      <c r="K130" s="23" t="n">
        <v>21.69580490178192</v>
      </c>
      <c r="L130" s="23" t="n">
        <v>22.62383256528418</v>
      </c>
      <c r="M130" s="23" t="n">
        <v>22.59771437693851</v>
      </c>
      <c r="N130" s="23" t="n">
        <v>22.78179770766868</v>
      </c>
      <c r="O130" s="23" t="n">
        <v>22.7725159642401</v>
      </c>
      <c r="P130" s="23" t="n">
        <v>22.92382610765505</v>
      </c>
      <c r="Q130" s="23" t="n">
        <v>22.80687536416124</v>
      </c>
      <c r="R130" s="23" t="n">
        <v>22.80732142857142</v>
      </c>
      <c r="S130" s="23" t="n">
        <v>22.57174731182795</v>
      </c>
      <c r="T130" s="23" t="n">
        <v>22.35325154730327</v>
      </c>
      <c r="U130" s="23" t="n">
        <v>21.5959909730519</v>
      </c>
      <c r="V130" s="38" t="n">
        <v>22.39383030069048</v>
      </c>
      <c r="W130" s="39" t="n">
        <v>104</v>
      </c>
      <c r="X130" s="24" t="n">
        <v>0.8666666666666667</v>
      </c>
    </row>
    <row r="131" ht="13.9" customHeight="1">
      <c r="A131" s="10" t="n">
        <v>28025020</v>
      </c>
      <c r="B131" s="35" t="inlineStr">
        <is>
          <t>CO</t>
        </is>
      </c>
      <c r="C131" s="35" t="inlineStr">
        <is>
          <t xml:space="preserve">El Rincón </t>
        </is>
      </c>
      <c r="D131" s="35" t="inlineStr">
        <is>
          <t>San Diego</t>
        </is>
      </c>
      <c r="E131" s="21" t="inlineStr">
        <is>
          <t>Cesar</t>
        </is>
      </c>
      <c r="F131" s="35" t="n">
        <v>5</v>
      </c>
      <c r="G131" s="35" t="n">
        <v>350</v>
      </c>
      <c r="H131" s="36" t="n">
        <v>-73.13138889</v>
      </c>
      <c r="I131" s="37" t="n">
        <v>10.27138889</v>
      </c>
      <c r="J131" s="22" t="n">
        <v>18.74534037987955</v>
      </c>
      <c r="K131" s="23" t="n">
        <v>19.59714260344234</v>
      </c>
      <c r="L131" s="23" t="n">
        <v>20.63676525359011</v>
      </c>
      <c r="M131" s="23" t="n">
        <v>21.17524863562913</v>
      </c>
      <c r="N131" s="23" t="n">
        <v>21.48112586393269</v>
      </c>
      <c r="O131" s="23" t="n">
        <v>21.14115564204963</v>
      </c>
      <c r="P131" s="23" t="n">
        <v>21.00874960782636</v>
      </c>
      <c r="Q131" s="23" t="n">
        <v>21.08553213623603</v>
      </c>
      <c r="R131" s="23" t="n">
        <v>20.94477431125707</v>
      </c>
      <c r="S131" s="23" t="n">
        <v>20.77530810665048</v>
      </c>
      <c r="T131" s="23" t="n">
        <v>20.3814127797047</v>
      </c>
      <c r="U131" s="23" t="n">
        <v>19.65780437523174</v>
      </c>
      <c r="V131" s="38" t="n">
        <v>20.55252997461915</v>
      </c>
      <c r="W131" s="39" t="n">
        <v>315</v>
      </c>
      <c r="X131" s="24" t="n">
        <v>0.875</v>
      </c>
    </row>
    <row r="132" ht="13.9" customHeight="1">
      <c r="A132" s="10" t="n">
        <v>28025502</v>
      </c>
      <c r="B132" s="35" t="inlineStr">
        <is>
          <t>SP</t>
        </is>
      </c>
      <c r="C132" s="11" t="inlineStr">
        <is>
          <t>Aeropuerto Alfonso López</t>
        </is>
      </c>
      <c r="D132" s="35" t="inlineStr">
        <is>
          <t>Valledupar</t>
        </is>
      </c>
      <c r="E132" s="21" t="inlineStr">
        <is>
          <t>Cesar</t>
        </is>
      </c>
      <c r="F132" s="35" t="n">
        <v>5</v>
      </c>
      <c r="G132" s="35" t="n">
        <v>138</v>
      </c>
      <c r="H132" s="36" t="n">
        <v>-73.24766667</v>
      </c>
      <c r="I132" s="37" t="n">
        <v>10.43616667</v>
      </c>
      <c r="J132" s="22" t="n">
        <v>23.08276869949562</v>
      </c>
      <c r="K132" s="23" t="n">
        <v>23.5983104934893</v>
      </c>
      <c r="L132" s="23" t="n">
        <v>24.21612414467253</v>
      </c>
      <c r="M132" s="23" t="n">
        <v>24.62375181571303</v>
      </c>
      <c r="N132" s="23" t="n">
        <v>24.43639599555061</v>
      </c>
      <c r="O132" s="23" t="n">
        <v>24.54339683180388</v>
      </c>
      <c r="P132" s="23" t="n">
        <v>24.65002483348788</v>
      </c>
      <c r="Q132" s="23" t="n">
        <v>24.33398233486943</v>
      </c>
      <c r="R132" s="23" t="n">
        <v>23.80012234953952</v>
      </c>
      <c r="S132" s="23" t="n">
        <v>23.55369229501598</v>
      </c>
      <c r="T132" s="23" t="n">
        <v>23.51668924466338</v>
      </c>
      <c r="U132" s="23" t="n">
        <v>23.44056067588326</v>
      </c>
      <c r="V132" s="38" t="n">
        <v>23.98298497618204</v>
      </c>
      <c r="W132" s="39" t="n">
        <v>335</v>
      </c>
      <c r="X132" s="24" t="n">
        <v>0.9305555555555556</v>
      </c>
    </row>
    <row r="133" ht="13.9" customHeight="1">
      <c r="A133" s="10" t="n">
        <v>28035020</v>
      </c>
      <c r="B133" s="35" t="inlineStr">
        <is>
          <t>CO</t>
        </is>
      </c>
      <c r="C133" s="35" t="inlineStr">
        <is>
          <t>El Callao</t>
        </is>
      </c>
      <c r="D133" s="35" t="inlineStr">
        <is>
          <t>Valledupar</t>
        </is>
      </c>
      <c r="E133" s="21" t="inlineStr">
        <is>
          <t>Cesar</t>
        </is>
      </c>
      <c r="F133" s="35" t="n">
        <v>5</v>
      </c>
      <c r="G133" s="35" t="n">
        <v>110</v>
      </c>
      <c r="H133" s="36" t="n">
        <v>-73.31944444</v>
      </c>
      <c r="I133" s="37" t="n">
        <v>10.36305556</v>
      </c>
      <c r="J133" s="22" t="n">
        <v>22.10333805978967</v>
      </c>
      <c r="K133" s="23" t="n">
        <v>22.79793951027923</v>
      </c>
      <c r="L133" s="23" t="n">
        <v>23.42066523221652</v>
      </c>
      <c r="M133" s="23" t="n">
        <v>23.70154511388994</v>
      </c>
      <c r="N133" s="23" t="n">
        <v>23.53410799288104</v>
      </c>
      <c r="O133" s="23" t="n">
        <v>23.49522717840452</v>
      </c>
      <c r="P133" s="23" t="n">
        <v>23.44705122093331</v>
      </c>
      <c r="Q133" s="23" t="n">
        <v>23.14853122124721</v>
      </c>
      <c r="R133" s="23" t="n">
        <v>22.64152264843909</v>
      </c>
      <c r="S133" s="23" t="n">
        <v>22.60022731810273</v>
      </c>
      <c r="T133" s="23" t="n">
        <v>22.45792226292226</v>
      </c>
      <c r="U133" s="23" t="n">
        <v>22.28016830280955</v>
      </c>
      <c r="V133" s="38" t="n">
        <v>22.96902050515959</v>
      </c>
      <c r="W133" s="39" t="n">
        <v>327</v>
      </c>
      <c r="X133" s="24" t="n">
        <v>0.9083333333333333</v>
      </c>
    </row>
    <row r="134" ht="13.9" customHeight="1">
      <c r="A134" s="10" t="n">
        <v>28035040</v>
      </c>
      <c r="B134" s="35" t="inlineStr">
        <is>
          <t>CO</t>
        </is>
      </c>
      <c r="C134" s="35" t="inlineStr">
        <is>
          <t>Guaymaral</t>
        </is>
      </c>
      <c r="D134" s="35" t="inlineStr">
        <is>
          <t>Valledupar</t>
        </is>
      </c>
      <c r="E134" s="21" t="inlineStr">
        <is>
          <t>Cesar</t>
        </is>
      </c>
      <c r="F134" s="35" t="n">
        <v>5</v>
      </c>
      <c r="G134" s="35" t="n">
        <v>50</v>
      </c>
      <c r="H134" s="36" t="n">
        <v>-73.64752777999999</v>
      </c>
      <c r="I134" s="37" t="n">
        <v>9.90491667</v>
      </c>
      <c r="J134" s="22" t="n">
        <v>24.20891959137228</v>
      </c>
      <c r="K134" s="23" t="n">
        <v>24.85305822712227</v>
      </c>
      <c r="L134" s="23" t="n">
        <v>24.84855037833532</v>
      </c>
      <c r="M134" s="23" t="n">
        <v>24.86946633825944</v>
      </c>
      <c r="N134" s="23" t="n">
        <v>24.71028882666565</v>
      </c>
      <c r="O134" s="23" t="n">
        <v>24.8141498216409</v>
      </c>
      <c r="P134" s="23" t="n">
        <v>24.77687878822274</v>
      </c>
      <c r="Q134" s="23" t="n">
        <v>24.35654744879042</v>
      </c>
      <c r="R134" s="23" t="n">
        <v>24.12965469939927</v>
      </c>
      <c r="S134" s="23" t="n">
        <v>24.06040453633028</v>
      </c>
      <c r="T134" s="23" t="n">
        <v>24.01115039767749</v>
      </c>
      <c r="U134" s="23" t="n">
        <v>24.07384398000824</v>
      </c>
      <c r="V134" s="38" t="n">
        <v>24.47607608615203</v>
      </c>
      <c r="W134" s="39" t="n">
        <v>337</v>
      </c>
      <c r="X134" s="24" t="n">
        <v>0.9361111111111111</v>
      </c>
    </row>
    <row r="135" ht="13.9" customHeight="1">
      <c r="A135" s="10" t="n">
        <v>28035010</v>
      </c>
      <c r="B135" s="35" t="inlineStr">
        <is>
          <t>CO</t>
        </is>
      </c>
      <c r="C135" s="35" t="inlineStr">
        <is>
          <t>Villa Rosa</t>
        </is>
      </c>
      <c r="D135" s="35" t="inlineStr">
        <is>
          <t>Valledupar</t>
        </is>
      </c>
      <c r="E135" s="21" t="inlineStr">
        <is>
          <t>Cesar</t>
        </is>
      </c>
      <c r="F135" s="35" t="n">
        <v>5</v>
      </c>
      <c r="G135" s="35" t="n">
        <v>70</v>
      </c>
      <c r="H135" s="36" t="n">
        <v>-73.54738889000001</v>
      </c>
      <c r="I135" s="37" t="n">
        <v>10.19066667</v>
      </c>
      <c r="J135" s="22" t="n">
        <v>22.08206323604711</v>
      </c>
      <c r="K135" s="23" t="n">
        <v>23.25652831807816</v>
      </c>
      <c r="L135" s="23" t="n">
        <v>23.98623473465521</v>
      </c>
      <c r="M135" s="23" t="n">
        <v>24.3035306931638</v>
      </c>
      <c r="N135" s="23" t="n">
        <v>24.14614500768049</v>
      </c>
      <c r="O135" s="23" t="n">
        <v>23.78398741105638</v>
      </c>
      <c r="P135" s="23" t="n">
        <v>23.82157476757439</v>
      </c>
      <c r="Q135" s="23" t="n">
        <v>23.72536391931206</v>
      </c>
      <c r="R135" s="23" t="n">
        <v>23.30907293377122</v>
      </c>
      <c r="S135" s="23" t="n">
        <v>23.14510156258276</v>
      </c>
      <c r="T135" s="23" t="n">
        <v>22.88758255792738</v>
      </c>
      <c r="U135" s="23" t="n">
        <v>22.16713168162281</v>
      </c>
      <c r="V135" s="38" t="n">
        <v>23.38452640195598</v>
      </c>
      <c r="W135" s="39" t="n">
        <v>296</v>
      </c>
      <c r="X135" s="24" t="n">
        <v>0.8222222222222222</v>
      </c>
    </row>
    <row r="136" ht="13.9" customHeight="1">
      <c r="A136" s="10" t="n">
        <v>56015010</v>
      </c>
      <c r="B136" s="35" t="inlineStr">
        <is>
          <t>CO</t>
        </is>
      </c>
      <c r="C136" s="35" t="inlineStr">
        <is>
          <t>Panamericana</t>
        </is>
      </c>
      <c r="D136" s="35" t="inlineStr">
        <is>
          <t xml:space="preserve">Bahía Solano </t>
        </is>
      </c>
      <c r="E136" s="21" t="inlineStr">
        <is>
          <t>Chocó</t>
        </is>
      </c>
      <c r="F136" s="35" t="n">
        <v>1</v>
      </c>
      <c r="G136" s="35" t="n">
        <v>4</v>
      </c>
      <c r="H136" s="36" t="n">
        <v>-77.40444443999999</v>
      </c>
      <c r="I136" s="37" t="n">
        <v>6.22333333</v>
      </c>
      <c r="J136" s="22" t="n">
        <v>21.9018287841191</v>
      </c>
      <c r="K136" s="23" t="n">
        <v>21.9316473727422</v>
      </c>
      <c r="L136" s="23" t="n">
        <v>21.90480874153723</v>
      </c>
      <c r="M136" s="23" t="n">
        <v>22.15451910796738</v>
      </c>
      <c r="N136" s="23" t="n">
        <v>22.1414888117362</v>
      </c>
      <c r="O136" s="23" t="n">
        <v>22.06665473726061</v>
      </c>
      <c r="P136" s="23" t="n">
        <v>21.92295798750748</v>
      </c>
      <c r="Q136" s="23" t="n">
        <v>21.92618347672773</v>
      </c>
      <c r="R136" s="23" t="n">
        <v>21.79197206511382</v>
      </c>
      <c r="S136" s="23" t="n">
        <v>21.69185434989168</v>
      </c>
      <c r="T136" s="23" t="n">
        <v>21.71496091189244</v>
      </c>
      <c r="U136" s="23" t="n">
        <v>21.83963440860215</v>
      </c>
      <c r="V136" s="38" t="n">
        <v>21.9157092295915</v>
      </c>
      <c r="W136" s="39" t="n">
        <v>306</v>
      </c>
      <c r="X136" s="24" t="n">
        <v>0.85</v>
      </c>
    </row>
    <row r="137" ht="13.9" customHeight="1">
      <c r="A137" s="10" t="n">
        <v>54085010</v>
      </c>
      <c r="B137" s="35" t="inlineStr">
        <is>
          <t>CO</t>
        </is>
      </c>
      <c r="C137" s="35" t="inlineStr">
        <is>
          <t>Noanama</t>
        </is>
      </c>
      <c r="D137" s="35" t="inlineStr">
        <is>
          <t>Medio San Juan</t>
        </is>
      </c>
      <c r="E137" s="21" t="inlineStr">
        <is>
          <t>Chocó</t>
        </is>
      </c>
      <c r="F137" s="35" t="n">
        <v>9</v>
      </c>
      <c r="G137" s="35" t="n">
        <v>40</v>
      </c>
      <c r="H137" s="36" t="n">
        <v>-76.93425000000001</v>
      </c>
      <c r="I137" s="37" t="n">
        <v>4.68819444</v>
      </c>
      <c r="J137" s="22" t="n">
        <v>22.52888139918415</v>
      </c>
      <c r="K137" s="23" t="n">
        <v>22.63023372903496</v>
      </c>
      <c r="L137" s="23" t="n">
        <v>22.6601744993832</v>
      </c>
      <c r="M137" s="23" t="n">
        <v>22.78951324234874</v>
      </c>
      <c r="N137" s="23" t="n">
        <v>22.7808211498594</v>
      </c>
      <c r="O137" s="23" t="n">
        <v>22.68392327340603</v>
      </c>
      <c r="P137" s="23" t="n">
        <v>22.52370927607802</v>
      </c>
      <c r="Q137" s="23" t="n">
        <v>22.51155660225738</v>
      </c>
      <c r="R137" s="23" t="n">
        <v>22.52022104332448</v>
      </c>
      <c r="S137" s="23" t="n">
        <v>22.46774266447067</v>
      </c>
      <c r="T137" s="23" t="n">
        <v>22.5272715742703</v>
      </c>
      <c r="U137" s="23" t="n">
        <v>22.5441109291972</v>
      </c>
      <c r="V137" s="38" t="n">
        <v>22.59734661523454</v>
      </c>
      <c r="W137" s="39" t="n">
        <v>304</v>
      </c>
      <c r="X137" s="24" t="n">
        <v>0.8444444444444444</v>
      </c>
    </row>
    <row r="138" ht="13.9" customHeight="1">
      <c r="A138" s="10" t="n">
        <v>54025010</v>
      </c>
      <c r="B138" s="35" t="inlineStr">
        <is>
          <t>CO</t>
        </is>
      </c>
      <c r="C138" s="35" t="inlineStr">
        <is>
          <t>San José Palmar</t>
        </is>
      </c>
      <c r="D138" s="35" t="inlineStr">
        <is>
          <t>Nóvita</t>
        </is>
      </c>
      <c r="E138" s="21" t="inlineStr">
        <is>
          <t>Chocó</t>
        </is>
      </c>
      <c r="F138" s="35" t="n">
        <v>9</v>
      </c>
      <c r="G138" s="35" t="n">
        <v>1115</v>
      </c>
      <c r="H138" s="36" t="n">
        <v>-76.67666666999999</v>
      </c>
      <c r="I138" s="37" t="n">
        <v>4.89808333</v>
      </c>
      <c r="J138" s="22" t="n">
        <v>18.47262910275095</v>
      </c>
      <c r="K138" s="23" t="n">
        <v>18.57624427873342</v>
      </c>
      <c r="L138" s="23" t="n">
        <v>18.59107193614819</v>
      </c>
      <c r="M138" s="23" t="n">
        <v>18.5753985425374</v>
      </c>
      <c r="N138" s="23" t="n">
        <v>18.66716438360867</v>
      </c>
      <c r="O138" s="23" t="n">
        <v>18.45924953207712</v>
      </c>
      <c r="P138" s="23" t="n">
        <v>18.32700132331088</v>
      </c>
      <c r="Q138" s="23" t="n">
        <v>18.35918203647792</v>
      </c>
      <c r="R138" s="23" t="n">
        <v>18.28920711246251</v>
      </c>
      <c r="S138" s="23" t="n">
        <v>18.02514204280348</v>
      </c>
      <c r="T138" s="23" t="n">
        <v>18.05739933757175</v>
      </c>
      <c r="U138" s="23" t="n">
        <v>18.38656896124988</v>
      </c>
      <c r="V138" s="38" t="n">
        <v>18.39885488247768</v>
      </c>
      <c r="W138" s="39" t="n">
        <v>301</v>
      </c>
      <c r="X138" s="24" t="n">
        <v>0.8361111111111111</v>
      </c>
    </row>
    <row r="139" ht="13.9" customHeight="1">
      <c r="A139" s="10" t="n">
        <v>56015030</v>
      </c>
      <c r="B139" s="35" t="inlineStr">
        <is>
          <t>CO</t>
        </is>
      </c>
      <c r="C139" s="35" t="inlineStr">
        <is>
          <t>Amargal</t>
        </is>
      </c>
      <c r="D139" s="35" t="inlineStr">
        <is>
          <t>Nuquí</t>
        </is>
      </c>
      <c r="E139" s="21" t="inlineStr">
        <is>
          <t>Chocó</t>
        </is>
      </c>
      <c r="F139" s="35" t="n">
        <v>1</v>
      </c>
      <c r="G139" s="35" t="n">
        <v>30</v>
      </c>
      <c r="H139" s="36" t="n">
        <v>-77.50277778</v>
      </c>
      <c r="I139" s="37" t="n">
        <v>5.57083333</v>
      </c>
      <c r="J139" s="22" t="n">
        <v>23.16096902201741</v>
      </c>
      <c r="K139" s="23" t="n">
        <v>23.33436545361833</v>
      </c>
      <c r="L139" s="23" t="n">
        <v>23.30541960202694</v>
      </c>
      <c r="M139" s="23" t="n">
        <v>23.52437037037037</v>
      </c>
      <c r="N139" s="23" t="n">
        <v>23.41516425658139</v>
      </c>
      <c r="O139" s="23" t="n">
        <v>23.11826582740376</v>
      </c>
      <c r="P139" s="23" t="n">
        <v>23.17492101068297</v>
      </c>
      <c r="Q139" s="23" t="n">
        <v>23.29564942823007</v>
      </c>
      <c r="R139" s="23" t="n">
        <v>23.09990918277125</v>
      </c>
      <c r="S139" s="23" t="n">
        <v>22.94265897696313</v>
      </c>
      <c r="T139" s="23" t="n">
        <v>23.05136363916807</v>
      </c>
      <c r="U139" s="23" t="n">
        <v>23.09765830346475</v>
      </c>
      <c r="V139" s="38" t="n">
        <v>23.21005958944154</v>
      </c>
      <c r="W139" s="39" t="n">
        <v>113</v>
      </c>
      <c r="X139" s="24" t="n">
        <v>0.9416666666666667</v>
      </c>
    </row>
    <row r="140" ht="13.9" customHeight="1">
      <c r="A140" s="10" t="n">
        <v>11045010</v>
      </c>
      <c r="B140" s="35" t="inlineStr">
        <is>
          <t>SP</t>
        </is>
      </c>
      <c r="C140" s="35" t="inlineStr">
        <is>
          <t>Aeropuerto El Caraño</t>
        </is>
      </c>
      <c r="D140" s="35" t="inlineStr">
        <is>
          <t>Quibdó</t>
        </is>
      </c>
      <c r="E140" s="21" t="inlineStr">
        <is>
          <t>Chocó</t>
        </is>
      </c>
      <c r="F140" s="35" t="n">
        <v>1</v>
      </c>
      <c r="G140" s="35" t="n">
        <v>75</v>
      </c>
      <c r="H140" s="36" t="n">
        <v>-76.64377777999999</v>
      </c>
      <c r="I140" s="37" t="n">
        <v>5.69055556</v>
      </c>
      <c r="J140" s="22" t="n">
        <v>23.53621060437523</v>
      </c>
      <c r="K140" s="23" t="n">
        <v>23.58570380709116</v>
      </c>
      <c r="L140" s="23" t="n">
        <v>23.64332134470399</v>
      </c>
      <c r="M140" s="23" t="n">
        <v>23.68281253420908</v>
      </c>
      <c r="N140" s="23" t="n">
        <v>23.60051027322823</v>
      </c>
      <c r="O140" s="23" t="n">
        <v>23.38119698771304</v>
      </c>
      <c r="P140" s="23" t="n">
        <v>23.20580645161291</v>
      </c>
      <c r="Q140" s="23" t="n">
        <v>23.17913620497871</v>
      </c>
      <c r="R140" s="23" t="n">
        <v>23.20067816091954</v>
      </c>
      <c r="S140" s="23" t="n">
        <v>23.19207267334075</v>
      </c>
      <c r="T140" s="23" t="n">
        <v>23.20806130268199</v>
      </c>
      <c r="U140" s="23" t="n">
        <v>23.40485765488991</v>
      </c>
      <c r="V140" s="38" t="n">
        <v>23.40169733331205</v>
      </c>
      <c r="W140" s="39" t="n">
        <v>354</v>
      </c>
      <c r="X140" s="24" t="n">
        <v>0.9833333333333333</v>
      </c>
    </row>
    <row r="141" ht="13.9" customHeight="1">
      <c r="A141" s="10" t="n">
        <v>11035020</v>
      </c>
      <c r="B141" s="35" t="inlineStr">
        <is>
          <t>PM</t>
        </is>
      </c>
      <c r="C141" s="35" t="inlineStr">
        <is>
          <t>San Isidro</t>
        </is>
      </c>
      <c r="D141" s="35" t="inlineStr">
        <is>
          <t xml:space="preserve">Rio Quito </t>
        </is>
      </c>
      <c r="E141" s="21" t="inlineStr">
        <is>
          <t>Chocó</t>
        </is>
      </c>
      <c r="F141" s="35" t="n">
        <v>1</v>
      </c>
      <c r="G141" s="35" t="n">
        <v>53</v>
      </c>
      <c r="H141" s="36" t="n">
        <v>-76.74972222000001</v>
      </c>
      <c r="I141" s="37" t="n">
        <v>5.62616667</v>
      </c>
      <c r="J141" s="22" t="n">
        <v>23.59999551657863</v>
      </c>
      <c r="K141" s="23" t="n">
        <v>23.55227667090531</v>
      </c>
      <c r="L141" s="23" t="n">
        <v>23.65488419231244</v>
      </c>
      <c r="M141" s="23" t="n">
        <v>23.77312264791125</v>
      </c>
      <c r="N141" s="23" t="n">
        <v>23.77434107064196</v>
      </c>
      <c r="O141" s="23" t="n">
        <v>23.55119949725313</v>
      </c>
      <c r="P141" s="23" t="n">
        <v>23.40610431997405</v>
      </c>
      <c r="Q141" s="23" t="n">
        <v>23.37662004094954</v>
      </c>
      <c r="R141" s="23" t="n">
        <v>23.49952871536014</v>
      </c>
      <c r="S141" s="23" t="n">
        <v>23.29300430578362</v>
      </c>
      <c r="T141" s="23" t="n">
        <v>23.40624722914378</v>
      </c>
      <c r="U141" s="23" t="n">
        <v>23.436000571143</v>
      </c>
      <c r="V141" s="38" t="n">
        <v>23.5269437314964</v>
      </c>
      <c r="W141" s="39" t="n">
        <v>116</v>
      </c>
      <c r="X141" s="24" t="n">
        <v>0.9666666666666667</v>
      </c>
    </row>
    <row r="142" ht="13.9" customHeight="1">
      <c r="A142" s="10" t="n">
        <v>13075030</v>
      </c>
      <c r="B142" s="35" t="inlineStr">
        <is>
          <t>AM</t>
        </is>
      </c>
      <c r="C142" s="35" t="inlineStr">
        <is>
          <t>Turipaná</t>
        </is>
      </c>
      <c r="D142" s="35" t="inlineStr">
        <is>
          <t>Cereté</t>
        </is>
      </c>
      <c r="E142" s="21" t="inlineStr">
        <is>
          <t>Córdoba</t>
        </is>
      </c>
      <c r="F142" s="35" t="n">
        <v>2</v>
      </c>
      <c r="G142" s="35" t="n">
        <v>20</v>
      </c>
      <c r="H142" s="36" t="n">
        <v>-75.80188889</v>
      </c>
      <c r="I142" s="37" t="n">
        <v>8.839527779999999</v>
      </c>
      <c r="J142" s="22" t="n">
        <v>22.98322580645161</v>
      </c>
      <c r="K142" s="23" t="n">
        <v>23.3600488049626</v>
      </c>
      <c r="L142" s="23" t="n">
        <v>24.07838709677419</v>
      </c>
      <c r="M142" s="23" t="n">
        <v>24.58266666666666</v>
      </c>
      <c r="N142" s="23" t="n">
        <v>24.50361290322581</v>
      </c>
      <c r="O142" s="23" t="n">
        <v>24.22887356321839</v>
      </c>
      <c r="P142" s="23" t="n">
        <v>23.9783870967742</v>
      </c>
      <c r="Q142" s="23" t="n">
        <v>23.83452688172043</v>
      </c>
      <c r="R142" s="23" t="n">
        <v>23.73502298850575</v>
      </c>
      <c r="S142" s="23" t="n">
        <v>23.80410991636798</v>
      </c>
      <c r="T142" s="23" t="n">
        <v>23.91555555555556</v>
      </c>
      <c r="U142" s="23" t="n">
        <v>23.76980884109916</v>
      </c>
      <c r="V142" s="38" t="n">
        <v>23.89785217677686</v>
      </c>
      <c r="W142" s="39" t="n">
        <v>117</v>
      </c>
      <c r="X142" s="24" t="n">
        <v>0.975</v>
      </c>
    </row>
    <row r="143" ht="13.9" customHeight="1">
      <c r="A143" s="10" t="n">
        <v>13075010</v>
      </c>
      <c r="B143" s="35" t="inlineStr">
        <is>
          <t>CO</t>
        </is>
      </c>
      <c r="C143" s="35" t="inlineStr">
        <is>
          <t>Chima</t>
        </is>
      </c>
      <c r="D143" s="35" t="inlineStr">
        <is>
          <t xml:space="preserve">Chima </t>
        </is>
      </c>
      <c r="E143" s="21" t="inlineStr">
        <is>
          <t>Córdoba</t>
        </is>
      </c>
      <c r="F143" s="35" t="n">
        <v>2</v>
      </c>
      <c r="G143" s="35" t="n">
        <v>20</v>
      </c>
      <c r="H143" s="36" t="n">
        <v>-75.62208333</v>
      </c>
      <c r="I143" s="37" t="n">
        <v>9.15075</v>
      </c>
      <c r="J143" s="22" t="n">
        <v>22.58284763670392</v>
      </c>
      <c r="K143" s="23" t="n">
        <v>22.95918135376757</v>
      </c>
      <c r="L143" s="23" t="n">
        <v>23.21071346175351</v>
      </c>
      <c r="M143" s="23" t="n">
        <v>23.4931366592187</v>
      </c>
      <c r="N143" s="23" t="n">
        <v>23.64442374395196</v>
      </c>
      <c r="O143" s="23" t="n">
        <v>23.25266973319497</v>
      </c>
      <c r="P143" s="23" t="n">
        <v>23.2782114114915</v>
      </c>
      <c r="Q143" s="23" t="n">
        <v>23.0554149406661</v>
      </c>
      <c r="R143" s="23" t="n">
        <v>22.98865659762711</v>
      </c>
      <c r="S143" s="23" t="n">
        <v>23.09521161109789</v>
      </c>
      <c r="T143" s="23" t="n">
        <v>23.16018045977011</v>
      </c>
      <c r="U143" s="23" t="n">
        <v>23.10924593327819</v>
      </c>
      <c r="V143" s="38" t="n">
        <v>23.15249112854346</v>
      </c>
      <c r="W143" s="39" t="n">
        <v>336</v>
      </c>
      <c r="X143" s="24" t="n">
        <v>0.9333333333333333</v>
      </c>
    </row>
    <row r="144" ht="13.9" customHeight="1">
      <c r="A144" s="10" t="n">
        <v>13075020</v>
      </c>
      <c r="B144" s="35" t="inlineStr">
        <is>
          <t>CO</t>
        </is>
      </c>
      <c r="C144" s="35" t="inlineStr">
        <is>
          <t>El Salado</t>
        </is>
      </c>
      <c r="D144" s="35" t="inlineStr">
        <is>
          <t>Ciénaga de Oro</t>
        </is>
      </c>
      <c r="E144" s="21" t="inlineStr">
        <is>
          <t>Córdoba</t>
        </is>
      </c>
      <c r="F144" s="35" t="n">
        <v>2</v>
      </c>
      <c r="G144" s="35" t="n">
        <v>40</v>
      </c>
      <c r="H144" s="36" t="n">
        <v>-75.58222222000001</v>
      </c>
      <c r="I144" s="37" t="n">
        <v>8.913888890000001</v>
      </c>
      <c r="J144" s="22" t="n">
        <v>22.93542667368049</v>
      </c>
      <c r="K144" s="23" t="n">
        <v>23.32180683741326</v>
      </c>
      <c r="L144" s="23" t="n">
        <v>23.99700382289389</v>
      </c>
      <c r="M144" s="23" t="n">
        <v>24.2561667578909</v>
      </c>
      <c r="N144" s="23" t="n">
        <v>24.10193275280317</v>
      </c>
      <c r="O144" s="23" t="n">
        <v>23.72178039287234</v>
      </c>
      <c r="P144" s="23" t="n">
        <v>23.56483029011116</v>
      </c>
      <c r="Q144" s="23" t="n">
        <v>23.34587571389184</v>
      </c>
      <c r="R144" s="23" t="n">
        <v>23.2509668310862</v>
      </c>
      <c r="S144" s="23" t="n">
        <v>23.49199139784946</v>
      </c>
      <c r="T144" s="23" t="n">
        <v>23.44864958949097</v>
      </c>
      <c r="U144" s="23" t="n">
        <v>23.27650951199339</v>
      </c>
      <c r="V144" s="38" t="n">
        <v>23.55941171433142</v>
      </c>
      <c r="W144" s="39" t="n">
        <v>322</v>
      </c>
      <c r="X144" s="24" t="n">
        <v>0.8944444444444445</v>
      </c>
    </row>
    <row r="145" ht="13.9" customHeight="1">
      <c r="A145" s="10" t="n">
        <v>13085010</v>
      </c>
      <c r="B145" s="35" t="inlineStr">
        <is>
          <t>CP</t>
        </is>
      </c>
      <c r="C145" s="35" t="inlineStr">
        <is>
          <t xml:space="preserve">La Doctrina </t>
        </is>
      </c>
      <c r="D145" s="35" t="inlineStr">
        <is>
          <t>Lorica</t>
        </is>
      </c>
      <c r="E145" s="21" t="inlineStr">
        <is>
          <t>Córdoba</t>
        </is>
      </c>
      <c r="F145" s="35" t="n">
        <v>2</v>
      </c>
      <c r="G145" s="35" t="n">
        <v>20</v>
      </c>
      <c r="H145" s="36" t="n">
        <v>-75.89277778</v>
      </c>
      <c r="I145" s="37" t="n">
        <v>9.29722222</v>
      </c>
      <c r="J145" s="22" t="n">
        <v>23.75411286126484</v>
      </c>
      <c r="K145" s="23" t="n">
        <v>23.99371954974893</v>
      </c>
      <c r="L145" s="23" t="n">
        <v>24.69498557487828</v>
      </c>
      <c r="M145" s="23" t="n">
        <v>25.08840135220819</v>
      </c>
      <c r="N145" s="23" t="n">
        <v>24.94920431996346</v>
      </c>
      <c r="O145" s="23" t="n">
        <v>24.61574200009744</v>
      </c>
      <c r="P145" s="23" t="n">
        <v>24.39818944556041</v>
      </c>
      <c r="Q145" s="23" t="n">
        <v>24.25698064156582</v>
      </c>
      <c r="R145" s="23" t="n">
        <v>24.23048733062791</v>
      </c>
      <c r="S145" s="23" t="n">
        <v>24.33628074234998</v>
      </c>
      <c r="T145" s="23" t="n">
        <v>24.27833128437007</v>
      </c>
      <c r="U145" s="23" t="n">
        <v>24.28676322325006</v>
      </c>
      <c r="V145" s="38" t="n">
        <v>24.40693319382378</v>
      </c>
      <c r="W145" s="39" t="n">
        <v>298</v>
      </c>
      <c r="X145" s="24" t="n">
        <v>0.8277777777777777</v>
      </c>
    </row>
    <row r="146" ht="13.9" customHeight="1">
      <c r="A146" s="10" t="n">
        <v>13085050</v>
      </c>
      <c r="B146" s="35" t="inlineStr">
        <is>
          <t>CP</t>
        </is>
      </c>
      <c r="C146" s="35" t="inlineStr">
        <is>
          <t xml:space="preserve">Lorica Ita - AUT </t>
        </is>
      </c>
      <c r="D146" s="35" t="inlineStr">
        <is>
          <t>Lorica</t>
        </is>
      </c>
      <c r="E146" s="21" t="inlineStr">
        <is>
          <t>Córdoba</t>
        </is>
      </c>
      <c r="F146" s="35" t="n">
        <v>2</v>
      </c>
      <c r="G146" s="35" t="n">
        <v>30</v>
      </c>
      <c r="H146" s="36" t="n">
        <v>-75.84441666999999</v>
      </c>
      <c r="I146" s="37" t="n">
        <v>9.252722220000001</v>
      </c>
      <c r="J146" s="22" t="n">
        <v>23.21164021164022</v>
      </c>
      <c r="K146" s="23" t="n">
        <v>22.12055913894423</v>
      </c>
      <c r="L146" s="23" t="n">
        <v>22.591710200393</v>
      </c>
      <c r="M146" s="23" t="n">
        <v>22.93755718588376</v>
      </c>
      <c r="N146" s="23" t="n">
        <v>22.72795713466659</v>
      </c>
      <c r="O146" s="23" t="n">
        <v>22.19680953755164</v>
      </c>
      <c r="P146" s="23" t="n">
        <v>22.00307406799462</v>
      </c>
      <c r="Q146" s="23" t="n">
        <v>21.86887312825678</v>
      </c>
      <c r="R146" s="23" t="n">
        <v>21.36264111533977</v>
      </c>
      <c r="S146" s="23" t="n">
        <v>21.55116435165378</v>
      </c>
      <c r="T146" s="23" t="n">
        <v>21.91154110110343</v>
      </c>
      <c r="U146" s="23" t="n">
        <v>22.2718026479409</v>
      </c>
      <c r="V146" s="38" t="n">
        <v>22.22961081844739</v>
      </c>
      <c r="W146" s="39" t="n">
        <v>105</v>
      </c>
      <c r="X146" s="24" t="n">
        <v>0.875</v>
      </c>
    </row>
    <row r="147" ht="13.9" customHeight="1">
      <c r="A147" s="10" t="n">
        <v>25025160</v>
      </c>
      <c r="B147" s="35" t="inlineStr">
        <is>
          <t>CO</t>
        </is>
      </c>
      <c r="C147" s="35" t="inlineStr">
        <is>
          <t>Hacienda Cuba</t>
        </is>
      </c>
      <c r="D147" s="35" t="inlineStr">
        <is>
          <t>Montelíbano</t>
        </is>
      </c>
      <c r="E147" s="21" t="inlineStr">
        <is>
          <t>Córdoba</t>
        </is>
      </c>
      <c r="F147" s="35" t="n">
        <v>2</v>
      </c>
      <c r="G147" s="35" t="n">
        <v>50</v>
      </c>
      <c r="H147" s="36" t="n">
        <v>-75.40277777999999</v>
      </c>
      <c r="I147" s="37" t="n">
        <v>8.003888890000001</v>
      </c>
      <c r="J147" s="22" t="n">
        <v>23.06103914120768</v>
      </c>
      <c r="K147" s="23" t="n">
        <v>23.02854781404207</v>
      </c>
      <c r="L147" s="23" t="n">
        <v>23.27996276482002</v>
      </c>
      <c r="M147" s="23" t="n">
        <v>23.22803142410277</v>
      </c>
      <c r="N147" s="23" t="n">
        <v>23.09178180782881</v>
      </c>
      <c r="O147" s="23" t="n">
        <v>22.96892344006568</v>
      </c>
      <c r="P147" s="23" t="n">
        <v>22.95966693592528</v>
      </c>
      <c r="Q147" s="23" t="n">
        <v>22.8974740893762</v>
      </c>
      <c r="R147" s="23" t="n">
        <v>22.87069163754508</v>
      </c>
      <c r="S147" s="23" t="n">
        <v>22.9598363625776</v>
      </c>
      <c r="T147" s="23" t="n">
        <v>23.13609948002189</v>
      </c>
      <c r="U147" s="23" t="n">
        <v>23.16657962644614</v>
      </c>
      <c r="V147" s="38" t="n">
        <v>23.0540528769966</v>
      </c>
      <c r="W147" s="39" t="n">
        <v>285</v>
      </c>
      <c r="X147" s="24" t="n">
        <v>0.7916666666666666</v>
      </c>
    </row>
    <row r="148" ht="13.9" customHeight="1">
      <c r="A148" s="10" t="n">
        <v>13035501</v>
      </c>
      <c r="B148" s="35" t="inlineStr">
        <is>
          <t>SP</t>
        </is>
      </c>
      <c r="C148" s="11" t="inlineStr">
        <is>
          <t>Aeropuerto Los Garzones</t>
        </is>
      </c>
      <c r="D148" s="35" t="inlineStr">
        <is>
          <t>Montería</t>
        </is>
      </c>
      <c r="E148" s="21" t="inlineStr">
        <is>
          <t>Córdoba</t>
        </is>
      </c>
      <c r="F148" s="35" t="n">
        <v>2</v>
      </c>
      <c r="G148" s="35" t="n">
        <v>20</v>
      </c>
      <c r="H148" s="36" t="n">
        <v>-75.82513889000001</v>
      </c>
      <c r="I148" s="37" t="n">
        <v>8.825833330000002</v>
      </c>
      <c r="J148" s="22" t="n">
        <v>22.55774249982387</v>
      </c>
      <c r="K148" s="23" t="n">
        <v>22.86026478114478</v>
      </c>
      <c r="L148" s="23" t="n">
        <v>23.22870172249371</v>
      </c>
      <c r="M148" s="23" t="n">
        <v>23.76511753723657</v>
      </c>
      <c r="N148" s="23" t="n">
        <v>23.76996002327778</v>
      </c>
      <c r="O148" s="23" t="n">
        <v>23.55646704708705</v>
      </c>
      <c r="P148" s="23" t="n">
        <v>23.38052787872986</v>
      </c>
      <c r="Q148" s="23" t="n">
        <v>23.25286710353136</v>
      </c>
      <c r="R148" s="23" t="n">
        <v>23.16830215030864</v>
      </c>
      <c r="S148" s="23" t="n">
        <v>23.21526688212788</v>
      </c>
      <c r="T148" s="23" t="n">
        <v>23.1987754490683</v>
      </c>
      <c r="U148" s="23" t="n">
        <v>23.0258171301158</v>
      </c>
      <c r="V148" s="38" t="n">
        <v>23.2483175170788</v>
      </c>
      <c r="W148" s="39" t="n">
        <v>310</v>
      </c>
      <c r="X148" s="24" t="n">
        <v>0.8611111111111112</v>
      </c>
    </row>
    <row r="149" ht="13.9" customHeight="1">
      <c r="A149" s="10" t="n">
        <v>13055030</v>
      </c>
      <c r="B149" s="35" t="inlineStr">
        <is>
          <t>CO</t>
        </is>
      </c>
      <c r="C149" s="35" t="inlineStr">
        <is>
          <t>Galán</t>
        </is>
      </c>
      <c r="D149" s="35" t="inlineStr">
        <is>
          <t>Montería</t>
        </is>
      </c>
      <c r="E149" s="21" t="inlineStr">
        <is>
          <t>Córdoba</t>
        </is>
      </c>
      <c r="F149" s="35" t="n">
        <v>2</v>
      </c>
      <c r="G149" s="35" t="n">
        <v>30</v>
      </c>
      <c r="H149" s="36" t="n">
        <v>-75.9725</v>
      </c>
      <c r="I149" s="37" t="n">
        <v>8.659166670000001</v>
      </c>
      <c r="J149" s="22" t="n">
        <v>22.09166949632145</v>
      </c>
      <c r="K149" s="23" t="n">
        <v>22.35819253704554</v>
      </c>
      <c r="L149" s="23" t="n">
        <v>22.79755869094316</v>
      </c>
      <c r="M149" s="23" t="n">
        <v>23.37212064136</v>
      </c>
      <c r="N149" s="23" t="n">
        <v>23.46101201771032</v>
      </c>
      <c r="O149" s="23" t="n">
        <v>23.30795807978364</v>
      </c>
      <c r="P149" s="23" t="n">
        <v>23.2464887826895</v>
      </c>
      <c r="Q149" s="23" t="n">
        <v>23.24843795938843</v>
      </c>
      <c r="R149" s="23" t="n">
        <v>23.24447557471264</v>
      </c>
      <c r="S149" s="23" t="n">
        <v>23.20198924731183</v>
      </c>
      <c r="T149" s="23" t="n">
        <v>23.10741379310345</v>
      </c>
      <c r="U149" s="23" t="n">
        <v>22.73382506445325</v>
      </c>
      <c r="V149" s="38" t="n">
        <v>23.01426182373527</v>
      </c>
      <c r="W149" s="39" t="n">
        <v>212</v>
      </c>
      <c r="X149" s="24" t="n">
        <v>0.8833333333333333</v>
      </c>
    </row>
    <row r="150" ht="13.9" customHeight="1">
      <c r="A150" s="10" t="n">
        <v>13065020</v>
      </c>
      <c r="B150" s="35" t="inlineStr">
        <is>
          <t>CO</t>
        </is>
      </c>
      <c r="C150" s="35" t="inlineStr">
        <is>
          <t>Maracayo</t>
        </is>
      </c>
      <c r="D150" s="35" t="inlineStr">
        <is>
          <t>Montería</t>
        </is>
      </c>
      <c r="E150" s="21" t="inlineStr">
        <is>
          <t>Córdoba</t>
        </is>
      </c>
      <c r="F150" s="35" t="n">
        <v>2</v>
      </c>
      <c r="G150" s="35" t="n">
        <v>25</v>
      </c>
      <c r="H150" s="36" t="n">
        <v>-75.88</v>
      </c>
      <c r="I150" s="37" t="n">
        <v>8.41</v>
      </c>
      <c r="J150" s="22" t="n">
        <v>23.29407489803485</v>
      </c>
      <c r="K150" s="23" t="n">
        <v>23.24594417077176</v>
      </c>
      <c r="L150" s="23" t="n">
        <v>23.50457320099256</v>
      </c>
      <c r="M150" s="23" t="n">
        <v>23.51362525086663</v>
      </c>
      <c r="N150" s="23" t="n">
        <v>23.54372871453517</v>
      </c>
      <c r="O150" s="23" t="n">
        <v>23.13618138183656</v>
      </c>
      <c r="P150" s="23" t="n">
        <v>23.04407193177605</v>
      </c>
      <c r="Q150" s="23" t="n">
        <v>22.78071767490944</v>
      </c>
      <c r="R150" s="23" t="n">
        <v>23.10080204342274</v>
      </c>
      <c r="S150" s="23" t="n">
        <v>23.03854488526346</v>
      </c>
      <c r="T150" s="23" t="n">
        <v>23.23319047619048</v>
      </c>
      <c r="U150" s="23" t="n">
        <v>23.43300055617353</v>
      </c>
      <c r="V150" s="38" t="n">
        <v>23.23903793206443</v>
      </c>
      <c r="W150" s="39" t="n">
        <v>111</v>
      </c>
      <c r="X150" s="24" t="n">
        <v>0.925</v>
      </c>
    </row>
    <row r="151" ht="13.9" customHeight="1">
      <c r="A151" s="10" t="n">
        <v>13075050</v>
      </c>
      <c r="B151" s="35" t="inlineStr">
        <is>
          <t>AM</t>
        </is>
      </c>
      <c r="C151" s="35" t="inlineStr">
        <is>
          <t>Universidad de Córdoba</t>
        </is>
      </c>
      <c r="D151" s="35" t="inlineStr">
        <is>
          <t>Montería</t>
        </is>
      </c>
      <c r="E151" s="21" t="inlineStr">
        <is>
          <t>Córdoba</t>
        </is>
      </c>
      <c r="F151" s="35" t="n">
        <v>2</v>
      </c>
      <c r="G151" s="35" t="n">
        <v>15</v>
      </c>
      <c r="H151" s="36" t="n">
        <v>-75.86152778</v>
      </c>
      <c r="I151" s="37" t="n">
        <v>8.793888890000002</v>
      </c>
      <c r="J151" s="22" t="n">
        <v>23.02545261186764</v>
      </c>
      <c r="K151" s="23" t="n">
        <v>23.37992884510126</v>
      </c>
      <c r="L151" s="23" t="n">
        <v>24.10067780337941</v>
      </c>
      <c r="M151" s="23" t="n">
        <v>24.23028781244298</v>
      </c>
      <c r="N151" s="23" t="n">
        <v>24.0137896278319</v>
      </c>
      <c r="O151" s="23" t="n">
        <v>23.84098051450465</v>
      </c>
      <c r="P151" s="23" t="n">
        <v>23.7658671078026</v>
      </c>
      <c r="Q151" s="23" t="n">
        <v>23.55128787878788</v>
      </c>
      <c r="R151" s="23" t="n">
        <v>23.27104106676821</v>
      </c>
      <c r="S151" s="23" t="n">
        <v>23.69718683310675</v>
      </c>
      <c r="T151" s="23" t="n">
        <v>23.49323312702623</v>
      </c>
      <c r="U151" s="23" t="n">
        <v>23.43155028220657</v>
      </c>
      <c r="V151" s="38" t="n">
        <v>23.6501069592355</v>
      </c>
      <c r="W151" s="39" t="n">
        <v>108</v>
      </c>
      <c r="X151" s="24" t="n">
        <v>0.9</v>
      </c>
    </row>
    <row r="152" ht="13.9" customHeight="1">
      <c r="A152" s="10" t="n">
        <v>25015010</v>
      </c>
      <c r="B152" s="35" t="inlineStr">
        <is>
          <t>CO</t>
        </is>
      </c>
      <c r="C152" s="35" t="inlineStr">
        <is>
          <t>Centro Alegre</t>
        </is>
      </c>
      <c r="D152" s="35" t="inlineStr">
        <is>
          <t>Planeta Rica</t>
        </is>
      </c>
      <c r="E152" s="21" t="inlineStr">
        <is>
          <t>Córdoba</t>
        </is>
      </c>
      <c r="F152" s="35" t="n">
        <v>2</v>
      </c>
      <c r="G152" s="35" t="n">
        <v>170</v>
      </c>
      <c r="H152" s="36" t="n">
        <v>-75.63227778</v>
      </c>
      <c r="I152" s="37" t="n">
        <v>8.18077778</v>
      </c>
      <c r="J152" s="22" t="n">
        <v>22.80478982362842</v>
      </c>
      <c r="K152" s="23" t="n">
        <v>23.04109250978906</v>
      </c>
      <c r="L152" s="23" t="n">
        <v>22.78049581015944</v>
      </c>
      <c r="M152" s="23" t="n">
        <v>22.69330301882026</v>
      </c>
      <c r="N152" s="23" t="n">
        <v>22.68544649382514</v>
      </c>
      <c r="O152" s="23" t="n">
        <v>22.6166108042873</v>
      </c>
      <c r="P152" s="23" t="n">
        <v>22.57054121465915</v>
      </c>
      <c r="Q152" s="23" t="n">
        <v>22.57072813573101</v>
      </c>
      <c r="R152" s="23" t="n">
        <v>22.46664363437823</v>
      </c>
      <c r="S152" s="23" t="n">
        <v>22.44564896699116</v>
      </c>
      <c r="T152" s="23" t="n">
        <v>22.67153459803089</v>
      </c>
      <c r="U152" s="23" t="n">
        <v>22.71152551724138</v>
      </c>
      <c r="V152" s="38" t="n">
        <v>22.67153004396179</v>
      </c>
      <c r="W152" s="39" t="n">
        <v>297</v>
      </c>
      <c r="X152" s="24" t="n">
        <v>0.825</v>
      </c>
    </row>
    <row r="153" ht="13.9" customHeight="1">
      <c r="A153" s="10" t="n">
        <v>25025190</v>
      </c>
      <c r="B153" s="35" t="inlineStr">
        <is>
          <t>CO</t>
        </is>
      </c>
      <c r="C153" s="35" t="inlineStr">
        <is>
          <t>Planeta Rica</t>
        </is>
      </c>
      <c r="D153" s="35" t="inlineStr">
        <is>
          <t>Planeta Rica</t>
        </is>
      </c>
      <c r="E153" s="21" t="inlineStr">
        <is>
          <t>Córdoba</t>
        </is>
      </c>
      <c r="F153" s="35" t="n">
        <v>2</v>
      </c>
      <c r="G153" s="35" t="n">
        <v>90</v>
      </c>
      <c r="H153" s="36" t="n">
        <v>-75.58372222</v>
      </c>
      <c r="I153" s="37" t="n">
        <v>8.399333330000001</v>
      </c>
      <c r="J153" s="22" t="n">
        <v>23.14162379781834</v>
      </c>
      <c r="K153" s="23" t="n">
        <v>23.40518804066549</v>
      </c>
      <c r="L153" s="23" t="n">
        <v>23.7515566616341</v>
      </c>
      <c r="M153" s="23" t="n">
        <v>24.08184333759046</v>
      </c>
      <c r="N153" s="23" t="n">
        <v>23.8749974527841</v>
      </c>
      <c r="O153" s="23" t="n">
        <v>23.60979523135259</v>
      </c>
      <c r="P153" s="23" t="n">
        <v>23.44998500152552</v>
      </c>
      <c r="Q153" s="23" t="n">
        <v>23.226657183195</v>
      </c>
      <c r="R153" s="23" t="n">
        <v>23.2645893938069</v>
      </c>
      <c r="S153" s="23" t="n">
        <v>23.38513499655703</v>
      </c>
      <c r="T153" s="23" t="n">
        <v>23.48215210573231</v>
      </c>
      <c r="U153" s="23" t="n">
        <v>23.29311832320905</v>
      </c>
      <c r="V153" s="38" t="n">
        <v>23.49722012715591</v>
      </c>
      <c r="W153" s="39" t="n">
        <v>308</v>
      </c>
      <c r="X153" s="24" t="n">
        <v>0.8555555555555555</v>
      </c>
    </row>
    <row r="154" ht="13.9" customHeight="1">
      <c r="A154" s="10" t="n">
        <v>12045020</v>
      </c>
      <c r="B154" s="35" t="inlineStr">
        <is>
          <t>CO</t>
        </is>
      </c>
      <c r="C154" s="35" t="inlineStr">
        <is>
          <t>Cristo Rey</t>
        </is>
      </c>
      <c r="D154" s="35" t="inlineStr">
        <is>
          <t>Puerto Escondido</t>
        </is>
      </c>
      <c r="E154" s="21" t="inlineStr">
        <is>
          <t>Córdoba</t>
        </is>
      </c>
      <c r="F154" s="35" t="n">
        <v>2</v>
      </c>
      <c r="G154" s="35" t="n">
        <v>15</v>
      </c>
      <c r="H154" s="36" t="n">
        <v>-76.22444444</v>
      </c>
      <c r="I154" s="37" t="n">
        <v>9.07111111</v>
      </c>
      <c r="J154" s="22" t="n">
        <v>24.32234539095111</v>
      </c>
      <c r="K154" s="23" t="n">
        <v>24.86086529577702</v>
      </c>
      <c r="L154" s="23" t="n">
        <v>25.20095146037658</v>
      </c>
      <c r="M154" s="23" t="n">
        <v>25.38634183543148</v>
      </c>
      <c r="N154" s="23" t="n">
        <v>25.01438455675664</v>
      </c>
      <c r="O154" s="23" t="n">
        <v>24.60561468127118</v>
      </c>
      <c r="P154" s="23" t="n">
        <v>24.43289549642052</v>
      </c>
      <c r="Q154" s="23" t="n">
        <v>24.24288772145417</v>
      </c>
      <c r="R154" s="23" t="n">
        <v>24.10281124033644</v>
      </c>
      <c r="S154" s="23" t="n">
        <v>24.0228281759274</v>
      </c>
      <c r="T154" s="23" t="n">
        <v>24.11486798216684</v>
      </c>
      <c r="U154" s="23" t="n">
        <v>24.26626256576161</v>
      </c>
      <c r="V154" s="38" t="n">
        <v>24.54775470021925</v>
      </c>
      <c r="W154" s="39" t="n">
        <v>304</v>
      </c>
      <c r="X154" s="24" t="n">
        <v>0.8444444444444444</v>
      </c>
    </row>
    <row r="155" ht="13.9" customHeight="1">
      <c r="A155" s="10" t="n">
        <v>25025170</v>
      </c>
      <c r="B155" s="35" t="inlineStr">
        <is>
          <t>CO</t>
        </is>
      </c>
      <c r="C155" s="35" t="inlineStr">
        <is>
          <t>Colomboy</t>
        </is>
      </c>
      <c r="D155" s="35" t="inlineStr">
        <is>
          <t>Sahagún</t>
        </is>
      </c>
      <c r="E155" s="21" t="inlineStr">
        <is>
          <t>Córdoba</t>
        </is>
      </c>
      <c r="F155" s="35" t="n">
        <v>2</v>
      </c>
      <c r="G155" s="35" t="n">
        <v>125</v>
      </c>
      <c r="H155" s="36" t="n">
        <v>-75.49883333</v>
      </c>
      <c r="I155" s="37" t="n">
        <v>8.740861110000001</v>
      </c>
      <c r="J155" s="22" t="n">
        <v>23.11647622718051</v>
      </c>
      <c r="K155" s="23" t="n">
        <v>23.46413288303209</v>
      </c>
      <c r="L155" s="23" t="n">
        <v>23.79254789294995</v>
      </c>
      <c r="M155" s="23" t="n">
        <v>24.11471205723668</v>
      </c>
      <c r="N155" s="23" t="n">
        <v>23.93752866696878</v>
      </c>
      <c r="O155" s="23" t="n">
        <v>23.67017178224076</v>
      </c>
      <c r="P155" s="23" t="n">
        <v>23.47592525027808</v>
      </c>
      <c r="Q155" s="23" t="n">
        <v>23.3228012131238</v>
      </c>
      <c r="R155" s="23" t="n">
        <v>23.20788421956319</v>
      </c>
      <c r="S155" s="23" t="n">
        <v>23.27096789024842</v>
      </c>
      <c r="T155" s="23" t="n">
        <v>23.39516420361248</v>
      </c>
      <c r="U155" s="23" t="n">
        <v>23.40641067853171</v>
      </c>
      <c r="V155" s="38" t="n">
        <v>23.51456024708054</v>
      </c>
      <c r="W155" s="39" t="n">
        <v>310</v>
      </c>
      <c r="X155" s="24" t="n">
        <v>0.8611111111111112</v>
      </c>
    </row>
    <row r="156" ht="13.9" customHeight="1">
      <c r="A156" s="10" t="n">
        <v>13085030</v>
      </c>
      <c r="B156" s="35" t="inlineStr">
        <is>
          <t>CO</t>
        </is>
      </c>
      <c r="C156" s="35" t="inlineStr">
        <is>
          <t>San Bernardo del Viento</t>
        </is>
      </c>
      <c r="D156" s="35" t="inlineStr">
        <is>
          <t>San Bernardo del Viento</t>
        </is>
      </c>
      <c r="E156" s="21" t="inlineStr">
        <is>
          <t>Córdoba</t>
        </is>
      </c>
      <c r="F156" s="35" t="n">
        <v>2</v>
      </c>
      <c r="G156" s="35" t="n">
        <v>22</v>
      </c>
      <c r="H156" s="36" t="n">
        <v>-75.95</v>
      </c>
      <c r="I156" s="37" t="n">
        <v>9.369999999999999</v>
      </c>
      <c r="J156" s="22" t="n">
        <v>22.45728819567529</v>
      </c>
      <c r="K156" s="23" t="n">
        <v>22.49415134437484</v>
      </c>
      <c r="L156" s="23" t="n">
        <v>22.58713026667338</v>
      </c>
      <c r="M156" s="23" t="n">
        <v>22.67388956415138</v>
      </c>
      <c r="N156" s="23" t="n">
        <v>22.54076542756894</v>
      </c>
      <c r="O156" s="23" t="n">
        <v>22.42473785606475</v>
      </c>
      <c r="P156" s="23" t="n">
        <v>22.25813524492235</v>
      </c>
      <c r="Q156" s="23" t="n">
        <v>22.15348723573834</v>
      </c>
      <c r="R156" s="23" t="n">
        <v>22.24114130268199</v>
      </c>
      <c r="S156" s="23" t="n">
        <v>22.09769745382537</v>
      </c>
      <c r="T156" s="23" t="n">
        <v>22.31519115826703</v>
      </c>
      <c r="U156" s="23" t="n">
        <v>22.33219652126702</v>
      </c>
      <c r="V156" s="38" t="n">
        <v>22.38131763093422</v>
      </c>
      <c r="W156" s="39" t="n">
        <v>310</v>
      </c>
      <c r="X156" s="24" t="n">
        <v>0.8611111111111112</v>
      </c>
    </row>
    <row r="157" ht="13.9" customHeight="1">
      <c r="A157" s="10" t="n">
        <v>13015040</v>
      </c>
      <c r="B157" s="35" t="inlineStr">
        <is>
          <t>CP</t>
        </is>
      </c>
      <c r="C157" s="35" t="inlineStr">
        <is>
          <t>Represa Urra</t>
        </is>
      </c>
      <c r="D157" s="35" t="inlineStr">
        <is>
          <t>Tierralta</t>
        </is>
      </c>
      <c r="E157" s="21" t="inlineStr">
        <is>
          <t>Córdoba</t>
        </is>
      </c>
      <c r="F157" s="35" t="n">
        <v>2</v>
      </c>
      <c r="G157" s="35" t="n">
        <v>300</v>
      </c>
      <c r="H157" s="36" t="n">
        <v>-76.20305556000001</v>
      </c>
      <c r="I157" s="37" t="n">
        <v>8.01416667</v>
      </c>
      <c r="J157" s="22" t="n">
        <v>23.78298594558328</v>
      </c>
      <c r="K157" s="23" t="n">
        <v>24.09398507852301</v>
      </c>
      <c r="L157" s="23" t="n">
        <v>24.21445587984298</v>
      </c>
      <c r="M157" s="23" t="n">
        <v>24.40448596689309</v>
      </c>
      <c r="N157" s="23" t="n">
        <v>24.02568317792517</v>
      </c>
      <c r="O157" s="23" t="n">
        <v>24.06948075168765</v>
      </c>
      <c r="P157" s="23" t="n">
        <v>23.70475716371773</v>
      </c>
      <c r="Q157" s="23" t="n">
        <v>23.78011411856796</v>
      </c>
      <c r="R157" s="23" t="n">
        <v>23.74452593808915</v>
      </c>
      <c r="S157" s="23" t="n">
        <v>23.71034092848609</v>
      </c>
      <c r="T157" s="23" t="n">
        <v>23.8424537037037</v>
      </c>
      <c r="U157" s="23" t="n">
        <v>23.84917434715822</v>
      </c>
      <c r="V157" s="38" t="n">
        <v>23.93520358334817</v>
      </c>
      <c r="W157" s="39" t="n">
        <v>107</v>
      </c>
      <c r="X157" s="24" t="n">
        <v>0.8916666666666667</v>
      </c>
    </row>
    <row r="158" ht="13.9" customHeight="1">
      <c r="A158" s="10" t="n">
        <v>21205660</v>
      </c>
      <c r="B158" s="35" t="inlineStr">
        <is>
          <t>CP</t>
        </is>
      </c>
      <c r="C158" s="35" t="inlineStr">
        <is>
          <t>Mercedes</t>
        </is>
      </c>
      <c r="D158" s="35" t="inlineStr">
        <is>
          <t>Anapoima</t>
        </is>
      </c>
      <c r="E158" s="21" t="inlineStr">
        <is>
          <t>Cundinamarca</t>
        </is>
      </c>
      <c r="F158" s="35" t="n">
        <v>11</v>
      </c>
      <c r="G158" s="35" t="n">
        <v>810</v>
      </c>
      <c r="H158" s="36" t="n">
        <v>-74.52661111</v>
      </c>
      <c r="I158" s="37" t="n">
        <v>4.58188889</v>
      </c>
      <c r="J158" s="22" t="n">
        <v>19.7259043721247</v>
      </c>
      <c r="K158" s="23" t="n">
        <v>20.07967934413558</v>
      </c>
      <c r="L158" s="23" t="n">
        <v>20.06860170913007</v>
      </c>
      <c r="M158" s="23" t="n">
        <v>20.31338063478549</v>
      </c>
      <c r="N158" s="23" t="n">
        <v>20.43884851330161</v>
      </c>
      <c r="O158" s="23" t="n">
        <v>20.00066380663672</v>
      </c>
      <c r="P158" s="23" t="n">
        <v>19.76640571428571</v>
      </c>
      <c r="Q158" s="23" t="n">
        <v>19.9086919305718</v>
      </c>
      <c r="R158" s="23" t="n">
        <v>20.01407453289416</v>
      </c>
      <c r="S158" s="23" t="n">
        <v>19.90889044807621</v>
      </c>
      <c r="T158" s="23" t="n">
        <v>19.82431673052363</v>
      </c>
      <c r="U158" s="23" t="n">
        <v>19.62077095420892</v>
      </c>
      <c r="V158" s="38" t="n">
        <v>19.97251905755622</v>
      </c>
      <c r="W158" s="39" t="n">
        <v>319</v>
      </c>
      <c r="X158" s="24" t="n">
        <v>0.8861111111111111</v>
      </c>
    </row>
    <row r="159" ht="13.9" customHeight="1">
      <c r="A159" s="10" t="n">
        <v>21205670</v>
      </c>
      <c r="B159" s="35" t="inlineStr">
        <is>
          <t>CO</t>
        </is>
      </c>
      <c r="C159" s="35" t="inlineStr">
        <is>
          <t xml:space="preserve">La Florida </t>
        </is>
      </c>
      <c r="D159" s="35" t="inlineStr">
        <is>
          <t>Anolaima</t>
        </is>
      </c>
      <c r="E159" s="21" t="inlineStr">
        <is>
          <t>Cundinamarca</t>
        </is>
      </c>
      <c r="F159" s="35" t="n">
        <v>11</v>
      </c>
      <c r="G159" s="35" t="n">
        <v>1915</v>
      </c>
      <c r="H159" s="36" t="n">
        <v>-74.43763889</v>
      </c>
      <c r="I159" s="37" t="n">
        <v>4.77088889</v>
      </c>
      <c r="J159" s="22" t="n">
        <v>13.0577112963497</v>
      </c>
      <c r="K159" s="23" t="n">
        <v>13.38939081939771</v>
      </c>
      <c r="L159" s="23" t="n">
        <v>13.54303581809823</v>
      </c>
      <c r="M159" s="23" t="n">
        <v>13.72835497953971</v>
      </c>
      <c r="N159" s="23" t="n">
        <v>13.70598622879273</v>
      </c>
      <c r="O159" s="23" t="n">
        <v>13.49539739301425</v>
      </c>
      <c r="P159" s="23" t="n">
        <v>13.18674362324529</v>
      </c>
      <c r="Q159" s="23" t="n">
        <v>13.3481431749563</v>
      </c>
      <c r="R159" s="23" t="n">
        <v>13.60395466807412</v>
      </c>
      <c r="S159" s="23" t="n">
        <v>13.59257920743381</v>
      </c>
      <c r="T159" s="23" t="n">
        <v>13.38096595302575</v>
      </c>
      <c r="U159" s="23" t="n">
        <v>13.07125689281171</v>
      </c>
      <c r="V159" s="38" t="n">
        <v>13.42529333789494</v>
      </c>
      <c r="W159" s="39" t="n">
        <v>324</v>
      </c>
      <c r="X159" s="24" t="n">
        <v>0.9</v>
      </c>
    </row>
    <row r="160" ht="13.9" customHeight="1">
      <c r="A160" s="10" t="n">
        <v>21206180</v>
      </c>
      <c r="B160" s="35" t="inlineStr">
        <is>
          <t>CO</t>
        </is>
      </c>
      <c r="C160" s="35" t="inlineStr">
        <is>
          <t>Primavera de Matima</t>
        </is>
      </c>
      <c r="D160" s="35" t="inlineStr">
        <is>
          <t>Anolaima</t>
        </is>
      </c>
      <c r="E160" s="21" t="inlineStr">
        <is>
          <t>Cundinamarca</t>
        </is>
      </c>
      <c r="F160" s="35" t="n">
        <v>11</v>
      </c>
      <c r="G160" s="35" t="n">
        <v>1850</v>
      </c>
      <c r="H160" s="36" t="n">
        <v>-74.44347222</v>
      </c>
      <c r="I160" s="37" t="n">
        <v>4.8055</v>
      </c>
      <c r="J160" s="22" t="n">
        <v>13.81529259419091</v>
      </c>
      <c r="K160" s="23" t="n">
        <v>14.11615586871728</v>
      </c>
      <c r="L160" s="23" t="n">
        <v>14.27285005181445</v>
      </c>
      <c r="M160" s="23" t="n">
        <v>14.53306562084788</v>
      </c>
      <c r="N160" s="23" t="n">
        <v>14.60444011526672</v>
      </c>
      <c r="O160" s="23" t="n">
        <v>14.24504793734085</v>
      </c>
      <c r="P160" s="23" t="n">
        <v>13.90318064553173</v>
      </c>
      <c r="Q160" s="23" t="n">
        <v>14.00007328593767</v>
      </c>
      <c r="R160" s="23" t="n">
        <v>14.27221511536896</v>
      </c>
      <c r="S160" s="23" t="n">
        <v>14.29510010265178</v>
      </c>
      <c r="T160" s="23" t="n">
        <v>14.2241949757884</v>
      </c>
      <c r="U160" s="23" t="n">
        <v>14.03303002880347</v>
      </c>
      <c r="V160" s="38" t="n">
        <v>14.19288719518835</v>
      </c>
      <c r="W160" s="39" t="n">
        <v>299</v>
      </c>
      <c r="X160" s="24" t="n">
        <v>0.8305555555555556</v>
      </c>
    </row>
    <row r="161" ht="13.9" customHeight="1">
      <c r="A161" s="10" t="n">
        <v>21205791</v>
      </c>
      <c r="B161" s="35" t="inlineStr">
        <is>
          <t>SP</t>
        </is>
      </c>
      <c r="C161" s="35" t="inlineStr">
        <is>
          <t xml:space="preserve">Aeropuerto El Dorado Catam - AUT </t>
        </is>
      </c>
      <c r="D161" s="35" t="inlineStr">
        <is>
          <t>Bogotá</t>
        </is>
      </c>
      <c r="E161" s="21" t="inlineStr">
        <is>
          <t>Cundinamarca</t>
        </is>
      </c>
      <c r="F161" s="35" t="n">
        <v>11</v>
      </c>
      <c r="G161" s="35" t="n">
        <v>2547</v>
      </c>
      <c r="H161" s="36" t="n">
        <v>-74.15066666999999</v>
      </c>
      <c r="I161" s="37" t="n">
        <v>4.70558333</v>
      </c>
      <c r="J161" s="22" t="n">
        <v>6.411392361883576</v>
      </c>
      <c r="K161" s="23" t="n">
        <v>7.619711141987004</v>
      </c>
      <c r="L161" s="23" t="n">
        <v>8.584535261401559</v>
      </c>
      <c r="M161" s="23" t="n">
        <v>9.557101806239736</v>
      </c>
      <c r="N161" s="23" t="n">
        <v>9.599685164586164</v>
      </c>
      <c r="O161" s="23" t="n">
        <v>9.059519868637111</v>
      </c>
      <c r="P161" s="23" t="n">
        <v>8.566982972533584</v>
      </c>
      <c r="Q161" s="23" t="n">
        <v>8.379613673312226</v>
      </c>
      <c r="R161" s="23" t="n">
        <v>7.778801945181254</v>
      </c>
      <c r="S161" s="23" t="n">
        <v>8.298344785900616</v>
      </c>
      <c r="T161" s="23" t="n">
        <v>8.606389272030647</v>
      </c>
      <c r="U161" s="23" t="n">
        <v>7.530901464590286</v>
      </c>
      <c r="V161" s="38" t="n">
        <v>8.33274830985698</v>
      </c>
      <c r="W161" s="39" t="n">
        <v>304</v>
      </c>
      <c r="X161" s="24" t="n">
        <v>0.8444444444444444</v>
      </c>
    </row>
    <row r="162" ht="13.9" customHeight="1">
      <c r="A162" s="10" t="n">
        <v>21206050</v>
      </c>
      <c r="B162" s="35" t="inlineStr">
        <is>
          <t>CP</t>
        </is>
      </c>
      <c r="C162" s="35" t="inlineStr">
        <is>
          <t>Escuela Colombiana de Ingeniería</t>
        </is>
      </c>
      <c r="D162" s="35" t="inlineStr">
        <is>
          <t>Bogotá</t>
        </is>
      </c>
      <c r="E162" s="21" t="inlineStr">
        <is>
          <t>Cundinamarca</t>
        </is>
      </c>
      <c r="F162" s="35" t="n">
        <v>11</v>
      </c>
      <c r="G162" s="35" t="n">
        <v>2650</v>
      </c>
      <c r="H162" s="36" t="n">
        <v>-74.05</v>
      </c>
      <c r="I162" s="37" t="n">
        <v>4.78333333</v>
      </c>
      <c r="J162" s="22" t="n">
        <v>6.761483870967742</v>
      </c>
      <c r="K162" s="23" t="n">
        <v>7.666625615763548</v>
      </c>
      <c r="L162" s="23" t="n">
        <v>8.319999999999999</v>
      </c>
      <c r="M162" s="23" t="n">
        <v>9.291333333333334</v>
      </c>
      <c r="N162" s="23" t="n">
        <v>9.517311827956989</v>
      </c>
      <c r="O162" s="23" t="n">
        <v>8.762827586206894</v>
      </c>
      <c r="P162" s="23" t="n">
        <v>8.389204301075269</v>
      </c>
      <c r="Q162" s="23" t="n">
        <v>8.234</v>
      </c>
      <c r="R162" s="23" t="n">
        <v>7.858586206896551</v>
      </c>
      <c r="S162" s="23" t="n">
        <v>8.544946236559138</v>
      </c>
      <c r="T162" s="23" t="n">
        <v>8.390333333333334</v>
      </c>
      <c r="U162" s="23" t="n">
        <v>7.603849462365592</v>
      </c>
      <c r="V162" s="38" t="n">
        <v>8.278375147871531</v>
      </c>
      <c r="W162" s="39" t="n">
        <v>120</v>
      </c>
      <c r="X162" s="24" t="n">
        <v>1</v>
      </c>
    </row>
    <row r="163" ht="13.9" customHeight="1">
      <c r="A163" s="10" t="n">
        <v>21206230</v>
      </c>
      <c r="B163" s="35" t="inlineStr">
        <is>
          <t>CO</t>
        </is>
      </c>
      <c r="C163" s="35" t="inlineStr">
        <is>
          <t xml:space="preserve">Hacienda Las Vegas </t>
        </is>
      </c>
      <c r="D163" s="35" t="inlineStr">
        <is>
          <t>Bogotá</t>
        </is>
      </c>
      <c r="E163" s="21" t="inlineStr">
        <is>
          <t>Cundinamarca</t>
        </is>
      </c>
      <c r="F163" s="35" t="n">
        <v>11</v>
      </c>
      <c r="G163" s="35" t="n">
        <v>2543</v>
      </c>
      <c r="H163" s="36" t="n">
        <v>-74.15141944</v>
      </c>
      <c r="I163" s="37" t="n">
        <v>4.66166667</v>
      </c>
      <c r="J163" s="22" t="n">
        <v>6.048493140526511</v>
      </c>
      <c r="K163" s="23" t="n">
        <v>7.257495438788541</v>
      </c>
      <c r="L163" s="23" t="n">
        <v>8.191514389207383</v>
      </c>
      <c r="M163" s="23" t="n">
        <v>9.110137566137567</v>
      </c>
      <c r="N163" s="23" t="n">
        <v>9.12114695340502</v>
      </c>
      <c r="O163" s="23" t="n">
        <v>8.752885057471264</v>
      </c>
      <c r="P163" s="23" t="n">
        <v>8.095483870967744</v>
      </c>
      <c r="Q163" s="23" t="n">
        <v>7.82</v>
      </c>
      <c r="R163" s="23" t="n">
        <v>7.315740740740742</v>
      </c>
      <c r="S163" s="23" t="n">
        <v>7.691032258064515</v>
      </c>
      <c r="T163" s="23" t="n">
        <v>8.03816091954023</v>
      </c>
      <c r="U163" s="23" t="n">
        <v>6.770322580645161</v>
      </c>
      <c r="V163" s="38" t="n">
        <v>7.851034409624556</v>
      </c>
      <c r="W163" s="39" t="n">
        <v>119</v>
      </c>
      <c r="X163" s="24" t="n">
        <v>0.9916666666666667</v>
      </c>
    </row>
    <row r="164" ht="13.9" customHeight="1">
      <c r="A164" s="10" t="n">
        <v>21206600</v>
      </c>
      <c r="B164" s="35" t="inlineStr">
        <is>
          <t>CP</t>
        </is>
      </c>
      <c r="C164" s="35" t="inlineStr">
        <is>
          <t xml:space="preserve">Nueva Generación  - AUT </t>
        </is>
      </c>
      <c r="D164" s="35" t="inlineStr">
        <is>
          <t>Bogotá</t>
        </is>
      </c>
      <c r="E164" s="21" t="inlineStr">
        <is>
          <t>Cundinamarca</t>
        </is>
      </c>
      <c r="F164" s="35" t="n">
        <v>11</v>
      </c>
      <c r="G164" s="35" t="n">
        <v>2590</v>
      </c>
      <c r="H164" s="36" t="n">
        <v>-74.09433333</v>
      </c>
      <c r="I164" s="37" t="n">
        <v>4.78222222</v>
      </c>
      <c r="J164" s="22" t="n">
        <v>8.15566254148521</v>
      </c>
      <c r="K164" s="23" t="n">
        <v>8.283167731542143</v>
      </c>
      <c r="L164" s="23" t="n">
        <v>8.339981857842732</v>
      </c>
      <c r="M164" s="23" t="n">
        <v>8.286900345433921</v>
      </c>
      <c r="N164" s="23" t="n">
        <v>8.202719053922657</v>
      </c>
      <c r="O164" s="23" t="n">
        <v>8.064045740613221</v>
      </c>
      <c r="P164" s="23" t="n">
        <v>8.013166536070912</v>
      </c>
      <c r="Q164" s="23" t="n">
        <v>7.993258787703867</v>
      </c>
      <c r="R164" s="23" t="n">
        <v>8.052510832141536</v>
      </c>
      <c r="S164" s="23" t="n">
        <v>8.060277715980721</v>
      </c>
      <c r="T164" s="23" t="n">
        <v>7.953341305153875</v>
      </c>
      <c r="U164" s="23" t="n">
        <v>7.280786058583613</v>
      </c>
      <c r="V164" s="38" t="n">
        <v>8.057151542206201</v>
      </c>
      <c r="W164" s="39" t="n">
        <v>116</v>
      </c>
      <c r="X164" s="24" t="n">
        <v>0.9666666666666667</v>
      </c>
    </row>
    <row r="165" ht="13.9" customHeight="1">
      <c r="A165" s="10" t="n">
        <v>21206260</v>
      </c>
      <c r="B165" s="35" t="inlineStr">
        <is>
          <t>CO</t>
        </is>
      </c>
      <c r="C165" s="35" t="inlineStr">
        <is>
          <t>Universidad Agropecuaria-UDCA</t>
        </is>
      </c>
      <c r="D165" s="35" t="inlineStr">
        <is>
          <t>Bogotá</t>
        </is>
      </c>
      <c r="E165" s="21" t="inlineStr">
        <is>
          <t>Cundinamarca</t>
        </is>
      </c>
      <c r="F165" s="35" t="n">
        <v>11</v>
      </c>
      <c r="G165" s="35" t="n">
        <v>2570</v>
      </c>
      <c r="H165" s="36" t="n">
        <v>-74.04972222000001</v>
      </c>
      <c r="I165" s="37" t="n">
        <v>4.79863889</v>
      </c>
      <c r="J165" s="22" t="n">
        <v>6.051315663042347</v>
      </c>
      <c r="K165" s="23" t="n">
        <v>6.476206912591151</v>
      </c>
      <c r="L165" s="23" t="n">
        <v>7.497897741147743</v>
      </c>
      <c r="M165" s="23" t="n">
        <v>8.255815384615385</v>
      </c>
      <c r="N165" s="23" t="n">
        <v>8.602637522732488</v>
      </c>
      <c r="O165" s="23" t="n">
        <v>8.098312154151156</v>
      </c>
      <c r="P165" s="23" t="n">
        <v>7.737258054422024</v>
      </c>
      <c r="Q165" s="23" t="n">
        <v>7.511127721466246</v>
      </c>
      <c r="R165" s="23" t="n">
        <v>7.023641429253795</v>
      </c>
      <c r="S165" s="23" t="n">
        <v>7.392676434838122</v>
      </c>
      <c r="T165" s="23" t="n">
        <v>7.723407454994439</v>
      </c>
      <c r="U165" s="23" t="n">
        <v>6.745466804680097</v>
      </c>
      <c r="V165" s="38" t="n">
        <v>7.426313606494582</v>
      </c>
      <c r="W165" s="39" t="n">
        <v>296</v>
      </c>
      <c r="X165" s="24" t="n">
        <v>0.8222222222222222</v>
      </c>
    </row>
    <row r="166" ht="13.9" customHeight="1">
      <c r="A166" s="10" t="n">
        <v>21206280</v>
      </c>
      <c r="B166" s="35" t="inlineStr">
        <is>
          <t>CP</t>
        </is>
      </c>
      <c r="C166" s="35" t="inlineStr">
        <is>
          <t>Acapulco</t>
        </is>
      </c>
      <c r="D166" s="35" t="inlineStr">
        <is>
          <t>Bojacá</t>
        </is>
      </c>
      <c r="E166" s="21" t="inlineStr">
        <is>
          <t>Cundinamarca</t>
        </is>
      </c>
      <c r="F166" s="35" t="n">
        <v>11</v>
      </c>
      <c r="G166" s="35" t="n">
        <v>2650</v>
      </c>
      <c r="H166" s="36" t="n">
        <v>-74.33305556000001</v>
      </c>
      <c r="I166" s="37" t="n">
        <v>4.65383333</v>
      </c>
      <c r="J166" s="22" t="n">
        <v>9.456377694471481</v>
      </c>
      <c r="K166" s="23" t="n">
        <v>9.412578158112641</v>
      </c>
      <c r="L166" s="23" t="n">
        <v>9.77374640122051</v>
      </c>
      <c r="M166" s="23" t="n">
        <v>10.21243968923461</v>
      </c>
      <c r="N166" s="23" t="n">
        <v>10.17545536654734</v>
      </c>
      <c r="O166" s="23" t="n">
        <v>9.847187589141935</v>
      </c>
      <c r="P166" s="23" t="n">
        <v>9.261436843406253</v>
      </c>
      <c r="Q166" s="23" t="n">
        <v>9.440819890232126</v>
      </c>
      <c r="R166" s="23" t="n">
        <v>9.738448671043951</v>
      </c>
      <c r="S166" s="23" t="n">
        <v>9.691476784571451</v>
      </c>
      <c r="T166" s="23" t="n">
        <v>9.87737756268065</v>
      </c>
      <c r="U166" s="23" t="n">
        <v>9.54371165114711</v>
      </c>
      <c r="V166" s="38" t="n">
        <v>9.702588025150838</v>
      </c>
      <c r="W166" s="39" t="n">
        <v>227</v>
      </c>
      <c r="X166" s="24" t="n">
        <v>0.9458333333333333</v>
      </c>
    </row>
    <row r="167" ht="13.9" customHeight="1">
      <c r="A167" s="10" t="n">
        <v>21205870</v>
      </c>
      <c r="B167" s="35" t="inlineStr">
        <is>
          <t>ME</t>
        </is>
      </c>
      <c r="C167" s="35" t="inlineStr">
        <is>
          <t>El Salitre</t>
        </is>
      </c>
      <c r="D167" s="35" t="inlineStr">
        <is>
          <t>Bojacá</t>
        </is>
      </c>
      <c r="E167" s="21" t="inlineStr">
        <is>
          <t>Cundinamarca</t>
        </is>
      </c>
      <c r="F167" s="35" t="n">
        <v>11</v>
      </c>
      <c r="G167" s="35" t="n">
        <v>2570</v>
      </c>
      <c r="H167" s="36" t="n">
        <v>-74.33427777999999</v>
      </c>
      <c r="I167" s="37" t="n">
        <v>4.73888889</v>
      </c>
      <c r="J167" s="22" t="n">
        <v>5.293152590141839</v>
      </c>
      <c r="K167" s="23" t="n">
        <v>6.145537451054693</v>
      </c>
      <c r="L167" s="23" t="n">
        <v>7.099760132340778</v>
      </c>
      <c r="M167" s="23" t="n">
        <v>8.203804131324025</v>
      </c>
      <c r="N167" s="23" t="n">
        <v>8.15755312263885</v>
      </c>
      <c r="O167" s="23" t="n">
        <v>7.100416523072972</v>
      </c>
      <c r="P167" s="23" t="n">
        <v>6.578988603401736</v>
      </c>
      <c r="Q167" s="23" t="n">
        <v>6.459735960183679</v>
      </c>
      <c r="R167" s="23" t="n">
        <v>6.139874840357599</v>
      </c>
      <c r="S167" s="23" t="n">
        <v>7.256237245773769</v>
      </c>
      <c r="T167" s="23" t="n">
        <v>7.616448324982807</v>
      </c>
      <c r="U167" s="23" t="n">
        <v>6.060097855151618</v>
      </c>
      <c r="V167" s="38" t="n">
        <v>6.842633898368699</v>
      </c>
      <c r="W167" s="39" t="n">
        <v>319</v>
      </c>
      <c r="X167" s="24" t="n">
        <v>0.8861111111111111</v>
      </c>
    </row>
    <row r="168" ht="13.9" customHeight="1">
      <c r="A168" s="10" t="n">
        <v>21205890</v>
      </c>
      <c r="B168" s="35" t="inlineStr">
        <is>
          <t>ME</t>
        </is>
      </c>
      <c r="C168" s="35" t="inlineStr">
        <is>
          <t>Guanata</t>
        </is>
      </c>
      <c r="D168" s="35" t="inlineStr">
        <is>
          <t>Chía</t>
        </is>
      </c>
      <c r="E168" s="21" t="inlineStr">
        <is>
          <t>Cundinamarca</t>
        </is>
      </c>
      <c r="F168" s="35" t="n">
        <v>11</v>
      </c>
      <c r="G168" s="35" t="n">
        <v>2550</v>
      </c>
      <c r="H168" s="36" t="n">
        <v>-74.05433332999999</v>
      </c>
      <c r="I168" s="37" t="n">
        <v>4.88594444</v>
      </c>
      <c r="J168" s="22" t="n">
        <v>6.156651913159144</v>
      </c>
      <c r="K168" s="23" t="n">
        <v>7.086152834720374</v>
      </c>
      <c r="L168" s="23" t="n">
        <v>8.260402062167342</v>
      </c>
      <c r="M168" s="23" t="n">
        <v>9.007733843537418</v>
      </c>
      <c r="N168" s="23" t="n">
        <v>9.162185986056953</v>
      </c>
      <c r="O168" s="23" t="n">
        <v>8.682863008154042</v>
      </c>
      <c r="P168" s="23" t="n">
        <v>8.380829365962178</v>
      </c>
      <c r="Q168" s="23" t="n">
        <v>8.028048564338885</v>
      </c>
      <c r="R168" s="23" t="n">
        <v>7.380059523809523</v>
      </c>
      <c r="S168" s="23" t="n">
        <v>7.974602977667493</v>
      </c>
      <c r="T168" s="23" t="n">
        <v>8.381682039638619</v>
      </c>
      <c r="U168" s="23" t="n">
        <v>7.161550408969765</v>
      </c>
      <c r="V168" s="38" t="n">
        <v>7.971896877348478</v>
      </c>
      <c r="W168" s="39" t="n">
        <v>322</v>
      </c>
      <c r="X168" s="24" t="n">
        <v>0.8944444444444445</v>
      </c>
    </row>
    <row r="169" ht="13.9" customHeight="1">
      <c r="A169" s="10" t="n">
        <v>35025060</v>
      </c>
      <c r="B169" s="35" t="inlineStr">
        <is>
          <t>CO</t>
        </is>
      </c>
      <c r="C169" s="35" t="inlineStr">
        <is>
          <t>La Bolsa</t>
        </is>
      </c>
      <c r="D169" s="35" t="inlineStr">
        <is>
          <t>Choachí</t>
        </is>
      </c>
      <c r="E169" s="21" t="inlineStr">
        <is>
          <t>Cundinamarca</t>
        </is>
      </c>
      <c r="F169" s="35" t="n">
        <v>11</v>
      </c>
      <c r="G169" s="35" t="n">
        <v>3195</v>
      </c>
      <c r="H169" s="36" t="n">
        <v>-73.98141666999999</v>
      </c>
      <c r="I169" s="37" t="n">
        <v>4.57541667</v>
      </c>
      <c r="J169" s="22" t="n">
        <v>4.141923811093259</v>
      </c>
      <c r="K169" s="23" t="n">
        <v>4.532918935576982</v>
      </c>
      <c r="L169" s="23" t="n">
        <v>5.033357689976156</v>
      </c>
      <c r="M169" s="23" t="n">
        <v>5.416381609195401</v>
      </c>
      <c r="N169" s="23" t="n">
        <v>5.541549203567</v>
      </c>
      <c r="O169" s="23" t="n">
        <v>5.425397732241233</v>
      </c>
      <c r="P169" s="23" t="n">
        <v>5.243282479344045</v>
      </c>
      <c r="Q169" s="23" t="n">
        <v>5.04089407521753</v>
      </c>
      <c r="R169" s="23" t="n">
        <v>4.901160980356383</v>
      </c>
      <c r="S169" s="23" t="n">
        <v>5.037621637210068</v>
      </c>
      <c r="T169" s="23" t="n">
        <v>5.230084439261851</v>
      </c>
      <c r="U169" s="23" t="n">
        <v>4.583307548825982</v>
      </c>
      <c r="V169" s="38" t="n">
        <v>5.010656678488824</v>
      </c>
      <c r="W169" s="39" t="n">
        <v>320</v>
      </c>
      <c r="X169" s="24" t="n">
        <v>0.8888888888888888</v>
      </c>
    </row>
    <row r="170" ht="13.9" customHeight="1">
      <c r="A170" s="10" t="n">
        <v>21205740</v>
      </c>
      <c r="B170" s="35" t="inlineStr">
        <is>
          <t>CO</t>
        </is>
      </c>
      <c r="C170" s="35" t="inlineStr">
        <is>
          <t>Silos</t>
        </is>
      </c>
      <c r="D170" s="35" t="inlineStr">
        <is>
          <t>Chocontá</t>
        </is>
      </c>
      <c r="E170" s="21" t="inlineStr">
        <is>
          <t>Cundinamarca</t>
        </is>
      </c>
      <c r="F170" s="35" t="n">
        <v>11</v>
      </c>
      <c r="G170" s="35" t="n">
        <v>2709</v>
      </c>
      <c r="H170" s="36" t="n">
        <v>-73.70141667</v>
      </c>
      <c r="I170" s="37" t="n">
        <v>5.11772222</v>
      </c>
      <c r="J170" s="22" t="n">
        <v>6.196240986206649</v>
      </c>
      <c r="K170" s="23" t="n">
        <v>6.872232491320688</v>
      </c>
      <c r="L170" s="23" t="n">
        <v>7.768683917386876</v>
      </c>
      <c r="M170" s="23" t="n">
        <v>8.437281176713684</v>
      </c>
      <c r="N170" s="23" t="n">
        <v>8.593053476248732</v>
      </c>
      <c r="O170" s="23" t="n">
        <v>8.373702450667219</v>
      </c>
      <c r="P170" s="23" t="n">
        <v>8.109310099219185</v>
      </c>
      <c r="Q170" s="23" t="n">
        <v>8.010064236954742</v>
      </c>
      <c r="R170" s="23" t="n">
        <v>7.69425551672678</v>
      </c>
      <c r="S170" s="23" t="n">
        <v>7.877060266392856</v>
      </c>
      <c r="T170" s="23" t="n">
        <v>8.014107649362131</v>
      </c>
      <c r="U170" s="23" t="n">
        <v>7.085705534329609</v>
      </c>
      <c r="V170" s="38" t="n">
        <v>7.752641483460763</v>
      </c>
      <c r="W170" s="39" t="n">
        <v>297</v>
      </c>
      <c r="X170" s="24" t="n">
        <v>0.825</v>
      </c>
    </row>
    <row r="171" ht="13.9" customHeight="1">
      <c r="A171" s="10" t="n">
        <v>21205940</v>
      </c>
      <c r="B171" s="35" t="inlineStr">
        <is>
          <t>CP</t>
        </is>
      </c>
      <c r="C171" s="35" t="inlineStr">
        <is>
          <t xml:space="preserve">Villa Ines  - AUT </t>
        </is>
      </c>
      <c r="D171" s="35" t="inlineStr">
        <is>
          <t>Facatativá</t>
        </is>
      </c>
      <c r="E171" s="21" t="inlineStr">
        <is>
          <t>Cundinamarca</t>
        </is>
      </c>
      <c r="F171" s="35" t="n">
        <v>11</v>
      </c>
      <c r="G171" s="35" t="n">
        <v>2590</v>
      </c>
      <c r="H171" s="36" t="n">
        <v>-74.38397222</v>
      </c>
      <c r="I171" s="37" t="n">
        <v>4.83497222</v>
      </c>
      <c r="J171" s="22" t="n">
        <v>5.383447642046085</v>
      </c>
      <c r="K171" s="23" t="n">
        <v>6.104622558062533</v>
      </c>
      <c r="L171" s="23" t="n">
        <v>7.197579721252605</v>
      </c>
      <c r="M171" s="23" t="n">
        <v>7.986111986863708</v>
      </c>
      <c r="N171" s="23" t="n">
        <v>8.015783232398139</v>
      </c>
      <c r="O171" s="23" t="n">
        <v>7.251109359605912</v>
      </c>
      <c r="P171" s="23" t="n">
        <v>6.817346236559137</v>
      </c>
      <c r="Q171" s="23" t="n">
        <v>6.382935282589119</v>
      </c>
      <c r="R171" s="23" t="n">
        <v>6.118803839838322</v>
      </c>
      <c r="S171" s="23" t="n">
        <v>6.929651069775745</v>
      </c>
      <c r="T171" s="23" t="n">
        <v>7.444539121159811</v>
      </c>
      <c r="U171" s="23" t="n">
        <v>6.105378656825434</v>
      </c>
      <c r="V171" s="38" t="n">
        <v>6.811442392248046</v>
      </c>
      <c r="W171" s="39" t="n">
        <v>304</v>
      </c>
      <c r="X171" s="24" t="n">
        <v>0.8444444444444444</v>
      </c>
    </row>
    <row r="172" ht="13.9" customHeight="1">
      <c r="A172" s="10" t="n">
        <v>21206210</v>
      </c>
      <c r="B172" s="35" t="inlineStr">
        <is>
          <t>ME</t>
        </is>
      </c>
      <c r="C172" s="35" t="inlineStr">
        <is>
          <t>Flores Colombianas</t>
        </is>
      </c>
      <c r="D172" s="35" t="inlineStr">
        <is>
          <t>Funza</t>
        </is>
      </c>
      <c r="E172" s="21" t="inlineStr">
        <is>
          <t>Cundinamarca</t>
        </is>
      </c>
      <c r="F172" s="35" t="n">
        <v>11</v>
      </c>
      <c r="G172" s="35" t="n">
        <v>2560</v>
      </c>
      <c r="H172" s="36" t="n">
        <v>-74.15733333</v>
      </c>
      <c r="I172" s="37" t="n">
        <v>4.73625</v>
      </c>
      <c r="J172" s="22" t="n">
        <v>4.743131868131869</v>
      </c>
      <c r="K172" s="23" t="n">
        <v>6.738693602693603</v>
      </c>
      <c r="L172" s="23" t="n">
        <v>7.67276891707067</v>
      </c>
      <c r="M172" s="23" t="n">
        <v>8.63309177718833</v>
      </c>
      <c r="N172" s="23" t="n">
        <v>8.660074863174973</v>
      </c>
      <c r="O172" s="23" t="n">
        <v>8.508358969680808</v>
      </c>
      <c r="P172" s="23" t="n">
        <v>7.774853169862131</v>
      </c>
      <c r="Q172" s="23" t="n">
        <v>7.523726345817697</v>
      </c>
      <c r="R172" s="23" t="n">
        <v>6.978473425680322</v>
      </c>
      <c r="S172" s="23" t="n">
        <v>7.434520601056754</v>
      </c>
      <c r="T172" s="23" t="n">
        <v>7.979180146800837</v>
      </c>
      <c r="U172" s="23" t="n">
        <v>6.662592221980013</v>
      </c>
      <c r="V172" s="38" t="n">
        <v>7.442455492428169</v>
      </c>
      <c r="W172" s="39" t="n">
        <v>109</v>
      </c>
      <c r="X172" s="24" t="n">
        <v>0.9083333333333333</v>
      </c>
    </row>
    <row r="173" ht="13.9" customHeight="1">
      <c r="A173" s="10" t="n">
        <v>24015120</v>
      </c>
      <c r="B173" s="35" t="inlineStr">
        <is>
          <t>CP</t>
        </is>
      </c>
      <c r="C173" s="35" t="inlineStr">
        <is>
          <t>Isla del Santuario</t>
        </is>
      </c>
      <c r="D173" s="35" t="inlineStr">
        <is>
          <t>Fúquene</t>
        </is>
      </c>
      <c r="E173" s="21" t="inlineStr">
        <is>
          <t>Cundinamarca</t>
        </is>
      </c>
      <c r="F173" s="35" t="n">
        <v>11</v>
      </c>
      <c r="G173" s="35" t="n">
        <v>2580</v>
      </c>
      <c r="H173" s="36" t="n">
        <v>-73.73480556000001</v>
      </c>
      <c r="I173" s="37" t="n">
        <v>5.46727778</v>
      </c>
      <c r="J173" s="22" t="n">
        <v>8.349021834540268</v>
      </c>
      <c r="K173" s="23" t="n">
        <v>8.920656273119326</v>
      </c>
      <c r="L173" s="23" t="n">
        <v>9.682811169498676</v>
      </c>
      <c r="M173" s="23" t="n">
        <v>10.1662490421456</v>
      </c>
      <c r="N173" s="23" t="n">
        <v>10.32242021999753</v>
      </c>
      <c r="O173" s="23" t="n">
        <v>9.943008323424495</v>
      </c>
      <c r="P173" s="23" t="n">
        <v>9.439827138710957</v>
      </c>
      <c r="Q173" s="23" t="n">
        <v>9.341522894401955</v>
      </c>
      <c r="R173" s="23" t="n">
        <v>8.966014543748534</v>
      </c>
      <c r="S173" s="23" t="n">
        <v>9.355594107412795</v>
      </c>
      <c r="T173" s="23" t="n">
        <v>9.878368910782704</v>
      </c>
      <c r="U173" s="23" t="n">
        <v>9.048542519771665</v>
      </c>
      <c r="V173" s="38" t="n">
        <v>9.451169748129542</v>
      </c>
      <c r="W173" s="39" t="n">
        <v>339</v>
      </c>
      <c r="X173" s="24" t="n">
        <v>0.9416666666666667</v>
      </c>
    </row>
    <row r="174" ht="13.9" customHeight="1">
      <c r="A174" s="10" t="n">
        <v>35065010</v>
      </c>
      <c r="B174" s="35" t="inlineStr">
        <is>
          <t>CO</t>
        </is>
      </c>
      <c r="C174" s="35" t="inlineStr">
        <is>
          <t>Gachetá</t>
        </is>
      </c>
      <c r="D174" s="35" t="inlineStr">
        <is>
          <t>Gachetá</t>
        </is>
      </c>
      <c r="E174" s="21" t="inlineStr">
        <is>
          <t>Cundinamarca</t>
        </is>
      </c>
      <c r="F174" s="35" t="n">
        <v>11</v>
      </c>
      <c r="G174" s="35" t="n">
        <v>1752</v>
      </c>
      <c r="H174" s="36" t="n">
        <v>-73.64647222000001</v>
      </c>
      <c r="I174" s="37" t="n">
        <v>4.83038889</v>
      </c>
      <c r="J174" s="22" t="n">
        <v>11.8178972520908</v>
      </c>
      <c r="K174" s="23" t="n">
        <v>12.87770472042503</v>
      </c>
      <c r="L174" s="23" t="n">
        <v>13.86864516129032</v>
      </c>
      <c r="M174" s="23" t="n">
        <v>14.70234482758621</v>
      </c>
      <c r="N174" s="23" t="n">
        <v>14.81094623655914</v>
      </c>
      <c r="O174" s="23" t="n">
        <v>14.50467031563583</v>
      </c>
      <c r="P174" s="23" t="n">
        <v>13.9294623655914</v>
      </c>
      <c r="Q174" s="23" t="n">
        <v>13.94594982078853</v>
      </c>
      <c r="R174" s="23" t="n">
        <v>13.252</v>
      </c>
      <c r="S174" s="23" t="n">
        <v>13.43604540023895</v>
      </c>
      <c r="T174" s="23" t="n">
        <v>13.498</v>
      </c>
      <c r="U174" s="23" t="n">
        <v>12.28483870967742</v>
      </c>
      <c r="V174" s="38" t="n">
        <v>13.57737540082363</v>
      </c>
      <c r="W174" s="39" t="n">
        <v>117</v>
      </c>
      <c r="X174" s="24" t="n">
        <v>0.975</v>
      </c>
    </row>
    <row r="175" ht="13.9" customHeight="1">
      <c r="A175" s="10" t="n">
        <v>21205700</v>
      </c>
      <c r="B175" s="35" t="inlineStr">
        <is>
          <t>CO</t>
        </is>
      </c>
      <c r="C175" s="35" t="inlineStr">
        <is>
          <t>Guasca</t>
        </is>
      </c>
      <c r="D175" s="35" t="inlineStr">
        <is>
          <t>Guasca</t>
        </is>
      </c>
      <c r="E175" s="21" t="inlineStr">
        <is>
          <t>Cundinamarca</t>
        </is>
      </c>
      <c r="F175" s="35" t="n">
        <v>11</v>
      </c>
      <c r="G175" s="35" t="n">
        <v>2750</v>
      </c>
      <c r="H175" s="36" t="n">
        <v>-73.86811111</v>
      </c>
      <c r="I175" s="37" t="n">
        <v>4.87986111</v>
      </c>
      <c r="J175" s="22" t="n">
        <v>5.750412684189566</v>
      </c>
      <c r="K175" s="23" t="n">
        <v>6.157134569357567</v>
      </c>
      <c r="L175" s="23" t="n">
        <v>7.357645581013796</v>
      </c>
      <c r="M175" s="23" t="n">
        <v>8.155183528870486</v>
      </c>
      <c r="N175" s="23" t="n">
        <v>8.458640297118306</v>
      </c>
      <c r="O175" s="23" t="n">
        <v>8.576256247864524</v>
      </c>
      <c r="P175" s="23" t="n">
        <v>8.30382889718735</v>
      </c>
      <c r="Q175" s="23" t="n">
        <v>8.086985370686307</v>
      </c>
      <c r="R175" s="23" t="n">
        <v>7.297174073873579</v>
      </c>
      <c r="S175" s="23" t="n">
        <v>7.409300115140494</v>
      </c>
      <c r="T175" s="23" t="n">
        <v>7.60516834105504</v>
      </c>
      <c r="U175" s="23" t="n">
        <v>6.545578336545257</v>
      </c>
      <c r="V175" s="38" t="n">
        <v>7.475275670241857</v>
      </c>
      <c r="W175" s="39" t="n">
        <v>316</v>
      </c>
      <c r="X175" s="24" t="n">
        <v>0.8777777777777778</v>
      </c>
    </row>
    <row r="176" ht="13.9" customHeight="1">
      <c r="A176" s="10" t="n">
        <v>23065060</v>
      </c>
      <c r="B176" s="35" t="inlineStr">
        <is>
          <t>CO</t>
        </is>
      </c>
      <c r="C176" s="35" t="inlineStr">
        <is>
          <t>Santa Teresa</t>
        </is>
      </c>
      <c r="D176" s="35" t="inlineStr">
        <is>
          <t>Guayabal de Síquima</t>
        </is>
      </c>
      <c r="E176" s="21" t="inlineStr">
        <is>
          <t>Cundinamarca</t>
        </is>
      </c>
      <c r="F176" s="35" t="n">
        <v>11</v>
      </c>
      <c r="G176" s="35" t="n">
        <v>2200</v>
      </c>
      <c r="H176" s="36" t="n">
        <v>-74.46169444</v>
      </c>
      <c r="I176" s="37" t="n">
        <v>4.84216667</v>
      </c>
      <c r="J176" s="22" t="n">
        <v>12.11844540109501</v>
      </c>
      <c r="K176" s="23" t="n">
        <v>12.14819648919266</v>
      </c>
      <c r="L176" s="23" t="n">
        <v>12.64645268149335</v>
      </c>
      <c r="M176" s="23" t="n">
        <v>13.20005669936704</v>
      </c>
      <c r="N176" s="23" t="n">
        <v>13.40481148151894</v>
      </c>
      <c r="O176" s="23" t="n">
        <v>13.05534279258417</v>
      </c>
      <c r="P176" s="23" t="n">
        <v>12.56302880658436</v>
      </c>
      <c r="Q176" s="23" t="n">
        <v>12.77587369397738</v>
      </c>
      <c r="R176" s="23" t="n">
        <v>12.6637194101362</v>
      </c>
      <c r="S176" s="23" t="n">
        <v>12.67171018945213</v>
      </c>
      <c r="T176" s="23" t="n">
        <v>12.60645593090037</v>
      </c>
      <c r="U176" s="23" t="n">
        <v>12.26876373626374</v>
      </c>
      <c r="V176" s="38" t="n">
        <v>12.67690477604711</v>
      </c>
      <c r="W176" s="39" t="n">
        <v>107</v>
      </c>
      <c r="X176" s="24" t="n">
        <v>0.8916666666666667</v>
      </c>
    </row>
    <row r="177" ht="13.9" customHeight="1">
      <c r="A177" s="10" t="n">
        <v>23065100</v>
      </c>
      <c r="B177" s="35" t="inlineStr">
        <is>
          <t>CO</t>
        </is>
      </c>
      <c r="C177" s="35" t="inlineStr">
        <is>
          <t>Sabaneta</t>
        </is>
      </c>
      <c r="D177" s="35" t="inlineStr">
        <is>
          <t>La Vega</t>
        </is>
      </c>
      <c r="E177" s="21" t="inlineStr">
        <is>
          <t>Cundinamarca</t>
        </is>
      </c>
      <c r="F177" s="35" t="n">
        <v>11</v>
      </c>
      <c r="G177" s="35" t="n">
        <v>2475</v>
      </c>
      <c r="H177" s="36" t="n">
        <v>-74.30738889</v>
      </c>
      <c r="I177" s="37" t="n">
        <v>4.90175</v>
      </c>
      <c r="J177" s="22" t="n">
        <v>9.158129009043297</v>
      </c>
      <c r="K177" s="23" t="n">
        <v>9.561925173073126</v>
      </c>
      <c r="L177" s="23" t="n">
        <v>9.956492992315432</v>
      </c>
      <c r="M177" s="23" t="n">
        <v>10.25148006243792</v>
      </c>
      <c r="N177" s="23" t="n">
        <v>10.3372362175225</v>
      </c>
      <c r="O177" s="23" t="n">
        <v>10.10956340083926</v>
      </c>
      <c r="P177" s="23" t="n">
        <v>9.716615032921327</v>
      </c>
      <c r="Q177" s="23" t="n">
        <v>9.868204371700481</v>
      </c>
      <c r="R177" s="23" t="n">
        <v>9.676598776635073</v>
      </c>
      <c r="S177" s="23" t="n">
        <v>9.804740480232841</v>
      </c>
      <c r="T177" s="23" t="n">
        <v>9.804281117988015</v>
      </c>
      <c r="U177" s="23" t="n">
        <v>9.388100023688873</v>
      </c>
      <c r="V177" s="38" t="n">
        <v>9.802780554866512</v>
      </c>
      <c r="W177" s="39" t="n">
        <v>222</v>
      </c>
      <c r="X177" s="24" t="n">
        <v>0.925</v>
      </c>
    </row>
    <row r="178" ht="13.9" customHeight="1">
      <c r="A178" s="10" t="n">
        <v>21206060</v>
      </c>
      <c r="B178" s="35" t="inlineStr">
        <is>
          <t>ME</t>
        </is>
      </c>
      <c r="C178" s="35" t="inlineStr">
        <is>
          <t>Casablanca</t>
        </is>
      </c>
      <c r="D178" s="35" t="inlineStr">
        <is>
          <t>Madrid</t>
        </is>
      </c>
      <c r="E178" s="21" t="inlineStr">
        <is>
          <t>Cundinamarca</t>
        </is>
      </c>
      <c r="F178" s="35" t="n">
        <v>11</v>
      </c>
      <c r="G178" s="35" t="n">
        <v>2575</v>
      </c>
      <c r="H178" s="36" t="n">
        <v>-74.25333332999999</v>
      </c>
      <c r="I178" s="37" t="n">
        <v>4.71711111</v>
      </c>
      <c r="J178" s="22" t="n">
        <v>4.795008516186291</v>
      </c>
      <c r="K178" s="23" t="n">
        <v>5.699533154804787</v>
      </c>
      <c r="L178" s="23" t="n">
        <v>6.987676186836176</v>
      </c>
      <c r="M178" s="23" t="n">
        <v>7.966450738438964</v>
      </c>
      <c r="N178" s="23" t="n">
        <v>7.685859730199844</v>
      </c>
      <c r="O178" s="23" t="n">
        <v>7.125673588556233</v>
      </c>
      <c r="P178" s="23" t="n">
        <v>6.719634137585712</v>
      </c>
      <c r="Q178" s="23" t="n">
        <v>6.802505773619274</v>
      </c>
      <c r="R178" s="23" t="n">
        <v>6.341788436824108</v>
      </c>
      <c r="S178" s="23" t="n">
        <v>7.005385395698555</v>
      </c>
      <c r="T178" s="23" t="n">
        <v>7.100391665431021</v>
      </c>
      <c r="U178" s="23" t="n">
        <v>6.013420183275851</v>
      </c>
      <c r="V178" s="38" t="n">
        <v>6.686943958954735</v>
      </c>
      <c r="W178" s="39" t="n">
        <v>323</v>
      </c>
      <c r="X178" s="24" t="n">
        <v>0.8972222222222223</v>
      </c>
    </row>
    <row r="179" ht="13.9" customHeight="1">
      <c r="A179" s="10" t="n">
        <v>21205880</v>
      </c>
      <c r="B179" s="35" t="inlineStr">
        <is>
          <t>ME</t>
        </is>
      </c>
      <c r="C179" s="35" t="inlineStr">
        <is>
          <t>Flores Chibcha</t>
        </is>
      </c>
      <c r="D179" s="35" t="inlineStr">
        <is>
          <t>Madrid</t>
        </is>
      </c>
      <c r="E179" s="21" t="inlineStr">
        <is>
          <t>Cundinamarca</t>
        </is>
      </c>
      <c r="F179" s="35" t="n">
        <v>11</v>
      </c>
      <c r="G179" s="35" t="n">
        <v>2550</v>
      </c>
      <c r="H179" s="36" t="n">
        <v>-74.26477778</v>
      </c>
      <c r="I179" s="37" t="n">
        <v>4.78972222</v>
      </c>
      <c r="J179" s="22" t="n">
        <v>3.9447788947491</v>
      </c>
      <c r="K179" s="23" t="n">
        <v>5.000454535767433</v>
      </c>
      <c r="L179" s="23" t="n">
        <v>6.351708247258861</v>
      </c>
      <c r="M179" s="23" t="n">
        <v>7.507380952380953</v>
      </c>
      <c r="N179" s="23" t="n">
        <v>7.473975051644686</v>
      </c>
      <c r="O179" s="23" t="n">
        <v>6.748611111111113</v>
      </c>
      <c r="P179" s="23" t="n">
        <v>6.358575371812301</v>
      </c>
      <c r="Q179" s="23" t="n">
        <v>5.768061378739911</v>
      </c>
      <c r="R179" s="23" t="n">
        <v>5.191510673234811</v>
      </c>
      <c r="S179" s="23" t="n">
        <v>6.269209674476637</v>
      </c>
      <c r="T179" s="23" t="n">
        <v>6.884184846352333</v>
      </c>
      <c r="U179" s="23" t="n">
        <v>5.315454483033274</v>
      </c>
      <c r="V179" s="38" t="n">
        <v>6.067825435046784</v>
      </c>
      <c r="W179" s="39" t="n">
        <v>329</v>
      </c>
      <c r="X179" s="24" t="n">
        <v>0.9138888888888889</v>
      </c>
    </row>
    <row r="180" ht="13.9" customHeight="1">
      <c r="A180" s="10" t="n">
        <v>21205420</v>
      </c>
      <c r="B180" s="35" t="inlineStr">
        <is>
          <t>AM</t>
        </is>
      </c>
      <c r="C180" s="35" t="inlineStr">
        <is>
          <t>Tibaitata</t>
        </is>
      </c>
      <c r="D180" s="35" t="inlineStr">
        <is>
          <t xml:space="preserve">Mosquera </t>
        </is>
      </c>
      <c r="E180" s="21" t="inlineStr">
        <is>
          <t>Cundinamarca</t>
        </is>
      </c>
      <c r="F180" s="35" t="n">
        <v>11</v>
      </c>
      <c r="G180" s="35" t="n">
        <v>2543</v>
      </c>
      <c r="H180" s="36" t="n">
        <v>-74.209</v>
      </c>
      <c r="I180" s="37" t="n">
        <v>4.69141667</v>
      </c>
      <c r="J180" s="22" t="n">
        <v>4.964090757420449</v>
      </c>
      <c r="K180" s="23" t="n">
        <v>6.052780712923401</v>
      </c>
      <c r="L180" s="23" t="n">
        <v>7.346814298578161</v>
      </c>
      <c r="M180" s="23" t="n">
        <v>8.530514054197393</v>
      </c>
      <c r="N180" s="23" t="n">
        <v>8.538647105445399</v>
      </c>
      <c r="O180" s="23" t="n">
        <v>7.913387973500935</v>
      </c>
      <c r="P180" s="23" t="n">
        <v>7.370837341186038</v>
      </c>
      <c r="Q180" s="23" t="n">
        <v>6.994628239761723</v>
      </c>
      <c r="R180" s="23" t="n">
        <v>6.332071277381624</v>
      </c>
      <c r="S180" s="23" t="n">
        <v>7.126605884578074</v>
      </c>
      <c r="T180" s="23" t="n">
        <v>7.616085725610103</v>
      </c>
      <c r="U180" s="23" t="n">
        <v>6.122188792956314</v>
      </c>
      <c r="V180" s="38" t="n">
        <v>7.0757210136283</v>
      </c>
      <c r="W180" s="39" t="n">
        <v>344</v>
      </c>
      <c r="X180" s="24" t="n">
        <v>0.9555555555555556</v>
      </c>
    </row>
    <row r="181" ht="13.9" customHeight="1">
      <c r="A181" s="10" t="n">
        <v>21205970</v>
      </c>
      <c r="B181" s="35" t="inlineStr">
        <is>
          <t>CP</t>
        </is>
      </c>
      <c r="C181" s="35" t="inlineStr">
        <is>
          <t>Hacienda Santa Ana</t>
        </is>
      </c>
      <c r="D181" s="35" t="inlineStr">
        <is>
          <t>Nemocón</t>
        </is>
      </c>
      <c r="E181" s="21" t="inlineStr">
        <is>
          <t>Cundinamarca</t>
        </is>
      </c>
      <c r="F181" s="35" t="n">
        <v>11</v>
      </c>
      <c r="G181" s="35" t="n">
        <v>2572</v>
      </c>
      <c r="H181" s="36" t="n">
        <v>-73.88125000000001</v>
      </c>
      <c r="I181" s="37" t="n">
        <v>5.0905</v>
      </c>
      <c r="J181" s="22" t="n">
        <v>4.325386810762526</v>
      </c>
      <c r="K181" s="23" t="n">
        <v>5.400146220246727</v>
      </c>
      <c r="L181" s="23" t="n">
        <v>6.966516865956522</v>
      </c>
      <c r="M181" s="23" t="n">
        <v>7.901164021164018</v>
      </c>
      <c r="N181" s="23" t="n">
        <v>8.39159955506118</v>
      </c>
      <c r="O181" s="23" t="n">
        <v>8.032133412894414</v>
      </c>
      <c r="P181" s="23" t="n">
        <v>7.743243573445462</v>
      </c>
      <c r="Q181" s="23" t="n">
        <v>7.486965638151482</v>
      </c>
      <c r="R181" s="23" t="n">
        <v>6.246388508431988</v>
      </c>
      <c r="S181" s="23" t="n">
        <v>6.771666052227343</v>
      </c>
      <c r="T181" s="23" t="n">
        <v>7.152042115037157</v>
      </c>
      <c r="U181" s="23" t="n">
        <v>5.703220321022286</v>
      </c>
      <c r="V181" s="38" t="n">
        <v>6.843372757866759</v>
      </c>
      <c r="W181" s="39" t="n">
        <v>320</v>
      </c>
      <c r="X181" s="24" t="n">
        <v>0.8888888888888888</v>
      </c>
    </row>
    <row r="182" ht="13.9" customHeight="1">
      <c r="A182" s="10" t="n">
        <v>23065120</v>
      </c>
      <c r="B182" s="35" t="inlineStr">
        <is>
          <t>CO</t>
        </is>
      </c>
      <c r="C182" s="35" t="inlineStr">
        <is>
          <t xml:space="preserve">La Cabrera </t>
        </is>
      </c>
      <c r="D182" s="35" t="inlineStr">
        <is>
          <t>Pacho</t>
        </is>
      </c>
      <c r="E182" s="21" t="inlineStr">
        <is>
          <t>Cundinamarca</t>
        </is>
      </c>
      <c r="F182" s="35" t="n">
        <v>11</v>
      </c>
      <c r="G182" s="35" t="n">
        <v>2000</v>
      </c>
      <c r="H182" s="36" t="n">
        <v>-74.13936111000001</v>
      </c>
      <c r="I182" s="37" t="n">
        <v>5.14155556</v>
      </c>
      <c r="J182" s="22" t="n">
        <v>12.39456179620878</v>
      </c>
      <c r="K182" s="23" t="n">
        <v>12.72303129377721</v>
      </c>
      <c r="L182" s="23" t="n">
        <v>13.31298568073874</v>
      </c>
      <c r="M182" s="23" t="n">
        <v>13.7674977718942</v>
      </c>
      <c r="N182" s="23" t="n">
        <v>13.98758583414977</v>
      </c>
      <c r="O182" s="23" t="n">
        <v>13.90945310034516</v>
      </c>
      <c r="P182" s="23" t="n">
        <v>13.61732864033019</v>
      </c>
      <c r="Q182" s="23" t="n">
        <v>13.55252029356546</v>
      </c>
      <c r="R182" s="23" t="n">
        <v>13.38890753341278</v>
      </c>
      <c r="S182" s="23" t="n">
        <v>13.22594812887484</v>
      </c>
      <c r="T182" s="23" t="n">
        <v>13.17333535402146</v>
      </c>
      <c r="U182" s="23" t="n">
        <v>12.83798629889887</v>
      </c>
      <c r="V182" s="38" t="n">
        <v>13.32426181051812</v>
      </c>
      <c r="W182" s="39" t="n">
        <v>312</v>
      </c>
      <c r="X182" s="24" t="n">
        <v>0.8666666666666667</v>
      </c>
    </row>
    <row r="183" ht="13.9" customHeight="1">
      <c r="A183" s="10" t="n">
        <v>21195060</v>
      </c>
      <c r="B183" s="35" t="inlineStr">
        <is>
          <t>CO</t>
        </is>
      </c>
      <c r="C183" s="35" t="inlineStr">
        <is>
          <t>Pandi</t>
        </is>
      </c>
      <c r="D183" s="35" t="inlineStr">
        <is>
          <t>Pandi</t>
        </is>
      </c>
      <c r="E183" s="21" t="inlineStr">
        <is>
          <t>Cundinamarca</t>
        </is>
      </c>
      <c r="F183" s="35" t="n">
        <v>11</v>
      </c>
      <c r="G183" s="35" t="n">
        <v>950</v>
      </c>
      <c r="H183" s="36" t="n">
        <v>-74.48741666999999</v>
      </c>
      <c r="I183" s="37" t="n">
        <v>4.19272222</v>
      </c>
      <c r="J183" s="22" t="n">
        <v>19.79884056900377</v>
      </c>
      <c r="K183" s="23" t="n">
        <v>19.98455300803449</v>
      </c>
      <c r="L183" s="23" t="n">
        <v>19.9899683369076</v>
      </c>
      <c r="M183" s="23" t="n">
        <v>20.00030987046159</v>
      </c>
      <c r="N183" s="23" t="n">
        <v>20.04957919591667</v>
      </c>
      <c r="O183" s="23" t="n">
        <v>20.05601296904458</v>
      </c>
      <c r="P183" s="23" t="n">
        <v>20.02675378177625</v>
      </c>
      <c r="Q183" s="23" t="n">
        <v>20.28174546114397</v>
      </c>
      <c r="R183" s="23" t="n">
        <v>20.38150449555006</v>
      </c>
      <c r="S183" s="23" t="n">
        <v>19.94641071366322</v>
      </c>
      <c r="T183" s="23" t="n">
        <v>19.62053491674844</v>
      </c>
      <c r="U183" s="23" t="n">
        <v>19.6965973166344</v>
      </c>
      <c r="V183" s="38" t="n">
        <v>19.98606755290709</v>
      </c>
      <c r="W183" s="39" t="n">
        <v>313</v>
      </c>
      <c r="X183" s="24" t="n">
        <v>0.8694444444444445</v>
      </c>
    </row>
    <row r="184" ht="13.9" customHeight="1">
      <c r="A184" s="10" t="n">
        <v>35055010</v>
      </c>
      <c r="B184" s="35" t="inlineStr">
        <is>
          <t>CO</t>
        </is>
      </c>
      <c r="C184" s="35" t="inlineStr">
        <is>
          <t>El Japón</t>
        </is>
      </c>
      <c r="D184" s="35" t="inlineStr">
        <is>
          <t>Paratebueno</t>
        </is>
      </c>
      <c r="E184" s="21" t="inlineStr">
        <is>
          <t>Cundinamarca</t>
        </is>
      </c>
      <c r="F184" s="35" t="n">
        <v>3</v>
      </c>
      <c r="G184" s="35" t="n">
        <v>280</v>
      </c>
      <c r="H184" s="36" t="n">
        <v>-73.30130556</v>
      </c>
      <c r="I184" s="37" t="n">
        <v>4.37697222</v>
      </c>
      <c r="J184" s="22" t="n">
        <v>21.59859537157967</v>
      </c>
      <c r="K184" s="23" t="n">
        <v>22.11503782836674</v>
      </c>
      <c r="L184" s="23" t="n">
        <v>22.3555571210146</v>
      </c>
      <c r="M184" s="23" t="n">
        <v>22.03680272942894</v>
      </c>
      <c r="N184" s="23" t="n">
        <v>21.94180532975861</v>
      </c>
      <c r="O184" s="23" t="n">
        <v>21.5590236200581</v>
      </c>
      <c r="P184" s="23" t="n">
        <v>21.18956317811563</v>
      </c>
      <c r="Q184" s="23" t="n">
        <v>21.36289271677525</v>
      </c>
      <c r="R184" s="23" t="n">
        <v>21.56378278809314</v>
      </c>
      <c r="S184" s="23" t="n">
        <v>21.75600986281053</v>
      </c>
      <c r="T184" s="23" t="n">
        <v>21.98590665936872</v>
      </c>
      <c r="U184" s="23" t="n">
        <v>21.85349906570996</v>
      </c>
      <c r="V184" s="38" t="n">
        <v>21.77653968925665</v>
      </c>
      <c r="W184" s="39" t="n">
        <v>305</v>
      </c>
      <c r="X184" s="24" t="n">
        <v>0.8472222222222222</v>
      </c>
    </row>
    <row r="185" ht="13.9" customHeight="1">
      <c r="A185" s="10" t="n">
        <v>21195190</v>
      </c>
      <c r="B185" s="35" t="inlineStr">
        <is>
          <t>AM</t>
        </is>
      </c>
      <c r="C185" s="35" t="inlineStr">
        <is>
          <t xml:space="preserve">Pasca - AUT </t>
        </is>
      </c>
      <c r="D185" s="35" t="inlineStr">
        <is>
          <t>Pasca</t>
        </is>
      </c>
      <c r="E185" s="21" t="inlineStr">
        <is>
          <t>Cundinamarca</t>
        </is>
      </c>
      <c r="F185" s="35" t="n">
        <v>11</v>
      </c>
      <c r="G185" s="35" t="n">
        <v>2256</v>
      </c>
      <c r="H185" s="36" t="n">
        <v>-74.31175</v>
      </c>
      <c r="I185" s="37" t="n">
        <v>4.31011111</v>
      </c>
      <c r="J185" s="22" t="n">
        <v>10.4754233660296</v>
      </c>
      <c r="K185" s="23" t="n">
        <v>10.54032854451895</v>
      </c>
      <c r="L185" s="23" t="n">
        <v>11.6072284190411</v>
      </c>
      <c r="M185" s="23" t="n">
        <v>11.75366843501326</v>
      </c>
      <c r="N185" s="23" t="n">
        <v>11.93486219255963</v>
      </c>
      <c r="O185" s="23" t="n">
        <v>11.5595048278669</v>
      </c>
      <c r="P185" s="23" t="n">
        <v>11.48821679438059</v>
      </c>
      <c r="Q185" s="23" t="n">
        <v>11.26128259794834</v>
      </c>
      <c r="R185" s="23" t="n">
        <v>11.04110301039956</v>
      </c>
      <c r="S185" s="23" t="n">
        <v>11.11853720988968</v>
      </c>
      <c r="T185" s="23" t="n">
        <v>11.27767507449979</v>
      </c>
      <c r="U185" s="23" t="n">
        <v>10.6154827316547</v>
      </c>
      <c r="V185" s="38" t="n">
        <v>11.22277610031684</v>
      </c>
      <c r="W185" s="39" t="n">
        <v>300</v>
      </c>
      <c r="X185" s="24" t="n">
        <v>0.8333333333333334</v>
      </c>
    </row>
    <row r="186" ht="13.9" customHeight="1">
      <c r="A186" s="10" t="n">
        <v>23125070</v>
      </c>
      <c r="B186" s="35" t="inlineStr">
        <is>
          <t>CO</t>
        </is>
      </c>
      <c r="C186" s="35" t="inlineStr">
        <is>
          <t>San Cayetano</t>
        </is>
      </c>
      <c r="D186" s="35" t="inlineStr">
        <is>
          <t xml:space="preserve">San Cayetano </t>
        </is>
      </c>
      <c r="E186" s="21" t="inlineStr">
        <is>
          <t>Cundinamarca</t>
        </is>
      </c>
      <c r="F186" s="35" t="n">
        <v>11</v>
      </c>
      <c r="G186" s="35" t="n">
        <v>2200</v>
      </c>
      <c r="H186" s="36" t="n">
        <v>-74.06666666999999</v>
      </c>
      <c r="I186" s="37" t="n">
        <v>5.3</v>
      </c>
      <c r="J186" s="22" t="n">
        <v>11.41218637992831</v>
      </c>
      <c r="K186" s="23" t="n">
        <v>11.66545135721381</v>
      </c>
      <c r="L186" s="23" t="n">
        <v>11.85345280764636</v>
      </c>
      <c r="M186" s="23" t="n">
        <v>12.20411056376574</v>
      </c>
      <c r="N186" s="23" t="n">
        <v>12.91760289210233</v>
      </c>
      <c r="O186" s="23" t="n">
        <v>12.54192307692308</v>
      </c>
      <c r="P186" s="23" t="n">
        <v>11.975</v>
      </c>
      <c r="Q186" s="23" t="n">
        <v>11.94274193548387</v>
      </c>
      <c r="R186" s="23" t="n">
        <v>12.01757183908046</v>
      </c>
      <c r="S186" s="23" t="n">
        <v>11.89435483870968</v>
      </c>
      <c r="T186" s="23" t="n">
        <v>11.66416666666666</v>
      </c>
      <c r="U186" s="23" t="n">
        <v>11.66344086021505</v>
      </c>
      <c r="V186" s="38" t="n">
        <v>11.97933360147795</v>
      </c>
      <c r="W186" s="39" t="n">
        <v>100</v>
      </c>
      <c r="X186" s="24" t="n">
        <v>0.8333333333333334</v>
      </c>
    </row>
    <row r="187" ht="13.9" customHeight="1">
      <c r="A187" s="10" t="n">
        <v>21205850</v>
      </c>
      <c r="B187" s="35" t="inlineStr">
        <is>
          <t>ME</t>
        </is>
      </c>
      <c r="C187" s="35" t="inlineStr">
        <is>
          <t xml:space="preserve">El Colombiano </t>
        </is>
      </c>
      <c r="D187" s="35" t="inlineStr">
        <is>
          <t>Sesquilé</t>
        </is>
      </c>
      <c r="E187" s="21" t="inlineStr">
        <is>
          <t>Cundinamarca</t>
        </is>
      </c>
      <c r="F187" s="35" t="n">
        <v>11</v>
      </c>
      <c r="G187" s="35" t="n">
        <v>2567</v>
      </c>
      <c r="H187" s="36" t="n">
        <v>-73.84819444</v>
      </c>
      <c r="I187" s="37" t="n">
        <v>5.03388889</v>
      </c>
      <c r="J187" s="22" t="n">
        <v>5.131262026032823</v>
      </c>
      <c r="K187" s="23" t="n">
        <v>6.273747947454845</v>
      </c>
      <c r="L187" s="23" t="n">
        <v>7.491842788283279</v>
      </c>
      <c r="M187" s="23" t="n">
        <v>8.82204342273308</v>
      </c>
      <c r="N187" s="23" t="n">
        <v>9.062191026151599</v>
      </c>
      <c r="O187" s="23" t="n">
        <v>8.683585434173668</v>
      </c>
      <c r="P187" s="23" t="n">
        <v>8.210764635603345</v>
      </c>
      <c r="Q187" s="23" t="n">
        <v>7.929285626004203</v>
      </c>
      <c r="R187" s="23" t="n">
        <v>7.113151845130068</v>
      </c>
      <c r="S187" s="23" t="n">
        <v>7.665531660692952</v>
      </c>
      <c r="T187" s="23" t="n">
        <v>7.803333333333334</v>
      </c>
      <c r="U187" s="23" t="n">
        <v>6.439329538266919</v>
      </c>
      <c r="V187" s="38" t="n">
        <v>7.552172440321676</v>
      </c>
      <c r="W187" s="39" t="n">
        <v>215</v>
      </c>
      <c r="X187" s="24" t="n">
        <v>0.8958333333333334</v>
      </c>
    </row>
    <row r="188" ht="13.9" customHeight="1">
      <c r="A188" s="10" t="n">
        <v>21195120</v>
      </c>
      <c r="B188" s="35" t="inlineStr">
        <is>
          <t>CP</t>
        </is>
      </c>
      <c r="C188" s="35" t="inlineStr">
        <is>
          <t>Ita Valsalice - AUT</t>
        </is>
      </c>
      <c r="D188" s="35" t="inlineStr">
        <is>
          <t>Silvania</t>
        </is>
      </c>
      <c r="E188" s="21" t="inlineStr">
        <is>
          <t>Cundinamarca</t>
        </is>
      </c>
      <c r="F188" s="35" t="n">
        <v>11</v>
      </c>
      <c r="G188" s="35" t="n">
        <v>1460</v>
      </c>
      <c r="H188" s="36" t="n">
        <v>-74.39613889</v>
      </c>
      <c r="I188" s="37" t="n">
        <v>4.39577778</v>
      </c>
      <c r="J188" s="22" t="n">
        <v>15.30851797581358</v>
      </c>
      <c r="K188" s="23" t="n">
        <v>15.77097832722833</v>
      </c>
      <c r="L188" s="23" t="n">
        <v>15.92624269307003</v>
      </c>
      <c r="M188" s="23" t="n">
        <v>16.17529669181393</v>
      </c>
      <c r="N188" s="23" t="n">
        <v>16.0248989412104</v>
      </c>
      <c r="O188" s="23" t="n">
        <v>15.53982816672472</v>
      </c>
      <c r="P188" s="23" t="n">
        <v>15.54532514080901</v>
      </c>
      <c r="Q188" s="23" t="n">
        <v>15.63081985682097</v>
      </c>
      <c r="R188" s="23" t="n">
        <v>15.6368235879347</v>
      </c>
      <c r="S188" s="23" t="n">
        <v>15.62534760845384</v>
      </c>
      <c r="T188" s="23" t="n">
        <v>15.46464443602374</v>
      </c>
      <c r="U188" s="23" t="n">
        <v>15.55181131227726</v>
      </c>
      <c r="V188" s="38" t="n">
        <v>15.68337789484838</v>
      </c>
      <c r="W188" s="39" t="n">
        <v>105</v>
      </c>
      <c r="X188" s="24" t="n">
        <v>0.875</v>
      </c>
    </row>
    <row r="189" ht="13.9" customHeight="1">
      <c r="A189" s="10" t="n">
        <v>21205720</v>
      </c>
      <c r="B189" s="35" t="inlineStr">
        <is>
          <t>CO</t>
        </is>
      </c>
      <c r="C189" s="35" t="inlineStr">
        <is>
          <t>Granja San Jorge</t>
        </is>
      </c>
      <c r="D189" s="35" t="inlineStr">
        <is>
          <t>Soacha</t>
        </is>
      </c>
      <c r="E189" s="21" t="inlineStr">
        <is>
          <t>Cundinamarca</t>
        </is>
      </c>
      <c r="F189" s="35" t="n">
        <v>11</v>
      </c>
      <c r="G189" s="35" t="n">
        <v>2900</v>
      </c>
      <c r="H189" s="36" t="n">
        <v>-74.18927778</v>
      </c>
      <c r="I189" s="37" t="n">
        <v>4.50575</v>
      </c>
      <c r="J189" s="22" t="n">
        <v>6.501077071797316</v>
      </c>
      <c r="K189" s="23" t="n">
        <v>7.089745107113142</v>
      </c>
      <c r="L189" s="23" t="n">
        <v>7.693208822380246</v>
      </c>
      <c r="M189" s="23" t="n">
        <v>8.195196943286597</v>
      </c>
      <c r="N189" s="23" t="n">
        <v>8.318343213204075</v>
      </c>
      <c r="O189" s="23" t="n">
        <v>7.924526568144501</v>
      </c>
      <c r="P189" s="23" t="n">
        <v>7.727820655429109</v>
      </c>
      <c r="Q189" s="23" t="n">
        <v>7.664034361518675</v>
      </c>
      <c r="R189" s="23" t="n">
        <v>7.31025342566812</v>
      </c>
      <c r="S189" s="23" t="n">
        <v>7.416593653442095</v>
      </c>
      <c r="T189" s="23" t="n">
        <v>7.508678181971287</v>
      </c>
      <c r="U189" s="23" t="n">
        <v>7.017785069830679</v>
      </c>
      <c r="V189" s="38" t="n">
        <v>7.53060525614882</v>
      </c>
      <c r="W189" s="39" t="n">
        <v>298</v>
      </c>
      <c r="X189" s="24" t="n">
        <v>0.8277777777777777</v>
      </c>
    </row>
    <row r="190" ht="13.9" customHeight="1">
      <c r="A190" s="10" t="n">
        <v>21205990</v>
      </c>
      <c r="B190" s="35" t="inlineStr">
        <is>
          <t>ME</t>
        </is>
      </c>
      <c r="C190" s="35" t="inlineStr">
        <is>
          <t>El Llano</t>
        </is>
      </c>
      <c r="D190" s="35" t="inlineStr">
        <is>
          <t>Sopó</t>
        </is>
      </c>
      <c r="E190" s="21" t="inlineStr">
        <is>
          <t>Cundinamarca</t>
        </is>
      </c>
      <c r="F190" s="35" t="n">
        <v>11</v>
      </c>
      <c r="G190" s="35" t="n">
        <v>2560</v>
      </c>
      <c r="H190" s="36" t="n">
        <v>-73.95</v>
      </c>
      <c r="I190" s="37" t="n">
        <v>4.92777778</v>
      </c>
      <c r="J190" s="22" t="n">
        <v>4.930165770609319</v>
      </c>
      <c r="K190" s="23" t="n">
        <v>5.9033073649378</v>
      </c>
      <c r="L190" s="23" t="n">
        <v>6.892864293659622</v>
      </c>
      <c r="M190" s="23" t="n">
        <v>8.098111405835544</v>
      </c>
      <c r="N190" s="23" t="n">
        <v>8.407402590179565</v>
      </c>
      <c r="O190" s="23" t="n">
        <v>7.631637333930438</v>
      </c>
      <c r="P190" s="23" t="n">
        <v>7.226002371176021</v>
      </c>
      <c r="Q190" s="23" t="n">
        <v>7.276873929926209</v>
      </c>
      <c r="R190" s="23" t="n">
        <v>6.680373399014779</v>
      </c>
      <c r="S190" s="23" t="n">
        <v>7.289362095449971</v>
      </c>
      <c r="T190" s="23" t="n">
        <v>6.961141706924314</v>
      </c>
      <c r="U190" s="23" t="n">
        <v>6.435394212918006</v>
      </c>
      <c r="V190" s="38" t="n">
        <v>6.977719706213466</v>
      </c>
      <c r="W190" s="39" t="n">
        <v>116</v>
      </c>
      <c r="X190" s="24" t="n">
        <v>0.9666666666666667</v>
      </c>
    </row>
    <row r="191" ht="13.9" customHeight="1">
      <c r="A191" s="10" t="n">
        <v>21205920</v>
      </c>
      <c r="B191" s="35" t="inlineStr">
        <is>
          <t>ME</t>
        </is>
      </c>
      <c r="C191" s="35" t="inlineStr">
        <is>
          <t>Suasuque</t>
        </is>
      </c>
      <c r="D191" s="35" t="inlineStr">
        <is>
          <t>Sopó</t>
        </is>
      </c>
      <c r="E191" s="21" t="inlineStr">
        <is>
          <t>Cundinamarca</t>
        </is>
      </c>
      <c r="F191" s="35" t="n">
        <v>11</v>
      </c>
      <c r="G191" s="35" t="n">
        <v>2650</v>
      </c>
      <c r="H191" s="36" t="n">
        <v>-73.96388889000001</v>
      </c>
      <c r="I191" s="37" t="n">
        <v>4.82083333</v>
      </c>
      <c r="J191" s="22" t="n">
        <v>4.716359173027502</v>
      </c>
      <c r="K191" s="23" t="n">
        <v>5.583844382595868</v>
      </c>
      <c r="L191" s="23" t="n">
        <v>7.022618253085441</v>
      </c>
      <c r="M191" s="23" t="n">
        <v>8.048070607553367</v>
      </c>
      <c r="N191" s="23" t="n">
        <v>8.425571179119565</v>
      </c>
      <c r="O191" s="23" t="n">
        <v>8.031607112674259</v>
      </c>
      <c r="P191" s="23" t="n">
        <v>7.784844458569485</v>
      </c>
      <c r="Q191" s="23" t="n">
        <v>7.382083011105815</v>
      </c>
      <c r="R191" s="23" t="n">
        <v>6.587117922520219</v>
      </c>
      <c r="S191" s="23" t="n">
        <v>7.213467571678281</v>
      </c>
      <c r="T191" s="23" t="n">
        <v>7.473087500929135</v>
      </c>
      <c r="U191" s="23" t="n">
        <v>5.727162331893514</v>
      </c>
      <c r="V191" s="38" t="n">
        <v>6.999652792062705</v>
      </c>
      <c r="W191" s="39" t="n">
        <v>338</v>
      </c>
      <c r="X191" s="24" t="n">
        <v>0.9388888888888889</v>
      </c>
    </row>
    <row r="192" ht="13.9" customHeight="1">
      <c r="A192" s="10" t="n">
        <v>21206030</v>
      </c>
      <c r="B192" s="35" t="inlineStr">
        <is>
          <t>ME</t>
        </is>
      </c>
      <c r="C192" s="35" t="inlineStr">
        <is>
          <t>San Cayetano</t>
        </is>
      </c>
      <c r="D192" s="35" t="inlineStr">
        <is>
          <t>Subachoque</t>
        </is>
      </c>
      <c r="E192" s="21" t="inlineStr">
        <is>
          <t>Cundinamarca</t>
        </is>
      </c>
      <c r="F192" s="35" t="n">
        <v>11</v>
      </c>
      <c r="G192" s="35" t="n">
        <v>2650</v>
      </c>
      <c r="H192" s="36" t="n">
        <v>-74.18166667</v>
      </c>
      <c r="I192" s="37" t="n">
        <v>4.91683333</v>
      </c>
      <c r="J192" s="22" t="n">
        <v>5.005565511748308</v>
      </c>
      <c r="K192" s="23" t="n">
        <v>5.960343600896763</v>
      </c>
      <c r="L192" s="23" t="n">
        <v>7.069836387182754</v>
      </c>
      <c r="M192" s="23" t="n">
        <v>7.934093383202578</v>
      </c>
      <c r="N192" s="23" t="n">
        <v>8.31372256042067</v>
      </c>
      <c r="O192" s="23" t="n">
        <v>7.952925350511558</v>
      </c>
      <c r="P192" s="23" t="n">
        <v>7.652245036849503</v>
      </c>
      <c r="Q192" s="23" t="n">
        <v>7.199846537304825</v>
      </c>
      <c r="R192" s="23" t="n">
        <v>6.78547619047619</v>
      </c>
      <c r="S192" s="23" t="n">
        <v>7.070522803114573</v>
      </c>
      <c r="T192" s="23" t="n">
        <v>6.908179374903512</v>
      </c>
      <c r="U192" s="23" t="n">
        <v>5.933463046038129</v>
      </c>
      <c r="V192" s="38" t="n">
        <v>6.982184981887446</v>
      </c>
      <c r="W192" s="39" t="n">
        <v>316</v>
      </c>
      <c r="X192" s="24" t="n">
        <v>0.8777777777777778</v>
      </c>
    </row>
    <row r="193" ht="13.9" customHeight="1">
      <c r="A193" s="10" t="n">
        <v>21205960</v>
      </c>
      <c r="B193" s="35" t="inlineStr">
        <is>
          <t>ME</t>
        </is>
      </c>
      <c r="C193" s="35" t="inlineStr">
        <is>
          <t xml:space="preserve">Tachi </t>
        </is>
      </c>
      <c r="D193" s="35" t="inlineStr">
        <is>
          <t>Subachoque</t>
        </is>
      </c>
      <c r="E193" s="21" t="inlineStr">
        <is>
          <t>Cundinamarca</t>
        </is>
      </c>
      <c r="F193" s="35" t="n">
        <v>11</v>
      </c>
      <c r="G193" s="35" t="n">
        <v>2650</v>
      </c>
      <c r="H193" s="36" t="n">
        <v>-74.15258333</v>
      </c>
      <c r="I193" s="37" t="n">
        <v>4.93905556</v>
      </c>
      <c r="J193" s="22" t="n">
        <v>4.583348553373871</v>
      </c>
      <c r="K193" s="23" t="n">
        <v>5.740642589302687</v>
      </c>
      <c r="L193" s="23" t="n">
        <v>7.043879877046336</v>
      </c>
      <c r="M193" s="23" t="n">
        <v>8.063105693795348</v>
      </c>
      <c r="N193" s="23" t="n">
        <v>8.567246017904363</v>
      </c>
      <c r="O193" s="23" t="n">
        <v>8.130274898951622</v>
      </c>
      <c r="P193" s="23" t="n">
        <v>7.893366653945072</v>
      </c>
      <c r="Q193" s="23" t="n">
        <v>7.491938037728997</v>
      </c>
      <c r="R193" s="23" t="n">
        <v>6.691398780870046</v>
      </c>
      <c r="S193" s="23" t="n">
        <v>6.916340586625946</v>
      </c>
      <c r="T193" s="23" t="n">
        <v>7.024927090789161</v>
      </c>
      <c r="U193" s="23" t="n">
        <v>5.759952140003975</v>
      </c>
      <c r="V193" s="38" t="n">
        <v>6.992201743361453</v>
      </c>
      <c r="W193" s="39" t="n">
        <v>316</v>
      </c>
      <c r="X193" s="24" t="n">
        <v>0.8777777777777778</v>
      </c>
    </row>
    <row r="194" ht="13.9" customHeight="1">
      <c r="A194" s="10" t="n">
        <v>21206010</v>
      </c>
      <c r="B194" s="35" t="inlineStr">
        <is>
          <t>ME</t>
        </is>
      </c>
      <c r="C194" s="35" t="inlineStr">
        <is>
          <t>Hacienda Loretoki</t>
        </is>
      </c>
      <c r="D194" s="35" t="inlineStr">
        <is>
          <t>Suesca</t>
        </is>
      </c>
      <c r="E194" s="21" t="inlineStr">
        <is>
          <t>Cundinamarca</t>
        </is>
      </c>
      <c r="F194" s="35" t="n">
        <v>11</v>
      </c>
      <c r="G194" s="35" t="n">
        <v>2550</v>
      </c>
      <c r="H194" s="36" t="n">
        <v>-73.80275</v>
      </c>
      <c r="I194" s="37" t="n">
        <v>5.08902778</v>
      </c>
      <c r="J194" s="22" t="n">
        <v>5.992137926429348</v>
      </c>
      <c r="K194" s="23" t="n">
        <v>7.089589385111438</v>
      </c>
      <c r="L194" s="23" t="n">
        <v>8.328879283828364</v>
      </c>
      <c r="M194" s="23" t="n">
        <v>9.30889964492723</v>
      </c>
      <c r="N194" s="23" t="n">
        <v>9.510923529128567</v>
      </c>
      <c r="O194" s="23" t="n">
        <v>9.416799209122688</v>
      </c>
      <c r="P194" s="23" t="n">
        <v>8.966666574557564</v>
      </c>
      <c r="Q194" s="23" t="n">
        <v>8.523929231648165</v>
      </c>
      <c r="R194" s="23" t="n">
        <v>7.576507287961082</v>
      </c>
      <c r="S194" s="23" t="n">
        <v>7.95202865612872</v>
      </c>
      <c r="T194" s="23" t="n">
        <v>8.424740095126152</v>
      </c>
      <c r="U194" s="23" t="n">
        <v>6.739300146677483</v>
      </c>
      <c r="V194" s="38" t="n">
        <v>8.152533414220565</v>
      </c>
      <c r="W194" s="39" t="n">
        <v>291</v>
      </c>
      <c r="X194" s="24" t="n">
        <v>0.8083333333333333</v>
      </c>
    </row>
    <row r="195" ht="13.9" customHeight="1">
      <c r="A195" s="10" t="n">
        <v>21206020</v>
      </c>
      <c r="B195" s="35" t="inlineStr">
        <is>
          <t>ME</t>
        </is>
      </c>
      <c r="C195" s="35" t="inlineStr">
        <is>
          <t>Santillana</t>
        </is>
      </c>
      <c r="D195" s="35" t="inlineStr">
        <is>
          <t>Tabio</t>
        </is>
      </c>
      <c r="E195" s="21" t="inlineStr">
        <is>
          <t>Cundinamarca</t>
        </is>
      </c>
      <c r="F195" s="35" t="n">
        <v>11</v>
      </c>
      <c r="G195" s="35" t="n">
        <v>2575</v>
      </c>
      <c r="H195" s="36" t="n">
        <v>-74.10483332999999</v>
      </c>
      <c r="I195" s="37" t="n">
        <v>4.89852778</v>
      </c>
      <c r="J195" s="22" t="n">
        <v>5.769024036848703</v>
      </c>
      <c r="K195" s="23" t="n">
        <v>6.588561885113609</v>
      </c>
      <c r="L195" s="23" t="n">
        <v>7.637198097601324</v>
      </c>
      <c r="M195" s="23" t="n">
        <v>8.291558852896781</v>
      </c>
      <c r="N195" s="23" t="n">
        <v>8.513476283171777</v>
      </c>
      <c r="O195" s="23" t="n">
        <v>8.062143161223622</v>
      </c>
      <c r="P195" s="23" t="n">
        <v>7.412527963168952</v>
      </c>
      <c r="Q195" s="23" t="n">
        <v>7.107223600771988</v>
      </c>
      <c r="R195" s="23" t="n">
        <v>6.856751809280545</v>
      </c>
      <c r="S195" s="23" t="n">
        <v>7.215449462365593</v>
      </c>
      <c r="T195" s="23" t="n">
        <v>7.442387627187627</v>
      </c>
      <c r="U195" s="23" t="n">
        <v>6.536211772098869</v>
      </c>
      <c r="V195" s="38" t="n">
        <v>7.286042879310783</v>
      </c>
      <c r="W195" s="39" t="n">
        <v>296</v>
      </c>
      <c r="X195" s="24" t="n">
        <v>0.8222222222222222</v>
      </c>
    </row>
    <row r="196" ht="13.9" customHeight="1">
      <c r="A196" s="10" t="n">
        <v>21205980</v>
      </c>
      <c r="B196" s="35" t="inlineStr">
        <is>
          <t>CO</t>
        </is>
      </c>
      <c r="C196" s="35" t="inlineStr">
        <is>
          <t>Granja Providencia</t>
        </is>
      </c>
      <c r="D196" s="35" t="inlineStr">
        <is>
          <t>Tenjo</t>
        </is>
      </c>
      <c r="E196" s="21" t="inlineStr">
        <is>
          <t>Cundinamarca</t>
        </is>
      </c>
      <c r="F196" s="35" t="n">
        <v>11</v>
      </c>
      <c r="G196" s="35" t="n">
        <v>2560</v>
      </c>
      <c r="H196" s="36" t="n">
        <v>-74.20091667</v>
      </c>
      <c r="I196" s="37" t="n">
        <v>4.79238889</v>
      </c>
      <c r="J196" s="22" t="n">
        <v>5.333612296823143</v>
      </c>
      <c r="K196" s="23" t="n">
        <v>6.353133552271483</v>
      </c>
      <c r="L196" s="23" t="n">
        <v>7.77482898761931</v>
      </c>
      <c r="M196" s="23" t="n">
        <v>8.799597875854714</v>
      </c>
      <c r="N196" s="23" t="n">
        <v>8.93461738691189</v>
      </c>
      <c r="O196" s="23" t="n">
        <v>8.286675457875459</v>
      </c>
      <c r="P196" s="23" t="n">
        <v>7.759812560693542</v>
      </c>
      <c r="Q196" s="23" t="n">
        <v>7.448794059296284</v>
      </c>
      <c r="R196" s="23" t="n">
        <v>6.872157232281294</v>
      </c>
      <c r="S196" s="23" t="n">
        <v>7.54613995464292</v>
      </c>
      <c r="T196" s="23" t="n">
        <v>7.880953249565692</v>
      </c>
      <c r="U196" s="23" t="n">
        <v>6.538140650105055</v>
      </c>
      <c r="V196" s="38" t="n">
        <v>7.460705271995065</v>
      </c>
      <c r="W196" s="39" t="n">
        <v>357</v>
      </c>
      <c r="X196" s="24" t="n">
        <v>0.9916666666666667</v>
      </c>
    </row>
    <row r="197" ht="13.9" customHeight="1">
      <c r="A197" s="10" t="n">
        <v>35025050</v>
      </c>
      <c r="B197" s="35" t="inlineStr">
        <is>
          <t>CO</t>
        </is>
      </c>
      <c r="C197" s="35" t="inlineStr">
        <is>
          <t>Llano Largo</t>
        </is>
      </c>
      <c r="D197" s="35" t="inlineStr">
        <is>
          <t>Ubaque</t>
        </is>
      </c>
      <c r="E197" s="21" t="inlineStr">
        <is>
          <t>Cundinamarca</t>
        </is>
      </c>
      <c r="F197" s="35" t="n">
        <v>11</v>
      </c>
      <c r="G197" s="35" t="n">
        <v>2980</v>
      </c>
      <c r="H197" s="36" t="n">
        <v>-74.03027777999999</v>
      </c>
      <c r="I197" s="37" t="n">
        <v>4.48283333</v>
      </c>
      <c r="J197" s="22" t="n">
        <v>6.233856556546135</v>
      </c>
      <c r="K197" s="23" t="n">
        <v>6.529379383524704</v>
      </c>
      <c r="L197" s="23" t="n">
        <v>7.102953016579268</v>
      </c>
      <c r="M197" s="23" t="n">
        <v>7.605256644164688</v>
      </c>
      <c r="N197" s="23" t="n">
        <v>7.595260344140952</v>
      </c>
      <c r="O197" s="23" t="n">
        <v>7.214123583100593</v>
      </c>
      <c r="P197" s="23" t="n">
        <v>6.805843252930758</v>
      </c>
      <c r="Q197" s="23" t="n">
        <v>6.731483399321227</v>
      </c>
      <c r="R197" s="23" t="n">
        <v>6.67444845179451</v>
      </c>
      <c r="S197" s="23" t="n">
        <v>7.040636582219094</v>
      </c>
      <c r="T197" s="23" t="n">
        <v>7.402646509257687</v>
      </c>
      <c r="U197" s="23" t="n">
        <v>6.879391321044547</v>
      </c>
      <c r="V197" s="38" t="n">
        <v>6.984606587052014</v>
      </c>
      <c r="W197" s="39" t="n">
        <v>348</v>
      </c>
      <c r="X197" s="24" t="n">
        <v>0.9666666666666667</v>
      </c>
    </row>
    <row r="198" ht="13.9" customHeight="1">
      <c r="A198" s="10" t="n">
        <v>23065110</v>
      </c>
      <c r="B198" s="35" t="inlineStr">
        <is>
          <t>CP</t>
        </is>
      </c>
      <c r="C198" s="35" t="inlineStr">
        <is>
          <t>Yacopí - AUT</t>
        </is>
      </c>
      <c r="D198" s="35" t="inlineStr">
        <is>
          <t>Yacopí</t>
        </is>
      </c>
      <c r="E198" s="21" t="inlineStr">
        <is>
          <t>Cundinamarca</t>
        </is>
      </c>
      <c r="F198" s="35" t="n">
        <v>11</v>
      </c>
      <c r="G198" s="35" t="n">
        <v>1347</v>
      </c>
      <c r="H198" s="36" t="n">
        <v>-74.35458333</v>
      </c>
      <c r="I198" s="37" t="n">
        <v>5.48416667</v>
      </c>
      <c r="J198" s="22" t="n">
        <v>17.46306409571363</v>
      </c>
      <c r="K198" s="23" t="n">
        <v>17.73502494906393</v>
      </c>
      <c r="L198" s="23" t="n">
        <v>17.4911768623281</v>
      </c>
      <c r="M198" s="23" t="n">
        <v>17.68059650811087</v>
      </c>
      <c r="N198" s="23" t="n">
        <v>17.76799125608273</v>
      </c>
      <c r="O198" s="23" t="n">
        <v>17.79038332887217</v>
      </c>
      <c r="P198" s="23" t="n">
        <v>17.56307392347881</v>
      </c>
      <c r="Q198" s="23" t="n">
        <v>17.77897759670043</v>
      </c>
      <c r="R198" s="23" t="n">
        <v>17.73408308385489</v>
      </c>
      <c r="S198" s="23" t="n">
        <v>17.55553869614879</v>
      </c>
      <c r="T198" s="23" t="n">
        <v>17.52508035334185</v>
      </c>
      <c r="U198" s="23" t="n">
        <v>17.71332754070797</v>
      </c>
      <c r="V198" s="38" t="n">
        <v>17.64985984953369</v>
      </c>
      <c r="W198" s="39" t="n">
        <v>293</v>
      </c>
      <c r="X198" s="24" t="n">
        <v>0.8138888888888889</v>
      </c>
    </row>
    <row r="199" ht="13.9" customHeight="1">
      <c r="A199" s="10" t="n">
        <v>21205910</v>
      </c>
      <c r="B199" s="35" t="inlineStr">
        <is>
          <t>CP</t>
        </is>
      </c>
      <c r="C199" s="35" t="inlineStr">
        <is>
          <t xml:space="preserve">La Cosecha </t>
        </is>
      </c>
      <c r="D199" s="35" t="inlineStr">
        <is>
          <t>Zipaquirá</t>
        </is>
      </c>
      <c r="E199" s="21" t="inlineStr">
        <is>
          <t>Cundinamarca</t>
        </is>
      </c>
      <c r="F199" s="35" t="n">
        <v>11</v>
      </c>
      <c r="G199" s="35" t="n">
        <v>2600</v>
      </c>
      <c r="H199" s="36" t="n">
        <v>-74.00119443999999</v>
      </c>
      <c r="I199" s="37" t="n">
        <v>4.98922222</v>
      </c>
      <c r="J199" s="22" t="n">
        <v>5.498179469627659</v>
      </c>
      <c r="K199" s="23" t="n">
        <v>6.169484751519232</v>
      </c>
      <c r="L199" s="23" t="n">
        <v>7.569252118265837</v>
      </c>
      <c r="M199" s="23" t="n">
        <v>8.173543149060389</v>
      </c>
      <c r="N199" s="23" t="n">
        <v>8.347011139487645</v>
      </c>
      <c r="O199" s="23" t="n">
        <v>7.90620263942103</v>
      </c>
      <c r="P199" s="23" t="n">
        <v>7.537049420331649</v>
      </c>
      <c r="Q199" s="23" t="n">
        <v>7.392910941610608</v>
      </c>
      <c r="R199" s="23" t="n">
        <v>6.746475579975581</v>
      </c>
      <c r="S199" s="23" t="n">
        <v>7.273273741210734</v>
      </c>
      <c r="T199" s="23" t="n">
        <v>7.562749372440216</v>
      </c>
      <c r="U199" s="23" t="n">
        <v>6.439793155327289</v>
      </c>
      <c r="V199" s="38" t="n">
        <v>7.21799378985649</v>
      </c>
      <c r="W199" s="39" t="n">
        <v>333</v>
      </c>
      <c r="X199" s="24" t="n">
        <v>0.925</v>
      </c>
    </row>
    <row r="200" ht="13.9" customHeight="1">
      <c r="A200" s="10" t="n">
        <v>31095030</v>
      </c>
      <c r="B200" s="35" t="inlineStr">
        <is>
          <t>AM</t>
        </is>
      </c>
      <c r="C200" s="35" t="inlineStr">
        <is>
          <t xml:space="preserve">Puerto Inirida - AUT </t>
        </is>
      </c>
      <c r="D200" s="35" t="inlineStr">
        <is>
          <t>Inírida</t>
        </is>
      </c>
      <c r="E200" s="21" t="inlineStr">
        <is>
          <t>Guainía</t>
        </is>
      </c>
      <c r="F200" s="35" t="n">
        <v>3</v>
      </c>
      <c r="G200" s="35" t="n">
        <v>100</v>
      </c>
      <c r="H200" s="36" t="n">
        <v>-67.91905556</v>
      </c>
      <c r="I200" s="37" t="n">
        <v>3.87441667</v>
      </c>
      <c r="J200" s="22" t="n">
        <v>22.47131883015226</v>
      </c>
      <c r="K200" s="23" t="n">
        <v>22.78312748997906</v>
      </c>
      <c r="L200" s="23" t="n">
        <v>22.96497311827957</v>
      </c>
      <c r="M200" s="23" t="n">
        <v>22.85861083743842</v>
      </c>
      <c r="N200" s="23" t="n">
        <v>22.84968716767104</v>
      </c>
      <c r="O200" s="23" t="n">
        <v>22.5536091954023</v>
      </c>
      <c r="P200" s="23" t="n">
        <v>22.31691537605887</v>
      </c>
      <c r="Q200" s="23" t="n">
        <v>22.55422749086286</v>
      </c>
      <c r="R200" s="23" t="n">
        <v>22.62268199233716</v>
      </c>
      <c r="S200" s="23" t="n">
        <v>22.61560978865407</v>
      </c>
      <c r="T200" s="23" t="n">
        <v>22.86999146141215</v>
      </c>
      <c r="U200" s="23" t="n">
        <v>22.78317082819622</v>
      </c>
      <c r="V200" s="38" t="n">
        <v>22.68699363137034</v>
      </c>
      <c r="W200" s="39" t="n">
        <v>301</v>
      </c>
      <c r="X200" s="24" t="n">
        <v>0.8361111111111111</v>
      </c>
    </row>
    <row r="201" ht="13.9" customHeight="1">
      <c r="A201" s="10" t="n">
        <v>31015010</v>
      </c>
      <c r="B201" s="35" t="inlineStr">
        <is>
          <t>CO</t>
        </is>
      </c>
      <c r="C201" s="35" t="inlineStr">
        <is>
          <t>El Trueno</t>
        </is>
      </c>
      <c r="D201" s="35" t="inlineStr">
        <is>
          <t>El Retorno</t>
        </is>
      </c>
      <c r="E201" s="21" t="inlineStr">
        <is>
          <t>Guaviare</t>
        </is>
      </c>
      <c r="F201" s="35" t="n">
        <v>3</v>
      </c>
      <c r="G201" s="35" t="n">
        <v>150</v>
      </c>
      <c r="H201" s="36" t="n">
        <v>-72.64</v>
      </c>
      <c r="I201" s="37" t="n">
        <v>2.37277778</v>
      </c>
      <c r="J201" s="22" t="n">
        <v>21.05544783472615</v>
      </c>
      <c r="K201" s="23" t="n">
        <v>21.57061924388936</v>
      </c>
      <c r="L201" s="23" t="n">
        <v>21.84430313839772</v>
      </c>
      <c r="M201" s="23" t="n">
        <v>22.05818434362928</v>
      </c>
      <c r="N201" s="23" t="n">
        <v>22.02094330208168</v>
      </c>
      <c r="O201" s="23" t="n">
        <v>21.59603334245576</v>
      </c>
      <c r="P201" s="23" t="n">
        <v>21.12183502419076</v>
      </c>
      <c r="Q201" s="23" t="n">
        <v>21.13704119852942</v>
      </c>
      <c r="R201" s="23" t="n">
        <v>21.37518499513471</v>
      </c>
      <c r="S201" s="23" t="n">
        <v>21.78057176204918</v>
      </c>
      <c r="T201" s="23" t="n">
        <v>21.83361532805026</v>
      </c>
      <c r="U201" s="23" t="n">
        <v>21.59233332029906</v>
      </c>
      <c r="V201" s="38" t="n">
        <v>21.58217606945277</v>
      </c>
      <c r="W201" s="39" t="n">
        <v>292</v>
      </c>
      <c r="X201" s="24" t="n">
        <v>0.8111111111111111</v>
      </c>
    </row>
    <row r="202" ht="13.9" customHeight="1">
      <c r="A202" s="10" t="n">
        <v>32155010</v>
      </c>
      <c r="B202" s="35" t="inlineStr">
        <is>
          <t>CO</t>
        </is>
      </c>
      <c r="C202" s="35" t="inlineStr">
        <is>
          <t>Mapiripana</t>
        </is>
      </c>
      <c r="D202" s="35" t="inlineStr">
        <is>
          <t>San José del Guaviare</t>
        </is>
      </c>
      <c r="E202" s="21" t="inlineStr">
        <is>
          <t>Guaviare</t>
        </is>
      </c>
      <c r="F202" s="35" t="n">
        <v>3</v>
      </c>
      <c r="G202" s="35" t="n">
        <v>140</v>
      </c>
      <c r="H202" s="36" t="n">
        <v>-70.53333332999999</v>
      </c>
      <c r="I202" s="37" t="n">
        <v>2.8</v>
      </c>
      <c r="J202" s="22" t="n">
        <v>22.05794802867384</v>
      </c>
      <c r="K202" s="23" t="n">
        <v>22.32176000886649</v>
      </c>
      <c r="L202" s="23" t="n">
        <v>22.6130535986487</v>
      </c>
      <c r="M202" s="23" t="n">
        <v>22.71890439700785</v>
      </c>
      <c r="N202" s="23" t="n">
        <v>22.5488684958596</v>
      </c>
      <c r="O202" s="23" t="n">
        <v>22.20168279725683</v>
      </c>
      <c r="P202" s="23" t="n">
        <v>21.93480657520702</v>
      </c>
      <c r="Q202" s="23" t="n">
        <v>22.03221583736015</v>
      </c>
      <c r="R202" s="23" t="n">
        <v>22.15150467164079</v>
      </c>
      <c r="S202" s="23" t="n">
        <v>22.24848829854522</v>
      </c>
      <c r="T202" s="23" t="n">
        <v>22.64457849039999</v>
      </c>
      <c r="U202" s="23" t="n">
        <v>22.38151393638107</v>
      </c>
      <c r="V202" s="38" t="n">
        <v>22.32127709465396</v>
      </c>
      <c r="W202" s="39" t="n">
        <v>212</v>
      </c>
      <c r="X202" s="24" t="n">
        <v>0.8833333333333333</v>
      </c>
    </row>
    <row r="203" ht="13.9" customHeight="1">
      <c r="A203" s="10" t="n">
        <v>32105080</v>
      </c>
      <c r="B203" s="35" t="inlineStr">
        <is>
          <t>AM</t>
        </is>
      </c>
      <c r="C203" s="35" t="inlineStr">
        <is>
          <t>San Jose del Guaviare</t>
        </is>
      </c>
      <c r="D203" s="35" t="inlineStr">
        <is>
          <t>San José del Guaviare</t>
        </is>
      </c>
      <c r="E203" s="21" t="inlineStr">
        <is>
          <t>Guaviare</t>
        </is>
      </c>
      <c r="F203" s="35" t="n">
        <v>3</v>
      </c>
      <c r="G203" s="35" t="n">
        <v>165</v>
      </c>
      <c r="H203" s="36" t="n">
        <v>-72.65000000000001</v>
      </c>
      <c r="I203" s="37" t="n">
        <v>2.54999972</v>
      </c>
      <c r="J203" s="22" t="n">
        <v>21.5180896469328</v>
      </c>
      <c r="K203" s="23" t="n">
        <v>21.61293965517241</v>
      </c>
      <c r="L203" s="23" t="n">
        <v>22.20679979518689</v>
      </c>
      <c r="M203" s="23" t="n">
        <v>22.68439814814814</v>
      </c>
      <c r="N203" s="23" t="n">
        <v>22.6436883427206</v>
      </c>
      <c r="O203" s="23" t="n">
        <v>21.99616006811409</v>
      </c>
      <c r="P203" s="23" t="n">
        <v>21.56983067605982</v>
      </c>
      <c r="Q203" s="23" t="n">
        <v>21.49360215053763</v>
      </c>
      <c r="R203" s="23" t="n">
        <v>22.04801724137931</v>
      </c>
      <c r="S203" s="23" t="n">
        <v>22.40726403823178</v>
      </c>
      <c r="T203" s="23" t="n">
        <v>22.43859195402299</v>
      </c>
      <c r="U203" s="23" t="n">
        <v>22.11261731141597</v>
      </c>
      <c r="V203" s="38" t="n">
        <v>22.06099991899354</v>
      </c>
      <c r="W203" s="39" t="n">
        <v>103</v>
      </c>
      <c r="X203" s="24" t="n">
        <v>0.8583333333333333</v>
      </c>
    </row>
    <row r="204" ht="13.9" customHeight="1">
      <c r="A204" s="10" t="n">
        <v>21045010</v>
      </c>
      <c r="B204" s="35" t="inlineStr">
        <is>
          <t>CO</t>
        </is>
      </c>
      <c r="C204" s="35" t="inlineStr">
        <is>
          <t xml:space="preserve">La Betulia </t>
        </is>
      </c>
      <c r="D204" s="35" t="inlineStr">
        <is>
          <t>Agrado</t>
        </is>
      </c>
      <c r="E204" s="21" t="inlineStr">
        <is>
          <t>Huila</t>
        </is>
      </c>
      <c r="F204" s="35" t="n">
        <v>4</v>
      </c>
      <c r="G204" s="35" t="n">
        <v>780</v>
      </c>
      <c r="H204" s="36" t="n">
        <v>-75.70508332999999</v>
      </c>
      <c r="I204" s="37" t="n">
        <v>2.28158333</v>
      </c>
      <c r="J204" s="22" t="n">
        <v>18.99085845871631</v>
      </c>
      <c r="K204" s="23" t="n">
        <v>19.15719193126948</v>
      </c>
      <c r="L204" s="23" t="n">
        <v>19.37204599761051</v>
      </c>
      <c r="M204" s="23" t="n">
        <v>19.36851888341543</v>
      </c>
      <c r="N204" s="23" t="n">
        <v>19.3871286119007</v>
      </c>
      <c r="O204" s="23" t="n">
        <v>18.69738228203055</v>
      </c>
      <c r="P204" s="23" t="n">
        <v>18.09614445045892</v>
      </c>
      <c r="Q204" s="23" t="n">
        <v>18.06220851891728</v>
      </c>
      <c r="R204" s="23" t="n">
        <v>18.3161002782339</v>
      </c>
      <c r="S204" s="23" t="n">
        <v>18.98023337521523</v>
      </c>
      <c r="T204" s="23" t="n">
        <v>19.51178100922066</v>
      </c>
      <c r="U204" s="23" t="n">
        <v>19.37124874198845</v>
      </c>
      <c r="V204" s="38" t="n">
        <v>18.94257021158145</v>
      </c>
      <c r="W204" s="39" t="n">
        <v>221</v>
      </c>
      <c r="X204" s="24" t="n">
        <v>0.9208333333333333</v>
      </c>
    </row>
    <row r="205" ht="13.9" customHeight="1">
      <c r="A205" s="10" t="n">
        <v>21105030</v>
      </c>
      <c r="B205" s="35" t="inlineStr">
        <is>
          <t>CO</t>
        </is>
      </c>
      <c r="C205" s="35" t="inlineStr">
        <is>
          <t>Algeciras</t>
        </is>
      </c>
      <c r="D205" s="35" t="inlineStr">
        <is>
          <t>Algeciras</t>
        </is>
      </c>
      <c r="E205" s="21" t="inlineStr">
        <is>
          <t>Huila</t>
        </is>
      </c>
      <c r="F205" s="35" t="n">
        <v>4</v>
      </c>
      <c r="G205" s="35" t="n">
        <v>1155</v>
      </c>
      <c r="H205" s="36" t="n">
        <v>-75.31999722</v>
      </c>
      <c r="I205" s="37" t="n">
        <v>2.52</v>
      </c>
      <c r="J205" s="22" t="n">
        <v>17.79798283880131</v>
      </c>
      <c r="K205" s="23" t="n">
        <v>17.9640225869632</v>
      </c>
      <c r="L205" s="23" t="n">
        <v>18.33697562701902</v>
      </c>
      <c r="M205" s="23" t="n">
        <v>18.34103683538348</v>
      </c>
      <c r="N205" s="23" t="n">
        <v>18.3988602104762</v>
      </c>
      <c r="O205" s="23" t="n">
        <v>17.75929578197326</v>
      </c>
      <c r="P205" s="23" t="n">
        <v>17.28965211891208</v>
      </c>
      <c r="Q205" s="23" t="n">
        <v>17.32404703223521</v>
      </c>
      <c r="R205" s="23" t="n">
        <v>17.27048209228719</v>
      </c>
      <c r="S205" s="23" t="n">
        <v>17.88569573172828</v>
      </c>
      <c r="T205" s="23" t="n">
        <v>18.40447044334976</v>
      </c>
      <c r="U205" s="23" t="n">
        <v>18.09625277351083</v>
      </c>
      <c r="V205" s="38" t="n">
        <v>17.90573117271999</v>
      </c>
      <c r="W205" s="39" t="n">
        <v>217</v>
      </c>
      <c r="X205" s="24" t="n">
        <v>0.9041666666666667</v>
      </c>
    </row>
    <row r="206" ht="13.9" customHeight="1">
      <c r="A206" s="10" t="n">
        <v>21025030</v>
      </c>
      <c r="B206" s="35" t="inlineStr">
        <is>
          <t>CO</t>
        </is>
      </c>
      <c r="C206" s="35" t="inlineStr">
        <is>
          <t xml:space="preserve">El Grifo Altamira </t>
        </is>
      </c>
      <c r="D206" s="35" t="inlineStr">
        <is>
          <t>Altamira</t>
        </is>
      </c>
      <c r="E206" s="21" t="inlineStr">
        <is>
          <t>Huila</t>
        </is>
      </c>
      <c r="F206" s="35" t="n">
        <v>4</v>
      </c>
      <c r="G206" s="35" t="n">
        <v>1368</v>
      </c>
      <c r="H206" s="36" t="n">
        <v>-75.73622222</v>
      </c>
      <c r="I206" s="37" t="n">
        <v>2.07916667</v>
      </c>
      <c r="J206" s="22" t="n">
        <v>17.51049462365592</v>
      </c>
      <c r="K206" s="23" t="n">
        <v>17.55193770788598</v>
      </c>
      <c r="L206" s="23" t="n">
        <v>17.44352137295408</v>
      </c>
      <c r="M206" s="23" t="n">
        <v>17.17252380952381</v>
      </c>
      <c r="N206" s="23" t="n">
        <v>17.00515717051868</v>
      </c>
      <c r="O206" s="23" t="n">
        <v>16.68392629082284</v>
      </c>
      <c r="P206" s="23" t="n">
        <v>16.31980835849356</v>
      </c>
      <c r="Q206" s="23" t="n">
        <v>16.33975936225436</v>
      </c>
      <c r="R206" s="23" t="n">
        <v>16.85686366047745</v>
      </c>
      <c r="S206" s="23" t="n">
        <v>17.29926947890819</v>
      </c>
      <c r="T206" s="23" t="n">
        <v>17.19053858784893</v>
      </c>
      <c r="U206" s="23" t="n">
        <v>17.25459139784946</v>
      </c>
      <c r="V206" s="38" t="n">
        <v>17.05236598509944</v>
      </c>
      <c r="W206" s="39" t="n">
        <v>119</v>
      </c>
      <c r="X206" s="24" t="n">
        <v>0.9916666666666667</v>
      </c>
    </row>
    <row r="207" ht="13.9" customHeight="1">
      <c r="A207" s="10" t="n">
        <v>21115160</v>
      </c>
      <c r="B207" s="35" t="inlineStr">
        <is>
          <t>AM</t>
        </is>
      </c>
      <c r="C207" s="35" t="inlineStr">
        <is>
          <t>Hacienda Manila - AUT</t>
        </is>
      </c>
      <c r="D207" s="35" t="inlineStr">
        <is>
          <t>Baraya</t>
        </is>
      </c>
      <c r="E207" s="21" t="inlineStr">
        <is>
          <t>Huila</t>
        </is>
      </c>
      <c r="F207" s="35" t="n">
        <v>4</v>
      </c>
      <c r="G207" s="35" t="n">
        <v>600</v>
      </c>
      <c r="H207" s="36" t="n">
        <v>-75.08152778</v>
      </c>
      <c r="I207" s="37" t="n">
        <v>3.13305556</v>
      </c>
      <c r="J207" s="22" t="n">
        <v>21.7920925704686</v>
      </c>
      <c r="K207" s="23" t="n">
        <v>21.85094094341718</v>
      </c>
      <c r="L207" s="23" t="n">
        <v>21.67602548523769</v>
      </c>
      <c r="M207" s="23" t="n">
        <v>21.56112245800177</v>
      </c>
      <c r="N207" s="23" t="n">
        <v>21.53304470811189</v>
      </c>
      <c r="O207" s="23" t="n">
        <v>21.42971607370918</v>
      </c>
      <c r="P207" s="23" t="n">
        <v>21.69564139461247</v>
      </c>
      <c r="Q207" s="23" t="n">
        <v>22.11851035944824</v>
      </c>
      <c r="R207" s="23" t="n">
        <v>22.12197605363984</v>
      </c>
      <c r="S207" s="23" t="n">
        <v>21.85533081870416</v>
      </c>
      <c r="T207" s="23" t="n">
        <v>21.40113953658091</v>
      </c>
      <c r="U207" s="23" t="n">
        <v>21.42389202288257</v>
      </c>
      <c r="V207" s="38" t="n">
        <v>21.70495270206787</v>
      </c>
      <c r="W207" s="39" t="n">
        <v>234</v>
      </c>
      <c r="X207" s="24" t="n">
        <v>0.975</v>
      </c>
    </row>
    <row r="208" ht="13.9" customHeight="1">
      <c r="A208" s="10" t="n">
        <v>21145060</v>
      </c>
      <c r="B208" s="35" t="inlineStr">
        <is>
          <t>CO</t>
        </is>
      </c>
      <c r="C208" s="35" t="inlineStr">
        <is>
          <t>Santo Domingo</t>
        </is>
      </c>
      <c r="D208" s="35" t="inlineStr">
        <is>
          <t>Baraya</t>
        </is>
      </c>
      <c r="E208" s="21" t="inlineStr">
        <is>
          <t>Huila</t>
        </is>
      </c>
      <c r="F208" s="35" t="n">
        <v>4</v>
      </c>
      <c r="G208" s="35" t="n">
        <v>1275</v>
      </c>
      <c r="H208" s="36" t="n">
        <v>-74.94344443999999</v>
      </c>
      <c r="I208" s="37" t="n">
        <v>3.23072222</v>
      </c>
      <c r="J208" s="22" t="n">
        <v>19.25012548068151</v>
      </c>
      <c r="K208" s="23" t="n">
        <v>19.46511081511082</v>
      </c>
      <c r="L208" s="23" t="n">
        <v>19.37949316038985</v>
      </c>
      <c r="M208" s="23" t="n">
        <v>19.10648257617223</v>
      </c>
      <c r="N208" s="23" t="n">
        <v>19.02987897664071</v>
      </c>
      <c r="O208" s="23" t="n">
        <v>18.85436900200693</v>
      </c>
      <c r="P208" s="23" t="n">
        <v>18.98695196701017</v>
      </c>
      <c r="Q208" s="23" t="n">
        <v>19.09181870508678</v>
      </c>
      <c r="R208" s="23" t="n">
        <v>19.20442533788051</v>
      </c>
      <c r="S208" s="23" t="n">
        <v>19.10168472257378</v>
      </c>
      <c r="T208" s="23" t="n">
        <v>18.88931435869367</v>
      </c>
      <c r="U208" s="23" t="n">
        <v>19.03783414234181</v>
      </c>
      <c r="V208" s="38" t="n">
        <v>19.11645743704907</v>
      </c>
      <c r="W208" s="39" t="n">
        <v>112</v>
      </c>
      <c r="X208" s="24" t="n">
        <v>0.9333333333333333</v>
      </c>
    </row>
    <row r="209" ht="13.9" customHeight="1">
      <c r="A209" s="10" t="n">
        <v>21105040</v>
      </c>
      <c r="B209" s="35" t="inlineStr">
        <is>
          <t>CO</t>
        </is>
      </c>
      <c r="C209" s="35" t="inlineStr">
        <is>
          <t>Hacienda Potosí</t>
        </is>
      </c>
      <c r="D209" s="35" t="inlineStr">
        <is>
          <t>Campoalegre</t>
        </is>
      </c>
      <c r="E209" s="21" t="inlineStr">
        <is>
          <t>Huila</t>
        </is>
      </c>
      <c r="F209" s="35" t="n">
        <v>4</v>
      </c>
      <c r="G209" s="35" t="n">
        <v>680</v>
      </c>
      <c r="H209" s="36" t="n">
        <v>-75.29888889</v>
      </c>
      <c r="I209" s="37" t="n">
        <v>2.69680556</v>
      </c>
      <c r="J209" s="22" t="n">
        <v>21.29645301805062</v>
      </c>
      <c r="K209" s="23" t="n">
        <v>21.29722344322344</v>
      </c>
      <c r="L209" s="23" t="n">
        <v>21.12321995633008</v>
      </c>
      <c r="M209" s="23" t="n">
        <v>21.06142857142857</v>
      </c>
      <c r="N209" s="23" t="n">
        <v>21.09644942732463</v>
      </c>
      <c r="O209" s="23" t="n">
        <v>20.78623243933588</v>
      </c>
      <c r="P209" s="23" t="n">
        <v>20.52854167023188</v>
      </c>
      <c r="Q209" s="23" t="n">
        <v>20.93499658056276</v>
      </c>
      <c r="R209" s="23" t="n">
        <v>21.46372255671106</v>
      </c>
      <c r="S209" s="23" t="n">
        <v>21.53427498644715</v>
      </c>
      <c r="T209" s="23" t="n">
        <v>21.27772270114943</v>
      </c>
      <c r="U209" s="23" t="n">
        <v>21.22395393029292</v>
      </c>
      <c r="V209" s="38" t="n">
        <v>21.13535160675737</v>
      </c>
      <c r="W209" s="39" t="n">
        <v>108</v>
      </c>
      <c r="X209" s="24" t="n">
        <v>0.9</v>
      </c>
    </row>
    <row r="210" ht="13.9" customHeight="1">
      <c r="A210" s="10" t="n">
        <v>21105050</v>
      </c>
      <c r="B210" s="35" t="inlineStr">
        <is>
          <t>CP</t>
        </is>
      </c>
      <c r="C210" s="35" t="inlineStr">
        <is>
          <t xml:space="preserve">Los Rosales </t>
        </is>
      </c>
      <c r="D210" s="35" t="inlineStr">
        <is>
          <t>Campoalegre</t>
        </is>
      </c>
      <c r="E210" s="21" t="inlineStr">
        <is>
          <t>Huila</t>
        </is>
      </c>
      <c r="F210" s="35" t="n">
        <v>4</v>
      </c>
      <c r="G210" s="35" t="n">
        <v>553</v>
      </c>
      <c r="H210" s="36" t="n">
        <v>-75.41833333</v>
      </c>
      <c r="I210" s="37" t="n">
        <v>2.60305556</v>
      </c>
      <c r="J210" s="22" t="n">
        <v>21.16979815777863</v>
      </c>
      <c r="K210" s="23" t="n">
        <v>21.4177249729836</v>
      </c>
      <c r="L210" s="23" t="n">
        <v>21.22200868008607</v>
      </c>
      <c r="M210" s="23" t="n">
        <v>21.16838736263736</v>
      </c>
      <c r="N210" s="23" t="n">
        <v>21.24922992478415</v>
      </c>
      <c r="O210" s="23" t="n">
        <v>21.21051427308324</v>
      </c>
      <c r="P210" s="23" t="n">
        <v>21.33312719419171</v>
      </c>
      <c r="Q210" s="23" t="n">
        <v>21.90071412680756</v>
      </c>
      <c r="R210" s="23" t="n">
        <v>21.85567733990148</v>
      </c>
      <c r="S210" s="23" t="n">
        <v>21.63106592433233</v>
      </c>
      <c r="T210" s="23" t="n">
        <v>21.17718144499178</v>
      </c>
      <c r="U210" s="23" t="n">
        <v>20.86483385669616</v>
      </c>
      <c r="V210" s="38" t="n">
        <v>21.35002193818951</v>
      </c>
      <c r="W210" s="39" t="n">
        <v>236</v>
      </c>
      <c r="X210" s="24" t="n">
        <v>0.9833333333333333</v>
      </c>
    </row>
    <row r="211" ht="13.9" customHeight="1">
      <c r="A211" s="10" t="n">
        <v>21145070</v>
      </c>
      <c r="B211" s="35" t="inlineStr">
        <is>
          <t>CO</t>
        </is>
      </c>
      <c r="C211" s="35" t="inlineStr">
        <is>
          <t>La Legiosa</t>
        </is>
      </c>
      <c r="D211" s="35" t="inlineStr">
        <is>
          <t>Colombia</t>
        </is>
      </c>
      <c r="E211" s="21" t="inlineStr">
        <is>
          <t>Huila</t>
        </is>
      </c>
      <c r="F211" s="35" t="n">
        <v>4</v>
      </c>
      <c r="G211" s="35" t="n">
        <v>1476</v>
      </c>
      <c r="H211" s="36" t="n">
        <v>-74.70288889</v>
      </c>
      <c r="I211" s="37" t="n">
        <v>3.31102778</v>
      </c>
      <c r="J211" s="22" t="n">
        <v>16.63606803450061</v>
      </c>
      <c r="K211" s="23" t="n">
        <v>16.95386995225932</v>
      </c>
      <c r="L211" s="23" t="n">
        <v>17.03387935683498</v>
      </c>
      <c r="M211" s="23" t="n">
        <v>16.85293963617745</v>
      </c>
      <c r="N211" s="23" t="n">
        <v>16.61154101387428</v>
      </c>
      <c r="O211" s="23" t="n">
        <v>16.09388122902326</v>
      </c>
      <c r="P211" s="23" t="n">
        <v>15.65684489649273</v>
      </c>
      <c r="Q211" s="23" t="n">
        <v>15.86804656274154</v>
      </c>
      <c r="R211" s="23" t="n">
        <v>16.210766042423</v>
      </c>
      <c r="S211" s="23" t="n">
        <v>16.48749625296084</v>
      </c>
      <c r="T211" s="23" t="n">
        <v>16.63760881803027</v>
      </c>
      <c r="U211" s="23" t="n">
        <v>16.51213317370573</v>
      </c>
      <c r="V211" s="38" t="n">
        <v>16.46292291408534</v>
      </c>
      <c r="W211" s="39" t="n">
        <v>322</v>
      </c>
      <c r="X211" s="24" t="n">
        <v>0.8944444444444445</v>
      </c>
    </row>
    <row r="212" ht="13.9" customHeight="1">
      <c r="A212" s="10" t="n">
        <v>21145080</v>
      </c>
      <c r="B212" s="35" t="inlineStr">
        <is>
          <t>CO</t>
        </is>
      </c>
      <c r="C212" s="35" t="inlineStr">
        <is>
          <t>Santa Ana</t>
        </is>
      </c>
      <c r="D212" s="35" t="inlineStr">
        <is>
          <t>Colombia</t>
        </is>
      </c>
      <c r="E212" s="21" t="inlineStr">
        <is>
          <t>Huila</t>
        </is>
      </c>
      <c r="F212" s="35" t="n">
        <v>4</v>
      </c>
      <c r="G212" s="35" t="n">
        <v>1410</v>
      </c>
      <c r="H212" s="36" t="n">
        <v>-74.70294444</v>
      </c>
      <c r="I212" s="37" t="n">
        <v>3.58977778</v>
      </c>
      <c r="J212" s="22" t="n">
        <v>15.75241550677471</v>
      </c>
      <c r="K212" s="23" t="n">
        <v>16.02267053429837</v>
      </c>
      <c r="L212" s="23" t="n">
        <v>16.51035895848177</v>
      </c>
      <c r="M212" s="23" t="n">
        <v>16.48175572388954</v>
      </c>
      <c r="N212" s="23" t="n">
        <v>16.39376139158597</v>
      </c>
      <c r="O212" s="23" t="n">
        <v>15.59827051290518</v>
      </c>
      <c r="P212" s="23" t="n">
        <v>15.20904351496088</v>
      </c>
      <c r="Q212" s="23" t="n">
        <v>15.28784620132488</v>
      </c>
      <c r="R212" s="23" t="n">
        <v>15.67780219897565</v>
      </c>
      <c r="S212" s="23" t="n">
        <v>16.09453049582972</v>
      </c>
      <c r="T212" s="23" t="n">
        <v>16.34647006582179</v>
      </c>
      <c r="U212" s="23" t="n">
        <v>15.89698964082266</v>
      </c>
      <c r="V212" s="38" t="n">
        <v>15.93932622880592</v>
      </c>
      <c r="W212" s="39" t="n">
        <v>302</v>
      </c>
      <c r="X212" s="24" t="n">
        <v>0.8388888888888889</v>
      </c>
    </row>
    <row r="213" ht="13.9" customHeight="1">
      <c r="A213" s="10" t="n">
        <v>21065040</v>
      </c>
      <c r="B213" s="35" t="inlineStr">
        <is>
          <t>CO</t>
        </is>
      </c>
      <c r="C213" s="35" t="inlineStr">
        <is>
          <t>Zuluaga</t>
        </is>
      </c>
      <c r="D213" s="35" t="inlineStr">
        <is>
          <t>Garzón</t>
        </is>
      </c>
      <c r="E213" s="21" t="inlineStr">
        <is>
          <t>Huila</t>
        </is>
      </c>
      <c r="F213" s="35" t="n">
        <v>4</v>
      </c>
      <c r="G213" s="35" t="n">
        <v>1270</v>
      </c>
      <c r="H213" s="36" t="n">
        <v>-75.52944443999999</v>
      </c>
      <c r="I213" s="37" t="n">
        <v>2.2525</v>
      </c>
      <c r="J213" s="22" t="n">
        <v>16.11964507630724</v>
      </c>
      <c r="K213" s="23" t="n">
        <v>16.38520916665983</v>
      </c>
      <c r="L213" s="23" t="n">
        <v>16.64781768886848</v>
      </c>
      <c r="M213" s="23" t="n">
        <v>16.68439942229853</v>
      </c>
      <c r="N213" s="23" t="n">
        <v>16.74178038524308</v>
      </c>
      <c r="O213" s="23" t="n">
        <v>16.18845211375715</v>
      </c>
      <c r="P213" s="23" t="n">
        <v>15.64745715221115</v>
      </c>
      <c r="Q213" s="23" t="n">
        <v>15.41879456499776</v>
      </c>
      <c r="R213" s="23" t="n">
        <v>15.41515998624619</v>
      </c>
      <c r="S213" s="23" t="n">
        <v>16.08337630283801</v>
      </c>
      <c r="T213" s="23" t="n">
        <v>16.56173570235639</v>
      </c>
      <c r="U213" s="23" t="n">
        <v>16.28579159558064</v>
      </c>
      <c r="V213" s="38" t="n">
        <v>16.18163492978037</v>
      </c>
      <c r="W213" s="39" t="n">
        <v>326</v>
      </c>
      <c r="X213" s="24" t="n">
        <v>0.9055555555555556</v>
      </c>
    </row>
    <row r="214" ht="13.9" customHeight="1">
      <c r="A214" s="10" t="n">
        <v>21035020</v>
      </c>
      <c r="B214" s="35" t="inlineStr">
        <is>
          <t>CO</t>
        </is>
      </c>
      <c r="C214" s="35" t="inlineStr">
        <is>
          <t>Resina</t>
        </is>
      </c>
      <c r="D214" s="35" t="inlineStr">
        <is>
          <t xml:space="preserve">Guadalupe </t>
        </is>
      </c>
      <c r="E214" s="21" t="inlineStr">
        <is>
          <t>Huila</t>
        </is>
      </c>
      <c r="F214" s="35" t="n">
        <v>4</v>
      </c>
      <c r="G214" s="35" t="n">
        <v>2102</v>
      </c>
      <c r="H214" s="36" t="n">
        <v>-75.679</v>
      </c>
      <c r="I214" s="37" t="n">
        <v>1.91388889</v>
      </c>
      <c r="J214" s="22" t="n">
        <v>13.69655172413793</v>
      </c>
      <c r="K214" s="23" t="n">
        <v>13.80769230769231</v>
      </c>
      <c r="L214" s="23" t="n">
        <v>14.12903225806451</v>
      </c>
      <c r="M214" s="23" t="n">
        <v>13.84</v>
      </c>
      <c r="N214" s="23" t="n">
        <v>14.01935483870967</v>
      </c>
      <c r="O214" s="23" t="n">
        <v>13.70666666666667</v>
      </c>
      <c r="P214" s="23" t="n">
        <v>12.55862068965517</v>
      </c>
      <c r="Q214" s="23" t="n">
        <v>12.12413793103448</v>
      </c>
      <c r="R214" s="23" t="n">
        <v>12.98461538461538</v>
      </c>
      <c r="S214" s="23" t="n">
        <v>12.66451612903226</v>
      </c>
      <c r="T214" s="23" t="n">
        <v>13.58666666666667</v>
      </c>
      <c r="U214" s="23" t="n">
        <v>13.9741935483871</v>
      </c>
      <c r="V214" s="38" t="n">
        <v>13.42433734538851</v>
      </c>
      <c r="W214" s="39" t="n">
        <v>116</v>
      </c>
      <c r="X214" s="24" t="n">
        <v>0.9666666666666667</v>
      </c>
    </row>
    <row r="215" ht="13.9" customHeight="1">
      <c r="A215" s="10" t="n">
        <v>21085020</v>
      </c>
      <c r="B215" s="35" t="inlineStr">
        <is>
          <t>CO</t>
        </is>
      </c>
      <c r="C215" s="35" t="inlineStr">
        <is>
          <t>Íquira</t>
        </is>
      </c>
      <c r="D215" s="35" t="inlineStr">
        <is>
          <t>Íquira</t>
        </is>
      </c>
      <c r="E215" s="21" t="inlineStr">
        <is>
          <t>Huila</t>
        </is>
      </c>
      <c r="F215" s="35" t="n">
        <v>4</v>
      </c>
      <c r="G215" s="35" t="n">
        <v>1095</v>
      </c>
      <c r="H215" s="36" t="n">
        <v>-75.62925</v>
      </c>
      <c r="I215" s="37" t="n">
        <v>2.65219444</v>
      </c>
      <c r="J215" s="22" t="n">
        <v>19.35018003543031</v>
      </c>
      <c r="K215" s="23" t="n">
        <v>19.34677412880861</v>
      </c>
      <c r="L215" s="23" t="n">
        <v>19.29262519201229</v>
      </c>
      <c r="M215" s="23" t="n">
        <v>19.42122344322344</v>
      </c>
      <c r="N215" s="23" t="n">
        <v>19.57597015202077</v>
      </c>
      <c r="O215" s="23" t="n">
        <v>19.24066755083997</v>
      </c>
      <c r="P215" s="23" t="n">
        <v>18.99789081885856</v>
      </c>
      <c r="Q215" s="23" t="n">
        <v>19.12875571917062</v>
      </c>
      <c r="R215" s="23" t="n">
        <v>19.41226692209451</v>
      </c>
      <c r="S215" s="23" t="n">
        <v>19.16974910394266</v>
      </c>
      <c r="T215" s="23" t="n">
        <v>19.1855938697318</v>
      </c>
      <c r="U215" s="23" t="n">
        <v>19.29707947101717</v>
      </c>
      <c r="V215" s="38" t="n">
        <v>19.28489803392923</v>
      </c>
      <c r="W215" s="39" t="n">
        <v>116</v>
      </c>
      <c r="X215" s="24" t="n">
        <v>0.9666666666666667</v>
      </c>
    </row>
    <row r="216" ht="13.9" customHeight="1">
      <c r="A216" s="10" t="n">
        <v>21085040</v>
      </c>
      <c r="B216" s="35" t="inlineStr">
        <is>
          <t>CO</t>
        </is>
      </c>
      <c r="C216" s="35" t="inlineStr">
        <is>
          <t>Terpeya Colombia</t>
        </is>
      </c>
      <c r="D216" s="35" t="inlineStr">
        <is>
          <t>Íquira</t>
        </is>
      </c>
      <c r="E216" s="21" t="inlineStr">
        <is>
          <t>Huila</t>
        </is>
      </c>
      <c r="F216" s="35" t="n">
        <v>4</v>
      </c>
      <c r="G216" s="35" t="n">
        <v>1650</v>
      </c>
      <c r="H216" s="36" t="n">
        <v>-75.66555556</v>
      </c>
      <c r="I216" s="37" t="n">
        <v>2.66280556</v>
      </c>
      <c r="J216" s="22" t="n">
        <v>15.48116402116402</v>
      </c>
      <c r="K216" s="23" t="n">
        <v>15.7165219749032</v>
      </c>
      <c r="L216" s="23" t="n">
        <v>15.8904546754417</v>
      </c>
      <c r="M216" s="23" t="n">
        <v>16.06297344820938</v>
      </c>
      <c r="N216" s="23" t="n">
        <v>16.05678649069838</v>
      </c>
      <c r="O216" s="23" t="n">
        <v>15.65807516876483</v>
      </c>
      <c r="P216" s="23" t="n">
        <v>15.34829831702556</v>
      </c>
      <c r="Q216" s="23" t="n">
        <v>15.44007898376518</v>
      </c>
      <c r="R216" s="23" t="n">
        <v>15.39287977523754</v>
      </c>
      <c r="S216" s="23" t="n">
        <v>15.5405196555844</v>
      </c>
      <c r="T216" s="23" t="n">
        <v>15.6535302955665</v>
      </c>
      <c r="U216" s="23" t="n">
        <v>15.68846900450925</v>
      </c>
      <c r="V216" s="38" t="n">
        <v>15.66081265090583</v>
      </c>
      <c r="W216" s="39" t="n">
        <v>227</v>
      </c>
      <c r="X216" s="24" t="n">
        <v>0.9458333333333333</v>
      </c>
    </row>
    <row r="217" ht="13.9" customHeight="1">
      <c r="A217" s="10" t="n">
        <v>21055020</v>
      </c>
      <c r="B217" s="35" t="inlineStr">
        <is>
          <t>CP</t>
        </is>
      </c>
      <c r="C217" s="35" t="inlineStr">
        <is>
          <t>Escuela Agricola La Plata</t>
        </is>
      </c>
      <c r="D217" s="35" t="inlineStr">
        <is>
          <t>La Plata</t>
        </is>
      </c>
      <c r="E217" s="21" t="inlineStr">
        <is>
          <t>Huila</t>
        </is>
      </c>
      <c r="F217" s="35" t="n">
        <v>4</v>
      </c>
      <c r="G217" s="35" t="n">
        <v>1070</v>
      </c>
      <c r="H217" s="36" t="n">
        <v>-75.89</v>
      </c>
      <c r="I217" s="37" t="n">
        <v>2.38</v>
      </c>
      <c r="J217" s="22" t="n">
        <v>17.81004407805927</v>
      </c>
      <c r="K217" s="23" t="n">
        <v>18.15566560982996</v>
      </c>
      <c r="L217" s="23" t="n">
        <v>18.38564288174675</v>
      </c>
      <c r="M217" s="23" t="n">
        <v>18.39740697233801</v>
      </c>
      <c r="N217" s="23" t="n">
        <v>18.23198733924067</v>
      </c>
      <c r="O217" s="23" t="n">
        <v>17.62423800779239</v>
      </c>
      <c r="P217" s="23" t="n">
        <v>17.11150983676749</v>
      </c>
      <c r="Q217" s="23" t="n">
        <v>16.80868688776791</v>
      </c>
      <c r="R217" s="23" t="n">
        <v>17.01557960896796</v>
      </c>
      <c r="S217" s="23" t="n">
        <v>17.78219168151196</v>
      </c>
      <c r="T217" s="23" t="n">
        <v>18.43509983737351</v>
      </c>
      <c r="U217" s="23" t="n">
        <v>17.98800889921104</v>
      </c>
      <c r="V217" s="38" t="n">
        <v>17.81217180338391</v>
      </c>
      <c r="W217" s="39" t="n">
        <v>300</v>
      </c>
      <c r="X217" s="24" t="n">
        <v>0.8333333333333334</v>
      </c>
    </row>
    <row r="218" ht="13.9" customHeight="1">
      <c r="A218" s="10" t="n">
        <v>21115020</v>
      </c>
      <c r="B218" s="35" t="inlineStr">
        <is>
          <t>SS</t>
        </is>
      </c>
      <c r="C218" s="35" t="inlineStr">
        <is>
          <t>Aeropuerto Benito Salas</t>
        </is>
      </c>
      <c r="D218" s="35" t="inlineStr">
        <is>
          <t>Neiva</t>
        </is>
      </c>
      <c r="E218" s="21" t="inlineStr">
        <is>
          <t>Huila</t>
        </is>
      </c>
      <c r="F218" s="35" t="n">
        <v>4</v>
      </c>
      <c r="G218" s="35" t="n">
        <v>439</v>
      </c>
      <c r="H218" s="36" t="n">
        <v>-75.29305556000001</v>
      </c>
      <c r="I218" s="37" t="n">
        <v>2.94875</v>
      </c>
      <c r="J218" s="22" t="n">
        <v>22.56788654060066</v>
      </c>
      <c r="K218" s="23" t="n">
        <v>22.77873350361856</v>
      </c>
      <c r="L218" s="23" t="n">
        <v>22.67923655913978</v>
      </c>
      <c r="M218" s="23" t="n">
        <v>22.6225938697318</v>
      </c>
      <c r="N218" s="23" t="n">
        <v>22.71524731182796</v>
      </c>
      <c r="O218" s="23" t="n">
        <v>22.64070114942529</v>
      </c>
      <c r="P218" s="23" t="n">
        <v>22.75569892473118</v>
      </c>
      <c r="Q218" s="23" t="n">
        <v>23.29880286738351</v>
      </c>
      <c r="R218" s="23" t="n">
        <v>23.15507662835249</v>
      </c>
      <c r="S218" s="23" t="n">
        <v>22.82391397849462</v>
      </c>
      <c r="T218" s="23" t="n">
        <v>22.47599999999999</v>
      </c>
      <c r="U218" s="23" t="n">
        <v>22.43483870967742</v>
      </c>
      <c r="V218" s="38" t="n">
        <v>22.74572750358194</v>
      </c>
      <c r="W218" s="39" t="n">
        <v>359</v>
      </c>
      <c r="X218" s="24" t="n">
        <v>0.9972222222222222</v>
      </c>
    </row>
    <row r="219" ht="13.9" customHeight="1">
      <c r="A219" s="10" t="n">
        <v>21135050</v>
      </c>
      <c r="B219" s="35" t="inlineStr">
        <is>
          <t>CO</t>
        </is>
      </c>
      <c r="C219" s="35" t="inlineStr">
        <is>
          <t>La Julia</t>
        </is>
      </c>
      <c r="D219" s="35" t="inlineStr">
        <is>
          <t>Neiva</t>
        </is>
      </c>
      <c r="E219" s="21" t="inlineStr">
        <is>
          <t>Huila</t>
        </is>
      </c>
      <c r="F219" s="35" t="n">
        <v>4</v>
      </c>
      <c r="G219" s="35" t="n">
        <v>1691</v>
      </c>
      <c r="H219" s="36" t="n">
        <v>-75.53002778</v>
      </c>
      <c r="I219" s="37" t="n">
        <v>3.09877778</v>
      </c>
      <c r="J219" s="22" t="n">
        <v>15.32653111673067</v>
      </c>
      <c r="K219" s="23" t="n">
        <v>15.39269124445819</v>
      </c>
      <c r="L219" s="23" t="n">
        <v>15.48712335868394</v>
      </c>
      <c r="M219" s="23" t="n">
        <v>15.44022016616844</v>
      </c>
      <c r="N219" s="23" t="n">
        <v>15.48067865855563</v>
      </c>
      <c r="O219" s="23" t="n">
        <v>15.38234876326009</v>
      </c>
      <c r="P219" s="23" t="n">
        <v>15.19262583663124</v>
      </c>
      <c r="Q219" s="23" t="n">
        <v>15.39370325705676</v>
      </c>
      <c r="R219" s="23" t="n">
        <v>15.45091797980176</v>
      </c>
      <c r="S219" s="23" t="n">
        <v>15.22795494427352</v>
      </c>
      <c r="T219" s="23" t="n">
        <v>15.16973172575432</v>
      </c>
      <c r="U219" s="23" t="n">
        <v>15.13922086026162</v>
      </c>
      <c r="V219" s="38" t="n">
        <v>15.34031232596968</v>
      </c>
      <c r="W219" s="39" t="n">
        <v>332</v>
      </c>
      <c r="X219" s="24" t="n">
        <v>0.9222222222222223</v>
      </c>
    </row>
    <row r="220" ht="13.9" customHeight="1">
      <c r="A220" s="10" t="n">
        <v>21115100</v>
      </c>
      <c r="B220" s="35" t="inlineStr">
        <is>
          <t>CO</t>
        </is>
      </c>
      <c r="C220" s="35" t="inlineStr">
        <is>
          <t>Palacio-Vegalarga</t>
        </is>
      </c>
      <c r="D220" s="35" t="inlineStr">
        <is>
          <t>Neiva</t>
        </is>
      </c>
      <c r="E220" s="21" t="inlineStr">
        <is>
          <t>Huila</t>
        </is>
      </c>
      <c r="F220" s="35" t="n">
        <v>4</v>
      </c>
      <c r="G220" s="35" t="n">
        <v>1100</v>
      </c>
      <c r="H220" s="36" t="n">
        <v>-75.06638889</v>
      </c>
      <c r="I220" s="37" t="n">
        <v>2.94263889</v>
      </c>
      <c r="J220" s="22" t="n">
        <v>18.49394213055557</v>
      </c>
      <c r="K220" s="23" t="n">
        <v>18.73684363387429</v>
      </c>
      <c r="L220" s="23" t="n">
        <v>18.61799386291744</v>
      </c>
      <c r="M220" s="23" t="n">
        <v>18.50894434305811</v>
      </c>
      <c r="N220" s="23" t="n">
        <v>18.57752146737236</v>
      </c>
      <c r="O220" s="23" t="n">
        <v>18.26876934661598</v>
      </c>
      <c r="P220" s="23" t="n">
        <v>18.21514905534578</v>
      </c>
      <c r="Q220" s="23" t="n">
        <v>18.47633867500863</v>
      </c>
      <c r="R220" s="23" t="n">
        <v>18.65631028302746</v>
      </c>
      <c r="S220" s="23" t="n">
        <v>18.47389913164623</v>
      </c>
      <c r="T220" s="23" t="n">
        <v>18.34342418117356</v>
      </c>
      <c r="U220" s="23" t="n">
        <v>18.40182584249111</v>
      </c>
      <c r="V220" s="38" t="n">
        <v>18.48091349609055</v>
      </c>
      <c r="W220" s="39" t="n">
        <v>327</v>
      </c>
      <c r="X220" s="24" t="n">
        <v>0.9083333333333333</v>
      </c>
    </row>
    <row r="221" ht="13.9" customHeight="1">
      <c r="A221" s="10" t="n">
        <v>21125020</v>
      </c>
      <c r="B221" s="35" t="inlineStr">
        <is>
          <t>CO</t>
        </is>
      </c>
      <c r="C221" s="35" t="inlineStr">
        <is>
          <t>Palermo</t>
        </is>
      </c>
      <c r="D221" s="35" t="inlineStr">
        <is>
          <t>Palermo</t>
        </is>
      </c>
      <c r="E221" s="21" t="inlineStr">
        <is>
          <t>Huila</t>
        </is>
      </c>
      <c r="F221" s="35" t="n">
        <v>4</v>
      </c>
      <c r="G221" s="35" t="n">
        <v>550</v>
      </c>
      <c r="H221" s="36" t="n">
        <v>-75.44333332999999</v>
      </c>
      <c r="I221" s="37" t="n">
        <v>2.9075</v>
      </c>
      <c r="J221" s="22" t="n">
        <v>20.93947596094426</v>
      </c>
      <c r="K221" s="23" t="n">
        <v>21.33294703380911</v>
      </c>
      <c r="L221" s="23" t="n">
        <v>21.23954121863799</v>
      </c>
      <c r="M221" s="23" t="n">
        <v>21.33822952016056</v>
      </c>
      <c r="N221" s="23" t="n">
        <v>21.4589605734767</v>
      </c>
      <c r="O221" s="23" t="n">
        <v>20.98146749376635</v>
      </c>
      <c r="P221" s="23" t="n">
        <v>20.9616009557945</v>
      </c>
      <c r="Q221" s="23" t="n">
        <v>21.5063287250384</v>
      </c>
      <c r="R221" s="23" t="n">
        <v>21.42686874657909</v>
      </c>
      <c r="S221" s="23" t="n">
        <v>21.25693425119949</v>
      </c>
      <c r="T221" s="23" t="n">
        <v>21.16534359956773</v>
      </c>
      <c r="U221" s="23" t="n">
        <v>21.11739631336405</v>
      </c>
      <c r="V221" s="38" t="n">
        <v>21.22709119936152</v>
      </c>
      <c r="W221" s="39" t="n">
        <v>107</v>
      </c>
      <c r="X221" s="24" t="n">
        <v>0.8916666666666667</v>
      </c>
    </row>
    <row r="222" ht="13.9" customHeight="1">
      <c r="A222" s="10" t="n">
        <v>21015020</v>
      </c>
      <c r="B222" s="35" t="inlineStr">
        <is>
          <t>CO</t>
        </is>
      </c>
      <c r="C222" s="35" t="inlineStr">
        <is>
          <t>Sevilla</t>
        </is>
      </c>
      <c r="D222" s="35" t="inlineStr">
        <is>
          <t>Pitalito</t>
        </is>
      </c>
      <c r="E222" s="21" t="inlineStr">
        <is>
          <t>Huila</t>
        </is>
      </c>
      <c r="F222" s="35" t="n">
        <v>4</v>
      </c>
      <c r="G222" s="35" t="n">
        <v>1320</v>
      </c>
      <c r="H222" s="36" t="n">
        <v>-76.13027778</v>
      </c>
      <c r="I222" s="37" t="n">
        <v>1.82483333</v>
      </c>
      <c r="J222" s="22" t="n">
        <v>15.73509919013339</v>
      </c>
      <c r="K222" s="23" t="n">
        <v>16.06561159478145</v>
      </c>
      <c r="L222" s="23" t="n">
        <v>16.25745625365036</v>
      </c>
      <c r="M222" s="23" t="n">
        <v>16.33150798546226</v>
      </c>
      <c r="N222" s="23" t="n">
        <v>16.31679782025808</v>
      </c>
      <c r="O222" s="23" t="n">
        <v>15.80635838848253</v>
      </c>
      <c r="P222" s="23" t="n">
        <v>15.35831685128821</v>
      </c>
      <c r="Q222" s="23" t="n">
        <v>14.90718038393438</v>
      </c>
      <c r="R222" s="23" t="n">
        <v>15.00416578832927</v>
      </c>
      <c r="S222" s="23" t="n">
        <v>15.70537419570135</v>
      </c>
      <c r="T222" s="23" t="n">
        <v>16.27854734568323</v>
      </c>
      <c r="U222" s="23" t="n">
        <v>16.0487809205996</v>
      </c>
      <c r="V222" s="38" t="n">
        <v>15.81793305985867</v>
      </c>
      <c r="W222" s="39" t="n">
        <v>317</v>
      </c>
      <c r="X222" s="24" t="n">
        <v>0.8805555555555555</v>
      </c>
    </row>
    <row r="223" ht="13.9" customHeight="1">
      <c r="A223" s="10" t="n">
        <v>21015030</v>
      </c>
      <c r="B223" s="35" t="inlineStr">
        <is>
          <t>PM</t>
        </is>
      </c>
      <c r="C223" s="35" t="inlineStr">
        <is>
          <t>Parque Arqueológico</t>
        </is>
      </c>
      <c r="D223" s="35" t="inlineStr">
        <is>
          <t>San Agustín</t>
        </is>
      </c>
      <c r="E223" s="21" t="inlineStr">
        <is>
          <t>Huila</t>
        </is>
      </c>
      <c r="F223" s="35" t="n">
        <v>4</v>
      </c>
      <c r="G223" s="35" t="n">
        <v>1800</v>
      </c>
      <c r="H223" s="36" t="n">
        <v>-76.29497222000001</v>
      </c>
      <c r="I223" s="37" t="n">
        <v>1.88847222</v>
      </c>
      <c r="J223" s="22" t="n">
        <v>13.90540488601393</v>
      </c>
      <c r="K223" s="23" t="n">
        <v>14.21350987665613</v>
      </c>
      <c r="L223" s="23" t="n">
        <v>14.38936105176631</v>
      </c>
      <c r="M223" s="23" t="n">
        <v>14.42160165155517</v>
      </c>
      <c r="N223" s="23" t="n">
        <v>14.39405020168313</v>
      </c>
      <c r="O223" s="23" t="n">
        <v>13.94239420191382</v>
      </c>
      <c r="P223" s="23" t="n">
        <v>13.40005492561896</v>
      </c>
      <c r="Q223" s="23" t="n">
        <v>13.07942688660987</v>
      </c>
      <c r="R223" s="23" t="n">
        <v>13.26536891871524</v>
      </c>
      <c r="S223" s="23" t="n">
        <v>13.84423711443666</v>
      </c>
      <c r="T223" s="23" t="n">
        <v>14.13682045184304</v>
      </c>
      <c r="U223" s="23" t="n">
        <v>14.17984145730325</v>
      </c>
      <c r="V223" s="38" t="n">
        <v>13.93100596867629</v>
      </c>
      <c r="W223" s="39" t="n">
        <v>345</v>
      </c>
      <c r="X223" s="24" t="n">
        <v>0.9583333333333334</v>
      </c>
    </row>
    <row r="224" ht="13.9" customHeight="1">
      <c r="A224" s="10" t="n">
        <v>21125010</v>
      </c>
      <c r="B224" s="35" t="inlineStr">
        <is>
          <t>CO</t>
        </is>
      </c>
      <c r="C224" s="35" t="inlineStr">
        <is>
          <t>Santa María</t>
        </is>
      </c>
      <c r="D224" s="35" t="inlineStr">
        <is>
          <t>Santa María</t>
        </is>
      </c>
      <c r="E224" s="21" t="inlineStr">
        <is>
          <t>Huila</t>
        </is>
      </c>
      <c r="F224" s="35" t="n">
        <v>4</v>
      </c>
      <c r="G224" s="35" t="n">
        <v>1300</v>
      </c>
      <c r="H224" s="36" t="n">
        <v>-75.58905556000001</v>
      </c>
      <c r="I224" s="37" t="n">
        <v>2.93569444</v>
      </c>
      <c r="J224" s="22" t="n">
        <v>16.34379615694999</v>
      </c>
      <c r="K224" s="23" t="n">
        <v>16.54402643356194</v>
      </c>
      <c r="L224" s="23" t="n">
        <v>16.8563675481316</v>
      </c>
      <c r="M224" s="23" t="n">
        <v>16.91548676780861</v>
      </c>
      <c r="N224" s="23" t="n">
        <v>16.97827950058016</v>
      </c>
      <c r="O224" s="23" t="n">
        <v>16.48000104907863</v>
      </c>
      <c r="P224" s="23" t="n">
        <v>16.19687007247686</v>
      </c>
      <c r="Q224" s="23" t="n">
        <v>16.06407425051796</v>
      </c>
      <c r="R224" s="23" t="n">
        <v>16.08128822017563</v>
      </c>
      <c r="S224" s="23" t="n">
        <v>16.53272341266446</v>
      </c>
      <c r="T224" s="23" t="n">
        <v>16.6694478906931</v>
      </c>
      <c r="U224" s="23" t="n">
        <v>16.37932517612162</v>
      </c>
      <c r="V224" s="38" t="n">
        <v>16.50347387323005</v>
      </c>
      <c r="W224" s="39" t="n">
        <v>221</v>
      </c>
      <c r="X224" s="24" t="n">
        <v>0.9208333333333333</v>
      </c>
    </row>
    <row r="225" ht="13.9" customHeight="1">
      <c r="A225" s="10" t="n">
        <v>21035040</v>
      </c>
      <c r="B225" s="35" t="inlineStr">
        <is>
          <t>CO</t>
        </is>
      </c>
      <c r="C225" s="35" t="inlineStr">
        <is>
          <t>El Líbano</t>
        </is>
      </c>
      <c r="D225" s="35" t="inlineStr">
        <is>
          <t>Suaza</t>
        </is>
      </c>
      <c r="E225" s="21" t="inlineStr">
        <is>
          <t>Huila</t>
        </is>
      </c>
      <c r="F225" s="35" t="n">
        <v>4</v>
      </c>
      <c r="G225" s="35" t="n">
        <v>1045</v>
      </c>
      <c r="H225" s="36" t="n">
        <v>-75.83</v>
      </c>
      <c r="I225" s="37" t="n">
        <v>1.87</v>
      </c>
      <c r="J225" s="22" t="n">
        <v>17.30629313007671</v>
      </c>
      <c r="K225" s="23" t="n">
        <v>17.4008860003186</v>
      </c>
      <c r="L225" s="23" t="n">
        <v>17.54230008009306</v>
      </c>
      <c r="M225" s="23" t="n">
        <v>17.50798236979979</v>
      </c>
      <c r="N225" s="23" t="n">
        <v>17.55212121093864</v>
      </c>
      <c r="O225" s="23" t="n">
        <v>17.33545880987721</v>
      </c>
      <c r="P225" s="23" t="n">
        <v>17.11482443746682</v>
      </c>
      <c r="Q225" s="23" t="n">
        <v>16.98384977222517</v>
      </c>
      <c r="R225" s="23" t="n">
        <v>16.87090275555932</v>
      </c>
      <c r="S225" s="23" t="n">
        <v>17.15563660244172</v>
      </c>
      <c r="T225" s="23" t="n">
        <v>17.44488671977944</v>
      </c>
      <c r="U225" s="23" t="n">
        <v>17.29529818924676</v>
      </c>
      <c r="V225" s="38" t="n">
        <v>17.29253667315194</v>
      </c>
      <c r="W225" s="39" t="n">
        <v>337</v>
      </c>
      <c r="X225" s="24" t="n">
        <v>0.9361111111111111</v>
      </c>
    </row>
    <row r="226" ht="13.9" customHeight="1">
      <c r="A226" s="10" t="n">
        <v>21115070</v>
      </c>
      <c r="B226" s="35" t="inlineStr">
        <is>
          <t>CO</t>
        </is>
      </c>
      <c r="C226" s="35" t="inlineStr">
        <is>
          <t>El Portal</t>
        </is>
      </c>
      <c r="D226" s="35" t="inlineStr">
        <is>
          <t>Tello</t>
        </is>
      </c>
      <c r="E226" s="21" t="inlineStr">
        <is>
          <t>Huila</t>
        </is>
      </c>
      <c r="F226" s="35" t="n">
        <v>4</v>
      </c>
      <c r="G226" s="35" t="n">
        <v>1300</v>
      </c>
      <c r="H226" s="36" t="n">
        <v>-75.07299999999999</v>
      </c>
      <c r="I226" s="37" t="n">
        <v>3.01494444</v>
      </c>
      <c r="J226" s="22" t="n">
        <v>18.99312395357896</v>
      </c>
      <c r="K226" s="23" t="n">
        <v>18.96609324044548</v>
      </c>
      <c r="L226" s="23" t="n">
        <v>18.82671823702986</v>
      </c>
      <c r="M226" s="23" t="n">
        <v>18.90965130879938</v>
      </c>
      <c r="N226" s="23" t="n">
        <v>18.92376413273161</v>
      </c>
      <c r="O226" s="23" t="n">
        <v>18.74940175833482</v>
      </c>
      <c r="P226" s="23" t="n">
        <v>18.76695381442343</v>
      </c>
      <c r="Q226" s="23" t="n">
        <v>19.08870512832496</v>
      </c>
      <c r="R226" s="23" t="n">
        <v>19.11905533506622</v>
      </c>
      <c r="S226" s="23" t="n">
        <v>18.80746981111831</v>
      </c>
      <c r="T226" s="23" t="n">
        <v>18.62217819639563</v>
      </c>
      <c r="U226" s="23" t="n">
        <v>18.92785069537819</v>
      </c>
      <c r="V226" s="38" t="n">
        <v>18.89174713430224</v>
      </c>
      <c r="W226" s="39" t="n">
        <v>209</v>
      </c>
      <c r="X226" s="24" t="n">
        <v>0.8708333333333333</v>
      </c>
    </row>
    <row r="227" ht="13.9" customHeight="1">
      <c r="A227" s="10" t="n">
        <v>21145040</v>
      </c>
      <c r="B227" s="35" t="inlineStr">
        <is>
          <t>AM</t>
        </is>
      </c>
      <c r="C227" s="35" t="inlineStr">
        <is>
          <t>San Alfonso</t>
        </is>
      </c>
      <c r="D227" s="35" t="inlineStr">
        <is>
          <t>Villavieja</t>
        </is>
      </c>
      <c r="E227" s="21" t="inlineStr">
        <is>
          <t>Huila</t>
        </is>
      </c>
      <c r="F227" s="35" t="n">
        <v>4</v>
      </c>
      <c r="G227" s="35" t="n">
        <v>440</v>
      </c>
      <c r="H227" s="36" t="n">
        <v>-75.11011111000001</v>
      </c>
      <c r="I227" s="37" t="n">
        <v>3.37336111</v>
      </c>
      <c r="J227" s="22" t="n">
        <v>22.80241193643089</v>
      </c>
      <c r="K227" s="23" t="n">
        <v>23.25024072796669</v>
      </c>
      <c r="L227" s="23" t="n">
        <v>22.90689415101028</v>
      </c>
      <c r="M227" s="23" t="n">
        <v>22.86193833458024</v>
      </c>
      <c r="N227" s="23" t="n">
        <v>22.84577228557783</v>
      </c>
      <c r="O227" s="23" t="n">
        <v>22.92884343931019</v>
      </c>
      <c r="P227" s="23" t="n">
        <v>23.03080061481961</v>
      </c>
      <c r="Q227" s="23" t="n">
        <v>23.46580771270726</v>
      </c>
      <c r="R227" s="23" t="n">
        <v>23.48600502371191</v>
      </c>
      <c r="S227" s="23" t="n">
        <v>23.0089415525264</v>
      </c>
      <c r="T227" s="23" t="n">
        <v>22.66981506851533</v>
      </c>
      <c r="U227" s="23" t="n">
        <v>22.66316476636943</v>
      </c>
      <c r="V227" s="38" t="n">
        <v>22.99338630112717</v>
      </c>
      <c r="W227" s="39" t="n">
        <v>310</v>
      </c>
      <c r="X227" s="24" t="n">
        <v>0.8611111111111112</v>
      </c>
    </row>
    <row r="228" ht="13.9" customHeight="1">
      <c r="A228" s="10" t="n">
        <v>21115060</v>
      </c>
      <c r="B228" s="35" t="inlineStr">
        <is>
          <t>CO</t>
        </is>
      </c>
      <c r="C228" s="35" t="inlineStr">
        <is>
          <t>San José</t>
        </is>
      </c>
      <c r="D228" s="35" t="inlineStr">
        <is>
          <t>Villavieja</t>
        </is>
      </c>
      <c r="E228" s="21" t="inlineStr">
        <is>
          <t>Huila</t>
        </is>
      </c>
      <c r="F228" s="35" t="n">
        <v>4</v>
      </c>
      <c r="G228" s="35" t="n">
        <v>400</v>
      </c>
      <c r="H228" s="36" t="n">
        <v>-75.18405556</v>
      </c>
      <c r="I228" s="37" t="n">
        <v>3.32922222</v>
      </c>
      <c r="J228" s="22" t="n">
        <v>23.32480348535409</v>
      </c>
      <c r="K228" s="23" t="n">
        <v>23.55799733625251</v>
      </c>
      <c r="L228" s="23" t="n">
        <v>23.32239788220953</v>
      </c>
      <c r="M228" s="23" t="n">
        <v>23.19147623257968</v>
      </c>
      <c r="N228" s="23" t="n">
        <v>23.22331104127062</v>
      </c>
      <c r="O228" s="23" t="n">
        <v>23.17976086854822</v>
      </c>
      <c r="P228" s="23" t="n">
        <v>23.12898348154819</v>
      </c>
      <c r="Q228" s="23" t="n">
        <v>23.58623070077864</v>
      </c>
      <c r="R228" s="23" t="n">
        <v>23.77369135802469</v>
      </c>
      <c r="S228" s="23" t="n">
        <v>23.46921888518107</v>
      </c>
      <c r="T228" s="23" t="n">
        <v>23.10673800401386</v>
      </c>
      <c r="U228" s="23" t="n">
        <v>23.07075498545317</v>
      </c>
      <c r="V228" s="38" t="n">
        <v>23.32794702176785</v>
      </c>
      <c r="W228" s="39" t="n">
        <v>360</v>
      </c>
      <c r="X228" s="24" t="n">
        <v>1</v>
      </c>
    </row>
    <row r="229" ht="13.9" customHeight="1">
      <c r="A229" s="10" t="n">
        <v>21115080</v>
      </c>
      <c r="B229" s="35" t="inlineStr">
        <is>
          <t>CO</t>
        </is>
      </c>
      <c r="C229" s="21" t="inlineStr">
        <is>
          <t>Villavieja FFCC</t>
        </is>
      </c>
      <c r="D229" s="35" t="inlineStr">
        <is>
          <t>Villavieja</t>
        </is>
      </c>
      <c r="E229" s="21" t="inlineStr">
        <is>
          <t>Huila</t>
        </is>
      </c>
      <c r="F229" s="35" t="n">
        <v>4</v>
      </c>
      <c r="G229" s="35" t="n">
        <v>430</v>
      </c>
      <c r="H229" s="36" t="n">
        <v>-75.2475</v>
      </c>
      <c r="I229" s="37" t="n">
        <v>3.18305556</v>
      </c>
      <c r="J229" s="22" t="n">
        <v>22.09732280634533</v>
      </c>
      <c r="K229" s="23" t="n">
        <v>22.32290017047627</v>
      </c>
      <c r="L229" s="23" t="n">
        <v>22.2990370159287</v>
      </c>
      <c r="M229" s="23" t="n">
        <v>22.07577552200231</v>
      </c>
      <c r="N229" s="23" t="n">
        <v>22.11815226692471</v>
      </c>
      <c r="O229" s="23" t="n">
        <v>21.71004150702426</v>
      </c>
      <c r="P229" s="23" t="n">
        <v>21.63604677761163</v>
      </c>
      <c r="Q229" s="23" t="n">
        <v>22.10488373770619</v>
      </c>
      <c r="R229" s="23" t="n">
        <v>22.40849281433765</v>
      </c>
      <c r="S229" s="23" t="n">
        <v>22.34670416176374</v>
      </c>
      <c r="T229" s="23" t="n">
        <v>22.16362724808348</v>
      </c>
      <c r="U229" s="23" t="n">
        <v>21.96251951915131</v>
      </c>
      <c r="V229" s="38" t="n">
        <v>22.10379196227963</v>
      </c>
      <c r="W229" s="39" t="n">
        <v>302</v>
      </c>
      <c r="X229" s="24" t="n">
        <v>0.8388888888888889</v>
      </c>
    </row>
    <row r="230" ht="13.9" customHeight="1">
      <c r="A230" s="10" t="n">
        <v>15065501</v>
      </c>
      <c r="B230" s="35" t="inlineStr">
        <is>
          <t>CP</t>
        </is>
      </c>
      <c r="C230" s="35" t="inlineStr">
        <is>
          <t xml:space="preserve">La Mina Cerrejón  - AUT </t>
        </is>
      </c>
      <c r="D230" s="35" t="inlineStr">
        <is>
          <t xml:space="preserve">Albania </t>
        </is>
      </c>
      <c r="E230" s="21" t="inlineStr">
        <is>
          <t>La Guajira</t>
        </is>
      </c>
      <c r="F230" s="35" t="n">
        <v>5</v>
      </c>
      <c r="G230" s="35" t="n">
        <v>80</v>
      </c>
      <c r="H230" s="36" t="n">
        <v>-72.61594443999999</v>
      </c>
      <c r="I230" s="37" t="n">
        <v>11.13758333</v>
      </c>
      <c r="J230" s="22" t="n">
        <v>23.54961865434593</v>
      </c>
      <c r="K230" s="23" t="n">
        <v>23.84034252339756</v>
      </c>
      <c r="L230" s="23" t="n">
        <v>24.32006019101402</v>
      </c>
      <c r="M230" s="23" t="n">
        <v>24.94178659611992</v>
      </c>
      <c r="N230" s="23" t="n">
        <v>24.95031695460608</v>
      </c>
      <c r="O230" s="23" t="n">
        <v>25.26145269957613</v>
      </c>
      <c r="P230" s="23" t="n">
        <v>25.51693182697911</v>
      </c>
      <c r="Q230" s="23" t="n">
        <v>25.27843295939699</v>
      </c>
      <c r="R230" s="23" t="n">
        <v>24.51970340217995</v>
      </c>
      <c r="S230" s="23" t="n">
        <v>24.04181274804652</v>
      </c>
      <c r="T230" s="23" t="n">
        <v>24.12910130619581</v>
      </c>
      <c r="U230" s="23" t="n">
        <v>23.84842608718088</v>
      </c>
      <c r="V230" s="38" t="n">
        <v>24.51649882908658</v>
      </c>
      <c r="W230" s="39" t="n">
        <v>321</v>
      </c>
      <c r="X230" s="24" t="n">
        <v>0.8916666666666667</v>
      </c>
    </row>
    <row r="231" ht="13.9" customHeight="1">
      <c r="A231" s="10" t="n">
        <v>15085030</v>
      </c>
      <c r="B231" s="35" t="inlineStr">
        <is>
          <t>CO</t>
        </is>
      </c>
      <c r="C231" s="35" t="inlineStr">
        <is>
          <t>Escuela Agrícola Carraipía - AUT</t>
        </is>
      </c>
      <c r="D231" s="35" t="inlineStr">
        <is>
          <t>Maicao</t>
        </is>
      </c>
      <c r="E231" s="21" t="inlineStr">
        <is>
          <t>La Guajira</t>
        </is>
      </c>
      <c r="F231" s="35" t="n">
        <v>5</v>
      </c>
      <c r="G231" s="35" t="n">
        <v>118</v>
      </c>
      <c r="H231" s="36" t="n">
        <v>-72.35994443999999</v>
      </c>
      <c r="I231" s="37" t="n">
        <v>11.21675</v>
      </c>
      <c r="J231" s="22" t="n">
        <v>21.32906968707146</v>
      </c>
      <c r="K231" s="23" t="n">
        <v>21.542175066313</v>
      </c>
      <c r="L231" s="23" t="n">
        <v>22.29083151122821</v>
      </c>
      <c r="M231" s="23" t="n">
        <v>23.07466824490962</v>
      </c>
      <c r="N231" s="23" t="n">
        <v>23.41894343101796</v>
      </c>
      <c r="O231" s="23" t="n">
        <v>23.69713352944092</v>
      </c>
      <c r="P231" s="23" t="n">
        <v>23.66046866958937</v>
      </c>
      <c r="Q231" s="23" t="n">
        <v>23.65924731182796</v>
      </c>
      <c r="R231" s="23" t="n">
        <v>23.18181172727245</v>
      </c>
      <c r="S231" s="23" t="n">
        <v>22.43586645902855</v>
      </c>
      <c r="T231" s="23" t="n">
        <v>22.46780072418003</v>
      </c>
      <c r="U231" s="23" t="n">
        <v>21.86021531259328</v>
      </c>
      <c r="V231" s="38" t="n">
        <v>22.71818597287273</v>
      </c>
      <c r="W231" s="39" t="n">
        <v>303</v>
      </c>
      <c r="X231" s="24" t="n">
        <v>0.8416666666666667</v>
      </c>
    </row>
    <row r="232" ht="13.9" customHeight="1">
      <c r="A232" s="10" t="n">
        <v>15065180</v>
      </c>
      <c r="B232" s="35" t="inlineStr">
        <is>
          <t>SP</t>
        </is>
      </c>
      <c r="C232" s="35" t="inlineStr">
        <is>
          <t xml:space="preserve">Aeropuerto Almirante Padilla </t>
        </is>
      </c>
      <c r="D232" s="35" t="inlineStr">
        <is>
          <t>Riohacha</t>
        </is>
      </c>
      <c r="E232" s="21" t="inlineStr">
        <is>
          <t>La Guajira</t>
        </is>
      </c>
      <c r="F232" s="35" t="n">
        <v>5</v>
      </c>
      <c r="G232" s="35" t="n">
        <v>4</v>
      </c>
      <c r="H232" s="36" t="n">
        <v>-72.91766666999999</v>
      </c>
      <c r="I232" s="37" t="n">
        <v>11.52961111</v>
      </c>
      <c r="J232" s="22" t="n">
        <v>22.62665752953017</v>
      </c>
      <c r="K232" s="23" t="n">
        <v>23.10548865778751</v>
      </c>
      <c r="L232" s="23" t="n">
        <v>23.6269382647386</v>
      </c>
      <c r="M232" s="23" t="n">
        <v>24.80948352099461</v>
      </c>
      <c r="N232" s="23" t="n">
        <v>25.55320349558258</v>
      </c>
      <c r="O232" s="23" t="n">
        <v>25.96773957055407</v>
      </c>
      <c r="P232" s="23" t="n">
        <v>25.91025682931615</v>
      </c>
      <c r="Q232" s="23" t="n">
        <v>25.51842126171937</v>
      </c>
      <c r="R232" s="23" t="n">
        <v>24.80770968540674</v>
      </c>
      <c r="S232" s="23" t="n">
        <v>24.24301609371965</v>
      </c>
      <c r="T232" s="23" t="n">
        <v>23.81508025573013</v>
      </c>
      <c r="U232" s="23" t="n">
        <v>23.28913162773451</v>
      </c>
      <c r="V232" s="38" t="n">
        <v>24.43942723273451</v>
      </c>
      <c r="W232" s="39" t="n">
        <v>333</v>
      </c>
      <c r="X232" s="24" t="n">
        <v>0.925</v>
      </c>
    </row>
    <row r="233" ht="13.9" customHeight="1">
      <c r="A233" s="10" t="n">
        <v>15075501</v>
      </c>
      <c r="B233" s="35" t="inlineStr">
        <is>
          <t>CP</t>
        </is>
      </c>
      <c r="C233" s="11" t="inlineStr">
        <is>
          <t xml:space="preserve">Aeropuerto Puerto Bolívar  - AUT </t>
        </is>
      </c>
      <c r="D233" s="35" t="inlineStr">
        <is>
          <t>Uribia</t>
        </is>
      </c>
      <c r="E233" s="21" t="inlineStr">
        <is>
          <t>La Guajira</t>
        </is>
      </c>
      <c r="F233" s="35" t="n">
        <v>5</v>
      </c>
      <c r="G233" s="35" t="n">
        <v>10</v>
      </c>
      <c r="H233" s="36" t="n">
        <v>-71.98288889</v>
      </c>
      <c r="I233" s="37" t="n">
        <v>12.22430556</v>
      </c>
      <c r="J233" s="22" t="n">
        <v>24.55871238471907</v>
      </c>
      <c r="K233" s="23" t="n">
        <v>24.38730048439498</v>
      </c>
      <c r="L233" s="23" t="n">
        <v>24.75957972317759</v>
      </c>
      <c r="M233" s="23" t="n">
        <v>25.55240323715693</v>
      </c>
      <c r="N233" s="23" t="n">
        <v>26.33735408624414</v>
      </c>
      <c r="O233" s="23" t="n">
        <v>26.73897254860335</v>
      </c>
      <c r="P233" s="23" t="n">
        <v>26.54603737567585</v>
      </c>
      <c r="Q233" s="23" t="n">
        <v>26.85942912647029</v>
      </c>
      <c r="R233" s="23" t="n">
        <v>26.81361658456486</v>
      </c>
      <c r="S233" s="23" t="n">
        <v>26.1466090788707</v>
      </c>
      <c r="T233" s="23" t="n">
        <v>25.80911961601617</v>
      </c>
      <c r="U233" s="23" t="n">
        <v>25.25407095479397</v>
      </c>
      <c r="V233" s="38" t="n">
        <v>25.81360043339066</v>
      </c>
      <c r="W233" s="39" t="n">
        <v>319</v>
      </c>
      <c r="X233" s="24" t="n">
        <v>0.8861111111111111</v>
      </c>
    </row>
    <row r="234" ht="13.9" customHeight="1">
      <c r="A234" s="10" t="n">
        <v>15085020</v>
      </c>
      <c r="B234" s="35" t="inlineStr">
        <is>
          <t>CP</t>
        </is>
      </c>
      <c r="C234" s="35" t="inlineStr">
        <is>
          <t>Nazareth</t>
        </is>
      </c>
      <c r="D234" s="35" t="inlineStr">
        <is>
          <t>Uribia</t>
        </is>
      </c>
      <c r="E234" s="21" t="inlineStr">
        <is>
          <t>La Guajira</t>
        </is>
      </c>
      <c r="F234" s="35" t="n">
        <v>5</v>
      </c>
      <c r="G234" s="35" t="n">
        <v>85</v>
      </c>
      <c r="H234" s="36" t="n">
        <v>-71.28388889</v>
      </c>
      <c r="I234" s="37" t="n">
        <v>12.17888889</v>
      </c>
      <c r="J234" s="22" t="n">
        <v>23.33485642702399</v>
      </c>
      <c r="K234" s="23" t="n">
        <v>23.16455834315748</v>
      </c>
      <c r="L234" s="23" t="n">
        <v>23.57115294379908</v>
      </c>
      <c r="M234" s="23" t="n">
        <v>24.51617434754962</v>
      </c>
      <c r="N234" s="23" t="n">
        <v>25.15601257649367</v>
      </c>
      <c r="O234" s="23" t="n">
        <v>25.44382792714799</v>
      </c>
      <c r="P234" s="23" t="n">
        <v>25.09867324092297</v>
      </c>
      <c r="Q234" s="23" t="n">
        <v>25.32235689460953</v>
      </c>
      <c r="R234" s="23" t="n">
        <v>25.38006766467489</v>
      </c>
      <c r="S234" s="23" t="n">
        <v>24.68307802133863</v>
      </c>
      <c r="T234" s="23" t="n">
        <v>24.35279699378972</v>
      </c>
      <c r="U234" s="23" t="n">
        <v>23.62829150535382</v>
      </c>
      <c r="V234" s="38" t="n">
        <v>24.47098724048845</v>
      </c>
      <c r="W234" s="39" t="n">
        <v>299</v>
      </c>
      <c r="X234" s="24" t="n">
        <v>0.8305555555555556</v>
      </c>
    </row>
    <row r="235" ht="13.9" customHeight="1">
      <c r="A235" s="10" t="n">
        <v>15085040</v>
      </c>
      <c r="B235" s="35" t="inlineStr">
        <is>
          <t>CO</t>
        </is>
      </c>
      <c r="C235" s="35" t="inlineStr">
        <is>
          <t>Rancho Grande</t>
        </is>
      </c>
      <c r="D235" s="35" t="inlineStr">
        <is>
          <t>Uribia</t>
        </is>
      </c>
      <c r="E235" s="21" t="inlineStr">
        <is>
          <t>La Guajira</t>
        </is>
      </c>
      <c r="F235" s="35" t="n">
        <v>5</v>
      </c>
      <c r="G235" s="35" t="n">
        <v>50</v>
      </c>
      <c r="H235" s="36" t="n">
        <v>-71.83305556000001</v>
      </c>
      <c r="I235" s="37" t="n">
        <v>11.68605556</v>
      </c>
      <c r="J235" s="22" t="n">
        <v>24.41186970433541</v>
      </c>
      <c r="K235" s="23" t="n">
        <v>24.36239027752438</v>
      </c>
      <c r="L235" s="23" t="n">
        <v>24.77753939807704</v>
      </c>
      <c r="M235" s="23" t="n">
        <v>25.66096491843618</v>
      </c>
      <c r="N235" s="23" t="n">
        <v>26.27038300707655</v>
      </c>
      <c r="O235" s="23" t="n">
        <v>26.49889328708426</v>
      </c>
      <c r="P235" s="23" t="n">
        <v>26.37482715362749</v>
      </c>
      <c r="Q235" s="23" t="n">
        <v>26.63309318991177</v>
      </c>
      <c r="R235" s="23" t="n">
        <v>26.47575009768651</v>
      </c>
      <c r="S235" s="23" t="n">
        <v>25.92445552282348</v>
      </c>
      <c r="T235" s="23" t="n">
        <v>25.77438753995784</v>
      </c>
      <c r="U235" s="23" t="n">
        <v>25.08565481222522</v>
      </c>
      <c r="V235" s="38" t="n">
        <v>25.68751740906384</v>
      </c>
      <c r="W235" s="39" t="n">
        <v>308</v>
      </c>
      <c r="X235" s="24" t="n">
        <v>0.8555555555555555</v>
      </c>
    </row>
    <row r="236" ht="13.9" customHeight="1">
      <c r="A236" s="10" t="n">
        <v>28015070</v>
      </c>
      <c r="B236" s="35" t="inlineStr">
        <is>
          <t>CO</t>
        </is>
      </c>
      <c r="C236" s="35" t="inlineStr">
        <is>
          <t>Urumita</t>
        </is>
      </c>
      <c r="D236" s="35" t="inlineStr">
        <is>
          <t>Urumita</t>
        </is>
      </c>
      <c r="E236" s="21" t="inlineStr">
        <is>
          <t>La Guajira</t>
        </is>
      </c>
      <c r="F236" s="35" t="n">
        <v>5</v>
      </c>
      <c r="G236" s="35" t="n">
        <v>255</v>
      </c>
      <c r="H236" s="36" t="n">
        <v>-73.01638889</v>
      </c>
      <c r="I236" s="37" t="n">
        <v>10.56638889</v>
      </c>
      <c r="J236" s="22" t="n">
        <v>21.108627176518</v>
      </c>
      <c r="K236" s="23" t="n">
        <v>21.41998030232385</v>
      </c>
      <c r="L236" s="23" t="n">
        <v>22.10301443402723</v>
      </c>
      <c r="M236" s="23" t="n">
        <v>22.8637415617588</v>
      </c>
      <c r="N236" s="23" t="n">
        <v>22.88857142857143</v>
      </c>
      <c r="O236" s="23" t="n">
        <v>22.86651067323481</v>
      </c>
      <c r="P236" s="23" t="n">
        <v>22.83046082949308</v>
      </c>
      <c r="Q236" s="23" t="n">
        <v>22.82853046594982</v>
      </c>
      <c r="R236" s="23" t="n">
        <v>22.3738564692013</v>
      </c>
      <c r="S236" s="23" t="n">
        <v>22.13913594470046</v>
      </c>
      <c r="T236" s="23" t="n">
        <v>22.0259065934066</v>
      </c>
      <c r="U236" s="23" t="n">
        <v>21.56371701383938</v>
      </c>
      <c r="V236" s="38" t="n">
        <v>22.25100440775206</v>
      </c>
      <c r="W236" s="39" t="n">
        <v>326</v>
      </c>
      <c r="X236" s="24" t="n">
        <v>0.9055555555555556</v>
      </c>
    </row>
    <row r="237" ht="13.9" customHeight="1">
      <c r="A237" s="10" t="n">
        <v>15015020</v>
      </c>
      <c r="B237" s="35" t="inlineStr">
        <is>
          <t>CO</t>
        </is>
      </c>
      <c r="C237" s="35" t="inlineStr">
        <is>
          <t xml:space="preserve">La Ye </t>
        </is>
      </c>
      <c r="D237" s="35" t="inlineStr">
        <is>
          <t>Ciénaga</t>
        </is>
      </c>
      <c r="E237" s="21" t="inlineStr">
        <is>
          <t>Magdalena</t>
        </is>
      </c>
      <c r="F237" s="35" t="n">
        <v>5</v>
      </c>
      <c r="G237" s="35" t="n">
        <v>20</v>
      </c>
      <c r="H237" s="36" t="n">
        <v>-74.21113889</v>
      </c>
      <c r="I237" s="37" t="n">
        <v>10.99241667</v>
      </c>
      <c r="J237" s="22" t="n">
        <v>20.37516129032258</v>
      </c>
      <c r="K237" s="23" t="n">
        <v>21.01933497536946</v>
      </c>
      <c r="L237" s="23" t="n">
        <v>21.91870967741935</v>
      </c>
      <c r="M237" s="23" t="n">
        <v>22.36333333333333</v>
      </c>
      <c r="N237" s="23" t="n">
        <v>22.03</v>
      </c>
      <c r="O237" s="23" t="n">
        <v>22.36733333333333</v>
      </c>
      <c r="P237" s="23" t="n">
        <v>21.86416240266963</v>
      </c>
      <c r="Q237" s="23" t="n">
        <v>21.6989247311828</v>
      </c>
      <c r="R237" s="23" t="n">
        <v>21.588</v>
      </c>
      <c r="S237" s="23" t="n">
        <v>21.10961290322581</v>
      </c>
      <c r="T237" s="23" t="n">
        <v>20.96348484848485</v>
      </c>
      <c r="U237" s="23" t="n">
        <v>20.49064516129032</v>
      </c>
      <c r="V237" s="38" t="n">
        <v>21.48239188805262</v>
      </c>
      <c r="W237" s="39" t="n">
        <v>118</v>
      </c>
      <c r="X237" s="24" t="n">
        <v>0.9833333333333333</v>
      </c>
    </row>
    <row r="238" ht="13.9" customHeight="1">
      <c r="A238" s="10" t="n">
        <v>25025090</v>
      </c>
      <c r="B238" s="35" t="inlineStr">
        <is>
          <t>CP</t>
        </is>
      </c>
      <c r="C238" s="35" t="inlineStr">
        <is>
          <t>Aeropuerto Las Flores</t>
        </is>
      </c>
      <c r="D238" s="35" t="inlineStr">
        <is>
          <t>El Banco</t>
        </is>
      </c>
      <c r="E238" s="21" t="inlineStr">
        <is>
          <t>Magdalena</t>
        </is>
      </c>
      <c r="F238" s="35" t="n">
        <v>5</v>
      </c>
      <c r="G238" s="35" t="n">
        <v>34</v>
      </c>
      <c r="H238" s="36" t="n">
        <v>-73.97083332999999</v>
      </c>
      <c r="I238" s="37" t="n">
        <v>9.046333330000001</v>
      </c>
      <c r="J238" s="22" t="n">
        <v>22.8278857969987</v>
      </c>
      <c r="K238" s="23" t="n">
        <v>23.5052730692041</v>
      </c>
      <c r="L238" s="23" t="n">
        <v>23.94590175953079</v>
      </c>
      <c r="M238" s="23" t="n">
        <v>23.95728031817425</v>
      </c>
      <c r="N238" s="23" t="n">
        <v>23.82926098188533</v>
      </c>
      <c r="O238" s="23" t="n">
        <v>24.00728955314306</v>
      </c>
      <c r="P238" s="23" t="n">
        <v>23.9331163938768</v>
      </c>
      <c r="Q238" s="23" t="n">
        <v>23.53602147104465</v>
      </c>
      <c r="R238" s="23" t="n">
        <v>23.42445822062513</v>
      </c>
      <c r="S238" s="23" t="n">
        <v>23.36091432808941</v>
      </c>
      <c r="T238" s="23" t="n">
        <v>23.47080975537872</v>
      </c>
      <c r="U238" s="23" t="n">
        <v>23.18754083902749</v>
      </c>
      <c r="V238" s="38" t="n">
        <v>23.58214604058153</v>
      </c>
      <c r="W238" s="39" t="n">
        <v>293</v>
      </c>
      <c r="X238" s="24" t="n">
        <v>0.8138888888888889</v>
      </c>
    </row>
    <row r="239" ht="13.9" customHeight="1">
      <c r="A239" s="10" t="n">
        <v>29065000</v>
      </c>
      <c r="B239" s="35" t="inlineStr">
        <is>
          <t>CP</t>
        </is>
      </c>
      <c r="C239" s="35" t="inlineStr">
        <is>
          <t xml:space="preserve">Media Luna - AUT </t>
        </is>
      </c>
      <c r="D239" s="35" t="inlineStr">
        <is>
          <t>Pivijai</t>
        </is>
      </c>
      <c r="E239" s="21" t="inlineStr">
        <is>
          <t>Magdalena</t>
        </is>
      </c>
      <c r="F239" s="35" t="n">
        <v>5</v>
      </c>
      <c r="G239" s="35" t="n">
        <v>20</v>
      </c>
      <c r="H239" s="36" t="n">
        <v>-74.50666667</v>
      </c>
      <c r="I239" s="37" t="n">
        <v>10.51002778</v>
      </c>
      <c r="J239" s="22" t="n">
        <v>20.87314354025912</v>
      </c>
      <c r="K239" s="23" t="n">
        <v>21.06073400278138</v>
      </c>
      <c r="L239" s="23" t="n">
        <v>21.7822695234564</v>
      </c>
      <c r="M239" s="23" t="n">
        <v>22.83849329030066</v>
      </c>
      <c r="N239" s="23" t="n">
        <v>23.37171407383866</v>
      </c>
      <c r="O239" s="23" t="n">
        <v>23.10142326638878</v>
      </c>
      <c r="P239" s="23" t="n">
        <v>22.81277037862292</v>
      </c>
      <c r="Q239" s="23" t="n">
        <v>22.72594478138555</v>
      </c>
      <c r="R239" s="23" t="n">
        <v>22.63718536447172</v>
      </c>
      <c r="S239" s="23" t="n">
        <v>22.50720648551464</v>
      </c>
      <c r="T239" s="23" t="n">
        <v>22.38197537621548</v>
      </c>
      <c r="U239" s="23" t="n">
        <v>21.68422983208857</v>
      </c>
      <c r="V239" s="38" t="n">
        <v>22.31475749294366</v>
      </c>
      <c r="W239" s="39" t="n">
        <v>337</v>
      </c>
      <c r="X239" s="24" t="n">
        <v>0.9361111111111111</v>
      </c>
    </row>
    <row r="240" ht="13.9" customHeight="1">
      <c r="A240" s="10" t="n">
        <v>25025300</v>
      </c>
      <c r="B240" s="35" t="inlineStr">
        <is>
          <t>CO</t>
        </is>
      </c>
      <c r="C240" s="35" t="inlineStr">
        <is>
          <t>El Seis</t>
        </is>
      </c>
      <c r="D240" s="35" t="inlineStr">
        <is>
          <t>San Sebastián de Buenavista</t>
        </is>
      </c>
      <c r="E240" s="21" t="inlineStr">
        <is>
          <t>Magdalena</t>
        </is>
      </c>
      <c r="F240" s="35" t="n">
        <v>5</v>
      </c>
      <c r="G240" s="35" t="n">
        <v>50</v>
      </c>
      <c r="H240" s="36" t="n">
        <v>-74.32227777999999</v>
      </c>
      <c r="I240" s="37" t="n">
        <v>9.683666670000001</v>
      </c>
      <c r="J240" s="22" t="n">
        <v>21.71088048750809</v>
      </c>
      <c r="K240" s="23" t="n">
        <v>22.67367866512183</v>
      </c>
      <c r="L240" s="23" t="n">
        <v>23.62944012845941</v>
      </c>
      <c r="M240" s="23" t="n">
        <v>23.60361912246971</v>
      </c>
      <c r="N240" s="23" t="n">
        <v>23.67713522569659</v>
      </c>
      <c r="O240" s="23" t="n">
        <v>23.5461405393717</v>
      </c>
      <c r="P240" s="23" t="n">
        <v>23.56850807178068</v>
      </c>
      <c r="Q240" s="23" t="n">
        <v>23.32620034266809</v>
      </c>
      <c r="R240" s="23" t="n">
        <v>23.06507205254515</v>
      </c>
      <c r="S240" s="23" t="n">
        <v>22.98699299501002</v>
      </c>
      <c r="T240" s="23" t="n">
        <v>23.00772989415391</v>
      </c>
      <c r="U240" s="23" t="n">
        <v>22.18958602761717</v>
      </c>
      <c r="V240" s="38" t="n">
        <v>23.0820819627002</v>
      </c>
      <c r="W240" s="39" t="n">
        <v>322</v>
      </c>
      <c r="X240" s="24" t="n">
        <v>0.8944444444444445</v>
      </c>
    </row>
    <row r="241" ht="13.9" customHeight="1">
      <c r="A241" s="10" t="n">
        <v>25025002</v>
      </c>
      <c r="B241" s="35" t="inlineStr">
        <is>
          <t>CP</t>
        </is>
      </c>
      <c r="C241" s="35" t="inlineStr">
        <is>
          <t xml:space="preserve">Los Alamos - AUT </t>
        </is>
      </c>
      <c r="D241" s="35" t="inlineStr">
        <is>
          <t>San Sebastián de Buenavista</t>
        </is>
      </c>
      <c r="E241" s="21" t="inlineStr">
        <is>
          <t>Magdalena</t>
        </is>
      </c>
      <c r="F241" s="35" t="n">
        <v>5</v>
      </c>
      <c r="G241" s="35" t="n">
        <v>25</v>
      </c>
      <c r="H241" s="36" t="n">
        <v>-74.27363889</v>
      </c>
      <c r="I241" s="37" t="n">
        <v>9.30405556</v>
      </c>
      <c r="J241" s="22" t="n">
        <v>21.46817384599086</v>
      </c>
      <c r="K241" s="23" t="n">
        <v>22.07480255427841</v>
      </c>
      <c r="L241" s="23" t="n">
        <v>23.15735551292454</v>
      </c>
      <c r="M241" s="23" t="n">
        <v>23.72600707747977</v>
      </c>
      <c r="N241" s="23" t="n">
        <v>23.59064453031672</v>
      </c>
      <c r="O241" s="23" t="n">
        <v>23.52509274643226</v>
      </c>
      <c r="P241" s="23" t="n">
        <v>23.30549760359093</v>
      </c>
      <c r="Q241" s="23" t="n">
        <v>23.23530827405973</v>
      </c>
      <c r="R241" s="23" t="n">
        <v>22.97870281059937</v>
      </c>
      <c r="S241" s="23" t="n">
        <v>23.09086272416471</v>
      </c>
      <c r="T241" s="23" t="n">
        <v>23.00864023428357</v>
      </c>
      <c r="U241" s="23" t="n">
        <v>22.31656144596968</v>
      </c>
      <c r="V241" s="38" t="n">
        <v>22.95647078000755</v>
      </c>
      <c r="W241" s="39" t="n">
        <v>301</v>
      </c>
      <c r="X241" s="24" t="n">
        <v>0.8361111111111111</v>
      </c>
    </row>
    <row r="242" ht="13.9" customHeight="1">
      <c r="A242" s="10" t="n">
        <v>15015050</v>
      </c>
      <c r="B242" s="35" t="inlineStr">
        <is>
          <t>SP</t>
        </is>
      </c>
      <c r="C242" s="11" t="inlineStr">
        <is>
          <t>Aeropuerto Simón Bolívar</t>
        </is>
      </c>
      <c r="D242" s="35" t="inlineStr">
        <is>
          <t>Santa Marta</t>
        </is>
      </c>
      <c r="E242" s="21" t="inlineStr">
        <is>
          <t>Magdalena</t>
        </is>
      </c>
      <c r="F242" s="35" t="n">
        <v>5</v>
      </c>
      <c r="G242" s="35" t="n">
        <v>4</v>
      </c>
      <c r="H242" s="36" t="n">
        <v>-74.22888889000001</v>
      </c>
      <c r="I242" s="37" t="n">
        <v>11.12833333</v>
      </c>
      <c r="J242" s="22" t="n">
        <v>22.56095661846496</v>
      </c>
      <c r="K242" s="23" t="n">
        <v>23.46612451163581</v>
      </c>
      <c r="L242" s="23" t="n">
        <v>24.45456062291435</v>
      </c>
      <c r="M242" s="23" t="n">
        <v>25.47961870788745</v>
      </c>
      <c r="N242" s="23" t="n">
        <v>25.74003213447039</v>
      </c>
      <c r="O242" s="23" t="n">
        <v>25.41668965517242</v>
      </c>
      <c r="P242" s="23" t="n">
        <v>24.96721171672229</v>
      </c>
      <c r="Q242" s="23" t="n">
        <v>24.8060066740823</v>
      </c>
      <c r="R242" s="23" t="n">
        <v>24.68665435139573</v>
      </c>
      <c r="S242" s="23" t="n">
        <v>24.42178319826262</v>
      </c>
      <c r="T242" s="23" t="n">
        <v>24.03167261196987</v>
      </c>
      <c r="U242" s="23" t="n">
        <v>23.13396233910694</v>
      </c>
      <c r="V242" s="38" t="n">
        <v>24.4304394285071</v>
      </c>
      <c r="W242" s="39" t="n">
        <v>345</v>
      </c>
      <c r="X242" s="24" t="n">
        <v>0.9583333333333334</v>
      </c>
    </row>
    <row r="243" ht="13.9" customHeight="1">
      <c r="A243" s="10" t="n">
        <v>15015060</v>
      </c>
      <c r="B243" s="35" t="inlineStr">
        <is>
          <t>CP</t>
        </is>
      </c>
      <c r="C243" s="35" t="inlineStr">
        <is>
          <t>San Lorenzo</t>
        </is>
      </c>
      <c r="D243" s="35" t="inlineStr">
        <is>
          <t>Santa Marta</t>
        </is>
      </c>
      <c r="E243" s="21" t="inlineStr">
        <is>
          <t>Magdalena</t>
        </is>
      </c>
      <c r="F243" s="35" t="n">
        <v>5</v>
      </c>
      <c r="G243" s="35" t="n">
        <v>2200</v>
      </c>
      <c r="H243" s="36" t="n">
        <v>-74.05469443999999</v>
      </c>
      <c r="I243" s="37" t="n">
        <v>11.11108333</v>
      </c>
      <c r="J243" s="22" t="n">
        <v>7.737921416089404</v>
      </c>
      <c r="K243" s="23" t="n">
        <v>8.139789678393127</v>
      </c>
      <c r="L243" s="23" t="n">
        <v>8.787262946483748</v>
      </c>
      <c r="M243" s="23" t="n">
        <v>9.587386639159055</v>
      </c>
      <c r="N243" s="23" t="n">
        <v>10.25275161249577</v>
      </c>
      <c r="O243" s="23" t="n">
        <v>10.27042008757526</v>
      </c>
      <c r="P243" s="23" t="n">
        <v>9.966295472335517</v>
      </c>
      <c r="Q243" s="23" t="n">
        <v>10.00822862030954</v>
      </c>
      <c r="R243" s="23" t="n">
        <v>9.843143163395625</v>
      </c>
      <c r="S243" s="23" t="n">
        <v>9.741073623913817</v>
      </c>
      <c r="T243" s="23" t="n">
        <v>9.342922858088887</v>
      </c>
      <c r="U243" s="23" t="n">
        <v>8.405423461822238</v>
      </c>
      <c r="V243" s="38" t="n">
        <v>9.340218298338499</v>
      </c>
      <c r="W243" s="39" t="n">
        <v>307</v>
      </c>
      <c r="X243" s="24" t="n">
        <v>0.8527777777777777</v>
      </c>
    </row>
    <row r="244" ht="13.9" customHeight="1">
      <c r="A244" s="10" t="n">
        <v>29065020</v>
      </c>
      <c r="B244" s="35" t="inlineStr">
        <is>
          <t>CO</t>
        </is>
      </c>
      <c r="C244" s="35" t="inlineStr">
        <is>
          <t>Padelma</t>
        </is>
      </c>
      <c r="D244" s="35" t="inlineStr">
        <is>
          <t>Zona Bananera</t>
        </is>
      </c>
      <c r="E244" s="21" t="inlineStr">
        <is>
          <t>Magdalena</t>
        </is>
      </c>
      <c r="F244" s="35" t="n">
        <v>5</v>
      </c>
      <c r="G244" s="35" t="n">
        <v>20</v>
      </c>
      <c r="H244" s="36" t="n">
        <v>-74.19972222000001</v>
      </c>
      <c r="I244" s="37" t="n">
        <v>10.72111111</v>
      </c>
      <c r="J244" s="22" t="n">
        <v>20.97794370470806</v>
      </c>
      <c r="K244" s="23" t="n">
        <v>21.42218052807133</v>
      </c>
      <c r="L244" s="23" t="n">
        <v>22.50726039699096</v>
      </c>
      <c r="M244" s="23" t="n">
        <v>23.36265775275627</v>
      </c>
      <c r="N244" s="23" t="n">
        <v>23.60205167180128</v>
      </c>
      <c r="O244" s="23" t="n">
        <v>23.42893779209296</v>
      </c>
      <c r="P244" s="23" t="n">
        <v>23.14918875175827</v>
      </c>
      <c r="Q244" s="23" t="n">
        <v>23.07290067922438</v>
      </c>
      <c r="R244" s="23" t="n">
        <v>22.98320295285813</v>
      </c>
      <c r="S244" s="23" t="n">
        <v>22.8147564010692</v>
      </c>
      <c r="T244" s="23" t="n">
        <v>22.64523644691064</v>
      </c>
      <c r="U244" s="23" t="n">
        <v>21.98603679808841</v>
      </c>
      <c r="V244" s="38" t="n">
        <v>22.66269615636083</v>
      </c>
      <c r="W244" s="39" t="n">
        <v>331</v>
      </c>
      <c r="X244" s="24" t="n">
        <v>0.9194444444444444</v>
      </c>
    </row>
    <row r="245" ht="13.9" customHeight="1">
      <c r="A245" s="10" t="n">
        <v>29065030</v>
      </c>
      <c r="B245" s="35" t="inlineStr">
        <is>
          <t>CO</t>
        </is>
      </c>
      <c r="C245" s="35" t="inlineStr">
        <is>
          <t>Prado Sevilla</t>
        </is>
      </c>
      <c r="D245" s="35" t="inlineStr">
        <is>
          <t>Zona Bananera</t>
        </is>
      </c>
      <c r="E245" s="21" t="inlineStr">
        <is>
          <t>Magdalena</t>
        </is>
      </c>
      <c r="F245" s="35" t="n">
        <v>5</v>
      </c>
      <c r="G245" s="35" t="n">
        <v>18</v>
      </c>
      <c r="H245" s="36" t="n">
        <v>-74.15472222000001</v>
      </c>
      <c r="I245" s="37" t="n">
        <v>10.76416667</v>
      </c>
      <c r="J245" s="22" t="n">
        <v>20.55335558027438</v>
      </c>
      <c r="K245" s="23" t="n">
        <v>20.96453201970443</v>
      </c>
      <c r="L245" s="23" t="n">
        <v>21.67098924731183</v>
      </c>
      <c r="M245" s="23" t="n">
        <v>22.36878306878307</v>
      </c>
      <c r="N245" s="23" t="n">
        <v>22.68580669880114</v>
      </c>
      <c r="O245" s="23" t="n">
        <v>22.41413920817369</v>
      </c>
      <c r="P245" s="23" t="n">
        <v>22.22518279569893</v>
      </c>
      <c r="Q245" s="23" t="n">
        <v>21.88900556173526</v>
      </c>
      <c r="R245" s="23" t="n">
        <v>21.60981520778073</v>
      </c>
      <c r="S245" s="23" t="n">
        <v>21.6443715651135</v>
      </c>
      <c r="T245" s="23" t="n">
        <v>21.43916475095785</v>
      </c>
      <c r="U245" s="23" t="n">
        <v>21.05739710789767</v>
      </c>
      <c r="V245" s="38" t="n">
        <v>21.71021190101937</v>
      </c>
      <c r="W245" s="39" t="n">
        <v>116</v>
      </c>
      <c r="X245" s="24" t="n">
        <v>0.9666666666666667</v>
      </c>
    </row>
    <row r="246" ht="13.9" customHeight="1">
      <c r="A246" s="10" t="n">
        <v>35105050</v>
      </c>
      <c r="B246" s="35" t="inlineStr">
        <is>
          <t>CO</t>
        </is>
      </c>
      <c r="C246" s="35" t="inlineStr">
        <is>
          <t>Guaicaramo</t>
        </is>
      </c>
      <c r="D246" s="35" t="inlineStr">
        <is>
          <t>Barranca de Upía</t>
        </is>
      </c>
      <c r="E246" s="21" t="inlineStr">
        <is>
          <t>Meta</t>
        </is>
      </c>
      <c r="F246" s="35" t="n">
        <v>3</v>
      </c>
      <c r="G246" s="35" t="n">
        <v>206</v>
      </c>
      <c r="H246" s="36" t="n">
        <v>-72.95363999999999</v>
      </c>
      <c r="I246" s="37" t="n">
        <v>4.46865</v>
      </c>
      <c r="J246" s="22" t="n">
        <v>20.36939331088977</v>
      </c>
      <c r="K246" s="23" t="n">
        <v>20.79192067850133</v>
      </c>
      <c r="L246" s="23" t="n">
        <v>21.38446665668323</v>
      </c>
      <c r="M246" s="23" t="n">
        <v>21.50904988842309</v>
      </c>
      <c r="N246" s="23" t="n">
        <v>21.41013396763747</v>
      </c>
      <c r="O246" s="23" t="n">
        <v>21.03574871197941</v>
      </c>
      <c r="P246" s="23" t="n">
        <v>20.77932797504683</v>
      </c>
      <c r="Q246" s="23" t="n">
        <v>20.95822964669739</v>
      </c>
      <c r="R246" s="23" t="n">
        <v>21.23379408461554</v>
      </c>
      <c r="S246" s="23" t="n">
        <v>21.45017676250643</v>
      </c>
      <c r="T246" s="23" t="n">
        <v>21.47671902235695</v>
      </c>
      <c r="U246" s="23" t="n">
        <v>20.91596032675148</v>
      </c>
      <c r="V246" s="38" t="n">
        <v>21.10957675267408</v>
      </c>
      <c r="W246" s="39" t="n">
        <v>301</v>
      </c>
      <c r="X246" s="24" t="n">
        <v>0.8361111111111111</v>
      </c>
    </row>
    <row r="247" ht="13.9" customHeight="1">
      <c r="A247" s="10" t="n">
        <v>35045020</v>
      </c>
      <c r="B247" s="35" t="inlineStr">
        <is>
          <t>CO</t>
        </is>
      </c>
      <c r="C247" s="35" t="inlineStr">
        <is>
          <t>Hacienda La Cabaña</t>
        </is>
      </c>
      <c r="D247" s="35" t="inlineStr">
        <is>
          <t>Cumaral</t>
        </is>
      </c>
      <c r="E247" s="21" t="inlineStr">
        <is>
          <t>Meta</t>
        </is>
      </c>
      <c r="F247" s="35" t="n">
        <v>3</v>
      </c>
      <c r="G247" s="35" t="n">
        <v>305</v>
      </c>
      <c r="H247" s="36" t="n">
        <v>-73.3575</v>
      </c>
      <c r="I247" s="37" t="n">
        <v>4.30044444</v>
      </c>
      <c r="J247" s="22" t="n">
        <v>21.28297269320917</v>
      </c>
      <c r="K247" s="23" t="n">
        <v>21.80419058378829</v>
      </c>
      <c r="L247" s="23" t="n">
        <v>22.17441439930316</v>
      </c>
      <c r="M247" s="23" t="n">
        <v>22.02292890591741</v>
      </c>
      <c r="N247" s="23" t="n">
        <v>21.76807044864665</v>
      </c>
      <c r="O247" s="23" t="n">
        <v>21.37957678248998</v>
      </c>
      <c r="P247" s="23" t="n">
        <v>21.09319004471166</v>
      </c>
      <c r="Q247" s="23" t="n">
        <v>21.15543885548096</v>
      </c>
      <c r="R247" s="23" t="n">
        <v>21.26539280477339</v>
      </c>
      <c r="S247" s="23" t="n">
        <v>21.54252502780868</v>
      </c>
      <c r="T247" s="23" t="n">
        <v>21.79506212370006</v>
      </c>
      <c r="U247" s="23" t="n">
        <v>21.44006006674082</v>
      </c>
      <c r="V247" s="38" t="n">
        <v>21.56031856138085</v>
      </c>
      <c r="W247" s="39" t="n">
        <v>346</v>
      </c>
      <c r="X247" s="24" t="n">
        <v>0.9611111111111111</v>
      </c>
    </row>
    <row r="248" ht="13.9" customHeight="1">
      <c r="A248" s="10" t="n">
        <v>32075060</v>
      </c>
      <c r="B248" s="35" t="inlineStr">
        <is>
          <t>CO</t>
        </is>
      </c>
      <c r="C248" s="35" t="inlineStr">
        <is>
          <t xml:space="preserve">La Cooperativa </t>
        </is>
      </c>
      <c r="D248" s="35" t="inlineStr">
        <is>
          <t>Fuente de Oro</t>
        </is>
      </c>
      <c r="E248" s="21" t="inlineStr">
        <is>
          <t>Meta</t>
        </is>
      </c>
      <c r="F248" s="35" t="n">
        <v>3</v>
      </c>
      <c r="G248" s="35" t="n">
        <v>280</v>
      </c>
      <c r="H248" s="36" t="n">
        <v>-73.7</v>
      </c>
      <c r="I248" s="37" t="n">
        <v>3.36666667</v>
      </c>
      <c r="J248" s="22" t="n">
        <v>20.16901075268817</v>
      </c>
      <c r="K248" s="23" t="n">
        <v>19.77527093596059</v>
      </c>
      <c r="L248" s="23" t="n">
        <v>20.05387096774194</v>
      </c>
      <c r="M248" s="23" t="n">
        <v>19.80772413793104</v>
      </c>
      <c r="N248" s="23" t="n">
        <v>19.78393548387097</v>
      </c>
      <c r="O248" s="23" t="n">
        <v>19.97133333333334</v>
      </c>
      <c r="P248" s="23" t="n">
        <v>20.08129032258065</v>
      </c>
      <c r="Q248" s="23" t="n">
        <v>20.05612903225806</v>
      </c>
      <c r="R248" s="23" t="n">
        <v>20.10733333333334</v>
      </c>
      <c r="S248" s="23" t="n">
        <v>20.20456391875747</v>
      </c>
      <c r="T248" s="23" t="n">
        <v>20.22167816091955</v>
      </c>
      <c r="U248" s="23" t="n">
        <v>20.11541218637993</v>
      </c>
      <c r="V248" s="38" t="n">
        <v>20.02896271381292</v>
      </c>
      <c r="W248" s="39" t="n">
        <v>118</v>
      </c>
      <c r="X248" s="24" t="n">
        <v>0.9833333333333333</v>
      </c>
    </row>
    <row r="249" ht="13.9" customHeight="1">
      <c r="A249" s="10" t="n">
        <v>32075040</v>
      </c>
      <c r="B249" s="35" t="inlineStr">
        <is>
          <t>CO</t>
        </is>
      </c>
      <c r="C249" s="35" t="inlineStr">
        <is>
          <t>La Holanda</t>
        </is>
      </c>
      <c r="D249" s="35" t="inlineStr">
        <is>
          <t xml:space="preserve">Granada </t>
        </is>
      </c>
      <c r="E249" s="21" t="inlineStr">
        <is>
          <t>Meta</t>
        </is>
      </c>
      <c r="F249" s="35" t="n">
        <v>3</v>
      </c>
      <c r="G249" s="35" t="n">
        <v>360</v>
      </c>
      <c r="H249" s="36" t="n">
        <v>-73.71602777999999</v>
      </c>
      <c r="I249" s="37" t="n">
        <v>3.51633333</v>
      </c>
      <c r="J249" s="22" t="n">
        <v>21.30637854448384</v>
      </c>
      <c r="K249" s="23" t="n">
        <v>21.62597195179892</v>
      </c>
      <c r="L249" s="23" t="n">
        <v>21.92787251645189</v>
      </c>
      <c r="M249" s="23" t="n">
        <v>21.84115770412583</v>
      </c>
      <c r="N249" s="23" t="n">
        <v>21.77244058450689</v>
      </c>
      <c r="O249" s="23" t="n">
        <v>21.36069739168877</v>
      </c>
      <c r="P249" s="23" t="n">
        <v>20.99078211902114</v>
      </c>
      <c r="Q249" s="23" t="n">
        <v>21.07345637718274</v>
      </c>
      <c r="R249" s="23" t="n">
        <v>21.25706886318237</v>
      </c>
      <c r="S249" s="23" t="n">
        <v>21.53198316692268</v>
      </c>
      <c r="T249" s="23" t="n">
        <v>21.82822226640037</v>
      </c>
      <c r="U249" s="23" t="n">
        <v>21.77015371464115</v>
      </c>
      <c r="V249" s="38" t="n">
        <v>21.52384876670055</v>
      </c>
      <c r="W249" s="39" t="n">
        <v>283</v>
      </c>
      <c r="X249" s="24" t="n">
        <v>0.7861111111111111</v>
      </c>
    </row>
    <row r="250" ht="13.9" customHeight="1">
      <c r="A250" s="10" t="n">
        <v>32035020</v>
      </c>
      <c r="B250" s="35" t="inlineStr">
        <is>
          <t>CO</t>
        </is>
      </c>
      <c r="C250" s="35" t="inlineStr">
        <is>
          <t>La Balsora</t>
        </is>
      </c>
      <c r="D250" s="35" t="inlineStr">
        <is>
          <t>La Macarena</t>
        </is>
      </c>
      <c r="E250" s="21" t="inlineStr">
        <is>
          <t>Meta</t>
        </is>
      </c>
      <c r="F250" s="35" t="n">
        <v>3</v>
      </c>
      <c r="G250" s="35" t="n">
        <v>270</v>
      </c>
      <c r="H250" s="36" t="n">
        <v>-73.93227777999999</v>
      </c>
      <c r="I250" s="37" t="n">
        <v>2.43838889</v>
      </c>
      <c r="J250" s="22" t="n">
        <v>20.73172366039596</v>
      </c>
      <c r="K250" s="23" t="n">
        <v>21.21047276325208</v>
      </c>
      <c r="L250" s="23" t="n">
        <v>21.98281855795093</v>
      </c>
      <c r="M250" s="23" t="n">
        <v>22.03692975734355</v>
      </c>
      <c r="N250" s="23" t="n">
        <v>21.85818242491657</v>
      </c>
      <c r="O250" s="23" t="n">
        <v>21.50431277981278</v>
      </c>
      <c r="P250" s="23" t="n">
        <v>21.02984024577573</v>
      </c>
      <c r="Q250" s="23" t="n">
        <v>21.05119203673598</v>
      </c>
      <c r="R250" s="23" t="n">
        <v>21.08358620689655</v>
      </c>
      <c r="S250" s="23" t="n">
        <v>21.50566127443191</v>
      </c>
      <c r="T250" s="23" t="n">
        <v>21.71754036461623</v>
      </c>
      <c r="U250" s="23" t="n">
        <v>21.36586794534514</v>
      </c>
      <c r="V250" s="38" t="n">
        <v>21.42317733478945</v>
      </c>
      <c r="W250" s="39" t="n">
        <v>120</v>
      </c>
      <c r="X250" s="24" t="n">
        <v>1</v>
      </c>
    </row>
    <row r="251" ht="13.9" customHeight="1">
      <c r="A251" s="10" t="n">
        <v>32035010</v>
      </c>
      <c r="B251" s="35" t="inlineStr">
        <is>
          <t>CP</t>
        </is>
      </c>
      <c r="C251" s="35" t="inlineStr">
        <is>
          <t>La Macarena</t>
        </is>
      </c>
      <c r="D251" s="35" t="inlineStr">
        <is>
          <t>La Macarena</t>
        </is>
      </c>
      <c r="E251" s="21" t="inlineStr">
        <is>
          <t>Meta</t>
        </is>
      </c>
      <c r="F251" s="35" t="n">
        <v>3</v>
      </c>
      <c r="G251" s="35" t="n">
        <v>248</v>
      </c>
      <c r="H251" s="36" t="n">
        <v>-73.79333333</v>
      </c>
      <c r="I251" s="37" t="n">
        <v>2.17611111</v>
      </c>
      <c r="J251" s="22" t="n">
        <v>22.03626194042576</v>
      </c>
      <c r="K251" s="23" t="n">
        <v>21.79706502128385</v>
      </c>
      <c r="L251" s="23" t="n">
        <v>22.27105839618298</v>
      </c>
      <c r="M251" s="23" t="n">
        <v>22.1902679965132</v>
      </c>
      <c r="N251" s="23" t="n">
        <v>22.11371688707617</v>
      </c>
      <c r="O251" s="23" t="n">
        <v>21.743446381205</v>
      </c>
      <c r="P251" s="23" t="n">
        <v>21.33536828121538</v>
      </c>
      <c r="Q251" s="23" t="n">
        <v>21.42172343840514</v>
      </c>
      <c r="R251" s="23" t="n">
        <v>21.71195083014049</v>
      </c>
      <c r="S251" s="23" t="n">
        <v>22.02002060322337</v>
      </c>
      <c r="T251" s="23" t="n">
        <v>22.33408227673622</v>
      </c>
      <c r="U251" s="23" t="n">
        <v>22.37550500913503</v>
      </c>
      <c r="V251" s="38" t="n">
        <v>21.94587225512855</v>
      </c>
      <c r="W251" s="39" t="n">
        <v>329</v>
      </c>
      <c r="X251" s="24" t="n">
        <v>0.9138888888888889</v>
      </c>
    </row>
    <row r="252" ht="13.9" customHeight="1">
      <c r="A252" s="10" t="n">
        <v>32065010</v>
      </c>
      <c r="B252" s="35" t="inlineStr">
        <is>
          <t>CO</t>
        </is>
      </c>
      <c r="C252" s="35" t="inlineStr">
        <is>
          <t>Lejanias</t>
        </is>
      </c>
      <c r="D252" s="35" t="inlineStr">
        <is>
          <t>Lejanías</t>
        </is>
      </c>
      <c r="E252" s="21" t="inlineStr">
        <is>
          <t>Meta</t>
        </is>
      </c>
      <c r="F252" s="35" t="n">
        <v>3</v>
      </c>
      <c r="G252" s="35" t="n">
        <v>680</v>
      </c>
      <c r="H252" s="36" t="n">
        <v>-74.01666666999999</v>
      </c>
      <c r="I252" s="37" t="n">
        <v>3.53333333</v>
      </c>
      <c r="J252" s="22" t="n">
        <v>19.43673223659817</v>
      </c>
      <c r="K252" s="23" t="n">
        <v>19.88668560622009</v>
      </c>
      <c r="L252" s="23" t="n">
        <v>20.1657045306072</v>
      </c>
      <c r="M252" s="23" t="n">
        <v>19.91526600985221</v>
      </c>
      <c r="N252" s="23" t="n">
        <v>19.75767880978865</v>
      </c>
      <c r="O252" s="23" t="n">
        <v>19.28288054187193</v>
      </c>
      <c r="P252" s="23" t="n">
        <v>18.92353607861672</v>
      </c>
      <c r="Q252" s="23" t="n">
        <v>19.2568018877857</v>
      </c>
      <c r="R252" s="23" t="n">
        <v>19.41641867359971</v>
      </c>
      <c r="S252" s="23" t="n">
        <v>19.60944141372746</v>
      </c>
      <c r="T252" s="23" t="n">
        <v>19.66750448919232</v>
      </c>
      <c r="U252" s="23" t="n">
        <v>19.43285976481805</v>
      </c>
      <c r="V252" s="38" t="n">
        <v>19.56262583688985</v>
      </c>
      <c r="W252" s="39" t="n">
        <v>233</v>
      </c>
      <c r="X252" s="24" t="n">
        <v>0.9708333333333333</v>
      </c>
    </row>
    <row r="253" ht="13.9" customHeight="1">
      <c r="A253" s="10" t="n">
        <v>32075050</v>
      </c>
      <c r="B253" s="35" t="inlineStr">
        <is>
          <t>CO</t>
        </is>
      </c>
      <c r="C253" s="35" t="inlineStr">
        <is>
          <t>Mesetas</t>
        </is>
      </c>
      <c r="D253" s="35" t="inlineStr">
        <is>
          <t>Mesetas</t>
        </is>
      </c>
      <c r="E253" s="21" t="inlineStr">
        <is>
          <t>Meta</t>
        </is>
      </c>
      <c r="F253" s="35" t="n">
        <v>3</v>
      </c>
      <c r="G253" s="35" t="n">
        <v>556</v>
      </c>
      <c r="H253" s="36" t="n">
        <v>-74.04300000000001</v>
      </c>
      <c r="I253" s="37" t="n">
        <v>3.38008</v>
      </c>
      <c r="J253" s="22" t="n">
        <v>18.79075739656394</v>
      </c>
      <c r="K253" s="23" t="n">
        <v>19.0022650685787</v>
      </c>
      <c r="L253" s="23" t="n">
        <v>19.50869364314259</v>
      </c>
      <c r="M253" s="23" t="n">
        <v>19.70045283707353</v>
      </c>
      <c r="N253" s="23" t="n">
        <v>19.93189800796163</v>
      </c>
      <c r="O253" s="23" t="n">
        <v>19.48774143404488</v>
      </c>
      <c r="P253" s="23" t="n">
        <v>19.17653476427855</v>
      </c>
      <c r="Q253" s="23" t="n">
        <v>19.19997390211015</v>
      </c>
      <c r="R253" s="23" t="n">
        <v>19.32154907161804</v>
      </c>
      <c r="S253" s="23" t="n">
        <v>19.63086859089847</v>
      </c>
      <c r="T253" s="23" t="n">
        <v>19.94560478405922</v>
      </c>
      <c r="U253" s="23" t="n">
        <v>19.66190019299697</v>
      </c>
      <c r="V253" s="38" t="n">
        <v>19.44651997444389</v>
      </c>
      <c r="W253" s="39" t="n">
        <v>307</v>
      </c>
      <c r="X253" s="24" t="n">
        <v>0.8527777777777777</v>
      </c>
    </row>
    <row r="254" ht="13.9" customHeight="1">
      <c r="A254" s="10" t="n">
        <v>33035010</v>
      </c>
      <c r="B254" s="35" t="inlineStr">
        <is>
          <t>ME</t>
        </is>
      </c>
      <c r="C254" s="35" t="inlineStr">
        <is>
          <t xml:space="preserve">Carimagua - AUT </t>
        </is>
      </c>
      <c r="D254" s="35" t="inlineStr">
        <is>
          <t>Puerto Gaitán</t>
        </is>
      </c>
      <c r="E254" s="21" t="inlineStr">
        <is>
          <t>Meta</t>
        </is>
      </c>
      <c r="F254" s="35" t="n">
        <v>3</v>
      </c>
      <c r="G254" s="35" t="n">
        <v>200</v>
      </c>
      <c r="H254" s="36" t="n">
        <v>-71.34075</v>
      </c>
      <c r="I254" s="37" t="n">
        <v>4.57441667</v>
      </c>
      <c r="J254" s="22" t="n">
        <v>21.85507765830346</v>
      </c>
      <c r="K254" s="23" t="n">
        <v>22.4777245636441</v>
      </c>
      <c r="L254" s="23" t="n">
        <v>22.93451167964405</v>
      </c>
      <c r="M254" s="23" t="n">
        <v>22.93733333333333</v>
      </c>
      <c r="N254" s="23" t="n">
        <v>22.73219021134594</v>
      </c>
      <c r="O254" s="23" t="n">
        <v>22.18441912972086</v>
      </c>
      <c r="P254" s="23" t="n">
        <v>21.81448028673834</v>
      </c>
      <c r="Q254" s="23" t="n">
        <v>21.87964157706092</v>
      </c>
      <c r="R254" s="23" t="n">
        <v>22.17232142857143</v>
      </c>
      <c r="S254" s="23" t="n">
        <v>22.28147568065046</v>
      </c>
      <c r="T254" s="23" t="n">
        <v>22.66228653530377</v>
      </c>
      <c r="U254" s="23" t="n">
        <v>22.18921579532814</v>
      </c>
      <c r="V254" s="38" t="n">
        <v>22.34338982330373</v>
      </c>
      <c r="W254" s="39" t="n">
        <v>106</v>
      </c>
      <c r="X254" s="24" t="n">
        <v>0.8833333333333333</v>
      </c>
    </row>
    <row r="255" ht="13.9" customHeight="1">
      <c r="A255" s="10" t="n">
        <v>32075080</v>
      </c>
      <c r="B255" s="35" t="inlineStr">
        <is>
          <t>CO</t>
        </is>
      </c>
      <c r="C255" s="35" t="inlineStr">
        <is>
          <t>Puerto Lleras</t>
        </is>
      </c>
      <c r="D255" s="35" t="inlineStr">
        <is>
          <t>Puerto Lleras</t>
        </is>
      </c>
      <c r="E255" s="21" t="inlineStr">
        <is>
          <t>Meta</t>
        </is>
      </c>
      <c r="F255" s="35" t="n">
        <v>3</v>
      </c>
      <c r="G255" s="35" t="n">
        <v>245</v>
      </c>
      <c r="H255" s="36" t="n">
        <v>-73.37319443999999</v>
      </c>
      <c r="I255" s="37" t="n">
        <v>3.26769444</v>
      </c>
      <c r="J255" s="22" t="n">
        <v>20.56633483923218</v>
      </c>
      <c r="K255" s="23" t="n">
        <v>20.87530564918042</v>
      </c>
      <c r="L255" s="23" t="n">
        <v>21.70726190668107</v>
      </c>
      <c r="M255" s="23" t="n">
        <v>22.07916747365023</v>
      </c>
      <c r="N255" s="23" t="n">
        <v>22.06263260673002</v>
      </c>
      <c r="O255" s="23" t="n">
        <v>21.62949711443359</v>
      </c>
      <c r="P255" s="23" t="n">
        <v>21.32529274614047</v>
      </c>
      <c r="Q255" s="23" t="n">
        <v>21.40634488210392</v>
      </c>
      <c r="R255" s="23" t="n">
        <v>21.58627706164911</v>
      </c>
      <c r="S255" s="23" t="n">
        <v>21.82088216462551</v>
      </c>
      <c r="T255" s="23" t="n">
        <v>21.8958364248211</v>
      </c>
      <c r="U255" s="23" t="n">
        <v>21.40090886232134</v>
      </c>
      <c r="V255" s="38" t="n">
        <v>21.52964514429742</v>
      </c>
      <c r="W255" s="39" t="n">
        <v>222</v>
      </c>
      <c r="X255" s="24" t="n">
        <v>0.925</v>
      </c>
    </row>
    <row r="256" ht="13.9" customHeight="1">
      <c r="A256" s="10" t="n">
        <v>35015050</v>
      </c>
      <c r="B256" s="35" t="inlineStr">
        <is>
          <t>CO</t>
        </is>
      </c>
      <c r="C256" s="35" t="inlineStr">
        <is>
          <t>Barbascal</t>
        </is>
      </c>
      <c r="D256" s="35" t="inlineStr">
        <is>
          <t>San Martín</t>
        </is>
      </c>
      <c r="E256" s="21" t="inlineStr">
        <is>
          <t>Meta</t>
        </is>
      </c>
      <c r="F256" s="35" t="n">
        <v>3</v>
      </c>
      <c r="G256" s="35" t="n">
        <v>250</v>
      </c>
      <c r="H256" s="36" t="n">
        <v>-73.34927777999999</v>
      </c>
      <c r="I256" s="37" t="n">
        <v>3.63077778</v>
      </c>
      <c r="J256" s="22" t="n">
        <v>20.47641543049913</v>
      </c>
      <c r="K256" s="23" t="n">
        <v>20.73817629709584</v>
      </c>
      <c r="L256" s="23" t="n">
        <v>21.4814002896539</v>
      </c>
      <c r="M256" s="23" t="n">
        <v>21.60246815338769</v>
      </c>
      <c r="N256" s="23" t="n">
        <v>21.6861460882462</v>
      </c>
      <c r="O256" s="23" t="n">
        <v>21.38654717134717</v>
      </c>
      <c r="P256" s="23" t="n">
        <v>21.23365844290427</v>
      </c>
      <c r="Q256" s="23" t="n">
        <v>21.20740854525801</v>
      </c>
      <c r="R256" s="23" t="n">
        <v>21.44111339171684</v>
      </c>
      <c r="S256" s="23" t="n">
        <v>21.60390090739812</v>
      </c>
      <c r="T256" s="23" t="n">
        <v>21.39467236467237</v>
      </c>
      <c r="U256" s="23" t="n">
        <v>21.05419459141681</v>
      </c>
      <c r="V256" s="38" t="n">
        <v>21.2755084727997</v>
      </c>
      <c r="W256" s="39" t="n">
        <v>110</v>
      </c>
      <c r="X256" s="24" t="n">
        <v>0.9166666666666666</v>
      </c>
    </row>
    <row r="257" ht="13.9" customHeight="1">
      <c r="A257" s="10" t="n">
        <v>35035020</v>
      </c>
      <c r="B257" s="35" t="inlineStr">
        <is>
          <t>SP</t>
        </is>
      </c>
      <c r="C257" s="35" t="inlineStr">
        <is>
          <t>Aeropuerto Vanguardia</t>
        </is>
      </c>
      <c r="D257" s="35" t="inlineStr">
        <is>
          <t>Villavicencio</t>
        </is>
      </c>
      <c r="E257" s="21" t="inlineStr">
        <is>
          <t>Meta</t>
        </is>
      </c>
      <c r="F257" s="35" t="n">
        <v>3</v>
      </c>
      <c r="G257" s="35" t="n">
        <v>422</v>
      </c>
      <c r="H257" s="36" t="n">
        <v>-73.61757778</v>
      </c>
      <c r="I257" s="37" t="n">
        <v>4.16191944</v>
      </c>
      <c r="J257" s="22" t="n">
        <v>21.39666666666666</v>
      </c>
      <c r="K257" s="23" t="n">
        <v>22.26230706075534</v>
      </c>
      <c r="L257" s="23" t="n">
        <v>22.18572043010753</v>
      </c>
      <c r="M257" s="23" t="n">
        <v>21.55406130268199</v>
      </c>
      <c r="N257" s="23" t="n">
        <v>21.21430107526882</v>
      </c>
      <c r="O257" s="23" t="n">
        <v>20.68377777777778</v>
      </c>
      <c r="P257" s="23" t="n">
        <v>20.39795698924731</v>
      </c>
      <c r="Q257" s="23" t="n">
        <v>20.53698553948831</v>
      </c>
      <c r="R257" s="23" t="n">
        <v>20.68482758620689</v>
      </c>
      <c r="S257" s="23" t="n">
        <v>20.98265591397849</v>
      </c>
      <c r="T257" s="23" t="n">
        <v>21.22113793103449</v>
      </c>
      <c r="U257" s="23" t="n">
        <v>21.15476344086021</v>
      </c>
      <c r="V257" s="38" t="n">
        <v>21.18959680950616</v>
      </c>
      <c r="W257" s="39" t="n">
        <v>358</v>
      </c>
      <c r="X257" s="24" t="n">
        <v>0.9944444444444445</v>
      </c>
    </row>
    <row r="258" ht="13.9" customHeight="1">
      <c r="A258" s="10" t="n">
        <v>35025110</v>
      </c>
      <c r="B258" s="35" t="inlineStr">
        <is>
          <t>AM</t>
        </is>
      </c>
      <c r="C258" s="35" t="inlineStr">
        <is>
          <t xml:space="preserve">La Libertad- AUT </t>
        </is>
      </c>
      <c r="D258" s="35" t="inlineStr">
        <is>
          <t>Villavicencio</t>
        </is>
      </c>
      <c r="E258" s="21" t="inlineStr">
        <is>
          <t>Meta</t>
        </is>
      </c>
      <c r="F258" s="35" t="n">
        <v>3</v>
      </c>
      <c r="G258" s="35" t="n">
        <v>336</v>
      </c>
      <c r="H258" s="36" t="n">
        <v>-73.46791666999999</v>
      </c>
      <c r="I258" s="37" t="n">
        <v>4.05736111</v>
      </c>
      <c r="J258" s="22" t="n">
        <v>22.36876639489543</v>
      </c>
      <c r="K258" s="23" t="n">
        <v>22.79589643528979</v>
      </c>
      <c r="L258" s="23" t="n">
        <v>22.78492675622486</v>
      </c>
      <c r="M258" s="23" t="n">
        <v>22.35159068456447</v>
      </c>
      <c r="N258" s="23" t="n">
        <v>22.15588734572806</v>
      </c>
      <c r="O258" s="23" t="n">
        <v>21.62404163414442</v>
      </c>
      <c r="P258" s="23" t="n">
        <v>21.40354036642712</v>
      </c>
      <c r="Q258" s="23" t="n">
        <v>21.51595325788206</v>
      </c>
      <c r="R258" s="23" t="n">
        <v>21.68406544285855</v>
      </c>
      <c r="S258" s="23" t="n">
        <v>21.95490720933991</v>
      </c>
      <c r="T258" s="23" t="n">
        <v>22.19942074017937</v>
      </c>
      <c r="U258" s="23" t="n">
        <v>22.19312200946378</v>
      </c>
      <c r="V258" s="38" t="n">
        <v>22.08600985641649</v>
      </c>
      <c r="W258" s="39" t="n">
        <v>307</v>
      </c>
      <c r="X258" s="24" t="n">
        <v>0.8527777777777777</v>
      </c>
    </row>
    <row r="259" ht="13.9" customHeight="1">
      <c r="A259" s="10" t="n">
        <v>35035070</v>
      </c>
      <c r="B259" s="35" t="inlineStr">
        <is>
          <t>CP</t>
        </is>
      </c>
      <c r="C259" s="35" t="inlineStr">
        <is>
          <t>Unillanos</t>
        </is>
      </c>
      <c r="D259" s="35" t="inlineStr">
        <is>
          <t>Villavicencio</t>
        </is>
      </c>
      <c r="E259" s="21" t="inlineStr">
        <is>
          <t>Meta</t>
        </is>
      </c>
      <c r="F259" s="35" t="n">
        <v>3</v>
      </c>
      <c r="G259" s="35" t="n">
        <v>340</v>
      </c>
      <c r="H259" s="36" t="n">
        <v>-73.58199999999999</v>
      </c>
      <c r="I259" s="37" t="n">
        <v>4.07672222</v>
      </c>
      <c r="J259" s="22" t="n">
        <v>20.81746829810901</v>
      </c>
      <c r="K259" s="23" t="n">
        <v>21.2109571246123</v>
      </c>
      <c r="L259" s="23" t="n">
        <v>21.5054623655914</v>
      </c>
      <c r="M259" s="23" t="n">
        <v>21.3455872063968</v>
      </c>
      <c r="N259" s="23" t="n">
        <v>21.2189605734767</v>
      </c>
      <c r="O259" s="23" t="n">
        <v>20.87492163009404</v>
      </c>
      <c r="P259" s="23" t="n">
        <v>20.65046082949309</v>
      </c>
      <c r="Q259" s="23" t="n">
        <v>20.5173715651135</v>
      </c>
      <c r="R259" s="23" t="n">
        <v>20.74301404853129</v>
      </c>
      <c r="S259" s="23" t="n">
        <v>20.97042033235582</v>
      </c>
      <c r="T259" s="23" t="n">
        <v>21.05787177190625</v>
      </c>
      <c r="U259" s="23" t="n">
        <v>20.94107526881721</v>
      </c>
      <c r="V259" s="38" t="n">
        <v>20.98779758454145</v>
      </c>
      <c r="W259" s="39" t="n">
        <v>115</v>
      </c>
      <c r="X259" s="24" t="n">
        <v>0.9583333333333334</v>
      </c>
    </row>
    <row r="260" ht="13.9" customHeight="1">
      <c r="A260" s="10" t="n">
        <v>32075030</v>
      </c>
      <c r="B260" s="35" t="inlineStr">
        <is>
          <t>CO</t>
        </is>
      </c>
      <c r="C260" s="35" t="inlineStr">
        <is>
          <t>Vista Hermosa</t>
        </is>
      </c>
      <c r="D260" s="35" t="inlineStr">
        <is>
          <t>Vistahermosa</t>
        </is>
      </c>
      <c r="E260" s="21" t="inlineStr">
        <is>
          <t>Meta</t>
        </is>
      </c>
      <c r="F260" s="35" t="n">
        <v>3</v>
      </c>
      <c r="G260" s="35" t="n">
        <v>325</v>
      </c>
      <c r="H260" s="36" t="n">
        <v>-73.75402778</v>
      </c>
      <c r="I260" s="37" t="n">
        <v>3.12038889</v>
      </c>
      <c r="J260" s="22" t="n">
        <v>22.7669435109492</v>
      </c>
      <c r="K260" s="23" t="n">
        <v>22.91471843992534</v>
      </c>
      <c r="L260" s="23" t="n">
        <v>22.52488052568698</v>
      </c>
      <c r="M260" s="23" t="n">
        <v>22.15753001277139</v>
      </c>
      <c r="N260" s="23" t="n">
        <v>22.12004861368599</v>
      </c>
      <c r="O260" s="23" t="n">
        <v>21.68173709177157</v>
      </c>
      <c r="P260" s="23" t="n">
        <v>21.0816846702097</v>
      </c>
      <c r="Q260" s="23" t="n">
        <v>21.229486260454</v>
      </c>
      <c r="R260" s="23" t="n">
        <v>21.6813544973545</v>
      </c>
      <c r="S260" s="23" t="n">
        <v>21.91003784334151</v>
      </c>
      <c r="T260" s="23" t="n">
        <v>22.50627257799671</v>
      </c>
      <c r="U260" s="23" t="n">
        <v>23.01652431272842</v>
      </c>
      <c r="V260" s="38" t="n">
        <v>22.13260152973961</v>
      </c>
      <c r="W260" s="39" t="n">
        <v>111</v>
      </c>
      <c r="X260" s="24" t="n">
        <v>0.925</v>
      </c>
    </row>
    <row r="261" ht="13.9" customHeight="1">
      <c r="A261" s="10" t="n">
        <v>52055230</v>
      </c>
      <c r="B261" s="35" t="inlineStr">
        <is>
          <t>SP</t>
        </is>
      </c>
      <c r="C261" s="35" t="inlineStr">
        <is>
          <t xml:space="preserve">Aeropuerto San Luis - AUT </t>
        </is>
      </c>
      <c r="D261" s="35" t="inlineStr">
        <is>
          <t>Aldana</t>
        </is>
      </c>
      <c r="E261" s="21" t="inlineStr">
        <is>
          <t>Nariño</t>
        </is>
      </c>
      <c r="F261" s="35" t="n">
        <v>7</v>
      </c>
      <c r="G261" s="35" t="n">
        <v>2961</v>
      </c>
      <c r="H261" s="36" t="n">
        <v>-77.67775</v>
      </c>
      <c r="I261" s="37" t="n">
        <v>0.8570833300000001</v>
      </c>
      <c r="J261" s="22" t="n">
        <v>6.045591397849463</v>
      </c>
      <c r="K261" s="23" t="n">
        <v>6.240150110638617</v>
      </c>
      <c r="L261" s="23" t="n">
        <v>6.668391079251294</v>
      </c>
      <c r="M261" s="23" t="n">
        <v>6.647222222222221</v>
      </c>
      <c r="N261" s="23" t="n">
        <v>6.733424111081278</v>
      </c>
      <c r="O261" s="23" t="n">
        <v>6.198307570352755</v>
      </c>
      <c r="P261" s="23" t="n">
        <v>5.548283533427948</v>
      </c>
      <c r="Q261" s="23" t="n">
        <v>4.89231738969225</v>
      </c>
      <c r="R261" s="23" t="n">
        <v>4.592425683709869</v>
      </c>
      <c r="S261" s="23" t="n">
        <v>5.537297491039426</v>
      </c>
      <c r="T261" s="23" t="n">
        <v>6.423471264367816</v>
      </c>
      <c r="U261" s="23" t="n">
        <v>6.448272401433689</v>
      </c>
      <c r="V261" s="38" t="n">
        <v>5.997929521255553</v>
      </c>
      <c r="W261" s="39" t="n">
        <v>355</v>
      </c>
      <c r="X261" s="24" t="n">
        <v>0.9861111111111112</v>
      </c>
    </row>
    <row r="262" ht="13.9" customHeight="1">
      <c r="A262" s="10" t="n">
        <v>51025080</v>
      </c>
      <c r="B262" s="35" t="inlineStr">
        <is>
          <t>CP</t>
        </is>
      </c>
      <c r="C262" s="35" t="inlineStr">
        <is>
          <t xml:space="preserve">Altaquer - AUT </t>
        </is>
      </c>
      <c r="D262" s="35" t="inlineStr">
        <is>
          <t>Barbacoas</t>
        </is>
      </c>
      <c r="E262" s="21" t="inlineStr">
        <is>
          <t>Nariño</t>
        </is>
      </c>
      <c r="F262" s="35" t="n">
        <v>7</v>
      </c>
      <c r="G262" s="35" t="n">
        <v>1010</v>
      </c>
      <c r="H262" s="36" t="n">
        <v>-78.0925</v>
      </c>
      <c r="I262" s="37" t="n">
        <v>1.24833333</v>
      </c>
      <c r="J262" s="22" t="n">
        <v>17.64147582217192</v>
      </c>
      <c r="K262" s="23" t="n">
        <v>17.76999886781273</v>
      </c>
      <c r="L262" s="23" t="n">
        <v>18.04944661878539</v>
      </c>
      <c r="M262" s="23" t="n">
        <v>17.90050413389796</v>
      </c>
      <c r="N262" s="23" t="n">
        <v>18.09998126573386</v>
      </c>
      <c r="O262" s="23" t="n">
        <v>17.85574038544638</v>
      </c>
      <c r="P262" s="23" t="n">
        <v>17.65570508275385</v>
      </c>
      <c r="Q262" s="23" t="n">
        <v>17.67592624635511</v>
      </c>
      <c r="R262" s="23" t="n">
        <v>17.66728042328042</v>
      </c>
      <c r="S262" s="23" t="n">
        <v>17.81225833916972</v>
      </c>
      <c r="T262" s="23" t="n">
        <v>17.83903052998388</v>
      </c>
      <c r="U262" s="23" t="n">
        <v>17.73391193036354</v>
      </c>
      <c r="V262" s="38" t="n">
        <v>17.8084383038129</v>
      </c>
      <c r="W262" s="39" t="n">
        <v>222</v>
      </c>
      <c r="X262" s="24" t="n">
        <v>0.925</v>
      </c>
    </row>
    <row r="263" ht="13.9" customHeight="1">
      <c r="A263" s="10" t="n">
        <v>52065020</v>
      </c>
      <c r="B263" s="35" t="inlineStr">
        <is>
          <t>PM</t>
        </is>
      </c>
      <c r="C263" s="35" t="inlineStr">
        <is>
          <t>Barbacoas</t>
        </is>
      </c>
      <c r="D263" s="35" t="inlineStr">
        <is>
          <t>Barbacoas</t>
        </is>
      </c>
      <c r="E263" s="21" t="inlineStr">
        <is>
          <t>Nariño</t>
        </is>
      </c>
      <c r="F263" s="35" t="n">
        <v>7</v>
      </c>
      <c r="G263" s="35" t="n">
        <v>32</v>
      </c>
      <c r="H263" s="36" t="n">
        <v>-78.14</v>
      </c>
      <c r="I263" s="37" t="n">
        <v>1.67</v>
      </c>
      <c r="J263" s="22" t="n">
        <v>22.3654898820559</v>
      </c>
      <c r="K263" s="23" t="n">
        <v>22.30662552945139</v>
      </c>
      <c r="L263" s="23" t="n">
        <v>22.4569208895431</v>
      </c>
      <c r="M263" s="23" t="n">
        <v>22.390842081503</v>
      </c>
      <c r="N263" s="23" t="n">
        <v>22.63224625630989</v>
      </c>
      <c r="O263" s="23" t="n">
        <v>22.41011958629606</v>
      </c>
      <c r="P263" s="23" t="n">
        <v>22.29126909213456</v>
      </c>
      <c r="Q263" s="23" t="n">
        <v>22.42496241365578</v>
      </c>
      <c r="R263" s="23" t="n">
        <v>22.18154876138179</v>
      </c>
      <c r="S263" s="23" t="n">
        <v>22.11773451769237</v>
      </c>
      <c r="T263" s="23" t="n">
        <v>22.05296417288432</v>
      </c>
      <c r="U263" s="23" t="n">
        <v>22.21716704081359</v>
      </c>
      <c r="V263" s="38" t="n">
        <v>22.32065751864349</v>
      </c>
      <c r="W263" s="39" t="n">
        <v>226</v>
      </c>
      <c r="X263" s="24" t="n">
        <v>0.9416666666666667</v>
      </c>
    </row>
    <row r="264" ht="13.9" customHeight="1">
      <c r="A264" s="10" t="n">
        <v>52045020</v>
      </c>
      <c r="B264" s="35" t="inlineStr">
        <is>
          <t>SP</t>
        </is>
      </c>
      <c r="C264" s="35" t="inlineStr">
        <is>
          <t>Aeropuerto Antonio Nariño</t>
        </is>
      </c>
      <c r="D264" s="35" t="inlineStr">
        <is>
          <t>Chachaguí</t>
        </is>
      </c>
      <c r="E264" s="21" t="inlineStr">
        <is>
          <t>Nariño</t>
        </is>
      </c>
      <c r="F264" s="35" t="n">
        <v>7</v>
      </c>
      <c r="G264" s="35" t="n">
        <v>1796</v>
      </c>
      <c r="H264" s="36" t="n">
        <v>-77.29086111000001</v>
      </c>
      <c r="I264" s="37" t="n">
        <v>1.39408333</v>
      </c>
      <c r="J264" s="22" t="n">
        <v>14.60815572858732</v>
      </c>
      <c r="K264" s="23" t="n">
        <v>14.79114872777287</v>
      </c>
      <c r="L264" s="23" t="n">
        <v>14.98274112329396</v>
      </c>
      <c r="M264" s="23" t="n">
        <v>14.98282838210524</v>
      </c>
      <c r="N264" s="23" t="n">
        <v>15.08480687353765</v>
      </c>
      <c r="O264" s="23" t="n">
        <v>14.69495019157088</v>
      </c>
      <c r="P264" s="23" t="n">
        <v>14.45877851934248</v>
      </c>
      <c r="Q264" s="23" t="n">
        <v>14.61993709942264</v>
      </c>
      <c r="R264" s="23" t="n">
        <v>14.47676179151804</v>
      </c>
      <c r="S264" s="23" t="n">
        <v>14.48602050485254</v>
      </c>
      <c r="T264" s="23" t="n">
        <v>14.71325670498084</v>
      </c>
      <c r="U264" s="23" t="n">
        <v>14.74917839574836</v>
      </c>
      <c r="V264" s="38" t="n">
        <v>14.72071367022774</v>
      </c>
      <c r="W264" s="39" t="n">
        <v>355</v>
      </c>
      <c r="X264" s="24" t="n">
        <v>0.9861111111111112</v>
      </c>
    </row>
    <row r="265" ht="13.9" customHeight="1">
      <c r="A265" s="10" t="n">
        <v>52055030</v>
      </c>
      <c r="B265" s="35" t="inlineStr">
        <is>
          <t>CO</t>
        </is>
      </c>
      <c r="C265" s="35" t="inlineStr">
        <is>
          <t>Bombona</t>
        </is>
      </c>
      <c r="D265" s="35" t="inlineStr">
        <is>
          <t>Consacá</t>
        </is>
      </c>
      <c r="E265" s="21" t="inlineStr">
        <is>
          <t>Nariño</t>
        </is>
      </c>
      <c r="F265" s="35" t="n">
        <v>7</v>
      </c>
      <c r="G265" s="35" t="n">
        <v>1493</v>
      </c>
      <c r="H265" s="36" t="n">
        <v>-77.46511111000001</v>
      </c>
      <c r="I265" s="37" t="n">
        <v>1.18436111</v>
      </c>
      <c r="J265" s="22" t="n">
        <v>15.40141496976989</v>
      </c>
      <c r="K265" s="23" t="n">
        <v>15.61973135065992</v>
      </c>
      <c r="L265" s="23" t="n">
        <v>15.95622608960639</v>
      </c>
      <c r="M265" s="23" t="n">
        <v>16.02350331292094</v>
      </c>
      <c r="N265" s="23" t="n">
        <v>15.78625054999382</v>
      </c>
      <c r="O265" s="23" t="n">
        <v>15.62245644043058</v>
      </c>
      <c r="P265" s="23" t="n">
        <v>15.45201870390969</v>
      </c>
      <c r="Q265" s="23" t="n">
        <v>15.50549093795352</v>
      </c>
      <c r="R265" s="23" t="n">
        <v>15.46328945133345</v>
      </c>
      <c r="S265" s="23" t="n">
        <v>15.50207778758007</v>
      </c>
      <c r="T265" s="23" t="n">
        <v>15.6999289428415</v>
      </c>
      <c r="U265" s="23" t="n">
        <v>15.5998036556113</v>
      </c>
      <c r="V265" s="38" t="n">
        <v>15.63601601605092</v>
      </c>
      <c r="W265" s="39" t="n">
        <v>339</v>
      </c>
      <c r="X265" s="24" t="n">
        <v>0.9416666666666667</v>
      </c>
    </row>
    <row r="266" ht="13.9" customHeight="1">
      <c r="A266" s="10" t="n">
        <v>52055200</v>
      </c>
      <c r="B266" s="35" t="inlineStr">
        <is>
          <t>CO</t>
        </is>
      </c>
      <c r="C266" s="35" t="inlineStr">
        <is>
          <t>Funes</t>
        </is>
      </c>
      <c r="D266" s="35" t="inlineStr">
        <is>
          <t>Funes</t>
        </is>
      </c>
      <c r="E266" s="21" t="inlineStr">
        <is>
          <t>Nariño</t>
        </is>
      </c>
      <c r="F266" s="35" t="n">
        <v>7</v>
      </c>
      <c r="G266" s="35" t="n">
        <v>2181</v>
      </c>
      <c r="H266" s="36" t="n">
        <v>-77.44580556000001</v>
      </c>
      <c r="I266" s="37" t="n">
        <v>1.00422222</v>
      </c>
      <c r="J266" s="22" t="n">
        <v>12.15474772539289</v>
      </c>
      <c r="K266" s="23" t="n">
        <v>12.49383597883598</v>
      </c>
      <c r="L266" s="23" t="n">
        <v>12.70571598071932</v>
      </c>
      <c r="M266" s="23" t="n">
        <v>12.87556321839081</v>
      </c>
      <c r="N266" s="23" t="n">
        <v>12.91128735632184</v>
      </c>
      <c r="O266" s="23" t="n">
        <v>12.70952052545156</v>
      </c>
      <c r="P266" s="23" t="n">
        <v>12.55346487278634</v>
      </c>
      <c r="Q266" s="23" t="n">
        <v>12.59594623655914</v>
      </c>
      <c r="R266" s="23" t="n">
        <v>12.20596551724138</v>
      </c>
      <c r="S266" s="23" t="n">
        <v>12.27814052651094</v>
      </c>
      <c r="T266" s="23" t="n">
        <v>12.5955632183908</v>
      </c>
      <c r="U266" s="23" t="n">
        <v>12.50391472005932</v>
      </c>
      <c r="V266" s="38" t="n">
        <v>12.54863882305503</v>
      </c>
      <c r="W266" s="39" t="n">
        <v>119</v>
      </c>
      <c r="X266" s="24" t="n">
        <v>0.9916666666666667</v>
      </c>
    </row>
    <row r="267" ht="13.9" customHeight="1">
      <c r="A267" s="10" t="n">
        <v>52055210</v>
      </c>
      <c r="B267" s="35" t="inlineStr">
        <is>
          <t>CP</t>
        </is>
      </c>
      <c r="C267" s="35" t="inlineStr">
        <is>
          <t xml:space="preserve">Botana - AUT </t>
        </is>
      </c>
      <c r="D267" s="35" t="inlineStr">
        <is>
          <t>Pasto</t>
        </is>
      </c>
      <c r="E267" s="21" t="inlineStr">
        <is>
          <t>Nariño</t>
        </is>
      </c>
      <c r="F267" s="35" t="n">
        <v>7</v>
      </c>
      <c r="G267" s="35" t="n">
        <v>2820</v>
      </c>
      <c r="H267" s="36" t="n">
        <v>-77.27880556000001</v>
      </c>
      <c r="I267" s="37" t="n">
        <v>1.16</v>
      </c>
      <c r="J267" s="22" t="n">
        <v>8.753179723502305</v>
      </c>
      <c r="K267" s="23" t="n">
        <v>9.076700054734538</v>
      </c>
      <c r="L267" s="23" t="n">
        <v>9.40935901726556</v>
      </c>
      <c r="M267" s="23" t="n">
        <v>9.463830809462998</v>
      </c>
      <c r="N267" s="23" t="n">
        <v>9.500590309044147</v>
      </c>
      <c r="O267" s="23" t="n">
        <v>9.379333454965638</v>
      </c>
      <c r="P267" s="23" t="n">
        <v>8.913229985109851</v>
      </c>
      <c r="Q267" s="23" t="n">
        <v>8.576622721391114</v>
      </c>
      <c r="R267" s="23" t="n">
        <v>8.370058336725004</v>
      </c>
      <c r="S267" s="23" t="n">
        <v>8.661843917414714</v>
      </c>
      <c r="T267" s="23" t="n">
        <v>8.877683346878747</v>
      </c>
      <c r="U267" s="23" t="n">
        <v>9.005445081429507</v>
      </c>
      <c r="V267" s="38" t="n">
        <v>8.998989729827011</v>
      </c>
      <c r="W267" s="39" t="n">
        <v>320</v>
      </c>
      <c r="X267" s="24" t="n">
        <v>0.8888888888888888</v>
      </c>
    </row>
    <row r="268" ht="13.9" customHeight="1">
      <c r="A268" s="10" t="n">
        <v>47015100</v>
      </c>
      <c r="B268" s="35" t="inlineStr">
        <is>
          <t>CP</t>
        </is>
      </c>
      <c r="C268" s="35" t="inlineStr">
        <is>
          <t xml:space="preserve">El Encano </t>
        </is>
      </c>
      <c r="D268" s="35" t="inlineStr">
        <is>
          <t>Pasto</t>
        </is>
      </c>
      <c r="E268" s="21" t="inlineStr">
        <is>
          <t>Nariño</t>
        </is>
      </c>
      <c r="F268" s="35" t="n">
        <v>7</v>
      </c>
      <c r="G268" s="35" t="n">
        <v>2830</v>
      </c>
      <c r="H268" s="36" t="n">
        <v>-77.16147222000001</v>
      </c>
      <c r="I268" s="37" t="n">
        <v>1.15994444</v>
      </c>
      <c r="J268" s="22" t="n">
        <v>8.322835051163286</v>
      </c>
      <c r="K268" s="23" t="n">
        <v>8.623282033179583</v>
      </c>
      <c r="L268" s="23" t="n">
        <v>8.785468862726855</v>
      </c>
      <c r="M268" s="23" t="n">
        <v>8.819043938621821</v>
      </c>
      <c r="N268" s="23" t="n">
        <v>8.92189456539012</v>
      </c>
      <c r="O268" s="23" t="n">
        <v>8.64694667618005</v>
      </c>
      <c r="P268" s="23" t="n">
        <v>8.088075663695717</v>
      </c>
      <c r="Q268" s="23" t="n">
        <v>7.678211419854948</v>
      </c>
      <c r="R268" s="23" t="n">
        <v>7.391741440126498</v>
      </c>
      <c r="S268" s="23" t="n">
        <v>7.95007420943906</v>
      </c>
      <c r="T268" s="23" t="n">
        <v>8.579899896612542</v>
      </c>
      <c r="U268" s="23" t="n">
        <v>8.570213609178166</v>
      </c>
      <c r="V268" s="38" t="n">
        <v>8.364807280514055</v>
      </c>
      <c r="W268" s="39" t="n">
        <v>354</v>
      </c>
      <c r="X268" s="24" t="n">
        <v>0.9833333333333333</v>
      </c>
    </row>
    <row r="269" ht="13.9" customHeight="1">
      <c r="A269" s="10" t="n">
        <v>52045010</v>
      </c>
      <c r="B269" s="35" t="inlineStr">
        <is>
          <t>AM</t>
        </is>
      </c>
      <c r="C269" s="35" t="inlineStr">
        <is>
          <t>Obonuco</t>
        </is>
      </c>
      <c r="D269" s="35" t="inlineStr">
        <is>
          <t>Pasto</t>
        </is>
      </c>
      <c r="E269" s="21" t="inlineStr">
        <is>
          <t>Nariño</t>
        </is>
      </c>
      <c r="F269" s="35" t="n">
        <v>7</v>
      </c>
      <c r="G269" s="35" t="n">
        <v>2710</v>
      </c>
      <c r="H269" s="36" t="n">
        <v>-77.30308332999999</v>
      </c>
      <c r="I269" s="37" t="n">
        <v>1.19822222</v>
      </c>
      <c r="J269" s="22" t="n">
        <v>9.314106157046927</v>
      </c>
      <c r="K269" s="23" t="n">
        <v>9.532225608694317</v>
      </c>
      <c r="L269" s="23" t="n">
        <v>9.696118963457341</v>
      </c>
      <c r="M269" s="23" t="n">
        <v>9.761039886039887</v>
      </c>
      <c r="N269" s="23" t="n">
        <v>9.962291078406208</v>
      </c>
      <c r="O269" s="23" t="n">
        <v>9.818021018062399</v>
      </c>
      <c r="P269" s="23" t="n">
        <v>9.339817613927293</v>
      </c>
      <c r="Q269" s="23" t="n">
        <v>9.236293266429529</v>
      </c>
      <c r="R269" s="23" t="n">
        <v>9.145086206896552</v>
      </c>
      <c r="S269" s="23" t="n">
        <v>9.255827261149841</v>
      </c>
      <c r="T269" s="23" t="n">
        <v>9.37252325408161</v>
      </c>
      <c r="U269" s="23" t="n">
        <v>9.491951152073733</v>
      </c>
      <c r="V269" s="38" t="n">
        <v>9.493775122188804</v>
      </c>
      <c r="W269" s="39" t="n">
        <v>308</v>
      </c>
      <c r="X269" s="24" t="n">
        <v>0.8555555555555555</v>
      </c>
    </row>
    <row r="270" ht="13.9" customHeight="1">
      <c r="A270" s="10" t="n">
        <v>47015080</v>
      </c>
      <c r="B270" s="35" t="inlineStr">
        <is>
          <t>CO</t>
        </is>
      </c>
      <c r="C270" s="35" t="inlineStr">
        <is>
          <t>Monopamba</t>
        </is>
      </c>
      <c r="D270" s="35" t="inlineStr">
        <is>
          <t>Puerres</t>
        </is>
      </c>
      <c r="E270" s="21" t="inlineStr">
        <is>
          <t>Nariño</t>
        </is>
      </c>
      <c r="F270" s="35" t="n">
        <v>7</v>
      </c>
      <c r="G270" s="35" t="n">
        <v>1776</v>
      </c>
      <c r="H270" s="36" t="n">
        <v>-77.30361111000001</v>
      </c>
      <c r="I270" s="37" t="n">
        <v>0.8049166700000001</v>
      </c>
      <c r="J270" s="22" t="n">
        <v>13.5876326076593</v>
      </c>
      <c r="K270" s="23" t="n">
        <v>13.90181694697559</v>
      </c>
      <c r="L270" s="23" t="n">
        <v>14.01541063257308</v>
      </c>
      <c r="M270" s="23" t="n">
        <v>14.09897248804835</v>
      </c>
      <c r="N270" s="23" t="n">
        <v>14.23015286065266</v>
      </c>
      <c r="O270" s="23" t="n">
        <v>13.90826261209523</v>
      </c>
      <c r="P270" s="23" t="n">
        <v>13.32891978373972</v>
      </c>
      <c r="Q270" s="23" t="n">
        <v>13.08525941963734</v>
      </c>
      <c r="R270" s="23" t="n">
        <v>13.27264042872071</v>
      </c>
      <c r="S270" s="23" t="n">
        <v>13.47077921416325</v>
      </c>
      <c r="T270" s="23" t="n">
        <v>13.65589673822802</v>
      </c>
      <c r="U270" s="23" t="n">
        <v>13.86579653401666</v>
      </c>
      <c r="V270" s="38" t="n">
        <v>13.70179502220916</v>
      </c>
      <c r="W270" s="39" t="n">
        <v>310</v>
      </c>
      <c r="X270" s="24" t="n">
        <v>0.8611111111111112</v>
      </c>
    </row>
    <row r="271" ht="13.9" customHeight="1">
      <c r="A271" s="10" t="n">
        <v>52045090</v>
      </c>
      <c r="B271" s="35" t="inlineStr">
        <is>
          <t>CO</t>
        </is>
      </c>
      <c r="C271" s="35" t="inlineStr">
        <is>
          <t>El común</t>
        </is>
      </c>
      <c r="D271" s="35" t="inlineStr">
        <is>
          <t>Pupiales</t>
        </is>
      </c>
      <c r="E271" s="21" t="inlineStr">
        <is>
          <t>Nariño</t>
        </is>
      </c>
      <c r="F271" s="35" t="n">
        <v>7</v>
      </c>
      <c r="G271" s="35" t="n">
        <v>3141</v>
      </c>
      <c r="H271" s="36" t="n">
        <v>-77.62958332999999</v>
      </c>
      <c r="I271" s="37" t="n">
        <v>0.9326388900000001</v>
      </c>
      <c r="J271" s="22" t="n">
        <v>6.278873433084904</v>
      </c>
      <c r="K271" s="23" t="n">
        <v>6.398896265771267</v>
      </c>
      <c r="L271" s="23" t="n">
        <v>6.880167264038233</v>
      </c>
      <c r="M271" s="23" t="n">
        <v>6.709974457215837</v>
      </c>
      <c r="N271" s="23" t="n">
        <v>6.762865976441061</v>
      </c>
      <c r="O271" s="23" t="n">
        <v>6.534401386608284</v>
      </c>
      <c r="P271" s="23" t="n">
        <v>6.21598880047156</v>
      </c>
      <c r="Q271" s="23" t="n">
        <v>5.895599981528793</v>
      </c>
      <c r="R271" s="23" t="n">
        <v>5.917279693486591</v>
      </c>
      <c r="S271" s="23" t="n">
        <v>6.343494005685329</v>
      </c>
      <c r="T271" s="23" t="n">
        <v>6.443474958949097</v>
      </c>
      <c r="U271" s="23" t="n">
        <v>6.449588431590657</v>
      </c>
      <c r="V271" s="38" t="n">
        <v>6.402550387905968</v>
      </c>
      <c r="W271" s="39" t="n">
        <v>106</v>
      </c>
      <c r="X271" s="24" t="n">
        <v>0.8833333333333333</v>
      </c>
    </row>
    <row r="272" ht="13.9" customHeight="1">
      <c r="A272" s="10" t="n">
        <v>52055060</v>
      </c>
      <c r="B272" s="35" t="inlineStr">
        <is>
          <t>CO</t>
        </is>
      </c>
      <c r="C272" s="35" t="inlineStr">
        <is>
          <t>Tanama</t>
        </is>
      </c>
      <c r="D272" s="35" t="inlineStr">
        <is>
          <t>Samaniego</t>
        </is>
      </c>
      <c r="E272" s="21" t="inlineStr">
        <is>
          <t>Nariño</t>
        </is>
      </c>
      <c r="F272" s="35" t="n">
        <v>7</v>
      </c>
      <c r="G272" s="35" t="n">
        <v>1500</v>
      </c>
      <c r="H272" s="36" t="n">
        <v>-77.58305556000001</v>
      </c>
      <c r="I272" s="37" t="n">
        <v>1.37355556</v>
      </c>
      <c r="J272" s="22" t="n">
        <v>14.59981970198878</v>
      </c>
      <c r="K272" s="23" t="n">
        <v>14.56562135395469</v>
      </c>
      <c r="L272" s="23" t="n">
        <v>14.67809932948669</v>
      </c>
      <c r="M272" s="23" t="n">
        <v>14.86758321851663</v>
      </c>
      <c r="N272" s="23" t="n">
        <v>14.9656191308559</v>
      </c>
      <c r="O272" s="23" t="n">
        <v>14.31861974595625</v>
      </c>
      <c r="P272" s="23" t="n">
        <v>13.71360869121677</v>
      </c>
      <c r="Q272" s="23" t="n">
        <v>13.6203930292918</v>
      </c>
      <c r="R272" s="23" t="n">
        <v>13.93155465444407</v>
      </c>
      <c r="S272" s="23" t="n">
        <v>14.56684579289888</v>
      </c>
      <c r="T272" s="23" t="n">
        <v>14.96988535219569</v>
      </c>
      <c r="U272" s="23" t="n">
        <v>14.92155134767309</v>
      </c>
      <c r="V272" s="38" t="n">
        <v>14.47660011237327</v>
      </c>
      <c r="W272" s="39" t="n">
        <v>351</v>
      </c>
      <c r="X272" s="24" t="n">
        <v>0.975</v>
      </c>
    </row>
    <row r="273" ht="13.9" customHeight="1">
      <c r="A273" s="10" t="n">
        <v>52045030</v>
      </c>
      <c r="B273" s="35" t="inlineStr">
        <is>
          <t>CO</t>
        </is>
      </c>
      <c r="C273" s="35" t="inlineStr">
        <is>
          <t>San Bernardo</t>
        </is>
      </c>
      <c r="D273" s="35" t="inlineStr">
        <is>
          <t>San Bernardo</t>
        </is>
      </c>
      <c r="E273" s="21" t="inlineStr">
        <is>
          <t>Nariño</t>
        </is>
      </c>
      <c r="F273" s="35" t="n">
        <v>7</v>
      </c>
      <c r="G273" s="35" t="n">
        <v>2190</v>
      </c>
      <c r="H273" s="36" t="n">
        <v>-77.03261111</v>
      </c>
      <c r="I273" s="37" t="n">
        <v>1.53872222</v>
      </c>
      <c r="J273" s="22" t="n">
        <v>11.35579080056198</v>
      </c>
      <c r="K273" s="23" t="n">
        <v>11.54349386184345</v>
      </c>
      <c r="L273" s="23" t="n">
        <v>11.81864834699175</v>
      </c>
      <c r="M273" s="23" t="n">
        <v>11.99540513870049</v>
      </c>
      <c r="N273" s="23" t="n">
        <v>11.98436196989404</v>
      </c>
      <c r="O273" s="23" t="n">
        <v>11.29327578429447</v>
      </c>
      <c r="P273" s="23" t="n">
        <v>10.61877774246517</v>
      </c>
      <c r="Q273" s="23" t="n">
        <v>10.41098422703651</v>
      </c>
      <c r="R273" s="23" t="n">
        <v>10.51523938340441</v>
      </c>
      <c r="S273" s="23" t="n">
        <v>11.24803033794163</v>
      </c>
      <c r="T273" s="23" t="n">
        <v>11.85857452367921</v>
      </c>
      <c r="U273" s="23" t="n">
        <v>11.69530001535265</v>
      </c>
      <c r="V273" s="38" t="n">
        <v>11.36149017768048</v>
      </c>
      <c r="W273" s="39" t="n">
        <v>330</v>
      </c>
      <c r="X273" s="24" t="n">
        <v>0.9166666666666666</v>
      </c>
    </row>
    <row r="274" ht="13.9" customHeight="1">
      <c r="A274" s="10" t="n">
        <v>52045040</v>
      </c>
      <c r="B274" s="35" t="inlineStr">
        <is>
          <t>CO</t>
        </is>
      </c>
      <c r="C274" s="35" t="inlineStr">
        <is>
          <t>Taminango</t>
        </is>
      </c>
      <c r="D274" s="35" t="inlineStr">
        <is>
          <t>Taminango</t>
        </is>
      </c>
      <c r="E274" s="21" t="inlineStr">
        <is>
          <t>Nariño</t>
        </is>
      </c>
      <c r="F274" s="35" t="n">
        <v>7</v>
      </c>
      <c r="G274" s="35" t="n">
        <v>1875</v>
      </c>
      <c r="H274" s="36" t="n">
        <v>-77.2675</v>
      </c>
      <c r="I274" s="37" t="n">
        <v>1.54916667</v>
      </c>
      <c r="J274" s="22" t="n">
        <v>14.61966673603071</v>
      </c>
      <c r="K274" s="23" t="n">
        <v>14.79451705736178</v>
      </c>
      <c r="L274" s="23" t="n">
        <v>14.96109958471471</v>
      </c>
      <c r="M274" s="23" t="n">
        <v>14.94009618972981</v>
      </c>
      <c r="N274" s="23" t="n">
        <v>15.02419507775919</v>
      </c>
      <c r="O274" s="23" t="n">
        <v>14.92923146618846</v>
      </c>
      <c r="P274" s="23" t="n">
        <v>14.70427180108988</v>
      </c>
      <c r="Q274" s="23" t="n">
        <v>14.78700374480772</v>
      </c>
      <c r="R274" s="23" t="n">
        <v>14.53734651247374</v>
      </c>
      <c r="S274" s="23" t="n">
        <v>14.52971408070499</v>
      </c>
      <c r="T274" s="23" t="n">
        <v>14.58185834280662</v>
      </c>
      <c r="U274" s="23" t="n">
        <v>14.63266688239885</v>
      </c>
      <c r="V274" s="38" t="n">
        <v>14.7534722896722</v>
      </c>
      <c r="W274" s="39" t="n">
        <v>327</v>
      </c>
      <c r="X274" s="24" t="n">
        <v>0.9083333333333333</v>
      </c>
    </row>
    <row r="275" ht="13.9" customHeight="1">
      <c r="A275" s="10" t="n">
        <v>52055090</v>
      </c>
      <c r="B275" s="35" t="inlineStr">
        <is>
          <t>CP</t>
        </is>
      </c>
      <c r="C275" s="35" t="inlineStr">
        <is>
          <t>Sindagua</t>
        </is>
      </c>
      <c r="D275" s="35" t="inlineStr">
        <is>
          <t>Tangua</t>
        </is>
      </c>
      <c r="E275" s="21" t="inlineStr">
        <is>
          <t>Nariño</t>
        </is>
      </c>
      <c r="F275" s="35" t="n">
        <v>7</v>
      </c>
      <c r="G275" s="35" t="n">
        <v>2800</v>
      </c>
      <c r="H275" s="36" t="n">
        <v>-77.38936111000001</v>
      </c>
      <c r="I275" s="37" t="n">
        <v>1.10758333</v>
      </c>
      <c r="J275" s="22" t="n">
        <v>9.568201029769883</v>
      </c>
      <c r="K275" s="23" t="n">
        <v>9.714254657815578</v>
      </c>
      <c r="L275" s="23" t="n">
        <v>10.00244824538393</v>
      </c>
      <c r="M275" s="23" t="n">
        <v>9.987491719646894</v>
      </c>
      <c r="N275" s="23" t="n">
        <v>9.989564014395771</v>
      </c>
      <c r="O275" s="23" t="n">
        <v>9.615747863247863</v>
      </c>
      <c r="P275" s="23" t="n">
        <v>9.155170030192279</v>
      </c>
      <c r="Q275" s="23" t="n">
        <v>9.106543928880415</v>
      </c>
      <c r="R275" s="23" t="n">
        <v>9.23482124455014</v>
      </c>
      <c r="S275" s="23" t="n">
        <v>9.466164462571582</v>
      </c>
      <c r="T275" s="23" t="n">
        <v>9.708216849429691</v>
      </c>
      <c r="U275" s="23" t="n">
        <v>9.763207340394636</v>
      </c>
      <c r="V275" s="38" t="n">
        <v>9.609319282189887</v>
      </c>
      <c r="W275" s="39" t="n">
        <v>347</v>
      </c>
      <c r="X275" s="24" t="n">
        <v>0.9638888888888889</v>
      </c>
    </row>
    <row r="276" ht="13.9" customHeight="1">
      <c r="A276" s="10" t="n">
        <v>51035020</v>
      </c>
      <c r="B276" s="35" t="inlineStr">
        <is>
          <t>CP</t>
        </is>
      </c>
      <c r="C276" s="11" t="inlineStr">
        <is>
          <t>CCCP del Pacífico</t>
        </is>
      </c>
      <c r="D276" s="35" t="inlineStr">
        <is>
          <t>Tumaco</t>
        </is>
      </c>
      <c r="E276" s="21" t="inlineStr">
        <is>
          <t>Nariño</t>
        </is>
      </c>
      <c r="F276" s="35" t="n">
        <v>7</v>
      </c>
      <c r="G276" s="35" t="n">
        <v>1</v>
      </c>
      <c r="H276" s="36" t="n">
        <v>-78.73</v>
      </c>
      <c r="I276" s="37" t="n">
        <v>1.81916667</v>
      </c>
      <c r="J276" s="22" t="n">
        <v>23.33188186843146</v>
      </c>
      <c r="K276" s="23" t="n">
        <v>23.50459589151293</v>
      </c>
      <c r="L276" s="23" t="n">
        <v>23.7776381435892</v>
      </c>
      <c r="M276" s="23" t="n">
        <v>23.76165586959606</v>
      </c>
      <c r="N276" s="23" t="n">
        <v>23.78303701360848</v>
      </c>
      <c r="O276" s="23" t="n">
        <v>23.64354274649193</v>
      </c>
      <c r="P276" s="23" t="n">
        <v>23.46064715562086</v>
      </c>
      <c r="Q276" s="23" t="n">
        <v>23.546659366286</v>
      </c>
      <c r="R276" s="23" t="n">
        <v>23.50582144982956</v>
      </c>
      <c r="S276" s="23" t="n">
        <v>23.64087914725635</v>
      </c>
      <c r="T276" s="23" t="n">
        <v>23.46184476677006</v>
      </c>
      <c r="U276" s="23" t="n">
        <v>23.43534389660009</v>
      </c>
      <c r="V276" s="38" t="n">
        <v>23.57112894296608</v>
      </c>
      <c r="W276" s="39" t="n">
        <v>219</v>
      </c>
      <c r="X276" s="24" t="n">
        <v>0.9125</v>
      </c>
    </row>
    <row r="277" ht="13.9" customHeight="1">
      <c r="A277" s="10" t="n">
        <v>51025090</v>
      </c>
      <c r="B277" s="35" t="inlineStr">
        <is>
          <t>CP</t>
        </is>
      </c>
      <c r="C277" s="35" t="inlineStr">
        <is>
          <t xml:space="preserve">Granja El Mira - AUT </t>
        </is>
      </c>
      <c r="D277" s="35" t="inlineStr">
        <is>
          <t>Tumaco</t>
        </is>
      </c>
      <c r="E277" s="21" t="inlineStr">
        <is>
          <t>Nariño</t>
        </is>
      </c>
      <c r="F277" s="35" t="n">
        <v>7</v>
      </c>
      <c r="G277" s="35" t="n">
        <v>16</v>
      </c>
      <c r="H277" s="36" t="n">
        <v>-78.69558332999999</v>
      </c>
      <c r="I277" s="37" t="n">
        <v>1.55019444</v>
      </c>
      <c r="J277" s="22" t="n">
        <v>23.04877306354503</v>
      </c>
      <c r="K277" s="23" t="n">
        <v>23.0872064860427</v>
      </c>
      <c r="L277" s="23" t="n">
        <v>23.38431701320556</v>
      </c>
      <c r="M277" s="23" t="n">
        <v>23.53335172413793</v>
      </c>
      <c r="N277" s="23" t="n">
        <v>23.41616129032258</v>
      </c>
      <c r="O277" s="23" t="n">
        <v>23.30073307790549</v>
      </c>
      <c r="P277" s="23" t="n">
        <v>23.18667953313114</v>
      </c>
      <c r="Q277" s="23" t="n">
        <v>22.63845850670841</v>
      </c>
      <c r="R277" s="23" t="n">
        <v>23.01698412698412</v>
      </c>
      <c r="S277" s="23" t="n">
        <v>22.90457369727047</v>
      </c>
      <c r="T277" s="23" t="n">
        <v>22.77875041050903</v>
      </c>
      <c r="U277" s="23" t="n">
        <v>22.93674193548387</v>
      </c>
      <c r="V277" s="38" t="n">
        <v>23.10272757210386</v>
      </c>
      <c r="W277" s="39" t="n">
        <v>116</v>
      </c>
      <c r="X277" s="24" t="n">
        <v>0.9666666666666667</v>
      </c>
    </row>
    <row r="278" ht="13.9" customHeight="1">
      <c r="A278" s="10" t="n">
        <v>52055220</v>
      </c>
      <c r="B278" s="35" t="inlineStr">
        <is>
          <t>CP</t>
        </is>
      </c>
      <c r="C278" s="35" t="inlineStr">
        <is>
          <t xml:space="preserve">El Paraiso - AUT </t>
        </is>
      </c>
      <c r="D278" s="35" t="inlineStr">
        <is>
          <t>Túquerres</t>
        </is>
      </c>
      <c r="E278" s="21" t="inlineStr">
        <is>
          <t>Nariño</t>
        </is>
      </c>
      <c r="F278" s="35" t="n">
        <v>7</v>
      </c>
      <c r="G278" s="35" t="n">
        <v>3120</v>
      </c>
      <c r="H278" s="36" t="n">
        <v>-77.63688888999999</v>
      </c>
      <c r="I278" s="37" t="n">
        <v>1.07061111</v>
      </c>
      <c r="J278" s="22" t="n">
        <v>7.288314917809913</v>
      </c>
      <c r="K278" s="23" t="n">
        <v>7.462370005473455</v>
      </c>
      <c r="L278" s="23" t="n">
        <v>7.687574671445638</v>
      </c>
      <c r="M278" s="23" t="n">
        <v>7.824261083743841</v>
      </c>
      <c r="N278" s="23" t="n">
        <v>7.819239631336403</v>
      </c>
      <c r="O278" s="23" t="n">
        <v>7.397857142857144</v>
      </c>
      <c r="P278" s="23" t="n">
        <v>6.752978110599079</v>
      </c>
      <c r="Q278" s="23" t="n">
        <v>6.63378939562477</v>
      </c>
      <c r="R278" s="23" t="n">
        <v>6.66534284581847</v>
      </c>
      <c r="S278" s="23" t="n">
        <v>7.097086021505375</v>
      </c>
      <c r="T278" s="23" t="n">
        <v>7.436120689655172</v>
      </c>
      <c r="U278" s="23" t="n">
        <v>7.452091212458287</v>
      </c>
      <c r="V278" s="38" t="n">
        <v>7.29308547736063</v>
      </c>
      <c r="W278" s="39" t="n">
        <v>342</v>
      </c>
      <c r="X278" s="24" t="n">
        <v>0.95</v>
      </c>
    </row>
    <row r="279" ht="13.9" customHeight="1">
      <c r="A279" s="10" t="n">
        <v>16055040</v>
      </c>
      <c r="B279" s="35" t="inlineStr">
        <is>
          <t>CP</t>
        </is>
      </c>
      <c r="C279" s="35" t="inlineStr">
        <is>
          <t>Abrego Centro Administrativo</t>
        </is>
      </c>
      <c r="D279" s="35" t="inlineStr">
        <is>
          <t>Ábrego</t>
        </is>
      </c>
      <c r="E279" s="21" t="inlineStr">
        <is>
          <t>Norte de Santander</t>
        </is>
      </c>
      <c r="F279" s="35" t="n">
        <v>8</v>
      </c>
      <c r="G279" s="35" t="n">
        <v>1430</v>
      </c>
      <c r="H279" s="36" t="n">
        <v>-73.22305556000001</v>
      </c>
      <c r="I279" s="37" t="n">
        <v>8.087222219999999</v>
      </c>
      <c r="J279" s="22" t="n">
        <v>12.31012824309543</v>
      </c>
      <c r="K279" s="23" t="n">
        <v>12.84790444230099</v>
      </c>
      <c r="L279" s="23" t="n">
        <v>13.83549774729349</v>
      </c>
      <c r="M279" s="23" t="n">
        <v>14.50511387163561</v>
      </c>
      <c r="N279" s="23" t="n">
        <v>14.94635383690643</v>
      </c>
      <c r="O279" s="23" t="n">
        <v>14.08396642948367</v>
      </c>
      <c r="P279" s="23" t="n">
        <v>13.80372236692713</v>
      </c>
      <c r="Q279" s="23" t="n">
        <v>13.67439615180003</v>
      </c>
      <c r="R279" s="23" t="n">
        <v>14.45928882262166</v>
      </c>
      <c r="S279" s="23" t="n">
        <v>14.63204108553664</v>
      </c>
      <c r="T279" s="23" t="n">
        <v>14.28307614038384</v>
      </c>
      <c r="U279" s="23" t="n">
        <v>13.3928473668525</v>
      </c>
      <c r="V279" s="38" t="n">
        <v>13.89786137540312</v>
      </c>
      <c r="W279" s="39" t="n">
        <v>281</v>
      </c>
      <c r="X279" s="24" t="n">
        <v>0.7805555555555556</v>
      </c>
    </row>
    <row r="280" ht="13.9" customHeight="1">
      <c r="A280" s="10" t="n">
        <v>23195180</v>
      </c>
      <c r="B280" s="35" t="inlineStr">
        <is>
          <t>CO</t>
        </is>
      </c>
      <c r="C280" s="35" t="inlineStr">
        <is>
          <t>Escuela Agrícola Cáchira</t>
        </is>
      </c>
      <c r="D280" s="35" t="inlineStr">
        <is>
          <t>Cáchira</t>
        </is>
      </c>
      <c r="E280" s="21" t="inlineStr">
        <is>
          <t>Norte de Santander</t>
        </is>
      </c>
      <c r="F280" s="35" t="n">
        <v>8</v>
      </c>
      <c r="G280" s="35" t="n">
        <v>1882</v>
      </c>
      <c r="H280" s="36" t="n">
        <v>-73.05166666999999</v>
      </c>
      <c r="I280" s="37" t="n">
        <v>7.73527778</v>
      </c>
      <c r="J280" s="22" t="n">
        <v>10.72230646358233</v>
      </c>
      <c r="K280" s="23" t="n">
        <v>11.31843618181047</v>
      </c>
      <c r="L280" s="23" t="n">
        <v>12.17749506476822</v>
      </c>
      <c r="M280" s="23" t="n">
        <v>13.19706053639846</v>
      </c>
      <c r="N280" s="23" t="n">
        <v>13.64904029168212</v>
      </c>
      <c r="O280" s="23" t="n">
        <v>13.30912755385733</v>
      </c>
      <c r="P280" s="23" t="n">
        <v>12.9819726891339</v>
      </c>
      <c r="Q280" s="23" t="n">
        <v>12.85076753918001</v>
      </c>
      <c r="R280" s="23" t="n">
        <v>12.838953270681</v>
      </c>
      <c r="S280" s="23" t="n">
        <v>13.11171231527094</v>
      </c>
      <c r="T280" s="23" t="n">
        <v>12.77139724233833</v>
      </c>
      <c r="U280" s="23" t="n">
        <v>11.6992930257115</v>
      </c>
      <c r="V280" s="38" t="n">
        <v>12.55229684786788</v>
      </c>
      <c r="W280" s="39" t="n">
        <v>293</v>
      </c>
      <c r="X280" s="24" t="n">
        <v>0.8138888888888889</v>
      </c>
    </row>
    <row r="281" ht="13.9" customHeight="1">
      <c r="A281" s="10" t="n">
        <v>16055090</v>
      </c>
      <c r="B281" s="35" t="inlineStr">
        <is>
          <t>CP</t>
        </is>
      </c>
      <c r="C281" s="35" t="inlineStr">
        <is>
          <t>Institución Agrícola Convención</t>
        </is>
      </c>
      <c r="D281" s="35" t="inlineStr">
        <is>
          <t>Convención</t>
        </is>
      </c>
      <c r="E281" s="21" t="inlineStr">
        <is>
          <t>Norte de Santander</t>
        </is>
      </c>
      <c r="F281" s="35" t="n">
        <v>8</v>
      </c>
      <c r="G281" s="35" t="n">
        <v>1076</v>
      </c>
      <c r="H281" s="36" t="n">
        <v>-73.34388889</v>
      </c>
      <c r="I281" s="37" t="n">
        <v>8.470555559999999</v>
      </c>
      <c r="J281" s="22" t="n">
        <v>17.38191975422427</v>
      </c>
      <c r="K281" s="23" t="n">
        <v>17.6191998898292</v>
      </c>
      <c r="L281" s="23" t="n">
        <v>18.09579056988932</v>
      </c>
      <c r="M281" s="23" t="n">
        <v>18.52554088669951</v>
      </c>
      <c r="N281" s="23" t="n">
        <v>18.74980129032258</v>
      </c>
      <c r="O281" s="23" t="n">
        <v>18.38145287356322</v>
      </c>
      <c r="P281" s="23" t="n">
        <v>18.00909484612532</v>
      </c>
      <c r="Q281" s="23" t="n">
        <v>18.18328172043011</v>
      </c>
      <c r="R281" s="23" t="n">
        <v>18.30836419753086</v>
      </c>
      <c r="S281" s="23" t="n">
        <v>18.27679631336406</v>
      </c>
      <c r="T281" s="23" t="n">
        <v>18.24035934744268</v>
      </c>
      <c r="U281" s="23" t="n">
        <v>17.85973374295955</v>
      </c>
      <c r="V281" s="38" t="n">
        <v>18.13594461936506</v>
      </c>
      <c r="W281" s="39" t="n">
        <v>295</v>
      </c>
      <c r="X281" s="24" t="n">
        <v>0.8194444444444444</v>
      </c>
    </row>
    <row r="282" ht="13.9" customHeight="1">
      <c r="A282" s="10" t="n">
        <v>16015010</v>
      </c>
      <c r="B282" s="35" t="inlineStr">
        <is>
          <t>SP</t>
        </is>
      </c>
      <c r="C282" s="35" t="inlineStr">
        <is>
          <t>Aeropuerto Camilo Daza</t>
        </is>
      </c>
      <c r="D282" s="35" t="inlineStr">
        <is>
          <t>Cúcuta</t>
        </is>
      </c>
      <c r="E282" s="21" t="inlineStr">
        <is>
          <t>Norte de Santander</t>
        </is>
      </c>
      <c r="F282" s="35" t="n">
        <v>8</v>
      </c>
      <c r="G282" s="35" t="n">
        <v>250</v>
      </c>
      <c r="H282" s="36" t="n">
        <v>-72.50916667</v>
      </c>
      <c r="I282" s="37" t="n">
        <v>7.93027778</v>
      </c>
      <c r="J282" s="22" t="n">
        <v>21.3652559139785</v>
      </c>
      <c r="K282" s="23" t="n">
        <v>21.93254679802955</v>
      </c>
      <c r="L282" s="23" t="n">
        <v>22.4778064516129</v>
      </c>
      <c r="M282" s="23" t="n">
        <v>22.87941251596425</v>
      </c>
      <c r="N282" s="23" t="n">
        <v>23.5165170189099</v>
      </c>
      <c r="O282" s="23" t="n">
        <v>24.03721379310344</v>
      </c>
      <c r="P282" s="23" t="n">
        <v>23.7791234705228</v>
      </c>
      <c r="Q282" s="23" t="n">
        <v>23.89130307749351</v>
      </c>
      <c r="R282" s="23" t="n">
        <v>23.5324521072797</v>
      </c>
      <c r="S282" s="23" t="n">
        <v>22.93138888888889</v>
      </c>
      <c r="T282" s="23" t="n">
        <v>22.53754789272031</v>
      </c>
      <c r="U282" s="23" t="n">
        <v>21.96211917562724</v>
      </c>
      <c r="V282" s="38" t="n">
        <v>22.90355725867758</v>
      </c>
      <c r="W282" s="39" t="n">
        <v>295</v>
      </c>
      <c r="X282" s="24" t="n">
        <v>0.8194444444444444</v>
      </c>
    </row>
    <row r="283" ht="13.9" customHeight="1">
      <c r="A283" s="10" t="n">
        <v>16025010</v>
      </c>
      <c r="B283" s="35" t="inlineStr">
        <is>
          <t>CP</t>
        </is>
      </c>
      <c r="C283" s="35" t="inlineStr">
        <is>
          <t>Carmen de Tonchalá</t>
        </is>
      </c>
      <c r="D283" s="35" t="inlineStr">
        <is>
          <t>Cúcuta</t>
        </is>
      </c>
      <c r="E283" s="21" t="inlineStr">
        <is>
          <t>Norte de Santander</t>
        </is>
      </c>
      <c r="F283" s="35" t="n">
        <v>8</v>
      </c>
      <c r="G283" s="35" t="n">
        <v>285</v>
      </c>
      <c r="H283" s="36" t="n">
        <v>-72.56611111000001</v>
      </c>
      <c r="I283" s="37" t="n">
        <v>7.84888889</v>
      </c>
      <c r="J283" s="22" t="n">
        <v>20.42129032258065</v>
      </c>
      <c r="K283" s="23" t="n">
        <v>21.07549748661521</v>
      </c>
      <c r="L283" s="23" t="n">
        <v>21.70318758055688</v>
      </c>
      <c r="M283" s="23" t="n">
        <v>22.23253791887126</v>
      </c>
      <c r="N283" s="23" t="n">
        <v>22.53001853911754</v>
      </c>
      <c r="O283" s="23" t="n">
        <v>22.42458737853506</v>
      </c>
      <c r="P283" s="23" t="n">
        <v>22.2458348782598</v>
      </c>
      <c r="Q283" s="23" t="n">
        <v>22.55356989247311</v>
      </c>
      <c r="R283" s="23" t="n">
        <v>22.45597786292039</v>
      </c>
      <c r="S283" s="23" t="n">
        <v>22.12848759157685</v>
      </c>
      <c r="T283" s="23" t="n">
        <v>21.92912561576355</v>
      </c>
      <c r="U283" s="23" t="n">
        <v>21.10761228951709</v>
      </c>
      <c r="V283" s="38" t="n">
        <v>21.90064394639895</v>
      </c>
      <c r="W283" s="39" t="n">
        <v>353</v>
      </c>
      <c r="X283" s="24" t="n">
        <v>0.9805555555555555</v>
      </c>
    </row>
    <row r="284" ht="13.9" customHeight="1">
      <c r="A284" s="10" t="n">
        <v>16025040</v>
      </c>
      <c r="B284" s="35" t="inlineStr">
        <is>
          <t>CP</t>
        </is>
      </c>
      <c r="C284" s="35" t="inlineStr">
        <is>
          <t>Cinera-Villa Olga</t>
        </is>
      </c>
      <c r="D284" s="35" t="inlineStr">
        <is>
          <t>Cúcuta</t>
        </is>
      </c>
      <c r="E284" s="21" t="inlineStr">
        <is>
          <t>Norte de Santander</t>
        </is>
      </c>
      <c r="F284" s="35" t="n">
        <v>8</v>
      </c>
      <c r="G284" s="35" t="n">
        <v>100</v>
      </c>
      <c r="H284" s="36" t="n">
        <v>-72.46861111</v>
      </c>
      <c r="I284" s="37" t="n">
        <v>8.16777778</v>
      </c>
      <c r="J284" s="22" t="n">
        <v>22.12014235393823</v>
      </c>
      <c r="K284" s="23" t="n">
        <v>22.58197659473072</v>
      </c>
      <c r="L284" s="23" t="n">
        <v>23.03814911806769</v>
      </c>
      <c r="M284" s="23" t="n">
        <v>23.44327807250221</v>
      </c>
      <c r="N284" s="23" t="n">
        <v>23.64001746012129</v>
      </c>
      <c r="O284" s="23" t="n">
        <v>23.37340290342296</v>
      </c>
      <c r="P284" s="23" t="n">
        <v>23.05807737335036</v>
      </c>
      <c r="Q284" s="23" t="n">
        <v>23.19416875486397</v>
      </c>
      <c r="R284" s="23" t="n">
        <v>23.11510704812429</v>
      </c>
      <c r="S284" s="23" t="n">
        <v>22.94815099178793</v>
      </c>
      <c r="T284" s="23" t="n">
        <v>22.83867028150187</v>
      </c>
      <c r="U284" s="23" t="n">
        <v>22.41680321801465</v>
      </c>
      <c r="V284" s="38" t="n">
        <v>22.98066201420218</v>
      </c>
      <c r="W284" s="39" t="n">
        <v>299</v>
      </c>
      <c r="X284" s="24" t="n">
        <v>0.8305555555555556</v>
      </c>
    </row>
    <row r="285" ht="13.9" customHeight="1">
      <c r="A285" s="10" t="n">
        <v>16015090</v>
      </c>
      <c r="B285" s="35" t="inlineStr">
        <is>
          <t>CP</t>
        </is>
      </c>
      <c r="C285" s="35" t="inlineStr">
        <is>
          <t>Parque Nacional Tamá</t>
        </is>
      </c>
      <c r="D285" s="35" t="inlineStr">
        <is>
          <t>Herrán</t>
        </is>
      </c>
      <c r="E285" s="21" t="inlineStr">
        <is>
          <t>Norte de Santander</t>
        </is>
      </c>
      <c r="F285" s="35" t="n">
        <v>8</v>
      </c>
      <c r="G285" s="35" t="n">
        <v>2500</v>
      </c>
      <c r="H285" s="36" t="n">
        <v>-72.44211111</v>
      </c>
      <c r="I285" s="37" t="n">
        <v>7.42444444</v>
      </c>
      <c r="J285" s="22" t="n">
        <v>7.629319337770951</v>
      </c>
      <c r="K285" s="23" t="n">
        <v>8.60940055066262</v>
      </c>
      <c r="L285" s="23" t="n">
        <v>9.203540088634638</v>
      </c>
      <c r="M285" s="23" t="n">
        <v>10.47046798029557</v>
      </c>
      <c r="N285" s="23" t="n">
        <v>10.72766156185511</v>
      </c>
      <c r="O285" s="23" t="n">
        <v>10.56223691945914</v>
      </c>
      <c r="P285" s="23" t="n">
        <v>10.1422528706205</v>
      </c>
      <c r="Q285" s="23" t="n">
        <v>9.992610307749352</v>
      </c>
      <c r="R285" s="23" t="n">
        <v>9.962100574712645</v>
      </c>
      <c r="S285" s="23" t="n">
        <v>9.763031233998976</v>
      </c>
      <c r="T285" s="23" t="n">
        <v>9.509160280970626</v>
      </c>
      <c r="U285" s="23" t="n">
        <v>8.484233418524992</v>
      </c>
      <c r="V285" s="38" t="n">
        <v>9.588001260437926</v>
      </c>
      <c r="W285" s="39" t="n">
        <v>113</v>
      </c>
      <c r="X285" s="24" t="n">
        <v>0.9416666666666667</v>
      </c>
    </row>
    <row r="286" ht="13.9" customHeight="1">
      <c r="A286" s="10" t="n">
        <v>16055060</v>
      </c>
      <c r="B286" s="35" t="inlineStr">
        <is>
          <t>CO</t>
        </is>
      </c>
      <c r="C286" s="35" t="inlineStr">
        <is>
          <t>La Playa</t>
        </is>
      </c>
      <c r="D286" s="35" t="inlineStr">
        <is>
          <t>La Playa</t>
        </is>
      </c>
      <c r="E286" s="21" t="inlineStr">
        <is>
          <t>Norte de Santander</t>
        </is>
      </c>
      <c r="F286" s="35" t="n">
        <v>8</v>
      </c>
      <c r="G286" s="35" t="n">
        <v>1500</v>
      </c>
      <c r="H286" s="36" t="n">
        <v>-73.235</v>
      </c>
      <c r="I286" s="37" t="n">
        <v>8.217499999999999</v>
      </c>
      <c r="J286" s="22" t="n">
        <v>14.05813106524025</v>
      </c>
      <c r="K286" s="23" t="n">
        <v>14.78120167852582</v>
      </c>
      <c r="L286" s="23" t="n">
        <v>15.41415474313023</v>
      </c>
      <c r="M286" s="23" t="n">
        <v>15.99246351840516</v>
      </c>
      <c r="N286" s="23" t="n">
        <v>15.84994822779769</v>
      </c>
      <c r="O286" s="23" t="n">
        <v>15.26657011494253</v>
      </c>
      <c r="P286" s="23" t="n">
        <v>15.03432030932031</v>
      </c>
      <c r="Q286" s="23" t="n">
        <v>14.94415748375457</v>
      </c>
      <c r="R286" s="23" t="n">
        <v>15.20513704686119</v>
      </c>
      <c r="S286" s="23" t="n">
        <v>15.55350874190697</v>
      </c>
      <c r="T286" s="23" t="n">
        <v>15.60608683393782</v>
      </c>
      <c r="U286" s="23" t="n">
        <v>14.79656006144393</v>
      </c>
      <c r="V286" s="38" t="n">
        <v>15.20851998543887</v>
      </c>
      <c r="W286" s="39" t="n">
        <v>313</v>
      </c>
      <c r="X286" s="24" t="n">
        <v>0.8694444444444445</v>
      </c>
    </row>
    <row r="287" ht="13.9" customHeight="1">
      <c r="A287" s="10" t="n">
        <v>16055010</v>
      </c>
      <c r="B287" s="35" t="inlineStr">
        <is>
          <t>CP</t>
        </is>
      </c>
      <c r="C287" s="35" t="inlineStr">
        <is>
          <t>Aeropuerto Aguas Claras</t>
        </is>
      </c>
      <c r="D287" s="35" t="inlineStr">
        <is>
          <t>Ocaña</t>
        </is>
      </c>
      <c r="E287" s="21" t="inlineStr">
        <is>
          <t>Norte de Santander</t>
        </is>
      </c>
      <c r="F287" s="35" t="n">
        <v>8</v>
      </c>
      <c r="G287" s="35" t="n">
        <v>1435</v>
      </c>
      <c r="H287" s="36" t="n">
        <v>-73.3575</v>
      </c>
      <c r="I287" s="37" t="n">
        <v>8.315277780000001</v>
      </c>
      <c r="J287" s="22" t="n">
        <v>14.06435010410427</v>
      </c>
      <c r="K287" s="23" t="n">
        <v>14.90839060187719</v>
      </c>
      <c r="L287" s="23" t="n">
        <v>15.5568578255675</v>
      </c>
      <c r="M287" s="23" t="n">
        <v>16.69056296296296</v>
      </c>
      <c r="N287" s="23" t="n">
        <v>16.93115890083632</v>
      </c>
      <c r="O287" s="23" t="n">
        <v>16.20852764094143</v>
      </c>
      <c r="P287" s="23" t="n">
        <v>15.74016129032258</v>
      </c>
      <c r="Q287" s="23" t="n">
        <v>15.79466943151284</v>
      </c>
      <c r="R287" s="23" t="n">
        <v>16.00302197802198</v>
      </c>
      <c r="S287" s="23" t="n">
        <v>16.4598064516129</v>
      </c>
      <c r="T287" s="23" t="n">
        <v>15.96836124794746</v>
      </c>
      <c r="U287" s="23" t="n">
        <v>15.36717871709307</v>
      </c>
      <c r="V287" s="38" t="n">
        <v>15.80775392940004</v>
      </c>
      <c r="W287" s="39" t="n">
        <v>112</v>
      </c>
      <c r="X287" s="24" t="n">
        <v>0.9333333333333333</v>
      </c>
    </row>
    <row r="288" ht="13.9" customHeight="1">
      <c r="A288" s="10" t="n">
        <v>16055100</v>
      </c>
      <c r="B288" s="35" t="inlineStr">
        <is>
          <t>CO</t>
        </is>
      </c>
      <c r="C288" s="35" t="inlineStr">
        <is>
          <t>Universidad Francisco de Paula Santander</t>
        </is>
      </c>
      <c r="D288" s="35" t="inlineStr">
        <is>
          <t>Ocaña</t>
        </is>
      </c>
      <c r="E288" s="21" t="inlineStr">
        <is>
          <t>Norte de Santander</t>
        </is>
      </c>
      <c r="F288" s="35" t="n">
        <v>8</v>
      </c>
      <c r="G288" s="35" t="n">
        <v>1150</v>
      </c>
      <c r="H288" s="36" t="n">
        <v>-73.32222222</v>
      </c>
      <c r="I288" s="37" t="n">
        <v>8.23777778</v>
      </c>
      <c r="J288" s="22" t="n">
        <v>13.75819813716717</v>
      </c>
      <c r="K288" s="23" t="n">
        <v>14.26172664762929</v>
      </c>
      <c r="L288" s="23" t="n">
        <v>15.26819241900326</v>
      </c>
      <c r="M288" s="23" t="n">
        <v>16.29338549212789</v>
      </c>
      <c r="N288" s="23" t="n">
        <v>16.91941143180532</v>
      </c>
      <c r="O288" s="23" t="n">
        <v>16.21846889253785</v>
      </c>
      <c r="P288" s="23" t="n">
        <v>15.54954451932794</v>
      </c>
      <c r="Q288" s="23" t="n">
        <v>15.72028742762614</v>
      </c>
      <c r="R288" s="23" t="n">
        <v>16.27155810983398</v>
      </c>
      <c r="S288" s="23" t="n">
        <v>16.3885835656445</v>
      </c>
      <c r="T288" s="23" t="n">
        <v>16.07861359443735</v>
      </c>
      <c r="U288" s="23" t="n">
        <v>15.03288092549143</v>
      </c>
      <c r="V288" s="38" t="n">
        <v>15.64673759688601</v>
      </c>
      <c r="W288" s="39" t="n">
        <v>215</v>
      </c>
      <c r="X288" s="24" t="n">
        <v>0.8958333333333334</v>
      </c>
    </row>
    <row r="289" ht="13.9" customHeight="1">
      <c r="A289" s="10" t="n">
        <v>16015020</v>
      </c>
      <c r="B289" s="35" t="inlineStr">
        <is>
          <t>AM</t>
        </is>
      </c>
      <c r="C289" s="35" t="inlineStr">
        <is>
          <t>Iser Pamplona</t>
        </is>
      </c>
      <c r="D289" s="35" t="inlineStr">
        <is>
          <t>Pamplona</t>
        </is>
      </c>
      <c r="E289" s="21" t="inlineStr">
        <is>
          <t>Norte de Santander</t>
        </is>
      </c>
      <c r="F289" s="35" t="n">
        <v>8</v>
      </c>
      <c r="G289" s="35" t="n">
        <v>2340</v>
      </c>
      <c r="H289" s="36" t="n">
        <v>-72.645</v>
      </c>
      <c r="I289" s="37" t="n">
        <v>7.37311111</v>
      </c>
      <c r="J289" s="22" t="n">
        <v>8.019853690136763</v>
      </c>
      <c r="K289" s="23" t="n">
        <v>8.686064216533895</v>
      </c>
      <c r="L289" s="23" t="n">
        <v>9.985465331850202</v>
      </c>
      <c r="M289" s="23" t="n">
        <v>11.20100390691354</v>
      </c>
      <c r="N289" s="23" t="n">
        <v>11.62823433444568</v>
      </c>
      <c r="O289" s="23" t="n">
        <v>11.47956224952658</v>
      </c>
      <c r="P289" s="23" t="n">
        <v>11.20513978494624</v>
      </c>
      <c r="Q289" s="23" t="n">
        <v>11.08632974910395</v>
      </c>
      <c r="R289" s="23" t="n">
        <v>10.70385550082102</v>
      </c>
      <c r="S289" s="23" t="n">
        <v>10.52516874324401</v>
      </c>
      <c r="T289" s="23" t="n">
        <v>10.149825240441</v>
      </c>
      <c r="U289" s="23" t="n">
        <v>8.879246904374826</v>
      </c>
      <c r="V289" s="38" t="n">
        <v>10.29581247102814</v>
      </c>
      <c r="W289" s="39" t="n">
        <v>351</v>
      </c>
      <c r="X289" s="24" t="n">
        <v>0.975</v>
      </c>
    </row>
    <row r="290" ht="13.9" customHeight="1">
      <c r="A290" s="10" t="n">
        <v>16015030</v>
      </c>
      <c r="B290" s="35" t="inlineStr">
        <is>
          <t>CO</t>
        </is>
      </c>
      <c r="C290" s="35" t="inlineStr">
        <is>
          <t>La Esperanza</t>
        </is>
      </c>
      <c r="D290" s="35" t="inlineStr">
        <is>
          <t>Ragonvalia</t>
        </is>
      </c>
      <c r="E290" s="21" t="inlineStr">
        <is>
          <t>Norte de Santander</t>
        </is>
      </c>
      <c r="F290" s="35" t="n">
        <v>8</v>
      </c>
      <c r="G290" s="35" t="n">
        <v>1760</v>
      </c>
      <c r="H290" s="36" t="n">
        <v>-72.53388889</v>
      </c>
      <c r="I290" s="37" t="n">
        <v>7.56972222</v>
      </c>
      <c r="J290" s="22" t="n">
        <v>11.71525519091991</v>
      </c>
      <c r="K290" s="23" t="n">
        <v>12.24100783430019</v>
      </c>
      <c r="L290" s="23" t="n">
        <v>13.09451592892749</v>
      </c>
      <c r="M290" s="23" t="n">
        <v>13.91781383567476</v>
      </c>
      <c r="N290" s="23" t="n">
        <v>14.0881989610247</v>
      </c>
      <c r="O290" s="23" t="n">
        <v>13.66352424927137</v>
      </c>
      <c r="P290" s="23" t="n">
        <v>13.25326486219256</v>
      </c>
      <c r="Q290" s="23" t="n">
        <v>13.34699892174788</v>
      </c>
      <c r="R290" s="23" t="n">
        <v>13.47601511515304</v>
      </c>
      <c r="S290" s="23" t="n">
        <v>13.57028411344762</v>
      </c>
      <c r="T290" s="23" t="n">
        <v>13.28780521262003</v>
      </c>
      <c r="U290" s="23" t="n">
        <v>12.39102390789464</v>
      </c>
      <c r="V290" s="38" t="n">
        <v>13.17047567776451</v>
      </c>
      <c r="W290" s="39" t="n">
        <v>352</v>
      </c>
      <c r="X290" s="24" t="n">
        <v>0.9777777777777777</v>
      </c>
    </row>
    <row r="291" ht="13.9" customHeight="1">
      <c r="A291" s="10" t="n">
        <v>16015100</v>
      </c>
      <c r="B291" s="35" t="inlineStr">
        <is>
          <t>CP</t>
        </is>
      </c>
      <c r="C291" s="35" t="inlineStr">
        <is>
          <t>Ragonvalia</t>
        </is>
      </c>
      <c r="D291" s="35" t="inlineStr">
        <is>
          <t>Ragonvalia</t>
        </is>
      </c>
      <c r="E291" s="21" t="inlineStr">
        <is>
          <t>Norte de Santander</t>
        </is>
      </c>
      <c r="F291" s="35" t="n">
        <v>8</v>
      </c>
      <c r="G291" s="35" t="n">
        <v>1550</v>
      </c>
      <c r="H291" s="36" t="n">
        <v>-72.48388889</v>
      </c>
      <c r="I291" s="37" t="n">
        <v>7.57666667</v>
      </c>
      <c r="J291" s="22" t="n">
        <v>13.22878143470959</v>
      </c>
      <c r="K291" s="23" t="n">
        <v>13.54714031300047</v>
      </c>
      <c r="L291" s="23" t="n">
        <v>14.39288625082959</v>
      </c>
      <c r="M291" s="23" t="n">
        <v>15.13412466843501</v>
      </c>
      <c r="N291" s="23" t="n">
        <v>15.22127731315545</v>
      </c>
      <c r="O291" s="23" t="n">
        <v>14.78289556178849</v>
      </c>
      <c r="P291" s="23" t="n">
        <v>14.40213773681515</v>
      </c>
      <c r="Q291" s="23" t="n">
        <v>14.39065028161802</v>
      </c>
      <c r="R291" s="23" t="n">
        <v>14.54525468844525</v>
      </c>
      <c r="S291" s="23" t="n">
        <v>14.800063060878</v>
      </c>
      <c r="T291" s="23" t="n">
        <v>14.7390615280595</v>
      </c>
      <c r="U291" s="23" t="n">
        <v>13.93510880178113</v>
      </c>
      <c r="V291" s="38" t="n">
        <v>14.4266151366263</v>
      </c>
      <c r="W291" s="39" t="n">
        <v>217</v>
      </c>
      <c r="X291" s="24" t="n">
        <v>0.9041666666666667</v>
      </c>
    </row>
    <row r="292" ht="13.9" customHeight="1">
      <c r="A292" s="10" t="n">
        <v>16025030</v>
      </c>
      <c r="B292" s="35" t="inlineStr">
        <is>
          <t>CP</t>
        </is>
      </c>
      <c r="C292" s="35" t="inlineStr">
        <is>
          <t>Salazar</t>
        </is>
      </c>
      <c r="D292" s="35" t="inlineStr">
        <is>
          <t>Salazar</t>
        </is>
      </c>
      <c r="E292" s="21" t="inlineStr">
        <is>
          <t>Norte de Santander</t>
        </is>
      </c>
      <c r="F292" s="35" t="n">
        <v>8</v>
      </c>
      <c r="G292" s="35" t="n">
        <v>860</v>
      </c>
      <c r="H292" s="36" t="n">
        <v>-72.83055556000001</v>
      </c>
      <c r="I292" s="37" t="n">
        <v>7.77458333</v>
      </c>
      <c r="J292" s="22" t="n">
        <v>18.26354542083797</v>
      </c>
      <c r="K292" s="23" t="n">
        <v>18.46755052808693</v>
      </c>
      <c r="L292" s="23" t="n">
        <v>18.96774193548387</v>
      </c>
      <c r="M292" s="23" t="n">
        <v>19.56422915526364</v>
      </c>
      <c r="N292" s="23" t="n">
        <v>19.81497868001483</v>
      </c>
      <c r="O292" s="23" t="n">
        <v>19.34699233716475</v>
      </c>
      <c r="P292" s="23" t="n">
        <v>19.0258064516129</v>
      </c>
      <c r="Q292" s="23" t="n">
        <v>19.31819892473118</v>
      </c>
      <c r="R292" s="23" t="n">
        <v>19.33</v>
      </c>
      <c r="S292" s="23" t="n">
        <v>19.11373954599761</v>
      </c>
      <c r="T292" s="23" t="n">
        <v>19.14990804597701</v>
      </c>
      <c r="U292" s="23" t="n">
        <v>18.52570840028015</v>
      </c>
      <c r="V292" s="38" t="n">
        <v>19.07403328545424</v>
      </c>
      <c r="W292" s="39" t="n">
        <v>104</v>
      </c>
      <c r="X292" s="24" t="n">
        <v>0.8666666666666667</v>
      </c>
    </row>
    <row r="293" ht="13.9" customHeight="1">
      <c r="A293" s="10" t="n">
        <v>16035030</v>
      </c>
      <c r="B293" s="35" t="inlineStr">
        <is>
          <t>PM</t>
        </is>
      </c>
      <c r="C293" s="35" t="inlineStr">
        <is>
          <t>Sardinata</t>
        </is>
      </c>
      <c r="D293" s="35" t="inlineStr">
        <is>
          <t>Sardinata</t>
        </is>
      </c>
      <c r="E293" s="21" t="inlineStr">
        <is>
          <t>Norte de Santander</t>
        </is>
      </c>
      <c r="F293" s="35" t="n">
        <v>8</v>
      </c>
      <c r="G293" s="35" t="n">
        <v>320</v>
      </c>
      <c r="H293" s="36" t="n">
        <v>-72.80305556</v>
      </c>
      <c r="I293" s="37" t="n">
        <v>8.07666667</v>
      </c>
      <c r="J293" s="22" t="n">
        <v>20.18154875787912</v>
      </c>
      <c r="K293" s="23" t="n">
        <v>20.88231906025009</v>
      </c>
      <c r="L293" s="23" t="n">
        <v>21.54071774193548</v>
      </c>
      <c r="M293" s="23" t="n">
        <v>22.09669504753796</v>
      </c>
      <c r="N293" s="23" t="n">
        <v>21.82213859020311</v>
      </c>
      <c r="O293" s="23" t="n">
        <v>21.55098055483536</v>
      </c>
      <c r="P293" s="23" t="n">
        <v>21.38637671486837</v>
      </c>
      <c r="Q293" s="23" t="n">
        <v>21.5765376344086</v>
      </c>
      <c r="R293" s="23" t="n">
        <v>21.47773563218391</v>
      </c>
      <c r="S293" s="23" t="n">
        <v>21.38731182795699</v>
      </c>
      <c r="T293" s="23" t="n">
        <v>21.34848852901484</v>
      </c>
      <c r="U293" s="23" t="n">
        <v>20.89226551132132</v>
      </c>
      <c r="V293" s="38" t="n">
        <v>21.34525963353293</v>
      </c>
      <c r="W293" s="39" t="n">
        <v>231</v>
      </c>
      <c r="X293" s="24" t="n">
        <v>0.9625</v>
      </c>
    </row>
    <row r="294" ht="13.9" customHeight="1">
      <c r="A294" s="10" t="n">
        <v>37015010</v>
      </c>
      <c r="B294" s="35" t="inlineStr">
        <is>
          <t>CO</t>
        </is>
      </c>
      <c r="C294" s="35" t="inlineStr">
        <is>
          <t>Silos</t>
        </is>
      </c>
      <c r="D294" s="35" t="inlineStr">
        <is>
          <t>Silos</t>
        </is>
      </c>
      <c r="E294" s="21" t="inlineStr">
        <is>
          <t>Norte de Santander</t>
        </is>
      </c>
      <c r="F294" s="35" t="n">
        <v>8</v>
      </c>
      <c r="G294" s="35" t="n">
        <v>2765</v>
      </c>
      <c r="H294" s="36" t="n">
        <v>-72.75333332999999</v>
      </c>
      <c r="I294" s="37" t="n">
        <v>7.2075</v>
      </c>
      <c r="J294" s="22" t="n">
        <v>5.762559005349241</v>
      </c>
      <c r="K294" s="23" t="n">
        <v>6.213564562747866</v>
      </c>
      <c r="L294" s="23" t="n">
        <v>7.023191850594226</v>
      </c>
      <c r="M294" s="23" t="n">
        <v>7.903412515964239</v>
      </c>
      <c r="N294" s="23" t="n">
        <v>8.222139219015279</v>
      </c>
      <c r="O294" s="23" t="n">
        <v>7.818642401021712</v>
      </c>
      <c r="P294" s="23" t="n">
        <v>7.526919474313021</v>
      </c>
      <c r="Q294" s="23" t="n">
        <v>7.477563918757466</v>
      </c>
      <c r="R294" s="23" t="n">
        <v>7.466446672236147</v>
      </c>
      <c r="S294" s="23" t="n">
        <v>7.659683078664404</v>
      </c>
      <c r="T294" s="23" t="n">
        <v>7.328588021778586</v>
      </c>
      <c r="U294" s="23" t="n">
        <v>6.503058542413381</v>
      </c>
      <c r="V294" s="38" t="n">
        <v>7.242147438571298</v>
      </c>
      <c r="W294" s="39" t="n">
        <v>231</v>
      </c>
      <c r="X294" s="24" t="n">
        <v>0.9625</v>
      </c>
    </row>
    <row r="295" ht="13.9" customHeight="1">
      <c r="A295" s="10" t="n">
        <v>16055020</v>
      </c>
      <c r="B295" s="35" t="inlineStr">
        <is>
          <t>CO</t>
        </is>
      </c>
      <c r="C295" s="35" t="inlineStr">
        <is>
          <t>Teorama</t>
        </is>
      </c>
      <c r="D295" s="35" t="inlineStr">
        <is>
          <t>Teorama</t>
        </is>
      </c>
      <c r="E295" s="21" t="inlineStr">
        <is>
          <t>Norte de Santander</t>
        </is>
      </c>
      <c r="F295" s="35" t="n">
        <v>8</v>
      </c>
      <c r="G295" s="35" t="n">
        <v>1160</v>
      </c>
      <c r="H295" s="36" t="n">
        <v>-73.28527778</v>
      </c>
      <c r="I295" s="37" t="n">
        <v>8.44222222</v>
      </c>
      <c r="J295" s="22" t="n">
        <v>17.36776521647872</v>
      </c>
      <c r="K295" s="23" t="n">
        <v>17.73990955092254</v>
      </c>
      <c r="L295" s="23" t="n">
        <v>18.15593067490263</v>
      </c>
      <c r="M295" s="23" t="n">
        <v>18.99661986161986</v>
      </c>
      <c r="N295" s="23" t="n">
        <v>19.15966385342915</v>
      </c>
      <c r="O295" s="23" t="n">
        <v>18.82044775931362</v>
      </c>
      <c r="P295" s="23" t="n">
        <v>18.06316734643431</v>
      </c>
      <c r="Q295" s="23" t="n">
        <v>18.20103125856427</v>
      </c>
      <c r="R295" s="23" t="n">
        <v>18.36060664112388</v>
      </c>
      <c r="S295" s="23" t="n">
        <v>18.44351677302265</v>
      </c>
      <c r="T295" s="23" t="n">
        <v>18.31695920836574</v>
      </c>
      <c r="U295" s="23" t="n">
        <v>17.98932377786352</v>
      </c>
      <c r="V295" s="38" t="n">
        <v>18.30124516017007</v>
      </c>
      <c r="W295" s="39" t="n">
        <v>215</v>
      </c>
      <c r="X295" s="24" t="n">
        <v>0.8958333333333334</v>
      </c>
    </row>
    <row r="296" ht="13.9" customHeight="1">
      <c r="A296" s="10" t="n">
        <v>16035020</v>
      </c>
      <c r="B296" s="35" t="inlineStr">
        <is>
          <t>CO</t>
        </is>
      </c>
      <c r="C296" s="35" t="inlineStr">
        <is>
          <t>Petrolea</t>
        </is>
      </c>
      <c r="D296" s="35" t="inlineStr">
        <is>
          <t>Tibú</t>
        </is>
      </c>
      <c r="E296" s="21" t="inlineStr">
        <is>
          <t>Norte de Santander</t>
        </is>
      </c>
      <c r="F296" s="35" t="n">
        <v>8</v>
      </c>
      <c r="G296" s="35" t="n">
        <v>62</v>
      </c>
      <c r="H296" s="36" t="n">
        <v>-72.57944444</v>
      </c>
      <c r="I296" s="37" t="n">
        <v>8.468611110000001</v>
      </c>
      <c r="J296" s="22" t="n">
        <v>20.96307561017239</v>
      </c>
      <c r="K296" s="23" t="n">
        <v>21.134817277869</v>
      </c>
      <c r="L296" s="23" t="n">
        <v>21.53007786429366</v>
      </c>
      <c r="M296" s="23" t="n">
        <v>21.4941724137931</v>
      </c>
      <c r="N296" s="23" t="n">
        <v>21.68893325917686</v>
      </c>
      <c r="O296" s="23" t="n">
        <v>21.37592396109638</v>
      </c>
      <c r="P296" s="23" t="n">
        <v>21.11450418160096</v>
      </c>
      <c r="Q296" s="23" t="n">
        <v>21.10919447534297</v>
      </c>
      <c r="R296" s="23" t="n">
        <v>21.08148148148148</v>
      </c>
      <c r="S296" s="23" t="n">
        <v>21.00817972350231</v>
      </c>
      <c r="T296" s="23" t="n">
        <v>21.37142857142857</v>
      </c>
      <c r="U296" s="23" t="n">
        <v>21.23198924731183</v>
      </c>
      <c r="V296" s="38" t="n">
        <v>21.25864817225579</v>
      </c>
      <c r="W296" s="39" t="n">
        <v>107</v>
      </c>
      <c r="X296" s="24" t="n">
        <v>0.8916666666666667</v>
      </c>
    </row>
    <row r="297" ht="13.9" customHeight="1">
      <c r="A297" s="10" t="n">
        <v>37035010</v>
      </c>
      <c r="B297" s="35" t="inlineStr">
        <is>
          <t>CO</t>
        </is>
      </c>
      <c r="C297" s="35" t="inlineStr">
        <is>
          <t>Tunebia</t>
        </is>
      </c>
      <c r="D297" s="35" t="inlineStr">
        <is>
          <t xml:space="preserve">Toledo </t>
        </is>
      </c>
      <c r="E297" s="21" t="inlineStr">
        <is>
          <t>Norte de Santander</t>
        </is>
      </c>
      <c r="F297" s="35" t="n">
        <v>8</v>
      </c>
      <c r="G297" s="35" t="n">
        <v>370</v>
      </c>
      <c r="H297" s="36" t="n">
        <v>-72.11583332999999</v>
      </c>
      <c r="I297" s="37" t="n">
        <v>7.00611111</v>
      </c>
      <c r="J297" s="22" t="n">
        <v>19.6095294375824</v>
      </c>
      <c r="K297" s="23" t="n">
        <v>20.07213205759757</v>
      </c>
      <c r="L297" s="23" t="n">
        <v>20.65097710244127</v>
      </c>
      <c r="M297" s="23" t="n">
        <v>21.17041755083996</v>
      </c>
      <c r="N297" s="23" t="n">
        <v>21.07084609495066</v>
      </c>
      <c r="O297" s="23" t="n">
        <v>20.69738030826699</v>
      </c>
      <c r="P297" s="23" t="n">
        <v>20.49554732047502</v>
      </c>
      <c r="Q297" s="23" t="n">
        <v>20.69902415427443</v>
      </c>
      <c r="R297" s="23" t="n">
        <v>20.70353899134071</v>
      </c>
      <c r="S297" s="23" t="n">
        <v>20.79653167600443</v>
      </c>
      <c r="T297" s="23" t="n">
        <v>20.84058033025612</v>
      </c>
      <c r="U297" s="23" t="n">
        <v>20.35580289819708</v>
      </c>
      <c r="V297" s="38" t="n">
        <v>20.59685899351889</v>
      </c>
      <c r="W297" s="39" t="n">
        <v>296</v>
      </c>
      <c r="X297" s="24" t="n">
        <v>0.8222222222222222</v>
      </c>
    </row>
    <row r="298" ht="13.9" customHeight="1">
      <c r="A298" s="10" t="n">
        <v>47015040</v>
      </c>
      <c r="B298" s="35" t="inlineStr">
        <is>
          <t>CO</t>
        </is>
      </c>
      <c r="C298" s="35" t="inlineStr">
        <is>
          <t>Michoacán</t>
        </is>
      </c>
      <c r="D298" s="35" t="inlineStr">
        <is>
          <t>Colón</t>
        </is>
      </c>
      <c r="E298" s="21" t="inlineStr">
        <is>
          <t>Putumayo</t>
        </is>
      </c>
      <c r="F298" s="35" t="n">
        <v>7</v>
      </c>
      <c r="G298" s="35" t="n">
        <v>2100</v>
      </c>
      <c r="H298" s="36" t="n">
        <v>-76.96097222</v>
      </c>
      <c r="I298" s="37" t="n">
        <v>1.19827778</v>
      </c>
      <c r="J298" s="22" t="n">
        <v>11.55497331740343</v>
      </c>
      <c r="K298" s="23" t="n">
        <v>11.70873365565894</v>
      </c>
      <c r="L298" s="23" t="n">
        <v>11.71455717993537</v>
      </c>
      <c r="M298" s="23" t="n">
        <v>11.99953235117135</v>
      </c>
      <c r="N298" s="23" t="n">
        <v>12.02397235415403</v>
      </c>
      <c r="O298" s="23" t="n">
        <v>11.7580216622458</v>
      </c>
      <c r="P298" s="23" t="n">
        <v>11.28210987943181</v>
      </c>
      <c r="Q298" s="23" t="n">
        <v>10.81260585836114</v>
      </c>
      <c r="R298" s="23" t="n">
        <v>10.61922088216975</v>
      </c>
      <c r="S298" s="23" t="n">
        <v>11.26360659992584</v>
      </c>
      <c r="T298" s="23" t="n">
        <v>11.90049629126323</v>
      </c>
      <c r="U298" s="23" t="n">
        <v>11.86720443349753</v>
      </c>
      <c r="V298" s="38" t="n">
        <v>11.54208620543485</v>
      </c>
      <c r="W298" s="39" t="n">
        <v>344</v>
      </c>
      <c r="X298" s="24" t="n">
        <v>0.9555555555555556</v>
      </c>
    </row>
    <row r="299" ht="13.9" customHeight="1">
      <c r="A299" s="10" t="n">
        <v>44015060</v>
      </c>
      <c r="B299" s="35" t="inlineStr">
        <is>
          <t>CP</t>
        </is>
      </c>
      <c r="C299" s="35" t="inlineStr">
        <is>
          <t xml:space="preserve">Acueducto Mocoa - AUT </t>
        </is>
      </c>
      <c r="D299" s="35" t="inlineStr">
        <is>
          <t>Mocoa</t>
        </is>
      </c>
      <c r="E299" s="21" t="inlineStr">
        <is>
          <t>Putumayo</t>
        </is>
      </c>
      <c r="F299" s="35" t="n">
        <v>7</v>
      </c>
      <c r="G299" s="35" t="n">
        <v>650</v>
      </c>
      <c r="H299" s="36" t="n">
        <v>-76.65183332999999</v>
      </c>
      <c r="I299" s="37" t="n">
        <v>1.15733333</v>
      </c>
      <c r="J299" s="22" t="n">
        <v>20.57978240372901</v>
      </c>
      <c r="K299" s="23" t="n">
        <v>20.65879405077681</v>
      </c>
      <c r="L299" s="23" t="n">
        <v>20.51571814836998</v>
      </c>
      <c r="M299" s="23" t="n">
        <v>20.38053621601897</v>
      </c>
      <c r="N299" s="23" t="n">
        <v>20.13749933788866</v>
      </c>
      <c r="O299" s="23" t="n">
        <v>19.55248953301128</v>
      </c>
      <c r="P299" s="23" t="n">
        <v>19.27640860215054</v>
      </c>
      <c r="Q299" s="23" t="n">
        <v>19.66425695216908</v>
      </c>
      <c r="R299" s="23" t="n">
        <v>19.97411846986559</v>
      </c>
      <c r="S299" s="23" t="n">
        <v>20.25350599241322</v>
      </c>
      <c r="T299" s="23" t="n">
        <v>20.62100273672687</v>
      </c>
      <c r="U299" s="23" t="n">
        <v>20.62946488161449</v>
      </c>
      <c r="V299" s="38" t="n">
        <v>20.18696477706121</v>
      </c>
      <c r="W299" s="39" t="n">
        <v>119</v>
      </c>
      <c r="X299" s="24" t="n">
        <v>0.9916666666666667</v>
      </c>
    </row>
    <row r="300" ht="13.9" customHeight="1">
      <c r="A300" s="10" t="n">
        <v>44115020</v>
      </c>
      <c r="B300" s="35" t="inlineStr">
        <is>
          <t>AM</t>
        </is>
      </c>
      <c r="C300" s="35" t="inlineStr">
        <is>
          <t>La Tagua</t>
        </is>
      </c>
      <c r="D300" s="35" t="inlineStr">
        <is>
          <t>Puerto Leguízamo</t>
        </is>
      </c>
      <c r="E300" s="21" t="inlineStr">
        <is>
          <t>Putumayo</t>
        </is>
      </c>
      <c r="F300" s="35" t="n">
        <v>4</v>
      </c>
      <c r="G300" s="35" t="n">
        <v>153</v>
      </c>
      <c r="H300" s="36" t="n">
        <v>-74.66522222</v>
      </c>
      <c r="I300" s="37" t="n">
        <v>-0.06075000000000001</v>
      </c>
      <c r="J300" s="22" t="n">
        <v>21.76534390063033</v>
      </c>
      <c r="K300" s="23" t="n">
        <v>21.9022110070999</v>
      </c>
      <c r="L300" s="23" t="n">
        <v>22.27286693548387</v>
      </c>
      <c r="M300" s="23" t="n">
        <v>22.34923627075351</v>
      </c>
      <c r="N300" s="23" t="n">
        <v>22.35468390314145</v>
      </c>
      <c r="O300" s="23" t="n">
        <v>21.81191964159014</v>
      </c>
      <c r="P300" s="23" t="n">
        <v>21.23352175274064</v>
      </c>
      <c r="Q300" s="23" t="n">
        <v>21.43535483870967</v>
      </c>
      <c r="R300" s="23" t="n">
        <v>21.82227431827432</v>
      </c>
      <c r="S300" s="23" t="n">
        <v>22.09941008527994</v>
      </c>
      <c r="T300" s="23" t="n">
        <v>22.30111932129173</v>
      </c>
      <c r="U300" s="23" t="n">
        <v>22.20894986198656</v>
      </c>
      <c r="V300" s="38" t="n">
        <v>21.9630743197485</v>
      </c>
      <c r="W300" s="39" t="n">
        <v>108</v>
      </c>
      <c r="X300" s="24" t="n">
        <v>0.9</v>
      </c>
    </row>
    <row r="301" ht="13.9" customHeight="1">
      <c r="A301" s="10" t="n">
        <v>47045010</v>
      </c>
      <c r="B301" s="35" t="inlineStr">
        <is>
          <t>CO</t>
        </is>
      </c>
      <c r="C301" s="35" t="inlineStr">
        <is>
          <t>Puerto Leguízamo</t>
        </is>
      </c>
      <c r="D301" s="35" t="inlineStr">
        <is>
          <t>Puerto Leguízamo</t>
        </is>
      </c>
      <c r="E301" s="21" t="inlineStr">
        <is>
          <t>Putumayo</t>
        </is>
      </c>
      <c r="F301" s="35" t="n">
        <v>7</v>
      </c>
      <c r="G301" s="35" t="n">
        <v>147</v>
      </c>
      <c r="H301" s="36" t="n">
        <v>-74.77627778</v>
      </c>
      <c r="I301" s="37" t="n">
        <v>-0.18061111</v>
      </c>
      <c r="J301" s="22" t="n">
        <v>22.75000286070482</v>
      </c>
      <c r="K301" s="23" t="n">
        <v>22.94027428385375</v>
      </c>
      <c r="L301" s="23" t="n">
        <v>22.83050723025584</v>
      </c>
      <c r="M301" s="23" t="n">
        <v>22.85449096880131</v>
      </c>
      <c r="N301" s="23" t="n">
        <v>22.66777159807193</v>
      </c>
      <c r="O301" s="23" t="n">
        <v>22.08514896214896</v>
      </c>
      <c r="P301" s="23" t="n">
        <v>21.87724354132709</v>
      </c>
      <c r="Q301" s="23" t="n">
        <v>22.02313711295913</v>
      </c>
      <c r="R301" s="23" t="n">
        <v>22.30192645299925</v>
      </c>
      <c r="S301" s="23" t="n">
        <v>22.66026541836609</v>
      </c>
      <c r="T301" s="23" t="n">
        <v>22.79599160737091</v>
      </c>
      <c r="U301" s="23" t="n">
        <v>22.72936559139785</v>
      </c>
      <c r="V301" s="38" t="n">
        <v>22.54301046902141</v>
      </c>
      <c r="W301" s="39" t="n">
        <v>114</v>
      </c>
      <c r="X301" s="24" t="n">
        <v>0.95</v>
      </c>
    </row>
    <row r="302" ht="13.9" customHeight="1">
      <c r="A302" s="10" t="n">
        <v>47035020</v>
      </c>
      <c r="B302" s="35" t="inlineStr">
        <is>
          <t>CO</t>
        </is>
      </c>
      <c r="C302" s="35" t="inlineStr">
        <is>
          <t>Puerto Ospina</t>
        </is>
      </c>
      <c r="D302" s="35" t="inlineStr">
        <is>
          <t>Puerto Leguízamo</t>
        </is>
      </c>
      <c r="E302" s="21" t="inlineStr">
        <is>
          <t>Putumayo</t>
        </is>
      </c>
      <c r="F302" s="35" t="n">
        <v>7</v>
      </c>
      <c r="G302" s="35" t="n">
        <v>190</v>
      </c>
      <c r="H302" s="36" t="n">
        <v>-75.85111111000001</v>
      </c>
      <c r="I302" s="37" t="n">
        <v>0.13286111</v>
      </c>
      <c r="J302" s="22" t="n">
        <v>20.92139016897081</v>
      </c>
      <c r="K302" s="23" t="n">
        <v>21.02236621615932</v>
      </c>
      <c r="L302" s="23" t="n">
        <v>21.32828054740958</v>
      </c>
      <c r="M302" s="23" t="n">
        <v>21.50636711947057</v>
      </c>
      <c r="N302" s="23" t="n">
        <v>21.6135875481216</v>
      </c>
      <c r="O302" s="23" t="n">
        <v>21.07665526363802</v>
      </c>
      <c r="P302" s="23" t="n">
        <v>20.70481329784416</v>
      </c>
      <c r="Q302" s="23" t="n">
        <v>20.64301075268817</v>
      </c>
      <c r="R302" s="23" t="n">
        <v>20.95607142857143</v>
      </c>
      <c r="S302" s="23" t="n">
        <v>21.18724305665907</v>
      </c>
      <c r="T302" s="23" t="n">
        <v>21.28304597701149</v>
      </c>
      <c r="U302" s="23" t="n">
        <v>21.2753170189099</v>
      </c>
      <c r="V302" s="38" t="n">
        <v>21.12651236628784</v>
      </c>
      <c r="W302" s="39" t="n">
        <v>116</v>
      </c>
      <c r="X302" s="24" t="n">
        <v>0.9666666666666667</v>
      </c>
    </row>
    <row r="303" ht="13.9" customHeight="1">
      <c r="A303" s="10" t="n">
        <v>47015090</v>
      </c>
      <c r="B303" s="35" t="inlineStr">
        <is>
          <t>CO</t>
        </is>
      </c>
      <c r="C303" s="35" t="inlineStr">
        <is>
          <t>La Primavera</t>
        </is>
      </c>
      <c r="D303" s="35" t="inlineStr">
        <is>
          <t>Sibundoy</t>
        </is>
      </c>
      <c r="E303" s="21" t="inlineStr">
        <is>
          <t>Putumayo</t>
        </is>
      </c>
      <c r="F303" s="35" t="n">
        <v>7</v>
      </c>
      <c r="G303" s="35" t="n">
        <v>2067</v>
      </c>
      <c r="H303" s="36" t="n">
        <v>-76.93269443999999</v>
      </c>
      <c r="I303" s="37" t="n">
        <v>1.16830556</v>
      </c>
      <c r="J303" s="22" t="n">
        <v>10.80289729328884</v>
      </c>
      <c r="K303" s="23" t="n">
        <v>11.12132746847306</v>
      </c>
      <c r="L303" s="23" t="n">
        <v>11.61284664441972</v>
      </c>
      <c r="M303" s="23" t="n">
        <v>11.99108982545764</v>
      </c>
      <c r="N303" s="23" t="n">
        <v>12.24750489226713</v>
      </c>
      <c r="O303" s="23" t="n">
        <v>11.7381669200673</v>
      </c>
      <c r="P303" s="23" t="n">
        <v>11.1905701344386</v>
      </c>
      <c r="Q303" s="23" t="n">
        <v>10.35323739340008</v>
      </c>
      <c r="R303" s="23" t="n">
        <v>10.35515177431126</v>
      </c>
      <c r="S303" s="23" t="n">
        <v>10.22732162393515</v>
      </c>
      <c r="T303" s="23" t="n">
        <v>11.1531964969896</v>
      </c>
      <c r="U303" s="23" t="n">
        <v>10.83921417683376</v>
      </c>
      <c r="V303" s="38" t="n">
        <v>11.13604372032351</v>
      </c>
      <c r="W303" s="39" t="n">
        <v>107</v>
      </c>
      <c r="X303" s="24" t="n">
        <v>0.8916666666666667</v>
      </c>
    </row>
    <row r="304" ht="13.9" customHeight="1">
      <c r="A304" s="10" t="n">
        <v>44015010</v>
      </c>
      <c r="B304" s="35" t="inlineStr">
        <is>
          <t>AM</t>
        </is>
      </c>
      <c r="C304" s="35" t="inlineStr">
        <is>
          <t>Villagarzón</t>
        </is>
      </c>
      <c r="D304" s="35" t="inlineStr">
        <is>
          <t>Villagarzón</t>
        </is>
      </c>
      <c r="E304" s="21" t="inlineStr">
        <is>
          <t>Putumayo</t>
        </is>
      </c>
      <c r="F304" s="35" t="n">
        <v>7</v>
      </c>
      <c r="G304" s="35" t="n">
        <v>440</v>
      </c>
      <c r="H304" s="36" t="n">
        <v>-76.61925000000001</v>
      </c>
      <c r="I304" s="37" t="n">
        <v>1.03425</v>
      </c>
      <c r="J304" s="22" t="n">
        <v>21.30831044073578</v>
      </c>
      <c r="K304" s="23" t="n">
        <v>21.24807830157638</v>
      </c>
      <c r="L304" s="23" t="n">
        <v>21.19438889820308</v>
      </c>
      <c r="M304" s="23" t="n">
        <v>20.97145049763088</v>
      </c>
      <c r="N304" s="23" t="n">
        <v>20.70591995870918</v>
      </c>
      <c r="O304" s="23" t="n">
        <v>20.15960193155556</v>
      </c>
      <c r="P304" s="23" t="n">
        <v>20.03066680039404</v>
      </c>
      <c r="Q304" s="23" t="n">
        <v>20.18064876265434</v>
      </c>
      <c r="R304" s="23" t="n">
        <v>20.60391036060114</v>
      </c>
      <c r="S304" s="23" t="n">
        <v>20.93304365437773</v>
      </c>
      <c r="T304" s="23" t="n">
        <v>21.16353841891517</v>
      </c>
      <c r="U304" s="23" t="n">
        <v>21.23343242627056</v>
      </c>
      <c r="V304" s="38" t="n">
        <v>20.81108253763532</v>
      </c>
      <c r="W304" s="39" t="n">
        <v>306</v>
      </c>
      <c r="X304" s="24" t="n">
        <v>0.85</v>
      </c>
    </row>
    <row r="305" ht="13.9" customHeight="1">
      <c r="A305" s="10" t="n">
        <v>26125061</v>
      </c>
      <c r="B305" s="35" t="inlineStr">
        <is>
          <t>SP</t>
        </is>
      </c>
      <c r="C305" s="35" t="inlineStr">
        <is>
          <t xml:space="preserve">Aeropuerto El Edén - AUT </t>
        </is>
      </c>
      <c r="D305" s="35" t="inlineStr">
        <is>
          <t>Armenia</t>
        </is>
      </c>
      <c r="E305" s="21" t="inlineStr">
        <is>
          <t>Quindío</t>
        </is>
      </c>
      <c r="F305" s="35" t="n">
        <v>9</v>
      </c>
      <c r="G305" s="35" t="n">
        <v>1229</v>
      </c>
      <c r="H305" s="36" t="n">
        <v>-75.76638889</v>
      </c>
      <c r="I305" s="37" t="n">
        <v>4.45472222</v>
      </c>
      <c r="J305" s="22" t="n">
        <v>16.8478835978836</v>
      </c>
      <c r="K305" s="23" t="n">
        <v>17.14470807706881</v>
      </c>
      <c r="L305" s="23" t="n">
        <v>17.14934289127837</v>
      </c>
      <c r="M305" s="23" t="n">
        <v>17.32865411681914</v>
      </c>
      <c r="N305" s="23" t="n">
        <v>17.53358440595371</v>
      </c>
      <c r="O305" s="23" t="n">
        <v>17.3204281022754</v>
      </c>
      <c r="P305" s="23" t="n">
        <v>16.97514080901178</v>
      </c>
      <c r="Q305" s="23" t="n">
        <v>16.7595062890391</v>
      </c>
      <c r="R305" s="23" t="n">
        <v>16.80210622710622</v>
      </c>
      <c r="S305" s="23" t="n">
        <v>16.98561086392288</v>
      </c>
      <c r="T305" s="23" t="n">
        <v>17.06238514588859</v>
      </c>
      <c r="U305" s="23" t="n">
        <v>17.16283010752688</v>
      </c>
      <c r="V305" s="38" t="n">
        <v>17.08934838614787</v>
      </c>
      <c r="W305" s="39" t="n">
        <v>317</v>
      </c>
      <c r="X305" s="24" t="n">
        <v>0.8805555555555555</v>
      </c>
    </row>
    <row r="306" ht="13.9" customHeight="1">
      <c r="A306" s="10" t="n">
        <v>26135040</v>
      </c>
      <c r="B306" s="35" t="inlineStr">
        <is>
          <t>SP</t>
        </is>
      </c>
      <c r="C306" s="35" t="inlineStr">
        <is>
          <t>Aeropuerto Matecaña</t>
        </is>
      </c>
      <c r="D306" s="35" t="inlineStr">
        <is>
          <t>Pereira</t>
        </is>
      </c>
      <c r="E306" s="21" t="inlineStr">
        <is>
          <t>RIsaralda</t>
        </is>
      </c>
      <c r="F306" s="35" t="n">
        <v>9</v>
      </c>
      <c r="G306" s="35" t="n">
        <v>1342</v>
      </c>
      <c r="H306" s="36" t="n">
        <v>-75.73722222000001</v>
      </c>
      <c r="I306" s="37" t="n">
        <v>4.81586111</v>
      </c>
      <c r="J306" s="22" t="n">
        <v>17.70238948626046</v>
      </c>
      <c r="K306" s="23" t="n">
        <v>17.86556253892758</v>
      </c>
      <c r="L306" s="23" t="n">
        <v>17.85467357910906</v>
      </c>
      <c r="M306" s="23" t="n">
        <v>17.84769841269841</v>
      </c>
      <c r="N306" s="23" t="n">
        <v>17.92503865749324</v>
      </c>
      <c r="O306" s="23" t="n">
        <v>17.77374163193129</v>
      </c>
      <c r="P306" s="23" t="n">
        <v>17.6151364764268</v>
      </c>
      <c r="Q306" s="23" t="n">
        <v>17.60198511166254</v>
      </c>
      <c r="R306" s="23" t="n">
        <v>17.51736361977741</v>
      </c>
      <c r="S306" s="23" t="n">
        <v>17.36834987593052</v>
      </c>
      <c r="T306" s="23" t="n">
        <v>17.55348659003832</v>
      </c>
      <c r="U306" s="23" t="n">
        <v>17.73519585253456</v>
      </c>
      <c r="V306" s="38" t="n">
        <v>17.69671848606585</v>
      </c>
      <c r="W306" s="39" t="n">
        <v>324</v>
      </c>
      <c r="X306" s="24" t="n">
        <v>0.9</v>
      </c>
    </row>
    <row r="307" ht="13.9" customHeight="1">
      <c r="A307" s="10" t="n">
        <v>26135100</v>
      </c>
      <c r="B307" s="35" t="inlineStr">
        <is>
          <t>CO</t>
        </is>
      </c>
      <c r="C307" s="35" t="inlineStr">
        <is>
          <t>La Bohemia</t>
        </is>
      </c>
      <c r="D307" s="35" t="inlineStr">
        <is>
          <t>Pereira</t>
        </is>
      </c>
      <c r="E307" s="21" t="inlineStr">
        <is>
          <t>RIsaralda</t>
        </is>
      </c>
      <c r="F307" s="35" t="n">
        <v>9</v>
      </c>
      <c r="G307" s="35" t="n">
        <v>995</v>
      </c>
      <c r="H307" s="36" t="n">
        <v>-75.87755556</v>
      </c>
      <c r="I307" s="37" t="n">
        <v>4.87802778</v>
      </c>
      <c r="J307" s="22" t="n">
        <v>19.32837255069736</v>
      </c>
      <c r="K307" s="23" t="n">
        <v>19.48802681610966</v>
      </c>
      <c r="L307" s="23" t="n">
        <v>19.59269102421495</v>
      </c>
      <c r="M307" s="23" t="n">
        <v>19.7349627039627</v>
      </c>
      <c r="N307" s="23" t="n">
        <v>19.71080761807809</v>
      </c>
      <c r="O307" s="23" t="n">
        <v>19.38986309067688</v>
      </c>
      <c r="P307" s="23" t="n">
        <v>19.12453228651079</v>
      </c>
      <c r="Q307" s="23" t="n">
        <v>18.98804930581305</v>
      </c>
      <c r="R307" s="23" t="n">
        <v>19.09561765820387</v>
      </c>
      <c r="S307" s="23" t="n">
        <v>19.14379043320501</v>
      </c>
      <c r="T307" s="23" t="n">
        <v>19.32683213338386</v>
      </c>
      <c r="U307" s="23" t="n">
        <v>19.38840430107527</v>
      </c>
      <c r="V307" s="38" t="n">
        <v>19.35932916016096</v>
      </c>
      <c r="W307" s="39" t="n">
        <v>311</v>
      </c>
      <c r="X307" s="24" t="n">
        <v>0.8638888888888889</v>
      </c>
    </row>
    <row r="308" ht="13.9" customHeight="1">
      <c r="A308" s="10" t="n">
        <v>54015010</v>
      </c>
      <c r="B308" s="35" t="inlineStr">
        <is>
          <t>CO</t>
        </is>
      </c>
      <c r="C308" s="35" t="inlineStr">
        <is>
          <t>Pueblo Rico</t>
        </is>
      </c>
      <c r="D308" s="35" t="inlineStr">
        <is>
          <t>Pueblo Rico</t>
        </is>
      </c>
      <c r="E308" s="21" t="inlineStr">
        <is>
          <t>RIsaralda</t>
        </is>
      </c>
      <c r="F308" s="35" t="n">
        <v>9</v>
      </c>
      <c r="G308" s="35" t="n">
        <v>1505</v>
      </c>
      <c r="H308" s="36" t="n">
        <v>-76.03163889</v>
      </c>
      <c r="I308" s="37" t="n">
        <v>5.23344444</v>
      </c>
      <c r="J308" s="22" t="n">
        <v>16.02550055617353</v>
      </c>
      <c r="K308" s="23" t="n">
        <v>16.26070096697683</v>
      </c>
      <c r="L308" s="23" t="n">
        <v>16.22549881317957</v>
      </c>
      <c r="M308" s="23" t="n">
        <v>16.55584656084656</v>
      </c>
      <c r="N308" s="23" t="n">
        <v>16.58152298850575</v>
      </c>
      <c r="O308" s="23" t="n">
        <v>16.19908148604269</v>
      </c>
      <c r="P308" s="23" t="n">
        <v>15.77473767148684</v>
      </c>
      <c r="Q308" s="23" t="n">
        <v>15.44959677419355</v>
      </c>
      <c r="R308" s="23" t="n">
        <v>15.5075</v>
      </c>
      <c r="S308" s="23" t="n">
        <v>15.67010752688172</v>
      </c>
      <c r="T308" s="23" t="n">
        <v>16.02168582375479</v>
      </c>
      <c r="U308" s="23" t="n">
        <v>16.24276696329255</v>
      </c>
      <c r="V308" s="38" t="n">
        <v>16.04287884427786</v>
      </c>
      <c r="W308" s="39" t="n">
        <v>97</v>
      </c>
      <c r="X308" s="24" t="n">
        <v>0.8083333333333333</v>
      </c>
    </row>
    <row r="309" ht="13.9" customHeight="1">
      <c r="A309" s="10" t="n">
        <v>26135160</v>
      </c>
      <c r="B309" s="35" t="inlineStr">
        <is>
          <t>PM</t>
        </is>
      </c>
      <c r="C309" s="35" t="inlineStr">
        <is>
          <t>San Remo</t>
        </is>
      </c>
      <c r="D309" s="35" t="inlineStr">
        <is>
          <t>Santa Rosa de Cabal</t>
        </is>
      </c>
      <c r="E309" s="21" t="inlineStr">
        <is>
          <t>RIsaralda</t>
        </is>
      </c>
      <c r="F309" s="35" t="n">
        <v>9</v>
      </c>
      <c r="G309" s="35" t="n">
        <v>1947</v>
      </c>
      <c r="H309" s="36" t="n">
        <v>-75.57997222</v>
      </c>
      <c r="I309" s="37" t="n">
        <v>4.84166667</v>
      </c>
      <c r="J309" s="22" t="n">
        <v>13.24150702426564</v>
      </c>
      <c r="K309" s="23" t="n">
        <v>13.69034756431308</v>
      </c>
      <c r="L309" s="23" t="n">
        <v>13.75101075268817</v>
      </c>
      <c r="M309" s="23" t="n">
        <v>14.04066666666667</v>
      </c>
      <c r="N309" s="23" t="n">
        <v>14.17561364479051</v>
      </c>
      <c r="O309" s="23" t="n">
        <v>14.10537931034483</v>
      </c>
      <c r="P309" s="23" t="n">
        <v>13.92911367127496</v>
      </c>
      <c r="Q309" s="23" t="n">
        <v>13.86795698924731</v>
      </c>
      <c r="R309" s="23" t="n">
        <v>13.62276500638569</v>
      </c>
      <c r="S309" s="23" t="n">
        <v>13.62980899412045</v>
      </c>
      <c r="T309" s="23" t="n">
        <v>13.61786206896552</v>
      </c>
      <c r="U309" s="23" t="n">
        <v>13.37833423380476</v>
      </c>
      <c r="V309" s="38" t="n">
        <v>13.7541971605723</v>
      </c>
      <c r="W309" s="39" t="n">
        <v>118</v>
      </c>
      <c r="X309" s="24" t="n">
        <v>0.9833333333333333</v>
      </c>
    </row>
    <row r="310" ht="13.9" customHeight="1">
      <c r="A310" s="10" t="n">
        <v>26135110</v>
      </c>
      <c r="B310" s="35" t="inlineStr">
        <is>
          <t>CO</t>
        </is>
      </c>
      <c r="C310" s="35" t="inlineStr">
        <is>
          <t>Veracruz</t>
        </is>
      </c>
      <c r="D310" s="35" t="inlineStr">
        <is>
          <t>Santa Rosa de Cabal</t>
        </is>
      </c>
      <c r="E310" s="21" t="inlineStr">
        <is>
          <t>RIsaralda</t>
        </is>
      </c>
      <c r="F310" s="35" t="n">
        <v>9</v>
      </c>
      <c r="G310" s="35" t="n">
        <v>1720</v>
      </c>
      <c r="H310" s="36" t="n">
        <v>-75.63</v>
      </c>
      <c r="I310" s="37" t="n">
        <v>4.87</v>
      </c>
      <c r="J310" s="22" t="n">
        <v>14.22143532496425</v>
      </c>
      <c r="K310" s="23" t="n">
        <v>14.3591326856413</v>
      </c>
      <c r="L310" s="23" t="n">
        <v>14.47333147942158</v>
      </c>
      <c r="M310" s="23" t="n">
        <v>14.53085568326948</v>
      </c>
      <c r="N310" s="23" t="n">
        <v>14.64078029085815</v>
      </c>
      <c r="O310" s="23" t="n">
        <v>14.61200510855683</v>
      </c>
      <c r="P310" s="23" t="n">
        <v>14.41879032258064</v>
      </c>
      <c r="Q310" s="23" t="n">
        <v>14.37893529185868</v>
      </c>
      <c r="R310" s="23" t="n">
        <v>14.33938697318008</v>
      </c>
      <c r="S310" s="23" t="n">
        <v>14.19959677419355</v>
      </c>
      <c r="T310" s="23" t="n">
        <v>14.25703703703703</v>
      </c>
      <c r="U310" s="23" t="n">
        <v>14.40002193795575</v>
      </c>
      <c r="V310" s="38" t="n">
        <v>14.40260907579311</v>
      </c>
      <c r="W310" s="39" t="n">
        <v>101</v>
      </c>
      <c r="X310" s="24" t="n">
        <v>0.8416666666666667</v>
      </c>
    </row>
    <row r="311" ht="13.9" customHeight="1">
      <c r="A311" s="10" t="n">
        <v>26145030</v>
      </c>
      <c r="B311" s="35" t="inlineStr">
        <is>
          <t>CO</t>
        </is>
      </c>
      <c r="C311" s="35" t="inlineStr">
        <is>
          <t xml:space="preserve">La Camelia </t>
        </is>
      </c>
      <c r="D311" s="35" t="inlineStr">
        <is>
          <t xml:space="preserve">Santuario </t>
        </is>
      </c>
      <c r="E311" s="21" t="inlineStr">
        <is>
          <t>RIsaralda</t>
        </is>
      </c>
      <c r="F311" s="35" t="n">
        <v>9</v>
      </c>
      <c r="G311" s="35" t="n">
        <v>1763</v>
      </c>
      <c r="H311" s="36" t="n">
        <v>-75.97</v>
      </c>
      <c r="I311" s="37" t="n">
        <v>5.08</v>
      </c>
      <c r="J311" s="22" t="n">
        <v>16.28531202443995</v>
      </c>
      <c r="K311" s="23" t="n">
        <v>16.44371143283846</v>
      </c>
      <c r="L311" s="23" t="n">
        <v>16.49567863888748</v>
      </c>
      <c r="M311" s="23" t="n">
        <v>16.55689808941683</v>
      </c>
      <c r="N311" s="23" t="n">
        <v>16.60260906879657</v>
      </c>
      <c r="O311" s="23" t="n">
        <v>16.5175492259975</v>
      </c>
      <c r="P311" s="23" t="n">
        <v>16.45004131639885</v>
      </c>
      <c r="Q311" s="23" t="n">
        <v>16.52241879427374</v>
      </c>
      <c r="R311" s="23" t="n">
        <v>16.31288975902769</v>
      </c>
      <c r="S311" s="23" t="n">
        <v>16.06327401810843</v>
      </c>
      <c r="T311" s="23" t="n">
        <v>16.06566605561688</v>
      </c>
      <c r="U311" s="23" t="n">
        <v>16.3169336103411</v>
      </c>
      <c r="V311" s="38" t="n">
        <v>16.38608183617862</v>
      </c>
      <c r="W311" s="39" t="n">
        <v>288</v>
      </c>
      <c r="X311" s="24" t="n">
        <v>0.8</v>
      </c>
    </row>
    <row r="312" ht="13.9" customHeight="1">
      <c r="A312" s="10" t="n">
        <v>23125060</v>
      </c>
      <c r="B312" s="35" t="inlineStr">
        <is>
          <t>CO</t>
        </is>
      </c>
      <c r="C312" s="35" t="inlineStr">
        <is>
          <t>Albania</t>
        </is>
      </c>
      <c r="D312" s="35" t="inlineStr">
        <is>
          <t>Albania</t>
        </is>
      </c>
      <c r="E312" s="21" t="inlineStr">
        <is>
          <t>Santander</t>
        </is>
      </c>
      <c r="F312" s="35" t="n">
        <v>8</v>
      </c>
      <c r="G312" s="35" t="n">
        <v>1690</v>
      </c>
      <c r="H312" s="36" t="n">
        <v>-73.91333333</v>
      </c>
      <c r="I312" s="37" t="n">
        <v>5.75833333</v>
      </c>
      <c r="J312" s="22" t="n">
        <v>14.23252268382892</v>
      </c>
      <c r="K312" s="23" t="n">
        <v>14.61038147838122</v>
      </c>
      <c r="L312" s="23" t="n">
        <v>14.94999848940524</v>
      </c>
      <c r="M312" s="23" t="n">
        <v>15.26045351473923</v>
      </c>
      <c r="N312" s="23" t="n">
        <v>15.33955904199619</v>
      </c>
      <c r="O312" s="23" t="n">
        <v>14.88288184347699</v>
      </c>
      <c r="P312" s="23" t="n">
        <v>14.51408071669195</v>
      </c>
      <c r="Q312" s="23" t="n">
        <v>14.54256377143717</v>
      </c>
      <c r="R312" s="23" t="n">
        <v>14.59949981502533</v>
      </c>
      <c r="S312" s="23" t="n">
        <v>14.80509666173506</v>
      </c>
      <c r="T312" s="23" t="n">
        <v>14.9827193359674</v>
      </c>
      <c r="U312" s="23" t="n">
        <v>14.64621759335166</v>
      </c>
      <c r="V312" s="38" t="n">
        <v>14.7804979121697</v>
      </c>
      <c r="W312" s="39" t="n">
        <v>312</v>
      </c>
      <c r="X312" s="24" t="n">
        <v>0.8666666666666667</v>
      </c>
    </row>
    <row r="313" ht="13.9" customHeight="1">
      <c r="A313" s="10" t="n">
        <v>23155030</v>
      </c>
      <c r="B313" s="35" t="inlineStr">
        <is>
          <t>SP</t>
        </is>
      </c>
      <c r="C313" s="35" t="inlineStr">
        <is>
          <t>Aeropuerto Yariguies</t>
        </is>
      </c>
      <c r="D313" s="35" t="inlineStr">
        <is>
          <t>Barrancabermeja</t>
        </is>
      </c>
      <c r="E313" s="21" t="inlineStr">
        <is>
          <t>Santander</t>
        </is>
      </c>
      <c r="F313" s="35" t="n">
        <v>8</v>
      </c>
      <c r="G313" s="35" t="n">
        <v>126</v>
      </c>
      <c r="H313" s="36" t="n">
        <v>-73.80861111</v>
      </c>
      <c r="I313" s="37" t="n">
        <v>7.02638889</v>
      </c>
      <c r="J313" s="22" t="n">
        <v>23.71929922135706</v>
      </c>
      <c r="K313" s="23" t="n">
        <v>23.9778106499569</v>
      </c>
      <c r="L313" s="23" t="n">
        <v>23.87300397632107</v>
      </c>
      <c r="M313" s="23" t="n">
        <v>23.71338542551385</v>
      </c>
      <c r="N313" s="23" t="n">
        <v>23.59809974045236</v>
      </c>
      <c r="O313" s="23" t="n">
        <v>23.51096851820395</v>
      </c>
      <c r="P313" s="23" t="n">
        <v>23.41727263096562</v>
      </c>
      <c r="Q313" s="23" t="n">
        <v>23.25638144947377</v>
      </c>
      <c r="R313" s="23" t="n">
        <v>23.05271837556023</v>
      </c>
      <c r="S313" s="23" t="n">
        <v>23.10531490015361</v>
      </c>
      <c r="T313" s="23" t="n">
        <v>23.37259852216748</v>
      </c>
      <c r="U313" s="23" t="n">
        <v>23.6810599078341</v>
      </c>
      <c r="V313" s="38" t="n">
        <v>23.52315944316333</v>
      </c>
      <c r="W313" s="39" t="n">
        <v>343</v>
      </c>
      <c r="X313" s="24" t="n">
        <v>0.9527777777777777</v>
      </c>
    </row>
    <row r="314" ht="13.9" customHeight="1">
      <c r="A314" s="10" t="n">
        <v>23155040</v>
      </c>
      <c r="B314" s="35" t="inlineStr">
        <is>
          <t>CO</t>
        </is>
      </c>
      <c r="C314" s="35" t="inlineStr">
        <is>
          <t xml:space="preserve">El Centro </t>
        </is>
      </c>
      <c r="D314" s="35" t="inlineStr">
        <is>
          <t>Barrancabermeja</t>
        </is>
      </c>
      <c r="E314" s="21" t="inlineStr">
        <is>
          <t>Santander</t>
        </is>
      </c>
      <c r="F314" s="35" t="n">
        <v>8</v>
      </c>
      <c r="G314" s="35" t="n">
        <v>114</v>
      </c>
      <c r="H314" s="36" t="n">
        <v>-73.76508333</v>
      </c>
      <c r="I314" s="37" t="n">
        <v>6.85955556</v>
      </c>
      <c r="J314" s="22" t="n">
        <v>22.30990086869008</v>
      </c>
      <c r="K314" s="23" t="n">
        <v>22.44247156794009</v>
      </c>
      <c r="L314" s="23" t="n">
        <v>22.63517668087501</v>
      </c>
      <c r="M314" s="23" t="n">
        <v>22.79756613756614</v>
      </c>
      <c r="N314" s="23" t="n">
        <v>22.44943938976197</v>
      </c>
      <c r="O314" s="23" t="n">
        <v>22.37170893389284</v>
      </c>
      <c r="P314" s="23" t="n">
        <v>22.18387110738724</v>
      </c>
      <c r="Q314" s="23" t="n">
        <v>22.35897453961191</v>
      </c>
      <c r="R314" s="23" t="n">
        <v>22.21279209296451</v>
      </c>
      <c r="S314" s="23" t="n">
        <v>22.31220789119009</v>
      </c>
      <c r="T314" s="23" t="n">
        <v>22.47792957489509</v>
      </c>
      <c r="U314" s="23" t="n">
        <v>22.71444104560623</v>
      </c>
      <c r="V314" s="38" t="n">
        <v>22.43887331919844</v>
      </c>
      <c r="W314" s="39" t="n">
        <v>114</v>
      </c>
      <c r="X314" s="24" t="n">
        <v>0.95</v>
      </c>
    </row>
    <row r="315" ht="13.9" customHeight="1">
      <c r="A315" s="10" t="n">
        <v>24035260</v>
      </c>
      <c r="B315" s="35" t="inlineStr">
        <is>
          <t>CO</t>
        </is>
      </c>
      <c r="C315" s="35" t="inlineStr">
        <is>
          <t>Capitanejo</t>
        </is>
      </c>
      <c r="D315" s="35" t="inlineStr">
        <is>
          <t>Capitanejo</t>
        </is>
      </c>
      <c r="E315" s="21" t="inlineStr">
        <is>
          <t>Santander</t>
        </is>
      </c>
      <c r="F315" s="35" t="n">
        <v>6</v>
      </c>
      <c r="G315" s="35" t="n">
        <v>1082</v>
      </c>
      <c r="H315" s="36" t="n">
        <v>-72.69661111000001</v>
      </c>
      <c r="I315" s="37" t="n">
        <v>6.52072222</v>
      </c>
      <c r="J315" s="22" t="n">
        <v>18.05304022648961</v>
      </c>
      <c r="K315" s="23" t="n">
        <v>18.42131411552357</v>
      </c>
      <c r="L315" s="23" t="n">
        <v>18.89804182169205</v>
      </c>
      <c r="M315" s="23" t="n">
        <v>18.87677341111348</v>
      </c>
      <c r="N315" s="23" t="n">
        <v>18.6953471271094</v>
      </c>
      <c r="O315" s="23" t="n">
        <v>17.9465281839685</v>
      </c>
      <c r="P315" s="23" t="n">
        <v>17.58747112704102</v>
      </c>
      <c r="Q315" s="23" t="n">
        <v>17.63685537984265</v>
      </c>
      <c r="R315" s="23" t="n">
        <v>17.81880033121413</v>
      </c>
      <c r="S315" s="23" t="n">
        <v>18.0552040561352</v>
      </c>
      <c r="T315" s="23" t="n">
        <v>18.3867009258758</v>
      </c>
      <c r="U315" s="23" t="n">
        <v>18.12186761257614</v>
      </c>
      <c r="V315" s="38" t="n">
        <v>18.20816202654846</v>
      </c>
      <c r="W315" s="39" t="n">
        <v>334</v>
      </c>
      <c r="X315" s="24" t="n">
        <v>0.9277777777777778</v>
      </c>
    </row>
    <row r="316" ht="13.9" customHeight="1">
      <c r="A316" s="10" t="n">
        <v>24035400</v>
      </c>
      <c r="B316" s="35" t="inlineStr">
        <is>
          <t>CO</t>
        </is>
      </c>
      <c r="C316" s="35" t="inlineStr">
        <is>
          <t>El Volcán</t>
        </is>
      </c>
      <c r="D316" s="35" t="inlineStr">
        <is>
          <t>Cerrito</t>
        </is>
      </c>
      <c r="E316" s="21" t="inlineStr">
        <is>
          <t>Santander</t>
        </is>
      </c>
      <c r="F316" s="35" t="n">
        <v>8</v>
      </c>
      <c r="G316" s="35" t="n">
        <v>2841</v>
      </c>
      <c r="H316" s="36" t="n">
        <v>-72.67777778</v>
      </c>
      <c r="I316" s="37" t="n">
        <v>6.84527778</v>
      </c>
      <c r="J316" s="22" t="n">
        <v>7.975483870967741</v>
      </c>
      <c r="K316" s="23" t="n">
        <v>8.522627889352028</v>
      </c>
      <c r="L316" s="23" t="n">
        <v>9.121956989247311</v>
      </c>
      <c r="M316" s="23" t="n">
        <v>9.738648604269295</v>
      </c>
      <c r="N316" s="23" t="n">
        <v>9.937333333333337</v>
      </c>
      <c r="O316" s="23" t="n">
        <v>9.861057471264369</v>
      </c>
      <c r="P316" s="23" t="n">
        <v>9.585591397849464</v>
      </c>
      <c r="Q316" s="23" t="n">
        <v>9.062973886328724</v>
      </c>
      <c r="R316" s="23" t="n">
        <v>8.990279146141216</v>
      </c>
      <c r="S316" s="23" t="n">
        <v>8.804193548387099</v>
      </c>
      <c r="T316" s="23" t="n">
        <v>8.892904761904763</v>
      </c>
      <c r="U316" s="23" t="n">
        <v>8.784688748815556</v>
      </c>
      <c r="V316" s="38" t="n">
        <v>9.106478303988409</v>
      </c>
      <c r="W316" s="39" t="n">
        <v>119</v>
      </c>
      <c r="X316" s="24" t="n">
        <v>0.9916666666666667</v>
      </c>
    </row>
    <row r="317" ht="13.9" customHeight="1">
      <c r="A317" s="10" t="n">
        <v>24035270</v>
      </c>
      <c r="B317" s="35" t="inlineStr">
        <is>
          <t>CO</t>
        </is>
      </c>
      <c r="C317" s="35" t="inlineStr">
        <is>
          <t xml:space="preserve">Granja Tinaga </t>
        </is>
      </c>
      <c r="D317" s="35" t="inlineStr">
        <is>
          <t>Cerrito</t>
        </is>
      </c>
      <c r="E317" s="21" t="inlineStr">
        <is>
          <t>Santander</t>
        </is>
      </c>
      <c r="F317" s="35" t="n">
        <v>8</v>
      </c>
      <c r="G317" s="35" t="n">
        <v>2698</v>
      </c>
      <c r="H317" s="36" t="n">
        <v>-72.7075</v>
      </c>
      <c r="I317" s="37" t="n">
        <v>6.84083333</v>
      </c>
      <c r="J317" s="22" t="n">
        <v>7.587968010854553</v>
      </c>
      <c r="K317" s="23" t="n">
        <v>8.331102339550615</v>
      </c>
      <c r="L317" s="23" t="n">
        <v>8.233428578049685</v>
      </c>
      <c r="M317" s="23" t="n">
        <v>9.043581755154168</v>
      </c>
      <c r="N317" s="23" t="n">
        <v>9.121718205413423</v>
      </c>
      <c r="O317" s="23" t="n">
        <v>9.005438058748403</v>
      </c>
      <c r="P317" s="23" t="n">
        <v>8.487745159393903</v>
      </c>
      <c r="Q317" s="23" t="n">
        <v>8.469096242467209</v>
      </c>
      <c r="R317" s="23" t="n">
        <v>8.319391534391533</v>
      </c>
      <c r="S317" s="23" t="n">
        <v>8.219162826420892</v>
      </c>
      <c r="T317" s="23" t="n">
        <v>8.108649717204887</v>
      </c>
      <c r="U317" s="23" t="n">
        <v>7.904351425157875</v>
      </c>
      <c r="V317" s="38" t="n">
        <v>8.402636154400595</v>
      </c>
      <c r="W317" s="39" t="n">
        <v>116</v>
      </c>
      <c r="X317" s="24" t="n">
        <v>0.9666666666666667</v>
      </c>
    </row>
    <row r="318" ht="13.9" customHeight="1">
      <c r="A318" s="10" t="n">
        <v>24025050</v>
      </c>
      <c r="B318" s="35" t="inlineStr">
        <is>
          <t>CO</t>
        </is>
      </c>
      <c r="C318" s="35" t="inlineStr">
        <is>
          <t>Charalá</t>
        </is>
      </c>
      <c r="D318" s="35" t="inlineStr">
        <is>
          <t>Charalá</t>
        </is>
      </c>
      <c r="E318" s="21" t="inlineStr">
        <is>
          <t>Santander</t>
        </is>
      </c>
      <c r="F318" s="35" t="n">
        <v>8</v>
      </c>
      <c r="G318" s="35" t="n">
        <v>1350</v>
      </c>
      <c r="H318" s="36" t="n">
        <v>-73.15055556</v>
      </c>
      <c r="I318" s="37" t="n">
        <v>6.27416667</v>
      </c>
      <c r="J318" s="22" t="n">
        <v>15.6912817298468</v>
      </c>
      <c r="K318" s="23" t="n">
        <v>15.84444742158835</v>
      </c>
      <c r="L318" s="23" t="n">
        <v>16.31232311224803</v>
      </c>
      <c r="M318" s="23" t="n">
        <v>16.66130805705206</v>
      </c>
      <c r="N318" s="23" t="n">
        <v>16.90981744182378</v>
      </c>
      <c r="O318" s="23" t="n">
        <v>16.75334747308885</v>
      </c>
      <c r="P318" s="23" t="n">
        <v>16.24628673313961</v>
      </c>
      <c r="Q318" s="23" t="n">
        <v>16.08813398254954</v>
      </c>
      <c r="R318" s="23" t="n">
        <v>16.18516086842462</v>
      </c>
      <c r="S318" s="23" t="n">
        <v>16.56066942630146</v>
      </c>
      <c r="T318" s="23" t="n">
        <v>16.90695669494078</v>
      </c>
      <c r="U318" s="23" t="n">
        <v>16.41454310393873</v>
      </c>
      <c r="V318" s="38" t="n">
        <v>16.38118967041189</v>
      </c>
      <c r="W318" s="39" t="n">
        <v>302</v>
      </c>
      <c r="X318" s="24" t="n">
        <v>0.8388888888888889</v>
      </c>
    </row>
    <row r="319" ht="13.9" customHeight="1">
      <c r="A319" s="10" t="n">
        <v>24015260</v>
      </c>
      <c r="B319" s="35" t="inlineStr">
        <is>
          <t>CO</t>
        </is>
      </c>
      <c r="C319" s="35" t="inlineStr">
        <is>
          <t>Chima</t>
        </is>
      </c>
      <c r="D319" s="35" t="inlineStr">
        <is>
          <t>Chima</t>
        </is>
      </c>
      <c r="E319" s="21" t="inlineStr">
        <is>
          <t>Santander</t>
        </is>
      </c>
      <c r="F319" s="35" t="n">
        <v>8</v>
      </c>
      <c r="G319" s="35" t="n">
        <v>890</v>
      </c>
      <c r="H319" s="36" t="n">
        <v>-73.36833333</v>
      </c>
      <c r="I319" s="37" t="n">
        <v>6.355</v>
      </c>
      <c r="J319" s="22" t="n">
        <v>17.84691936909957</v>
      </c>
      <c r="K319" s="23" t="n">
        <v>18.12738828410603</v>
      </c>
      <c r="L319" s="23" t="n">
        <v>18.24846839143518</v>
      </c>
      <c r="M319" s="23" t="n">
        <v>18.5217089806745</v>
      </c>
      <c r="N319" s="23" t="n">
        <v>18.61527570316224</v>
      </c>
      <c r="O319" s="23" t="n">
        <v>18.30782435875658</v>
      </c>
      <c r="P319" s="23" t="n">
        <v>17.87864592645921</v>
      </c>
      <c r="Q319" s="23" t="n">
        <v>17.75389851157371</v>
      </c>
      <c r="R319" s="23" t="n">
        <v>17.95067323481117</v>
      </c>
      <c r="S319" s="23" t="n">
        <v>18.26652751734732</v>
      </c>
      <c r="T319" s="23" t="n">
        <v>18.54561902155498</v>
      </c>
      <c r="U319" s="23" t="n">
        <v>18.3705347211187</v>
      </c>
      <c r="V319" s="38" t="n">
        <v>18.20279033500827</v>
      </c>
      <c r="W319" s="39" t="n">
        <v>340</v>
      </c>
      <c r="X319" s="24" t="n">
        <v>0.9444444444444444</v>
      </c>
    </row>
    <row r="320" ht="13.9" customHeight="1">
      <c r="A320" s="10" t="n">
        <v>23125120</v>
      </c>
      <c r="B320" s="35" t="inlineStr">
        <is>
          <t>CO</t>
        </is>
      </c>
      <c r="C320" s="35" t="inlineStr">
        <is>
          <t>Cimitarra</t>
        </is>
      </c>
      <c r="D320" s="35" t="inlineStr">
        <is>
          <t>Cimitarra</t>
        </is>
      </c>
      <c r="E320" s="21" t="inlineStr">
        <is>
          <t>Santander</t>
        </is>
      </c>
      <c r="F320" s="35" t="n">
        <v>8</v>
      </c>
      <c r="G320" s="35" t="n">
        <v>198</v>
      </c>
      <c r="H320" s="36" t="n">
        <v>-73.95222222000001</v>
      </c>
      <c r="I320" s="37" t="n">
        <v>6.30861111</v>
      </c>
      <c r="J320" s="22" t="n">
        <v>22.59672085793332</v>
      </c>
      <c r="K320" s="23" t="n">
        <v>22.66068085756127</v>
      </c>
      <c r="L320" s="23" t="n">
        <v>22.77672558461602</v>
      </c>
      <c r="M320" s="23" t="n">
        <v>22.58093238625997</v>
      </c>
      <c r="N320" s="23" t="n">
        <v>22.56728216536893</v>
      </c>
      <c r="O320" s="23" t="n">
        <v>22.39533848118676</v>
      </c>
      <c r="P320" s="23" t="n">
        <v>22.19518023025688</v>
      </c>
      <c r="Q320" s="23" t="n">
        <v>22.2029725471661</v>
      </c>
      <c r="R320" s="23" t="n">
        <v>22.25560902698833</v>
      </c>
      <c r="S320" s="23" t="n">
        <v>22.19622935740566</v>
      </c>
      <c r="T320" s="23" t="n">
        <v>22.25398310527276</v>
      </c>
      <c r="U320" s="23" t="n">
        <v>22.48896255662106</v>
      </c>
      <c r="V320" s="38" t="n">
        <v>22.43088476305309</v>
      </c>
      <c r="W320" s="39" t="n">
        <v>312</v>
      </c>
      <c r="X320" s="24" t="n">
        <v>0.8666666666666667</v>
      </c>
    </row>
    <row r="321" ht="13.9" customHeight="1">
      <c r="A321" s="10" t="n">
        <v>23145020</v>
      </c>
      <c r="B321" s="35" t="inlineStr">
        <is>
          <t>CO</t>
        </is>
      </c>
      <c r="C321" s="35" t="inlineStr">
        <is>
          <t>El Carmen</t>
        </is>
      </c>
      <c r="D321" s="35" t="inlineStr">
        <is>
          <t>El Carmen</t>
        </is>
      </c>
      <c r="E321" s="21" t="inlineStr">
        <is>
          <t>Santander</t>
        </is>
      </c>
      <c r="F321" s="35" t="n">
        <v>8</v>
      </c>
      <c r="G321" s="35" t="n">
        <v>805</v>
      </c>
      <c r="H321" s="36" t="n">
        <v>-73.51000000000001</v>
      </c>
      <c r="I321" s="37" t="n">
        <v>6.69638889</v>
      </c>
      <c r="J321" s="22" t="n">
        <v>20.14026016697429</v>
      </c>
      <c r="K321" s="23" t="n">
        <v>20.28935017940765</v>
      </c>
      <c r="L321" s="23" t="n">
        <v>20.33647642679901</v>
      </c>
      <c r="M321" s="23" t="n">
        <v>20.17321798536358</v>
      </c>
      <c r="N321" s="23" t="n">
        <v>20.16606929510155</v>
      </c>
      <c r="O321" s="23" t="n">
        <v>19.98827130085751</v>
      </c>
      <c r="P321" s="23" t="n">
        <v>19.65508635566725</v>
      </c>
      <c r="Q321" s="23" t="n">
        <v>19.9882305442261</v>
      </c>
      <c r="R321" s="23" t="n">
        <v>19.72021893814997</v>
      </c>
      <c r="S321" s="23" t="n">
        <v>19.69826762246117</v>
      </c>
      <c r="T321" s="23" t="n">
        <v>19.77329137018792</v>
      </c>
      <c r="U321" s="23" t="n">
        <v>19.89401022096184</v>
      </c>
      <c r="V321" s="38" t="n">
        <v>19.98522920051315</v>
      </c>
      <c r="W321" s="39" t="n">
        <v>109</v>
      </c>
      <c r="X321" s="24" t="n">
        <v>0.9083333333333333</v>
      </c>
    </row>
    <row r="322" ht="13.9" customHeight="1">
      <c r="A322" s="10" t="n">
        <v>24015280</v>
      </c>
      <c r="B322" s="35" t="inlineStr">
        <is>
          <t>CO</t>
        </is>
      </c>
      <c r="C322" s="35" t="inlineStr">
        <is>
          <t>Gámbita</t>
        </is>
      </c>
      <c r="D322" s="35" t="inlineStr">
        <is>
          <t>Gámbita</t>
        </is>
      </c>
      <c r="E322" s="21" t="inlineStr">
        <is>
          <t>Santander</t>
        </is>
      </c>
      <c r="F322" s="35" t="n">
        <v>8</v>
      </c>
      <c r="G322" s="35" t="n">
        <v>1900</v>
      </c>
      <c r="H322" s="36" t="n">
        <v>-73.34361111</v>
      </c>
      <c r="I322" s="37" t="n">
        <v>5.94472222</v>
      </c>
      <c r="J322" s="22" t="n">
        <v>12.44381976067171</v>
      </c>
      <c r="K322" s="23" t="n">
        <v>12.738694214356</v>
      </c>
      <c r="L322" s="23" t="n">
        <v>13.10761746837729</v>
      </c>
      <c r="M322" s="23" t="n">
        <v>13.35746968464486</v>
      </c>
      <c r="N322" s="23" t="n">
        <v>13.41083311764307</v>
      </c>
      <c r="O322" s="23" t="n">
        <v>13.04644362877946</v>
      </c>
      <c r="P322" s="23" t="n">
        <v>12.42656061901697</v>
      </c>
      <c r="Q322" s="23" t="n">
        <v>12.43420243795153</v>
      </c>
      <c r="R322" s="23" t="n">
        <v>12.63702229295608</v>
      </c>
      <c r="S322" s="23" t="n">
        <v>12.87796797515378</v>
      </c>
      <c r="T322" s="23" t="n">
        <v>13.21792651009638</v>
      </c>
      <c r="U322" s="23" t="n">
        <v>12.72727838918384</v>
      </c>
      <c r="V322" s="38" t="n">
        <v>12.86881967490258</v>
      </c>
      <c r="W322" s="39" t="n">
        <v>310</v>
      </c>
      <c r="X322" s="24" t="n">
        <v>0.8611111111111112</v>
      </c>
    </row>
    <row r="323" ht="13.9" customHeight="1">
      <c r="A323" s="10" t="n">
        <v>23195110</v>
      </c>
      <c r="B323" s="35" t="inlineStr">
        <is>
          <t>CO</t>
        </is>
      </c>
      <c r="C323" s="35" t="inlineStr">
        <is>
          <t>Llano Grande -  AUT</t>
        </is>
      </c>
      <c r="D323" s="35" t="inlineStr">
        <is>
          <t>Girón</t>
        </is>
      </c>
      <c r="E323" s="21" t="inlineStr">
        <is>
          <t>Santander</t>
        </is>
      </c>
      <c r="F323" s="35" t="n">
        <v>8</v>
      </c>
      <c r="G323" s="35" t="n">
        <v>777</v>
      </c>
      <c r="H323" s="36" t="n">
        <v>-73.16722222</v>
      </c>
      <c r="I323" s="37" t="n">
        <v>7.02555556</v>
      </c>
      <c r="J323" s="22" t="n">
        <v>19.06800611399097</v>
      </c>
      <c r="K323" s="23" t="n">
        <v>19.4776116317839</v>
      </c>
      <c r="L323" s="23" t="n">
        <v>19.83907162482802</v>
      </c>
      <c r="M323" s="23" t="n">
        <v>19.8887153078035</v>
      </c>
      <c r="N323" s="23" t="n">
        <v>20.08061455250554</v>
      </c>
      <c r="O323" s="23" t="n">
        <v>19.63267934761422</v>
      </c>
      <c r="P323" s="23" t="n">
        <v>19.33840853350391</v>
      </c>
      <c r="Q323" s="23" t="n">
        <v>19.33438505823419</v>
      </c>
      <c r="R323" s="23" t="n">
        <v>19.47072069947932</v>
      </c>
      <c r="S323" s="23" t="n">
        <v>19.54277823867223</v>
      </c>
      <c r="T323" s="23" t="n">
        <v>19.63506066951027</v>
      </c>
      <c r="U323" s="23" t="n">
        <v>19.16513644128397</v>
      </c>
      <c r="V323" s="38" t="n">
        <v>19.53943235160084</v>
      </c>
      <c r="W323" s="39" t="n">
        <v>318</v>
      </c>
      <c r="X323" s="24" t="n">
        <v>0.8833333333333333</v>
      </c>
    </row>
    <row r="324" ht="13.9" customHeight="1">
      <c r="A324" s="10" t="n">
        <v>24015250</v>
      </c>
      <c r="B324" s="35" t="inlineStr">
        <is>
          <t>CO</t>
        </is>
      </c>
      <c r="C324" s="35" t="inlineStr">
        <is>
          <t>La Laja</t>
        </is>
      </c>
      <c r="D324" s="35" t="inlineStr">
        <is>
          <t xml:space="preserve">Guadalupe </t>
        </is>
      </c>
      <c r="E324" s="21" t="inlineStr">
        <is>
          <t>Santander</t>
        </is>
      </c>
      <c r="F324" s="35" t="n">
        <v>8</v>
      </c>
      <c r="G324" s="35" t="n">
        <v>1400</v>
      </c>
      <c r="H324" s="36" t="n">
        <v>-73.41538889</v>
      </c>
      <c r="I324" s="37" t="n">
        <v>6.23716667</v>
      </c>
      <c r="J324" s="22" t="n">
        <v>15.71229661410974</v>
      </c>
      <c r="K324" s="23" t="n">
        <v>15.57990746427132</v>
      </c>
      <c r="L324" s="23" t="n">
        <v>15.87515753434552</v>
      </c>
      <c r="M324" s="23" t="n">
        <v>16.28131889183613</v>
      </c>
      <c r="N324" s="23" t="n">
        <v>16.3260280808269</v>
      </c>
      <c r="O324" s="23" t="n">
        <v>15.9020713373472</v>
      </c>
      <c r="P324" s="23" t="n">
        <v>15.46093670134405</v>
      </c>
      <c r="Q324" s="23" t="n">
        <v>15.34016874367072</v>
      </c>
      <c r="R324" s="23" t="n">
        <v>15.55247935291613</v>
      </c>
      <c r="S324" s="23" t="n">
        <v>15.72856528417818</v>
      </c>
      <c r="T324" s="23" t="n">
        <v>16.06184702959875</v>
      </c>
      <c r="U324" s="23" t="n">
        <v>16.07363948682636</v>
      </c>
      <c r="V324" s="38" t="n">
        <v>15.82453471010592</v>
      </c>
      <c r="W324" s="39" t="n">
        <v>344</v>
      </c>
      <c r="X324" s="24" t="n">
        <v>0.9555555555555556</v>
      </c>
    </row>
    <row r="325" ht="13.9" customHeight="1">
      <c r="A325" s="10" t="n">
        <v>23195502</v>
      </c>
      <c r="B325" s="35" t="inlineStr">
        <is>
          <t>SP</t>
        </is>
      </c>
      <c r="C325" s="35" t="inlineStr">
        <is>
          <t>Aeropuerto Palonegro</t>
        </is>
      </c>
      <c r="D325" s="35" t="inlineStr">
        <is>
          <t>Lebrija</t>
        </is>
      </c>
      <c r="E325" s="21" t="inlineStr">
        <is>
          <t>Santander</t>
        </is>
      </c>
      <c r="F325" s="35" t="n">
        <v>8</v>
      </c>
      <c r="G325" s="35" t="n">
        <v>1189</v>
      </c>
      <c r="H325" s="36" t="n">
        <v>-73.18452778</v>
      </c>
      <c r="I325" s="37" t="n">
        <v>7.12147222</v>
      </c>
      <c r="J325" s="22" t="n">
        <v>18.55606656969282</v>
      </c>
      <c r="K325" s="23" t="n">
        <v>18.86059419408462</v>
      </c>
      <c r="L325" s="23" t="n">
        <v>19.00297766749379</v>
      </c>
      <c r="M325" s="23" t="n">
        <v>19.00084899349267</v>
      </c>
      <c r="N325" s="23" t="n">
        <v>18.93254449682481</v>
      </c>
      <c r="O325" s="23" t="n">
        <v>18.82321728024876</v>
      </c>
      <c r="P325" s="23" t="n">
        <v>18.60790613607817</v>
      </c>
      <c r="Q325" s="23" t="n">
        <v>18.6046107128634</v>
      </c>
      <c r="R325" s="23" t="n">
        <v>18.37506990478894</v>
      </c>
      <c r="S325" s="23" t="n">
        <v>18.35928061981825</v>
      </c>
      <c r="T325" s="23" t="n">
        <v>18.45011954022989</v>
      </c>
      <c r="U325" s="23" t="n">
        <v>18.52047559966914</v>
      </c>
      <c r="V325" s="38" t="n">
        <v>18.67447597627377</v>
      </c>
      <c r="W325" s="39" t="n">
        <v>319</v>
      </c>
      <c r="X325" s="24" t="n">
        <v>0.8861111111111111</v>
      </c>
    </row>
    <row r="326" ht="13.9" customHeight="1">
      <c r="A326" s="10" t="n">
        <v>24025040</v>
      </c>
      <c r="B326" s="35" t="inlineStr">
        <is>
          <t>CP</t>
        </is>
      </c>
      <c r="C326" s="35" t="inlineStr">
        <is>
          <t>Escuela Agrícola Mogotes</t>
        </is>
      </c>
      <c r="D326" s="35" t="inlineStr">
        <is>
          <t>Mogotes</t>
        </is>
      </c>
      <c r="E326" s="21" t="inlineStr">
        <is>
          <t>Santander</t>
        </is>
      </c>
      <c r="F326" s="35" t="n">
        <v>8</v>
      </c>
      <c r="G326" s="35" t="n">
        <v>1673</v>
      </c>
      <c r="H326" s="36" t="n">
        <v>-72.96888889</v>
      </c>
      <c r="I326" s="37" t="n">
        <v>6.47</v>
      </c>
      <c r="J326" s="22" t="n">
        <v>11.84671116054876</v>
      </c>
      <c r="K326" s="23" t="n">
        <v>12.39527936825238</v>
      </c>
      <c r="L326" s="23" t="n">
        <v>13.18064953224381</v>
      </c>
      <c r="M326" s="23" t="n">
        <v>14.07073849522126</v>
      </c>
      <c r="N326" s="23" t="n">
        <v>14.32527654183661</v>
      </c>
      <c r="O326" s="23" t="n">
        <v>13.61480919540229</v>
      </c>
      <c r="P326" s="23" t="n">
        <v>13.12444319775596</v>
      </c>
      <c r="Q326" s="23" t="n">
        <v>13.15077617340843</v>
      </c>
      <c r="R326" s="23" t="n">
        <v>13.35914850574713</v>
      </c>
      <c r="S326" s="23" t="n">
        <v>13.8377688172043</v>
      </c>
      <c r="T326" s="23" t="n">
        <v>14.04881710731936</v>
      </c>
      <c r="U326" s="23" t="n">
        <v>12.95658749385257</v>
      </c>
      <c r="V326" s="38" t="n">
        <v>13.3259171323994</v>
      </c>
      <c r="W326" s="39" t="n">
        <v>290</v>
      </c>
      <c r="X326" s="24" t="n">
        <v>0.8055555555555556</v>
      </c>
    </row>
    <row r="327" ht="13.9" customHeight="1">
      <c r="A327" s="10" t="n">
        <v>24055040</v>
      </c>
      <c r="B327" s="35" t="inlineStr">
        <is>
          <t>CO</t>
        </is>
      </c>
      <c r="C327" s="35" t="inlineStr">
        <is>
          <t xml:space="preserve">El Palmar </t>
        </is>
      </c>
      <c r="D327" s="35" t="inlineStr">
        <is>
          <t>Palmar</t>
        </is>
      </c>
      <c r="E327" s="21" t="inlineStr">
        <is>
          <t>Santander</t>
        </is>
      </c>
      <c r="F327" s="35" t="n">
        <v>8</v>
      </c>
      <c r="G327" s="35" t="n">
        <v>940</v>
      </c>
      <c r="H327" s="36" t="n">
        <v>-73.292</v>
      </c>
      <c r="I327" s="37" t="n">
        <v>6.54972222</v>
      </c>
      <c r="J327" s="22" t="n">
        <v>19.71179142609954</v>
      </c>
      <c r="K327" s="23" t="n">
        <v>19.92282722598814</v>
      </c>
      <c r="L327" s="23" t="n">
        <v>20.29667779013718</v>
      </c>
      <c r="M327" s="23" t="n">
        <v>20.45066782217357</v>
      </c>
      <c r="N327" s="23" t="n">
        <v>20.55392496071473</v>
      </c>
      <c r="O327" s="23" t="n">
        <v>20.31037845891869</v>
      </c>
      <c r="P327" s="23" t="n">
        <v>19.83438682106424</v>
      </c>
      <c r="Q327" s="23" t="n">
        <v>19.80259102706712</v>
      </c>
      <c r="R327" s="23" t="n">
        <v>19.85694417706308</v>
      </c>
      <c r="S327" s="23" t="n">
        <v>19.91611724109518</v>
      </c>
      <c r="T327" s="23" t="n">
        <v>20.20013041919107</v>
      </c>
      <c r="U327" s="23" t="n">
        <v>20.02402090627974</v>
      </c>
      <c r="V327" s="38" t="n">
        <v>20.07337152298269</v>
      </c>
      <c r="W327" s="39" t="n">
        <v>355</v>
      </c>
      <c r="X327" s="24" t="n">
        <v>0.9861111111111112</v>
      </c>
    </row>
    <row r="328" ht="13.9" customHeight="1">
      <c r="A328" s="10" t="n">
        <v>24025020</v>
      </c>
      <c r="B328" s="35" t="inlineStr">
        <is>
          <t>PM</t>
        </is>
      </c>
      <c r="C328" s="35" t="inlineStr">
        <is>
          <t>El Cucharo</t>
        </is>
      </c>
      <c r="D328" s="35" t="inlineStr">
        <is>
          <t>Pinchote</t>
        </is>
      </c>
      <c r="E328" s="21" t="inlineStr">
        <is>
          <t>Santander</t>
        </is>
      </c>
      <c r="F328" s="35" t="n">
        <v>8</v>
      </c>
      <c r="G328" s="35" t="n">
        <v>975</v>
      </c>
      <c r="H328" s="36" t="n">
        <v>-73.19916667</v>
      </c>
      <c r="I328" s="37" t="n">
        <v>6.53222222</v>
      </c>
      <c r="J328" s="22" t="n">
        <v>18.52710301894893</v>
      </c>
      <c r="K328" s="23" t="n">
        <v>19.31870864901718</v>
      </c>
      <c r="L328" s="23" t="n">
        <v>19.53757215619694</v>
      </c>
      <c r="M328" s="23" t="n">
        <v>19.56451468710089</v>
      </c>
      <c r="N328" s="23" t="n">
        <v>19.40670456886252</v>
      </c>
      <c r="O328" s="23" t="n">
        <v>18.83711366538953</v>
      </c>
      <c r="P328" s="23" t="n">
        <v>18.42224478959246</v>
      </c>
      <c r="Q328" s="23" t="n">
        <v>18.46767025089606</v>
      </c>
      <c r="R328" s="23" t="n">
        <v>18.52575351213282</v>
      </c>
      <c r="S328" s="23" t="n">
        <v>18.77692445797475</v>
      </c>
      <c r="T328" s="23" t="n">
        <v>18.91762196679438</v>
      </c>
      <c r="U328" s="23" t="n">
        <v>18.59479350489684</v>
      </c>
      <c r="V328" s="38" t="n">
        <v>18.90806043565027</v>
      </c>
      <c r="W328" s="39" t="n">
        <v>221</v>
      </c>
      <c r="X328" s="24" t="n">
        <v>0.9208333333333333</v>
      </c>
    </row>
    <row r="329" ht="13.9" customHeight="1">
      <c r="A329" s="10" t="n">
        <v>23125050</v>
      </c>
      <c r="B329" s="35" t="inlineStr">
        <is>
          <t>CO</t>
        </is>
      </c>
      <c r="C329" s="35" t="inlineStr">
        <is>
          <t>Carare</t>
        </is>
      </c>
      <c r="D329" s="35" t="inlineStr">
        <is>
          <t>Puerto Parra</t>
        </is>
      </c>
      <c r="E329" s="21" t="inlineStr">
        <is>
          <t>Santander</t>
        </is>
      </c>
      <c r="F329" s="35" t="n">
        <v>8</v>
      </c>
      <c r="G329" s="35" t="n">
        <v>168</v>
      </c>
      <c r="H329" s="36" t="n">
        <v>-74.06138889</v>
      </c>
      <c r="I329" s="37" t="n">
        <v>6.64944444</v>
      </c>
      <c r="J329" s="22" t="n">
        <v>23.05168449299274</v>
      </c>
      <c r="K329" s="23" t="n">
        <v>23.43432172340219</v>
      </c>
      <c r="L329" s="23" t="n">
        <v>23.23326207543949</v>
      </c>
      <c r="M329" s="23" t="n">
        <v>23.21957917337628</v>
      </c>
      <c r="N329" s="23" t="n">
        <v>23.18277320099255</v>
      </c>
      <c r="O329" s="23" t="n">
        <v>23.23071756978653</v>
      </c>
      <c r="P329" s="23" t="n">
        <v>22.8676634927531</v>
      </c>
      <c r="Q329" s="23" t="n">
        <v>22.88763384462403</v>
      </c>
      <c r="R329" s="23" t="n">
        <v>22.80371489468941</v>
      </c>
      <c r="S329" s="23" t="n">
        <v>22.91867374005305</v>
      </c>
      <c r="T329" s="23" t="n">
        <v>23.02566595932803</v>
      </c>
      <c r="U329" s="23" t="n">
        <v>23.29829324249166</v>
      </c>
      <c r="V329" s="38" t="n">
        <v>23.09616528416075</v>
      </c>
      <c r="W329" s="39" t="n">
        <v>108</v>
      </c>
      <c r="X329" s="24" t="n">
        <v>0.9</v>
      </c>
    </row>
    <row r="330" ht="13.9" customHeight="1">
      <c r="A330" s="10" t="n">
        <v>24065010</v>
      </c>
      <c r="B330" s="35" t="inlineStr">
        <is>
          <t>PM</t>
        </is>
      </c>
      <c r="C330" s="35" t="inlineStr">
        <is>
          <t xml:space="preserve">Hacienda Las Brisas </t>
        </is>
      </c>
      <c r="D330" s="35" t="inlineStr">
        <is>
          <t>Puerto Wilches</t>
        </is>
      </c>
      <c r="E330" s="21" t="inlineStr">
        <is>
          <t>Santander</t>
        </is>
      </c>
      <c r="F330" s="35" t="n">
        <v>8</v>
      </c>
      <c r="G330" s="35" t="n">
        <v>138</v>
      </c>
      <c r="H330" s="36" t="n">
        <v>-73.79000000000001</v>
      </c>
      <c r="I330" s="37" t="n">
        <v>7.24611111</v>
      </c>
      <c r="J330" s="22" t="n">
        <v>20.26403558950623</v>
      </c>
      <c r="K330" s="23" t="n">
        <v>20.51682829371064</v>
      </c>
      <c r="L330" s="23" t="n">
        <v>20.55534907063484</v>
      </c>
      <c r="M330" s="23" t="n">
        <v>20.52162932334737</v>
      </c>
      <c r="N330" s="23" t="n">
        <v>20.55408185799288</v>
      </c>
      <c r="O330" s="23" t="n">
        <v>20.59359018903247</v>
      </c>
      <c r="P330" s="23" t="n">
        <v>20.71772270714584</v>
      </c>
      <c r="Q330" s="23" t="n">
        <v>20.62061755271877</v>
      </c>
      <c r="R330" s="23" t="n">
        <v>20.45595046212479</v>
      </c>
      <c r="S330" s="23" t="n">
        <v>20.411908943883</v>
      </c>
      <c r="T330" s="23" t="n">
        <v>20.43905399538733</v>
      </c>
      <c r="U330" s="23" t="n">
        <v>20.28341876906492</v>
      </c>
      <c r="V330" s="38" t="n">
        <v>20.49451556287909</v>
      </c>
      <c r="W330" s="39" t="n">
        <v>211</v>
      </c>
      <c r="X330" s="24" t="n">
        <v>0.8791666666666667</v>
      </c>
    </row>
    <row r="331" ht="13.9" customHeight="1">
      <c r="A331" s="10" t="n">
        <v>23185010</v>
      </c>
      <c r="B331" s="35" t="inlineStr">
        <is>
          <t>CP</t>
        </is>
      </c>
      <c r="C331" s="35" t="inlineStr">
        <is>
          <t>Villa Leiva</t>
        </is>
      </c>
      <c r="D331" s="35" t="inlineStr">
        <is>
          <t>Sabana de Torres</t>
        </is>
      </c>
      <c r="E331" s="21" t="inlineStr">
        <is>
          <t>Santander</t>
        </is>
      </c>
      <c r="F331" s="35" t="n">
        <v>8</v>
      </c>
      <c r="G331" s="35" t="n">
        <v>328</v>
      </c>
      <c r="H331" s="36" t="n">
        <v>-73.53722222</v>
      </c>
      <c r="I331" s="37" t="n">
        <v>7.45611111</v>
      </c>
      <c r="J331" s="22" t="n">
        <v>23.02957288850946</v>
      </c>
      <c r="K331" s="23" t="n">
        <v>23.30472061091575</v>
      </c>
      <c r="L331" s="23" t="n">
        <v>23.74476787074481</v>
      </c>
      <c r="M331" s="23" t="n">
        <v>23.77812200693304</v>
      </c>
      <c r="N331" s="23" t="n">
        <v>23.71473374341228</v>
      </c>
      <c r="O331" s="23" t="n">
        <v>23.69719179288145</v>
      </c>
      <c r="P331" s="23" t="n">
        <v>23.43347279820177</v>
      </c>
      <c r="Q331" s="23" t="n">
        <v>23.43509617993883</v>
      </c>
      <c r="R331" s="23" t="n">
        <v>23.24969243701382</v>
      </c>
      <c r="S331" s="23" t="n">
        <v>23.33920730054603</v>
      </c>
      <c r="T331" s="23" t="n">
        <v>23.54855437091644</v>
      </c>
      <c r="U331" s="23" t="n">
        <v>23.59682095049309</v>
      </c>
      <c r="V331" s="38" t="n">
        <v>23.48932941254223</v>
      </c>
      <c r="W331" s="39" t="n">
        <v>308</v>
      </c>
      <c r="X331" s="24" t="n">
        <v>0.8555555555555555</v>
      </c>
    </row>
    <row r="332" ht="13.9" customHeight="1">
      <c r="A332" s="10" t="n">
        <v>23195200</v>
      </c>
      <c r="B332" s="35" t="inlineStr">
        <is>
          <t>CO</t>
        </is>
      </c>
      <c r="C332" s="35" t="inlineStr">
        <is>
          <t>Cachiri</t>
        </is>
      </c>
      <c r="D332" s="35" t="inlineStr">
        <is>
          <t>Suratá</t>
        </is>
      </c>
      <c r="E332" s="21" t="inlineStr">
        <is>
          <t>Santander</t>
        </is>
      </c>
      <c r="F332" s="35" t="n">
        <v>8</v>
      </c>
      <c r="G332" s="35" t="n">
        <v>1850</v>
      </c>
      <c r="H332" s="36" t="n">
        <v>-72.99111111000001</v>
      </c>
      <c r="I332" s="37" t="n">
        <v>7.47388889</v>
      </c>
      <c r="J332" s="22" t="n">
        <v>12.56639514164029</v>
      </c>
      <c r="K332" s="23" t="n">
        <v>12.89884319871402</v>
      </c>
      <c r="L332" s="23" t="n">
        <v>13.41583252411848</v>
      </c>
      <c r="M332" s="23" t="n">
        <v>13.7244076280297</v>
      </c>
      <c r="N332" s="23" t="n">
        <v>14.02593779413023</v>
      </c>
      <c r="O332" s="23" t="n">
        <v>13.90487702272185</v>
      </c>
      <c r="P332" s="23" t="n">
        <v>13.57675752331342</v>
      </c>
      <c r="Q332" s="23" t="n">
        <v>13.41832311775197</v>
      </c>
      <c r="R332" s="23" t="n">
        <v>13.36636703879675</v>
      </c>
      <c r="S332" s="23" t="n">
        <v>13.21428589612473</v>
      </c>
      <c r="T332" s="23" t="n">
        <v>13.03314471732903</v>
      </c>
      <c r="U332" s="23" t="n">
        <v>12.5386714218276</v>
      </c>
      <c r="V332" s="38" t="n">
        <v>13.30698691870817</v>
      </c>
      <c r="W332" s="39" t="n">
        <v>311</v>
      </c>
      <c r="X332" s="24" t="n">
        <v>0.8638888888888889</v>
      </c>
    </row>
    <row r="333" ht="13.9" customHeight="1">
      <c r="A333" s="10" t="n">
        <v>23195090</v>
      </c>
      <c r="B333" s="35" t="inlineStr">
        <is>
          <t>CO</t>
        </is>
      </c>
      <c r="C333" s="35" t="inlineStr">
        <is>
          <t>Vivero Suratá - AUT</t>
        </is>
      </c>
      <c r="D333" s="35" t="inlineStr">
        <is>
          <t>Suratá</t>
        </is>
      </c>
      <c r="E333" s="21" t="inlineStr">
        <is>
          <t>Santander</t>
        </is>
      </c>
      <c r="F333" s="35" t="n">
        <v>8</v>
      </c>
      <c r="G333" s="35" t="n">
        <v>1725</v>
      </c>
      <c r="H333" s="36" t="n">
        <v>-72.9875</v>
      </c>
      <c r="I333" s="37" t="n">
        <v>7.36583333</v>
      </c>
      <c r="J333" s="22" t="n">
        <v>13.09132640255554</v>
      </c>
      <c r="K333" s="23" t="n">
        <v>13.36019988434557</v>
      </c>
      <c r="L333" s="23" t="n">
        <v>13.9253135546216</v>
      </c>
      <c r="M333" s="23" t="n">
        <v>14.52013409961686</v>
      </c>
      <c r="N333" s="23" t="n">
        <v>14.76228778709815</v>
      </c>
      <c r="O333" s="23" t="n">
        <v>14.46399527037458</v>
      </c>
      <c r="P333" s="23" t="n">
        <v>14.29762517057249</v>
      </c>
      <c r="Q333" s="23" t="n">
        <v>14.28172753446659</v>
      </c>
      <c r="R333" s="23" t="n">
        <v>14.21811621419723</v>
      </c>
      <c r="S333" s="23" t="n">
        <v>14.24439000870591</v>
      </c>
      <c r="T333" s="23" t="n">
        <v>14.09139411172662</v>
      </c>
      <c r="U333" s="23" t="n">
        <v>13.5148152109498</v>
      </c>
      <c r="V333" s="38" t="n">
        <v>14.06427710410258</v>
      </c>
      <c r="W333" s="39" t="n">
        <v>332</v>
      </c>
      <c r="X333" s="24" t="n">
        <v>0.9222222222222223</v>
      </c>
    </row>
    <row r="334" ht="13.9" customHeight="1">
      <c r="A334" s="10" t="n">
        <v>37015020</v>
      </c>
      <c r="B334" s="35" t="inlineStr">
        <is>
          <t>CP</t>
        </is>
      </c>
      <c r="C334" s="35" t="inlineStr">
        <is>
          <t>Berlín Automática</t>
        </is>
      </c>
      <c r="D334" s="35" t="inlineStr">
        <is>
          <t>Tona</t>
        </is>
      </c>
      <c r="E334" s="21" t="inlineStr">
        <is>
          <t>Santander</t>
        </is>
      </c>
      <c r="F334" s="35" t="n">
        <v>8</v>
      </c>
      <c r="G334" s="35" t="n">
        <v>3214</v>
      </c>
      <c r="H334" s="36" t="n">
        <v>-72.86861111</v>
      </c>
      <c r="I334" s="37" t="n">
        <v>7.18694444</v>
      </c>
      <c r="J334" s="22" t="n">
        <v>1.801727678136753</v>
      </c>
      <c r="K334" s="23" t="n">
        <v>2.567489767533445</v>
      </c>
      <c r="L334" s="23" t="n">
        <v>4.082725214965482</v>
      </c>
      <c r="M334" s="23" t="n">
        <v>5.669729434259756</v>
      </c>
      <c r="N334" s="23" t="n">
        <v>6.172735866321154</v>
      </c>
      <c r="O334" s="23" t="n">
        <v>5.930989579711568</v>
      </c>
      <c r="P334" s="23" t="n">
        <v>5.600313796046166</v>
      </c>
      <c r="Q334" s="23" t="n">
        <v>5.545852566091324</v>
      </c>
      <c r="R334" s="23" t="n">
        <v>5.302976940353874</v>
      </c>
      <c r="S334" s="23" t="n">
        <v>5.353873047261997</v>
      </c>
      <c r="T334" s="23" t="n">
        <v>4.747881121797379</v>
      </c>
      <c r="U334" s="23" t="n">
        <v>3.167310229431039</v>
      </c>
      <c r="V334" s="38" t="n">
        <v>4.661967103492494</v>
      </c>
      <c r="W334" s="39" t="n">
        <v>350</v>
      </c>
      <c r="X334" s="24" t="n">
        <v>0.9722222222222222</v>
      </c>
    </row>
    <row r="335" ht="13.9" customHeight="1">
      <c r="A335" s="10" t="n">
        <v>24015270</v>
      </c>
      <c r="B335" s="35" t="inlineStr">
        <is>
          <t>PM</t>
        </is>
      </c>
      <c r="C335" s="35" t="inlineStr">
        <is>
          <t xml:space="preserve">Granja Vélez </t>
        </is>
      </c>
      <c r="D335" s="35" t="inlineStr">
        <is>
          <t>Vélez</t>
        </is>
      </c>
      <c r="E335" s="21" t="inlineStr">
        <is>
          <t>Santander</t>
        </is>
      </c>
      <c r="F335" s="35" t="n">
        <v>8</v>
      </c>
      <c r="G335" s="35" t="n">
        <v>2170</v>
      </c>
      <c r="H335" s="36" t="n">
        <v>-73.67277778</v>
      </c>
      <c r="I335" s="37" t="n">
        <v>5.99722222</v>
      </c>
      <c r="J335" s="22" t="n">
        <v>12.28073851898935</v>
      </c>
      <c r="K335" s="23" t="n">
        <v>12.1743470450367</v>
      </c>
      <c r="L335" s="23" t="n">
        <v>12.4625376344086</v>
      </c>
      <c r="M335" s="23" t="n">
        <v>12.5856091954023</v>
      </c>
      <c r="N335" s="23" t="n">
        <v>12.77001853911753</v>
      </c>
      <c r="O335" s="23" t="n">
        <v>12.59326436781609</v>
      </c>
      <c r="P335" s="23" t="n">
        <v>12.35507353849957</v>
      </c>
      <c r="Q335" s="23" t="n">
        <v>12.44760177975528</v>
      </c>
      <c r="R335" s="23" t="n">
        <v>12.34287356321839</v>
      </c>
      <c r="S335" s="23" t="n">
        <v>12.30010299509743</v>
      </c>
      <c r="T335" s="23" t="n">
        <v>12.6057037037037</v>
      </c>
      <c r="U335" s="23" t="n">
        <v>12.40131604192783</v>
      </c>
      <c r="V335" s="38" t="n">
        <v>12.4432655769144</v>
      </c>
      <c r="W335" s="39" t="n">
        <v>115</v>
      </c>
      <c r="X335" s="24" t="n">
        <v>0.9583333333333334</v>
      </c>
    </row>
    <row r="336" ht="13.9" customHeight="1">
      <c r="A336" s="10" t="n">
        <v>24055030</v>
      </c>
      <c r="B336" s="35" t="inlineStr">
        <is>
          <t>CO</t>
        </is>
      </c>
      <c r="C336" s="35" t="inlineStr">
        <is>
          <t>Zapatoca</t>
        </is>
      </c>
      <c r="D336" s="35" t="inlineStr">
        <is>
          <t>Zapatoca</t>
        </is>
      </c>
      <c r="E336" s="21" t="inlineStr">
        <is>
          <t>Santander</t>
        </is>
      </c>
      <c r="F336" s="35" t="n">
        <v>8</v>
      </c>
      <c r="G336" s="35" t="n">
        <v>1810</v>
      </c>
      <c r="H336" s="36" t="n">
        <v>-73.28275000000001</v>
      </c>
      <c r="I336" s="37" t="n">
        <v>6.79277778</v>
      </c>
      <c r="J336" s="22" t="n">
        <v>13.65925259482984</v>
      </c>
      <c r="K336" s="23" t="n">
        <v>14.04993834753516</v>
      </c>
      <c r="L336" s="23" t="n">
        <v>14.31039231688264</v>
      </c>
      <c r="M336" s="23" t="n">
        <v>14.65773267651888</v>
      </c>
      <c r="N336" s="23" t="n">
        <v>14.71866408252804</v>
      </c>
      <c r="O336" s="23" t="n">
        <v>14.36845995958065</v>
      </c>
      <c r="P336" s="23" t="n">
        <v>13.94384365407591</v>
      </c>
      <c r="Q336" s="23" t="n">
        <v>13.99486833930705</v>
      </c>
      <c r="R336" s="23" t="n">
        <v>14.05096091954023</v>
      </c>
      <c r="S336" s="23" t="n">
        <v>14.13311294030404</v>
      </c>
      <c r="T336" s="23" t="n">
        <v>14.3784246169392</v>
      </c>
      <c r="U336" s="23" t="n">
        <v>13.99715799692754</v>
      </c>
      <c r="V336" s="38" t="n">
        <v>14.1885673704141</v>
      </c>
      <c r="W336" s="39" t="n">
        <v>306</v>
      </c>
      <c r="X336" s="24" t="n">
        <v>0.85</v>
      </c>
    </row>
    <row r="337" ht="13.9" customHeight="1">
      <c r="A337" s="10" t="n">
        <v>13095020</v>
      </c>
      <c r="B337" s="35" t="inlineStr">
        <is>
          <t>CP</t>
        </is>
      </c>
      <c r="C337" s="35" t="inlineStr">
        <is>
          <t>Primates</t>
        </is>
      </c>
      <c r="D337" s="35" t="inlineStr">
        <is>
          <t>Colosó</t>
        </is>
      </c>
      <c r="E337" s="21" t="inlineStr">
        <is>
          <t>Sucre</t>
        </is>
      </c>
      <c r="F337" s="35" t="n">
        <v>2</v>
      </c>
      <c r="G337" s="35" t="n">
        <v>200</v>
      </c>
      <c r="H337" s="36" t="n">
        <v>-75.35136111</v>
      </c>
      <c r="I337" s="37" t="n">
        <v>9.530138890000002</v>
      </c>
      <c r="J337" s="22" t="n">
        <v>21.55469743024248</v>
      </c>
      <c r="K337" s="23" t="n">
        <v>21.86189002766781</v>
      </c>
      <c r="L337" s="23" t="n">
        <v>22.68067065789646</v>
      </c>
      <c r="M337" s="23" t="n">
        <v>23.1429796027912</v>
      </c>
      <c r="N337" s="23" t="n">
        <v>23.12599927739318</v>
      </c>
      <c r="O337" s="23" t="n">
        <v>23.21459982386706</v>
      </c>
      <c r="P337" s="23" t="n">
        <v>22.78757252043264</v>
      </c>
      <c r="Q337" s="23" t="n">
        <v>22.76773397344724</v>
      </c>
      <c r="R337" s="23" t="n">
        <v>23.00196931982727</v>
      </c>
      <c r="S337" s="23" t="n">
        <v>23.03373631731338</v>
      </c>
      <c r="T337" s="23" t="n">
        <v>22.87460437710438</v>
      </c>
      <c r="U337" s="23" t="n">
        <v>22.12367611703679</v>
      </c>
      <c r="V337" s="38" t="n">
        <v>22.68084412041833</v>
      </c>
      <c r="W337" s="39" t="n">
        <v>103</v>
      </c>
      <c r="X337" s="24" t="n">
        <v>0.8583333333333333</v>
      </c>
    </row>
    <row r="338" ht="13.9" customHeight="1">
      <c r="A338" s="10" t="n">
        <v>25025080</v>
      </c>
      <c r="B338" s="35" t="inlineStr">
        <is>
          <t>CP</t>
        </is>
      </c>
      <c r="C338" s="35" t="inlineStr">
        <is>
          <t>Aeropuerto Rafael Barvo</t>
        </is>
      </c>
      <c r="D338" s="35" t="inlineStr">
        <is>
          <t>Corozal</t>
        </is>
      </c>
      <c r="E338" s="21" t="inlineStr">
        <is>
          <t>Sucre</t>
        </is>
      </c>
      <c r="F338" s="35" t="n">
        <v>2</v>
      </c>
      <c r="G338" s="35" t="n">
        <v>166</v>
      </c>
      <c r="H338" s="36" t="n">
        <v>-75.28305556000001</v>
      </c>
      <c r="I338" s="37" t="n">
        <v>9.333888890000001</v>
      </c>
      <c r="J338" s="22" t="n">
        <v>22.47072155264091</v>
      </c>
      <c r="K338" s="23" t="n">
        <v>23.08122605363985</v>
      </c>
      <c r="L338" s="23" t="n">
        <v>23.62019115890083</v>
      </c>
      <c r="M338" s="23" t="n">
        <v>23.97492775041051</v>
      </c>
      <c r="N338" s="23" t="n">
        <v>23.54341993161125</v>
      </c>
      <c r="O338" s="23" t="n">
        <v>23.3101646090535</v>
      </c>
      <c r="P338" s="23" t="n">
        <v>23.07791210104114</v>
      </c>
      <c r="Q338" s="23" t="n">
        <v>22.67244433850663</v>
      </c>
      <c r="R338" s="23" t="n">
        <v>22.69201559934318</v>
      </c>
      <c r="S338" s="23" t="n">
        <v>22.72382795698925</v>
      </c>
      <c r="T338" s="23" t="n">
        <v>22.72457913351017</v>
      </c>
      <c r="U338" s="23" t="n">
        <v>22.1117934421877</v>
      </c>
      <c r="V338" s="38" t="n">
        <v>23.00026863565291</v>
      </c>
      <c r="W338" s="39" t="n">
        <v>115</v>
      </c>
      <c r="X338" s="24" t="n">
        <v>0.9583333333333334</v>
      </c>
    </row>
    <row r="339" ht="13.9" customHeight="1">
      <c r="A339" s="10" t="n">
        <v>25025270</v>
      </c>
      <c r="B339" s="35" t="inlineStr">
        <is>
          <t>AM</t>
        </is>
      </c>
      <c r="C339" s="35" t="inlineStr">
        <is>
          <t>Universidad de Sucre</t>
        </is>
      </c>
      <c r="D339" s="35" t="inlineStr">
        <is>
          <t>Sampués</t>
        </is>
      </c>
      <c r="E339" s="21" t="inlineStr">
        <is>
          <t>Sucre</t>
        </is>
      </c>
      <c r="F339" s="35" t="n">
        <v>2</v>
      </c>
      <c r="G339" s="35" t="n">
        <v>160</v>
      </c>
      <c r="H339" s="36" t="n">
        <v>-75.3875</v>
      </c>
      <c r="I339" s="37" t="n">
        <v>9.316388890000001</v>
      </c>
      <c r="J339" s="22" t="n">
        <v>22.59661290322581</v>
      </c>
      <c r="K339" s="23" t="n">
        <v>22.72815084686493</v>
      </c>
      <c r="L339" s="23" t="n">
        <v>23.33077819799778</v>
      </c>
      <c r="M339" s="23" t="n">
        <v>23.70440575975749</v>
      </c>
      <c r="N339" s="23" t="n">
        <v>23.69941780304591</v>
      </c>
      <c r="O339" s="23" t="n">
        <v>23.46772095490716</v>
      </c>
      <c r="P339" s="23" t="n">
        <v>23.20911493428913</v>
      </c>
      <c r="Q339" s="23" t="n">
        <v>23.04673526140155</v>
      </c>
      <c r="R339" s="23" t="n">
        <v>23.05086323504914</v>
      </c>
      <c r="S339" s="23" t="n">
        <v>23.11576679146346</v>
      </c>
      <c r="T339" s="23" t="n">
        <v>23.1847080824667</v>
      </c>
      <c r="U339" s="23" t="n">
        <v>22.88849875930521</v>
      </c>
      <c r="V339" s="38" t="n">
        <v>23.16856446081452</v>
      </c>
      <c r="W339" s="39" t="n">
        <v>290</v>
      </c>
      <c r="X339" s="24" t="n">
        <v>0.8055555555555556</v>
      </c>
    </row>
    <row r="340" ht="13.9" customHeight="1">
      <c r="A340" s="10" t="n">
        <v>25025380</v>
      </c>
      <c r="B340" s="35" t="inlineStr">
        <is>
          <t>ME</t>
        </is>
      </c>
      <c r="C340" s="35" t="inlineStr">
        <is>
          <t xml:space="preserve">San Benito - AUT </t>
        </is>
      </c>
      <c r="D340" s="35" t="inlineStr">
        <is>
          <t>San Benito Abad</t>
        </is>
      </c>
      <c r="E340" s="21" t="inlineStr">
        <is>
          <t>Sucre</t>
        </is>
      </c>
      <c r="F340" s="35" t="n">
        <v>2</v>
      </c>
      <c r="G340" s="35" t="n">
        <v>20</v>
      </c>
      <c r="H340" s="36" t="n">
        <v>-75.04472222000001</v>
      </c>
      <c r="I340" s="37" t="n">
        <v>9.163888890000001</v>
      </c>
      <c r="J340" s="22" t="n">
        <v>22.46372112052984</v>
      </c>
      <c r="K340" s="23" t="n">
        <v>22.64688673509486</v>
      </c>
      <c r="L340" s="23" t="n">
        <v>23.03633914225682</v>
      </c>
      <c r="M340" s="23" t="n">
        <v>23.05540623807865</v>
      </c>
      <c r="N340" s="23" t="n">
        <v>23.0549058340685</v>
      </c>
      <c r="O340" s="23" t="n">
        <v>22.96241954022988</v>
      </c>
      <c r="P340" s="23" t="n">
        <v>22.73053776569906</v>
      </c>
      <c r="Q340" s="23" t="n">
        <v>22.42011697979439</v>
      </c>
      <c r="R340" s="23" t="n">
        <v>22.45270935960591</v>
      </c>
      <c r="S340" s="23" t="n">
        <v>22.85668348919925</v>
      </c>
      <c r="T340" s="23" t="n">
        <v>22.86606804597701</v>
      </c>
      <c r="U340" s="23" t="n">
        <v>22.90357733664185</v>
      </c>
      <c r="V340" s="38" t="n">
        <v>22.78744763226467</v>
      </c>
      <c r="W340" s="39" t="n">
        <v>328</v>
      </c>
      <c r="X340" s="24" t="n">
        <v>0.9111111111111111</v>
      </c>
    </row>
    <row r="341" ht="13.9" customHeight="1">
      <c r="A341" s="10" t="n">
        <v>21255080</v>
      </c>
      <c r="B341" s="35" t="inlineStr">
        <is>
          <t>CP</t>
        </is>
      </c>
      <c r="C341" s="35" t="inlineStr">
        <is>
          <t>El Salto</t>
        </is>
      </c>
      <c r="D341" s="35" t="inlineStr">
        <is>
          <t>Ambalema</t>
        </is>
      </c>
      <c r="E341" s="21" t="inlineStr">
        <is>
          <t>Tolima</t>
        </is>
      </c>
      <c r="F341" s="35" t="n">
        <v>10</v>
      </c>
      <c r="G341" s="35" t="n">
        <v>450</v>
      </c>
      <c r="H341" s="36" t="n">
        <v>-74.76794443999999</v>
      </c>
      <c r="I341" s="37" t="n">
        <v>4.78375</v>
      </c>
      <c r="J341" s="22" t="n">
        <v>23.09227144858445</v>
      </c>
      <c r="K341" s="23" t="n">
        <v>23.0428076557861</v>
      </c>
      <c r="L341" s="23" t="n">
        <v>22.99197869174042</v>
      </c>
      <c r="M341" s="23" t="n">
        <v>22.80054058250179</v>
      </c>
      <c r="N341" s="23" t="n">
        <v>22.86540803837499</v>
      </c>
      <c r="O341" s="23" t="n">
        <v>22.7489557773006</v>
      </c>
      <c r="P341" s="23" t="n">
        <v>22.99637704949667</v>
      </c>
      <c r="Q341" s="23" t="n">
        <v>22.95739093911554</v>
      </c>
      <c r="R341" s="23" t="n">
        <v>22.95213086057195</v>
      </c>
      <c r="S341" s="23" t="n">
        <v>22.71028610934549</v>
      </c>
      <c r="T341" s="23" t="n">
        <v>22.72642336951183</v>
      </c>
      <c r="U341" s="23" t="n">
        <v>22.83334850671822</v>
      </c>
      <c r="V341" s="38" t="n">
        <v>22.89315991908733</v>
      </c>
      <c r="W341" s="39" t="n">
        <v>292</v>
      </c>
      <c r="X341" s="24" t="n">
        <v>0.8111111111111111</v>
      </c>
    </row>
    <row r="342" ht="13.9" customHeight="1">
      <c r="A342" s="10" t="n">
        <v>21255090</v>
      </c>
      <c r="B342" s="35" t="inlineStr">
        <is>
          <t>CP</t>
        </is>
      </c>
      <c r="C342" s="35" t="inlineStr">
        <is>
          <t>Granja Armero</t>
        </is>
      </c>
      <c r="D342" s="35" t="inlineStr">
        <is>
          <t>Armero (Guayabal)</t>
        </is>
      </c>
      <c r="E342" s="21" t="inlineStr">
        <is>
          <t>Tolima</t>
        </is>
      </c>
      <c r="F342" s="35" t="n">
        <v>10</v>
      </c>
      <c r="G342" s="35" t="n">
        <v>321</v>
      </c>
      <c r="H342" s="36" t="n">
        <v>-74.89999167000001</v>
      </c>
      <c r="I342" s="37" t="n">
        <v>5</v>
      </c>
      <c r="J342" s="22" t="n">
        <v>21.68347142009641</v>
      </c>
      <c r="K342" s="23" t="n">
        <v>21.83064652131606</v>
      </c>
      <c r="L342" s="23" t="n">
        <v>21.66360895282596</v>
      </c>
      <c r="M342" s="23" t="n">
        <v>21.63382166196602</v>
      </c>
      <c r="N342" s="23" t="n">
        <v>21.61214628050523</v>
      </c>
      <c r="O342" s="23" t="n">
        <v>21.53905531837257</v>
      </c>
      <c r="P342" s="23" t="n">
        <v>21.59582028973992</v>
      </c>
      <c r="Q342" s="23" t="n">
        <v>21.70483579702303</v>
      </c>
      <c r="R342" s="23" t="n">
        <v>21.66313647904883</v>
      </c>
      <c r="S342" s="23" t="n">
        <v>21.63285896979399</v>
      </c>
      <c r="T342" s="23" t="n">
        <v>21.65776974846363</v>
      </c>
      <c r="U342" s="23" t="n">
        <v>22.04510165693841</v>
      </c>
      <c r="V342" s="38" t="n">
        <v>21.6885227580075</v>
      </c>
      <c r="W342" s="39" t="n">
        <v>297</v>
      </c>
      <c r="X342" s="24" t="n">
        <v>0.825</v>
      </c>
    </row>
    <row r="343" ht="13.9" customHeight="1">
      <c r="A343" s="10" t="n">
        <v>22055020</v>
      </c>
      <c r="B343" s="35" t="inlineStr">
        <is>
          <t>CO</t>
        </is>
      </c>
      <c r="C343" s="35" t="inlineStr">
        <is>
          <t>Mesa de Pole</t>
        </is>
      </c>
      <c r="D343" s="35" t="inlineStr">
        <is>
          <t>Ataco</t>
        </is>
      </c>
      <c r="E343" s="21" t="inlineStr">
        <is>
          <t>Tolima</t>
        </is>
      </c>
      <c r="F343" s="35" t="n">
        <v>10</v>
      </c>
      <c r="G343" s="35" t="n">
        <v>699</v>
      </c>
      <c r="H343" s="36" t="n">
        <v>-75.53636111</v>
      </c>
      <c r="I343" s="37" t="n">
        <v>3.45577778</v>
      </c>
      <c r="J343" s="22" t="n">
        <v>20.17687867015166</v>
      </c>
      <c r="K343" s="23" t="n">
        <v>20.37280984159063</v>
      </c>
      <c r="L343" s="23" t="n">
        <v>20.50280195303928</v>
      </c>
      <c r="M343" s="23" t="n">
        <v>20.54639470788896</v>
      </c>
      <c r="N343" s="23" t="n">
        <v>20.56486599394645</v>
      </c>
      <c r="O343" s="23" t="n">
        <v>20.31676775662727</v>
      </c>
      <c r="P343" s="23" t="n">
        <v>20.01764237355635</v>
      </c>
      <c r="Q343" s="23" t="n">
        <v>20.07636863437025</v>
      </c>
      <c r="R343" s="23" t="n">
        <v>20.13286316365626</v>
      </c>
      <c r="S343" s="23" t="n">
        <v>20.17859538817381</v>
      </c>
      <c r="T343" s="23" t="n">
        <v>20.31435315505513</v>
      </c>
      <c r="U343" s="23" t="n">
        <v>20.22251095553271</v>
      </c>
      <c r="V343" s="38" t="n">
        <v>20.2852377161324</v>
      </c>
      <c r="W343" s="39" t="n">
        <v>339</v>
      </c>
      <c r="X343" s="24" t="n">
        <v>0.9416666666666667</v>
      </c>
    </row>
    <row r="344" ht="13.9" customHeight="1">
      <c r="A344" s="10" t="n">
        <v>21215100</v>
      </c>
      <c r="B344" s="35" t="inlineStr">
        <is>
          <t>CO</t>
        </is>
      </c>
      <c r="C344" s="35" t="inlineStr">
        <is>
          <t>Cajamarca</t>
        </is>
      </c>
      <c r="D344" s="35" t="inlineStr">
        <is>
          <t>Cajamarca</t>
        </is>
      </c>
      <c r="E344" s="21" t="inlineStr">
        <is>
          <t>Tolima</t>
        </is>
      </c>
      <c r="F344" s="35" t="n">
        <v>10</v>
      </c>
      <c r="G344" s="35" t="n">
        <v>1920</v>
      </c>
      <c r="H344" s="36" t="n">
        <v>-75.42458332999999</v>
      </c>
      <c r="I344" s="37" t="n">
        <v>4.4415</v>
      </c>
      <c r="J344" s="22" t="n">
        <v>13.64864010120177</v>
      </c>
      <c r="K344" s="23" t="n">
        <v>13.8171810516131</v>
      </c>
      <c r="L344" s="23" t="n">
        <v>14.01832913763831</v>
      </c>
      <c r="M344" s="23" t="n">
        <v>14.16094117647059</v>
      </c>
      <c r="N344" s="23" t="n">
        <v>14.11539012958368</v>
      </c>
      <c r="O344" s="23" t="n">
        <v>14.09620997536945</v>
      </c>
      <c r="P344" s="23" t="n">
        <v>13.91102150537634</v>
      </c>
      <c r="Q344" s="23" t="n">
        <v>13.96746317189587</v>
      </c>
      <c r="R344" s="23" t="n">
        <v>13.97827307168078</v>
      </c>
      <c r="S344" s="23" t="n">
        <v>14.04594446504346</v>
      </c>
      <c r="T344" s="23" t="n">
        <v>13.81390358612581</v>
      </c>
      <c r="U344" s="23" t="n">
        <v>13.81099988569868</v>
      </c>
      <c r="V344" s="38" t="n">
        <v>13.94869143814149</v>
      </c>
      <c r="W344" s="39" t="n">
        <v>212</v>
      </c>
      <c r="X344" s="24" t="n">
        <v>0.8833333333333333</v>
      </c>
    </row>
    <row r="345" ht="14.45" customHeight="1">
      <c r="A345" s="10" t="n">
        <v>22045020</v>
      </c>
      <c r="B345" s="35" t="inlineStr">
        <is>
          <t>CO</t>
        </is>
      </c>
      <c r="C345" s="35" t="inlineStr">
        <is>
          <t>El Limón</t>
        </is>
      </c>
      <c r="D345" s="35" t="inlineStr">
        <is>
          <t>Chaparral</t>
        </is>
      </c>
      <c r="E345" s="21" t="inlineStr">
        <is>
          <t>Tolima</t>
        </is>
      </c>
      <c r="F345" s="35" t="n">
        <v>10</v>
      </c>
      <c r="G345" s="35" t="n">
        <v>1030</v>
      </c>
      <c r="H345" s="36" t="n">
        <v>-75.58419444</v>
      </c>
      <c r="I345" s="37" t="n">
        <v>3.65183333</v>
      </c>
      <c r="J345" s="22" t="n">
        <v>18.48985680476108</v>
      </c>
      <c r="K345" s="23" t="n">
        <v>18.70834342256983</v>
      </c>
      <c r="L345" s="23" t="n">
        <v>18.79224596221491</v>
      </c>
      <c r="M345" s="23" t="n">
        <v>18.84202538596391</v>
      </c>
      <c r="N345" s="23" t="n">
        <v>18.88877399839792</v>
      </c>
      <c r="O345" s="23" t="n">
        <v>18.76554628070916</v>
      </c>
      <c r="P345" s="23" t="n">
        <v>18.71593947184114</v>
      </c>
      <c r="Q345" s="23" t="n">
        <v>18.92013669788512</v>
      </c>
      <c r="R345" s="23" t="n">
        <v>18.9760580490707</v>
      </c>
      <c r="S345" s="23" t="n">
        <v>18.56209015261214</v>
      </c>
      <c r="T345" s="23" t="n">
        <v>18.63037316155109</v>
      </c>
      <c r="U345" s="23" t="n">
        <v>18.77246791870723</v>
      </c>
      <c r="V345" s="38" t="n">
        <v>18.75532144219035</v>
      </c>
      <c r="W345" s="39" t="n">
        <v>292</v>
      </c>
      <c r="X345" s="24" t="n">
        <v>0.8111111111111111</v>
      </c>
    </row>
    <row r="346" ht="13.9" customHeight="1">
      <c r="A346" s="10" t="n">
        <v>22045010</v>
      </c>
      <c r="B346" s="35" t="inlineStr">
        <is>
          <t>CO</t>
        </is>
      </c>
      <c r="C346" s="35" t="inlineStr">
        <is>
          <t>Granja Demostración</t>
        </is>
      </c>
      <c r="D346" s="35" t="inlineStr">
        <is>
          <t>Chaparral</t>
        </is>
      </c>
      <c r="E346" s="21" t="inlineStr">
        <is>
          <t>Tolima</t>
        </is>
      </c>
      <c r="F346" s="35" t="n">
        <v>10</v>
      </c>
      <c r="G346" s="35" t="n">
        <v>908</v>
      </c>
      <c r="H346" s="36" t="n">
        <v>-75.50344444</v>
      </c>
      <c r="I346" s="37" t="n">
        <v>3.72244444</v>
      </c>
      <c r="J346" s="22" t="n">
        <v>19.79873150992775</v>
      </c>
      <c r="K346" s="23" t="n">
        <v>19.93771015489406</v>
      </c>
      <c r="L346" s="23" t="n">
        <v>19.78794535570583</v>
      </c>
      <c r="M346" s="23" t="n">
        <v>19.78161331738599</v>
      </c>
      <c r="N346" s="23" t="n">
        <v>19.91742731979291</v>
      </c>
      <c r="O346" s="23" t="n">
        <v>19.91509693419016</v>
      </c>
      <c r="P346" s="23" t="n">
        <v>19.96734366044257</v>
      </c>
      <c r="Q346" s="23" t="n">
        <v>20.07098668109195</v>
      </c>
      <c r="R346" s="23" t="n">
        <v>19.90422009459251</v>
      </c>
      <c r="S346" s="23" t="n">
        <v>19.54949973010003</v>
      </c>
      <c r="T346" s="23" t="n">
        <v>19.48289367933046</v>
      </c>
      <c r="U346" s="23" t="n">
        <v>19.56260719230001</v>
      </c>
      <c r="V346" s="38" t="n">
        <v>19.80633963581285</v>
      </c>
      <c r="W346" s="39" t="n">
        <v>315</v>
      </c>
      <c r="X346" s="24" t="n">
        <v>0.875</v>
      </c>
    </row>
    <row r="347" ht="13.9" customHeight="1">
      <c r="A347" s="10" t="n">
        <v>21135040</v>
      </c>
      <c r="B347" s="35" t="inlineStr">
        <is>
          <t>CO</t>
        </is>
      </c>
      <c r="C347" s="35" t="inlineStr">
        <is>
          <t>Media Luna</t>
        </is>
      </c>
      <c r="D347" s="35" t="inlineStr">
        <is>
          <t>Coyaima</t>
        </is>
      </c>
      <c r="E347" s="21" t="inlineStr">
        <is>
          <t>Tolima</t>
        </is>
      </c>
      <c r="F347" s="35" t="n">
        <v>10</v>
      </c>
      <c r="G347" s="35" t="n">
        <v>485</v>
      </c>
      <c r="H347" s="36" t="n">
        <v>-75.11980556</v>
      </c>
      <c r="I347" s="37" t="n">
        <v>3.77375</v>
      </c>
      <c r="J347" s="22" t="n">
        <v>23.26864196085319</v>
      </c>
      <c r="K347" s="23" t="n">
        <v>23.50888037172153</v>
      </c>
      <c r="L347" s="23" t="n">
        <v>23.39352449223417</v>
      </c>
      <c r="M347" s="23" t="n">
        <v>23.3484288536779</v>
      </c>
      <c r="N347" s="23" t="n">
        <v>23.35344936639839</v>
      </c>
      <c r="O347" s="23" t="n">
        <v>23.32920312952767</v>
      </c>
      <c r="P347" s="23" t="n">
        <v>23.51849038614333</v>
      </c>
      <c r="Q347" s="23" t="n">
        <v>24.24282721542454</v>
      </c>
      <c r="R347" s="23" t="n">
        <v>23.85039004049732</v>
      </c>
      <c r="S347" s="23" t="n">
        <v>23.41598651556493</v>
      </c>
      <c r="T347" s="23" t="n">
        <v>23.18099251961321</v>
      </c>
      <c r="U347" s="23" t="n">
        <v>23.17791998238311</v>
      </c>
      <c r="V347" s="38" t="n">
        <v>23.46572790283661</v>
      </c>
      <c r="W347" s="39" t="n">
        <v>216</v>
      </c>
      <c r="X347" s="24" t="n">
        <v>0.9</v>
      </c>
    </row>
    <row r="348" ht="13.9" customHeight="1">
      <c r="A348" s="10" t="n">
        <v>21155040</v>
      </c>
      <c r="B348" s="35" t="inlineStr">
        <is>
          <t>CO</t>
        </is>
      </c>
      <c r="C348" s="35" t="inlineStr">
        <is>
          <t>Hacienda Dolores Madron</t>
        </is>
      </c>
      <c r="D348" s="35" t="inlineStr">
        <is>
          <t>Dolores</t>
        </is>
      </c>
      <c r="E348" s="21" t="inlineStr">
        <is>
          <t>Tolima</t>
        </is>
      </c>
      <c r="F348" s="35" t="n">
        <v>10</v>
      </c>
      <c r="G348" s="35" t="n">
        <v>1456</v>
      </c>
      <c r="H348" s="36" t="n">
        <v>-74.90577777999999</v>
      </c>
      <c r="I348" s="37" t="n">
        <v>3.53305556</v>
      </c>
      <c r="J348" s="22" t="n">
        <v>17.81557285873192</v>
      </c>
      <c r="K348" s="23" t="n">
        <v>17.7364516581758</v>
      </c>
      <c r="L348" s="23" t="n">
        <v>17.58640860215054</v>
      </c>
      <c r="M348" s="23" t="n">
        <v>17.51565772669221</v>
      </c>
      <c r="N348" s="23" t="n">
        <v>17.63661401557286</v>
      </c>
      <c r="O348" s="23" t="n">
        <v>17.23930183056619</v>
      </c>
      <c r="P348" s="23" t="n">
        <v>17.20534946236559</v>
      </c>
      <c r="Q348" s="23" t="n">
        <v>17.90270967741935</v>
      </c>
      <c r="R348" s="23" t="n">
        <v>17.90307407407407</v>
      </c>
      <c r="S348" s="23" t="n">
        <v>17.51129254727475</v>
      </c>
      <c r="T348" s="23" t="n">
        <v>17.36176784135404</v>
      </c>
      <c r="U348" s="23" t="n">
        <v>17.50802990977629</v>
      </c>
      <c r="V348" s="38" t="n">
        <v>17.5768525170128</v>
      </c>
      <c r="W348" s="39" t="n">
        <v>114</v>
      </c>
      <c r="X348" s="24" t="n">
        <v>0.95</v>
      </c>
    </row>
    <row r="349" ht="13.9" customHeight="1">
      <c r="A349" s="10" t="n">
        <v>21215080</v>
      </c>
      <c r="B349" s="35" t="inlineStr">
        <is>
          <t>CO</t>
        </is>
      </c>
      <c r="C349" s="35" t="inlineStr">
        <is>
          <t>Chicoral</t>
        </is>
      </c>
      <c r="D349" s="35" t="inlineStr">
        <is>
          <t>Espinal</t>
        </is>
      </c>
      <c r="E349" s="21" t="inlineStr">
        <is>
          <t>Tolima</t>
        </is>
      </c>
      <c r="F349" s="35" t="n">
        <v>10</v>
      </c>
      <c r="G349" s="35" t="n">
        <v>432</v>
      </c>
      <c r="H349" s="36" t="n">
        <v>-74.99536111</v>
      </c>
      <c r="I349" s="37" t="n">
        <v>4.23152778</v>
      </c>
      <c r="J349" s="22" t="n">
        <v>22.19446745060649</v>
      </c>
      <c r="K349" s="23" t="n">
        <v>21.92060226746433</v>
      </c>
      <c r="L349" s="23" t="n">
        <v>21.97596006144393</v>
      </c>
      <c r="M349" s="23" t="n">
        <v>21.84583333333333</v>
      </c>
      <c r="N349" s="23" t="n">
        <v>21.31081242532855</v>
      </c>
      <c r="O349" s="23" t="n">
        <v>21.57101441342821</v>
      </c>
      <c r="P349" s="23" t="n">
        <v>21.16664011681932</v>
      </c>
      <c r="Q349" s="23" t="n">
        <v>21.65373783922171</v>
      </c>
      <c r="R349" s="23" t="n">
        <v>21.67335632183908</v>
      </c>
      <c r="S349" s="23" t="n">
        <v>21.44356545485578</v>
      </c>
      <c r="T349" s="23" t="n">
        <v>21.79597883597883</v>
      </c>
      <c r="U349" s="23" t="n">
        <v>21.95061443932412</v>
      </c>
      <c r="V349" s="38" t="n">
        <v>21.70854857997031</v>
      </c>
      <c r="W349" s="39" t="n">
        <v>110</v>
      </c>
      <c r="X349" s="24" t="n">
        <v>0.9166666666666666</v>
      </c>
    </row>
    <row r="350" ht="13.9" customHeight="1">
      <c r="A350" s="10" t="n">
        <v>21185090</v>
      </c>
      <c r="B350" s="35" t="inlineStr">
        <is>
          <t>AM</t>
        </is>
      </c>
      <c r="C350" s="35" t="inlineStr">
        <is>
          <t xml:space="preserve">Nataima - AUT </t>
        </is>
      </c>
      <c r="D350" s="35" t="inlineStr">
        <is>
          <t>Espinal</t>
        </is>
      </c>
      <c r="E350" s="21" t="inlineStr">
        <is>
          <t>Tolima</t>
        </is>
      </c>
      <c r="F350" s="35" t="n">
        <v>10</v>
      </c>
      <c r="G350" s="35" t="n">
        <v>393</v>
      </c>
      <c r="H350" s="36" t="n">
        <v>-74.96047222000001</v>
      </c>
      <c r="I350" s="37" t="n">
        <v>4.18813889</v>
      </c>
      <c r="J350" s="22" t="n">
        <v>22.63127956989247</v>
      </c>
      <c r="K350" s="23" t="n">
        <v>22.91897388250319</v>
      </c>
      <c r="L350" s="23" t="n">
        <v>22.84610215053763</v>
      </c>
      <c r="M350" s="23" t="n">
        <v>22.6263908045977</v>
      </c>
      <c r="N350" s="23" t="n">
        <v>22.60724454505439</v>
      </c>
      <c r="O350" s="23" t="n">
        <v>21.91198932676519</v>
      </c>
      <c r="P350" s="23" t="n">
        <v>21.76662273035202</v>
      </c>
      <c r="Q350" s="23" t="n">
        <v>22.09053333333333</v>
      </c>
      <c r="R350" s="23" t="n">
        <v>22.42727811094453</v>
      </c>
      <c r="S350" s="23" t="n">
        <v>22.51825268817204</v>
      </c>
      <c r="T350" s="23" t="n">
        <v>22.5713908045977</v>
      </c>
      <c r="U350" s="23" t="n">
        <v>22.54110337021642</v>
      </c>
      <c r="V350" s="38" t="n">
        <v>22.45476344308055</v>
      </c>
      <c r="W350" s="39" t="n">
        <v>237</v>
      </c>
      <c r="X350" s="24" t="n">
        <v>0.9875</v>
      </c>
    </row>
    <row r="351" ht="13.9" customHeight="1">
      <c r="A351" s="10" t="n">
        <v>21185040</v>
      </c>
      <c r="B351" s="35" t="inlineStr">
        <is>
          <t>CP</t>
        </is>
      </c>
      <c r="C351" s="35" t="inlineStr">
        <is>
          <t>Aeropuerto Santiago Vila</t>
        </is>
      </c>
      <c r="D351" s="35" t="inlineStr">
        <is>
          <t>Flandes</t>
        </is>
      </c>
      <c r="E351" s="21" t="inlineStr">
        <is>
          <t>Tolima</t>
        </is>
      </c>
      <c r="F351" s="35" t="n">
        <v>10</v>
      </c>
      <c r="G351" s="35" t="n">
        <v>305</v>
      </c>
      <c r="H351" s="36" t="n">
        <v>-74.798</v>
      </c>
      <c r="I351" s="37" t="n">
        <v>4.27544444</v>
      </c>
      <c r="J351" s="22" t="n">
        <v>23.29949727900081</v>
      </c>
      <c r="K351" s="23" t="n">
        <v>23.56218774936754</v>
      </c>
      <c r="L351" s="23" t="n">
        <v>23.42886920844985</v>
      </c>
      <c r="M351" s="23" t="n">
        <v>23.36692093132921</v>
      </c>
      <c r="N351" s="23" t="n">
        <v>23.23510181574698</v>
      </c>
      <c r="O351" s="23" t="n">
        <v>22.69058749706779</v>
      </c>
      <c r="P351" s="23" t="n">
        <v>22.49118210642404</v>
      </c>
      <c r="Q351" s="23" t="n">
        <v>22.95755016614111</v>
      </c>
      <c r="R351" s="23" t="n">
        <v>23.11743446133138</v>
      </c>
      <c r="S351" s="23" t="n">
        <v>23.15705477282605</v>
      </c>
      <c r="T351" s="23" t="n">
        <v>23.24273592378956</v>
      </c>
      <c r="U351" s="23" t="n">
        <v>23.23841260099862</v>
      </c>
      <c r="V351" s="38" t="n">
        <v>23.14896120937275</v>
      </c>
      <c r="W351" s="39" t="n">
        <v>314</v>
      </c>
      <c r="X351" s="24" t="n">
        <v>0.8722222222222222</v>
      </c>
    </row>
    <row r="352" ht="13.9" customHeight="1">
      <c r="A352" s="10" t="n">
        <v>21185030</v>
      </c>
      <c r="B352" s="35" t="inlineStr">
        <is>
          <t>CP</t>
        </is>
      </c>
      <c r="C352" s="35" t="inlineStr">
        <is>
          <t>Guamo</t>
        </is>
      </c>
      <c r="D352" s="35" t="inlineStr">
        <is>
          <t>Guamo</t>
        </is>
      </c>
      <c r="E352" s="21" t="inlineStr">
        <is>
          <t>Tolima</t>
        </is>
      </c>
      <c r="F352" s="35" t="n">
        <v>10</v>
      </c>
      <c r="G352" s="35" t="n">
        <v>332</v>
      </c>
      <c r="H352" s="36" t="n">
        <v>-74.98138889000001</v>
      </c>
      <c r="I352" s="37" t="n">
        <v>4.00883333</v>
      </c>
      <c r="J352" s="22" t="n">
        <v>22.57217656936233</v>
      </c>
      <c r="K352" s="23" t="n">
        <v>22.77414745383926</v>
      </c>
      <c r="L352" s="23" t="n">
        <v>22.6874578107509</v>
      </c>
      <c r="M352" s="23" t="n">
        <v>22.76365571578471</v>
      </c>
      <c r="N352" s="23" t="n">
        <v>22.68034428488127</v>
      </c>
      <c r="O352" s="23" t="n">
        <v>22.46879514355376</v>
      </c>
      <c r="P352" s="23" t="n">
        <v>22.32946644487963</v>
      </c>
      <c r="Q352" s="23" t="n">
        <v>22.72385486258694</v>
      </c>
      <c r="R352" s="23" t="n">
        <v>22.99118294843444</v>
      </c>
      <c r="S352" s="23" t="n">
        <v>22.68547546249326</v>
      </c>
      <c r="T352" s="23" t="n">
        <v>22.59691410106443</v>
      </c>
      <c r="U352" s="23" t="n">
        <v>22.36262427937386</v>
      </c>
      <c r="V352" s="38" t="n">
        <v>22.63634125641707</v>
      </c>
      <c r="W352" s="39" t="n">
        <v>296</v>
      </c>
      <c r="X352" s="24" t="n">
        <v>0.8222222222222222</v>
      </c>
    </row>
    <row r="353" ht="13.9" customHeight="1">
      <c r="A353" s="10" t="n">
        <v>23025020</v>
      </c>
      <c r="B353" s="35" t="inlineStr">
        <is>
          <t>CO</t>
        </is>
      </c>
      <c r="C353" s="35" t="inlineStr">
        <is>
          <t>La Esperanza</t>
        </is>
      </c>
      <c r="D353" s="35" t="inlineStr">
        <is>
          <t>Honda</t>
        </is>
      </c>
      <c r="E353" s="21" t="inlineStr">
        <is>
          <t>Tolima</t>
        </is>
      </c>
      <c r="F353" s="35" t="n">
        <v>10</v>
      </c>
      <c r="G353" s="35" t="n">
        <v>208</v>
      </c>
      <c r="H353" s="36" t="n">
        <v>-74.72913889</v>
      </c>
      <c r="I353" s="37" t="n">
        <v>5.26263889</v>
      </c>
      <c r="J353" s="22" t="n">
        <v>22.14620433081934</v>
      </c>
      <c r="K353" s="23" t="n">
        <v>22.20891196757803</v>
      </c>
      <c r="L353" s="23" t="n">
        <v>22.58303127545912</v>
      </c>
      <c r="M353" s="23" t="n">
        <v>22.55258152288324</v>
      </c>
      <c r="N353" s="23" t="n">
        <v>22.51549769585253</v>
      </c>
      <c r="O353" s="23" t="n">
        <v>22.43836666666666</v>
      </c>
      <c r="P353" s="23" t="n">
        <v>22.12491327503037</v>
      </c>
      <c r="Q353" s="23" t="n">
        <v>22.19273543425421</v>
      </c>
      <c r="R353" s="23" t="n">
        <v>22.2491607297052</v>
      </c>
      <c r="S353" s="23" t="n">
        <v>22.17737910847682</v>
      </c>
      <c r="T353" s="23" t="n">
        <v>22.16625905534628</v>
      </c>
      <c r="U353" s="23" t="n">
        <v>22.37587128884359</v>
      </c>
      <c r="V353" s="38" t="n">
        <v>22.31090936257628</v>
      </c>
      <c r="W353" s="39" t="n">
        <v>231</v>
      </c>
      <c r="X353" s="24" t="n">
        <v>0.9625</v>
      </c>
    </row>
    <row r="354" ht="13.9" customHeight="1">
      <c r="A354" s="10" t="n">
        <v>21245040</v>
      </c>
      <c r="B354" s="35" t="inlineStr">
        <is>
          <t>SS</t>
        </is>
      </c>
      <c r="C354" s="35" t="inlineStr">
        <is>
          <t>Aeropuerto Perales</t>
        </is>
      </c>
      <c r="D354" s="35" t="inlineStr">
        <is>
          <t>Ibagué</t>
        </is>
      </c>
      <c r="E354" s="21" t="inlineStr">
        <is>
          <t>Tolima</t>
        </is>
      </c>
      <c r="F354" s="35" t="n">
        <v>10</v>
      </c>
      <c r="G354" s="35" t="n">
        <v>943</v>
      </c>
      <c r="H354" s="36" t="n">
        <v>-75.13941666999999</v>
      </c>
      <c r="I354" s="37" t="n">
        <v>4.42413889</v>
      </c>
      <c r="J354" s="22" t="n">
        <v>19.16511858642425</v>
      </c>
      <c r="K354" s="23" t="n">
        <v>19.50700161687082</v>
      </c>
      <c r="L354" s="23" t="n">
        <v>19.50365975422427</v>
      </c>
      <c r="M354" s="23" t="n">
        <v>19.419813294411</v>
      </c>
      <c r="N354" s="23" t="n">
        <v>19.50436877737953</v>
      </c>
      <c r="O354" s="23" t="n">
        <v>19.20587422180015</v>
      </c>
      <c r="P354" s="23" t="n">
        <v>19.23867916144334</v>
      </c>
      <c r="Q354" s="23" t="n">
        <v>19.45681585563121</v>
      </c>
      <c r="R354" s="23" t="n">
        <v>19.23208173690933</v>
      </c>
      <c r="S354" s="23" t="n">
        <v>19.10423923406961</v>
      </c>
      <c r="T354" s="23" t="n">
        <v>19.15994252873563</v>
      </c>
      <c r="U354" s="23" t="n">
        <v>19.2063802373007</v>
      </c>
      <c r="V354" s="38" t="n">
        <v>19.30866458376665</v>
      </c>
      <c r="W354" s="39" t="n">
        <v>331</v>
      </c>
      <c r="X354" s="24" t="n">
        <v>0.9194444444444444</v>
      </c>
    </row>
    <row r="355" ht="13.9" customHeight="1">
      <c r="A355" s="10" t="n">
        <v>21255150</v>
      </c>
      <c r="B355" s="35" t="inlineStr">
        <is>
          <t>CP</t>
        </is>
      </c>
      <c r="C355" s="35" t="inlineStr">
        <is>
          <t xml:space="preserve">Hacienda Garcia </t>
        </is>
      </c>
      <c r="D355" s="35" t="inlineStr">
        <is>
          <t>Lérida</t>
        </is>
      </c>
      <c r="E355" s="21" t="inlineStr">
        <is>
          <t>Tolima</t>
        </is>
      </c>
      <c r="F355" s="35" t="n">
        <v>10</v>
      </c>
      <c r="G355" s="35" t="n">
        <v>350</v>
      </c>
      <c r="H355" s="36" t="n">
        <v>-74.89155556</v>
      </c>
      <c r="I355" s="37" t="n">
        <v>4.85541667</v>
      </c>
      <c r="J355" s="22" t="n">
        <v>22.48266472718975</v>
      </c>
      <c r="K355" s="23" t="n">
        <v>22.74848771279806</v>
      </c>
      <c r="L355" s="23" t="n">
        <v>22.61058542413381</v>
      </c>
      <c r="M355" s="23" t="n">
        <v>22.22343915343916</v>
      </c>
      <c r="N355" s="23" t="n">
        <v>22.23276978218914</v>
      </c>
      <c r="O355" s="23" t="n">
        <v>22.29625798212005</v>
      </c>
      <c r="P355" s="23" t="n">
        <v>22.3153009516747</v>
      </c>
      <c r="Q355" s="23" t="n">
        <v>22.26997849462366</v>
      </c>
      <c r="R355" s="23" t="n">
        <v>22.07857471264368</v>
      </c>
      <c r="S355" s="23" t="n">
        <v>21.97030107526882</v>
      </c>
      <c r="T355" s="23" t="n">
        <v>22.056</v>
      </c>
      <c r="U355" s="23" t="n">
        <v>22.38201075268817</v>
      </c>
      <c r="V355" s="38" t="n">
        <v>22.30553089739742</v>
      </c>
      <c r="W355" s="39" t="n">
        <v>116</v>
      </c>
      <c r="X355" s="24" t="n">
        <v>0.9666666666666667</v>
      </c>
    </row>
    <row r="356" ht="13.9" customHeight="1">
      <c r="A356" s="10" t="n">
        <v>23025040</v>
      </c>
      <c r="B356" s="35" t="inlineStr">
        <is>
          <t>CO</t>
        </is>
      </c>
      <c r="C356" s="35" t="inlineStr">
        <is>
          <t>Albania</t>
        </is>
      </c>
      <c r="D356" s="35" t="inlineStr">
        <is>
          <t>Mariquita</t>
        </is>
      </c>
      <c r="E356" s="21" t="inlineStr">
        <is>
          <t>Tolima</t>
        </is>
      </c>
      <c r="F356" s="35" t="n">
        <v>10</v>
      </c>
      <c r="G356" s="35" t="n">
        <v>788</v>
      </c>
      <c r="H356" s="36" t="n">
        <v>-74.91458056</v>
      </c>
      <c r="I356" s="37" t="n">
        <v>5.30110889</v>
      </c>
      <c r="J356" s="22" t="n">
        <v>20.44477463831905</v>
      </c>
      <c r="K356" s="23" t="n">
        <v>20.56426632136833</v>
      </c>
      <c r="L356" s="23" t="n">
        <v>20.40295565295194</v>
      </c>
      <c r="M356" s="23" t="n">
        <v>20.45590112260832</v>
      </c>
      <c r="N356" s="23" t="n">
        <v>20.58197658381938</v>
      </c>
      <c r="O356" s="23" t="n">
        <v>20.80266916079724</v>
      </c>
      <c r="P356" s="23" t="n">
        <v>20.65901126668276</v>
      </c>
      <c r="Q356" s="23" t="n">
        <v>20.42202579139917</v>
      </c>
      <c r="R356" s="23" t="n">
        <v>20.23041991214405</v>
      </c>
      <c r="S356" s="23" t="n">
        <v>20.09398286455851</v>
      </c>
      <c r="T356" s="23" t="n">
        <v>20.28885402191049</v>
      </c>
      <c r="U356" s="23" t="n">
        <v>20.4294328354256</v>
      </c>
      <c r="V356" s="38" t="n">
        <v>20.44802251433207</v>
      </c>
      <c r="W356" s="39" t="n">
        <v>328</v>
      </c>
      <c r="X356" s="24" t="n">
        <v>0.9111111111111111</v>
      </c>
    </row>
    <row r="357" ht="13.9" customHeight="1">
      <c r="A357" s="10" t="n">
        <v>21135030</v>
      </c>
      <c r="B357" s="35" t="inlineStr">
        <is>
          <t>CP</t>
        </is>
      </c>
      <c r="C357" s="35" t="inlineStr">
        <is>
          <t>Anchique</t>
        </is>
      </c>
      <c r="D357" s="35" t="inlineStr">
        <is>
          <t>Natagaima</t>
        </is>
      </c>
      <c r="E357" s="21" t="inlineStr">
        <is>
          <t>Tolima</t>
        </is>
      </c>
      <c r="F357" s="35" t="n">
        <v>4</v>
      </c>
      <c r="G357" s="35" t="n">
        <v>415</v>
      </c>
      <c r="H357" s="36" t="n">
        <v>-75.10899999999999</v>
      </c>
      <c r="I357" s="37" t="n">
        <v>3.57383333</v>
      </c>
      <c r="J357" s="22" t="n">
        <v>23.15533953975</v>
      </c>
      <c r="K357" s="23" t="n">
        <v>23.38851231309317</v>
      </c>
      <c r="L357" s="23" t="n">
        <v>23.32498684020049</v>
      </c>
      <c r="M357" s="23" t="n">
        <v>23.28834205679734</v>
      </c>
      <c r="N357" s="23" t="n">
        <v>23.32891361501833</v>
      </c>
      <c r="O357" s="23" t="n">
        <v>23.5132432451945</v>
      </c>
      <c r="P357" s="23" t="n">
        <v>23.98594554377442</v>
      </c>
      <c r="Q357" s="23" t="n">
        <v>24.54543320770865</v>
      </c>
      <c r="R357" s="23" t="n">
        <v>24.2584890207052</v>
      </c>
      <c r="S357" s="23" t="n">
        <v>23.61978885215301</v>
      </c>
      <c r="T357" s="23" t="n">
        <v>23.12609373601181</v>
      </c>
      <c r="U357" s="23" t="n">
        <v>23.00891040021103</v>
      </c>
      <c r="V357" s="38" t="n">
        <v>23.5453331975515</v>
      </c>
      <c r="W357" s="39" t="n">
        <v>340</v>
      </c>
      <c r="X357" s="24" t="n">
        <v>0.9444444444444444</v>
      </c>
    </row>
    <row r="358" ht="13.9" customHeight="1">
      <c r="A358" s="10" t="n">
        <v>21165010</v>
      </c>
      <c r="B358" s="35" t="inlineStr">
        <is>
          <t>CO</t>
        </is>
      </c>
      <c r="C358" s="11" t="inlineStr">
        <is>
          <t>PST de Monta</t>
        </is>
      </c>
      <c r="D358" s="35" t="inlineStr">
        <is>
          <t>Prado</t>
        </is>
      </c>
      <c r="E358" s="21" t="inlineStr">
        <is>
          <t>Tolima</t>
        </is>
      </c>
      <c r="F358" s="35" t="n">
        <v>10</v>
      </c>
      <c r="G358" s="35" t="n">
        <v>321</v>
      </c>
      <c r="H358" s="36" t="n">
        <v>-74.91702778</v>
      </c>
      <c r="I358" s="37" t="n">
        <v>3.78761111</v>
      </c>
      <c r="J358" s="22" t="n">
        <v>22.47888303592611</v>
      </c>
      <c r="K358" s="23" t="n">
        <v>22.69904175580518</v>
      </c>
      <c r="L358" s="23" t="n">
        <v>22.76518321484419</v>
      </c>
      <c r="M358" s="23" t="n">
        <v>22.7617573711182</v>
      </c>
      <c r="N358" s="23" t="n">
        <v>22.68656518027764</v>
      </c>
      <c r="O358" s="23" t="n">
        <v>22.10439094397477</v>
      </c>
      <c r="P358" s="23" t="n">
        <v>21.613415216114</v>
      </c>
      <c r="Q358" s="23" t="n">
        <v>21.90107607248338</v>
      </c>
      <c r="R358" s="23" t="n">
        <v>22.29064179286018</v>
      </c>
      <c r="S358" s="23" t="n">
        <v>22.47109010011124</v>
      </c>
      <c r="T358" s="23" t="n">
        <v>22.62865042875389</v>
      </c>
      <c r="U358" s="23" t="n">
        <v>22.6070752688172</v>
      </c>
      <c r="V358" s="38" t="n">
        <v>22.41731419842383</v>
      </c>
      <c r="W358" s="39" t="n">
        <v>350</v>
      </c>
      <c r="X358" s="24" t="n">
        <v>0.9722222222222222</v>
      </c>
    </row>
    <row r="359" ht="13.9" customHeight="1">
      <c r="A359" s="10" t="n">
        <v>22055030</v>
      </c>
      <c r="B359" s="35" t="inlineStr">
        <is>
          <t>CO</t>
        </is>
      </c>
      <c r="C359" s="35" t="inlineStr">
        <is>
          <t>Santa Helena</t>
        </is>
      </c>
      <c r="D359" s="35" t="inlineStr">
        <is>
          <t>Purificación</t>
        </is>
      </c>
      <c r="E359" s="21" t="inlineStr">
        <is>
          <t>Tolima</t>
        </is>
      </c>
      <c r="F359" s="35" t="n">
        <v>10</v>
      </c>
      <c r="G359" s="35" t="n">
        <v>300</v>
      </c>
      <c r="H359" s="36" t="n">
        <v>-74.89880556</v>
      </c>
      <c r="I359" s="37" t="n">
        <v>3.98605556</v>
      </c>
      <c r="J359" s="22" t="n">
        <v>22.96519095291065</v>
      </c>
      <c r="K359" s="23" t="n">
        <v>23.02539881007314</v>
      </c>
      <c r="L359" s="23" t="n">
        <v>23.06538135774023</v>
      </c>
      <c r="M359" s="23" t="n">
        <v>22.89287610658109</v>
      </c>
      <c r="N359" s="23" t="n">
        <v>22.67277639470076</v>
      </c>
      <c r="O359" s="23" t="n">
        <v>22.42039134781529</v>
      </c>
      <c r="P359" s="23" t="n">
        <v>22.00478054319615</v>
      </c>
      <c r="Q359" s="23" t="n">
        <v>22.10805158548403</v>
      </c>
      <c r="R359" s="23" t="n">
        <v>22.6865397040042</v>
      </c>
      <c r="S359" s="23" t="n">
        <v>22.65896961454215</v>
      </c>
      <c r="T359" s="23" t="n">
        <v>22.73862997718982</v>
      </c>
      <c r="U359" s="23" t="n">
        <v>22.79688172043011</v>
      </c>
      <c r="V359" s="38" t="n">
        <v>22.66965567622229</v>
      </c>
      <c r="W359" s="39" t="n">
        <v>205</v>
      </c>
      <c r="X359" s="24" t="n">
        <v>0.8541666666666666</v>
      </c>
    </row>
    <row r="360" ht="13.9" customHeight="1">
      <c r="A360" s="10" t="n">
        <v>22015020</v>
      </c>
      <c r="B360" s="35" t="inlineStr">
        <is>
          <t>CO</t>
        </is>
      </c>
      <c r="C360" s="35" t="inlineStr">
        <is>
          <t>Relator</t>
        </is>
      </c>
      <c r="D360" s="35" t="inlineStr">
        <is>
          <t>Rioblanco</t>
        </is>
      </c>
      <c r="E360" s="21" t="inlineStr">
        <is>
          <t>Tolima</t>
        </is>
      </c>
      <c r="F360" s="35" t="n">
        <v>10</v>
      </c>
      <c r="G360" s="35" t="n">
        <v>1160</v>
      </c>
      <c r="H360" s="36" t="n">
        <v>-75.63141666999999</v>
      </c>
      <c r="I360" s="37" t="n">
        <v>3.52913889</v>
      </c>
      <c r="J360" s="22" t="n">
        <v>18.19050712077853</v>
      </c>
      <c r="K360" s="23" t="n">
        <v>18.44224882291708</v>
      </c>
      <c r="L360" s="23" t="n">
        <v>18.44850805056359</v>
      </c>
      <c r="M360" s="23" t="n">
        <v>18.44110552070322</v>
      </c>
      <c r="N360" s="23" t="n">
        <v>18.57402614287208</v>
      </c>
      <c r="O360" s="23" t="n">
        <v>18.46778762698714</v>
      </c>
      <c r="P360" s="23" t="n">
        <v>18.16825494395592</v>
      </c>
      <c r="Q360" s="23" t="n">
        <v>18.40253503948804</v>
      </c>
      <c r="R360" s="23" t="n">
        <v>18.4537945234604</v>
      </c>
      <c r="S360" s="23" t="n">
        <v>18.29752105481726</v>
      </c>
      <c r="T360" s="23" t="n">
        <v>18.2898004294556</v>
      </c>
      <c r="U360" s="23" t="n">
        <v>18.29945446631523</v>
      </c>
      <c r="V360" s="38" t="n">
        <v>18.37296197852617</v>
      </c>
      <c r="W360" s="39" t="n">
        <v>345</v>
      </c>
      <c r="X360" s="24" t="n">
        <v>0.9583333333333334</v>
      </c>
    </row>
    <row r="361" ht="13.9" customHeight="1">
      <c r="A361" s="10" t="n">
        <v>22065040</v>
      </c>
      <c r="B361" s="35" t="inlineStr">
        <is>
          <t>CP</t>
        </is>
      </c>
      <c r="C361" s="35" t="inlineStr">
        <is>
          <t>San Antonio Quinta</t>
        </is>
      </c>
      <c r="D361" s="35" t="inlineStr">
        <is>
          <t>San Antonio</t>
        </is>
      </c>
      <c r="E361" s="21" t="inlineStr">
        <is>
          <t>Tolima</t>
        </is>
      </c>
      <c r="F361" s="35" t="n">
        <v>10</v>
      </c>
      <c r="G361" s="35" t="n">
        <v>1448</v>
      </c>
      <c r="H361" s="36" t="n">
        <v>-75.48808332999999</v>
      </c>
      <c r="I361" s="37" t="n">
        <v>3.90691667</v>
      </c>
      <c r="J361" s="22" t="n">
        <v>16.73782223896301</v>
      </c>
      <c r="K361" s="23" t="n">
        <v>16.91796944739768</v>
      </c>
      <c r="L361" s="23" t="n">
        <v>17.12301381021648</v>
      </c>
      <c r="M361" s="23" t="n">
        <v>17.15399525957881</v>
      </c>
      <c r="N361" s="23" t="n">
        <v>17.21611354433764</v>
      </c>
      <c r="O361" s="23" t="n">
        <v>17.07322293512268</v>
      </c>
      <c r="P361" s="23" t="n">
        <v>16.78927904074477</v>
      </c>
      <c r="Q361" s="23" t="n">
        <v>17.07408821324105</v>
      </c>
      <c r="R361" s="23" t="n">
        <v>16.92344442575952</v>
      </c>
      <c r="S361" s="23" t="n">
        <v>16.70182893940402</v>
      </c>
      <c r="T361" s="23" t="n">
        <v>16.73011418358634</v>
      </c>
      <c r="U361" s="23" t="n">
        <v>16.68406145208147</v>
      </c>
      <c r="V361" s="38" t="n">
        <v>16.92707945753613</v>
      </c>
      <c r="W361" s="39" t="n">
        <v>310</v>
      </c>
      <c r="X361" s="24" t="n">
        <v>0.8611111111111112</v>
      </c>
    </row>
    <row r="362" ht="13.9" customHeight="1">
      <c r="A362" s="10" t="n">
        <v>21240110</v>
      </c>
      <c r="B362" s="35" t="inlineStr">
        <is>
          <t>PM</t>
        </is>
      </c>
      <c r="C362" s="35" t="inlineStr">
        <is>
          <t xml:space="preserve">La Bodega </t>
        </is>
      </c>
      <c r="D362" s="35" t="inlineStr">
        <is>
          <t>Santa Isabel</t>
        </is>
      </c>
      <c r="E362" s="21" t="inlineStr">
        <is>
          <t>Tolima</t>
        </is>
      </c>
      <c r="F362" s="35" t="n">
        <v>10</v>
      </c>
      <c r="G362" s="35" t="n">
        <v>2670</v>
      </c>
      <c r="H362" s="36" t="n">
        <v>-75.13891667</v>
      </c>
      <c r="I362" s="37" t="n">
        <v>4.73561111</v>
      </c>
      <c r="J362" s="22" t="n">
        <v>9.736709677419356</v>
      </c>
      <c r="K362" s="23" t="n">
        <v>10.00628078817734</v>
      </c>
      <c r="L362" s="23" t="n">
        <v>10.1010752688172</v>
      </c>
      <c r="M362" s="23" t="n">
        <v>10.34185185185185</v>
      </c>
      <c r="N362" s="23" t="n">
        <v>10.21088709677419</v>
      </c>
      <c r="O362" s="23" t="n">
        <v>10.62026455026455</v>
      </c>
      <c r="P362" s="23" t="n">
        <v>10.48996415770609</v>
      </c>
      <c r="Q362" s="23" t="n">
        <v>10.44233870967742</v>
      </c>
      <c r="R362" s="23" t="n">
        <v>10.23416666666667</v>
      </c>
      <c r="S362" s="23" t="n">
        <v>10.49032258064516</v>
      </c>
      <c r="T362" s="23" t="n">
        <v>10.38958333333333</v>
      </c>
      <c r="U362" s="23" t="n">
        <v>10.31129032258064</v>
      </c>
      <c r="V362" s="38" t="n">
        <v>10.28122791699282</v>
      </c>
      <c r="W362" s="39" t="n">
        <v>103</v>
      </c>
      <c r="X362" s="24" t="n">
        <v>0.8583333333333333</v>
      </c>
    </row>
    <row r="363" ht="13.9" customHeight="1">
      <c r="A363" s="10" t="n">
        <v>21185080</v>
      </c>
      <c r="B363" s="35" t="inlineStr">
        <is>
          <t>CO</t>
        </is>
      </c>
      <c r="C363" s="35" t="inlineStr">
        <is>
          <t>Valle de San Juan</t>
        </is>
      </c>
      <c r="D363" s="35" t="inlineStr">
        <is>
          <t>Valle de San Juan</t>
        </is>
      </c>
      <c r="E363" s="21" t="inlineStr">
        <is>
          <t>Tolima</t>
        </is>
      </c>
      <c r="F363" s="35" t="n">
        <v>10</v>
      </c>
      <c r="G363" s="35" t="n">
        <v>591</v>
      </c>
      <c r="H363" s="36" t="n">
        <v>-75.10461111000001</v>
      </c>
      <c r="I363" s="37" t="n">
        <v>4.21645833</v>
      </c>
      <c r="J363" s="22" t="n">
        <v>20.67380167176467</v>
      </c>
      <c r="K363" s="23" t="n">
        <v>20.93460497406974</v>
      </c>
      <c r="L363" s="23" t="n">
        <v>21.22718476885863</v>
      </c>
      <c r="M363" s="23" t="n">
        <v>21.29227893328468</v>
      </c>
      <c r="N363" s="23" t="n">
        <v>21.34699716910618</v>
      </c>
      <c r="O363" s="23" t="n">
        <v>20.61348167796444</v>
      </c>
      <c r="P363" s="23" t="n">
        <v>20.10513078341898</v>
      </c>
      <c r="Q363" s="23" t="n">
        <v>20.36962929307987</v>
      </c>
      <c r="R363" s="23" t="n">
        <v>20.74341280266896</v>
      </c>
      <c r="S363" s="23" t="n">
        <v>20.97495467115047</v>
      </c>
      <c r="T363" s="23" t="n">
        <v>21.08455475558924</v>
      </c>
      <c r="U363" s="23" t="n">
        <v>20.868832357825</v>
      </c>
      <c r="V363" s="38" t="n">
        <v>20.85290532156507</v>
      </c>
      <c r="W363" s="39" t="n">
        <v>314</v>
      </c>
      <c r="X363" s="24" t="n">
        <v>0.8722222222222222</v>
      </c>
    </row>
    <row r="364" ht="13.9" customHeight="1">
      <c r="A364" s="10" t="n">
        <v>21255120</v>
      </c>
      <c r="B364" s="35" t="inlineStr">
        <is>
          <t>CO</t>
        </is>
      </c>
      <c r="C364" s="35" t="inlineStr">
        <is>
          <t>Villahermosa</t>
        </is>
      </c>
      <c r="D364" s="35" t="inlineStr">
        <is>
          <t>Villahermosa</t>
        </is>
      </c>
      <c r="E364" s="21" t="inlineStr">
        <is>
          <t>Tolima</t>
        </is>
      </c>
      <c r="F364" s="35" t="n">
        <v>10</v>
      </c>
      <c r="G364" s="35" t="n">
        <v>2069</v>
      </c>
      <c r="H364" s="36" t="n">
        <v>-75.11733611</v>
      </c>
      <c r="I364" s="37" t="n">
        <v>5.02676194</v>
      </c>
      <c r="J364" s="22" t="n">
        <v>14.24198277333428</v>
      </c>
      <c r="K364" s="23" t="n">
        <v>14.54239329805996</v>
      </c>
      <c r="L364" s="23" t="n">
        <v>14.56626535339995</v>
      </c>
      <c r="M364" s="23" t="n">
        <v>14.68544687100894</v>
      </c>
      <c r="N364" s="23" t="n">
        <v>14.83230451824779</v>
      </c>
      <c r="O364" s="23" t="n">
        <v>14.48364761904762</v>
      </c>
      <c r="P364" s="23" t="n">
        <v>14.26104885770514</v>
      </c>
      <c r="Q364" s="23" t="n">
        <v>14.17350384024578</v>
      </c>
      <c r="R364" s="23" t="n">
        <v>14.28702791461412</v>
      </c>
      <c r="S364" s="23" t="n">
        <v>14.30493066370041</v>
      </c>
      <c r="T364" s="23" t="n">
        <v>14.31756832694763</v>
      </c>
      <c r="U364" s="23" t="n">
        <v>14.25338095238095</v>
      </c>
      <c r="V364" s="38" t="n">
        <v>14.41245841572438</v>
      </c>
      <c r="W364" s="39" t="n">
        <v>118</v>
      </c>
      <c r="X364" s="24" t="n">
        <v>0.9833333333333333</v>
      </c>
    </row>
    <row r="365" ht="13.9" customHeight="1">
      <c r="A365" s="10" t="n">
        <v>53115010</v>
      </c>
      <c r="B365" s="35" t="inlineStr">
        <is>
          <t>PM</t>
        </is>
      </c>
      <c r="C365" s="35" t="inlineStr">
        <is>
          <t>Aeropuerto Buenaventura</t>
        </is>
      </c>
      <c r="D365" s="35" t="inlineStr">
        <is>
          <t>Buenaventura</t>
        </is>
      </c>
      <c r="E365" s="21" t="inlineStr">
        <is>
          <t>Valle del Cauca</t>
        </is>
      </c>
      <c r="F365" s="35" t="n">
        <v>9</v>
      </c>
      <c r="G365" s="35" t="n">
        <v>28</v>
      </c>
      <c r="H365" s="36" t="n">
        <v>-76.99238889</v>
      </c>
      <c r="I365" s="37" t="n">
        <v>3.82011111</v>
      </c>
      <c r="J365" s="22" t="n">
        <v>23.10559139784946</v>
      </c>
      <c r="K365" s="23" t="n">
        <v>22.98920361247947</v>
      </c>
      <c r="L365" s="23" t="n">
        <v>23.28036559139785</v>
      </c>
      <c r="M365" s="23" t="n">
        <v>23.31689655172413</v>
      </c>
      <c r="N365" s="23" t="n">
        <v>23.26921616611049</v>
      </c>
      <c r="O365" s="23" t="n">
        <v>23.08286079182631</v>
      </c>
      <c r="P365" s="23" t="n">
        <v>22.88561290322581</v>
      </c>
      <c r="Q365" s="23" t="n">
        <v>22.97369892473118</v>
      </c>
      <c r="R365" s="23" t="n">
        <v>22.98526436781609</v>
      </c>
      <c r="S365" s="23" t="n">
        <v>22.80264516129032</v>
      </c>
      <c r="T365" s="23" t="n">
        <v>22.97024466338259</v>
      </c>
      <c r="U365" s="23" t="n">
        <v>22.83017797552836</v>
      </c>
      <c r="V365" s="38" t="n">
        <v>23.04098150894684</v>
      </c>
      <c r="W365" s="39" t="n">
        <v>119</v>
      </c>
      <c r="X365" s="24" t="n">
        <v>0.9916666666666667</v>
      </c>
    </row>
    <row r="366" ht="13.9" customHeight="1">
      <c r="A366" s="10" t="n">
        <v>54075020</v>
      </c>
      <c r="B366" s="35" t="inlineStr">
        <is>
          <t>CO</t>
        </is>
      </c>
      <c r="C366" s="35" t="inlineStr">
        <is>
          <t>Bajo Calima</t>
        </is>
      </c>
      <c r="D366" s="35" t="inlineStr">
        <is>
          <t>Buenaventura</t>
        </is>
      </c>
      <c r="E366" s="21" t="inlineStr">
        <is>
          <t>Valle del Cauca</t>
        </is>
      </c>
      <c r="F366" s="35" t="n">
        <v>9</v>
      </c>
      <c r="G366" s="35" t="n">
        <v>66</v>
      </c>
      <c r="H366" s="36" t="n">
        <v>-76.99044443999999</v>
      </c>
      <c r="I366" s="37" t="n">
        <v>3.95355556</v>
      </c>
      <c r="J366" s="22" t="n">
        <v>22.13125224633535</v>
      </c>
      <c r="K366" s="23" t="n">
        <v>22.33849941285767</v>
      </c>
      <c r="L366" s="23" t="n">
        <v>22.4948081187082</v>
      </c>
      <c r="M366" s="23" t="n">
        <v>22.46609584803446</v>
      </c>
      <c r="N366" s="23" t="n">
        <v>22.49821282628409</v>
      </c>
      <c r="O366" s="23" t="n">
        <v>22.53451747424989</v>
      </c>
      <c r="P366" s="23" t="n">
        <v>22.35628487862992</v>
      </c>
      <c r="Q366" s="23" t="n">
        <v>22.45940568023729</v>
      </c>
      <c r="R366" s="23" t="n">
        <v>22.39114358330094</v>
      </c>
      <c r="S366" s="23" t="n">
        <v>22.17936500395795</v>
      </c>
      <c r="T366" s="23" t="n">
        <v>22.26140032056647</v>
      </c>
      <c r="U366" s="23" t="n">
        <v>22.20060638601979</v>
      </c>
      <c r="V366" s="38" t="n">
        <v>22.35929931493183</v>
      </c>
      <c r="W366" s="39" t="n">
        <v>286</v>
      </c>
      <c r="X366" s="24" t="n">
        <v>0.7944444444444444</v>
      </c>
    </row>
    <row r="367" ht="13.9" customHeight="1">
      <c r="A367" s="10" t="n">
        <v>53115020</v>
      </c>
      <c r="B367" s="35" t="inlineStr">
        <is>
          <t>CP</t>
        </is>
      </c>
      <c r="C367" s="35" t="inlineStr">
        <is>
          <t>Colpuertos</t>
        </is>
      </c>
      <c r="D367" s="35" t="inlineStr">
        <is>
          <t>Buenaventura</t>
        </is>
      </c>
      <c r="E367" s="21" t="inlineStr">
        <is>
          <t>Valle del Cauca</t>
        </is>
      </c>
      <c r="F367" s="35" t="n">
        <v>9</v>
      </c>
      <c r="G367" s="35" t="n">
        <v>10</v>
      </c>
      <c r="H367" s="36" t="n">
        <v>-77.06666666999999</v>
      </c>
      <c r="I367" s="37" t="n">
        <v>3.88333333</v>
      </c>
      <c r="J367" s="22" t="n">
        <v>23.69503764389069</v>
      </c>
      <c r="K367" s="23" t="n">
        <v>24.04682066781017</v>
      </c>
      <c r="L367" s="23" t="n">
        <v>24.33707959976105</v>
      </c>
      <c r="M367" s="23" t="n">
        <v>24.26904761904762</v>
      </c>
      <c r="N367" s="23" t="n">
        <v>24.15774705581157</v>
      </c>
      <c r="O367" s="23" t="n">
        <v>23.92869412515964</v>
      </c>
      <c r="P367" s="23" t="n">
        <v>23.67435907852525</v>
      </c>
      <c r="Q367" s="23" t="n">
        <v>23.60740502969201</v>
      </c>
      <c r="R367" s="23" t="n">
        <v>23.44230468892538</v>
      </c>
      <c r="S367" s="23" t="n">
        <v>23.47918761586948</v>
      </c>
      <c r="T367" s="23" t="n">
        <v>23.46752446633826</v>
      </c>
      <c r="U367" s="23" t="n">
        <v>23.5979351766513</v>
      </c>
      <c r="V367" s="38" t="n">
        <v>23.80859523062353</v>
      </c>
      <c r="W367" s="39" t="n">
        <v>112</v>
      </c>
      <c r="X367" s="24" t="n">
        <v>0.9333333333333333</v>
      </c>
    </row>
    <row r="368" ht="13.9" customHeight="1">
      <c r="A368" s="10" t="n">
        <v>26105150</v>
      </c>
      <c r="B368" s="35" t="inlineStr">
        <is>
          <t>CO</t>
        </is>
      </c>
      <c r="C368" s="35" t="inlineStr">
        <is>
          <t>San Marcos</t>
        </is>
      </c>
      <c r="D368" s="35" t="inlineStr">
        <is>
          <t>Bugalagrande</t>
        </is>
      </c>
      <c r="E368" s="21" t="inlineStr">
        <is>
          <t>Valle del Cauca</t>
        </is>
      </c>
      <c r="F368" s="35" t="n">
        <v>9</v>
      </c>
      <c r="G368" s="35" t="n">
        <v>1011</v>
      </c>
      <c r="H368" s="36" t="n">
        <v>-76.03305556000001</v>
      </c>
      <c r="I368" s="37" t="n">
        <v>4.23891667</v>
      </c>
      <c r="J368" s="22" t="n">
        <v>17.47499223416126</v>
      </c>
      <c r="K368" s="23" t="n">
        <v>17.7340697025081</v>
      </c>
      <c r="L368" s="23" t="n">
        <v>18.07159344833472</v>
      </c>
      <c r="M368" s="23" t="n">
        <v>18.37640572488715</v>
      </c>
      <c r="N368" s="23" t="n">
        <v>18.37027507342079</v>
      </c>
      <c r="O368" s="23" t="n">
        <v>17.95179082746986</v>
      </c>
      <c r="P368" s="23" t="n">
        <v>17.28229674415218</v>
      </c>
      <c r="Q368" s="23" t="n">
        <v>17.03753950514696</v>
      </c>
      <c r="R368" s="23" t="n">
        <v>17.38327387384858</v>
      </c>
      <c r="S368" s="23" t="n">
        <v>17.76960295060843</v>
      </c>
      <c r="T368" s="23" t="n">
        <v>18.1469882242888</v>
      </c>
      <c r="U368" s="23" t="n">
        <v>17.9369709567407</v>
      </c>
      <c r="V368" s="38" t="n">
        <v>17.7946499387973</v>
      </c>
      <c r="W368" s="39" t="n">
        <v>305</v>
      </c>
      <c r="X368" s="24" t="n">
        <v>0.8472222222222222</v>
      </c>
    </row>
    <row r="369" ht="13.9" customHeight="1">
      <c r="A369" s="10" t="n">
        <v>26055120</v>
      </c>
      <c r="B369" s="35" t="inlineStr">
        <is>
          <t>CP</t>
        </is>
      </c>
      <c r="C369" s="35" t="inlineStr">
        <is>
          <t xml:space="preserve">Universidad del Valle  - AUT </t>
        </is>
      </c>
      <c r="D369" s="35" t="inlineStr">
        <is>
          <t>Cali</t>
        </is>
      </c>
      <c r="E369" s="21" t="inlineStr">
        <is>
          <t>Valle del Cauca</t>
        </is>
      </c>
      <c r="F369" s="35" t="n">
        <v>9</v>
      </c>
      <c r="G369" s="35" t="n">
        <v>996</v>
      </c>
      <c r="H369" s="36" t="n">
        <v>-76.53388889</v>
      </c>
      <c r="I369" s="37" t="n">
        <v>3.378</v>
      </c>
      <c r="J369" s="22" t="n">
        <v>19.54985960061444</v>
      </c>
      <c r="K369" s="23" t="n">
        <v>19.68732598517817</v>
      </c>
      <c r="L369" s="23" t="n">
        <v>19.86128327648457</v>
      </c>
      <c r="M369" s="23" t="n">
        <v>19.80749536276835</v>
      </c>
      <c r="N369" s="23" t="n">
        <v>19.94762984080559</v>
      </c>
      <c r="O369" s="23" t="n">
        <v>19.47359373952286</v>
      </c>
      <c r="P369" s="23" t="n">
        <v>19.21443639488713</v>
      </c>
      <c r="Q369" s="23" t="n">
        <v>18.91804944360766</v>
      </c>
      <c r="R369" s="23" t="n">
        <v>19.22287492450911</v>
      </c>
      <c r="S369" s="23" t="n">
        <v>19.32467429122601</v>
      </c>
      <c r="T369" s="23" t="n">
        <v>19.39220659289625</v>
      </c>
      <c r="U369" s="23" t="n">
        <v>19.65192628212263</v>
      </c>
      <c r="V369" s="38" t="n">
        <v>19.5042796445519</v>
      </c>
      <c r="W369" s="39" t="n">
        <v>288</v>
      </c>
      <c r="X369" s="24" t="n">
        <v>0.8</v>
      </c>
    </row>
    <row r="370" ht="13.9" customHeight="1">
      <c r="A370" s="10" t="n">
        <v>26095080</v>
      </c>
      <c r="B370" s="35" t="inlineStr">
        <is>
          <t>CO</t>
        </is>
      </c>
      <c r="C370" s="35" t="inlineStr">
        <is>
          <t>Tenerife</t>
        </is>
      </c>
      <c r="D370" s="35" t="inlineStr">
        <is>
          <t>El Cerrito</t>
        </is>
      </c>
      <c r="E370" s="21" t="inlineStr">
        <is>
          <t>Valle del Cauca</t>
        </is>
      </c>
      <c r="F370" s="35" t="n">
        <v>9</v>
      </c>
      <c r="G370" s="35" t="n">
        <v>2628</v>
      </c>
      <c r="H370" s="36" t="n">
        <v>-76.07477778000001</v>
      </c>
      <c r="I370" s="37" t="n">
        <v>3.72997222</v>
      </c>
      <c r="J370" s="22" t="n">
        <v>9.74710559057389</v>
      </c>
      <c r="K370" s="23" t="n">
        <v>9.931241671227877</v>
      </c>
      <c r="L370" s="23" t="n">
        <v>10.26326510938079</v>
      </c>
      <c r="M370" s="23" t="n">
        <v>10.56789983579639</v>
      </c>
      <c r="N370" s="23" t="n">
        <v>10.67426167561381</v>
      </c>
      <c r="O370" s="23" t="n">
        <v>10.5856227527262</v>
      </c>
      <c r="P370" s="23" t="n">
        <v>10.26157063403782</v>
      </c>
      <c r="Q370" s="23" t="n">
        <v>10.14565754843147</v>
      </c>
      <c r="R370" s="23" t="n">
        <v>10.00440681444992</v>
      </c>
      <c r="S370" s="23" t="n">
        <v>9.931787582911053</v>
      </c>
      <c r="T370" s="23" t="n">
        <v>9.916315453384421</v>
      </c>
      <c r="U370" s="23" t="n">
        <v>9.834851539923841</v>
      </c>
      <c r="V370" s="38" t="n">
        <v>10.15533218403812</v>
      </c>
      <c r="W370" s="39" t="n">
        <v>113</v>
      </c>
      <c r="X370" s="24" t="n">
        <v>0.9416666666666667</v>
      </c>
    </row>
    <row r="371" ht="13.9" customHeight="1">
      <c r="A371" s="10" t="n">
        <v>26095320</v>
      </c>
      <c r="B371" s="35" t="inlineStr">
        <is>
          <t>AM</t>
        </is>
      </c>
      <c r="C371" s="35" t="inlineStr">
        <is>
          <t xml:space="preserve">El Vinculo - AUT </t>
        </is>
      </c>
      <c r="D371" s="35" t="inlineStr">
        <is>
          <t>Florida</t>
        </is>
      </c>
      <c r="E371" s="21" t="inlineStr">
        <is>
          <t>Valle del Cauca</t>
        </is>
      </c>
      <c r="F371" s="35" t="n">
        <v>9</v>
      </c>
      <c r="G371" s="35" t="n">
        <v>980</v>
      </c>
      <c r="H371" s="36" t="n">
        <v>-76.30000556</v>
      </c>
      <c r="I371" s="37" t="n">
        <v>3.36041667</v>
      </c>
      <c r="J371" s="22" t="n">
        <v>18.38176224611708</v>
      </c>
      <c r="K371" s="23" t="n">
        <v>18.61761083743842</v>
      </c>
      <c r="L371" s="23" t="n">
        <v>18.86204012688996</v>
      </c>
      <c r="M371" s="23" t="n">
        <v>19.01172413793103</v>
      </c>
      <c r="N371" s="23" t="n">
        <v>19.08011947431303</v>
      </c>
      <c r="O371" s="23" t="n">
        <v>18.59415070242656</v>
      </c>
      <c r="P371" s="23" t="n">
        <v>18.56313022700119</v>
      </c>
      <c r="Q371" s="23" t="n">
        <v>18.46214229802661</v>
      </c>
      <c r="R371" s="23" t="n">
        <v>18.50307425652253</v>
      </c>
      <c r="S371" s="23" t="n">
        <v>18.37922043010753</v>
      </c>
      <c r="T371" s="23" t="n">
        <v>18.62574712643678</v>
      </c>
      <c r="U371" s="23" t="n">
        <v>18.58335722819594</v>
      </c>
      <c r="V371" s="38" t="n">
        <v>18.63867325761722</v>
      </c>
      <c r="W371" s="39" t="n">
        <v>107</v>
      </c>
      <c r="X371" s="24" t="n">
        <v>0.8916666666666667</v>
      </c>
    </row>
    <row r="372" ht="13.9" customHeight="1">
      <c r="A372" s="10" t="n">
        <v>26115040</v>
      </c>
      <c r="B372" s="35" t="inlineStr">
        <is>
          <t>CP</t>
        </is>
      </c>
      <c r="C372" s="35" t="inlineStr">
        <is>
          <t>Centro Administrativo La Unión</t>
        </is>
      </c>
      <c r="D372" s="35" t="inlineStr">
        <is>
          <t xml:space="preserve">La Unión </t>
        </is>
      </c>
      <c r="E372" s="21" t="inlineStr">
        <is>
          <t>Valle del Cauca</t>
        </is>
      </c>
      <c r="F372" s="35" t="n">
        <v>9</v>
      </c>
      <c r="G372" s="35" t="n">
        <v>934</v>
      </c>
      <c r="H372" s="36" t="n">
        <v>-76.06</v>
      </c>
      <c r="I372" s="37" t="n">
        <v>4.53</v>
      </c>
      <c r="J372" s="22" t="n">
        <v>18.64113500597371</v>
      </c>
      <c r="K372" s="23" t="n">
        <v>17.69395337042544</v>
      </c>
      <c r="L372" s="23" t="n">
        <v>18.06226384344584</v>
      </c>
      <c r="M372" s="23" t="n">
        <v>18.39723987789655</v>
      </c>
      <c r="N372" s="23" t="n">
        <v>18.23470697136808</v>
      </c>
      <c r="O372" s="23" t="n">
        <v>17.85637323529378</v>
      </c>
      <c r="P372" s="23" t="n">
        <v>17.50525104921944</v>
      </c>
      <c r="Q372" s="23" t="n">
        <v>17.22937183212635</v>
      </c>
      <c r="R372" s="23" t="n">
        <v>17.61496797127339</v>
      </c>
      <c r="S372" s="23" t="n">
        <v>17.95351853472134</v>
      </c>
      <c r="T372" s="23" t="n">
        <v>17.85571396089286</v>
      </c>
      <c r="U372" s="23" t="n">
        <v>17.46232921279375</v>
      </c>
      <c r="V372" s="38" t="n">
        <v>17.87556873878587</v>
      </c>
      <c r="W372" s="39" t="n">
        <v>110</v>
      </c>
      <c r="X372" s="24" t="n">
        <v>0.9166666666666666</v>
      </c>
    </row>
    <row r="373" ht="13.9" customHeight="1">
      <c r="A373" s="10" t="n">
        <v>26075040</v>
      </c>
      <c r="B373" s="35" t="inlineStr">
        <is>
          <t>SP</t>
        </is>
      </c>
      <c r="C373" s="35" t="inlineStr">
        <is>
          <t>Aeropuerto Alfonso Bonilla</t>
        </is>
      </c>
      <c r="D373" s="35" t="inlineStr">
        <is>
          <t>Palmira</t>
        </is>
      </c>
      <c r="E373" s="21" t="inlineStr">
        <is>
          <t>Valle del Cauca</t>
        </is>
      </c>
      <c r="F373" s="35" t="n">
        <v>9</v>
      </c>
      <c r="G373" s="35" t="n">
        <v>970</v>
      </c>
      <c r="H373" s="36" t="n">
        <v>-76.38663889</v>
      </c>
      <c r="I373" s="37" t="n">
        <v>3.53668889</v>
      </c>
      <c r="J373" s="22" t="n">
        <v>18.8705217045002</v>
      </c>
      <c r="K373" s="23" t="n">
        <v>19.09982741328184</v>
      </c>
      <c r="L373" s="23" t="n">
        <v>19.16232177434069</v>
      </c>
      <c r="M373" s="23" t="n">
        <v>19.27448348633534</v>
      </c>
      <c r="N373" s="23" t="n">
        <v>19.26284434203789</v>
      </c>
      <c r="O373" s="23" t="n">
        <v>18.92537722908093</v>
      </c>
      <c r="P373" s="23" t="n">
        <v>18.63254622518063</v>
      </c>
      <c r="Q373" s="23" t="n">
        <v>18.46166778427882</v>
      </c>
      <c r="R373" s="23" t="n">
        <v>18.64851084812623</v>
      </c>
      <c r="S373" s="23" t="n">
        <v>18.73653073772106</v>
      </c>
      <c r="T373" s="23" t="n">
        <v>18.88692307692308</v>
      </c>
      <c r="U373" s="23" t="n">
        <v>18.93683900321345</v>
      </c>
      <c r="V373" s="38" t="n">
        <v>18.90819946875168</v>
      </c>
      <c r="W373" s="39" t="n">
        <v>318</v>
      </c>
      <c r="X373" s="24" t="n">
        <v>0.8833333333333333</v>
      </c>
    </row>
    <row r="374" ht="13.9" customHeight="1">
      <c r="A374" s="10" t="n">
        <v>26075050</v>
      </c>
      <c r="B374" s="35" t="inlineStr">
        <is>
          <t>CO</t>
        </is>
      </c>
      <c r="C374" s="35" t="inlineStr">
        <is>
          <t>Ingenio Manuelita</t>
        </is>
      </c>
      <c r="D374" s="35" t="inlineStr">
        <is>
          <t>Palmira</t>
        </is>
      </c>
      <c r="E374" s="21" t="inlineStr">
        <is>
          <t>Valle del Cauca</t>
        </is>
      </c>
      <c r="F374" s="35" t="n">
        <v>9</v>
      </c>
      <c r="G374" s="35" t="n">
        <v>1059</v>
      </c>
      <c r="H374" s="36" t="n">
        <v>-76.27780556</v>
      </c>
      <c r="I374" s="37" t="n">
        <v>3.57405556</v>
      </c>
      <c r="J374" s="22" t="n">
        <v>18.4914086525037</v>
      </c>
      <c r="K374" s="23" t="n">
        <v>18.82988305053822</v>
      </c>
      <c r="L374" s="23" t="n">
        <v>18.97111687883657</v>
      </c>
      <c r="M374" s="23" t="n">
        <v>19.24265927750411</v>
      </c>
      <c r="N374" s="23" t="n">
        <v>19.208947063689</v>
      </c>
      <c r="O374" s="23" t="n">
        <v>18.8082183908046</v>
      </c>
      <c r="P374" s="23" t="n">
        <v>18.61652100217173</v>
      </c>
      <c r="Q374" s="23" t="n">
        <v>18.46769664706817</v>
      </c>
      <c r="R374" s="23" t="n">
        <v>18.68939445356687</v>
      </c>
      <c r="S374" s="23" t="n">
        <v>18.78383503671379</v>
      </c>
      <c r="T374" s="23" t="n">
        <v>18.8340923189199</v>
      </c>
      <c r="U374" s="23" t="n">
        <v>18.83192353643967</v>
      </c>
      <c r="V374" s="38" t="n">
        <v>18.81464135906303</v>
      </c>
      <c r="W374" s="39" t="n">
        <v>117</v>
      </c>
      <c r="X374" s="24" t="n">
        <v>0.975</v>
      </c>
    </row>
    <row r="375" ht="13.9" customHeight="1">
      <c r="A375" s="10" t="n">
        <v>26075010</v>
      </c>
      <c r="B375" s="35" t="inlineStr">
        <is>
          <t>AM</t>
        </is>
      </c>
      <c r="C375" s="11" t="inlineStr">
        <is>
          <t>Palmira ICA</t>
        </is>
      </c>
      <c r="D375" s="35" t="inlineStr">
        <is>
          <t>Palmira</t>
        </is>
      </c>
      <c r="E375" s="21" t="inlineStr">
        <is>
          <t>Valle del Cauca</t>
        </is>
      </c>
      <c r="F375" s="35" t="n">
        <v>9</v>
      </c>
      <c r="G375" s="35" t="n">
        <v>1018</v>
      </c>
      <c r="H375" s="36" t="n">
        <v>-76.31488889000001</v>
      </c>
      <c r="I375" s="37" t="n">
        <v>3.51347222</v>
      </c>
      <c r="J375" s="22" t="n">
        <v>19.15237408849339</v>
      </c>
      <c r="K375" s="23" t="n">
        <v>19.42634312473393</v>
      </c>
      <c r="L375" s="23" t="n">
        <v>19.49855178593499</v>
      </c>
      <c r="M375" s="23" t="n">
        <v>19.60055335097001</v>
      </c>
      <c r="N375" s="23" t="n">
        <v>19.68823136818687</v>
      </c>
      <c r="O375" s="23" t="n">
        <v>19.30452284607695</v>
      </c>
      <c r="P375" s="23" t="n">
        <v>19.11567494526546</v>
      </c>
      <c r="Q375" s="23" t="n">
        <v>19.04428975316489</v>
      </c>
      <c r="R375" s="23" t="n">
        <v>19.17155261099609</v>
      </c>
      <c r="S375" s="23" t="n">
        <v>19.20511663753377</v>
      </c>
      <c r="T375" s="23" t="n">
        <v>19.37897988505747</v>
      </c>
      <c r="U375" s="23" t="n">
        <v>19.31855316304697</v>
      </c>
      <c r="V375" s="38" t="n">
        <v>19.32539529662173</v>
      </c>
      <c r="W375" s="39" t="n">
        <v>290</v>
      </c>
      <c r="X375" s="24" t="n">
        <v>0.8055555555555556</v>
      </c>
    </row>
    <row r="376" ht="13.9" customHeight="1">
      <c r="A376" s="10" t="n">
        <v>26125130</v>
      </c>
      <c r="B376" s="35" t="inlineStr">
        <is>
          <t>CO</t>
        </is>
      </c>
      <c r="C376" s="35" t="inlineStr">
        <is>
          <t>Cumbarco</t>
        </is>
      </c>
      <c r="D376" s="35" t="inlineStr">
        <is>
          <t>Sevilla</t>
        </is>
      </c>
      <c r="E376" s="21" t="inlineStr">
        <is>
          <t>Valle del Cauca</t>
        </is>
      </c>
      <c r="F376" s="35" t="n">
        <v>9</v>
      </c>
      <c r="G376" s="35" t="n">
        <v>1749</v>
      </c>
      <c r="H376" s="36" t="n">
        <v>-75.83236111000001</v>
      </c>
      <c r="I376" s="37" t="n">
        <v>4.185055559999999</v>
      </c>
      <c r="J376" s="22" t="n">
        <v>15.36966963917979</v>
      </c>
      <c r="K376" s="23" t="n">
        <v>15.72561206571679</v>
      </c>
      <c r="L376" s="23" t="n">
        <v>15.59689716451963</v>
      </c>
      <c r="M376" s="23" t="n">
        <v>15.64699595234716</v>
      </c>
      <c r="N376" s="23" t="n">
        <v>15.77632985219043</v>
      </c>
      <c r="O376" s="23" t="n">
        <v>15.66286108374384</v>
      </c>
      <c r="P376" s="23" t="n">
        <v>15.70474692212814</v>
      </c>
      <c r="Q376" s="23" t="n">
        <v>15.72042367630675</v>
      </c>
      <c r="R376" s="23" t="n">
        <v>15.58295354982547</v>
      </c>
      <c r="S376" s="23" t="n">
        <v>15.39728191523798</v>
      </c>
      <c r="T376" s="23" t="n">
        <v>15.32595850675033</v>
      </c>
      <c r="U376" s="23" t="n">
        <v>15.37628699731036</v>
      </c>
      <c r="V376" s="38" t="n">
        <v>15.57383477710472</v>
      </c>
      <c r="W376" s="39" t="n">
        <v>326</v>
      </c>
      <c r="X376" s="24" t="n">
        <v>0.9055555555555556</v>
      </c>
    </row>
    <row r="377" ht="13.9" customHeight="1">
      <c r="A377" s="10" t="n">
        <v>26105160</v>
      </c>
      <c r="B377" s="35" t="inlineStr">
        <is>
          <t>SP</t>
        </is>
      </c>
      <c r="C377" s="35" t="inlineStr">
        <is>
          <t>Aeropuerto Farfán</t>
        </is>
      </c>
      <c r="D377" s="35" t="inlineStr">
        <is>
          <t>Tuluá</t>
        </is>
      </c>
      <c r="E377" s="21" t="inlineStr">
        <is>
          <t>Valle del Cauca</t>
        </is>
      </c>
      <c r="F377" s="35" t="n">
        <v>9</v>
      </c>
      <c r="G377" s="35" t="n">
        <v>980</v>
      </c>
      <c r="H377" s="36" t="n">
        <v>-76.22358333</v>
      </c>
      <c r="I377" s="37" t="n">
        <v>4.09008333</v>
      </c>
      <c r="J377" s="22" t="n">
        <v>18.26348096944871</v>
      </c>
      <c r="K377" s="23" t="n">
        <v>18.36217039110315</v>
      </c>
      <c r="L377" s="23" t="n">
        <v>18.40982846437562</v>
      </c>
      <c r="M377" s="23" t="n">
        <v>18.67384015594541</v>
      </c>
      <c r="N377" s="23" t="n">
        <v>18.71223927685218</v>
      </c>
      <c r="O377" s="23" t="n">
        <v>18.48121328224777</v>
      </c>
      <c r="P377" s="23" t="n">
        <v>18.07270547521938</v>
      </c>
      <c r="Q377" s="23" t="n">
        <v>18.21021770874817</v>
      </c>
      <c r="R377" s="23" t="n">
        <v>18.37131547619047</v>
      </c>
      <c r="S377" s="23" t="n">
        <v>18.32191339272083</v>
      </c>
      <c r="T377" s="23" t="n">
        <v>18.49792512761073</v>
      </c>
      <c r="U377" s="23" t="n">
        <v>18.47329112092248</v>
      </c>
      <c r="V377" s="38" t="n">
        <v>18.40417840344874</v>
      </c>
      <c r="W377" s="39" t="n">
        <v>217</v>
      </c>
      <c r="X377" s="24" t="n">
        <v>0.9041666666666667</v>
      </c>
    </row>
    <row r="378" ht="13.9" customHeight="1">
      <c r="A378" s="10" t="n">
        <v>26105140</v>
      </c>
      <c r="B378" s="35" t="inlineStr">
        <is>
          <t>CO</t>
        </is>
      </c>
      <c r="C378" s="35" t="inlineStr">
        <is>
          <t>Barragán</t>
        </is>
      </c>
      <c r="D378" s="35" t="inlineStr">
        <is>
          <t>Tuluá</t>
        </is>
      </c>
      <c r="E378" s="21" t="inlineStr">
        <is>
          <t>Valle del Cauca</t>
        </is>
      </c>
      <c r="F378" s="35" t="n">
        <v>9</v>
      </c>
      <c r="G378" s="35" t="n">
        <v>2902</v>
      </c>
      <c r="H378" s="36" t="n">
        <v>-75.88802778</v>
      </c>
      <c r="I378" s="37" t="n">
        <v>4.03305556</v>
      </c>
      <c r="J378" s="22" t="n">
        <v>7.648189071533529</v>
      </c>
      <c r="K378" s="23" t="n">
        <v>7.824323975247826</v>
      </c>
      <c r="L378" s="23" t="n">
        <v>8.040884732246534</v>
      </c>
      <c r="M378" s="23" t="n">
        <v>8.482828598849819</v>
      </c>
      <c r="N378" s="23" t="n">
        <v>8.681374940409979</v>
      </c>
      <c r="O378" s="23" t="n">
        <v>8.654588909940633</v>
      </c>
      <c r="P378" s="23" t="n">
        <v>8.317098871762276</v>
      </c>
      <c r="Q378" s="23" t="n">
        <v>8.20093579760988</v>
      </c>
      <c r="R378" s="23" t="n">
        <v>8.157167078062743</v>
      </c>
      <c r="S378" s="23" t="n">
        <v>7.971085719990057</v>
      </c>
      <c r="T378" s="23" t="n">
        <v>7.943244916003539</v>
      </c>
      <c r="U378" s="23" t="n">
        <v>7.854985311314564</v>
      </c>
      <c r="V378" s="38" t="n">
        <v>8.148058993580948</v>
      </c>
      <c r="W378" s="39" t="n">
        <v>311</v>
      </c>
      <c r="X378" s="24" t="n">
        <v>0.8638888888888889</v>
      </c>
    </row>
    <row r="379" ht="13.9" customHeight="1">
      <c r="A379" s="10" t="n">
        <v>26105230</v>
      </c>
      <c r="B379" s="35" t="inlineStr">
        <is>
          <t>CO</t>
        </is>
      </c>
      <c r="C379" s="35" t="inlineStr">
        <is>
          <t>Mateguadua</t>
        </is>
      </c>
      <c r="D379" s="35" t="inlineStr">
        <is>
          <t>Tuluá</t>
        </is>
      </c>
      <c r="E379" s="21" t="inlineStr">
        <is>
          <t>Valle del Cauca</t>
        </is>
      </c>
      <c r="F379" s="35" t="n">
        <v>9</v>
      </c>
      <c r="G379" s="35" t="n">
        <v>1119</v>
      </c>
      <c r="H379" s="36" t="n">
        <v>-76.16852777999999</v>
      </c>
      <c r="I379" s="37" t="n">
        <v>4.02833333</v>
      </c>
      <c r="J379" s="22" t="n">
        <v>17.41799493013125</v>
      </c>
      <c r="K379" s="23" t="n">
        <v>17.52980938396579</v>
      </c>
      <c r="L379" s="23" t="n">
        <v>17.58216817431871</v>
      </c>
      <c r="M379" s="23" t="n">
        <v>17.6331115064161</v>
      </c>
      <c r="N379" s="23" t="n">
        <v>17.79456347508628</v>
      </c>
      <c r="O379" s="23" t="n">
        <v>17.76018542169245</v>
      </c>
      <c r="P379" s="23" t="n">
        <v>17.38684419195932</v>
      </c>
      <c r="Q379" s="23" t="n">
        <v>17.49954690396737</v>
      </c>
      <c r="R379" s="23" t="n">
        <v>17.53879239841564</v>
      </c>
      <c r="S379" s="23" t="n">
        <v>17.40414195199327</v>
      </c>
      <c r="T379" s="23" t="n">
        <v>17.37776270301064</v>
      </c>
      <c r="U379" s="23" t="n">
        <v>17.4811055392317</v>
      </c>
      <c r="V379" s="38" t="n">
        <v>17.53383554834904</v>
      </c>
      <c r="W379" s="39" t="n">
        <v>326</v>
      </c>
      <c r="X379" s="24" t="n">
        <v>0.9055555555555556</v>
      </c>
    </row>
    <row r="380" ht="13.9" customHeight="1">
      <c r="A380" s="10" t="n">
        <v>26105110</v>
      </c>
      <c r="B380" s="35" t="inlineStr">
        <is>
          <t>CO</t>
        </is>
      </c>
      <c r="C380" s="35" t="inlineStr">
        <is>
          <t>Ingenio Riopaila</t>
        </is>
      </c>
      <c r="D380" s="35" t="inlineStr">
        <is>
          <t>Zarzal</t>
        </is>
      </c>
      <c r="E380" s="21" t="inlineStr">
        <is>
          <t>Valle del Cauca</t>
        </is>
      </c>
      <c r="F380" s="35" t="n">
        <v>9</v>
      </c>
      <c r="G380" s="35" t="n">
        <v>954</v>
      </c>
      <c r="H380" s="36" t="n">
        <v>-76.08452778</v>
      </c>
      <c r="I380" s="37" t="n">
        <v>4.3245</v>
      </c>
      <c r="J380" s="22" t="n">
        <v>18.23525239344761</v>
      </c>
      <c r="K380" s="23" t="n">
        <v>18.39433669827569</v>
      </c>
      <c r="L380" s="23" t="n">
        <v>18.71923691132685</v>
      </c>
      <c r="M380" s="23" t="n">
        <v>18.9583545337294</v>
      </c>
      <c r="N380" s="23" t="n">
        <v>19.00713936914304</v>
      </c>
      <c r="O380" s="23" t="n">
        <v>18.62185253434423</v>
      </c>
      <c r="P380" s="23" t="n">
        <v>18.29836510275328</v>
      </c>
      <c r="Q380" s="23" t="n">
        <v>18.30451312039833</v>
      </c>
      <c r="R380" s="23" t="n">
        <v>18.27415825859964</v>
      </c>
      <c r="S380" s="23" t="n">
        <v>18.44979009819207</v>
      </c>
      <c r="T380" s="23" t="n">
        <v>18.69670118054526</v>
      </c>
      <c r="U380" s="23" t="n">
        <v>18.50943586459587</v>
      </c>
      <c r="V380" s="38" t="n">
        <v>18.53909467211261</v>
      </c>
      <c r="W380" s="39" t="n">
        <v>310</v>
      </c>
      <c r="X380" s="24" t="n">
        <v>0.8611111111111112</v>
      </c>
    </row>
    <row r="381" ht="13.9" customHeight="1">
      <c r="A381" s="10" t="n">
        <v>42075010</v>
      </c>
      <c r="B381" s="35" t="inlineStr">
        <is>
          <t>CP</t>
        </is>
      </c>
      <c r="C381" s="35" t="inlineStr">
        <is>
          <t>Mitú</t>
        </is>
      </c>
      <c r="D381" s="35" t="inlineStr">
        <is>
          <t>Mitú</t>
        </is>
      </c>
      <c r="E381" s="21" t="inlineStr">
        <is>
          <t>Vaupés</t>
        </is>
      </c>
      <c r="F381" s="35" t="n">
        <v>3</v>
      </c>
      <c r="G381" s="35" t="n">
        <v>180</v>
      </c>
      <c r="H381" s="36" t="n">
        <v>-70.23999999999999</v>
      </c>
      <c r="I381" s="37" t="n">
        <v>1.26</v>
      </c>
      <c r="J381" s="22" t="n">
        <v>21.38672796934866</v>
      </c>
      <c r="K381" s="23" t="n">
        <v>21.312140145095</v>
      </c>
      <c r="L381" s="23" t="n">
        <v>21.93221991606836</v>
      </c>
      <c r="M381" s="23" t="n">
        <v>21.71558109833972</v>
      </c>
      <c r="N381" s="23" t="n">
        <v>21.62988373350009</v>
      </c>
      <c r="O381" s="23" t="n">
        <v>21.40333177199557</v>
      </c>
      <c r="P381" s="23" t="n">
        <v>21.65548155357805</v>
      </c>
      <c r="Q381" s="23" t="n">
        <v>21.49910215053763</v>
      </c>
      <c r="R381" s="23" t="n">
        <v>21.58913993796752</v>
      </c>
      <c r="S381" s="23" t="n">
        <v>21.77050322580645</v>
      </c>
      <c r="T381" s="23" t="n">
        <v>21.54809706257982</v>
      </c>
      <c r="U381" s="23" t="n">
        <v>21.43041218637993</v>
      </c>
      <c r="V381" s="38" t="n">
        <v>21.57271839593307</v>
      </c>
      <c r="W381" s="39" t="n">
        <v>108</v>
      </c>
      <c r="X381" s="24" t="n">
        <v>0.9</v>
      </c>
    </row>
    <row r="382" ht="13.9" customHeight="1">
      <c r="A382" s="10" t="n">
        <v>33055010</v>
      </c>
      <c r="B382" s="35" t="inlineStr">
        <is>
          <t>CO</t>
        </is>
      </c>
      <c r="C382" s="35" t="inlineStr">
        <is>
          <t>Cumaribo 2</t>
        </is>
      </c>
      <c r="D382" s="35" t="inlineStr">
        <is>
          <t>Cumaribo</t>
        </is>
      </c>
      <c r="E382" s="21" t="inlineStr">
        <is>
          <t>Vichada</t>
        </is>
      </c>
      <c r="F382" s="35" t="n">
        <v>3</v>
      </c>
      <c r="G382" s="35" t="n">
        <v>167</v>
      </c>
      <c r="H382" s="36" t="n">
        <v>-69.80333332999999</v>
      </c>
      <c r="I382" s="37" t="n">
        <v>4.49472222</v>
      </c>
      <c r="J382" s="22" t="n">
        <v>22.16809584625677</v>
      </c>
      <c r="K382" s="23" t="n">
        <v>22.60403867907316</v>
      </c>
      <c r="L382" s="23" t="n">
        <v>23.06233298097494</v>
      </c>
      <c r="M382" s="23" t="n">
        <v>23.00085369037093</v>
      </c>
      <c r="N382" s="23" t="n">
        <v>22.7771629604277</v>
      </c>
      <c r="O382" s="23" t="n">
        <v>22.39014924845269</v>
      </c>
      <c r="P382" s="23" t="n">
        <v>22.12478835743419</v>
      </c>
      <c r="Q382" s="23" t="n">
        <v>22.11502149315275</v>
      </c>
      <c r="R382" s="23" t="n">
        <v>22.36303271441202</v>
      </c>
      <c r="S382" s="23" t="n">
        <v>22.52058403517136</v>
      </c>
      <c r="T382" s="23" t="n">
        <v>22.8535273321825</v>
      </c>
      <c r="U382" s="23" t="n">
        <v>22.62101968182104</v>
      </c>
      <c r="V382" s="38" t="n">
        <v>22.5500505849775</v>
      </c>
      <c r="W382" s="39" t="n">
        <v>295</v>
      </c>
      <c r="X382" s="24" t="n">
        <v>0.8194444444444444</v>
      </c>
    </row>
    <row r="383" ht="13.9" customHeight="1">
      <c r="A383" s="10" t="n">
        <v>34015010</v>
      </c>
      <c r="B383" s="35" t="inlineStr">
        <is>
          <t>CP</t>
        </is>
      </c>
      <c r="C383" s="35" t="inlineStr">
        <is>
          <t xml:space="preserve">Las Gaviotas </t>
        </is>
      </c>
      <c r="D383" s="35" t="inlineStr">
        <is>
          <t>Cumaribo</t>
        </is>
      </c>
      <c r="E383" s="21" t="inlineStr">
        <is>
          <t>Vichada</t>
        </is>
      </c>
      <c r="F383" s="35" t="n">
        <v>3</v>
      </c>
      <c r="G383" s="35" t="n">
        <v>171</v>
      </c>
      <c r="H383" s="36" t="n">
        <v>-70.93011111</v>
      </c>
      <c r="I383" s="37" t="n">
        <v>4.55394444</v>
      </c>
      <c r="J383" s="22" t="n">
        <v>21.11994977297133</v>
      </c>
      <c r="K383" s="23" t="n">
        <v>21.51555451676889</v>
      </c>
      <c r="L383" s="23" t="n">
        <v>22.15628125190897</v>
      </c>
      <c r="M383" s="23" t="n">
        <v>22.5563273125342</v>
      </c>
      <c r="N383" s="23" t="n">
        <v>22.49121340771746</v>
      </c>
      <c r="O383" s="23" t="n">
        <v>22.08843143195976</v>
      </c>
      <c r="P383" s="23" t="n">
        <v>21.69074924519307</v>
      </c>
      <c r="Q383" s="23" t="n">
        <v>21.82984562506254</v>
      </c>
      <c r="R383" s="23" t="n">
        <v>22.05575533661741</v>
      </c>
      <c r="S383" s="23" t="n">
        <v>22.21844275065709</v>
      </c>
      <c r="T383" s="23" t="n">
        <v>22.46302443301933</v>
      </c>
      <c r="U383" s="23" t="n">
        <v>21.94172758091001</v>
      </c>
      <c r="V383" s="38" t="n">
        <v>22.01060855544334</v>
      </c>
      <c r="W383" s="39" t="n">
        <v>341</v>
      </c>
      <c r="X383" s="24" t="n">
        <v>0.9472222222222222</v>
      </c>
    </row>
    <row r="384" ht="13.5" customHeight="1" thickBot="1">
      <c r="A384" s="25" t="n">
        <v>38015030</v>
      </c>
      <c r="B384" s="26" t="inlineStr">
        <is>
          <t>SP</t>
        </is>
      </c>
      <c r="C384" s="26" t="inlineStr">
        <is>
          <t>Aeropuerto Puerto Carreño</t>
        </is>
      </c>
      <c r="D384" s="26" t="inlineStr">
        <is>
          <t>Puerto Carreño</t>
        </is>
      </c>
      <c r="E384" s="26" t="inlineStr">
        <is>
          <t>Vichada</t>
        </is>
      </c>
      <c r="F384" s="26" t="n">
        <v>3</v>
      </c>
      <c r="G384" s="26" t="n">
        <v>57</v>
      </c>
      <c r="H384" s="27" t="n">
        <v>-67.49122222000001</v>
      </c>
      <c r="I384" s="28" t="n">
        <v>6.18243611</v>
      </c>
      <c r="J384" s="29" t="n">
        <v>23.44376612583586</v>
      </c>
      <c r="K384" s="30" t="n">
        <v>24.16432393409207</v>
      </c>
      <c r="L384" s="30" t="n">
        <v>24.87361883574343</v>
      </c>
      <c r="M384" s="30" t="n">
        <v>24.74516912972086</v>
      </c>
      <c r="N384" s="30" t="n">
        <v>24.25801717958225</v>
      </c>
      <c r="O384" s="30" t="n">
        <v>23.56755555555555</v>
      </c>
      <c r="P384" s="30" t="n">
        <v>23.3590368608799</v>
      </c>
      <c r="Q384" s="30" t="n">
        <v>23.54566184649611</v>
      </c>
      <c r="R384" s="30" t="n">
        <v>23.91676575505351</v>
      </c>
      <c r="S384" s="30" t="n">
        <v>24.08984946236559</v>
      </c>
      <c r="T384" s="30" t="n">
        <v>24.32146305418719</v>
      </c>
      <c r="U384" s="30" t="n">
        <v>23.95075639599554</v>
      </c>
      <c r="V384" s="40" t="n">
        <v>24.01966534462565</v>
      </c>
      <c r="W384" s="41" t="n">
        <v>353</v>
      </c>
      <c r="X384" s="31" t="n">
        <v>0.9805555555555555</v>
      </c>
    </row>
  </sheetData>
  <autoFilter ref="A2:X345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AU358"/>
  <sheetViews>
    <sheetView topLeftCell="I1" workbookViewId="0">
      <selection activeCell="A6" sqref="A6"/>
    </sheetView>
  </sheetViews>
  <sheetFormatPr baseColWidth="10" defaultRowHeight="12.75"/>
  <sheetData>
    <row r="1" ht="14.45" customHeight="1">
      <c r="A1" s="123" t="inlineStr">
        <is>
          <t>COD</t>
        </is>
      </c>
      <c r="B1" s="123" t="inlineStr">
        <is>
          <t>ESTACION</t>
        </is>
      </c>
      <c r="C1" s="123" t="inlineStr">
        <is>
          <t>LAT</t>
        </is>
      </c>
      <c r="D1" s="123" t="inlineStr">
        <is>
          <t>LON</t>
        </is>
      </c>
      <c r="E1" s="123" t="inlineStr">
        <is>
          <t>ELEV</t>
        </is>
      </c>
      <c r="F1" s="123" t="inlineStr">
        <is>
          <t>MUNICIPIO</t>
        </is>
      </c>
      <c r="G1" s="123" t="inlineStr">
        <is>
          <t>DPTO</t>
        </is>
      </c>
      <c r="H1" s="125" t="inlineStr">
        <is>
          <t>ENERO</t>
        </is>
      </c>
      <c r="I1" s="126" t="n"/>
      <c r="J1" s="127" t="n"/>
      <c r="K1" s="125" t="inlineStr">
        <is>
          <t>FEBRERO</t>
        </is>
      </c>
      <c r="L1" s="126" t="n"/>
      <c r="M1" s="127" t="n"/>
      <c r="N1" s="125" t="inlineStr">
        <is>
          <t>MARZO</t>
        </is>
      </c>
      <c r="O1" s="126" t="n"/>
      <c r="P1" s="127" t="n"/>
      <c r="Q1" s="125" t="inlineStr">
        <is>
          <t>ABRIL</t>
        </is>
      </c>
      <c r="R1" s="126" t="n"/>
      <c r="S1" s="127" t="n"/>
      <c r="T1" s="125" t="inlineStr">
        <is>
          <t>MAYO</t>
        </is>
      </c>
      <c r="U1" s="126" t="n"/>
      <c r="V1" s="127" t="n"/>
      <c r="W1" s="125" t="inlineStr">
        <is>
          <t>JUNIO</t>
        </is>
      </c>
      <c r="X1" s="126" t="n"/>
      <c r="Y1" s="127" t="n"/>
      <c r="Z1" s="125" t="inlineStr">
        <is>
          <t>JULIO</t>
        </is>
      </c>
      <c r="AA1" s="126" t="n"/>
      <c r="AB1" s="127" t="n"/>
      <c r="AC1" s="125" t="inlineStr">
        <is>
          <t>AGOSTO</t>
        </is>
      </c>
      <c r="AD1" s="126" t="n"/>
      <c r="AE1" s="127" t="n"/>
      <c r="AF1" s="125" t="inlineStr">
        <is>
          <t>SEPTIEMBRE</t>
        </is>
      </c>
      <c r="AG1" s="126" t="n"/>
      <c r="AH1" s="127" t="n"/>
      <c r="AI1" s="125" t="inlineStr">
        <is>
          <t>OCTUBRE</t>
        </is>
      </c>
      <c r="AJ1" s="126" t="n"/>
      <c r="AK1" s="127" t="n"/>
      <c r="AL1" s="125" t="inlineStr">
        <is>
          <t>NOVIEMBRE</t>
        </is>
      </c>
      <c r="AM1" s="126" t="n"/>
      <c r="AN1" s="127" t="n"/>
      <c r="AO1" s="125" t="inlineStr">
        <is>
          <t>DICIEMBRE</t>
        </is>
      </c>
      <c r="AP1" s="126" t="n"/>
      <c r="AQ1" s="127" t="n"/>
      <c r="AS1" s="56" t="inlineStr">
        <is>
          <t>Mes</t>
        </is>
      </c>
      <c r="AT1" s="56" t="inlineStr">
        <is>
          <t>Nombre</t>
        </is>
      </c>
      <c r="AU1" s="56" t="inlineStr">
        <is>
          <t>Días</t>
        </is>
      </c>
    </row>
    <row r="2" ht="14.45" customHeight="1">
      <c r="A2" s="124" t="n"/>
      <c r="B2" s="124" t="n"/>
      <c r="C2" s="124" t="n"/>
      <c r="D2" s="124" t="n"/>
      <c r="E2" s="124" t="n"/>
      <c r="F2" s="124" t="n"/>
      <c r="G2" s="124" t="n"/>
      <c r="H2" s="43" t="inlineStr">
        <is>
          <t>DATO</t>
        </is>
      </c>
      <c r="I2" s="43" t="inlineStr">
        <is>
          <t>AÑO</t>
        </is>
      </c>
      <c r="J2" s="43" t="inlineStr">
        <is>
          <t>DIA</t>
        </is>
      </c>
      <c r="K2" s="43" t="inlineStr">
        <is>
          <t>DATO</t>
        </is>
      </c>
      <c r="L2" s="43" t="inlineStr">
        <is>
          <t>AÑO</t>
        </is>
      </c>
      <c r="M2" s="43" t="inlineStr">
        <is>
          <t>DIA</t>
        </is>
      </c>
      <c r="N2" s="43" t="inlineStr">
        <is>
          <t>DATO</t>
        </is>
      </c>
      <c r="O2" s="43" t="inlineStr">
        <is>
          <t>AÑO</t>
        </is>
      </c>
      <c r="P2" s="43" t="inlineStr">
        <is>
          <t>DIA</t>
        </is>
      </c>
      <c r="Q2" s="43" t="inlineStr">
        <is>
          <t>DATO</t>
        </is>
      </c>
      <c r="R2" s="43" t="inlineStr">
        <is>
          <t>AÑO</t>
        </is>
      </c>
      <c r="S2" s="43" t="inlineStr">
        <is>
          <t>DIA</t>
        </is>
      </c>
      <c r="T2" s="43" t="inlineStr">
        <is>
          <t>DATO</t>
        </is>
      </c>
      <c r="U2" s="43" t="inlineStr">
        <is>
          <t>AÑO</t>
        </is>
      </c>
      <c r="V2" s="43" t="inlineStr">
        <is>
          <t>DIA</t>
        </is>
      </c>
      <c r="W2" s="43" t="inlineStr">
        <is>
          <t>DATO</t>
        </is>
      </c>
      <c r="X2" s="43" t="inlineStr">
        <is>
          <t>AÑO</t>
        </is>
      </c>
      <c r="Y2" s="43" t="inlineStr">
        <is>
          <t>DIA</t>
        </is>
      </c>
      <c r="Z2" s="43" t="inlineStr">
        <is>
          <t>DATO</t>
        </is>
      </c>
      <c r="AA2" s="43" t="inlineStr">
        <is>
          <t>AÑO</t>
        </is>
      </c>
      <c r="AB2" s="43" t="inlineStr">
        <is>
          <t>DIA</t>
        </is>
      </c>
      <c r="AC2" s="43" t="inlineStr">
        <is>
          <t>DATO</t>
        </is>
      </c>
      <c r="AD2" s="43" t="inlineStr">
        <is>
          <t>AÑO</t>
        </is>
      </c>
      <c r="AE2" s="43" t="inlineStr">
        <is>
          <t>DIA</t>
        </is>
      </c>
      <c r="AF2" s="43" t="inlineStr">
        <is>
          <t>DATO</t>
        </is>
      </c>
      <c r="AG2" s="43" t="inlineStr">
        <is>
          <t>AÑO</t>
        </is>
      </c>
      <c r="AH2" s="43" t="inlineStr">
        <is>
          <t>DIA</t>
        </is>
      </c>
      <c r="AI2" s="43" t="inlineStr">
        <is>
          <t>DATO</t>
        </is>
      </c>
      <c r="AJ2" s="43" t="inlineStr">
        <is>
          <t>AÑO</t>
        </is>
      </c>
      <c r="AK2" s="43" t="inlineStr">
        <is>
          <t>DIA</t>
        </is>
      </c>
      <c r="AL2" s="43" t="inlineStr">
        <is>
          <t>DATO</t>
        </is>
      </c>
      <c r="AM2" s="43" t="inlineStr">
        <is>
          <t>AÑO</t>
        </is>
      </c>
      <c r="AN2" s="43" t="inlineStr">
        <is>
          <t>DIA</t>
        </is>
      </c>
      <c r="AO2" s="43" t="inlineStr">
        <is>
          <t>DATO</t>
        </is>
      </c>
      <c r="AP2" s="43" t="inlineStr">
        <is>
          <t>AÑO</t>
        </is>
      </c>
      <c r="AQ2" s="43" t="inlineStr">
        <is>
          <t>DIA</t>
        </is>
      </c>
      <c r="AS2" s="57" t="n">
        <v>1</v>
      </c>
      <c r="AT2" s="58" t="inlineStr">
        <is>
          <t>ENERO</t>
        </is>
      </c>
      <c r="AU2" s="59" t="n">
        <v>31</v>
      </c>
    </row>
    <row r="3" ht="14.45" customHeight="1">
      <c r="A3" s="42" t="n">
        <v>15075030</v>
      </c>
      <c r="B3" s="42" t="inlineStr">
        <is>
          <t>MANAURE [15075030]</t>
        </is>
      </c>
      <c r="C3" s="42" t="n">
        <v>11.78105556</v>
      </c>
      <c r="D3" s="42" t="n">
        <v>-72.4635</v>
      </c>
      <c r="E3" s="42" t="n">
        <v>1</v>
      </c>
      <c r="F3" s="42" t="inlineStr">
        <is>
          <t>Manaure</t>
        </is>
      </c>
      <c r="G3" s="42" t="inlineStr">
        <is>
          <t>La Guajira</t>
        </is>
      </c>
      <c r="H3" s="44" t="n">
        <v>17.8</v>
      </c>
      <c r="I3" s="42" t="n">
        <v>1994</v>
      </c>
      <c r="J3" s="42" t="n">
        <v>29</v>
      </c>
      <c r="K3" s="44" t="n">
        <v>18.4</v>
      </c>
      <c r="L3" s="42" t="n">
        <v>1994</v>
      </c>
      <c r="M3" s="42" t="n">
        <v>15</v>
      </c>
      <c r="N3" s="44" t="n">
        <v>17.6</v>
      </c>
      <c r="O3" s="42" t="n">
        <v>1986</v>
      </c>
      <c r="P3" s="42" t="n">
        <v>1</v>
      </c>
      <c r="Q3" s="44" t="n">
        <v>18</v>
      </c>
      <c r="R3" s="42" t="n">
        <v>1994</v>
      </c>
      <c r="S3" s="42" t="n">
        <v>17</v>
      </c>
      <c r="T3" s="44" t="n">
        <v>19.4</v>
      </c>
      <c r="U3" s="42" t="n">
        <v>1994</v>
      </c>
      <c r="V3" s="42" t="n">
        <v>22</v>
      </c>
      <c r="W3" s="44" t="n">
        <v>17.6</v>
      </c>
      <c r="X3" s="42" t="n">
        <v>1994</v>
      </c>
      <c r="Y3" s="42" t="n">
        <v>8</v>
      </c>
      <c r="Z3" s="44" t="n">
        <v>17.6</v>
      </c>
      <c r="AA3" s="42" t="n">
        <v>1994</v>
      </c>
      <c r="AB3" s="42" t="n">
        <v>27</v>
      </c>
      <c r="AC3" s="44" t="n">
        <v>18.4</v>
      </c>
      <c r="AD3" s="42" t="n">
        <v>1986</v>
      </c>
      <c r="AE3" s="42" t="n">
        <v>29</v>
      </c>
      <c r="AF3" s="44" t="n">
        <v>17.8</v>
      </c>
      <c r="AG3" s="42" t="n">
        <v>1986</v>
      </c>
      <c r="AH3" s="42" t="n">
        <v>7</v>
      </c>
      <c r="AI3" s="44" t="n">
        <v>18</v>
      </c>
      <c r="AJ3" s="42" t="n">
        <v>1986</v>
      </c>
      <c r="AK3" s="42" t="n">
        <v>15</v>
      </c>
      <c r="AL3" s="44" t="n">
        <v>17.4</v>
      </c>
      <c r="AM3" s="42" t="n">
        <v>1986</v>
      </c>
      <c r="AN3" s="42" t="n">
        <v>30</v>
      </c>
      <c r="AO3" s="44" t="n">
        <v>17.6</v>
      </c>
      <c r="AP3" s="42" t="n">
        <v>1986</v>
      </c>
      <c r="AQ3" s="42" t="n">
        <v>17</v>
      </c>
      <c r="AS3" s="57" t="n">
        <v>2</v>
      </c>
      <c r="AT3" s="58" t="inlineStr">
        <is>
          <t>FEBRERO</t>
        </is>
      </c>
      <c r="AU3" s="59" t="n">
        <v>28</v>
      </c>
    </row>
    <row r="4" ht="14.45" customHeight="1">
      <c r="A4" s="42" t="n">
        <v>51035020</v>
      </c>
      <c r="B4" s="42" t="inlineStr">
        <is>
          <t>CCCP DL PACIFICO [51035020]</t>
        </is>
      </c>
      <c r="C4" s="42" t="n">
        <v>1.819166667</v>
      </c>
      <c r="D4" s="42" t="n">
        <v>-78.73</v>
      </c>
      <c r="E4" s="42" t="n">
        <v>1</v>
      </c>
      <c r="F4" s="42" t="inlineStr">
        <is>
          <t>Tumaco</t>
        </is>
      </c>
      <c r="G4" s="42" t="inlineStr">
        <is>
          <t>Nariño</t>
        </is>
      </c>
      <c r="H4" s="44" t="n">
        <v>19</v>
      </c>
      <c r="I4" s="42" t="n">
        <v>2012</v>
      </c>
      <c r="J4" s="42" t="n">
        <v>8</v>
      </c>
      <c r="K4" s="44" t="n">
        <v>19</v>
      </c>
      <c r="L4" s="42" t="n">
        <v>2011</v>
      </c>
      <c r="M4" s="42" t="n">
        <v>4</v>
      </c>
      <c r="N4" s="44" t="n">
        <v>19.8</v>
      </c>
      <c r="O4" s="42" t="n">
        <v>1995</v>
      </c>
      <c r="P4" s="42" t="n">
        <v>16</v>
      </c>
      <c r="Q4" s="44" t="n">
        <v>19.8</v>
      </c>
      <c r="R4" s="42" t="n">
        <v>1995</v>
      </c>
      <c r="S4" s="42" t="n">
        <v>17</v>
      </c>
      <c r="T4" s="44" t="n">
        <v>19.3</v>
      </c>
      <c r="U4" s="42" t="n">
        <v>1995</v>
      </c>
      <c r="V4" s="42" t="n">
        <v>19</v>
      </c>
      <c r="W4" s="44" t="n">
        <v>19</v>
      </c>
      <c r="X4" s="42" t="n">
        <v>1997</v>
      </c>
      <c r="Y4" s="42" t="n">
        <v>17</v>
      </c>
      <c r="Z4" s="44" t="n">
        <v>19.5</v>
      </c>
      <c r="AA4" s="42" t="n">
        <v>2002</v>
      </c>
      <c r="AB4" s="42" t="n">
        <v>17</v>
      </c>
      <c r="AC4" s="44" t="n">
        <v>19</v>
      </c>
      <c r="AD4" s="42" t="n">
        <v>1994</v>
      </c>
      <c r="AE4" s="42" t="n">
        <v>2</v>
      </c>
      <c r="AF4" s="44" t="n">
        <v>19</v>
      </c>
      <c r="AG4" s="42" t="n">
        <v>2000</v>
      </c>
      <c r="AH4" s="42" t="n">
        <v>4</v>
      </c>
      <c r="AI4" s="44" t="n">
        <v>20</v>
      </c>
      <c r="AJ4" s="42" t="n">
        <v>1998</v>
      </c>
      <c r="AK4" s="42" t="n">
        <v>15</v>
      </c>
      <c r="AL4" s="44" t="n">
        <v>19.2</v>
      </c>
      <c r="AM4" s="42" t="n">
        <v>2013</v>
      </c>
      <c r="AN4" s="42" t="n">
        <v>20</v>
      </c>
      <c r="AO4" s="44" t="n">
        <v>20</v>
      </c>
      <c r="AP4" s="42" t="n">
        <v>1994</v>
      </c>
      <c r="AQ4" s="42" t="n">
        <v>14</v>
      </c>
      <c r="AS4" s="57" t="n">
        <v>3</v>
      </c>
      <c r="AT4" s="58" t="inlineStr">
        <is>
          <t>MARZO</t>
        </is>
      </c>
      <c r="AU4" s="59" t="n">
        <v>31</v>
      </c>
    </row>
    <row r="5" ht="14.45" customHeight="1">
      <c r="A5" s="42" t="n">
        <v>14015080</v>
      </c>
      <c r="B5" s="42" t="inlineStr">
        <is>
          <t>AEROPUERTO RAFAEL NUNEZ [14015080]</t>
        </is>
      </c>
      <c r="C5" s="42" t="n">
        <v>10.44725</v>
      </c>
      <c r="D5" s="42" t="n">
        <v>-75.51602778</v>
      </c>
      <c r="E5" s="42" t="n">
        <v>2</v>
      </c>
      <c r="F5" s="42" t="inlineStr">
        <is>
          <t>Cartagena De Indias</t>
        </is>
      </c>
      <c r="G5" s="42" t="inlineStr">
        <is>
          <t>Bolivar</t>
        </is>
      </c>
      <c r="H5" s="44" t="n">
        <v>20.8</v>
      </c>
      <c r="I5" s="42" t="n">
        <v>2000</v>
      </c>
      <c r="J5" s="42" t="n">
        <v>19</v>
      </c>
      <c r="K5" s="44" t="n">
        <v>20.5</v>
      </c>
      <c r="L5" s="42" t="n">
        <v>2001</v>
      </c>
      <c r="M5" s="42" t="n">
        <v>23</v>
      </c>
      <c r="N5" s="44" t="n">
        <v>20.4</v>
      </c>
      <c r="O5" s="42" t="n">
        <v>2002</v>
      </c>
      <c r="P5" s="42" t="n">
        <v>1</v>
      </c>
      <c r="Q5" s="44" t="n">
        <v>20.8</v>
      </c>
      <c r="R5" s="42" t="n">
        <v>1981</v>
      </c>
      <c r="S5" s="42" t="n">
        <v>20</v>
      </c>
      <c r="T5" s="44" t="n">
        <v>20.2</v>
      </c>
      <c r="U5" s="42" t="n">
        <v>1981</v>
      </c>
      <c r="V5" s="42" t="n">
        <v>26</v>
      </c>
      <c r="W5" s="44" t="n">
        <v>21.6</v>
      </c>
      <c r="X5" s="42" t="n">
        <v>1981</v>
      </c>
      <c r="Y5" s="42" t="n">
        <v>1</v>
      </c>
      <c r="Z5" s="44" t="n">
        <v>20.4</v>
      </c>
      <c r="AA5" s="42" t="n">
        <v>2004</v>
      </c>
      <c r="AB5" s="42" t="n">
        <v>4</v>
      </c>
      <c r="AC5" s="44" t="n">
        <v>20.2</v>
      </c>
      <c r="AD5" s="42" t="n">
        <v>1981</v>
      </c>
      <c r="AE5" s="42" t="n">
        <v>9</v>
      </c>
      <c r="AF5" s="44" t="n">
        <v>21.6</v>
      </c>
      <c r="AG5" s="42" t="n">
        <v>1984</v>
      </c>
      <c r="AH5" s="42" t="n">
        <v>30</v>
      </c>
      <c r="AI5" s="44" t="n">
        <v>21</v>
      </c>
      <c r="AJ5" s="42" t="n">
        <v>1985</v>
      </c>
      <c r="AK5" s="42" t="n">
        <v>22</v>
      </c>
      <c r="AL5" s="44" t="n">
        <v>21.4</v>
      </c>
      <c r="AM5" s="42" t="n">
        <v>1984</v>
      </c>
      <c r="AN5" s="42" t="n">
        <v>9</v>
      </c>
      <c r="AO5" s="44" t="n">
        <v>21.6</v>
      </c>
      <c r="AP5" s="42" t="n">
        <v>1991</v>
      </c>
      <c r="AQ5" s="42" t="n">
        <v>24</v>
      </c>
      <c r="AS5" s="57" t="n">
        <v>4</v>
      </c>
      <c r="AT5" s="58" t="inlineStr">
        <is>
          <t>ABRIL</t>
        </is>
      </c>
      <c r="AU5" s="59" t="n">
        <v>30</v>
      </c>
    </row>
    <row r="6" ht="14.45" customHeight="1">
      <c r="A6" s="42" t="n">
        <v>17015010</v>
      </c>
      <c r="B6" s="42" t="inlineStr">
        <is>
          <t>AEROPUERTO SESQUICENTENARIO [17015010]</t>
        </is>
      </c>
      <c r="C6" s="42" t="n">
        <v>12.587849</v>
      </c>
      <c r="D6" s="42" t="n">
        <v>-81.701117</v>
      </c>
      <c r="E6" s="42" t="n">
        <v>3</v>
      </c>
      <c r="F6" s="42" t="inlineStr">
        <is>
          <t>San Andrés</t>
        </is>
      </c>
      <c r="G6" s="42" t="inlineStr">
        <is>
          <t>Archipielago De San Andres, Providencia Y Santa Catalina</t>
        </is>
      </c>
      <c r="H6" s="44" t="n">
        <v>21.2</v>
      </c>
      <c r="I6" s="42" t="n">
        <v>1983</v>
      </c>
      <c r="J6" s="42" t="n">
        <v>17</v>
      </c>
      <c r="K6" s="44" t="n">
        <v>21.7</v>
      </c>
      <c r="L6" s="42" t="n">
        <v>2017</v>
      </c>
      <c r="M6" s="42" t="n">
        <v>16</v>
      </c>
      <c r="N6" s="44" t="n">
        <v>21.8</v>
      </c>
      <c r="O6" s="42" t="n">
        <v>1981</v>
      </c>
      <c r="P6" s="42" t="n">
        <v>29</v>
      </c>
      <c r="Q6" s="44" t="n">
        <v>22.8</v>
      </c>
      <c r="R6" s="42" t="n">
        <v>1989</v>
      </c>
      <c r="S6" s="42" t="n">
        <v>23</v>
      </c>
      <c r="T6" s="44" t="n">
        <v>21.9</v>
      </c>
      <c r="U6" s="42" t="n">
        <v>2004</v>
      </c>
      <c r="V6" s="42" t="n">
        <v>19</v>
      </c>
      <c r="W6" s="44" t="n">
        <v>21.8</v>
      </c>
      <c r="X6" s="42" t="n">
        <v>2004</v>
      </c>
      <c r="Y6" s="42" t="n">
        <v>7</v>
      </c>
      <c r="Z6" s="44" t="n">
        <v>21.1</v>
      </c>
      <c r="AA6" s="42" t="n">
        <v>2012</v>
      </c>
      <c r="AB6" s="42" t="n">
        <v>7</v>
      </c>
      <c r="AC6" s="44" t="n">
        <v>21</v>
      </c>
      <c r="AD6" s="42" t="n">
        <v>1986</v>
      </c>
      <c r="AE6" s="42" t="n">
        <v>13</v>
      </c>
      <c r="AF6" s="44" t="n">
        <v>21.2</v>
      </c>
      <c r="AG6" s="42" t="n">
        <v>1986</v>
      </c>
      <c r="AH6" s="42" t="n">
        <v>22</v>
      </c>
      <c r="AI6" s="44" t="n">
        <v>21.1</v>
      </c>
      <c r="AJ6" s="42" t="n">
        <v>1992</v>
      </c>
      <c r="AK6" s="42" t="n">
        <v>21</v>
      </c>
      <c r="AL6" s="44" t="n">
        <v>21.8</v>
      </c>
      <c r="AM6" s="42" t="n">
        <v>1985</v>
      </c>
      <c r="AN6" s="42" t="n">
        <v>19</v>
      </c>
      <c r="AO6" s="44" t="n">
        <v>21.4</v>
      </c>
      <c r="AP6" s="42" t="n">
        <v>1981</v>
      </c>
      <c r="AQ6" s="42" t="n">
        <v>10</v>
      </c>
      <c r="AS6" s="57" t="n">
        <v>5</v>
      </c>
      <c r="AT6" s="58" t="inlineStr">
        <is>
          <t>MAYO</t>
        </is>
      </c>
      <c r="AU6" s="59" t="n">
        <v>31</v>
      </c>
    </row>
    <row r="7" ht="14.45" customHeight="1">
      <c r="A7" s="42" t="n">
        <v>12045010</v>
      </c>
      <c r="B7" s="42" t="inlineStr">
        <is>
          <t>ARBOLETES [12045010]</t>
        </is>
      </c>
      <c r="C7" s="42" t="n">
        <v>8.846944444</v>
      </c>
      <c r="D7" s="42" t="n">
        <v>-76.43194444</v>
      </c>
      <c r="E7" s="42" t="n">
        <v>4</v>
      </c>
      <c r="F7" s="42" t="inlineStr">
        <is>
          <t>Arboletes</t>
        </is>
      </c>
      <c r="G7" s="42" t="inlineStr">
        <is>
          <t>Antioquia</t>
        </is>
      </c>
      <c r="H7" s="44" t="n">
        <v>18</v>
      </c>
      <c r="I7" s="42" t="n">
        <v>2023</v>
      </c>
      <c r="J7" s="42" t="n">
        <v>29</v>
      </c>
      <c r="K7" s="44" t="n">
        <v>17.8</v>
      </c>
      <c r="L7" s="42" t="n">
        <v>2023</v>
      </c>
      <c r="M7" s="42" t="n">
        <v>3</v>
      </c>
      <c r="N7" s="44" t="n">
        <v>18</v>
      </c>
      <c r="O7" s="42" t="n">
        <v>2008</v>
      </c>
      <c r="P7" s="42" t="n">
        <v>5</v>
      </c>
      <c r="Q7" s="44" t="n">
        <v>18.8</v>
      </c>
      <c r="R7" s="42" t="n">
        <v>1991</v>
      </c>
      <c r="S7" s="42" t="n">
        <v>16</v>
      </c>
      <c r="T7" s="44" t="n">
        <v>18</v>
      </c>
      <c r="U7" s="42" t="n">
        <v>1991</v>
      </c>
      <c r="V7" s="42" t="n">
        <v>24</v>
      </c>
      <c r="W7" s="44" t="n">
        <v>18</v>
      </c>
      <c r="X7" s="42" t="n">
        <v>1990</v>
      </c>
      <c r="Y7" s="42" t="n">
        <v>2</v>
      </c>
      <c r="Z7" s="44" t="n">
        <v>18</v>
      </c>
      <c r="AA7" s="42" t="n">
        <v>2001</v>
      </c>
      <c r="AB7" s="42" t="n">
        <v>26</v>
      </c>
      <c r="AC7" s="44" t="n">
        <v>17.2</v>
      </c>
      <c r="AD7" s="42" t="n">
        <v>1991</v>
      </c>
      <c r="AE7" s="42" t="n">
        <v>11</v>
      </c>
      <c r="AF7" s="44" t="n">
        <v>17.6</v>
      </c>
      <c r="AG7" s="42" t="n">
        <v>2002</v>
      </c>
      <c r="AH7" s="42" t="n">
        <v>24</v>
      </c>
      <c r="AI7" s="44" t="n">
        <v>17.6</v>
      </c>
      <c r="AJ7" s="42" t="n">
        <v>2002</v>
      </c>
      <c r="AK7" s="42" t="n">
        <v>4</v>
      </c>
      <c r="AL7" s="44" t="n">
        <v>18.2</v>
      </c>
      <c r="AM7" s="42" t="n">
        <v>1989</v>
      </c>
      <c r="AN7" s="42" t="n">
        <v>1</v>
      </c>
      <c r="AO7" s="44" t="n">
        <v>18</v>
      </c>
      <c r="AP7" s="42" t="n">
        <v>1990</v>
      </c>
      <c r="AQ7" s="42" t="n">
        <v>8</v>
      </c>
      <c r="AS7" s="57" t="n">
        <v>6</v>
      </c>
      <c r="AT7" s="58" t="inlineStr">
        <is>
          <t>JUNIO</t>
        </is>
      </c>
      <c r="AU7" s="59" t="n">
        <v>30</v>
      </c>
    </row>
    <row r="8" ht="14.45" customHeight="1">
      <c r="A8" s="42" t="n">
        <v>15015050</v>
      </c>
      <c r="B8" s="42" t="inlineStr">
        <is>
          <t>AEROPUERTO SIMON BOLIVAR [15015050]</t>
        </is>
      </c>
      <c r="C8" s="42" t="n">
        <v>11.1146944</v>
      </c>
      <c r="D8" s="42" t="n">
        <v>-74.231027778</v>
      </c>
      <c r="E8" s="42" t="n">
        <v>4</v>
      </c>
      <c r="F8" s="42" t="inlineStr">
        <is>
          <t>Santa Marta</t>
        </is>
      </c>
      <c r="G8" s="42" t="inlineStr">
        <is>
          <t>Magdalena</t>
        </is>
      </c>
      <c r="H8" s="44" t="n">
        <v>18.8</v>
      </c>
      <c r="I8" s="42" t="n">
        <v>1995</v>
      </c>
      <c r="J8" s="42" t="n">
        <v>12</v>
      </c>
      <c r="K8" s="44" t="n">
        <v>19.8</v>
      </c>
      <c r="L8" s="42" t="n">
        <v>2001</v>
      </c>
      <c r="M8" s="42" t="n">
        <v>23</v>
      </c>
      <c r="N8" s="44" t="n">
        <v>20.3</v>
      </c>
      <c r="O8" s="42" t="n">
        <v>1982</v>
      </c>
      <c r="P8" s="42" t="n">
        <v>4</v>
      </c>
      <c r="Q8" s="44" t="n">
        <v>21.6</v>
      </c>
      <c r="R8" s="42" t="n">
        <v>1977</v>
      </c>
      <c r="S8" s="42" t="n">
        <v>4</v>
      </c>
      <c r="T8" s="44" t="n">
        <v>20.8</v>
      </c>
      <c r="U8" s="42" t="n">
        <v>2008</v>
      </c>
      <c r="V8" s="42" t="n">
        <v>28</v>
      </c>
      <c r="W8" s="44" t="n">
        <v>22.2</v>
      </c>
      <c r="X8" s="42" t="n">
        <v>2007</v>
      </c>
      <c r="Y8" s="42" t="n">
        <v>10</v>
      </c>
      <c r="Z8" s="44" t="n">
        <v>20.6</v>
      </c>
      <c r="AA8" s="42" t="n">
        <v>1985</v>
      </c>
      <c r="AB8" s="42" t="n">
        <v>9</v>
      </c>
      <c r="AC8" s="44" t="n">
        <v>20.6</v>
      </c>
      <c r="AD8" s="42" t="n">
        <v>1978</v>
      </c>
      <c r="AE8" s="42" t="n">
        <v>2</v>
      </c>
      <c r="AF8" s="44" t="n">
        <v>21</v>
      </c>
      <c r="AG8" s="42" t="n">
        <v>1999</v>
      </c>
      <c r="AH8" s="42" t="n">
        <v>27</v>
      </c>
      <c r="AI8" s="44" t="n">
        <v>20.8</v>
      </c>
      <c r="AJ8" s="42" t="n">
        <v>1999</v>
      </c>
      <c r="AK8" s="42" t="n">
        <v>8</v>
      </c>
      <c r="AL8" s="44" t="n">
        <v>20.2</v>
      </c>
      <c r="AM8" s="42" t="n">
        <v>1985</v>
      </c>
      <c r="AN8" s="42" t="n">
        <v>24</v>
      </c>
      <c r="AO8" s="44" t="n">
        <v>18.2</v>
      </c>
      <c r="AP8" s="42" t="n">
        <v>1994</v>
      </c>
      <c r="AQ8" s="42" t="n">
        <v>30</v>
      </c>
      <c r="AS8" s="57" t="n">
        <v>7</v>
      </c>
      <c r="AT8" s="58" t="inlineStr">
        <is>
          <t>JULIO</t>
        </is>
      </c>
      <c r="AU8" s="59" t="n">
        <v>31</v>
      </c>
    </row>
    <row r="9" ht="14.45" customHeight="1">
      <c r="A9" s="42" t="n">
        <v>15035020</v>
      </c>
      <c r="B9" s="42" t="inlineStr">
        <is>
          <t>TERMOGUAJIRA  - AUT [15035020]</t>
        </is>
      </c>
      <c r="C9" s="42" t="n">
        <v>11.2525</v>
      </c>
      <c r="D9" s="42" t="n">
        <v>-73.41138889</v>
      </c>
      <c r="E9" s="42" t="n">
        <v>5</v>
      </c>
      <c r="F9" s="42" t="inlineStr">
        <is>
          <t>Dibulla</t>
        </is>
      </c>
      <c r="G9" s="42" t="inlineStr">
        <is>
          <t>La Guajira</t>
        </is>
      </c>
      <c r="H9" s="44" t="n">
        <v>16</v>
      </c>
      <c r="I9" s="42" t="n">
        <v>2007</v>
      </c>
      <c r="J9" s="42" t="n">
        <v>19</v>
      </c>
      <c r="K9" s="44" t="n">
        <v>14.4</v>
      </c>
      <c r="L9" s="42" t="n">
        <v>2008</v>
      </c>
      <c r="M9" s="42" t="n">
        <v>5</v>
      </c>
      <c r="N9" s="44" t="n">
        <v>15</v>
      </c>
      <c r="O9" s="42" t="n">
        <v>2008</v>
      </c>
      <c r="P9" s="42" t="n">
        <v>10</v>
      </c>
      <c r="Q9" s="44" t="n">
        <v>17</v>
      </c>
      <c r="R9" s="42" t="n">
        <v>1997</v>
      </c>
      <c r="S9" s="42" t="n">
        <v>4</v>
      </c>
      <c r="T9" s="44" t="n">
        <v>17.6</v>
      </c>
      <c r="U9" s="42" t="n">
        <v>2008</v>
      </c>
      <c r="V9" s="42" t="n">
        <v>24</v>
      </c>
      <c r="W9" s="44" t="n">
        <v>18.2</v>
      </c>
      <c r="X9" s="42" t="n">
        <v>1999</v>
      </c>
      <c r="Y9" s="42" t="n">
        <v>18</v>
      </c>
      <c r="Z9" s="44" t="n">
        <v>18</v>
      </c>
      <c r="AA9" s="42" t="n">
        <v>1998</v>
      </c>
      <c r="AB9" s="42" t="n">
        <v>19</v>
      </c>
      <c r="AC9" s="44" t="n">
        <v>17</v>
      </c>
      <c r="AD9" s="42" t="n">
        <v>1998</v>
      </c>
      <c r="AE9" s="42" t="n">
        <v>6</v>
      </c>
      <c r="AF9" s="44" t="n">
        <v>16</v>
      </c>
      <c r="AG9" s="42" t="n">
        <v>1998</v>
      </c>
      <c r="AH9" s="42" t="n">
        <v>26</v>
      </c>
      <c r="AI9" s="44" t="n">
        <v>17</v>
      </c>
      <c r="AJ9" s="42" t="n">
        <v>1994</v>
      </c>
      <c r="AK9" s="42" t="n">
        <v>23</v>
      </c>
      <c r="AL9" s="44" t="n">
        <v>16.8</v>
      </c>
      <c r="AM9" s="42" t="n">
        <v>1994</v>
      </c>
      <c r="AN9" s="42" t="n">
        <v>7</v>
      </c>
      <c r="AO9" s="44" t="n">
        <v>15</v>
      </c>
      <c r="AP9" s="42" t="n">
        <v>2006</v>
      </c>
      <c r="AQ9" s="42" t="n">
        <v>15</v>
      </c>
      <c r="AS9" s="57" t="n">
        <v>8</v>
      </c>
      <c r="AT9" s="58" t="inlineStr">
        <is>
          <t>AGOSTO</t>
        </is>
      </c>
      <c r="AU9" s="59" t="n">
        <v>31</v>
      </c>
    </row>
    <row r="10" ht="14.45" customHeight="1">
      <c r="A10" s="42" t="n">
        <v>15015120</v>
      </c>
      <c r="B10" s="42" t="inlineStr">
        <is>
          <t>UNIVERSIDAD TECNOLOGICA  - AUT [15015120]</t>
        </is>
      </c>
      <c r="C10" s="42" t="n">
        <v>11.22305556</v>
      </c>
      <c r="D10" s="42" t="n">
        <v>-74.18591667</v>
      </c>
      <c r="E10" s="42" t="n">
        <v>7</v>
      </c>
      <c r="F10" s="42" t="inlineStr">
        <is>
          <t>Santa Marta</t>
        </is>
      </c>
      <c r="G10" s="42" t="inlineStr">
        <is>
          <t>Magdalena</t>
        </is>
      </c>
      <c r="H10" s="44" t="n">
        <v>18.4</v>
      </c>
      <c r="I10" s="42" t="n">
        <v>1987</v>
      </c>
      <c r="J10" s="42" t="n">
        <v>8</v>
      </c>
      <c r="K10" s="44" t="n">
        <v>18.2</v>
      </c>
      <c r="L10" s="42" t="n">
        <v>1989</v>
      </c>
      <c r="M10" s="42" t="n">
        <v>18</v>
      </c>
      <c r="N10" s="44" t="n">
        <v>18.6</v>
      </c>
      <c r="O10" s="42" t="n">
        <v>1992</v>
      </c>
      <c r="P10" s="42" t="n">
        <v>3</v>
      </c>
      <c r="Q10" s="44" t="n">
        <v>18.8</v>
      </c>
      <c r="R10" s="42" t="n">
        <v>1981</v>
      </c>
      <c r="S10" s="42" t="n">
        <v>28</v>
      </c>
      <c r="T10" s="44" t="n">
        <v>19.4</v>
      </c>
      <c r="U10" s="42" t="n">
        <v>1989</v>
      </c>
      <c r="V10" s="42" t="n">
        <v>26</v>
      </c>
      <c r="W10" s="44" t="n">
        <v>17.8</v>
      </c>
      <c r="X10" s="42" t="n">
        <v>1979</v>
      </c>
      <c r="Y10" s="42" t="n">
        <v>15</v>
      </c>
      <c r="Z10" s="44" t="n">
        <v>19.8</v>
      </c>
      <c r="AA10" s="42" t="n">
        <v>1979</v>
      </c>
      <c r="AB10" s="42" t="n">
        <v>4</v>
      </c>
      <c r="AC10" s="44" t="n">
        <v>20</v>
      </c>
      <c r="AD10" s="42" t="n">
        <v>1978</v>
      </c>
      <c r="AE10" s="42" t="n">
        <v>17</v>
      </c>
      <c r="AF10" s="44" t="n">
        <v>17.8</v>
      </c>
      <c r="AG10" s="42" t="n">
        <v>1989</v>
      </c>
      <c r="AH10" s="42" t="n">
        <v>26</v>
      </c>
      <c r="AI10" s="44" t="n">
        <v>20</v>
      </c>
      <c r="AJ10" s="42" t="n">
        <v>1989</v>
      </c>
      <c r="AK10" s="42" t="n">
        <v>12</v>
      </c>
      <c r="AL10" s="44" t="n">
        <v>19</v>
      </c>
      <c r="AM10" s="42" t="n">
        <v>1978</v>
      </c>
      <c r="AN10" s="42" t="n">
        <v>28</v>
      </c>
      <c r="AO10" s="44" t="n">
        <v>18.4</v>
      </c>
      <c r="AP10" s="42" t="n">
        <v>1986</v>
      </c>
      <c r="AQ10" s="42" t="n">
        <v>28</v>
      </c>
      <c r="AS10" s="57" t="n">
        <v>9</v>
      </c>
      <c r="AT10" s="58" t="inlineStr">
        <is>
          <t>SEPTIEMBRE</t>
        </is>
      </c>
      <c r="AU10" s="59" t="n">
        <v>30</v>
      </c>
    </row>
    <row r="11" ht="14.45" customHeight="1">
      <c r="A11" s="42" t="n">
        <v>17025020</v>
      </c>
      <c r="B11" s="42" t="inlineStr">
        <is>
          <t>AEROPUERTO EL EMBRUJO AUT [17025020]</t>
        </is>
      </c>
      <c r="C11" s="42" t="n">
        <v>13.3595</v>
      </c>
      <c r="D11" s="42" t="n">
        <v>-81.35772194400001</v>
      </c>
      <c r="E11" s="42" t="n">
        <v>7</v>
      </c>
      <c r="F11" s="42" t="inlineStr">
        <is>
          <t>San Andres Y  Providencia (Santa Isabel)</t>
        </is>
      </c>
      <c r="G11" s="42" t="inlineStr">
        <is>
          <t>Archipielago De San Andres, Providencia Y Santa Catalina</t>
        </is>
      </c>
      <c r="H11" s="44" t="n">
        <v>20.2</v>
      </c>
      <c r="I11" s="42" t="n">
        <v>2006</v>
      </c>
      <c r="J11" s="42" t="n">
        <v>7</v>
      </c>
      <c r="K11" s="44" t="n">
        <v>19.4</v>
      </c>
      <c r="L11" s="42" t="n">
        <v>1991</v>
      </c>
      <c r="M11" s="42" t="n">
        <v>9</v>
      </c>
      <c r="N11" s="44" t="n">
        <v>19.2</v>
      </c>
      <c r="O11" s="42" t="n">
        <v>1999</v>
      </c>
      <c r="P11" s="42" t="n">
        <v>2</v>
      </c>
      <c r="Q11" s="44" t="n">
        <v>21</v>
      </c>
      <c r="R11" s="42" t="n">
        <v>2003</v>
      </c>
      <c r="S11" s="42" t="n">
        <v>12</v>
      </c>
      <c r="T11" s="44" t="n">
        <v>20.8</v>
      </c>
      <c r="U11" s="42" t="n">
        <v>2011</v>
      </c>
      <c r="V11" s="42" t="n">
        <v>16</v>
      </c>
      <c r="W11" s="44" t="n">
        <v>21</v>
      </c>
      <c r="X11" s="42" t="n">
        <v>1990</v>
      </c>
      <c r="Y11" s="42" t="n">
        <v>18</v>
      </c>
      <c r="Z11" s="44" t="n">
        <v>21</v>
      </c>
      <c r="AA11" s="42" t="n">
        <v>2005</v>
      </c>
      <c r="AB11" s="42" t="n">
        <v>19</v>
      </c>
      <c r="AC11" s="44" t="n">
        <v>20.4</v>
      </c>
      <c r="AD11" s="42" t="n">
        <v>2008</v>
      </c>
      <c r="AE11" s="42" t="n">
        <v>12</v>
      </c>
      <c r="AF11" s="44" t="n">
        <v>22</v>
      </c>
      <c r="AG11" s="42" t="n">
        <v>1986</v>
      </c>
      <c r="AH11" s="42" t="n">
        <v>25</v>
      </c>
      <c r="AI11" s="44" t="n">
        <v>21.6</v>
      </c>
      <c r="AJ11" s="42" t="n">
        <v>2008</v>
      </c>
      <c r="AK11" s="42" t="n">
        <v>14</v>
      </c>
      <c r="AL11" s="44" t="n">
        <v>20.4</v>
      </c>
      <c r="AM11" s="42" t="n">
        <v>2010</v>
      </c>
      <c r="AN11" s="42" t="n">
        <v>10</v>
      </c>
      <c r="AO11" s="44" t="n">
        <v>20.2</v>
      </c>
      <c r="AP11" s="42" t="n">
        <v>2008</v>
      </c>
      <c r="AQ11" s="42" t="n">
        <v>21</v>
      </c>
      <c r="AS11" s="57" t="n">
        <v>10</v>
      </c>
      <c r="AT11" s="58" t="inlineStr">
        <is>
          <t>OCTUBRE</t>
        </is>
      </c>
      <c r="AU11" s="59" t="n">
        <v>31</v>
      </c>
    </row>
    <row r="12" ht="14.45" customHeight="1">
      <c r="A12" s="42" t="n">
        <v>15075501</v>
      </c>
      <c r="B12" s="42" t="inlineStr">
        <is>
          <t>AEROPUERTO PUERTO BOLIVAR  - AUT [15075501]</t>
        </is>
      </c>
      <c r="C12" s="42" t="n">
        <v>12.22430556</v>
      </c>
      <c r="D12" s="42" t="n">
        <v>-71.98288889</v>
      </c>
      <c r="E12" s="42" t="n">
        <v>10</v>
      </c>
      <c r="F12" s="42" t="inlineStr">
        <is>
          <t>Uribia</t>
        </is>
      </c>
      <c r="G12" s="42" t="inlineStr">
        <is>
          <t>La Guajira</t>
        </is>
      </c>
      <c r="H12" s="44" t="n">
        <v>19.8</v>
      </c>
      <c r="I12" s="42" t="n">
        <v>2025</v>
      </c>
      <c r="J12" s="42" t="n">
        <v>4</v>
      </c>
      <c r="K12" s="44" t="n">
        <v>19.6</v>
      </c>
      <c r="L12" s="42" t="n">
        <v>2017</v>
      </c>
      <c r="M12" s="42" t="n">
        <v>19</v>
      </c>
      <c r="N12" s="44" t="n">
        <v>20.2</v>
      </c>
      <c r="O12" s="42" t="n">
        <v>2025</v>
      </c>
      <c r="P12" s="42" t="n">
        <v>7</v>
      </c>
      <c r="Q12" s="44" t="n">
        <v>20.8</v>
      </c>
      <c r="R12" s="42" t="n">
        <v>2025</v>
      </c>
      <c r="S12" s="42" t="n">
        <v>3</v>
      </c>
      <c r="T12" s="44" t="n">
        <v>21.6</v>
      </c>
      <c r="U12" s="42" t="n">
        <v>2023</v>
      </c>
      <c r="V12" s="42" t="n">
        <v>19</v>
      </c>
      <c r="W12" s="44" t="n">
        <v>21.4</v>
      </c>
      <c r="X12" s="42" t="n">
        <v>2021</v>
      </c>
      <c r="Y12" s="42" t="n">
        <v>3</v>
      </c>
      <c r="Z12" s="44" t="n">
        <v>21</v>
      </c>
      <c r="AA12" s="42" t="n">
        <v>2024</v>
      </c>
      <c r="AB12" s="42" t="n">
        <v>2</v>
      </c>
      <c r="AC12" s="44" t="n">
        <v>20.8</v>
      </c>
      <c r="AD12" s="42" t="n">
        <v>2024</v>
      </c>
      <c r="AE12" s="42" t="n">
        <v>13</v>
      </c>
      <c r="AF12" s="44" t="n">
        <v>20</v>
      </c>
      <c r="AG12" s="42" t="n">
        <v>2024</v>
      </c>
      <c r="AH12" s="42" t="n">
        <v>29</v>
      </c>
      <c r="AI12" s="44" t="n">
        <v>20.8</v>
      </c>
      <c r="AJ12" s="42" t="n">
        <v>2022</v>
      </c>
      <c r="AK12" s="42" t="n">
        <v>9</v>
      </c>
      <c r="AL12" s="44" t="n">
        <v>19.4</v>
      </c>
      <c r="AM12" s="42" t="n">
        <v>2024</v>
      </c>
      <c r="AN12" s="42" t="n">
        <v>4</v>
      </c>
      <c r="AO12" s="44" t="n">
        <v>20</v>
      </c>
      <c r="AP12" s="42" t="n">
        <v>2024</v>
      </c>
      <c r="AQ12" s="42" t="n">
        <v>24</v>
      </c>
      <c r="AS12" s="57" t="n">
        <v>11</v>
      </c>
      <c r="AT12" s="58" t="inlineStr">
        <is>
          <t>NOVIEMBRE</t>
        </is>
      </c>
      <c r="AU12" s="59" t="n">
        <v>30</v>
      </c>
    </row>
    <row r="13" ht="14.45" customHeight="1">
      <c r="A13" s="42" t="n">
        <v>25025210</v>
      </c>
      <c r="B13" s="42" t="inlineStr">
        <is>
          <t>PINILLOS [25025210]</t>
        </is>
      </c>
      <c r="C13" s="42" t="n">
        <v>8.911388888999999</v>
      </c>
      <c r="D13" s="42" t="n">
        <v>-74.45777778</v>
      </c>
      <c r="E13" s="42" t="n">
        <v>10</v>
      </c>
      <c r="F13" s="42" t="inlineStr">
        <is>
          <t>Pinillos</t>
        </is>
      </c>
      <c r="G13" s="42" t="inlineStr">
        <is>
          <t>Bolivar</t>
        </is>
      </c>
      <c r="H13" s="44" t="n">
        <v>19.3</v>
      </c>
      <c r="I13" s="42" t="n">
        <v>2019</v>
      </c>
      <c r="J13" s="42" t="n">
        <v>2</v>
      </c>
      <c r="K13" s="44" t="n">
        <v>19.2</v>
      </c>
      <c r="L13" s="42" t="n">
        <v>2023</v>
      </c>
      <c r="M13" s="42" t="n">
        <v>3</v>
      </c>
      <c r="N13" s="44" t="n">
        <v>20.2</v>
      </c>
      <c r="O13" s="42" t="n">
        <v>1995</v>
      </c>
      <c r="P13" s="42" t="n">
        <v>24</v>
      </c>
      <c r="Q13" s="44" t="n">
        <v>20.2</v>
      </c>
      <c r="R13" s="42" t="n">
        <v>2018</v>
      </c>
      <c r="S13" s="42" t="n">
        <v>27</v>
      </c>
      <c r="T13" s="44" t="n">
        <v>19.2</v>
      </c>
      <c r="U13" s="42" t="n">
        <v>1986</v>
      </c>
      <c r="V13" s="42" t="n">
        <v>4</v>
      </c>
      <c r="W13" s="44" t="n">
        <v>20.2</v>
      </c>
      <c r="X13" s="42" t="n">
        <v>2018</v>
      </c>
      <c r="Y13" s="42" t="n">
        <v>20</v>
      </c>
      <c r="Z13" s="44" t="n">
        <v>20</v>
      </c>
      <c r="AA13" s="42" t="n">
        <v>2019</v>
      </c>
      <c r="AB13" s="42" t="n">
        <v>27</v>
      </c>
      <c r="AC13" s="44" t="n">
        <v>19.2</v>
      </c>
      <c r="AD13" s="42" t="n">
        <v>2018</v>
      </c>
      <c r="AE13" s="42" t="n">
        <v>26</v>
      </c>
      <c r="AF13" s="44" t="n">
        <v>18.4</v>
      </c>
      <c r="AG13" s="42" t="n">
        <v>2019</v>
      </c>
      <c r="AH13" s="42" t="n">
        <v>24</v>
      </c>
      <c r="AI13" s="44" t="n">
        <v>19.1</v>
      </c>
      <c r="AJ13" s="42" t="n">
        <v>2019</v>
      </c>
      <c r="AK13" s="42" t="n">
        <v>14</v>
      </c>
      <c r="AL13" s="44" t="n">
        <v>19.2</v>
      </c>
      <c r="AM13" s="42" t="n">
        <v>2020</v>
      </c>
      <c r="AN13" s="42" t="n">
        <v>30</v>
      </c>
      <c r="AO13" s="44" t="n">
        <v>19.4</v>
      </c>
      <c r="AP13" s="42" t="n">
        <v>2019</v>
      </c>
      <c r="AQ13" s="42" t="n">
        <v>18</v>
      </c>
      <c r="AS13" s="57" t="n">
        <v>12</v>
      </c>
      <c r="AT13" s="58" t="inlineStr">
        <is>
          <t>DICIEMBRE</t>
        </is>
      </c>
      <c r="AU13" s="59" t="n">
        <v>31</v>
      </c>
    </row>
    <row r="14" ht="14.45" customHeight="1">
      <c r="A14" s="42" t="n">
        <v>29035000</v>
      </c>
      <c r="B14" s="42" t="inlineStr">
        <is>
          <t>SINCERIN  - AUT [29035000]</t>
        </is>
      </c>
      <c r="C14" s="42" t="n">
        <v>10.14258333</v>
      </c>
      <c r="D14" s="42" t="n">
        <v>-75.27827778</v>
      </c>
      <c r="E14" s="42" t="n">
        <v>10</v>
      </c>
      <c r="F14" s="42" t="inlineStr">
        <is>
          <t>Arjona</t>
        </is>
      </c>
      <c r="G14" s="42" t="inlineStr">
        <is>
          <t>Bolivar</t>
        </is>
      </c>
      <c r="H14" s="44" t="n">
        <v>18.2</v>
      </c>
      <c r="I14" s="42" t="n">
        <v>1985</v>
      </c>
      <c r="J14" s="42" t="n">
        <v>8</v>
      </c>
      <c r="K14" s="44" t="n">
        <v>16.2</v>
      </c>
      <c r="L14" s="42" t="n">
        <v>1984</v>
      </c>
      <c r="M14" s="42" t="n">
        <v>12</v>
      </c>
      <c r="N14" s="44" t="n">
        <v>19</v>
      </c>
      <c r="O14" s="42" t="n">
        <v>1986</v>
      </c>
      <c r="P14" s="42" t="n">
        <v>30</v>
      </c>
      <c r="Q14" s="44" t="n">
        <v>18.6</v>
      </c>
      <c r="R14" s="42" t="n">
        <v>1985</v>
      </c>
      <c r="S14" s="42" t="n">
        <v>28</v>
      </c>
      <c r="T14" s="44" t="n">
        <v>18.2</v>
      </c>
      <c r="U14" s="42" t="n">
        <v>1985</v>
      </c>
      <c r="V14" s="42" t="n">
        <v>4</v>
      </c>
      <c r="W14" s="44" t="n">
        <v>21</v>
      </c>
      <c r="X14" s="42" t="n">
        <v>1980</v>
      </c>
      <c r="Y14" s="42" t="n">
        <v>23</v>
      </c>
      <c r="Z14" s="44" t="n">
        <v>20</v>
      </c>
      <c r="AA14" s="42" t="n">
        <v>2011</v>
      </c>
      <c r="AB14" s="42" t="n">
        <v>14</v>
      </c>
      <c r="AC14" s="44" t="n">
        <v>20</v>
      </c>
      <c r="AD14" s="42" t="n">
        <v>1995</v>
      </c>
      <c r="AE14" s="42" t="n">
        <v>19</v>
      </c>
      <c r="AF14" s="44" t="n">
        <v>20</v>
      </c>
      <c r="AG14" s="42" t="n">
        <v>1985</v>
      </c>
      <c r="AH14" s="42" t="n">
        <v>6</v>
      </c>
      <c r="AI14" s="44" t="n">
        <v>18.8</v>
      </c>
      <c r="AJ14" s="42" t="n">
        <v>1985</v>
      </c>
      <c r="AK14" s="42" t="n">
        <v>11</v>
      </c>
      <c r="AL14" s="44" t="n">
        <v>19</v>
      </c>
      <c r="AM14" s="42" t="n">
        <v>1985</v>
      </c>
      <c r="AN14" s="42" t="n">
        <v>9</v>
      </c>
      <c r="AO14" s="44" t="n">
        <v>18.2</v>
      </c>
      <c r="AP14" s="42" t="n">
        <v>1991</v>
      </c>
      <c r="AQ14" s="42" t="n">
        <v>22</v>
      </c>
    </row>
    <row r="15" ht="14.45" customHeight="1">
      <c r="A15" s="42" t="n">
        <v>29035080</v>
      </c>
      <c r="B15" s="42" t="inlineStr">
        <is>
          <t>NORMAL MANATI  - AUT [29035080]</t>
        </is>
      </c>
      <c r="C15" s="42" t="n">
        <v>10.453966</v>
      </c>
      <c r="D15" s="42" t="n">
        <v>-74.95472599999999</v>
      </c>
      <c r="E15" s="42" t="n">
        <v>10</v>
      </c>
      <c r="F15" s="42" t="inlineStr">
        <is>
          <t>Manatí</t>
        </is>
      </c>
      <c r="G15" s="42" t="inlineStr">
        <is>
          <t>Atlantico</t>
        </is>
      </c>
      <c r="H15" s="44" t="n">
        <v>18.2</v>
      </c>
      <c r="I15" s="42" t="n">
        <v>1983</v>
      </c>
      <c r="J15" s="42" t="n">
        <v>22</v>
      </c>
      <c r="K15" s="44" t="n">
        <v>19.2</v>
      </c>
      <c r="L15" s="42" t="n">
        <v>1994</v>
      </c>
      <c r="M15" s="42" t="n">
        <v>10</v>
      </c>
      <c r="N15" s="44" t="n">
        <v>18.4</v>
      </c>
      <c r="O15" s="42" t="n">
        <v>2018</v>
      </c>
      <c r="P15" s="42" t="n">
        <v>19</v>
      </c>
      <c r="Q15" s="44" t="n">
        <v>19.2</v>
      </c>
      <c r="R15" s="42" t="n">
        <v>1982</v>
      </c>
      <c r="S15" s="42" t="n">
        <v>8</v>
      </c>
      <c r="T15" s="44" t="n">
        <v>18.4</v>
      </c>
      <c r="U15" s="42" t="n">
        <v>1997</v>
      </c>
      <c r="V15" s="42" t="n">
        <v>5</v>
      </c>
      <c r="W15" s="44" t="n">
        <v>19.8</v>
      </c>
      <c r="X15" s="42" t="n">
        <v>1997</v>
      </c>
      <c r="Y15" s="42" t="n">
        <v>11</v>
      </c>
      <c r="Z15" s="44" t="n">
        <v>18.8</v>
      </c>
      <c r="AA15" s="42" t="n">
        <v>1980</v>
      </c>
      <c r="AB15" s="42" t="n">
        <v>9</v>
      </c>
      <c r="AC15" s="44" t="n">
        <v>18.6</v>
      </c>
      <c r="AD15" s="42" t="n">
        <v>1981</v>
      </c>
      <c r="AE15" s="42" t="n">
        <v>19</v>
      </c>
      <c r="AF15" s="44" t="n">
        <v>18.6</v>
      </c>
      <c r="AG15" s="42" t="n">
        <v>1998</v>
      </c>
      <c r="AH15" s="42" t="n">
        <v>13</v>
      </c>
      <c r="AI15" s="44" t="n">
        <v>19.2</v>
      </c>
      <c r="AJ15" s="42" t="n">
        <v>2001</v>
      </c>
      <c r="AK15" s="42" t="n">
        <v>21</v>
      </c>
      <c r="AL15" s="44" t="n">
        <v>19</v>
      </c>
      <c r="AM15" s="42" t="n">
        <v>1982</v>
      </c>
      <c r="AN15" s="42" t="n">
        <v>12</v>
      </c>
      <c r="AO15" s="44" t="n">
        <v>18.8</v>
      </c>
      <c r="AP15" s="42" t="n">
        <v>1985</v>
      </c>
      <c r="AQ15" s="42" t="n">
        <v>18</v>
      </c>
    </row>
    <row r="16" ht="14.45" customHeight="1">
      <c r="A16" s="42" t="n">
        <v>29035200</v>
      </c>
      <c r="B16" s="42" t="inlineStr">
        <is>
          <t>REPELON - AUT [29035200]</t>
        </is>
      </c>
      <c r="C16" s="42" t="n">
        <v>10.49</v>
      </c>
      <c r="D16" s="42" t="n">
        <v>-75.12694444</v>
      </c>
      <c r="E16" s="42" t="n">
        <v>10</v>
      </c>
      <c r="F16" s="42" t="inlineStr">
        <is>
          <t>Repelón</t>
        </is>
      </c>
      <c r="G16" s="42" t="inlineStr">
        <is>
          <t>Atlantico</t>
        </is>
      </c>
      <c r="H16" s="44" t="n">
        <v>19.4</v>
      </c>
      <c r="I16" s="42" t="n">
        <v>1979</v>
      </c>
      <c r="J16" s="42" t="n">
        <v>8</v>
      </c>
      <c r="K16" s="44" t="n">
        <v>18.6</v>
      </c>
      <c r="L16" s="42" t="n">
        <v>1985</v>
      </c>
      <c r="M16" s="42" t="n">
        <v>1</v>
      </c>
      <c r="N16" s="44" t="n">
        <v>19.3</v>
      </c>
      <c r="O16" s="42" t="n">
        <v>2017</v>
      </c>
      <c r="P16" s="42" t="n">
        <v>2</v>
      </c>
      <c r="Q16" s="44" t="n">
        <v>19</v>
      </c>
      <c r="R16" s="42" t="n">
        <v>2008</v>
      </c>
      <c r="S16" s="42" t="n">
        <v>15</v>
      </c>
      <c r="T16" s="44" t="n">
        <v>20.2</v>
      </c>
      <c r="U16" s="42" t="n">
        <v>1983</v>
      </c>
      <c r="V16" s="42" t="n">
        <v>1</v>
      </c>
      <c r="W16" s="44" t="n">
        <v>20</v>
      </c>
      <c r="X16" s="42" t="n">
        <v>1978</v>
      </c>
      <c r="Y16" s="42" t="n">
        <v>30</v>
      </c>
      <c r="Z16" s="44" t="n">
        <v>19.6</v>
      </c>
      <c r="AA16" s="42" t="n">
        <v>1980</v>
      </c>
      <c r="AB16" s="42" t="n">
        <v>18</v>
      </c>
      <c r="AC16" s="44" t="n">
        <v>18.4</v>
      </c>
      <c r="AD16" s="42" t="n">
        <v>1981</v>
      </c>
      <c r="AE16" s="42" t="n">
        <v>14</v>
      </c>
      <c r="AF16" s="44" t="n">
        <v>18.6</v>
      </c>
      <c r="AG16" s="42" t="n">
        <v>1982</v>
      </c>
      <c r="AH16" s="42" t="n">
        <v>17</v>
      </c>
      <c r="AI16" s="44" t="n">
        <v>20.4</v>
      </c>
      <c r="AJ16" s="42" t="n">
        <v>2004</v>
      </c>
      <c r="AK16" s="42" t="n">
        <v>21</v>
      </c>
      <c r="AL16" s="44" t="n">
        <v>20</v>
      </c>
      <c r="AM16" s="42" t="n">
        <v>1979</v>
      </c>
      <c r="AN16" s="42" t="n">
        <v>4</v>
      </c>
      <c r="AO16" s="44" t="n">
        <v>18.9</v>
      </c>
      <c r="AP16" s="42" t="n">
        <v>2005</v>
      </c>
      <c r="AQ16" s="42" t="n">
        <v>23</v>
      </c>
    </row>
    <row r="17" ht="14.45" customHeight="1">
      <c r="A17" s="42" t="n">
        <v>29035040</v>
      </c>
      <c r="B17" s="42" t="inlineStr">
        <is>
          <t>NUEVA FLORIDA [29035040]</t>
        </is>
      </c>
      <c r="C17" s="42" t="n">
        <v>9.944806</v>
      </c>
      <c r="D17" s="42" t="n">
        <v>-75.351561</v>
      </c>
      <c r="E17" s="42" t="n">
        <v>13</v>
      </c>
      <c r="F17" s="42" t="inlineStr">
        <is>
          <t>María La Baja</t>
        </is>
      </c>
      <c r="G17" s="42" t="inlineStr">
        <is>
          <t>Bolivar</t>
        </is>
      </c>
      <c r="H17" s="44" t="n">
        <v>16</v>
      </c>
      <c r="I17" s="42" t="n">
        <v>1992</v>
      </c>
      <c r="J17" s="42" t="n">
        <v>31</v>
      </c>
      <c r="K17" s="44" t="n">
        <v>16.6</v>
      </c>
      <c r="L17" s="42" t="n">
        <v>1985</v>
      </c>
      <c r="M17" s="42" t="n">
        <v>9</v>
      </c>
      <c r="N17" s="44" t="n">
        <v>17.6</v>
      </c>
      <c r="O17" s="42" t="n">
        <v>1988</v>
      </c>
      <c r="P17" s="42" t="n">
        <v>1</v>
      </c>
      <c r="Q17" s="44" t="n">
        <v>18.2</v>
      </c>
      <c r="R17" s="42" t="n">
        <v>1984</v>
      </c>
      <c r="S17" s="42" t="n">
        <v>30</v>
      </c>
      <c r="T17" s="44" t="n">
        <v>19.8</v>
      </c>
      <c r="U17" s="42" t="n">
        <v>2002</v>
      </c>
      <c r="V17" s="42" t="n">
        <v>30</v>
      </c>
      <c r="W17" s="44" t="n">
        <v>17</v>
      </c>
      <c r="X17" s="42" t="n">
        <v>1985</v>
      </c>
      <c r="Y17" s="42" t="n">
        <v>14</v>
      </c>
      <c r="Z17" s="44" t="n">
        <v>16.2</v>
      </c>
      <c r="AA17" s="42" t="n">
        <v>1985</v>
      </c>
      <c r="AB17" s="42" t="n">
        <v>26</v>
      </c>
      <c r="AC17" s="44" t="n">
        <v>15.6</v>
      </c>
      <c r="AD17" s="42" t="n">
        <v>1985</v>
      </c>
      <c r="AE17" s="42" t="n">
        <v>16</v>
      </c>
      <c r="AF17" s="44" t="n">
        <v>17</v>
      </c>
      <c r="AG17" s="42" t="n">
        <v>1987</v>
      </c>
      <c r="AH17" s="42" t="n">
        <v>4</v>
      </c>
      <c r="AI17" s="44" t="n">
        <v>15.8</v>
      </c>
      <c r="AJ17" s="42" t="n">
        <v>1985</v>
      </c>
      <c r="AK17" s="42" t="n">
        <v>14</v>
      </c>
      <c r="AL17" s="44" t="n">
        <v>15</v>
      </c>
      <c r="AM17" s="42" t="n">
        <v>1984</v>
      </c>
      <c r="AN17" s="42" t="n">
        <v>24</v>
      </c>
      <c r="AO17" s="44" t="n">
        <v>17</v>
      </c>
      <c r="AP17" s="42" t="n">
        <v>1985</v>
      </c>
      <c r="AQ17" s="42" t="n">
        <v>26</v>
      </c>
    </row>
    <row r="18" ht="14.45" customHeight="1">
      <c r="A18" s="42" t="n">
        <v>29045190</v>
      </c>
      <c r="B18" s="42" t="inlineStr">
        <is>
          <t>AEROPUERTO E. CORTISSOZ - AUT [29045190]</t>
        </is>
      </c>
      <c r="C18" s="42" t="n">
        <v>10.91777778</v>
      </c>
      <c r="D18" s="42" t="n">
        <v>-74.77972222</v>
      </c>
      <c r="E18" s="42" t="n">
        <v>14</v>
      </c>
      <c r="F18" s="42" t="inlineStr">
        <is>
          <t>Soledad</t>
        </is>
      </c>
      <c r="G18" s="42" t="inlineStr">
        <is>
          <t>Atlantico</t>
        </is>
      </c>
      <c r="H18" s="44" t="n">
        <v>19.6</v>
      </c>
      <c r="I18" s="42" t="n">
        <v>1994</v>
      </c>
      <c r="J18" s="42" t="n">
        <v>7</v>
      </c>
      <c r="K18" s="44" t="n">
        <v>20.2</v>
      </c>
      <c r="L18" s="42" t="n">
        <v>2001</v>
      </c>
      <c r="M18" s="42" t="n">
        <v>24</v>
      </c>
      <c r="N18" s="44" t="n">
        <v>20.2</v>
      </c>
      <c r="O18" s="42" t="n">
        <v>1989</v>
      </c>
      <c r="P18" s="42" t="n">
        <v>22</v>
      </c>
      <c r="Q18" s="44" t="n">
        <v>20.1</v>
      </c>
      <c r="R18" s="42" t="n">
        <v>2002</v>
      </c>
      <c r="S18" s="42" t="n">
        <v>14</v>
      </c>
      <c r="T18" s="44" t="n">
        <v>20.2</v>
      </c>
      <c r="U18" s="42" t="n">
        <v>1993</v>
      </c>
      <c r="V18" s="42" t="n">
        <v>26</v>
      </c>
      <c r="W18" s="44" t="n">
        <v>20.6</v>
      </c>
      <c r="X18" s="42" t="n">
        <v>2016</v>
      </c>
      <c r="Y18" s="42" t="n">
        <v>13</v>
      </c>
      <c r="Z18" s="44" t="n">
        <v>21</v>
      </c>
      <c r="AA18" s="42" t="n">
        <v>1988</v>
      </c>
      <c r="AB18" s="42" t="n">
        <v>15</v>
      </c>
      <c r="AC18" s="44" t="n">
        <v>20.4</v>
      </c>
      <c r="AD18" s="42" t="n">
        <v>1997</v>
      </c>
      <c r="AE18" s="42" t="n">
        <v>10</v>
      </c>
      <c r="AF18" s="44" t="n">
        <v>20.4</v>
      </c>
      <c r="AG18" s="42" t="n">
        <v>1996</v>
      </c>
      <c r="AH18" s="42" t="n">
        <v>25</v>
      </c>
      <c r="AI18" s="44" t="n">
        <v>20.2</v>
      </c>
      <c r="AJ18" s="42" t="n">
        <v>2011</v>
      </c>
      <c r="AK18" s="42" t="n">
        <v>21</v>
      </c>
      <c r="AL18" s="44" t="n">
        <v>19.8</v>
      </c>
      <c r="AM18" s="42" t="n">
        <v>1981</v>
      </c>
      <c r="AN18" s="42" t="n">
        <v>3</v>
      </c>
      <c r="AO18" s="44" t="n">
        <v>20</v>
      </c>
      <c r="AP18" s="42" t="n">
        <v>2003</v>
      </c>
      <c r="AQ18" s="42" t="n">
        <v>4</v>
      </c>
    </row>
    <row r="19" ht="14.45" customHeight="1">
      <c r="A19" s="42" t="n">
        <v>54075040</v>
      </c>
      <c r="B19" s="42" t="inlineStr">
        <is>
          <t>MISION LA [54075040]</t>
        </is>
      </c>
      <c r="C19" s="42" t="n">
        <v>4.2225</v>
      </c>
      <c r="D19" s="42" t="n">
        <v>-77.27633333</v>
      </c>
      <c r="E19" s="42" t="n">
        <v>14</v>
      </c>
      <c r="F19" s="42" t="inlineStr">
        <is>
          <t>Buenaventura</t>
        </is>
      </c>
      <c r="G19" s="42" t="inlineStr">
        <is>
          <t>Valle Del Cauca</t>
        </is>
      </c>
      <c r="H19" s="44" t="n">
        <v>16.2</v>
      </c>
      <c r="I19" s="42" t="n">
        <v>1983</v>
      </c>
      <c r="J19" s="42" t="n">
        <v>1</v>
      </c>
      <c r="K19" s="44" t="n">
        <v>15.4</v>
      </c>
      <c r="L19" s="42" t="n">
        <v>1983</v>
      </c>
      <c r="M19" s="42" t="n">
        <v>6</v>
      </c>
      <c r="N19" s="44" t="n">
        <v>20</v>
      </c>
      <c r="O19" s="42" t="n">
        <v>2011</v>
      </c>
      <c r="P19" s="42" t="n">
        <v>20</v>
      </c>
      <c r="Q19" s="44" t="n">
        <v>18.6</v>
      </c>
      <c r="R19" s="42" t="n">
        <v>1983</v>
      </c>
      <c r="S19" s="42" t="n">
        <v>13</v>
      </c>
      <c r="T19" s="44" t="n">
        <v>20.2</v>
      </c>
      <c r="U19" s="42" t="n">
        <v>2015</v>
      </c>
      <c r="V19" s="42" t="n">
        <v>8</v>
      </c>
      <c r="W19" s="44" t="n">
        <v>18.2</v>
      </c>
      <c r="X19" s="42" t="n">
        <v>1983</v>
      </c>
      <c r="Y19" s="42" t="n">
        <v>27</v>
      </c>
      <c r="Z19" s="44" t="n">
        <v>13.6</v>
      </c>
      <c r="AA19" s="42" t="n">
        <v>1984</v>
      </c>
      <c r="AB19" s="42" t="n">
        <v>19</v>
      </c>
      <c r="AC19" s="44" t="n">
        <v>18.2</v>
      </c>
      <c r="AD19" s="42" t="n">
        <v>1983</v>
      </c>
      <c r="AE19" s="42" t="n">
        <v>15</v>
      </c>
      <c r="AF19" s="44" t="n">
        <v>19.4</v>
      </c>
      <c r="AG19" s="42" t="n">
        <v>1983</v>
      </c>
      <c r="AH19" s="42" t="n">
        <v>25</v>
      </c>
      <c r="AI19" s="44" t="n">
        <v>19.6</v>
      </c>
      <c r="AJ19" s="42" t="n">
        <v>1992</v>
      </c>
      <c r="AK19" s="42" t="n">
        <v>13</v>
      </c>
      <c r="AL19" s="44" t="n">
        <v>20</v>
      </c>
      <c r="AM19" s="42" t="n">
        <v>1996</v>
      </c>
      <c r="AN19" s="42" t="n">
        <v>13</v>
      </c>
      <c r="AO19" s="44" t="n">
        <v>20</v>
      </c>
      <c r="AP19" s="42" t="n">
        <v>2010</v>
      </c>
      <c r="AQ19" s="42" t="n">
        <v>14</v>
      </c>
    </row>
    <row r="20" ht="14.45" customHeight="1">
      <c r="A20" s="42" t="n">
        <v>15065180</v>
      </c>
      <c r="B20" s="42" t="inlineStr">
        <is>
          <t>AEROPUERTO ALM. PADILLA - [15065180]</t>
        </is>
      </c>
      <c r="C20" s="42" t="n">
        <v>11.5284444</v>
      </c>
      <c r="D20" s="42" t="n">
        <v>-72.91772222199999</v>
      </c>
      <c r="E20" s="42" t="n">
        <v>15</v>
      </c>
      <c r="F20" s="42" t="inlineStr">
        <is>
          <t>Riohacha</t>
        </is>
      </c>
      <c r="G20" s="42" t="inlineStr">
        <is>
          <t>La Guajira</t>
        </is>
      </c>
      <c r="H20" s="44" t="n">
        <v>17.2</v>
      </c>
      <c r="I20" s="42" t="n">
        <v>1995</v>
      </c>
      <c r="J20" s="42" t="n">
        <v>10</v>
      </c>
      <c r="K20" s="44" t="n">
        <v>18</v>
      </c>
      <c r="L20" s="42" t="n">
        <v>1976</v>
      </c>
      <c r="M20" s="42" t="n">
        <v>2</v>
      </c>
      <c r="N20" s="44" t="n">
        <v>18</v>
      </c>
      <c r="O20" s="42" t="n">
        <v>1976</v>
      </c>
      <c r="P20" s="42" t="n">
        <v>30</v>
      </c>
      <c r="Q20" s="44" t="n">
        <v>19.2</v>
      </c>
      <c r="R20" s="42" t="n">
        <v>1976</v>
      </c>
      <c r="S20" s="42" t="n">
        <v>2</v>
      </c>
      <c r="T20" s="44" t="n">
        <v>20.8</v>
      </c>
      <c r="U20" s="42" t="n">
        <v>1977</v>
      </c>
      <c r="V20" s="42" t="n">
        <v>1</v>
      </c>
      <c r="W20" s="44" t="n">
        <v>20.4</v>
      </c>
      <c r="X20" s="42" t="n">
        <v>1986</v>
      </c>
      <c r="Y20" s="42" t="n">
        <v>8</v>
      </c>
      <c r="Z20" s="44" t="n">
        <v>20.2</v>
      </c>
      <c r="AA20" s="42" t="n">
        <v>2013</v>
      </c>
      <c r="AB20" s="42" t="n">
        <v>29</v>
      </c>
      <c r="AC20" s="44" t="n">
        <v>21.4</v>
      </c>
      <c r="AD20" s="42" t="n">
        <v>1986</v>
      </c>
      <c r="AE20" s="42" t="n">
        <v>24</v>
      </c>
      <c r="AF20" s="44" t="n">
        <v>19.2</v>
      </c>
      <c r="AG20" s="42" t="n">
        <v>1994</v>
      </c>
      <c r="AH20" s="42" t="n">
        <v>22</v>
      </c>
      <c r="AI20" s="44" t="n">
        <v>20</v>
      </c>
      <c r="AJ20" s="42" t="n">
        <v>1987</v>
      </c>
      <c r="AK20" s="42" t="n">
        <v>11</v>
      </c>
      <c r="AL20" s="44" t="n">
        <v>18.8</v>
      </c>
      <c r="AM20" s="42" t="n">
        <v>1990</v>
      </c>
      <c r="AN20" s="42" t="n">
        <v>25</v>
      </c>
      <c r="AO20" s="44" t="n">
        <v>18</v>
      </c>
      <c r="AP20" s="42" t="n">
        <v>2008</v>
      </c>
      <c r="AQ20" s="42" t="n">
        <v>21</v>
      </c>
    </row>
    <row r="21" ht="14.45" customHeight="1">
      <c r="A21" s="42" t="n">
        <v>25025100</v>
      </c>
      <c r="B21" s="42" t="inlineStr">
        <is>
          <t>AEROPUERTO BARACOA [25025100]</t>
        </is>
      </c>
      <c r="C21" s="42" t="n">
        <v>9.281944444000001</v>
      </c>
      <c r="D21" s="42" t="n">
        <v>-74.84527778</v>
      </c>
      <c r="E21" s="42" t="n">
        <v>18</v>
      </c>
      <c r="F21" s="42" t="inlineStr">
        <is>
          <t>Magangué</t>
        </is>
      </c>
      <c r="G21" s="42" t="inlineStr">
        <is>
          <t>Bolivar</t>
        </is>
      </c>
      <c r="H21" s="44" t="n">
        <v>17.4</v>
      </c>
      <c r="I21" s="42" t="n">
        <v>1979</v>
      </c>
      <c r="J21" s="42" t="n">
        <v>6</v>
      </c>
      <c r="K21" s="44" t="n">
        <v>17.4</v>
      </c>
      <c r="L21" s="42" t="n">
        <v>2015</v>
      </c>
      <c r="M21" s="42" t="n">
        <v>7</v>
      </c>
      <c r="N21" s="44" t="n">
        <v>18.2</v>
      </c>
      <c r="O21" s="42" t="n">
        <v>1999</v>
      </c>
      <c r="P21" s="42" t="n">
        <v>15</v>
      </c>
      <c r="Q21" s="44" t="n">
        <v>20</v>
      </c>
      <c r="R21" s="42" t="n">
        <v>1992</v>
      </c>
      <c r="S21" s="42" t="n">
        <v>30</v>
      </c>
      <c r="T21" s="44" t="n">
        <v>18</v>
      </c>
      <c r="U21" s="42" t="n">
        <v>1999</v>
      </c>
      <c r="V21" s="42" t="n">
        <v>16</v>
      </c>
      <c r="W21" s="44" t="n">
        <v>17.8</v>
      </c>
      <c r="X21" s="42" t="n">
        <v>1999</v>
      </c>
      <c r="Y21" s="42" t="n">
        <v>14</v>
      </c>
      <c r="Z21" s="44" t="n">
        <v>17.6</v>
      </c>
      <c r="AA21" s="42" t="n">
        <v>1999</v>
      </c>
      <c r="AB21" s="42" t="n">
        <v>10</v>
      </c>
      <c r="AC21" s="44" t="n">
        <v>17.2</v>
      </c>
      <c r="AD21" s="42" t="n">
        <v>1992</v>
      </c>
      <c r="AE21" s="42" t="n">
        <v>24</v>
      </c>
      <c r="AF21" s="44" t="n">
        <v>17.4</v>
      </c>
      <c r="AG21" s="42" t="n">
        <v>1992</v>
      </c>
      <c r="AH21" s="42" t="n">
        <v>17</v>
      </c>
      <c r="AI21" s="44" t="n">
        <v>17.2</v>
      </c>
      <c r="AJ21" s="42" t="n">
        <v>1992</v>
      </c>
      <c r="AK21" s="42" t="n">
        <v>2</v>
      </c>
      <c r="AL21" s="44" t="n">
        <v>18</v>
      </c>
      <c r="AM21" s="42" t="n">
        <v>1992</v>
      </c>
      <c r="AN21" s="42" t="n">
        <v>13</v>
      </c>
      <c r="AO21" s="44" t="n">
        <v>18.2</v>
      </c>
      <c r="AP21" s="42" t="n">
        <v>1992</v>
      </c>
      <c r="AQ21" s="42" t="n">
        <v>3</v>
      </c>
    </row>
    <row r="22" ht="14.45" customHeight="1">
      <c r="A22" s="42" t="n">
        <v>13035501</v>
      </c>
      <c r="B22" s="42" t="inlineStr">
        <is>
          <t>AEROPUERTO LOS GARZONES [13035501]</t>
        </is>
      </c>
      <c r="C22" s="42" t="n">
        <v>8.825833333</v>
      </c>
      <c r="D22" s="42" t="n">
        <v>-75.82513889000001</v>
      </c>
      <c r="E22" s="42" t="n">
        <v>20</v>
      </c>
      <c r="F22" s="42" t="inlineStr">
        <is>
          <t>Montería</t>
        </is>
      </c>
      <c r="G22" s="42" t="inlineStr">
        <is>
          <t>Cordoba</t>
        </is>
      </c>
      <c r="H22" s="44" t="n">
        <v>19.2</v>
      </c>
      <c r="I22" s="42" t="n">
        <v>2008</v>
      </c>
      <c r="J22" s="42" t="n">
        <v>3</v>
      </c>
      <c r="K22" s="44" t="n">
        <v>18.7</v>
      </c>
      <c r="L22" s="42" t="n">
        <v>2008</v>
      </c>
      <c r="M22" s="42" t="n">
        <v>3</v>
      </c>
      <c r="N22" s="44" t="n">
        <v>19.4</v>
      </c>
      <c r="O22" s="42" t="n">
        <v>1995</v>
      </c>
      <c r="P22" s="42" t="n">
        <v>25</v>
      </c>
      <c r="Q22" s="44" t="n">
        <v>19</v>
      </c>
      <c r="R22" s="42" t="n">
        <v>1978</v>
      </c>
      <c r="S22" s="42" t="n">
        <v>24</v>
      </c>
      <c r="T22" s="44" t="n">
        <v>20</v>
      </c>
      <c r="U22" s="42" t="n">
        <v>1979</v>
      </c>
      <c r="V22" s="42" t="n">
        <v>22</v>
      </c>
      <c r="W22" s="44" t="n">
        <v>20.2</v>
      </c>
      <c r="X22" s="42" t="n">
        <v>2013</v>
      </c>
      <c r="Y22" s="42" t="n">
        <v>28</v>
      </c>
      <c r="Z22" s="44" t="n">
        <v>19.8</v>
      </c>
      <c r="AA22" s="42" t="n">
        <v>1988</v>
      </c>
      <c r="AB22" s="42" t="n">
        <v>4</v>
      </c>
      <c r="AC22" s="44" t="n">
        <v>19.8</v>
      </c>
      <c r="AD22" s="42" t="n">
        <v>2000</v>
      </c>
      <c r="AE22" s="42" t="n">
        <v>13</v>
      </c>
      <c r="AF22" s="44" t="n">
        <v>19.8</v>
      </c>
      <c r="AG22" s="42" t="n">
        <v>2000</v>
      </c>
      <c r="AH22" s="42" t="n">
        <v>24</v>
      </c>
      <c r="AI22" s="44" t="n">
        <v>19.6</v>
      </c>
      <c r="AJ22" s="42" t="n">
        <v>2011</v>
      </c>
      <c r="AK22" s="42" t="n">
        <v>22</v>
      </c>
      <c r="AL22" s="44" t="n">
        <v>20.8</v>
      </c>
      <c r="AM22" s="42" t="n">
        <v>2015</v>
      </c>
      <c r="AN22" s="42" t="n">
        <v>2</v>
      </c>
      <c r="AO22" s="44" t="n">
        <v>20.2</v>
      </c>
      <c r="AP22" s="42" t="n">
        <v>1994</v>
      </c>
      <c r="AQ22" s="42" t="n">
        <v>29</v>
      </c>
    </row>
    <row r="23" ht="14.45" customHeight="1">
      <c r="A23" s="42" t="n">
        <v>13075010</v>
      </c>
      <c r="B23" s="42" t="inlineStr">
        <is>
          <t>CHIMA [13075010]</t>
        </is>
      </c>
      <c r="C23" s="42" t="n">
        <v>9.15075</v>
      </c>
      <c r="D23" s="42" t="n">
        <v>-75.62208333</v>
      </c>
      <c r="E23" s="42" t="n">
        <v>20</v>
      </c>
      <c r="F23" s="42" t="inlineStr">
        <is>
          <t>Chima</t>
        </is>
      </c>
      <c r="G23" s="42" t="inlineStr">
        <is>
          <t>Cordoba</t>
        </is>
      </c>
      <c r="H23" s="44" t="n">
        <v>17.3</v>
      </c>
      <c r="I23" s="42" t="n">
        <v>1991</v>
      </c>
      <c r="J23" s="42" t="n">
        <v>31</v>
      </c>
      <c r="K23" s="44" t="n">
        <v>18.2</v>
      </c>
      <c r="L23" s="42" t="n">
        <v>1985</v>
      </c>
      <c r="M23" s="42" t="n">
        <v>28</v>
      </c>
      <c r="N23" s="44" t="n">
        <v>18.8</v>
      </c>
      <c r="O23" s="42" t="n">
        <v>2018</v>
      </c>
      <c r="P23" s="42" t="n">
        <v>1</v>
      </c>
      <c r="Q23" s="44" t="n">
        <v>18.8</v>
      </c>
      <c r="R23" s="42" t="n">
        <v>2018</v>
      </c>
      <c r="S23" s="42" t="n">
        <v>7</v>
      </c>
      <c r="T23" s="44" t="n">
        <v>18.6</v>
      </c>
      <c r="U23" s="42" t="n">
        <v>2018</v>
      </c>
      <c r="V23" s="42" t="n">
        <v>9</v>
      </c>
      <c r="W23" s="44" t="n">
        <v>17.1</v>
      </c>
      <c r="X23" s="42" t="n">
        <v>1991</v>
      </c>
      <c r="Y23" s="42" t="n">
        <v>18</v>
      </c>
      <c r="Z23" s="44" t="n">
        <v>17.2</v>
      </c>
      <c r="AA23" s="42" t="n">
        <v>1991</v>
      </c>
      <c r="AB23" s="42" t="n">
        <v>5</v>
      </c>
      <c r="AC23" s="44" t="n">
        <v>16.2</v>
      </c>
      <c r="AD23" s="42" t="n">
        <v>1990</v>
      </c>
      <c r="AE23" s="42" t="n">
        <v>10</v>
      </c>
      <c r="AF23" s="44" t="n">
        <v>17.2</v>
      </c>
      <c r="AG23" s="42" t="n">
        <v>1990</v>
      </c>
      <c r="AH23" s="42" t="n">
        <v>2</v>
      </c>
      <c r="AI23" s="44" t="n">
        <v>16.2</v>
      </c>
      <c r="AJ23" s="42" t="n">
        <v>1990</v>
      </c>
      <c r="AK23" s="42" t="n">
        <v>1</v>
      </c>
      <c r="AL23" s="44" t="n">
        <v>18.3</v>
      </c>
      <c r="AM23" s="42" t="n">
        <v>1992</v>
      </c>
      <c r="AN23" s="42" t="n">
        <v>17</v>
      </c>
      <c r="AO23" s="44" t="n">
        <v>18.4</v>
      </c>
      <c r="AP23" s="42" t="n">
        <v>1990</v>
      </c>
      <c r="AQ23" s="42" t="n">
        <v>5</v>
      </c>
    </row>
    <row r="24" ht="14.45" customHeight="1">
      <c r="A24" s="42" t="n">
        <v>13075030</v>
      </c>
      <c r="B24" s="42" t="inlineStr">
        <is>
          <t>TURIPANA [13075030]</t>
        </is>
      </c>
      <c r="C24" s="42" t="n">
        <v>8.839527778000001</v>
      </c>
      <c r="D24" s="42" t="n">
        <v>-75.80188889</v>
      </c>
      <c r="E24" s="42" t="n">
        <v>20</v>
      </c>
      <c r="F24" s="42" t="inlineStr">
        <is>
          <t>Cereté</t>
        </is>
      </c>
      <c r="G24" s="42" t="inlineStr">
        <is>
          <t>Cordoba</t>
        </is>
      </c>
      <c r="H24" s="44" t="n">
        <v>18</v>
      </c>
      <c r="I24" s="42" t="n">
        <v>1979</v>
      </c>
      <c r="J24" s="42" t="n">
        <v>5</v>
      </c>
      <c r="K24" s="44" t="n">
        <v>16.8</v>
      </c>
      <c r="L24" s="42" t="n">
        <v>1989</v>
      </c>
      <c r="M24" s="42" t="n">
        <v>16</v>
      </c>
      <c r="N24" s="44" t="n">
        <v>18.6</v>
      </c>
      <c r="O24" s="42" t="n">
        <v>1988</v>
      </c>
      <c r="P24" s="42" t="n">
        <v>25</v>
      </c>
      <c r="Q24" s="44" t="n">
        <v>19</v>
      </c>
      <c r="R24" s="42" t="n">
        <v>1974</v>
      </c>
      <c r="S24" s="42" t="n">
        <v>12</v>
      </c>
      <c r="T24" s="44" t="n">
        <v>18.5</v>
      </c>
      <c r="U24" s="42" t="n">
        <v>1979</v>
      </c>
      <c r="V24" s="42" t="n">
        <v>22</v>
      </c>
      <c r="W24" s="44" t="n">
        <v>18</v>
      </c>
      <c r="X24" s="42" t="n">
        <v>1980</v>
      </c>
      <c r="Y24" s="42" t="n">
        <v>9</v>
      </c>
      <c r="Z24" s="44" t="n">
        <v>20</v>
      </c>
      <c r="AA24" s="42" t="n">
        <v>1983</v>
      </c>
      <c r="AB24" s="42" t="n">
        <v>8</v>
      </c>
      <c r="AC24" s="44" t="n">
        <v>19</v>
      </c>
      <c r="AD24" s="42" t="n">
        <v>2002</v>
      </c>
      <c r="AE24" s="42" t="n">
        <v>29</v>
      </c>
      <c r="AF24" s="44" t="n">
        <v>18.5</v>
      </c>
      <c r="AG24" s="42" t="n">
        <v>1978</v>
      </c>
      <c r="AH24" s="42" t="n">
        <v>28</v>
      </c>
      <c r="AI24" s="44" t="n">
        <v>20</v>
      </c>
      <c r="AJ24" s="42" t="n">
        <v>1971</v>
      </c>
      <c r="AK24" s="42" t="n">
        <v>22</v>
      </c>
      <c r="AL24" s="44" t="n">
        <v>18</v>
      </c>
      <c r="AM24" s="42" t="n">
        <v>1988</v>
      </c>
      <c r="AN24" s="42" t="n">
        <v>16</v>
      </c>
      <c r="AO24" s="44" t="n">
        <v>18</v>
      </c>
      <c r="AP24" s="42" t="n">
        <v>1978</v>
      </c>
      <c r="AQ24" s="42" t="n">
        <v>15</v>
      </c>
    </row>
    <row r="25" ht="14.45" customHeight="1">
      <c r="A25" s="42" t="n">
        <v>13085010</v>
      </c>
      <c r="B25" s="42" t="inlineStr">
        <is>
          <t>DOCTRINA LA [13085010]</t>
        </is>
      </c>
      <c r="C25" s="42" t="n">
        <v>9.297222222</v>
      </c>
      <c r="D25" s="42" t="n">
        <v>-75.89277778</v>
      </c>
      <c r="E25" s="42" t="n">
        <v>20</v>
      </c>
      <c r="F25" s="42" t="inlineStr">
        <is>
          <t>Lorica</t>
        </is>
      </c>
      <c r="G25" s="42" t="inlineStr">
        <is>
          <t>Cordoba</t>
        </is>
      </c>
      <c r="H25" s="44" t="n">
        <v>19.4</v>
      </c>
      <c r="I25" s="42" t="n">
        <v>2017</v>
      </c>
      <c r="J25" s="42" t="n">
        <v>24</v>
      </c>
      <c r="K25" s="44" t="n">
        <v>19.6</v>
      </c>
      <c r="L25" s="42" t="n">
        <v>1989</v>
      </c>
      <c r="M25" s="42" t="n">
        <v>16</v>
      </c>
      <c r="N25" s="44" t="n">
        <v>21</v>
      </c>
      <c r="O25" s="42" t="n">
        <v>1979</v>
      </c>
      <c r="P25" s="42" t="n">
        <v>12</v>
      </c>
      <c r="Q25" s="44" t="n">
        <v>20.3</v>
      </c>
      <c r="R25" s="42" t="n">
        <v>1994</v>
      </c>
      <c r="S25" s="42" t="n">
        <v>1</v>
      </c>
      <c r="T25" s="44" t="n">
        <v>21.2</v>
      </c>
      <c r="U25" s="42" t="n">
        <v>1995</v>
      </c>
      <c r="V25" s="42" t="n">
        <v>17</v>
      </c>
      <c r="W25" s="44" t="n">
        <v>20</v>
      </c>
      <c r="X25" s="42" t="n">
        <v>2017</v>
      </c>
      <c r="Y25" s="42" t="n">
        <v>21</v>
      </c>
      <c r="Z25" s="44" t="n">
        <v>19.8</v>
      </c>
      <c r="AA25" s="42" t="n">
        <v>1985</v>
      </c>
      <c r="AB25" s="42" t="n">
        <v>11</v>
      </c>
      <c r="AC25" s="44" t="n">
        <v>20.8</v>
      </c>
      <c r="AD25" s="42" t="n">
        <v>1982</v>
      </c>
      <c r="AE25" s="42" t="n">
        <v>3</v>
      </c>
      <c r="AF25" s="44" t="n">
        <v>20.6</v>
      </c>
      <c r="AG25" s="42" t="n">
        <v>1993</v>
      </c>
      <c r="AH25" s="42" t="n">
        <v>23</v>
      </c>
      <c r="AI25" s="44" t="n">
        <v>20.4</v>
      </c>
      <c r="AJ25" s="42" t="n">
        <v>1996</v>
      </c>
      <c r="AK25" s="42" t="n">
        <v>23</v>
      </c>
      <c r="AL25" s="44" t="n">
        <v>20.8</v>
      </c>
      <c r="AM25" s="42" t="n">
        <v>2005</v>
      </c>
      <c r="AN25" s="42" t="n">
        <v>24</v>
      </c>
      <c r="AO25" s="44" t="n">
        <v>20.4</v>
      </c>
      <c r="AP25" s="42" t="n">
        <v>1985</v>
      </c>
      <c r="AQ25" s="42" t="n">
        <v>18</v>
      </c>
    </row>
    <row r="26" ht="14.45" customHeight="1">
      <c r="A26" s="42" t="n">
        <v>14015010</v>
      </c>
      <c r="B26" s="42" t="inlineStr">
        <is>
          <t>GALERAZAMBA  - AUT [14015010]</t>
        </is>
      </c>
      <c r="C26" s="42" t="n">
        <v>10.794988</v>
      </c>
      <c r="D26" s="42" t="n">
        <v>-75.26167100000001</v>
      </c>
      <c r="E26" s="42" t="n">
        <v>20</v>
      </c>
      <c r="F26" s="42" t="inlineStr">
        <is>
          <t>Santa Catalina</t>
        </is>
      </c>
      <c r="G26" s="42" t="inlineStr">
        <is>
          <t>Bolivar</t>
        </is>
      </c>
      <c r="H26" s="44" t="n">
        <v>19.4</v>
      </c>
      <c r="I26" s="42" t="n">
        <v>1985</v>
      </c>
      <c r="J26" s="42" t="n">
        <v>3</v>
      </c>
      <c r="K26" s="44" t="n">
        <v>20</v>
      </c>
      <c r="L26" s="42" t="n">
        <v>1980</v>
      </c>
      <c r="M26" s="42" t="n">
        <v>15</v>
      </c>
      <c r="N26" s="44" t="n">
        <v>19</v>
      </c>
      <c r="O26" s="42" t="n">
        <v>1980</v>
      </c>
      <c r="P26" s="42" t="n">
        <v>14</v>
      </c>
      <c r="Q26" s="44" t="n">
        <v>20.2</v>
      </c>
      <c r="R26" s="42" t="n">
        <v>2005</v>
      </c>
      <c r="S26" s="42" t="n">
        <v>7</v>
      </c>
      <c r="T26" s="44" t="n">
        <v>19.2</v>
      </c>
      <c r="U26" s="42" t="n">
        <v>1981</v>
      </c>
      <c r="V26" s="42" t="n">
        <v>12</v>
      </c>
      <c r="W26" s="44" t="n">
        <v>19.5</v>
      </c>
      <c r="X26" s="42" t="n">
        <v>1999</v>
      </c>
      <c r="Y26" s="42" t="n">
        <v>30</v>
      </c>
      <c r="Z26" s="44" t="n">
        <v>20.4</v>
      </c>
      <c r="AA26" s="42" t="n">
        <v>2005</v>
      </c>
      <c r="AB26" s="42" t="n">
        <v>5</v>
      </c>
      <c r="AC26" s="44" t="n">
        <v>20</v>
      </c>
      <c r="AD26" s="42" t="n">
        <v>2003</v>
      </c>
      <c r="AE26" s="42" t="n">
        <v>22</v>
      </c>
      <c r="AF26" s="44" t="n">
        <v>20.2</v>
      </c>
      <c r="AG26" s="42" t="n">
        <v>1994</v>
      </c>
      <c r="AH26" s="42" t="n">
        <v>18</v>
      </c>
      <c r="AI26" s="44" t="n">
        <v>19</v>
      </c>
      <c r="AJ26" s="42" t="n">
        <v>1999</v>
      </c>
      <c r="AK26" s="42" t="n">
        <v>7</v>
      </c>
      <c r="AL26" s="44" t="n">
        <v>19.3</v>
      </c>
      <c r="AM26" s="42" t="n">
        <v>1994</v>
      </c>
      <c r="AN26" s="42" t="n">
        <v>16</v>
      </c>
      <c r="AO26" s="44" t="n">
        <v>19</v>
      </c>
      <c r="AP26" s="42" t="n">
        <v>1999</v>
      </c>
      <c r="AQ26" s="42" t="n">
        <v>17</v>
      </c>
    </row>
    <row r="27" ht="14.45" customHeight="1">
      <c r="A27" s="42" t="n">
        <v>15045010</v>
      </c>
      <c r="B27" s="42" t="inlineStr">
        <is>
          <t>MATITAS [15045010]</t>
        </is>
      </c>
      <c r="C27" s="42" t="n">
        <v>11.26388889</v>
      </c>
      <c r="D27" s="42" t="n">
        <v>-73.03027778000001</v>
      </c>
      <c r="E27" s="42" t="n">
        <v>20</v>
      </c>
      <c r="F27" s="42" t="inlineStr">
        <is>
          <t>Riohacha</t>
        </is>
      </c>
      <c r="G27" s="42" t="inlineStr">
        <is>
          <t>La Guajira</t>
        </is>
      </c>
      <c r="H27" s="44" t="n">
        <v>15.6</v>
      </c>
      <c r="I27" s="42" t="n">
        <v>2008</v>
      </c>
      <c r="J27" s="42" t="n">
        <v>28</v>
      </c>
      <c r="K27" s="44" t="n">
        <v>16.2</v>
      </c>
      <c r="L27" s="42" t="n">
        <v>2011</v>
      </c>
      <c r="M27" s="42" t="n">
        <v>11</v>
      </c>
      <c r="N27" s="44" t="n">
        <v>15.8</v>
      </c>
      <c r="O27" s="42" t="n">
        <v>1978</v>
      </c>
      <c r="P27" s="42" t="n">
        <v>2</v>
      </c>
      <c r="Q27" s="44" t="n">
        <v>16.2</v>
      </c>
      <c r="R27" s="42" t="n">
        <v>1998</v>
      </c>
      <c r="S27" s="42" t="n">
        <v>1</v>
      </c>
      <c r="T27" s="44" t="n">
        <v>16.4</v>
      </c>
      <c r="U27" s="42" t="n">
        <v>1999</v>
      </c>
      <c r="V27" s="42" t="n">
        <v>3</v>
      </c>
      <c r="W27" s="44" t="n">
        <v>19.4</v>
      </c>
      <c r="X27" s="42" t="n">
        <v>2008</v>
      </c>
      <c r="Y27" s="42" t="n">
        <v>20</v>
      </c>
      <c r="Z27" s="44" t="n">
        <v>17</v>
      </c>
      <c r="AA27" s="42" t="n">
        <v>2001</v>
      </c>
      <c r="AB27" s="42" t="n">
        <v>20</v>
      </c>
      <c r="AC27" s="44" t="n">
        <v>17.8</v>
      </c>
      <c r="AD27" s="42" t="n">
        <v>1979</v>
      </c>
      <c r="AE27" s="42" t="n">
        <v>2</v>
      </c>
      <c r="AF27" s="44" t="n">
        <v>18</v>
      </c>
      <c r="AG27" s="42" t="n">
        <v>1979</v>
      </c>
      <c r="AH27" s="42" t="n">
        <v>27</v>
      </c>
      <c r="AI27" s="44" t="n">
        <v>19.2</v>
      </c>
      <c r="AJ27" s="42" t="n">
        <v>1985</v>
      </c>
      <c r="AK27" s="42" t="n">
        <v>27</v>
      </c>
      <c r="AL27" s="44" t="n">
        <v>17.6</v>
      </c>
      <c r="AM27" s="42" t="n">
        <v>2018</v>
      </c>
      <c r="AN27" s="42" t="n">
        <v>30</v>
      </c>
      <c r="AO27" s="44" t="n">
        <v>15.7</v>
      </c>
      <c r="AP27" s="42" t="n">
        <v>1985</v>
      </c>
      <c r="AQ27" s="42" t="n">
        <v>17</v>
      </c>
    </row>
    <row r="28" ht="14.45" customHeight="1">
      <c r="A28" s="42" t="n">
        <v>25025030</v>
      </c>
      <c r="B28" s="42" t="inlineStr">
        <is>
          <t>AYAPEL - AUT [25025030]</t>
        </is>
      </c>
      <c r="C28" s="42" t="n">
        <v>8.295063889</v>
      </c>
      <c r="D28" s="42" t="n">
        <v>-75.16455556</v>
      </c>
      <c r="E28" s="42" t="n">
        <v>20</v>
      </c>
      <c r="F28" s="42" t="inlineStr">
        <is>
          <t>Ayapel</t>
        </is>
      </c>
      <c r="G28" s="42" t="inlineStr">
        <is>
          <t>Cordoba</t>
        </is>
      </c>
      <c r="H28" s="44" t="n">
        <v>18</v>
      </c>
      <c r="I28" s="42" t="n">
        <v>1976</v>
      </c>
      <c r="J28" s="42" t="n">
        <v>31</v>
      </c>
      <c r="K28" s="44" t="n">
        <v>18.4</v>
      </c>
      <c r="L28" s="42" t="n">
        <v>1976</v>
      </c>
      <c r="M28" s="42" t="n">
        <v>16</v>
      </c>
      <c r="N28" s="44" t="n">
        <v>19.4</v>
      </c>
      <c r="O28" s="42" t="n">
        <v>2011</v>
      </c>
      <c r="P28" s="42" t="n">
        <v>7</v>
      </c>
      <c r="Q28" s="44" t="n">
        <v>18.6</v>
      </c>
      <c r="R28" s="42" t="n">
        <v>1999</v>
      </c>
      <c r="S28" s="42" t="n">
        <v>1</v>
      </c>
      <c r="T28" s="44" t="n">
        <v>19</v>
      </c>
      <c r="U28" s="42" t="n">
        <v>1995</v>
      </c>
      <c r="V28" s="42" t="n">
        <v>18</v>
      </c>
      <c r="W28" s="44" t="n">
        <v>20</v>
      </c>
      <c r="X28" s="42" t="n">
        <v>2007</v>
      </c>
      <c r="Y28" s="42" t="n">
        <v>27</v>
      </c>
      <c r="Z28" s="44" t="n">
        <v>19</v>
      </c>
      <c r="AA28" s="42" t="n">
        <v>1992</v>
      </c>
      <c r="AB28" s="42" t="n">
        <v>11</v>
      </c>
      <c r="AC28" s="44" t="n">
        <v>18</v>
      </c>
      <c r="AD28" s="42" t="n">
        <v>2010</v>
      </c>
      <c r="AE28" s="42" t="n">
        <v>28</v>
      </c>
      <c r="AF28" s="44" t="n">
        <v>18.2</v>
      </c>
      <c r="AG28" s="42" t="n">
        <v>2010</v>
      </c>
      <c r="AH28" s="42" t="n">
        <v>27</v>
      </c>
      <c r="AI28" s="44" t="n">
        <v>19.4</v>
      </c>
      <c r="AJ28" s="42" t="n">
        <v>1993</v>
      </c>
      <c r="AK28" s="42" t="n">
        <v>9</v>
      </c>
      <c r="AL28" s="44" t="n">
        <v>19.4</v>
      </c>
      <c r="AM28" s="42" t="n">
        <v>2010</v>
      </c>
      <c r="AN28" s="42" t="n">
        <v>6</v>
      </c>
      <c r="AO28" s="44" t="n">
        <v>19.2</v>
      </c>
      <c r="AP28" s="42" t="n">
        <v>2010</v>
      </c>
      <c r="AQ28" s="42" t="n">
        <v>5</v>
      </c>
    </row>
    <row r="29" ht="14.45" customHeight="1">
      <c r="A29" s="42" t="n">
        <v>25025380</v>
      </c>
      <c r="B29" s="42" t="inlineStr">
        <is>
          <t>SAN BENITO - AUT [25025380]</t>
        </is>
      </c>
      <c r="C29" s="42" t="n">
        <v>9.163888889000001</v>
      </c>
      <c r="D29" s="42" t="n">
        <v>-75.04472222</v>
      </c>
      <c r="E29" s="42" t="n">
        <v>20</v>
      </c>
      <c r="F29" s="42" t="inlineStr">
        <is>
          <t>San Benito Abad</t>
        </is>
      </c>
      <c r="G29" s="42" t="inlineStr">
        <is>
          <t>Sucre</t>
        </is>
      </c>
      <c r="H29" s="44" t="n">
        <v>18.8</v>
      </c>
      <c r="I29" s="42" t="n">
        <v>2010</v>
      </c>
      <c r="J29" s="42" t="n">
        <v>1</v>
      </c>
      <c r="K29" s="44" t="n">
        <v>18.4</v>
      </c>
      <c r="L29" s="42" t="n">
        <v>1982</v>
      </c>
      <c r="M29" s="42" t="n">
        <v>7</v>
      </c>
      <c r="N29" s="44" t="n">
        <v>18</v>
      </c>
      <c r="O29" s="42" t="n">
        <v>1993</v>
      </c>
      <c r="P29" s="42" t="n">
        <v>23</v>
      </c>
      <c r="Q29" s="44" t="n">
        <v>18</v>
      </c>
      <c r="R29" s="42" t="n">
        <v>1981</v>
      </c>
      <c r="S29" s="42" t="n">
        <v>6</v>
      </c>
      <c r="T29" s="44" t="n">
        <v>18.4</v>
      </c>
      <c r="U29" s="42" t="n">
        <v>2009</v>
      </c>
      <c r="V29" s="42" t="n">
        <v>15</v>
      </c>
      <c r="W29" s="44" t="n">
        <v>19</v>
      </c>
      <c r="X29" s="42" t="n">
        <v>2010</v>
      </c>
      <c r="Y29" s="42" t="n">
        <v>9</v>
      </c>
      <c r="Z29" s="44" t="n">
        <v>18.4</v>
      </c>
      <c r="AA29" s="42" t="n">
        <v>1995</v>
      </c>
      <c r="AB29" s="42" t="n">
        <v>13</v>
      </c>
      <c r="AC29" s="44" t="n">
        <v>18.2</v>
      </c>
      <c r="AD29" s="42" t="n">
        <v>1990</v>
      </c>
      <c r="AE29" s="42" t="n">
        <v>16</v>
      </c>
      <c r="AF29" s="44" t="n">
        <v>18.2</v>
      </c>
      <c r="AG29" s="42" t="n">
        <v>2010</v>
      </c>
      <c r="AH29" s="42" t="n">
        <v>5</v>
      </c>
      <c r="AI29" s="44" t="n">
        <v>18</v>
      </c>
      <c r="AJ29" s="42" t="n">
        <v>2009</v>
      </c>
      <c r="AK29" s="42" t="n">
        <v>4</v>
      </c>
      <c r="AL29" s="44" t="n">
        <v>19</v>
      </c>
      <c r="AM29" s="42" t="n">
        <v>2008</v>
      </c>
      <c r="AN29" s="42" t="n">
        <v>4</v>
      </c>
      <c r="AO29" s="44" t="n">
        <v>18.5</v>
      </c>
      <c r="AP29" s="42" t="n">
        <v>1992</v>
      </c>
      <c r="AQ29" s="42" t="n">
        <v>24</v>
      </c>
    </row>
    <row r="30" ht="14.45" customHeight="1">
      <c r="A30" s="42" t="n">
        <v>29035110</v>
      </c>
      <c r="B30" s="42" t="inlineStr">
        <is>
          <t>SAN PABLO [29035110]</t>
        </is>
      </c>
      <c r="C30" s="42" t="n">
        <v>10.04316667</v>
      </c>
      <c r="D30" s="42" t="n">
        <v>-75.25861111</v>
      </c>
      <c r="E30" s="42" t="n">
        <v>20</v>
      </c>
      <c r="F30" s="42" t="inlineStr">
        <is>
          <t>María La Baja</t>
        </is>
      </c>
      <c r="G30" s="42" t="inlineStr">
        <is>
          <t>Bolivar</t>
        </is>
      </c>
      <c r="H30" s="44" t="n">
        <v>16.2</v>
      </c>
      <c r="I30" s="42" t="n">
        <v>1988</v>
      </c>
      <c r="J30" s="42" t="n">
        <v>25</v>
      </c>
      <c r="K30" s="44" t="n">
        <v>17.4</v>
      </c>
      <c r="L30" s="42" t="n">
        <v>1978</v>
      </c>
      <c r="M30" s="42" t="n">
        <v>6</v>
      </c>
      <c r="N30" s="44" t="n">
        <v>16.6</v>
      </c>
      <c r="O30" s="42" t="n">
        <v>1988</v>
      </c>
      <c r="P30" s="42" t="n">
        <v>1</v>
      </c>
      <c r="Q30" s="44" t="n">
        <v>18.4</v>
      </c>
      <c r="R30" s="42" t="n">
        <v>1985</v>
      </c>
      <c r="S30" s="42" t="n">
        <v>26</v>
      </c>
      <c r="T30" s="44" t="n">
        <v>19</v>
      </c>
      <c r="U30" s="42" t="n">
        <v>1985</v>
      </c>
      <c r="V30" s="42" t="n">
        <v>2</v>
      </c>
      <c r="W30" s="44" t="n">
        <v>18.4</v>
      </c>
      <c r="X30" s="42" t="n">
        <v>2004</v>
      </c>
      <c r="Y30" s="42" t="n">
        <v>3</v>
      </c>
      <c r="Z30" s="44" t="n">
        <v>18</v>
      </c>
      <c r="AA30" s="42" t="n">
        <v>1985</v>
      </c>
      <c r="AB30" s="42" t="n">
        <v>13</v>
      </c>
      <c r="AC30" s="44" t="n">
        <v>17.8</v>
      </c>
      <c r="AD30" s="42" t="n">
        <v>1978</v>
      </c>
      <c r="AE30" s="42" t="n">
        <v>31</v>
      </c>
      <c r="AF30" s="44" t="n">
        <v>17.2</v>
      </c>
      <c r="AG30" s="42" t="n">
        <v>1978</v>
      </c>
      <c r="AH30" s="42" t="n">
        <v>1</v>
      </c>
      <c r="AI30" s="44" t="n">
        <v>18.4</v>
      </c>
      <c r="AJ30" s="42" t="n">
        <v>1983</v>
      </c>
      <c r="AK30" s="42" t="n">
        <v>17</v>
      </c>
      <c r="AL30" s="44" t="n">
        <v>18.2</v>
      </c>
      <c r="AM30" s="42" t="n">
        <v>2004</v>
      </c>
      <c r="AN30" s="42" t="n">
        <v>8</v>
      </c>
      <c r="AO30" s="44" t="n">
        <v>16</v>
      </c>
      <c r="AP30" s="42" t="n">
        <v>1986</v>
      </c>
      <c r="AQ30" s="42" t="n">
        <v>16</v>
      </c>
    </row>
    <row r="31" ht="14.45" customHeight="1">
      <c r="A31" s="42" t="n">
        <v>29065020</v>
      </c>
      <c r="B31" s="42" t="inlineStr">
        <is>
          <t>PADELMA [29065020]</t>
        </is>
      </c>
      <c r="C31" s="42" t="n">
        <v>10.72111111</v>
      </c>
      <c r="D31" s="42" t="n">
        <v>-74.19972222</v>
      </c>
      <c r="E31" s="42" t="n">
        <v>20</v>
      </c>
      <c r="F31" s="42" t="inlineStr">
        <is>
          <t>Zona Bananera</t>
        </is>
      </c>
      <c r="G31" s="42" t="inlineStr">
        <is>
          <t>Magdalena</t>
        </is>
      </c>
      <c r="H31" s="44" t="n">
        <v>14.2</v>
      </c>
      <c r="I31" s="42" t="n">
        <v>1987</v>
      </c>
      <c r="J31" s="42" t="n">
        <v>8</v>
      </c>
      <c r="K31" s="44" t="n">
        <v>14.2</v>
      </c>
      <c r="L31" s="42" t="n">
        <v>1989</v>
      </c>
      <c r="M31" s="42" t="n">
        <v>11</v>
      </c>
      <c r="N31" s="44" t="n">
        <v>16.2</v>
      </c>
      <c r="O31" s="42" t="n">
        <v>1989</v>
      </c>
      <c r="P31" s="42" t="n">
        <v>6</v>
      </c>
      <c r="Q31" s="44" t="n">
        <v>16.6</v>
      </c>
      <c r="R31" s="42" t="n">
        <v>1989</v>
      </c>
      <c r="S31" s="42" t="n">
        <v>1</v>
      </c>
      <c r="T31" s="44" t="n">
        <v>16.4</v>
      </c>
      <c r="U31" s="42" t="n">
        <v>1989</v>
      </c>
      <c r="V31" s="42" t="n">
        <v>4</v>
      </c>
      <c r="W31" s="44" t="n">
        <v>16.6</v>
      </c>
      <c r="X31" s="42" t="n">
        <v>1985</v>
      </c>
      <c r="Y31" s="42" t="n">
        <v>20</v>
      </c>
      <c r="Z31" s="44" t="n">
        <v>16.8</v>
      </c>
      <c r="AA31" s="42" t="n">
        <v>1986</v>
      </c>
      <c r="AB31" s="42" t="n">
        <v>5</v>
      </c>
      <c r="AC31" s="44" t="n">
        <v>17.4</v>
      </c>
      <c r="AD31" s="42" t="n">
        <v>1986</v>
      </c>
      <c r="AE31" s="42" t="n">
        <v>3</v>
      </c>
      <c r="AF31" s="44" t="n">
        <v>16</v>
      </c>
      <c r="AG31" s="42" t="n">
        <v>1995</v>
      </c>
      <c r="AH31" s="42" t="n">
        <v>3</v>
      </c>
      <c r="AI31" s="44" t="n">
        <v>17.2</v>
      </c>
      <c r="AJ31" s="42" t="n">
        <v>1986</v>
      </c>
      <c r="AK31" s="42" t="n">
        <v>6</v>
      </c>
      <c r="AL31" s="44" t="n">
        <v>15.6</v>
      </c>
      <c r="AM31" s="42" t="n">
        <v>1986</v>
      </c>
      <c r="AN31" s="42" t="n">
        <v>28</v>
      </c>
      <c r="AO31" s="44" t="n">
        <v>14.4</v>
      </c>
      <c r="AP31" s="42" t="n">
        <v>1987</v>
      </c>
      <c r="AQ31" s="42" t="n">
        <v>26</v>
      </c>
    </row>
    <row r="32" ht="14.45" customHeight="1">
      <c r="A32" s="42" t="n">
        <v>13085030</v>
      </c>
      <c r="B32" s="42" t="inlineStr">
        <is>
          <t>SAN BERNARDO DEL VIENTO [13085030]</t>
        </is>
      </c>
      <c r="C32" s="42" t="n">
        <v>9.369999999999999</v>
      </c>
      <c r="D32" s="42" t="n">
        <v>-75.95</v>
      </c>
      <c r="E32" s="42" t="n">
        <v>22</v>
      </c>
      <c r="F32" s="42" t="inlineStr">
        <is>
          <t>San Bernardo Del Viento</t>
        </is>
      </c>
      <c r="G32" s="42" t="inlineStr">
        <is>
          <t>Cordoba</t>
        </is>
      </c>
      <c r="H32" s="44" t="n">
        <v>18</v>
      </c>
      <c r="I32" s="42" t="n">
        <v>2003</v>
      </c>
      <c r="J32" s="42" t="n">
        <v>29</v>
      </c>
      <c r="K32" s="44" t="n">
        <v>18</v>
      </c>
      <c r="L32" s="42" t="n">
        <v>2002</v>
      </c>
      <c r="M32" s="42" t="n">
        <v>25</v>
      </c>
      <c r="N32" s="44" t="n">
        <v>18</v>
      </c>
      <c r="O32" s="42" t="n">
        <v>2002</v>
      </c>
      <c r="P32" s="42" t="n">
        <v>15</v>
      </c>
      <c r="Q32" s="44" t="n">
        <v>18</v>
      </c>
      <c r="R32" s="42" t="n">
        <v>2002</v>
      </c>
      <c r="S32" s="42" t="n">
        <v>6</v>
      </c>
      <c r="T32" s="44" t="n">
        <v>17.2</v>
      </c>
      <c r="U32" s="42" t="n">
        <v>1989</v>
      </c>
      <c r="V32" s="42" t="n">
        <v>10</v>
      </c>
      <c r="W32" s="44" t="n">
        <v>18</v>
      </c>
      <c r="X32" s="42" t="n">
        <v>2002</v>
      </c>
      <c r="Y32" s="42" t="n">
        <v>11</v>
      </c>
      <c r="Z32" s="44" t="n">
        <v>17</v>
      </c>
      <c r="AA32" s="42" t="n">
        <v>2001</v>
      </c>
      <c r="AB32" s="42" t="n">
        <v>26</v>
      </c>
      <c r="AC32" s="44" t="n">
        <v>17</v>
      </c>
      <c r="AD32" s="42" t="n">
        <v>1989</v>
      </c>
      <c r="AE32" s="42" t="n">
        <v>13</v>
      </c>
      <c r="AF32" s="44" t="n">
        <v>17</v>
      </c>
      <c r="AG32" s="42" t="n">
        <v>1989</v>
      </c>
      <c r="AH32" s="42" t="n">
        <v>9</v>
      </c>
      <c r="AI32" s="44" t="n">
        <v>17.6</v>
      </c>
      <c r="AJ32" s="42" t="n">
        <v>2001</v>
      </c>
      <c r="AK32" s="42" t="n">
        <v>3</v>
      </c>
      <c r="AL32" s="44" t="n">
        <v>18.2</v>
      </c>
      <c r="AM32" s="42" t="n">
        <v>2001</v>
      </c>
      <c r="AN32" s="42" t="n">
        <v>27</v>
      </c>
      <c r="AO32" s="44" t="n">
        <v>17.9</v>
      </c>
      <c r="AP32" s="42" t="n">
        <v>1989</v>
      </c>
      <c r="AQ32" s="42" t="n">
        <v>4</v>
      </c>
    </row>
    <row r="33" ht="14.45" customHeight="1">
      <c r="A33" s="42" t="n">
        <v>13065020</v>
      </c>
      <c r="B33" s="42" t="inlineStr">
        <is>
          <t>MARACAYO [13065020]</t>
        </is>
      </c>
      <c r="C33" s="42" t="n">
        <v>8.41</v>
      </c>
      <c r="D33" s="42" t="n">
        <v>-75.88</v>
      </c>
      <c r="E33" s="42" t="n">
        <v>25</v>
      </c>
      <c r="F33" s="42" t="inlineStr">
        <is>
          <t>Montería</t>
        </is>
      </c>
      <c r="G33" s="42" t="inlineStr">
        <is>
          <t>Cordoba</t>
        </is>
      </c>
      <c r="H33" s="44" t="n">
        <v>18.4</v>
      </c>
      <c r="I33" s="42" t="n">
        <v>1990</v>
      </c>
      <c r="J33" s="42" t="n">
        <v>6</v>
      </c>
      <c r="K33" s="44" t="n">
        <v>18.6</v>
      </c>
      <c r="L33" s="42" t="n">
        <v>2008</v>
      </c>
      <c r="M33" s="42" t="n">
        <v>4</v>
      </c>
      <c r="N33" s="44" t="n">
        <v>18.2</v>
      </c>
      <c r="O33" s="42" t="n">
        <v>1994</v>
      </c>
      <c r="P33" s="42" t="n">
        <v>28</v>
      </c>
      <c r="Q33" s="44" t="n">
        <v>18</v>
      </c>
      <c r="R33" s="42" t="n">
        <v>1994</v>
      </c>
      <c r="S33" s="42" t="n">
        <v>29</v>
      </c>
      <c r="T33" s="44" t="n">
        <v>18.2</v>
      </c>
      <c r="U33" s="42" t="n">
        <v>1994</v>
      </c>
      <c r="V33" s="42" t="n">
        <v>7</v>
      </c>
      <c r="W33" s="44" t="n">
        <v>18.2</v>
      </c>
      <c r="X33" s="42" t="n">
        <v>1994</v>
      </c>
      <c r="Y33" s="42" t="n">
        <v>27</v>
      </c>
      <c r="Z33" s="44" t="n">
        <v>18.6</v>
      </c>
      <c r="AA33" s="42" t="n">
        <v>1989</v>
      </c>
      <c r="AB33" s="42" t="n">
        <v>18</v>
      </c>
      <c r="AC33" s="44" t="n">
        <v>18.2</v>
      </c>
      <c r="AD33" s="42" t="n">
        <v>1989</v>
      </c>
      <c r="AE33" s="42" t="n">
        <v>23</v>
      </c>
      <c r="AF33" s="44" t="n">
        <v>18</v>
      </c>
      <c r="AG33" s="42" t="n">
        <v>1992</v>
      </c>
      <c r="AH33" s="42" t="n">
        <v>23</v>
      </c>
      <c r="AI33" s="44" t="n">
        <v>18</v>
      </c>
      <c r="AJ33" s="42" t="n">
        <v>1993</v>
      </c>
      <c r="AK33" s="42" t="n">
        <v>22</v>
      </c>
      <c r="AL33" s="44" t="n">
        <v>19</v>
      </c>
      <c r="AM33" s="42" t="n">
        <v>1988</v>
      </c>
      <c r="AN33" s="42" t="n">
        <v>9</v>
      </c>
      <c r="AO33" s="44" t="n">
        <v>18.4</v>
      </c>
      <c r="AP33" s="42" t="n">
        <v>1989</v>
      </c>
      <c r="AQ33" s="42" t="n">
        <v>29</v>
      </c>
    </row>
    <row r="34" ht="14.45" customHeight="1">
      <c r="A34" s="42" t="n">
        <v>25025002</v>
      </c>
      <c r="B34" s="42" t="inlineStr">
        <is>
          <t>LOS ALAMOS - AUT [25025002]</t>
        </is>
      </c>
      <c r="C34" s="42" t="n">
        <v>9.304055556</v>
      </c>
      <c r="D34" s="42" t="n">
        <v>-74.27363889</v>
      </c>
      <c r="E34" s="42" t="n">
        <v>25</v>
      </c>
      <c r="F34" s="42" t="inlineStr">
        <is>
          <t>San Sebastián De Buenavista</t>
        </is>
      </c>
      <c r="G34" s="42" t="inlineStr">
        <is>
          <t>Magdalena</t>
        </is>
      </c>
      <c r="H34" s="44" t="n">
        <v>16.8</v>
      </c>
      <c r="I34" s="42" t="n">
        <v>2000</v>
      </c>
      <c r="J34" s="42" t="n">
        <v>14</v>
      </c>
      <c r="K34" s="44" t="n">
        <v>17</v>
      </c>
      <c r="L34" s="42" t="n">
        <v>1989</v>
      </c>
      <c r="M34" s="42" t="n">
        <v>16</v>
      </c>
      <c r="N34" s="44" t="n">
        <v>18.2</v>
      </c>
      <c r="O34" s="42" t="n">
        <v>1997</v>
      </c>
      <c r="P34" s="42" t="n">
        <v>11</v>
      </c>
      <c r="Q34" s="44" t="n">
        <v>19.2</v>
      </c>
      <c r="R34" s="42" t="n">
        <v>2012</v>
      </c>
      <c r="S34" s="42" t="n">
        <v>9</v>
      </c>
      <c r="T34" s="44" t="n">
        <v>17</v>
      </c>
      <c r="U34" s="42" t="n">
        <v>1995</v>
      </c>
      <c r="V34" s="42" t="n">
        <v>17</v>
      </c>
      <c r="W34" s="44" t="n">
        <v>19</v>
      </c>
      <c r="X34" s="42" t="n">
        <v>2012</v>
      </c>
      <c r="Y34" s="42" t="n">
        <v>24</v>
      </c>
      <c r="Z34" s="44" t="n">
        <v>18.8</v>
      </c>
      <c r="AA34" s="42" t="n">
        <v>2000</v>
      </c>
      <c r="AB34" s="42" t="n">
        <v>11</v>
      </c>
      <c r="AC34" s="44" t="n">
        <v>19.2</v>
      </c>
      <c r="AD34" s="42" t="n">
        <v>2004</v>
      </c>
      <c r="AE34" s="42" t="n">
        <v>30</v>
      </c>
      <c r="AF34" s="44" t="n">
        <v>18</v>
      </c>
      <c r="AG34" s="42" t="n">
        <v>2004</v>
      </c>
      <c r="AH34" s="42" t="n">
        <v>14</v>
      </c>
      <c r="AI34" s="44" t="n">
        <v>19.4</v>
      </c>
      <c r="AJ34" s="42" t="n">
        <v>2011</v>
      </c>
      <c r="AK34" s="42" t="n">
        <v>23</v>
      </c>
      <c r="AL34" s="44" t="n">
        <v>18.2</v>
      </c>
      <c r="AM34" s="42" t="n">
        <v>2000</v>
      </c>
      <c r="AN34" s="42" t="n">
        <v>23</v>
      </c>
      <c r="AO34" s="44" t="n">
        <v>17.2</v>
      </c>
      <c r="AP34" s="42" t="n">
        <v>1985</v>
      </c>
      <c r="AQ34" s="42" t="n">
        <v>18</v>
      </c>
    </row>
    <row r="35" ht="14.45" customHeight="1">
      <c r="A35" s="42" t="n">
        <v>53115010</v>
      </c>
      <c r="B35" s="42" t="inlineStr">
        <is>
          <t>AEROPUERTO BUENAVENTUR [53115010]</t>
        </is>
      </c>
      <c r="C35" s="42" t="n">
        <v>3.820111111</v>
      </c>
      <c r="D35" s="42" t="n">
        <v>-76.992388889</v>
      </c>
      <c r="E35" s="42" t="n">
        <v>28</v>
      </c>
      <c r="F35" s="42" t="inlineStr">
        <is>
          <t>Buenaventura</t>
        </is>
      </c>
      <c r="G35" s="42" t="inlineStr">
        <is>
          <t>Valle Del Cauca</t>
        </is>
      </c>
      <c r="H35" s="44" t="n">
        <v>20</v>
      </c>
      <c r="I35" s="42" t="n">
        <v>2003</v>
      </c>
      <c r="J35" s="42" t="n">
        <v>20</v>
      </c>
      <c r="K35" s="44" t="n">
        <v>19.8</v>
      </c>
      <c r="L35" s="42" t="n">
        <v>2004</v>
      </c>
      <c r="M35" s="42" t="n">
        <v>14</v>
      </c>
      <c r="N35" s="44" t="n">
        <v>19.2</v>
      </c>
      <c r="O35" s="42" t="n">
        <v>2000</v>
      </c>
      <c r="P35" s="42" t="n">
        <v>9</v>
      </c>
      <c r="Q35" s="44" t="n">
        <v>20.4</v>
      </c>
      <c r="R35" s="42" t="n">
        <v>2005</v>
      </c>
      <c r="S35" s="42" t="n">
        <v>8</v>
      </c>
      <c r="T35" s="44" t="n">
        <v>19.8</v>
      </c>
      <c r="U35" s="42" t="n">
        <v>2000</v>
      </c>
      <c r="V35" s="42" t="n">
        <v>4</v>
      </c>
      <c r="W35" s="44" t="n">
        <v>19.4</v>
      </c>
      <c r="X35" s="42" t="n">
        <v>2000</v>
      </c>
      <c r="Y35" s="42" t="n">
        <v>15</v>
      </c>
      <c r="Z35" s="44" t="n">
        <v>20</v>
      </c>
      <c r="AA35" s="42" t="n">
        <v>1999</v>
      </c>
      <c r="AB35" s="42" t="n">
        <v>4</v>
      </c>
      <c r="AC35" s="44" t="n">
        <v>19</v>
      </c>
      <c r="AD35" s="42" t="n">
        <v>2000</v>
      </c>
      <c r="AE35" s="42" t="n">
        <v>10</v>
      </c>
      <c r="AF35" s="44" t="n">
        <v>19.2</v>
      </c>
      <c r="AG35" s="42" t="n">
        <v>2000</v>
      </c>
      <c r="AH35" s="42" t="n">
        <v>12</v>
      </c>
      <c r="AI35" s="44" t="n">
        <v>20</v>
      </c>
      <c r="AJ35" s="42" t="n">
        <v>1999</v>
      </c>
      <c r="AK35" s="42" t="n">
        <v>7</v>
      </c>
      <c r="AL35" s="44" t="n">
        <v>20.3</v>
      </c>
      <c r="AM35" s="42" t="n">
        <v>1983</v>
      </c>
      <c r="AN35" s="42" t="n">
        <v>28</v>
      </c>
      <c r="AO35" s="44" t="n">
        <v>19.2</v>
      </c>
      <c r="AP35" s="42" t="n">
        <v>1983</v>
      </c>
      <c r="AQ35" s="42" t="n">
        <v>21</v>
      </c>
    </row>
    <row r="36" ht="14.45" customHeight="1">
      <c r="A36" s="42" t="n">
        <v>54085010</v>
      </c>
      <c r="B36" s="42" t="inlineStr">
        <is>
          <t>NOANAMA [54085010]</t>
        </is>
      </c>
      <c r="C36" s="42" t="n">
        <v>4.688194444</v>
      </c>
      <c r="D36" s="42" t="n">
        <v>-76.93425000000001</v>
      </c>
      <c r="E36" s="42" t="n">
        <v>28</v>
      </c>
      <c r="F36" s="42" t="inlineStr">
        <is>
          <t>Medio San Juan</t>
        </is>
      </c>
      <c r="G36" s="42" t="inlineStr">
        <is>
          <t>Choco</t>
        </is>
      </c>
      <c r="H36" s="44" t="n">
        <v>19</v>
      </c>
      <c r="I36" s="42" t="n">
        <v>1986</v>
      </c>
      <c r="J36" s="42" t="n">
        <v>19</v>
      </c>
      <c r="K36" s="44" t="n">
        <v>20</v>
      </c>
      <c r="L36" s="42" t="n">
        <v>1984</v>
      </c>
      <c r="M36" s="42" t="n">
        <v>6</v>
      </c>
      <c r="N36" s="44" t="n">
        <v>20</v>
      </c>
      <c r="O36" s="42" t="n">
        <v>1986</v>
      </c>
      <c r="P36" s="42" t="n">
        <v>4</v>
      </c>
      <c r="Q36" s="44" t="n">
        <v>19</v>
      </c>
      <c r="R36" s="42" t="n">
        <v>1998</v>
      </c>
      <c r="S36" s="42" t="n">
        <v>12</v>
      </c>
      <c r="T36" s="44" t="n">
        <v>19.4</v>
      </c>
      <c r="U36" s="42" t="n">
        <v>1997</v>
      </c>
      <c r="V36" s="42" t="n">
        <v>13</v>
      </c>
      <c r="W36" s="44" t="n">
        <v>19</v>
      </c>
      <c r="X36" s="42" t="n">
        <v>1998</v>
      </c>
      <c r="Y36" s="42" t="n">
        <v>16</v>
      </c>
      <c r="Z36" s="44" t="n">
        <v>18</v>
      </c>
      <c r="AA36" s="42" t="n">
        <v>1998</v>
      </c>
      <c r="AB36" s="42" t="n">
        <v>12</v>
      </c>
      <c r="AC36" s="44" t="n">
        <v>18</v>
      </c>
      <c r="AD36" s="42" t="n">
        <v>1995</v>
      </c>
      <c r="AE36" s="42" t="n">
        <v>21</v>
      </c>
      <c r="AF36" s="44" t="n">
        <v>19</v>
      </c>
      <c r="AG36" s="42" t="n">
        <v>1997</v>
      </c>
      <c r="AH36" s="42" t="n">
        <v>13</v>
      </c>
      <c r="AI36" s="44" t="n">
        <v>17.4</v>
      </c>
      <c r="AJ36" s="42" t="n">
        <v>1998</v>
      </c>
      <c r="AK36" s="42" t="n">
        <v>10</v>
      </c>
      <c r="AL36" s="44" t="n">
        <v>19</v>
      </c>
      <c r="AM36" s="42" t="n">
        <v>1998</v>
      </c>
      <c r="AN36" s="42" t="n">
        <v>1</v>
      </c>
      <c r="AO36" s="44" t="n">
        <v>19</v>
      </c>
      <c r="AP36" s="42" t="n">
        <v>1998</v>
      </c>
      <c r="AQ36" s="42" t="n">
        <v>7</v>
      </c>
    </row>
    <row r="37" ht="14.45" customHeight="1">
      <c r="A37" s="42" t="n">
        <v>52065020</v>
      </c>
      <c r="B37" s="42" t="inlineStr">
        <is>
          <t>BARBACOAS [52065020]</t>
        </is>
      </c>
      <c r="C37" s="42" t="n">
        <v>1.67</v>
      </c>
      <c r="D37" s="42" t="n">
        <v>-78.14</v>
      </c>
      <c r="E37" s="42" t="n">
        <v>32</v>
      </c>
      <c r="F37" s="42" t="inlineStr">
        <is>
          <t>Barbacoas</t>
        </is>
      </c>
      <c r="G37" s="42" t="inlineStr">
        <is>
          <t>Nariño</t>
        </is>
      </c>
      <c r="H37" s="44" t="n">
        <v>19</v>
      </c>
      <c r="I37" s="42" t="n">
        <v>1981</v>
      </c>
      <c r="J37" s="42" t="n">
        <v>10</v>
      </c>
      <c r="K37" s="44" t="n">
        <v>19</v>
      </c>
      <c r="L37" s="42" t="n">
        <v>1980</v>
      </c>
      <c r="M37" s="42" t="n">
        <v>21</v>
      </c>
      <c r="N37" s="44" t="n">
        <v>19</v>
      </c>
      <c r="O37" s="42" t="n">
        <v>2005</v>
      </c>
      <c r="P37" s="42" t="n">
        <v>15</v>
      </c>
      <c r="Q37" s="44" t="n">
        <v>19</v>
      </c>
      <c r="R37" s="42" t="n">
        <v>1979</v>
      </c>
      <c r="S37" s="42" t="n">
        <v>9</v>
      </c>
      <c r="T37" s="44" t="n">
        <v>19</v>
      </c>
      <c r="U37" s="42" t="n">
        <v>1979</v>
      </c>
      <c r="V37" s="42" t="n">
        <v>3</v>
      </c>
      <c r="W37" s="44" t="n">
        <v>19</v>
      </c>
      <c r="X37" s="42" t="n">
        <v>1998</v>
      </c>
      <c r="Y37" s="42" t="n">
        <v>19</v>
      </c>
      <c r="Z37" s="44" t="n">
        <v>19.2</v>
      </c>
      <c r="AA37" s="42" t="n">
        <v>1995</v>
      </c>
      <c r="AB37" s="42" t="n">
        <v>28</v>
      </c>
      <c r="AC37" s="44" t="n">
        <v>19</v>
      </c>
      <c r="AD37" s="42" t="n">
        <v>2008</v>
      </c>
      <c r="AE37" s="42" t="n">
        <v>12</v>
      </c>
      <c r="AF37" s="44" t="n">
        <v>19</v>
      </c>
      <c r="AG37" s="42" t="n">
        <v>1979</v>
      </c>
      <c r="AH37" s="42" t="n">
        <v>12</v>
      </c>
      <c r="AI37" s="44" t="n">
        <v>19</v>
      </c>
      <c r="AJ37" s="42" t="n">
        <v>1979</v>
      </c>
      <c r="AK37" s="42" t="n">
        <v>7</v>
      </c>
      <c r="AL37" s="44" t="n">
        <v>19</v>
      </c>
      <c r="AM37" s="42" t="n">
        <v>1980</v>
      </c>
      <c r="AN37" s="42" t="n">
        <v>16</v>
      </c>
      <c r="AO37" s="44" t="n">
        <v>19.2</v>
      </c>
      <c r="AP37" s="42" t="n">
        <v>2008</v>
      </c>
      <c r="AQ37" s="42" t="n">
        <v>12</v>
      </c>
    </row>
    <row r="38" ht="14.45" customHeight="1">
      <c r="A38" s="42" t="n">
        <v>25025090</v>
      </c>
      <c r="B38" s="42" t="inlineStr">
        <is>
          <t>AEROPUERTO LAS FLORES [25025090]</t>
        </is>
      </c>
      <c r="C38" s="42" t="n">
        <v>9.046333333</v>
      </c>
      <c r="D38" s="42" t="n">
        <v>-73.97083333</v>
      </c>
      <c r="E38" s="42" t="n">
        <v>34</v>
      </c>
      <c r="F38" s="42" t="inlineStr">
        <is>
          <t>El Banco</t>
        </is>
      </c>
      <c r="G38" s="42" t="inlineStr">
        <is>
          <t>Magdalena</t>
        </is>
      </c>
      <c r="H38" s="44" t="n">
        <v>17</v>
      </c>
      <c r="I38" s="42" t="n">
        <v>2002</v>
      </c>
      <c r="J38" s="42" t="n">
        <v>13</v>
      </c>
      <c r="K38" s="44" t="n">
        <v>18</v>
      </c>
      <c r="L38" s="42" t="n">
        <v>1993</v>
      </c>
      <c r="M38" s="42" t="n">
        <v>26</v>
      </c>
      <c r="N38" s="44" t="n">
        <v>18.2</v>
      </c>
      <c r="O38" s="42" t="n">
        <v>1993</v>
      </c>
      <c r="P38" s="42" t="n">
        <v>18</v>
      </c>
      <c r="Q38" s="44" t="n">
        <v>18</v>
      </c>
      <c r="R38" s="42" t="n">
        <v>1993</v>
      </c>
      <c r="S38" s="42" t="n">
        <v>11</v>
      </c>
      <c r="T38" s="44" t="n">
        <v>18.8</v>
      </c>
      <c r="U38" s="42" t="n">
        <v>1995</v>
      </c>
      <c r="V38" s="42" t="n">
        <v>18</v>
      </c>
      <c r="W38" s="44" t="n">
        <v>18.8</v>
      </c>
      <c r="X38" s="42" t="n">
        <v>1993</v>
      </c>
      <c r="Y38" s="42" t="n">
        <v>20</v>
      </c>
      <c r="Z38" s="44" t="n">
        <v>18.2</v>
      </c>
      <c r="AA38" s="42" t="n">
        <v>1995</v>
      </c>
      <c r="AB38" s="42" t="n">
        <v>7</v>
      </c>
      <c r="AC38" s="44" t="n">
        <v>18.2</v>
      </c>
      <c r="AD38" s="42" t="n">
        <v>1994</v>
      </c>
      <c r="AE38" s="42" t="n">
        <v>15</v>
      </c>
      <c r="AF38" s="44" t="n">
        <v>18.4</v>
      </c>
      <c r="AG38" s="42" t="n">
        <v>1999</v>
      </c>
      <c r="AH38" s="42" t="n">
        <v>28</v>
      </c>
      <c r="AI38" s="44" t="n">
        <v>18.2</v>
      </c>
      <c r="AJ38" s="42" t="n">
        <v>2001</v>
      </c>
      <c r="AK38" s="42" t="n">
        <v>10</v>
      </c>
      <c r="AL38" s="44" t="n">
        <v>19.2</v>
      </c>
      <c r="AM38" s="42" t="n">
        <v>1998</v>
      </c>
      <c r="AN38" s="42" t="n">
        <v>27</v>
      </c>
      <c r="AO38" s="44" t="n">
        <v>18</v>
      </c>
      <c r="AP38" s="42" t="n">
        <v>1992</v>
      </c>
      <c r="AQ38" s="42" t="n">
        <v>11</v>
      </c>
    </row>
    <row r="39" ht="14.45" customHeight="1">
      <c r="A39" s="42" t="n">
        <v>12025040</v>
      </c>
      <c r="B39" s="42" t="inlineStr">
        <is>
          <t>TURBO [12025040]</t>
        </is>
      </c>
      <c r="C39" s="42" t="n">
        <v>8.091805556000001</v>
      </c>
      <c r="D39" s="42" t="n">
        <v>-76.71633333</v>
      </c>
      <c r="E39" s="42" t="n">
        <v>37</v>
      </c>
      <c r="F39" s="42" t="inlineStr">
        <is>
          <t>Turbo</t>
        </is>
      </c>
      <c r="G39" s="42" t="inlineStr">
        <is>
          <t>Antioquia</t>
        </is>
      </c>
      <c r="H39" s="44" t="n">
        <v>20.2</v>
      </c>
      <c r="I39" s="42" t="n">
        <v>1992</v>
      </c>
      <c r="J39" s="42" t="n">
        <v>5</v>
      </c>
      <c r="K39" s="44" t="n">
        <v>20</v>
      </c>
      <c r="L39" s="42" t="n">
        <v>1994</v>
      </c>
      <c r="M39" s="42" t="n">
        <v>6</v>
      </c>
      <c r="N39" s="44" t="n">
        <v>21</v>
      </c>
      <c r="O39" s="42" t="n">
        <v>1995</v>
      </c>
      <c r="P39" s="42" t="n">
        <v>24</v>
      </c>
      <c r="Q39" s="44" t="n">
        <v>20.2</v>
      </c>
      <c r="R39" s="42" t="n">
        <v>1991</v>
      </c>
      <c r="S39" s="42" t="n">
        <v>3</v>
      </c>
      <c r="T39" s="44" t="n">
        <v>20.2</v>
      </c>
      <c r="U39" s="42" t="n">
        <v>1992</v>
      </c>
      <c r="V39" s="42" t="n">
        <v>22</v>
      </c>
      <c r="W39" s="44" t="n">
        <v>20.4</v>
      </c>
      <c r="X39" s="42" t="n">
        <v>1992</v>
      </c>
      <c r="Y39" s="42" t="n">
        <v>1</v>
      </c>
      <c r="Z39" s="44" t="n">
        <v>20</v>
      </c>
      <c r="AA39" s="42" t="n">
        <v>2001</v>
      </c>
      <c r="AB39" s="42" t="n">
        <v>14</v>
      </c>
      <c r="AC39" s="44" t="n">
        <v>18</v>
      </c>
      <c r="AD39" s="42" t="n">
        <v>2001</v>
      </c>
      <c r="AE39" s="42" t="n">
        <v>28</v>
      </c>
      <c r="AF39" s="44" t="n">
        <v>17.8</v>
      </c>
      <c r="AG39" s="42" t="n">
        <v>2001</v>
      </c>
      <c r="AH39" s="42" t="n">
        <v>24</v>
      </c>
      <c r="AI39" s="44" t="n">
        <v>17</v>
      </c>
      <c r="AJ39" s="42" t="n">
        <v>1994</v>
      </c>
      <c r="AK39" s="42" t="n">
        <v>30</v>
      </c>
      <c r="AL39" s="44" t="n">
        <v>20.2</v>
      </c>
      <c r="AM39" s="42" t="n">
        <v>2001</v>
      </c>
      <c r="AN39" s="42" t="n">
        <v>4</v>
      </c>
      <c r="AO39" s="44" t="n">
        <v>20</v>
      </c>
      <c r="AP39" s="42" t="n">
        <v>1991</v>
      </c>
      <c r="AQ39" s="42" t="n">
        <v>24</v>
      </c>
    </row>
    <row r="40" ht="14.45" customHeight="1">
      <c r="A40" s="42" t="n">
        <v>12015060</v>
      </c>
      <c r="B40" s="42" t="inlineStr">
        <is>
          <t>TULENAPA [12015060]</t>
        </is>
      </c>
      <c r="C40" s="42" t="n">
        <v>7.77</v>
      </c>
      <c r="D40" s="42" t="n">
        <v>-76.67</v>
      </c>
      <c r="E40" s="42" t="n">
        <v>39</v>
      </c>
      <c r="F40" s="42" t="inlineStr">
        <is>
          <t>Carepa</t>
        </is>
      </c>
      <c r="G40" s="42" t="inlineStr">
        <is>
          <t>Antioquia</t>
        </is>
      </c>
      <c r="H40" s="44" t="n">
        <v>19</v>
      </c>
      <c r="I40" s="42" t="n">
        <v>1992</v>
      </c>
      <c r="J40" s="42" t="n">
        <v>11</v>
      </c>
      <c r="K40" s="44" t="n">
        <v>18</v>
      </c>
      <c r="L40" s="42" t="n">
        <v>1992</v>
      </c>
      <c r="M40" s="42" t="n">
        <v>14</v>
      </c>
      <c r="N40" s="44" t="n">
        <v>18.6</v>
      </c>
      <c r="O40" s="42" t="n">
        <v>1994</v>
      </c>
      <c r="P40" s="42" t="n">
        <v>14</v>
      </c>
      <c r="Q40" s="44" t="n">
        <v>19.8</v>
      </c>
      <c r="R40" s="42" t="n">
        <v>1998</v>
      </c>
      <c r="S40" s="42" t="n">
        <v>11</v>
      </c>
      <c r="T40" s="44" t="n">
        <v>19.6</v>
      </c>
      <c r="U40" s="42" t="n">
        <v>1997</v>
      </c>
      <c r="V40" s="42" t="n">
        <v>19</v>
      </c>
      <c r="W40" s="44" t="n">
        <v>18</v>
      </c>
      <c r="X40" s="42" t="n">
        <v>1993</v>
      </c>
      <c r="Y40" s="42" t="n">
        <v>13</v>
      </c>
      <c r="Z40" s="44" t="n">
        <v>18.6</v>
      </c>
      <c r="AA40" s="42" t="n">
        <v>1993</v>
      </c>
      <c r="AB40" s="42" t="n">
        <v>7</v>
      </c>
      <c r="AC40" s="44" t="n">
        <v>20.1</v>
      </c>
      <c r="AD40" s="42" t="n">
        <v>1983</v>
      </c>
      <c r="AE40" s="42" t="n">
        <v>26</v>
      </c>
      <c r="AF40" s="44" t="n">
        <v>18.2</v>
      </c>
      <c r="AG40" s="42" t="n">
        <v>1994</v>
      </c>
      <c r="AH40" s="42" t="n">
        <v>15</v>
      </c>
      <c r="AI40" s="44" t="n">
        <v>19.4</v>
      </c>
      <c r="AJ40" s="42" t="n">
        <v>1997</v>
      </c>
      <c r="AK40" s="42" t="n">
        <v>14</v>
      </c>
      <c r="AL40" s="44" t="n">
        <v>18.2</v>
      </c>
      <c r="AM40" s="42" t="n">
        <v>1991</v>
      </c>
      <c r="AN40" s="42" t="n">
        <v>30</v>
      </c>
      <c r="AO40" s="44" t="n">
        <v>18.6</v>
      </c>
      <c r="AP40" s="42" t="n">
        <v>1991</v>
      </c>
      <c r="AQ40" s="42" t="n">
        <v>13</v>
      </c>
    </row>
    <row r="41" ht="14.45" customHeight="1">
      <c r="A41" s="42" t="n">
        <v>13075020</v>
      </c>
      <c r="B41" s="42" t="inlineStr">
        <is>
          <t>SALADO EL [13075020]</t>
        </is>
      </c>
      <c r="C41" s="42" t="n">
        <v>8.913888889000001</v>
      </c>
      <c r="D41" s="42" t="n">
        <v>-75.58222222000001</v>
      </c>
      <c r="E41" s="42" t="n">
        <v>40</v>
      </c>
      <c r="F41" s="42" t="inlineStr">
        <is>
          <t>Ciénaga De Oro</t>
        </is>
      </c>
      <c r="G41" s="42" t="inlineStr">
        <is>
          <t>Cordoba</t>
        </is>
      </c>
      <c r="H41" s="44" t="n">
        <v>16.4</v>
      </c>
      <c r="I41" s="42" t="n">
        <v>1979</v>
      </c>
      <c r="J41" s="42" t="n">
        <v>19</v>
      </c>
      <c r="K41" s="44" t="n">
        <v>16.1</v>
      </c>
      <c r="L41" s="42" t="n">
        <v>1993</v>
      </c>
      <c r="M41" s="42" t="n">
        <v>20</v>
      </c>
      <c r="N41" s="44" t="n">
        <v>17.5</v>
      </c>
      <c r="O41" s="42" t="n">
        <v>1993</v>
      </c>
      <c r="P41" s="42" t="n">
        <v>17</v>
      </c>
      <c r="Q41" s="44" t="n">
        <v>16.4</v>
      </c>
      <c r="R41" s="42" t="n">
        <v>1981</v>
      </c>
      <c r="S41" s="42" t="n">
        <v>20</v>
      </c>
      <c r="T41" s="44" t="n">
        <v>16</v>
      </c>
      <c r="U41" s="42" t="n">
        <v>1981</v>
      </c>
      <c r="V41" s="42" t="n">
        <v>19</v>
      </c>
      <c r="W41" s="44" t="n">
        <v>15.8</v>
      </c>
      <c r="X41" s="42" t="n">
        <v>1995</v>
      </c>
      <c r="Y41" s="42" t="n">
        <v>14</v>
      </c>
      <c r="Z41" s="44" t="n">
        <v>16</v>
      </c>
      <c r="AA41" s="42" t="n">
        <v>1995</v>
      </c>
      <c r="AB41" s="42" t="n">
        <v>27</v>
      </c>
      <c r="AC41" s="44" t="n">
        <v>15.3</v>
      </c>
      <c r="AD41" s="42" t="n">
        <v>1995</v>
      </c>
      <c r="AE41" s="42" t="n">
        <v>2</v>
      </c>
      <c r="AF41" s="44" t="n">
        <v>17</v>
      </c>
      <c r="AG41" s="42" t="n">
        <v>1981</v>
      </c>
      <c r="AH41" s="42" t="n">
        <v>21</v>
      </c>
      <c r="AI41" s="44" t="n">
        <v>18</v>
      </c>
      <c r="AJ41" s="42" t="n">
        <v>2025</v>
      </c>
      <c r="AK41" s="42" t="n">
        <v>17</v>
      </c>
      <c r="AL41" s="44" t="n">
        <v>17</v>
      </c>
      <c r="AM41" s="42" t="n">
        <v>1993</v>
      </c>
      <c r="AN41" s="42" t="n">
        <v>12</v>
      </c>
      <c r="AO41" s="44" t="n">
        <v>17</v>
      </c>
      <c r="AP41" s="42" t="n">
        <v>1994</v>
      </c>
      <c r="AQ41" s="42" t="n">
        <v>14</v>
      </c>
    </row>
    <row r="42" ht="14.45" customHeight="1">
      <c r="A42" s="42" t="n">
        <v>25025250</v>
      </c>
      <c r="B42" s="42" t="inlineStr">
        <is>
          <t>CHIRIGUANA [25025250]</t>
        </is>
      </c>
      <c r="C42" s="42" t="n">
        <v>9.361027778</v>
      </c>
      <c r="D42" s="42" t="n">
        <v>-73.59338889</v>
      </c>
      <c r="E42" s="42" t="n">
        <v>40</v>
      </c>
      <c r="F42" s="42" t="inlineStr">
        <is>
          <t>Chiriguaná</t>
        </is>
      </c>
      <c r="G42" s="42" t="inlineStr">
        <is>
          <t>Cesar</t>
        </is>
      </c>
      <c r="H42" s="44" t="n">
        <v>17.2</v>
      </c>
      <c r="I42" s="42" t="n">
        <v>1991</v>
      </c>
      <c r="J42" s="42" t="n">
        <v>24</v>
      </c>
      <c r="K42" s="44" t="n">
        <v>17</v>
      </c>
      <c r="L42" s="42" t="n">
        <v>1989</v>
      </c>
      <c r="M42" s="42" t="n">
        <v>16</v>
      </c>
      <c r="N42" s="44" t="n">
        <v>18.2</v>
      </c>
      <c r="O42" s="42" t="n">
        <v>1990</v>
      </c>
      <c r="P42" s="42" t="n">
        <v>1</v>
      </c>
      <c r="Q42" s="44" t="n">
        <v>17.8</v>
      </c>
      <c r="R42" s="42" t="n">
        <v>1984</v>
      </c>
      <c r="S42" s="42" t="n">
        <v>2</v>
      </c>
      <c r="T42" s="44" t="n">
        <v>18</v>
      </c>
      <c r="U42" s="42" t="n">
        <v>1991</v>
      </c>
      <c r="V42" s="42" t="n">
        <v>22</v>
      </c>
      <c r="W42" s="44" t="n">
        <v>18</v>
      </c>
      <c r="X42" s="42" t="n">
        <v>1996</v>
      </c>
      <c r="Y42" s="42" t="n">
        <v>5</v>
      </c>
      <c r="Z42" s="44" t="n">
        <v>18</v>
      </c>
      <c r="AA42" s="42" t="n">
        <v>1996</v>
      </c>
      <c r="AB42" s="42" t="n">
        <v>27</v>
      </c>
      <c r="AC42" s="44" t="n">
        <v>18.6</v>
      </c>
      <c r="AD42" s="42" t="n">
        <v>1983</v>
      </c>
      <c r="AE42" s="42" t="n">
        <v>5</v>
      </c>
      <c r="AF42" s="44" t="n">
        <v>18</v>
      </c>
      <c r="AG42" s="42" t="n">
        <v>1999</v>
      </c>
      <c r="AH42" s="42" t="n">
        <v>11</v>
      </c>
      <c r="AI42" s="44" t="n">
        <v>17.6</v>
      </c>
      <c r="AJ42" s="42" t="n">
        <v>1999</v>
      </c>
      <c r="AK42" s="42" t="n">
        <v>16</v>
      </c>
      <c r="AL42" s="44" t="n">
        <v>18.8</v>
      </c>
      <c r="AM42" s="42" t="n">
        <v>1990</v>
      </c>
      <c r="AN42" s="42" t="n">
        <v>3</v>
      </c>
      <c r="AO42" s="44" t="n">
        <v>17</v>
      </c>
      <c r="AP42" s="42" t="n">
        <v>1989</v>
      </c>
      <c r="AQ42" s="42" t="n">
        <v>29</v>
      </c>
    </row>
    <row r="43" ht="14.45" customHeight="1">
      <c r="A43" s="42" t="n">
        <v>12015070</v>
      </c>
      <c r="B43" s="42" t="inlineStr">
        <is>
          <t>AEROPUERTO LOS CEDROS [12015070]</t>
        </is>
      </c>
      <c r="C43" s="42" t="n">
        <v>7.816388889</v>
      </c>
      <c r="D43" s="42" t="n">
        <v>-76.71788889</v>
      </c>
      <c r="E43" s="42" t="n">
        <v>41</v>
      </c>
      <c r="F43" s="42" t="inlineStr">
        <is>
          <t>Carepa</t>
        </is>
      </c>
      <c r="G43" s="42" t="inlineStr">
        <is>
          <t>Antioquia</t>
        </is>
      </c>
      <c r="H43" s="44" t="n">
        <v>19</v>
      </c>
      <c r="I43" s="42" t="n">
        <v>2001</v>
      </c>
      <c r="J43" s="42" t="n">
        <v>21</v>
      </c>
      <c r="K43" s="44" t="n">
        <v>20.5</v>
      </c>
      <c r="L43" s="42" t="n">
        <v>2001</v>
      </c>
      <c r="M43" s="42" t="n">
        <v>3</v>
      </c>
      <c r="N43" s="44" t="n">
        <v>19.4</v>
      </c>
      <c r="O43" s="42" t="n">
        <v>1985</v>
      </c>
      <c r="P43" s="42" t="n">
        <v>21</v>
      </c>
      <c r="Q43" s="44" t="n">
        <v>19.4</v>
      </c>
      <c r="R43" s="42" t="n">
        <v>1994</v>
      </c>
      <c r="S43" s="42" t="n">
        <v>1</v>
      </c>
      <c r="T43" s="44" t="n">
        <v>19</v>
      </c>
      <c r="U43" s="42" t="n">
        <v>2001</v>
      </c>
      <c r="V43" s="42" t="n">
        <v>18</v>
      </c>
      <c r="W43" s="44" t="n">
        <v>20</v>
      </c>
      <c r="X43" s="42" t="n">
        <v>1994</v>
      </c>
      <c r="Y43" s="42" t="n">
        <v>22</v>
      </c>
      <c r="Z43" s="44" t="n">
        <v>19</v>
      </c>
      <c r="AA43" s="42" t="n">
        <v>2000</v>
      </c>
      <c r="AB43" s="42" t="n">
        <v>22</v>
      </c>
      <c r="AC43" s="44" t="n">
        <v>19</v>
      </c>
      <c r="AD43" s="42" t="n">
        <v>2000</v>
      </c>
      <c r="AE43" s="42" t="n">
        <v>25</v>
      </c>
      <c r="AF43" s="44" t="n">
        <v>19</v>
      </c>
      <c r="AG43" s="42" t="n">
        <v>1995</v>
      </c>
      <c r="AH43" s="42" t="n">
        <v>26</v>
      </c>
      <c r="AI43" s="44" t="n">
        <v>19</v>
      </c>
      <c r="AJ43" s="42" t="n">
        <v>2000</v>
      </c>
      <c r="AK43" s="42" t="n">
        <v>5</v>
      </c>
      <c r="AL43" s="44" t="n">
        <v>19</v>
      </c>
      <c r="AM43" s="42" t="n">
        <v>2002</v>
      </c>
      <c r="AN43" s="42" t="n">
        <v>5</v>
      </c>
      <c r="AO43" s="44" t="n">
        <v>20</v>
      </c>
      <c r="AP43" s="42" t="n">
        <v>1999</v>
      </c>
      <c r="AQ43" s="42" t="n">
        <v>28</v>
      </c>
    </row>
    <row r="44" ht="14.45" customHeight="1">
      <c r="A44" s="42" t="n">
        <v>12015020</v>
      </c>
      <c r="B44" s="42" t="inlineStr">
        <is>
          <t>UNIBAN [12015020]</t>
        </is>
      </c>
      <c r="C44" s="42" t="n">
        <v>7.825916667</v>
      </c>
      <c r="D44" s="42" t="n">
        <v>-76.65133333</v>
      </c>
      <c r="E44" s="42" t="n">
        <v>43</v>
      </c>
      <c r="F44" s="42" t="inlineStr">
        <is>
          <t>Apartadó</t>
        </is>
      </c>
      <c r="G44" s="42" t="inlineStr">
        <is>
          <t>Antioquia</t>
        </is>
      </c>
      <c r="H44" s="44" t="n">
        <v>19</v>
      </c>
      <c r="I44" s="42" t="n">
        <v>2017</v>
      </c>
      <c r="J44" s="42" t="n">
        <v>12</v>
      </c>
      <c r="K44" s="44" t="n">
        <v>18.8</v>
      </c>
      <c r="L44" s="42" t="n">
        <v>1981</v>
      </c>
      <c r="M44" s="42" t="n">
        <v>6</v>
      </c>
      <c r="N44" s="44" t="n">
        <v>19.5</v>
      </c>
      <c r="O44" s="42" t="n">
        <v>1994</v>
      </c>
      <c r="P44" s="42" t="n">
        <v>29</v>
      </c>
      <c r="Q44" s="44" t="n">
        <v>19.2</v>
      </c>
      <c r="R44" s="42" t="n">
        <v>2015</v>
      </c>
      <c r="S44" s="42" t="n">
        <v>17</v>
      </c>
      <c r="T44" s="44" t="n">
        <v>17.5</v>
      </c>
      <c r="U44" s="42" t="n">
        <v>1996</v>
      </c>
      <c r="V44" s="42" t="n">
        <v>7</v>
      </c>
      <c r="W44" s="44" t="n">
        <v>19.7</v>
      </c>
      <c r="X44" s="42" t="n">
        <v>2006</v>
      </c>
      <c r="Y44" s="42" t="n">
        <v>3</v>
      </c>
      <c r="Z44" s="44" t="n">
        <v>18.2</v>
      </c>
      <c r="AA44" s="42" t="n">
        <v>1996</v>
      </c>
      <c r="AB44" s="42" t="n">
        <v>11</v>
      </c>
      <c r="AC44" s="44" t="n">
        <v>19</v>
      </c>
      <c r="AD44" s="42" t="n">
        <v>1996</v>
      </c>
      <c r="AE44" s="42" t="n">
        <v>22</v>
      </c>
      <c r="AF44" s="44" t="n">
        <v>19</v>
      </c>
      <c r="AG44" s="42" t="n">
        <v>1980</v>
      </c>
      <c r="AH44" s="42" t="n">
        <v>18</v>
      </c>
      <c r="AI44" s="44" t="n">
        <v>19.8</v>
      </c>
      <c r="AJ44" s="42" t="n">
        <v>2012</v>
      </c>
      <c r="AK44" s="42" t="n">
        <v>5</v>
      </c>
      <c r="AL44" s="44" t="n">
        <v>18.5</v>
      </c>
      <c r="AM44" s="42" t="n">
        <v>2005</v>
      </c>
      <c r="AN44" s="42" t="n">
        <v>18</v>
      </c>
      <c r="AO44" s="44" t="n">
        <v>19.5</v>
      </c>
      <c r="AP44" s="42" t="n">
        <v>1979</v>
      </c>
      <c r="AQ44" s="42" t="n">
        <v>21</v>
      </c>
    </row>
    <row r="45" ht="14.45" customHeight="1">
      <c r="A45" s="42" t="n">
        <v>15085040</v>
      </c>
      <c r="B45" s="42" t="inlineStr">
        <is>
          <t>RANCHO GRANDE [15085040]</t>
        </is>
      </c>
      <c r="C45" s="42" t="n">
        <v>11.68605556</v>
      </c>
      <c r="D45" s="42" t="n">
        <v>-71.83305556000001</v>
      </c>
      <c r="E45" s="42" t="n">
        <v>50</v>
      </c>
      <c r="F45" s="42" t="inlineStr">
        <is>
          <t>Uribia</t>
        </is>
      </c>
      <c r="G45" s="42" t="inlineStr">
        <is>
          <t>La Guajira</t>
        </is>
      </c>
      <c r="H45" s="44" t="n">
        <v>19.4</v>
      </c>
      <c r="I45" s="42" t="n">
        <v>1979</v>
      </c>
      <c r="J45" s="42" t="n">
        <v>6</v>
      </c>
      <c r="K45" s="44" t="n">
        <v>19.2</v>
      </c>
      <c r="L45" s="42" t="n">
        <v>2008</v>
      </c>
      <c r="M45" s="42" t="n">
        <v>2</v>
      </c>
      <c r="N45" s="44" t="n">
        <v>20.4</v>
      </c>
      <c r="O45" s="42" t="n">
        <v>1987</v>
      </c>
      <c r="P45" s="42" t="n">
        <v>11</v>
      </c>
      <c r="Q45" s="44" t="n">
        <v>21.2</v>
      </c>
      <c r="R45" s="42" t="n">
        <v>1982</v>
      </c>
      <c r="S45" s="42" t="n">
        <v>15</v>
      </c>
      <c r="T45" s="44" t="n">
        <v>21.2</v>
      </c>
      <c r="U45" s="42" t="n">
        <v>1999</v>
      </c>
      <c r="V45" s="42" t="n">
        <v>11</v>
      </c>
      <c r="W45" s="44" t="n">
        <v>22.4</v>
      </c>
      <c r="X45" s="42" t="n">
        <v>1986</v>
      </c>
      <c r="Y45" s="42" t="n">
        <v>2</v>
      </c>
      <c r="Z45" s="44" t="n">
        <v>23</v>
      </c>
      <c r="AA45" s="42" t="n">
        <v>1984</v>
      </c>
      <c r="AB45" s="42" t="n">
        <v>22</v>
      </c>
      <c r="AC45" s="44" t="n">
        <v>22</v>
      </c>
      <c r="AD45" s="42" t="n">
        <v>1988</v>
      </c>
      <c r="AE45" s="42" t="n">
        <v>18</v>
      </c>
      <c r="AF45" s="44" t="n">
        <v>20.4</v>
      </c>
      <c r="AG45" s="42" t="n">
        <v>1999</v>
      </c>
      <c r="AH45" s="42" t="n">
        <v>17</v>
      </c>
      <c r="AI45" s="44" t="n">
        <v>21.2</v>
      </c>
      <c r="AJ45" s="42" t="n">
        <v>2018</v>
      </c>
      <c r="AK45" s="42" t="n">
        <v>9</v>
      </c>
      <c r="AL45" s="44" t="n">
        <v>21.6</v>
      </c>
      <c r="AM45" s="42" t="n">
        <v>1986</v>
      </c>
      <c r="AN45" s="42" t="n">
        <v>30</v>
      </c>
      <c r="AO45" s="44" t="n">
        <v>19.6</v>
      </c>
      <c r="AP45" s="42" t="n">
        <v>1999</v>
      </c>
      <c r="AQ45" s="42" t="n">
        <v>26</v>
      </c>
    </row>
    <row r="46" ht="14.45" customHeight="1">
      <c r="A46" s="42" t="n">
        <v>25025160</v>
      </c>
      <c r="B46" s="42" t="inlineStr">
        <is>
          <t>CUBA HACIENDA [25025160]</t>
        </is>
      </c>
      <c r="C46" s="42" t="n">
        <v>8.003888889000001</v>
      </c>
      <c r="D46" s="42" t="n">
        <v>-75.40277777999999</v>
      </c>
      <c r="E46" s="42" t="n">
        <v>50</v>
      </c>
      <c r="F46" s="42" t="inlineStr">
        <is>
          <t>Montelíbano</t>
        </is>
      </c>
      <c r="G46" s="42" t="inlineStr">
        <is>
          <t>Cordoba</t>
        </is>
      </c>
      <c r="H46" s="44" t="n">
        <v>19</v>
      </c>
      <c r="I46" s="42" t="n">
        <v>1978</v>
      </c>
      <c r="J46" s="42" t="n">
        <v>12</v>
      </c>
      <c r="K46" s="44" t="n">
        <v>18.2</v>
      </c>
      <c r="L46" s="42" t="n">
        <v>1978</v>
      </c>
      <c r="M46" s="42" t="n">
        <v>3</v>
      </c>
      <c r="N46" s="44" t="n">
        <v>18.2</v>
      </c>
      <c r="O46" s="42" t="n">
        <v>1978</v>
      </c>
      <c r="P46" s="42" t="n">
        <v>27</v>
      </c>
      <c r="Q46" s="44" t="n">
        <v>19</v>
      </c>
      <c r="R46" s="42" t="n">
        <v>1991</v>
      </c>
      <c r="S46" s="42" t="n">
        <v>13</v>
      </c>
      <c r="T46" s="44" t="n">
        <v>18.2</v>
      </c>
      <c r="U46" s="42" t="n">
        <v>1978</v>
      </c>
      <c r="V46" s="42" t="n">
        <v>18</v>
      </c>
      <c r="W46" s="44" t="n">
        <v>19</v>
      </c>
      <c r="X46" s="42" t="n">
        <v>1997</v>
      </c>
      <c r="Y46" s="42" t="n">
        <v>11</v>
      </c>
      <c r="Z46" s="44" t="n">
        <v>19</v>
      </c>
      <c r="AA46" s="42" t="n">
        <v>1985</v>
      </c>
      <c r="AB46" s="42" t="n">
        <v>8</v>
      </c>
      <c r="AC46" s="44" t="n">
        <v>18.1</v>
      </c>
      <c r="AD46" s="42" t="n">
        <v>1978</v>
      </c>
      <c r="AE46" s="42" t="n">
        <v>9</v>
      </c>
      <c r="AF46" s="44" t="n">
        <v>19.2</v>
      </c>
      <c r="AG46" s="42" t="n">
        <v>1989</v>
      </c>
      <c r="AH46" s="42" t="n">
        <v>11</v>
      </c>
      <c r="AI46" s="44" t="n">
        <v>19.5</v>
      </c>
      <c r="AJ46" s="42" t="n">
        <v>1991</v>
      </c>
      <c r="AK46" s="42" t="n">
        <v>23</v>
      </c>
      <c r="AL46" s="44" t="n">
        <v>19.2</v>
      </c>
      <c r="AM46" s="42" t="n">
        <v>2019</v>
      </c>
      <c r="AN46" s="42" t="n">
        <v>10</v>
      </c>
      <c r="AO46" s="44" t="n">
        <v>19.1</v>
      </c>
      <c r="AP46" s="42" t="n">
        <v>1991</v>
      </c>
      <c r="AQ46" s="42" t="n">
        <v>6</v>
      </c>
    </row>
    <row r="47" ht="14.45" customHeight="1">
      <c r="A47" s="42" t="n">
        <v>25025330</v>
      </c>
      <c r="B47" s="42" t="inlineStr">
        <is>
          <t>COLEGIO AGROPECUARIO PAILITAS  - AUT [25025330]</t>
        </is>
      </c>
      <c r="C47" s="42" t="n">
        <v>8.954222222</v>
      </c>
      <c r="D47" s="42" t="n">
        <v>-73.63008333000001</v>
      </c>
      <c r="E47" s="42" t="n">
        <v>50</v>
      </c>
      <c r="F47" s="42" t="inlineStr">
        <is>
          <t>Pailitas</t>
        </is>
      </c>
      <c r="G47" s="42" t="inlineStr">
        <is>
          <t>Cesar</t>
        </is>
      </c>
      <c r="H47" s="44" t="n">
        <v>16.6</v>
      </c>
      <c r="I47" s="42" t="n">
        <v>1989</v>
      </c>
      <c r="J47" s="42" t="n">
        <v>30</v>
      </c>
      <c r="K47" s="44" t="n">
        <v>13.1</v>
      </c>
      <c r="L47" s="42" t="n">
        <v>1988</v>
      </c>
      <c r="M47" s="42" t="n">
        <v>24</v>
      </c>
      <c r="N47" s="44" t="n">
        <v>14.2</v>
      </c>
      <c r="O47" s="42" t="n">
        <v>1993</v>
      </c>
      <c r="P47" s="42" t="n">
        <v>27</v>
      </c>
      <c r="Q47" s="44" t="n">
        <v>16.6</v>
      </c>
      <c r="R47" s="42" t="n">
        <v>1993</v>
      </c>
      <c r="S47" s="42" t="n">
        <v>11</v>
      </c>
      <c r="T47" s="44" t="n">
        <v>14.4</v>
      </c>
      <c r="U47" s="42" t="n">
        <v>1993</v>
      </c>
      <c r="V47" s="42" t="n">
        <v>12</v>
      </c>
      <c r="W47" s="44" t="n">
        <v>13.4</v>
      </c>
      <c r="X47" s="42" t="n">
        <v>1993</v>
      </c>
      <c r="Y47" s="42" t="n">
        <v>12</v>
      </c>
      <c r="Z47" s="44" t="n">
        <v>17.6</v>
      </c>
      <c r="AA47" s="42" t="n">
        <v>1992</v>
      </c>
      <c r="AB47" s="42" t="n">
        <v>26</v>
      </c>
      <c r="AC47" s="44" t="n">
        <v>14.8</v>
      </c>
      <c r="AD47" s="42" t="n">
        <v>1992</v>
      </c>
      <c r="AE47" s="42" t="n">
        <v>23</v>
      </c>
      <c r="AF47" s="44" t="n">
        <v>14.2</v>
      </c>
      <c r="AG47" s="42" t="n">
        <v>1993</v>
      </c>
      <c r="AH47" s="42" t="n">
        <v>19</v>
      </c>
      <c r="AI47" s="44" t="n">
        <v>16.6</v>
      </c>
      <c r="AJ47" s="42" t="n">
        <v>1993</v>
      </c>
      <c r="AK47" s="42" t="n">
        <v>3</v>
      </c>
      <c r="AL47" s="44" t="n">
        <v>16.2</v>
      </c>
      <c r="AM47" s="42" t="n">
        <v>1994</v>
      </c>
      <c r="AN47" s="42" t="n">
        <v>30</v>
      </c>
      <c r="AO47" s="44" t="n">
        <v>16.4</v>
      </c>
      <c r="AP47" s="42" t="n">
        <v>1987</v>
      </c>
      <c r="AQ47" s="42" t="n">
        <v>22</v>
      </c>
    </row>
    <row r="48" ht="14.45" customHeight="1">
      <c r="A48" s="42" t="n">
        <v>28035040</v>
      </c>
      <c r="B48" s="42" t="inlineStr">
        <is>
          <t>GUAYMARAL [28035040]</t>
        </is>
      </c>
      <c r="C48" s="42" t="n">
        <v>9.904916667</v>
      </c>
      <c r="D48" s="42" t="n">
        <v>-73.64752778</v>
      </c>
      <c r="E48" s="42" t="n">
        <v>50</v>
      </c>
      <c r="F48" s="42" t="inlineStr">
        <is>
          <t>Valledupar</t>
        </is>
      </c>
      <c r="G48" s="42" t="inlineStr">
        <is>
          <t>Cesar</t>
        </is>
      </c>
      <c r="H48" s="44" t="n">
        <v>20</v>
      </c>
      <c r="I48" s="42" t="n">
        <v>2004</v>
      </c>
      <c r="J48" s="42" t="n">
        <v>1</v>
      </c>
      <c r="K48" s="44" t="n">
        <v>20.4</v>
      </c>
      <c r="L48" s="42" t="n">
        <v>2003</v>
      </c>
      <c r="M48" s="42" t="n">
        <v>24</v>
      </c>
      <c r="N48" s="44" t="n">
        <v>20</v>
      </c>
      <c r="O48" s="42" t="n">
        <v>2020</v>
      </c>
      <c r="P48" s="42" t="n">
        <v>6</v>
      </c>
      <c r="Q48" s="44" t="n">
        <v>20.2</v>
      </c>
      <c r="R48" s="42" t="n">
        <v>1997</v>
      </c>
      <c r="S48" s="42" t="n">
        <v>21</v>
      </c>
      <c r="T48" s="44" t="n">
        <v>19.6</v>
      </c>
      <c r="U48" s="42" t="n">
        <v>1986</v>
      </c>
      <c r="V48" s="42" t="n">
        <v>24</v>
      </c>
      <c r="W48" s="44" t="n">
        <v>20.4</v>
      </c>
      <c r="X48" s="42" t="n">
        <v>2005</v>
      </c>
      <c r="Y48" s="42" t="n">
        <v>23</v>
      </c>
      <c r="Z48" s="44" t="n">
        <v>21</v>
      </c>
      <c r="AA48" s="42" t="n">
        <v>1983</v>
      </c>
      <c r="AB48" s="42" t="n">
        <v>15</v>
      </c>
      <c r="AC48" s="44" t="n">
        <v>18</v>
      </c>
      <c r="AD48" s="42" t="n">
        <v>1983</v>
      </c>
      <c r="AE48" s="42" t="n">
        <v>30</v>
      </c>
      <c r="AF48" s="44" t="n">
        <v>17.2</v>
      </c>
      <c r="AG48" s="42" t="n">
        <v>1983</v>
      </c>
      <c r="AH48" s="42" t="n">
        <v>18</v>
      </c>
      <c r="AI48" s="44" t="n">
        <v>18.8</v>
      </c>
      <c r="AJ48" s="42" t="n">
        <v>1985</v>
      </c>
      <c r="AK48" s="42" t="n">
        <v>21</v>
      </c>
      <c r="AL48" s="44" t="n">
        <v>18.4</v>
      </c>
      <c r="AM48" s="42" t="n">
        <v>1983</v>
      </c>
      <c r="AN48" s="42" t="n">
        <v>29</v>
      </c>
      <c r="AO48" s="44" t="n">
        <v>17.2</v>
      </c>
      <c r="AP48" s="42" t="n">
        <v>1985</v>
      </c>
      <c r="AQ48" s="42" t="n">
        <v>15</v>
      </c>
    </row>
    <row r="49" ht="14.45" customHeight="1">
      <c r="A49" s="42" t="n">
        <v>11035020</v>
      </c>
      <c r="B49" s="42" t="inlineStr">
        <is>
          <t>SAN ISIDRO [11035020]</t>
        </is>
      </c>
      <c r="C49" s="42" t="n">
        <v>5.626166667</v>
      </c>
      <c r="D49" s="42" t="n">
        <v>-76.74972222</v>
      </c>
      <c r="E49" s="42" t="n">
        <v>53</v>
      </c>
      <c r="F49" s="42" t="inlineStr">
        <is>
          <t>Rio Quito (Paimadó)</t>
        </is>
      </c>
      <c r="G49" s="42" t="inlineStr">
        <is>
          <t>Choco</t>
        </is>
      </c>
      <c r="H49" s="44" t="n">
        <v>18.2</v>
      </c>
      <c r="I49" s="42" t="n">
        <v>1984</v>
      </c>
      <c r="J49" s="42" t="n">
        <v>1</v>
      </c>
      <c r="K49" s="44" t="n">
        <v>18.2</v>
      </c>
      <c r="L49" s="42" t="n">
        <v>1994</v>
      </c>
      <c r="M49" s="42" t="n">
        <v>25</v>
      </c>
      <c r="N49" s="44" t="n">
        <v>17.4</v>
      </c>
      <c r="O49" s="42" t="n">
        <v>1994</v>
      </c>
      <c r="P49" s="42" t="n">
        <v>17</v>
      </c>
      <c r="Q49" s="44" t="n">
        <v>17.2</v>
      </c>
      <c r="R49" s="42" t="n">
        <v>1984</v>
      </c>
      <c r="S49" s="42" t="n">
        <v>23</v>
      </c>
      <c r="T49" s="44" t="n">
        <v>18.4</v>
      </c>
      <c r="U49" s="42" t="n">
        <v>1994</v>
      </c>
      <c r="V49" s="42" t="n">
        <v>25</v>
      </c>
      <c r="W49" s="44" t="n">
        <v>17.2</v>
      </c>
      <c r="X49" s="42" t="n">
        <v>1992</v>
      </c>
      <c r="Y49" s="42" t="n">
        <v>28</v>
      </c>
      <c r="Z49" s="44" t="n">
        <v>17.4</v>
      </c>
      <c r="AA49" s="42" t="n">
        <v>1983</v>
      </c>
      <c r="AB49" s="42" t="n">
        <v>7</v>
      </c>
      <c r="AC49" s="44" t="n">
        <v>19.2</v>
      </c>
      <c r="AD49" s="42" t="n">
        <v>1988</v>
      </c>
      <c r="AE49" s="42" t="n">
        <v>18</v>
      </c>
      <c r="AF49" s="44" t="n">
        <v>19</v>
      </c>
      <c r="AG49" s="42" t="n">
        <v>1983</v>
      </c>
      <c r="AH49" s="42" t="n">
        <v>27</v>
      </c>
      <c r="AI49" s="44" t="n">
        <v>19.2</v>
      </c>
      <c r="AJ49" s="42" t="n">
        <v>1983</v>
      </c>
      <c r="AK49" s="42" t="n">
        <v>17</v>
      </c>
      <c r="AL49" s="44" t="n">
        <v>19.6</v>
      </c>
      <c r="AM49" s="42" t="n">
        <v>1988</v>
      </c>
      <c r="AN49" s="42" t="n">
        <v>15</v>
      </c>
      <c r="AO49" s="44" t="n">
        <v>18.8</v>
      </c>
      <c r="AP49" s="42" t="n">
        <v>1993</v>
      </c>
      <c r="AQ49" s="42" t="n">
        <v>4</v>
      </c>
    </row>
    <row r="50" ht="14.45" customHeight="1">
      <c r="A50" s="42" t="n">
        <v>12025030</v>
      </c>
      <c r="B50" s="42" t="inlineStr">
        <is>
          <t>EL MELLITO [12025030]</t>
        </is>
      </c>
      <c r="C50" s="42" t="n">
        <v>8.542666667000001</v>
      </c>
      <c r="D50" s="42" t="n">
        <v>-76.67336111</v>
      </c>
      <c r="E50" s="42" t="n">
        <v>54</v>
      </c>
      <c r="F50" s="42" t="inlineStr">
        <is>
          <t>Necoclí</t>
        </is>
      </c>
      <c r="G50" s="42" t="inlineStr">
        <is>
          <t>Antioquia</t>
        </is>
      </c>
      <c r="H50" s="44" t="n">
        <v>19.2</v>
      </c>
      <c r="I50" s="42" t="n">
        <v>1987</v>
      </c>
      <c r="J50" s="42" t="n">
        <v>8</v>
      </c>
      <c r="K50" s="44" t="n">
        <v>19.6</v>
      </c>
      <c r="L50" s="42" t="n">
        <v>2012</v>
      </c>
      <c r="M50" s="42" t="n">
        <v>16</v>
      </c>
      <c r="N50" s="44" t="n">
        <v>18.6</v>
      </c>
      <c r="O50" s="42" t="n">
        <v>2000</v>
      </c>
      <c r="P50" s="42" t="n">
        <v>24</v>
      </c>
      <c r="Q50" s="44" t="n">
        <v>20.8</v>
      </c>
      <c r="R50" s="42" t="n">
        <v>1997</v>
      </c>
      <c r="S50" s="42" t="n">
        <v>2</v>
      </c>
      <c r="T50" s="44" t="n">
        <v>20</v>
      </c>
      <c r="U50" s="42" t="n">
        <v>1995</v>
      </c>
      <c r="V50" s="42" t="n">
        <v>4</v>
      </c>
      <c r="W50" s="44" t="n">
        <v>20.4</v>
      </c>
      <c r="X50" s="42" t="n">
        <v>1988</v>
      </c>
      <c r="Y50" s="42" t="n">
        <v>23</v>
      </c>
      <c r="Z50" s="44" t="n">
        <v>19.4</v>
      </c>
      <c r="AA50" s="42" t="n">
        <v>2003</v>
      </c>
      <c r="AB50" s="42" t="n">
        <v>24</v>
      </c>
      <c r="AC50" s="44" t="n">
        <v>19.4</v>
      </c>
      <c r="AD50" s="42" t="n">
        <v>2003</v>
      </c>
      <c r="AE50" s="42" t="n">
        <v>5</v>
      </c>
      <c r="AF50" s="44" t="n">
        <v>20</v>
      </c>
      <c r="AG50" s="42" t="n">
        <v>1990</v>
      </c>
      <c r="AH50" s="42" t="n">
        <v>4</v>
      </c>
      <c r="AI50" s="44" t="n">
        <v>20</v>
      </c>
      <c r="AJ50" s="42" t="n">
        <v>1991</v>
      </c>
      <c r="AK50" s="42" t="n">
        <v>4</v>
      </c>
      <c r="AL50" s="44" t="n">
        <v>20</v>
      </c>
      <c r="AM50" s="42" t="n">
        <v>1991</v>
      </c>
      <c r="AN50" s="42" t="n">
        <v>8</v>
      </c>
      <c r="AO50" s="44" t="n">
        <v>19</v>
      </c>
      <c r="AP50" s="42" t="n">
        <v>1999</v>
      </c>
      <c r="AQ50" s="42" t="n">
        <v>28</v>
      </c>
    </row>
    <row r="51" ht="14.45" customHeight="1">
      <c r="A51" s="42" t="n">
        <v>38015030</v>
      </c>
      <c r="B51" s="42" t="inlineStr">
        <is>
          <t>AEROPUERTO PUERTO CARRENO [38015030]</t>
        </is>
      </c>
      <c r="C51" s="42" t="n">
        <v>6.182222</v>
      </c>
      <c r="D51" s="42" t="n">
        <v>-67.49213899999999</v>
      </c>
      <c r="E51" s="42" t="n">
        <v>55</v>
      </c>
      <c r="F51" s="42" t="inlineStr">
        <is>
          <t>Puerto Carreño</t>
        </is>
      </c>
      <c r="G51" s="42" t="inlineStr">
        <is>
          <t>Vichada</t>
        </is>
      </c>
      <c r="H51" s="44" t="n">
        <v>19.5</v>
      </c>
      <c r="I51" s="42" t="n">
        <v>1979</v>
      </c>
      <c r="J51" s="42" t="n">
        <v>7</v>
      </c>
      <c r="K51" s="44" t="n">
        <v>19.9</v>
      </c>
      <c r="L51" s="42" t="n">
        <v>1985</v>
      </c>
      <c r="M51" s="42" t="n">
        <v>4</v>
      </c>
      <c r="N51" s="44" t="n">
        <v>20.1</v>
      </c>
      <c r="O51" s="42" t="n">
        <v>1995</v>
      </c>
      <c r="P51" s="42" t="n">
        <v>12</v>
      </c>
      <c r="Q51" s="44" t="n">
        <v>20</v>
      </c>
      <c r="R51" s="42" t="n">
        <v>1999</v>
      </c>
      <c r="S51" s="42" t="n">
        <v>6</v>
      </c>
      <c r="T51" s="44" t="n">
        <v>20</v>
      </c>
      <c r="U51" s="42" t="n">
        <v>1999</v>
      </c>
      <c r="V51" s="42" t="n">
        <v>14</v>
      </c>
      <c r="W51" s="44" t="n">
        <v>19.7</v>
      </c>
      <c r="X51" s="42" t="n">
        <v>2001</v>
      </c>
      <c r="Y51" s="42" t="n">
        <v>21</v>
      </c>
      <c r="Z51" s="44" t="n">
        <v>19.2</v>
      </c>
      <c r="AA51" s="42" t="n">
        <v>1996</v>
      </c>
      <c r="AB51" s="42" t="n">
        <v>1</v>
      </c>
      <c r="AC51" s="44" t="n">
        <v>20</v>
      </c>
      <c r="AD51" s="42" t="n">
        <v>1978</v>
      </c>
      <c r="AE51" s="42" t="n">
        <v>16</v>
      </c>
      <c r="AF51" s="44" t="n">
        <v>19.5</v>
      </c>
      <c r="AG51" s="42" t="n">
        <v>1996</v>
      </c>
      <c r="AH51" s="42" t="n">
        <v>12</v>
      </c>
      <c r="AI51" s="44" t="n">
        <v>20.2</v>
      </c>
      <c r="AJ51" s="42" t="n">
        <v>1990</v>
      </c>
      <c r="AK51" s="42" t="n">
        <v>24</v>
      </c>
      <c r="AL51" s="44" t="n">
        <v>20.6</v>
      </c>
      <c r="AM51" s="42" t="n">
        <v>2002</v>
      </c>
      <c r="AN51" s="42" t="n">
        <v>16</v>
      </c>
      <c r="AO51" s="44" t="n">
        <v>20</v>
      </c>
      <c r="AP51" s="42" t="n">
        <v>2000</v>
      </c>
      <c r="AQ51" s="42" t="n">
        <v>3</v>
      </c>
    </row>
    <row r="52" ht="14.45" customHeight="1">
      <c r="A52" s="42" t="n">
        <v>11035010</v>
      </c>
      <c r="B52" s="42" t="inlineStr">
        <is>
          <t>LLORO [11035010]</t>
        </is>
      </c>
      <c r="C52" s="42" t="n">
        <v>5.499</v>
      </c>
      <c r="D52" s="42" t="n">
        <v>-76.539</v>
      </c>
      <c r="E52" s="42" t="n">
        <v>60</v>
      </c>
      <c r="F52" s="42" t="inlineStr">
        <is>
          <t>Lloró</t>
        </is>
      </c>
      <c r="G52" s="42" t="inlineStr">
        <is>
          <t>Choco</t>
        </is>
      </c>
      <c r="H52" s="44" t="n">
        <v>18.6</v>
      </c>
      <c r="I52" s="42" t="n">
        <v>1994</v>
      </c>
      <c r="J52" s="42" t="n">
        <v>2</v>
      </c>
      <c r="K52" s="44" t="n">
        <v>19.6</v>
      </c>
      <c r="L52" s="42" t="n">
        <v>1993</v>
      </c>
      <c r="M52" s="42" t="n">
        <v>25</v>
      </c>
      <c r="N52" s="44" t="n">
        <v>18</v>
      </c>
      <c r="O52" s="42" t="n">
        <v>1996</v>
      </c>
      <c r="P52" s="42" t="n">
        <v>5</v>
      </c>
      <c r="Q52" s="44" t="n">
        <v>18</v>
      </c>
      <c r="R52" s="42" t="n">
        <v>1996</v>
      </c>
      <c r="S52" s="42" t="n">
        <v>1</v>
      </c>
      <c r="T52" s="44" t="n">
        <v>17</v>
      </c>
      <c r="U52" s="42" t="n">
        <v>1983</v>
      </c>
      <c r="V52" s="42" t="n">
        <v>14</v>
      </c>
      <c r="W52" s="44" t="n">
        <v>19.2</v>
      </c>
      <c r="X52" s="42" t="n">
        <v>1993</v>
      </c>
      <c r="Y52" s="42" t="n">
        <v>24</v>
      </c>
      <c r="Z52" s="44" t="n">
        <v>16.8</v>
      </c>
      <c r="AA52" s="42" t="n">
        <v>1983</v>
      </c>
      <c r="AB52" s="42" t="n">
        <v>1</v>
      </c>
      <c r="AC52" s="44" t="n">
        <v>18</v>
      </c>
      <c r="AD52" s="42" t="n">
        <v>1983</v>
      </c>
      <c r="AE52" s="42" t="n">
        <v>26</v>
      </c>
      <c r="AF52" s="44" t="n">
        <v>17.4</v>
      </c>
      <c r="AG52" s="42" t="n">
        <v>1983</v>
      </c>
      <c r="AH52" s="42" t="n">
        <v>19</v>
      </c>
      <c r="AI52" s="44" t="n">
        <v>18</v>
      </c>
      <c r="AJ52" s="42" t="n">
        <v>1983</v>
      </c>
      <c r="AK52" s="42" t="n">
        <v>6</v>
      </c>
      <c r="AL52" s="44" t="n">
        <v>17</v>
      </c>
      <c r="AM52" s="42" t="n">
        <v>1992</v>
      </c>
      <c r="AN52" s="42" t="n">
        <v>11</v>
      </c>
      <c r="AO52" s="44" t="n">
        <v>17</v>
      </c>
      <c r="AP52" s="42" t="n">
        <v>1992</v>
      </c>
      <c r="AQ52" s="42" t="n">
        <v>12</v>
      </c>
    </row>
    <row r="53" ht="14.45" customHeight="1">
      <c r="A53" s="42" t="n">
        <v>29035030</v>
      </c>
      <c r="B53" s="42" t="inlineStr">
        <is>
          <t>PRESA AY GRANDE [29035030]</t>
        </is>
      </c>
      <c r="C53" s="42" t="n">
        <v>9.879633999999999</v>
      </c>
      <c r="D53" s="42" t="n">
        <v>-75.326301</v>
      </c>
      <c r="E53" s="42" t="n">
        <v>60</v>
      </c>
      <c r="F53" s="42" t="inlineStr">
        <is>
          <t>María La Baja</t>
        </is>
      </c>
      <c r="G53" s="42" t="inlineStr">
        <is>
          <t>Bolivar</t>
        </is>
      </c>
      <c r="H53" s="44" t="n">
        <v>17</v>
      </c>
      <c r="I53" s="42" t="n">
        <v>2006</v>
      </c>
      <c r="J53" s="42" t="n">
        <v>21</v>
      </c>
      <c r="K53" s="44" t="n">
        <v>17.4</v>
      </c>
      <c r="L53" s="42" t="n">
        <v>1988</v>
      </c>
      <c r="M53" s="42" t="n">
        <v>4</v>
      </c>
      <c r="N53" s="44" t="n">
        <v>18</v>
      </c>
      <c r="O53" s="42" t="n">
        <v>2006</v>
      </c>
      <c r="P53" s="42" t="n">
        <v>14</v>
      </c>
      <c r="Q53" s="44" t="n">
        <v>17.8</v>
      </c>
      <c r="R53" s="42" t="n">
        <v>1984</v>
      </c>
      <c r="S53" s="42" t="n">
        <v>23</v>
      </c>
      <c r="T53" s="44" t="n">
        <v>20.4</v>
      </c>
      <c r="U53" s="42" t="n">
        <v>1988</v>
      </c>
      <c r="V53" s="42" t="n">
        <v>4</v>
      </c>
      <c r="W53" s="44" t="n">
        <v>17</v>
      </c>
      <c r="X53" s="42" t="n">
        <v>1984</v>
      </c>
      <c r="Y53" s="42" t="n">
        <v>22</v>
      </c>
      <c r="Z53" s="44" t="n">
        <v>18.6</v>
      </c>
      <c r="AA53" s="42" t="n">
        <v>1980</v>
      </c>
      <c r="AB53" s="42" t="n">
        <v>3</v>
      </c>
      <c r="AC53" s="44" t="n">
        <v>20</v>
      </c>
      <c r="AD53" s="42" t="n">
        <v>2005</v>
      </c>
      <c r="AE53" s="42" t="n">
        <v>21</v>
      </c>
      <c r="AF53" s="44" t="n">
        <v>20</v>
      </c>
      <c r="AG53" s="42" t="n">
        <v>2013</v>
      </c>
      <c r="AH53" s="42" t="n">
        <v>19</v>
      </c>
      <c r="AI53" s="44" t="n">
        <v>17.6</v>
      </c>
      <c r="AJ53" s="42" t="n">
        <v>1984</v>
      </c>
      <c r="AK53" s="42" t="n">
        <v>15</v>
      </c>
      <c r="AL53" s="44" t="n">
        <v>17.2</v>
      </c>
      <c r="AM53" s="42" t="n">
        <v>1987</v>
      </c>
      <c r="AN53" s="42" t="n">
        <v>5</v>
      </c>
      <c r="AO53" s="44" t="n">
        <v>17.4</v>
      </c>
      <c r="AP53" s="42" t="n">
        <v>1987</v>
      </c>
      <c r="AQ53" s="42" t="n">
        <v>27</v>
      </c>
    </row>
    <row r="54" ht="14.45" customHeight="1">
      <c r="A54" s="42" t="n">
        <v>54075020</v>
      </c>
      <c r="B54" s="42" t="inlineStr">
        <is>
          <t>BAJO CALIMA [54075020]</t>
        </is>
      </c>
      <c r="C54" s="42" t="n">
        <v>3.953555556</v>
      </c>
      <c r="D54" s="42" t="n">
        <v>-76.99044444</v>
      </c>
      <c r="E54" s="42" t="n">
        <v>66</v>
      </c>
      <c r="F54" s="42" t="inlineStr">
        <is>
          <t>Buenaventura</t>
        </is>
      </c>
      <c r="G54" s="42" t="inlineStr">
        <is>
          <t>Valle Del Cauca</t>
        </is>
      </c>
      <c r="H54" s="44" t="n">
        <v>17.6</v>
      </c>
      <c r="I54" s="42" t="n">
        <v>1984</v>
      </c>
      <c r="J54" s="42" t="n">
        <v>4</v>
      </c>
      <c r="K54" s="44" t="n">
        <v>17.2</v>
      </c>
      <c r="L54" s="42" t="n">
        <v>1997</v>
      </c>
      <c r="M54" s="42" t="n">
        <v>12</v>
      </c>
      <c r="N54" s="44" t="n">
        <v>17.2</v>
      </c>
      <c r="O54" s="42" t="n">
        <v>1997</v>
      </c>
      <c r="P54" s="42" t="n">
        <v>14</v>
      </c>
      <c r="Q54" s="44" t="n">
        <v>17.8</v>
      </c>
      <c r="R54" s="42" t="n">
        <v>1997</v>
      </c>
      <c r="S54" s="42" t="n">
        <v>28</v>
      </c>
      <c r="T54" s="44" t="n">
        <v>17</v>
      </c>
      <c r="U54" s="42" t="n">
        <v>2011</v>
      </c>
      <c r="V54" s="42" t="n">
        <v>1</v>
      </c>
      <c r="W54" s="44" t="n">
        <v>18.8</v>
      </c>
      <c r="X54" s="42" t="n">
        <v>1997</v>
      </c>
      <c r="Y54" s="42" t="n">
        <v>5</v>
      </c>
      <c r="Z54" s="44" t="n">
        <v>18.6</v>
      </c>
      <c r="AA54" s="42" t="n">
        <v>1984</v>
      </c>
      <c r="AB54" s="42" t="n">
        <v>14</v>
      </c>
      <c r="AC54" s="44" t="n">
        <v>19</v>
      </c>
      <c r="AD54" s="42" t="n">
        <v>2018</v>
      </c>
      <c r="AE54" s="42" t="n">
        <v>25</v>
      </c>
      <c r="AF54" s="44" t="n">
        <v>18</v>
      </c>
      <c r="AG54" s="42" t="n">
        <v>1983</v>
      </c>
      <c r="AH54" s="42" t="n">
        <v>22</v>
      </c>
      <c r="AI54" s="44" t="n">
        <v>18</v>
      </c>
      <c r="AJ54" s="42" t="n">
        <v>2014</v>
      </c>
      <c r="AK54" s="42" t="n">
        <v>21</v>
      </c>
      <c r="AL54" s="44" t="n">
        <v>17.4</v>
      </c>
      <c r="AM54" s="42" t="n">
        <v>1983</v>
      </c>
      <c r="AN54" s="42" t="n">
        <v>3</v>
      </c>
      <c r="AO54" s="44" t="n">
        <v>15</v>
      </c>
      <c r="AP54" s="42" t="n">
        <v>1983</v>
      </c>
      <c r="AQ54" s="42" t="n">
        <v>20</v>
      </c>
    </row>
    <row r="55" ht="14.45" customHeight="1">
      <c r="A55" s="42" t="n">
        <v>28035010</v>
      </c>
      <c r="B55" s="42" t="inlineStr">
        <is>
          <t>VILLA ROSA [28035010]</t>
        </is>
      </c>
      <c r="C55" s="42" t="n">
        <v>10.19066667</v>
      </c>
      <c r="D55" s="42" t="n">
        <v>-73.54738888999999</v>
      </c>
      <c r="E55" s="42" t="n">
        <v>70</v>
      </c>
      <c r="F55" s="42" t="inlineStr">
        <is>
          <t>Valledupar</t>
        </is>
      </c>
      <c r="G55" s="42" t="inlineStr">
        <is>
          <t>Cesar</t>
        </is>
      </c>
      <c r="H55" s="44" t="n">
        <v>17</v>
      </c>
      <c r="I55" s="42" t="n">
        <v>1985</v>
      </c>
      <c r="J55" s="42" t="n">
        <v>16</v>
      </c>
      <c r="K55" s="44" t="n">
        <v>17.2</v>
      </c>
      <c r="L55" s="42" t="n">
        <v>2008</v>
      </c>
      <c r="M55" s="42" t="n">
        <v>4</v>
      </c>
      <c r="N55" s="44" t="n">
        <v>19.4</v>
      </c>
      <c r="O55" s="42" t="n">
        <v>2008</v>
      </c>
      <c r="P55" s="42" t="n">
        <v>11</v>
      </c>
      <c r="Q55" s="44" t="n">
        <v>20</v>
      </c>
      <c r="R55" s="42" t="n">
        <v>2008</v>
      </c>
      <c r="S55" s="42" t="n">
        <v>7</v>
      </c>
      <c r="T55" s="44" t="n">
        <v>19.4</v>
      </c>
      <c r="U55" s="42" t="n">
        <v>1990</v>
      </c>
      <c r="V55" s="42" t="n">
        <v>15</v>
      </c>
      <c r="W55" s="44" t="n">
        <v>19.2</v>
      </c>
      <c r="X55" s="42" t="n">
        <v>2016</v>
      </c>
      <c r="Y55" s="42" t="n">
        <v>6</v>
      </c>
      <c r="Z55" s="44" t="n">
        <v>18.2</v>
      </c>
      <c r="AA55" s="42" t="n">
        <v>2021</v>
      </c>
      <c r="AB55" s="42" t="n">
        <v>30</v>
      </c>
      <c r="AC55" s="44" t="n">
        <v>18</v>
      </c>
      <c r="AD55" s="42" t="n">
        <v>2021</v>
      </c>
      <c r="AE55" s="42" t="n">
        <v>4</v>
      </c>
      <c r="AF55" s="44" t="n">
        <v>18</v>
      </c>
      <c r="AG55" s="42" t="n">
        <v>1986</v>
      </c>
      <c r="AH55" s="42" t="n">
        <v>29</v>
      </c>
      <c r="AI55" s="44" t="n">
        <v>19</v>
      </c>
      <c r="AJ55" s="42" t="n">
        <v>2016</v>
      </c>
      <c r="AK55" s="42" t="n">
        <v>7</v>
      </c>
      <c r="AL55" s="44" t="n">
        <v>18.4</v>
      </c>
      <c r="AM55" s="42" t="n">
        <v>2007</v>
      </c>
      <c r="AN55" s="42" t="n">
        <v>30</v>
      </c>
      <c r="AO55" s="44" t="n">
        <v>16.2</v>
      </c>
      <c r="AP55" s="42" t="n">
        <v>1985</v>
      </c>
      <c r="AQ55" s="42" t="n">
        <v>23</v>
      </c>
    </row>
    <row r="56" ht="14.45" customHeight="1">
      <c r="A56" s="42" t="n">
        <v>2502500007</v>
      </c>
      <c r="B56" s="42" t="inlineStr">
        <is>
          <t>LOS CAIMANES  [2502500007]</t>
        </is>
      </c>
      <c r="C56" s="42" t="n">
        <v>8.115911111000001</v>
      </c>
      <c r="D56" s="42" t="n">
        <v>-75.4134</v>
      </c>
      <c r="E56" s="42" t="n">
        <v>72</v>
      </c>
      <c r="F56" s="42" t="inlineStr">
        <is>
          <t>Buenavista</t>
        </is>
      </c>
      <c r="G56" s="42" t="inlineStr">
        <is>
          <t>Cordoba</t>
        </is>
      </c>
      <c r="H56" s="44" t="n">
        <v>21.2</v>
      </c>
      <c r="I56" s="42" t="n">
        <v>2023</v>
      </c>
      <c r="J56" s="42" t="n">
        <v>9</v>
      </c>
      <c r="K56" s="44" t="n">
        <v>20.4</v>
      </c>
      <c r="L56" s="42" t="n">
        <v>2024</v>
      </c>
      <c r="M56" s="42" t="n">
        <v>7</v>
      </c>
      <c r="N56" s="44" t="n">
        <v>21.2</v>
      </c>
      <c r="O56" s="42" t="n">
        <v>2023</v>
      </c>
      <c r="P56" s="42" t="n">
        <v>13</v>
      </c>
      <c r="Q56" s="44" t="n">
        <v>21.6</v>
      </c>
      <c r="R56" s="42" t="n">
        <v>2022</v>
      </c>
      <c r="S56" s="42" t="n">
        <v>9</v>
      </c>
      <c r="T56" s="44" t="n">
        <v>22</v>
      </c>
      <c r="U56" s="42" t="n">
        <v>2023</v>
      </c>
      <c r="V56" s="42" t="n">
        <v>13</v>
      </c>
      <c r="W56" s="44" t="n">
        <v>21</v>
      </c>
      <c r="X56" s="42" t="n">
        <v>2023</v>
      </c>
      <c r="Y56" s="42" t="n">
        <v>4</v>
      </c>
      <c r="Z56" s="44" t="n">
        <v>21.2</v>
      </c>
      <c r="AA56" s="42" t="n">
        <v>2022</v>
      </c>
      <c r="AB56" s="42" t="n">
        <v>12</v>
      </c>
      <c r="AC56" s="44" t="n">
        <v>20.4</v>
      </c>
      <c r="AD56" s="42" t="n">
        <v>2022</v>
      </c>
      <c r="AE56" s="42" t="n">
        <v>5</v>
      </c>
      <c r="AF56" s="44" t="n">
        <v>20.4</v>
      </c>
      <c r="AG56" s="42" t="n">
        <v>2023</v>
      </c>
      <c r="AH56" s="42" t="n">
        <v>4</v>
      </c>
      <c r="AI56" s="44" t="n">
        <v>20.2</v>
      </c>
      <c r="AJ56" s="42" t="n">
        <v>2023</v>
      </c>
      <c r="AK56" s="42" t="n">
        <v>18</v>
      </c>
      <c r="AL56" s="44" t="n">
        <v>21</v>
      </c>
      <c r="AM56" s="42" t="n">
        <v>2022</v>
      </c>
      <c r="AN56" s="42" t="n">
        <v>22</v>
      </c>
      <c r="AO56" s="44" t="n">
        <v>21</v>
      </c>
      <c r="AP56" s="42" t="n">
        <v>2022</v>
      </c>
      <c r="AQ56" s="42" t="n">
        <v>8</v>
      </c>
    </row>
    <row r="57" ht="14.45" customHeight="1">
      <c r="A57" s="42" t="n">
        <v>34035010</v>
      </c>
      <c r="B57" s="42" t="inlineStr">
        <is>
          <t>TUPARRO BOCAS - TOMO [34035010]</t>
        </is>
      </c>
      <c r="C57" s="42" t="n">
        <v>5.3526389</v>
      </c>
      <c r="D57" s="42" t="n">
        <v>-67.85677699999999</v>
      </c>
      <c r="E57" s="42" t="n">
        <v>74</v>
      </c>
      <c r="F57" s="42" t="inlineStr">
        <is>
          <t>Cumaribo</t>
        </is>
      </c>
      <c r="G57" s="42" t="inlineStr">
        <is>
          <t>Vichada</t>
        </is>
      </c>
      <c r="H57" s="44" t="n">
        <v>16.4</v>
      </c>
      <c r="I57" s="42" t="n">
        <v>1982</v>
      </c>
      <c r="J57" s="42" t="n">
        <v>9</v>
      </c>
      <c r="K57" s="44" t="n">
        <v>17.8</v>
      </c>
      <c r="L57" s="42" t="n">
        <v>1982</v>
      </c>
      <c r="M57" s="42" t="n">
        <v>8</v>
      </c>
      <c r="N57" s="44" t="n">
        <v>19.4</v>
      </c>
      <c r="O57" s="42" t="n">
        <v>1981</v>
      </c>
      <c r="P57" s="42" t="n">
        <v>30</v>
      </c>
      <c r="Q57" s="44" t="n">
        <v>19</v>
      </c>
      <c r="R57" s="42" t="n">
        <v>2003</v>
      </c>
      <c r="S57" s="42" t="n">
        <v>14</v>
      </c>
      <c r="T57" s="44" t="n">
        <v>18</v>
      </c>
      <c r="U57" s="42" t="n">
        <v>2003</v>
      </c>
      <c r="V57" s="42" t="n">
        <v>22</v>
      </c>
      <c r="W57" s="44" t="n">
        <v>16.2</v>
      </c>
      <c r="X57" s="42" t="n">
        <v>2003</v>
      </c>
      <c r="Y57" s="42" t="n">
        <v>12</v>
      </c>
      <c r="Z57" s="44" t="n">
        <v>17.4</v>
      </c>
      <c r="AA57" s="42" t="n">
        <v>1981</v>
      </c>
      <c r="AB57" s="42" t="n">
        <v>21</v>
      </c>
      <c r="AC57" s="44" t="n">
        <v>16.4</v>
      </c>
      <c r="AD57" s="42" t="n">
        <v>1981</v>
      </c>
      <c r="AE57" s="42" t="n">
        <v>21</v>
      </c>
      <c r="AF57" s="44" t="n">
        <v>16.8</v>
      </c>
      <c r="AG57" s="42" t="n">
        <v>1981</v>
      </c>
      <c r="AH57" s="42" t="n">
        <v>1</v>
      </c>
      <c r="AI57" s="44" t="n">
        <v>16.5</v>
      </c>
      <c r="AJ57" s="42" t="n">
        <v>1998</v>
      </c>
      <c r="AK57" s="42" t="n">
        <v>21</v>
      </c>
      <c r="AL57" s="44" t="n">
        <v>16.4</v>
      </c>
      <c r="AM57" s="42" t="n">
        <v>1981</v>
      </c>
      <c r="AN57" s="42" t="n">
        <v>15</v>
      </c>
      <c r="AO57" s="44" t="n">
        <v>16.4</v>
      </c>
      <c r="AP57" s="42" t="n">
        <v>1981</v>
      </c>
      <c r="AQ57" s="42" t="n">
        <v>20</v>
      </c>
    </row>
    <row r="58" ht="14.45" customHeight="1">
      <c r="A58" s="42" t="n">
        <v>11045010</v>
      </c>
      <c r="B58" s="42" t="inlineStr">
        <is>
          <t>AEROPUERTO EL CARAÑO [11045010]</t>
        </is>
      </c>
      <c r="C58" s="42" t="n">
        <v>5.690555556</v>
      </c>
      <c r="D58" s="42" t="n">
        <v>-76.64377777999999</v>
      </c>
      <c r="E58" s="42" t="n">
        <v>75</v>
      </c>
      <c r="F58" s="42" t="inlineStr">
        <is>
          <t>Quibdó</t>
        </is>
      </c>
      <c r="G58" s="42" t="inlineStr">
        <is>
          <t>Choco</t>
        </is>
      </c>
      <c r="H58" s="44" t="n">
        <v>20.8</v>
      </c>
      <c r="I58" s="42" t="n">
        <v>1982</v>
      </c>
      <c r="J58" s="42" t="n">
        <v>6</v>
      </c>
      <c r="K58" s="44" t="n">
        <v>21</v>
      </c>
      <c r="L58" s="42" t="n">
        <v>1984</v>
      </c>
      <c r="M58" s="42" t="n">
        <v>7</v>
      </c>
      <c r="N58" s="44" t="n">
        <v>20</v>
      </c>
      <c r="O58" s="42" t="n">
        <v>2022</v>
      </c>
      <c r="P58" s="42" t="n">
        <v>20</v>
      </c>
      <c r="Q58" s="44" t="n">
        <v>21.2</v>
      </c>
      <c r="R58" s="42" t="n">
        <v>2011</v>
      </c>
      <c r="S58" s="42" t="n">
        <v>13</v>
      </c>
      <c r="T58" s="44" t="n">
        <v>20</v>
      </c>
      <c r="U58" s="42" t="n">
        <v>1986</v>
      </c>
      <c r="V58" s="42" t="n">
        <v>9</v>
      </c>
      <c r="W58" s="44" t="n">
        <v>20.4</v>
      </c>
      <c r="X58" s="42" t="n">
        <v>1981</v>
      </c>
      <c r="Y58" s="42" t="n">
        <v>9</v>
      </c>
      <c r="Z58" s="44" t="n">
        <v>19.8</v>
      </c>
      <c r="AA58" s="42" t="n">
        <v>1995</v>
      </c>
      <c r="AB58" s="42" t="n">
        <v>7</v>
      </c>
      <c r="AC58" s="44" t="n">
        <v>20.4</v>
      </c>
      <c r="AD58" s="42" t="n">
        <v>1985</v>
      </c>
      <c r="AE58" s="42" t="n">
        <v>4</v>
      </c>
      <c r="AF58" s="44" t="n">
        <v>20.2</v>
      </c>
      <c r="AG58" s="42" t="n">
        <v>1982</v>
      </c>
      <c r="AH58" s="42" t="n">
        <v>26</v>
      </c>
      <c r="AI58" s="44" t="n">
        <v>20</v>
      </c>
      <c r="AJ58" s="42" t="n">
        <v>1986</v>
      </c>
      <c r="AK58" s="42" t="n">
        <v>25</v>
      </c>
      <c r="AL58" s="44" t="n">
        <v>20</v>
      </c>
      <c r="AM58" s="42" t="n">
        <v>1984</v>
      </c>
      <c r="AN58" s="42" t="n">
        <v>9</v>
      </c>
      <c r="AO58" s="44" t="n">
        <v>21</v>
      </c>
      <c r="AP58" s="42" t="n">
        <v>1983</v>
      </c>
      <c r="AQ58" s="42" t="n">
        <v>5</v>
      </c>
    </row>
    <row r="59" ht="14.45" customHeight="1">
      <c r="A59" s="42" t="n">
        <v>29015000</v>
      </c>
      <c r="B59" s="42" t="inlineStr">
        <is>
          <t>EL GUAMO - AUT [29015000]</t>
        </is>
      </c>
      <c r="C59" s="42" t="n">
        <v>10.034607</v>
      </c>
      <c r="D59" s="42" t="n">
        <v>-74.97663799999999</v>
      </c>
      <c r="E59" s="42" t="n">
        <v>75</v>
      </c>
      <c r="F59" s="42" t="inlineStr">
        <is>
          <t>El Guamo</t>
        </is>
      </c>
      <c r="G59" s="42" t="inlineStr">
        <is>
          <t>Bolivar</t>
        </is>
      </c>
      <c r="H59" s="44" t="n">
        <v>17</v>
      </c>
      <c r="I59" s="42" t="n">
        <v>2000</v>
      </c>
      <c r="J59" s="42" t="n">
        <v>17</v>
      </c>
      <c r="K59" s="44" t="n">
        <v>17.2</v>
      </c>
      <c r="L59" s="42" t="n">
        <v>2001</v>
      </c>
      <c r="M59" s="42" t="n">
        <v>2</v>
      </c>
      <c r="N59" s="44" t="n">
        <v>17.2</v>
      </c>
      <c r="O59" s="42" t="n">
        <v>1997</v>
      </c>
      <c r="P59" s="42" t="n">
        <v>3</v>
      </c>
      <c r="Q59" s="44" t="n">
        <v>19.2</v>
      </c>
      <c r="R59" s="42" t="n">
        <v>2000</v>
      </c>
      <c r="S59" s="42" t="n">
        <v>11</v>
      </c>
      <c r="T59" s="44" t="n">
        <v>20</v>
      </c>
      <c r="U59" s="42" t="n">
        <v>2000</v>
      </c>
      <c r="V59" s="42" t="n">
        <v>11</v>
      </c>
      <c r="W59" s="44" t="n">
        <v>20.2</v>
      </c>
      <c r="X59" s="42" t="n">
        <v>2004</v>
      </c>
      <c r="Y59" s="42" t="n">
        <v>26</v>
      </c>
      <c r="Z59" s="44" t="n">
        <v>19.4</v>
      </c>
      <c r="AA59" s="42" t="n">
        <v>1984</v>
      </c>
      <c r="AB59" s="42" t="n">
        <v>20</v>
      </c>
      <c r="AC59" s="44" t="n">
        <v>17.6</v>
      </c>
      <c r="AD59" s="42" t="n">
        <v>1995</v>
      </c>
      <c r="AE59" s="42" t="n">
        <v>20</v>
      </c>
      <c r="AF59" s="44" t="n">
        <v>20.2</v>
      </c>
      <c r="AG59" s="42" t="n">
        <v>1998</v>
      </c>
      <c r="AH59" s="42" t="n">
        <v>8</v>
      </c>
      <c r="AI59" s="44" t="n">
        <v>18.6</v>
      </c>
      <c r="AJ59" s="42" t="n">
        <v>1996</v>
      </c>
      <c r="AK59" s="42" t="n">
        <v>20</v>
      </c>
      <c r="AL59" s="44" t="n">
        <v>19</v>
      </c>
      <c r="AM59" s="42" t="n">
        <v>1989</v>
      </c>
      <c r="AN59" s="42" t="n">
        <v>10</v>
      </c>
      <c r="AO59" s="44" t="n">
        <v>17</v>
      </c>
      <c r="AP59" s="42" t="n">
        <v>1984</v>
      </c>
      <c r="AQ59" s="42" t="n">
        <v>31</v>
      </c>
    </row>
    <row r="60" ht="14.45" customHeight="1">
      <c r="A60" s="42" t="n">
        <v>15065501</v>
      </c>
      <c r="B60" s="42" t="inlineStr">
        <is>
          <t>LA MINA CERREJON  - AUT [15065501]</t>
        </is>
      </c>
      <c r="C60" s="42" t="n">
        <v>11.13758333</v>
      </c>
      <c r="D60" s="42" t="n">
        <v>-72.61594444000001</v>
      </c>
      <c r="E60" s="42" t="n">
        <v>80</v>
      </c>
      <c r="F60" s="42" t="inlineStr">
        <is>
          <t>Albania</t>
        </is>
      </c>
      <c r="G60" s="42" t="inlineStr">
        <is>
          <t>La Guajira</t>
        </is>
      </c>
      <c r="H60" s="44" t="n">
        <v>18.2</v>
      </c>
      <c r="I60" s="42" t="n">
        <v>1991</v>
      </c>
      <c r="J60" s="42" t="n">
        <v>25</v>
      </c>
      <c r="K60" s="44" t="n">
        <v>18.6</v>
      </c>
      <c r="L60" s="42" t="n">
        <v>2008</v>
      </c>
      <c r="M60" s="42" t="n">
        <v>2</v>
      </c>
      <c r="N60" s="44" t="n">
        <v>18.6</v>
      </c>
      <c r="O60" s="42" t="n">
        <v>1993</v>
      </c>
      <c r="P60" s="42" t="n">
        <v>10</v>
      </c>
      <c r="Q60" s="44" t="n">
        <v>17.8</v>
      </c>
      <c r="R60" s="42" t="n">
        <v>1993</v>
      </c>
      <c r="S60" s="42" t="n">
        <v>29</v>
      </c>
      <c r="T60" s="44" t="n">
        <v>16.6</v>
      </c>
      <c r="U60" s="42" t="n">
        <v>1993</v>
      </c>
      <c r="V60" s="42" t="n">
        <v>5</v>
      </c>
      <c r="W60" s="44" t="n">
        <v>18.6</v>
      </c>
      <c r="X60" s="42" t="n">
        <v>1993</v>
      </c>
      <c r="Y60" s="42" t="n">
        <v>2</v>
      </c>
      <c r="Z60" s="44" t="n">
        <v>18.8</v>
      </c>
      <c r="AA60" s="42" t="n">
        <v>1992</v>
      </c>
      <c r="AB60" s="42" t="n">
        <v>15</v>
      </c>
      <c r="AC60" s="44" t="n">
        <v>18.8</v>
      </c>
      <c r="AD60" s="42" t="n">
        <v>1993</v>
      </c>
      <c r="AE60" s="42" t="n">
        <v>28</v>
      </c>
      <c r="AF60" s="44" t="n">
        <v>18</v>
      </c>
      <c r="AG60" s="42" t="n">
        <v>1992</v>
      </c>
      <c r="AH60" s="42" t="n">
        <v>17</v>
      </c>
      <c r="AI60" s="44" t="n">
        <v>19.1</v>
      </c>
      <c r="AJ60" s="42" t="n">
        <v>2010</v>
      </c>
      <c r="AK60" s="42" t="n">
        <v>21</v>
      </c>
      <c r="AL60" s="44" t="n">
        <v>15.6</v>
      </c>
      <c r="AM60" s="42" t="n">
        <v>1998</v>
      </c>
      <c r="AN60" s="42" t="n">
        <v>8</v>
      </c>
      <c r="AO60" s="44" t="n">
        <v>18</v>
      </c>
      <c r="AP60" s="42" t="n">
        <v>2008</v>
      </c>
      <c r="AQ60" s="42" t="n">
        <v>28</v>
      </c>
    </row>
    <row r="61" ht="14.45" customHeight="1">
      <c r="A61" s="42" t="n">
        <v>48015050</v>
      </c>
      <c r="B61" s="42" t="inlineStr">
        <is>
          <t>AEROPUERTO VASQUEZ COBO [48015050]</t>
        </is>
      </c>
      <c r="C61" s="42" t="n">
        <v>-4.199509</v>
      </c>
      <c r="D61" s="42" t="n">
        <v>-69.943095</v>
      </c>
      <c r="E61" s="42" t="n">
        <v>84</v>
      </c>
      <c r="F61" s="42" t="inlineStr">
        <is>
          <t>Leticia</t>
        </is>
      </c>
      <c r="G61" s="42" t="inlineStr">
        <is>
          <t>Amazonas</t>
        </is>
      </c>
      <c r="H61" s="44" t="n">
        <v>19</v>
      </c>
      <c r="I61" s="42" t="n">
        <v>1986</v>
      </c>
      <c r="J61" s="42" t="n">
        <v>29</v>
      </c>
      <c r="K61" s="44" t="n">
        <v>20.1</v>
      </c>
      <c r="L61" s="42" t="n">
        <v>1986</v>
      </c>
      <c r="M61" s="42" t="n">
        <v>8</v>
      </c>
      <c r="N61" s="44" t="n">
        <v>19</v>
      </c>
      <c r="O61" s="42" t="n">
        <v>1986</v>
      </c>
      <c r="P61" s="42" t="n">
        <v>31</v>
      </c>
      <c r="Q61" s="44" t="n">
        <v>18.4</v>
      </c>
      <c r="R61" s="42" t="n">
        <v>1999</v>
      </c>
      <c r="S61" s="42" t="n">
        <v>18</v>
      </c>
      <c r="T61" s="44" t="n">
        <v>16</v>
      </c>
      <c r="U61" s="42" t="n">
        <v>1987</v>
      </c>
      <c r="V61" s="42" t="n">
        <v>26</v>
      </c>
      <c r="W61" s="44" t="n">
        <v>14.2</v>
      </c>
      <c r="X61" s="42" t="n">
        <v>1985</v>
      </c>
      <c r="Y61" s="42" t="n">
        <v>11</v>
      </c>
      <c r="Z61" s="44" t="n">
        <v>14.5</v>
      </c>
      <c r="AA61" s="42" t="n">
        <v>2010</v>
      </c>
      <c r="AB61" s="42" t="n">
        <v>18</v>
      </c>
      <c r="AC61" s="44" t="n">
        <v>14.6</v>
      </c>
      <c r="AD61" s="42" t="n">
        <v>1999</v>
      </c>
      <c r="AE61" s="42" t="n">
        <v>17</v>
      </c>
      <c r="AF61" s="44" t="n">
        <v>16.4</v>
      </c>
      <c r="AG61" s="42" t="n">
        <v>1980</v>
      </c>
      <c r="AH61" s="42" t="n">
        <v>17</v>
      </c>
      <c r="AI61" s="44" t="n">
        <v>18.3</v>
      </c>
      <c r="AJ61" s="42" t="n">
        <v>1981</v>
      </c>
      <c r="AK61" s="42" t="n">
        <v>1</v>
      </c>
      <c r="AL61" s="44" t="n">
        <v>17.5</v>
      </c>
      <c r="AM61" s="42" t="n">
        <v>1999</v>
      </c>
      <c r="AN61" s="42" t="n">
        <v>11</v>
      </c>
      <c r="AO61" s="44" t="n">
        <v>20</v>
      </c>
      <c r="AP61" s="42" t="n">
        <v>1993</v>
      </c>
      <c r="AQ61" s="42" t="n">
        <v>5</v>
      </c>
    </row>
    <row r="62" ht="14.45" customHeight="1">
      <c r="A62" s="42" t="n">
        <v>15085020</v>
      </c>
      <c r="B62" s="42" t="inlineStr">
        <is>
          <t>NAZARETH [15085020]</t>
        </is>
      </c>
      <c r="C62" s="42" t="n">
        <v>12.17888889</v>
      </c>
      <c r="D62" s="42" t="n">
        <v>-71.28388889</v>
      </c>
      <c r="E62" s="42" t="n">
        <v>85</v>
      </c>
      <c r="F62" s="42" t="inlineStr">
        <is>
          <t>Uribia</t>
        </is>
      </c>
      <c r="G62" s="42" t="inlineStr">
        <is>
          <t>La Guajira</t>
        </is>
      </c>
      <c r="H62" s="44" t="n">
        <v>18</v>
      </c>
      <c r="I62" s="42" t="n">
        <v>1985</v>
      </c>
      <c r="J62" s="42" t="n">
        <v>15</v>
      </c>
      <c r="K62" s="44" t="n">
        <v>18</v>
      </c>
      <c r="L62" s="42" t="n">
        <v>2011</v>
      </c>
      <c r="M62" s="42" t="n">
        <v>21</v>
      </c>
      <c r="N62" s="44" t="n">
        <v>18</v>
      </c>
      <c r="O62" s="42" t="n">
        <v>1988</v>
      </c>
      <c r="P62" s="42" t="n">
        <v>1</v>
      </c>
      <c r="Q62" s="44" t="n">
        <v>18.4</v>
      </c>
      <c r="R62" s="42" t="n">
        <v>1980</v>
      </c>
      <c r="S62" s="42" t="n">
        <v>11</v>
      </c>
      <c r="T62" s="44" t="n">
        <v>20.4</v>
      </c>
      <c r="U62" s="42" t="n">
        <v>1979</v>
      </c>
      <c r="V62" s="42" t="n">
        <v>30</v>
      </c>
      <c r="W62" s="44" t="n">
        <v>19.6</v>
      </c>
      <c r="X62" s="42" t="n">
        <v>1999</v>
      </c>
      <c r="Y62" s="42" t="n">
        <v>3</v>
      </c>
      <c r="Z62" s="44" t="n">
        <v>20</v>
      </c>
      <c r="AA62" s="42" t="n">
        <v>1979</v>
      </c>
      <c r="AB62" s="42" t="n">
        <v>22</v>
      </c>
      <c r="AC62" s="44" t="n">
        <v>20</v>
      </c>
      <c r="AD62" s="42" t="n">
        <v>1997</v>
      </c>
      <c r="AE62" s="42" t="n">
        <v>31</v>
      </c>
      <c r="AF62" s="44" t="n">
        <v>15.2</v>
      </c>
      <c r="AG62" s="42" t="n">
        <v>2019</v>
      </c>
      <c r="AH62" s="42" t="n">
        <v>1</v>
      </c>
      <c r="AI62" s="44" t="n">
        <v>19.4</v>
      </c>
      <c r="AJ62" s="42" t="n">
        <v>1999</v>
      </c>
      <c r="AK62" s="42" t="n">
        <v>26</v>
      </c>
      <c r="AL62" s="44" t="n">
        <v>18.2</v>
      </c>
      <c r="AM62" s="42" t="n">
        <v>2000</v>
      </c>
      <c r="AN62" s="42" t="n">
        <v>2</v>
      </c>
      <c r="AO62" s="44" t="n">
        <v>18.4</v>
      </c>
      <c r="AP62" s="42" t="n">
        <v>1995</v>
      </c>
      <c r="AQ62" s="42" t="n">
        <v>8</v>
      </c>
    </row>
    <row r="63" ht="14.45" customHeight="1">
      <c r="A63" s="42" t="n">
        <v>25025190</v>
      </c>
      <c r="B63" s="42" t="inlineStr">
        <is>
          <t>PLANETA RICA  - AUT [25025190]</t>
        </is>
      </c>
      <c r="C63" s="42" t="n">
        <v>8.399333333</v>
      </c>
      <c r="D63" s="42" t="n">
        <v>-75.58372222</v>
      </c>
      <c r="E63" s="42" t="n">
        <v>90</v>
      </c>
      <c r="F63" s="42" t="inlineStr">
        <is>
          <t>Planeta Rica</t>
        </is>
      </c>
      <c r="G63" s="42" t="inlineStr">
        <is>
          <t>Cordoba</t>
        </is>
      </c>
      <c r="H63" s="44" t="n">
        <v>18</v>
      </c>
      <c r="I63" s="42" t="n">
        <v>1987</v>
      </c>
      <c r="J63" s="42" t="n">
        <v>9</v>
      </c>
      <c r="K63" s="44" t="n">
        <v>18.4</v>
      </c>
      <c r="L63" s="42" t="n">
        <v>1978</v>
      </c>
      <c r="M63" s="42" t="n">
        <v>7</v>
      </c>
      <c r="N63" s="44" t="n">
        <v>19.2</v>
      </c>
      <c r="O63" s="42" t="n">
        <v>1990</v>
      </c>
      <c r="P63" s="42" t="n">
        <v>2</v>
      </c>
      <c r="Q63" s="44" t="n">
        <v>20</v>
      </c>
      <c r="R63" s="42" t="n">
        <v>1983</v>
      </c>
      <c r="S63" s="42" t="n">
        <v>5</v>
      </c>
      <c r="T63" s="44" t="n">
        <v>19</v>
      </c>
      <c r="U63" s="42" t="n">
        <v>1990</v>
      </c>
      <c r="V63" s="42" t="n">
        <v>2</v>
      </c>
      <c r="W63" s="44" t="n">
        <v>19</v>
      </c>
      <c r="X63" s="42" t="n">
        <v>1990</v>
      </c>
      <c r="Y63" s="42" t="n">
        <v>1</v>
      </c>
      <c r="Z63" s="44" t="n">
        <v>19.2</v>
      </c>
      <c r="AA63" s="42" t="n">
        <v>1990</v>
      </c>
      <c r="AB63" s="42" t="n">
        <v>28</v>
      </c>
      <c r="AC63" s="44" t="n">
        <v>19.2</v>
      </c>
      <c r="AD63" s="42" t="n">
        <v>1990</v>
      </c>
      <c r="AE63" s="42" t="n">
        <v>6</v>
      </c>
      <c r="AF63" s="44" t="n">
        <v>19.2</v>
      </c>
      <c r="AG63" s="42" t="n">
        <v>1990</v>
      </c>
      <c r="AH63" s="42" t="n">
        <v>10</v>
      </c>
      <c r="AI63" s="44" t="n">
        <v>19.2</v>
      </c>
      <c r="AJ63" s="42" t="n">
        <v>1990</v>
      </c>
      <c r="AK63" s="42" t="n">
        <v>4</v>
      </c>
      <c r="AL63" s="44" t="n">
        <v>19.6</v>
      </c>
      <c r="AM63" s="42" t="n">
        <v>1990</v>
      </c>
      <c r="AN63" s="42" t="n">
        <v>6</v>
      </c>
      <c r="AO63" s="44" t="n">
        <v>18.7</v>
      </c>
      <c r="AP63" s="42" t="n">
        <v>1993</v>
      </c>
      <c r="AQ63" s="42" t="n">
        <v>10</v>
      </c>
    </row>
    <row r="64" ht="14.45" customHeight="1">
      <c r="A64" s="42" t="n">
        <v>16025040</v>
      </c>
      <c r="B64" s="42" t="inlineStr">
        <is>
          <t>CINERA-VILLA OLGA AUT [16025040]</t>
        </is>
      </c>
      <c r="C64" s="42" t="n">
        <v>8.16728</v>
      </c>
      <c r="D64" s="42" t="n">
        <v>-72.47878</v>
      </c>
      <c r="E64" s="42" t="n">
        <v>96</v>
      </c>
      <c r="F64" s="42" t="inlineStr">
        <is>
          <t>Cúcuta</t>
        </is>
      </c>
      <c r="G64" s="42" t="inlineStr">
        <is>
          <t>Norte De Santander</t>
        </is>
      </c>
      <c r="H64" s="44" t="n">
        <v>14</v>
      </c>
      <c r="I64" s="42" t="n">
        <v>1985</v>
      </c>
      <c r="J64" s="42" t="n">
        <v>31</v>
      </c>
      <c r="K64" s="44" t="n">
        <v>13.2</v>
      </c>
      <c r="L64" s="42" t="n">
        <v>1985</v>
      </c>
      <c r="M64" s="42" t="n">
        <v>6</v>
      </c>
      <c r="N64" s="44" t="n">
        <v>13.2</v>
      </c>
      <c r="O64" s="42" t="n">
        <v>1985</v>
      </c>
      <c r="P64" s="42" t="n">
        <v>9</v>
      </c>
      <c r="Q64" s="44" t="n">
        <v>16.2</v>
      </c>
      <c r="R64" s="42" t="n">
        <v>1985</v>
      </c>
      <c r="S64" s="42" t="n">
        <v>23</v>
      </c>
      <c r="T64" s="44" t="n">
        <v>16.2</v>
      </c>
      <c r="U64" s="42" t="n">
        <v>1985</v>
      </c>
      <c r="V64" s="42" t="n">
        <v>9</v>
      </c>
      <c r="W64" s="44" t="n">
        <v>14.1</v>
      </c>
      <c r="X64" s="42" t="n">
        <v>1994</v>
      </c>
      <c r="Y64" s="42" t="n">
        <v>29</v>
      </c>
      <c r="Z64" s="44" t="n">
        <v>16</v>
      </c>
      <c r="AA64" s="42" t="n">
        <v>1985</v>
      </c>
      <c r="AB64" s="42" t="n">
        <v>3</v>
      </c>
      <c r="AC64" s="44" t="n">
        <v>17.2</v>
      </c>
      <c r="AD64" s="42" t="n">
        <v>1982</v>
      </c>
      <c r="AE64" s="42" t="n">
        <v>16</v>
      </c>
      <c r="AF64" s="44" t="n">
        <v>16.2</v>
      </c>
      <c r="AG64" s="42" t="n">
        <v>1981</v>
      </c>
      <c r="AH64" s="42" t="n">
        <v>14</v>
      </c>
      <c r="AI64" s="44" t="n">
        <v>16</v>
      </c>
      <c r="AJ64" s="42" t="n">
        <v>1982</v>
      </c>
      <c r="AK64" s="42" t="n">
        <v>18</v>
      </c>
      <c r="AL64" s="44" t="n">
        <v>17.1</v>
      </c>
      <c r="AM64" s="42" t="n">
        <v>1982</v>
      </c>
      <c r="AN64" s="42" t="n">
        <v>24</v>
      </c>
      <c r="AO64" s="44" t="n">
        <v>17.6</v>
      </c>
      <c r="AP64" s="42" t="n">
        <v>1988</v>
      </c>
      <c r="AQ64" s="42" t="n">
        <v>16</v>
      </c>
    </row>
    <row r="65" ht="14.45" customHeight="1">
      <c r="A65" s="42" t="n">
        <v>31095030</v>
      </c>
      <c r="B65" s="42" t="inlineStr">
        <is>
          <t>PUERTO INIRIDA - AUT [31095030]</t>
        </is>
      </c>
      <c r="C65" s="42" t="n">
        <v>3.874444</v>
      </c>
      <c r="D65" s="42" t="n">
        <v>-67.91911111</v>
      </c>
      <c r="E65" s="42" t="n">
        <v>98</v>
      </c>
      <c r="F65" s="42" t="inlineStr">
        <is>
          <t>Inírida</t>
        </is>
      </c>
      <c r="G65" s="42" t="inlineStr">
        <is>
          <t>Guainía</t>
        </is>
      </c>
      <c r="H65" s="44" t="n">
        <v>17</v>
      </c>
      <c r="I65" s="42" t="n">
        <v>1981</v>
      </c>
      <c r="J65" s="42" t="n">
        <v>2</v>
      </c>
      <c r="K65" s="44" t="n">
        <v>18.4</v>
      </c>
      <c r="L65" s="42" t="n">
        <v>1991</v>
      </c>
      <c r="M65" s="42" t="n">
        <v>1</v>
      </c>
      <c r="N65" s="44" t="n">
        <v>18.4</v>
      </c>
      <c r="O65" s="42" t="n">
        <v>1989</v>
      </c>
      <c r="P65" s="42" t="n">
        <v>16</v>
      </c>
      <c r="Q65" s="44" t="n">
        <v>18.8</v>
      </c>
      <c r="R65" s="42" t="n">
        <v>2018</v>
      </c>
      <c r="S65" s="42" t="n">
        <v>23</v>
      </c>
      <c r="T65" s="44" t="n">
        <v>19.4</v>
      </c>
      <c r="U65" s="42" t="n">
        <v>1990</v>
      </c>
      <c r="V65" s="42" t="n">
        <v>26</v>
      </c>
      <c r="W65" s="44" t="n">
        <v>18</v>
      </c>
      <c r="X65" s="42" t="n">
        <v>1981</v>
      </c>
      <c r="Y65" s="42" t="n">
        <v>9</v>
      </c>
      <c r="Z65" s="44" t="n">
        <v>17.4</v>
      </c>
      <c r="AA65" s="42" t="n">
        <v>1996</v>
      </c>
      <c r="AB65" s="42" t="n">
        <v>3</v>
      </c>
      <c r="AC65" s="44" t="n">
        <v>17.8</v>
      </c>
      <c r="AD65" s="42" t="n">
        <v>1981</v>
      </c>
      <c r="AE65" s="42" t="n">
        <v>6</v>
      </c>
      <c r="AF65" s="44" t="n">
        <v>18.2</v>
      </c>
      <c r="AG65" s="42" t="n">
        <v>1981</v>
      </c>
      <c r="AH65" s="42" t="n">
        <v>13</v>
      </c>
      <c r="AI65" s="44" t="n">
        <v>18.6</v>
      </c>
      <c r="AJ65" s="42" t="n">
        <v>1981</v>
      </c>
      <c r="AK65" s="42" t="n">
        <v>21</v>
      </c>
      <c r="AL65" s="44" t="n">
        <v>17.6</v>
      </c>
      <c r="AM65" s="42" t="n">
        <v>1980</v>
      </c>
      <c r="AN65" s="42" t="n">
        <v>22</v>
      </c>
      <c r="AO65" s="44" t="n">
        <v>17.6</v>
      </c>
      <c r="AP65" s="42" t="n">
        <v>1982</v>
      </c>
      <c r="AQ65" s="42" t="n">
        <v>13</v>
      </c>
    </row>
    <row r="66" ht="14.45" customHeight="1">
      <c r="A66" s="42" t="n">
        <v>28025090</v>
      </c>
      <c r="B66" s="42" t="inlineStr">
        <is>
          <t>CENTENARIO HACIENDA [28025090]</t>
        </is>
      </c>
      <c r="C66" s="42" t="n">
        <v>9.850250000000001</v>
      </c>
      <c r="D66" s="42" t="n">
        <v>-73.26547222000001</v>
      </c>
      <c r="E66" s="42" t="n">
        <v>100</v>
      </c>
      <c r="F66" s="42" t="inlineStr">
        <is>
          <t>Agustín Codazzi</t>
        </is>
      </c>
      <c r="G66" s="42" t="inlineStr">
        <is>
          <t>Cesar</t>
        </is>
      </c>
      <c r="H66" s="44" t="n">
        <v>15.4</v>
      </c>
      <c r="I66" s="42" t="n">
        <v>2000</v>
      </c>
      <c r="J66" s="42" t="n">
        <v>14</v>
      </c>
      <c r="K66" s="44" t="n">
        <v>15</v>
      </c>
      <c r="L66" s="42" t="n">
        <v>2001</v>
      </c>
      <c r="M66" s="42" t="n">
        <v>1</v>
      </c>
      <c r="N66" s="44" t="n">
        <v>17.6</v>
      </c>
      <c r="O66" s="42" t="n">
        <v>1986</v>
      </c>
      <c r="P66" s="42" t="n">
        <v>10</v>
      </c>
      <c r="Q66" s="44" t="n">
        <v>18</v>
      </c>
      <c r="R66" s="42" t="n">
        <v>1999</v>
      </c>
      <c r="S66" s="42" t="n">
        <v>3</v>
      </c>
      <c r="T66" s="44" t="n">
        <v>17.8</v>
      </c>
      <c r="U66" s="42" t="n">
        <v>1984</v>
      </c>
      <c r="V66" s="42" t="n">
        <v>26</v>
      </c>
      <c r="W66" s="44" t="n">
        <v>17.2</v>
      </c>
      <c r="X66" s="42" t="n">
        <v>2015</v>
      </c>
      <c r="Y66" s="42" t="n">
        <v>30</v>
      </c>
      <c r="Z66" s="44" t="n">
        <v>17.6</v>
      </c>
      <c r="AA66" s="42" t="n">
        <v>2015</v>
      </c>
      <c r="AB66" s="42" t="n">
        <v>1</v>
      </c>
      <c r="AC66" s="44" t="n">
        <v>17.6</v>
      </c>
      <c r="AD66" s="42" t="n">
        <v>1986</v>
      </c>
      <c r="AE66" s="42" t="n">
        <v>18</v>
      </c>
      <c r="AF66" s="44" t="n">
        <v>18.2</v>
      </c>
      <c r="AG66" s="42" t="n">
        <v>1983</v>
      </c>
      <c r="AH66" s="42" t="n">
        <v>7</v>
      </c>
      <c r="AI66" s="44" t="n">
        <v>17</v>
      </c>
      <c r="AJ66" s="42" t="n">
        <v>1988</v>
      </c>
      <c r="AK66" s="42" t="n">
        <v>22</v>
      </c>
      <c r="AL66" s="44" t="n">
        <v>17</v>
      </c>
      <c r="AM66" s="42" t="n">
        <v>1988</v>
      </c>
      <c r="AN66" s="42" t="n">
        <v>6</v>
      </c>
      <c r="AO66" s="44" t="n">
        <v>16</v>
      </c>
      <c r="AP66" s="42" t="n">
        <v>2000</v>
      </c>
      <c r="AQ66" s="42" t="n">
        <v>16</v>
      </c>
    </row>
    <row r="67" ht="14.45" customHeight="1">
      <c r="A67" s="42" t="n">
        <v>28035020</v>
      </c>
      <c r="B67" s="42" t="inlineStr">
        <is>
          <t>EL CALLAO  [28035020]</t>
        </is>
      </c>
      <c r="C67" s="42" t="n">
        <v>10.36305556</v>
      </c>
      <c r="D67" s="42" t="n">
        <v>-73.31944444</v>
      </c>
      <c r="E67" s="42" t="n">
        <v>110</v>
      </c>
      <c r="F67" s="42" t="inlineStr">
        <is>
          <t>Valledupar</t>
        </is>
      </c>
      <c r="G67" s="42" t="inlineStr">
        <is>
          <t>Cesar</t>
        </is>
      </c>
      <c r="H67" s="44" t="n">
        <v>16</v>
      </c>
      <c r="I67" s="42" t="n">
        <v>1999</v>
      </c>
      <c r="J67" s="42" t="n">
        <v>19</v>
      </c>
      <c r="K67" s="44" t="n">
        <v>16.2</v>
      </c>
      <c r="L67" s="42" t="n">
        <v>1989</v>
      </c>
      <c r="M67" s="42" t="n">
        <v>21</v>
      </c>
      <c r="N67" s="44" t="n">
        <v>17.2</v>
      </c>
      <c r="O67" s="42" t="n">
        <v>1985</v>
      </c>
      <c r="P67" s="42" t="n">
        <v>23</v>
      </c>
      <c r="Q67" s="44" t="n">
        <v>16.2</v>
      </c>
      <c r="R67" s="42" t="n">
        <v>1985</v>
      </c>
      <c r="S67" s="42" t="n">
        <v>30</v>
      </c>
      <c r="T67" s="44" t="n">
        <v>16.4</v>
      </c>
      <c r="U67" s="42" t="n">
        <v>1985</v>
      </c>
      <c r="V67" s="42" t="n">
        <v>12</v>
      </c>
      <c r="W67" s="44" t="n">
        <v>16</v>
      </c>
      <c r="X67" s="42" t="n">
        <v>1978</v>
      </c>
      <c r="Y67" s="42" t="n">
        <v>25</v>
      </c>
      <c r="Z67" s="44" t="n">
        <v>16</v>
      </c>
      <c r="AA67" s="42" t="n">
        <v>2000</v>
      </c>
      <c r="AB67" s="42" t="n">
        <v>25</v>
      </c>
      <c r="AC67" s="44" t="n">
        <v>16.2</v>
      </c>
      <c r="AD67" s="42" t="n">
        <v>1978</v>
      </c>
      <c r="AE67" s="42" t="n">
        <v>2</v>
      </c>
      <c r="AF67" s="44" t="n">
        <v>17</v>
      </c>
      <c r="AG67" s="42" t="n">
        <v>1980</v>
      </c>
      <c r="AH67" s="42" t="n">
        <v>5</v>
      </c>
      <c r="AI67" s="44" t="n">
        <v>17.2</v>
      </c>
      <c r="AJ67" s="42" t="n">
        <v>1980</v>
      </c>
      <c r="AK67" s="42" t="n">
        <v>19</v>
      </c>
      <c r="AL67" s="44" t="n">
        <v>15.8</v>
      </c>
      <c r="AM67" s="42" t="n">
        <v>1996</v>
      </c>
      <c r="AN67" s="42" t="n">
        <v>23</v>
      </c>
      <c r="AO67" s="44" t="n">
        <v>16.6</v>
      </c>
      <c r="AP67" s="42" t="n">
        <v>1983</v>
      </c>
      <c r="AQ67" s="42" t="n">
        <v>13</v>
      </c>
    </row>
    <row r="68" ht="14.45" customHeight="1">
      <c r="A68" s="42" t="n">
        <v>51025080</v>
      </c>
      <c r="B68" s="42" t="inlineStr">
        <is>
          <t>ALTAQUER - AUT [51025080]</t>
        </is>
      </c>
      <c r="C68" s="42" t="n">
        <v>1.248333333</v>
      </c>
      <c r="D68" s="42" t="n">
        <v>-78.0925</v>
      </c>
      <c r="E68" s="42" t="n">
        <v>110</v>
      </c>
      <c r="F68" s="42" t="inlineStr">
        <is>
          <t>Barbacoas</t>
        </is>
      </c>
      <c r="G68" s="42" t="inlineStr">
        <is>
          <t>Nariño</t>
        </is>
      </c>
      <c r="H68" s="44" t="n">
        <v>14.6</v>
      </c>
      <c r="I68" s="42" t="n">
        <v>2011</v>
      </c>
      <c r="J68" s="42" t="n">
        <v>6</v>
      </c>
      <c r="K68" s="44" t="n">
        <v>14.6</v>
      </c>
      <c r="L68" s="42" t="n">
        <v>2007</v>
      </c>
      <c r="M68" s="42" t="n">
        <v>22</v>
      </c>
      <c r="N68" s="44" t="n">
        <v>15</v>
      </c>
      <c r="O68" s="42" t="n">
        <v>2014</v>
      </c>
      <c r="P68" s="42" t="n">
        <v>6</v>
      </c>
      <c r="Q68" s="44" t="n">
        <v>15</v>
      </c>
      <c r="R68" s="42" t="n">
        <v>2007</v>
      </c>
      <c r="S68" s="42" t="n">
        <v>8</v>
      </c>
      <c r="T68" s="44" t="n">
        <v>15</v>
      </c>
      <c r="U68" s="42" t="n">
        <v>2007</v>
      </c>
      <c r="V68" s="42" t="n">
        <v>1</v>
      </c>
      <c r="W68" s="44" t="n">
        <v>15</v>
      </c>
      <c r="X68" s="42" t="n">
        <v>2007</v>
      </c>
      <c r="Y68" s="42" t="n">
        <v>4</v>
      </c>
      <c r="Z68" s="44" t="n">
        <v>14.4</v>
      </c>
      <c r="AA68" s="42" t="n">
        <v>2002</v>
      </c>
      <c r="AB68" s="42" t="n">
        <v>13</v>
      </c>
      <c r="AC68" s="44" t="n">
        <v>14.2</v>
      </c>
      <c r="AD68" s="42" t="n">
        <v>2010</v>
      </c>
      <c r="AE68" s="42" t="n">
        <v>1</v>
      </c>
      <c r="AF68" s="44" t="n">
        <v>14.2</v>
      </c>
      <c r="AG68" s="42" t="n">
        <v>2010</v>
      </c>
      <c r="AH68" s="42" t="n">
        <v>18</v>
      </c>
      <c r="AI68" s="44" t="n">
        <v>14.4</v>
      </c>
      <c r="AJ68" s="42" t="n">
        <v>2009</v>
      </c>
      <c r="AK68" s="42" t="n">
        <v>23</v>
      </c>
      <c r="AL68" s="44" t="n">
        <v>14.6</v>
      </c>
      <c r="AM68" s="42" t="n">
        <v>2010</v>
      </c>
      <c r="AN68" s="42" t="n">
        <v>23</v>
      </c>
      <c r="AO68" s="44" t="n">
        <v>14.2</v>
      </c>
      <c r="AP68" s="42" t="n">
        <v>2010</v>
      </c>
      <c r="AQ68" s="42" t="n">
        <v>14</v>
      </c>
    </row>
    <row r="69" ht="14.45" customHeight="1">
      <c r="A69" s="42" t="n">
        <v>23155040</v>
      </c>
      <c r="B69" s="42" t="inlineStr">
        <is>
          <t>CENTRO EL [23155040]</t>
        </is>
      </c>
      <c r="C69" s="42" t="n">
        <v>6.859555556</v>
      </c>
      <c r="D69" s="42" t="n">
        <v>-73.76508333</v>
      </c>
      <c r="E69" s="42" t="n">
        <v>114</v>
      </c>
      <c r="F69" s="42" t="inlineStr">
        <is>
          <t>Barrancabermeja</t>
        </is>
      </c>
      <c r="G69" s="42" t="inlineStr">
        <is>
          <t>Santander</t>
        </is>
      </c>
      <c r="H69" s="44" t="n">
        <v>19</v>
      </c>
      <c r="I69" s="42" t="n">
        <v>1994</v>
      </c>
      <c r="J69" s="42" t="n">
        <v>22</v>
      </c>
      <c r="K69" s="44" t="n">
        <v>19.2</v>
      </c>
      <c r="L69" s="42" t="n">
        <v>1996</v>
      </c>
      <c r="M69" s="42" t="n">
        <v>2</v>
      </c>
      <c r="N69" s="44" t="n">
        <v>19.2</v>
      </c>
      <c r="O69" s="42" t="n">
        <v>1996</v>
      </c>
      <c r="P69" s="42" t="n">
        <v>13</v>
      </c>
      <c r="Q69" s="44" t="n">
        <v>19.8</v>
      </c>
      <c r="R69" s="42" t="n">
        <v>1994</v>
      </c>
      <c r="S69" s="42" t="n">
        <v>19</v>
      </c>
      <c r="T69" s="44" t="n">
        <v>19.2</v>
      </c>
      <c r="U69" s="42" t="n">
        <v>1996</v>
      </c>
      <c r="V69" s="42" t="n">
        <v>26</v>
      </c>
      <c r="W69" s="44" t="n">
        <v>19.6</v>
      </c>
      <c r="X69" s="42" t="n">
        <v>2023</v>
      </c>
      <c r="Y69" s="42" t="n">
        <v>14</v>
      </c>
      <c r="Z69" s="44" t="n">
        <v>19.2</v>
      </c>
      <c r="AA69" s="42" t="n">
        <v>1995</v>
      </c>
      <c r="AB69" s="42" t="n">
        <v>10</v>
      </c>
      <c r="AC69" s="44" t="n">
        <v>19</v>
      </c>
      <c r="AD69" s="42" t="n">
        <v>1984</v>
      </c>
      <c r="AE69" s="42" t="n">
        <v>28</v>
      </c>
      <c r="AF69" s="44" t="n">
        <v>19</v>
      </c>
      <c r="AG69" s="42" t="n">
        <v>1994</v>
      </c>
      <c r="AH69" s="42" t="n">
        <v>7</v>
      </c>
      <c r="AI69" s="44" t="n">
        <v>19.6</v>
      </c>
      <c r="AJ69" s="42" t="n">
        <v>1982</v>
      </c>
      <c r="AK69" s="42" t="n">
        <v>1</v>
      </c>
      <c r="AL69" s="44" t="n">
        <v>19.8</v>
      </c>
      <c r="AM69" s="42" t="n">
        <v>1993</v>
      </c>
      <c r="AN69" s="42" t="n">
        <v>11</v>
      </c>
      <c r="AO69" s="44" t="n">
        <v>19.2</v>
      </c>
      <c r="AP69" s="42" t="n">
        <v>1993</v>
      </c>
      <c r="AQ69" s="42" t="n">
        <v>27</v>
      </c>
    </row>
    <row r="70" ht="14.45" customHeight="1">
      <c r="A70" s="42" t="n">
        <v>35235050</v>
      </c>
      <c r="B70" s="42" t="inlineStr">
        <is>
          <t>TAMARA - AUT [35235050]</t>
        </is>
      </c>
      <c r="C70" s="42" t="n">
        <v>5.818583333</v>
      </c>
      <c r="D70" s="42" t="n">
        <v>-72.16677778</v>
      </c>
      <c r="E70" s="42" t="n">
        <v>117</v>
      </c>
      <c r="F70" s="42" t="inlineStr">
        <is>
          <t>Támara</t>
        </is>
      </c>
      <c r="G70" s="42" t="inlineStr">
        <is>
          <t>Casanare</t>
        </is>
      </c>
      <c r="H70" s="44" t="n">
        <v>15.1</v>
      </c>
      <c r="I70" s="42" t="n">
        <v>2010</v>
      </c>
      <c r="J70" s="42" t="n">
        <v>3</v>
      </c>
      <c r="K70" s="44" t="n">
        <v>17</v>
      </c>
      <c r="L70" s="42" t="n">
        <v>2006</v>
      </c>
      <c r="M70" s="42" t="n">
        <v>23</v>
      </c>
      <c r="N70" s="44" t="n">
        <v>17</v>
      </c>
      <c r="O70" s="42" t="n">
        <v>2011</v>
      </c>
      <c r="P70" s="42" t="n">
        <v>11</v>
      </c>
      <c r="Q70" s="44" t="n">
        <v>16</v>
      </c>
      <c r="R70" s="42" t="n">
        <v>2010</v>
      </c>
      <c r="S70" s="42" t="n">
        <v>6</v>
      </c>
      <c r="T70" s="44" t="n">
        <v>15.6</v>
      </c>
      <c r="U70" s="42" t="n">
        <v>2017</v>
      </c>
      <c r="V70" s="42" t="n">
        <v>23</v>
      </c>
      <c r="W70" s="44" t="n">
        <v>15.4</v>
      </c>
      <c r="X70" s="42" t="n">
        <v>2009</v>
      </c>
      <c r="Y70" s="42" t="n">
        <v>26</v>
      </c>
      <c r="Z70" s="44" t="n">
        <v>16.1</v>
      </c>
      <c r="AA70" s="42" t="n">
        <v>2009</v>
      </c>
      <c r="AB70" s="42" t="n">
        <v>10</v>
      </c>
      <c r="AC70" s="44" t="n">
        <v>15.3</v>
      </c>
      <c r="AD70" s="42" t="n">
        <v>2009</v>
      </c>
      <c r="AE70" s="42" t="n">
        <v>10</v>
      </c>
      <c r="AF70" s="44" t="n">
        <v>14.5</v>
      </c>
      <c r="AG70" s="42" t="n">
        <v>2014</v>
      </c>
      <c r="AH70" s="42" t="n">
        <v>19</v>
      </c>
      <c r="AI70" s="44" t="n">
        <v>16</v>
      </c>
      <c r="AJ70" s="42" t="n">
        <v>2011</v>
      </c>
      <c r="AK70" s="42" t="n">
        <v>21</v>
      </c>
      <c r="AL70" s="44" t="n">
        <v>16.3</v>
      </c>
      <c r="AM70" s="42" t="n">
        <v>2022</v>
      </c>
      <c r="AN70" s="42" t="n">
        <v>4</v>
      </c>
      <c r="AO70" s="44" t="n">
        <v>16.2</v>
      </c>
      <c r="AP70" s="42" t="n">
        <v>2008</v>
      </c>
      <c r="AQ70" s="42" t="n">
        <v>6</v>
      </c>
    </row>
    <row r="71" ht="14.45" customHeight="1">
      <c r="A71" s="42" t="n">
        <v>15085030</v>
      </c>
      <c r="B71" s="42" t="inlineStr">
        <is>
          <t>ESCUELA AGRICOLA CARRAIPIA  - AUT [15085030]</t>
        </is>
      </c>
      <c r="C71" s="42" t="n">
        <v>11.21675</v>
      </c>
      <c r="D71" s="42" t="n">
        <v>-72.35994444000001</v>
      </c>
      <c r="E71" s="42" t="n">
        <v>118</v>
      </c>
      <c r="F71" s="42" t="inlineStr">
        <is>
          <t>Maicao</t>
        </is>
      </c>
      <c r="G71" s="42" t="inlineStr">
        <is>
          <t>La Guajira</t>
        </is>
      </c>
      <c r="H71" s="44" t="n">
        <v>15.2</v>
      </c>
      <c r="I71" s="42" t="n">
        <v>2000</v>
      </c>
      <c r="J71" s="42" t="n">
        <v>4</v>
      </c>
      <c r="K71" s="44" t="n">
        <v>16</v>
      </c>
      <c r="L71" s="42" t="n">
        <v>2008</v>
      </c>
      <c r="M71" s="42" t="n">
        <v>3</v>
      </c>
      <c r="N71" s="44" t="n">
        <v>17.2</v>
      </c>
      <c r="O71" s="42" t="n">
        <v>1987</v>
      </c>
      <c r="P71" s="42" t="n">
        <v>8</v>
      </c>
      <c r="Q71" s="44" t="n">
        <v>17.2</v>
      </c>
      <c r="R71" s="42" t="n">
        <v>1990</v>
      </c>
      <c r="S71" s="42" t="n">
        <v>5</v>
      </c>
      <c r="T71" s="44" t="n">
        <v>17.6</v>
      </c>
      <c r="U71" s="42" t="n">
        <v>2011</v>
      </c>
      <c r="V71" s="42" t="n">
        <v>18</v>
      </c>
      <c r="W71" s="44" t="n">
        <v>17.8</v>
      </c>
      <c r="X71" s="42" t="n">
        <v>1990</v>
      </c>
      <c r="Y71" s="42" t="n">
        <v>17</v>
      </c>
      <c r="Z71" s="44" t="n">
        <v>15.2</v>
      </c>
      <c r="AA71" s="42" t="n">
        <v>1990</v>
      </c>
      <c r="AB71" s="42" t="n">
        <v>23</v>
      </c>
      <c r="AC71" s="44" t="n">
        <v>17.4</v>
      </c>
      <c r="AD71" s="42" t="n">
        <v>1990</v>
      </c>
      <c r="AE71" s="42" t="n">
        <v>18</v>
      </c>
      <c r="AF71" s="44" t="n">
        <v>15.2</v>
      </c>
      <c r="AG71" s="42" t="n">
        <v>1990</v>
      </c>
      <c r="AH71" s="42" t="n">
        <v>4</v>
      </c>
      <c r="AI71" s="44" t="n">
        <v>15.2</v>
      </c>
      <c r="AJ71" s="42" t="n">
        <v>1991</v>
      </c>
      <c r="AK71" s="42" t="n">
        <v>7</v>
      </c>
      <c r="AL71" s="44" t="n">
        <v>17.4</v>
      </c>
      <c r="AM71" s="42" t="n">
        <v>2011</v>
      </c>
      <c r="AN71" s="42" t="n">
        <v>23</v>
      </c>
      <c r="AO71" s="44" t="n">
        <v>12</v>
      </c>
      <c r="AP71" s="42" t="n">
        <v>2004</v>
      </c>
      <c r="AQ71" s="42" t="n">
        <v>29</v>
      </c>
    </row>
    <row r="72" ht="14.45" customHeight="1">
      <c r="A72" s="42" t="n">
        <v>23195040</v>
      </c>
      <c r="B72" s="42" t="inlineStr">
        <is>
          <t>UNIVERSIDAD INDUSTRIAL SANTANDER [23195040]</t>
        </is>
      </c>
      <c r="C72" s="42" t="n">
        <v>7.144722222</v>
      </c>
      <c r="D72" s="42" t="n">
        <v>-73.12222222</v>
      </c>
      <c r="E72" s="42" t="n">
        <v>118</v>
      </c>
      <c r="F72" s="42" t="inlineStr">
        <is>
          <t>Bucaramanga</t>
        </is>
      </c>
      <c r="G72" s="42" t="inlineStr">
        <is>
          <t>Santander</t>
        </is>
      </c>
      <c r="H72" s="44" t="n">
        <v>15.8</v>
      </c>
      <c r="I72" s="42" t="n">
        <v>1997</v>
      </c>
      <c r="J72" s="42" t="n">
        <v>1</v>
      </c>
      <c r="K72" s="44" t="n">
        <v>15.2</v>
      </c>
      <c r="L72" s="42" t="n">
        <v>1985</v>
      </c>
      <c r="M72" s="42" t="n">
        <v>6</v>
      </c>
      <c r="N72" s="44" t="n">
        <v>14.8</v>
      </c>
      <c r="O72" s="42" t="n">
        <v>1989</v>
      </c>
      <c r="P72" s="42" t="n">
        <v>13</v>
      </c>
      <c r="Q72" s="44" t="n">
        <v>16.4</v>
      </c>
      <c r="R72" s="42" t="n">
        <v>1991</v>
      </c>
      <c r="S72" s="42" t="n">
        <v>11</v>
      </c>
      <c r="T72" s="44" t="n">
        <v>14.2</v>
      </c>
      <c r="U72" s="42" t="n">
        <v>1990</v>
      </c>
      <c r="V72" s="42" t="n">
        <v>14</v>
      </c>
      <c r="W72" s="44" t="n">
        <v>15.4</v>
      </c>
      <c r="X72" s="42" t="n">
        <v>1982</v>
      </c>
      <c r="Y72" s="42" t="n">
        <v>7</v>
      </c>
      <c r="Z72" s="44" t="n">
        <v>15</v>
      </c>
      <c r="AA72" s="42" t="n">
        <v>1996</v>
      </c>
      <c r="AB72" s="42" t="n">
        <v>13</v>
      </c>
      <c r="AC72" s="44" t="n">
        <v>16</v>
      </c>
      <c r="AD72" s="42" t="n">
        <v>1996</v>
      </c>
      <c r="AE72" s="42" t="n">
        <v>21</v>
      </c>
      <c r="AF72" s="44" t="n">
        <v>16</v>
      </c>
      <c r="AG72" s="42" t="n">
        <v>1996</v>
      </c>
      <c r="AH72" s="42" t="n">
        <v>28</v>
      </c>
      <c r="AI72" s="44" t="n">
        <v>15.2</v>
      </c>
      <c r="AJ72" s="42" t="n">
        <v>1996</v>
      </c>
      <c r="AK72" s="42" t="n">
        <v>11</v>
      </c>
      <c r="AL72" s="44" t="n">
        <v>15.4</v>
      </c>
      <c r="AM72" s="42" t="n">
        <v>1984</v>
      </c>
      <c r="AN72" s="42" t="n">
        <v>9</v>
      </c>
      <c r="AO72" s="44" t="n">
        <v>15</v>
      </c>
      <c r="AP72" s="42" t="n">
        <v>1979</v>
      </c>
      <c r="AQ72" s="42" t="n">
        <v>22</v>
      </c>
    </row>
    <row r="73" ht="14.45" customHeight="1">
      <c r="A73" s="42" t="n">
        <v>25025170</v>
      </c>
      <c r="B73" s="42" t="inlineStr">
        <is>
          <t>COLOMBOY [25025170]</t>
        </is>
      </c>
      <c r="C73" s="42" t="n">
        <v>8.740861110999999</v>
      </c>
      <c r="D73" s="42" t="n">
        <v>-75.49883333</v>
      </c>
      <c r="E73" s="42" t="n">
        <v>125</v>
      </c>
      <c r="F73" s="42" t="inlineStr">
        <is>
          <t>Sahagún</t>
        </is>
      </c>
      <c r="G73" s="42" t="inlineStr">
        <is>
          <t>Cordoba</t>
        </is>
      </c>
      <c r="H73" s="44" t="n">
        <v>19</v>
      </c>
      <c r="I73" s="42" t="n">
        <v>2008</v>
      </c>
      <c r="J73" s="42" t="n">
        <v>3</v>
      </c>
      <c r="K73" s="44" t="n">
        <v>19.2</v>
      </c>
      <c r="L73" s="42" t="n">
        <v>2008</v>
      </c>
      <c r="M73" s="42" t="n">
        <v>4</v>
      </c>
      <c r="N73" s="44" t="n">
        <v>20</v>
      </c>
      <c r="O73" s="42" t="n">
        <v>1994</v>
      </c>
      <c r="P73" s="42" t="n">
        <v>28</v>
      </c>
      <c r="Q73" s="44" t="n">
        <v>19.8</v>
      </c>
      <c r="R73" s="42" t="n">
        <v>2007</v>
      </c>
      <c r="S73" s="42" t="n">
        <v>8</v>
      </c>
      <c r="T73" s="44" t="n">
        <v>19</v>
      </c>
      <c r="U73" s="42" t="n">
        <v>2001</v>
      </c>
      <c r="V73" s="42" t="n">
        <v>28</v>
      </c>
      <c r="W73" s="44" t="n">
        <v>19.6</v>
      </c>
      <c r="X73" s="42" t="n">
        <v>2001</v>
      </c>
      <c r="Y73" s="42" t="n">
        <v>12</v>
      </c>
      <c r="Z73" s="44" t="n">
        <v>19.4</v>
      </c>
      <c r="AA73" s="42" t="n">
        <v>2007</v>
      </c>
      <c r="AB73" s="42" t="n">
        <v>18</v>
      </c>
      <c r="AC73" s="44" t="n">
        <v>19.2</v>
      </c>
      <c r="AD73" s="42" t="n">
        <v>2006</v>
      </c>
      <c r="AE73" s="42" t="n">
        <v>21</v>
      </c>
      <c r="AF73" s="44" t="n">
        <v>19</v>
      </c>
      <c r="AG73" s="42" t="n">
        <v>2021</v>
      </c>
      <c r="AH73" s="42" t="n">
        <v>4</v>
      </c>
      <c r="AI73" s="44" t="n">
        <v>19.4</v>
      </c>
      <c r="AJ73" s="42" t="n">
        <v>2007</v>
      </c>
      <c r="AK73" s="42" t="n">
        <v>25</v>
      </c>
      <c r="AL73" s="44" t="n">
        <v>19.4</v>
      </c>
      <c r="AM73" s="42" t="n">
        <v>2006</v>
      </c>
      <c r="AN73" s="42" t="n">
        <v>12</v>
      </c>
      <c r="AO73" s="44" t="n">
        <v>19</v>
      </c>
      <c r="AP73" s="42" t="n">
        <v>2007</v>
      </c>
      <c r="AQ73" s="42" t="n">
        <v>16</v>
      </c>
    </row>
    <row r="74" ht="14.45" customHeight="1">
      <c r="A74" s="42" t="n">
        <v>23155030</v>
      </c>
      <c r="B74" s="42" t="inlineStr">
        <is>
          <t>AEROPUERTO YARIGUIES AUT [23155030]</t>
        </is>
      </c>
      <c r="C74" s="42" t="n">
        <v>7.026388889</v>
      </c>
      <c r="D74" s="42" t="n">
        <v>-73.80861111</v>
      </c>
      <c r="E74" s="42" t="n">
        <v>126</v>
      </c>
      <c r="F74" s="42" t="inlineStr">
        <is>
          <t>Barrancabermeja</t>
        </is>
      </c>
      <c r="G74" s="42" t="inlineStr">
        <is>
          <t>Santander</t>
        </is>
      </c>
      <c r="H74" s="44" t="n">
        <v>20.1</v>
      </c>
      <c r="I74" s="42" t="n">
        <v>2004</v>
      </c>
      <c r="J74" s="42" t="n">
        <v>16</v>
      </c>
      <c r="K74" s="44" t="n">
        <v>20.3</v>
      </c>
      <c r="L74" s="42" t="n">
        <v>1985</v>
      </c>
      <c r="M74" s="42" t="n">
        <v>2</v>
      </c>
      <c r="N74" s="44" t="n">
        <v>20.2</v>
      </c>
      <c r="O74" s="42" t="n">
        <v>1989</v>
      </c>
      <c r="P74" s="42" t="n">
        <v>13</v>
      </c>
      <c r="Q74" s="44" t="n">
        <v>20</v>
      </c>
      <c r="R74" s="42" t="n">
        <v>1999</v>
      </c>
      <c r="S74" s="42" t="n">
        <v>5</v>
      </c>
      <c r="T74" s="44" t="n">
        <v>20.2</v>
      </c>
      <c r="U74" s="42" t="n">
        <v>1981</v>
      </c>
      <c r="V74" s="42" t="n">
        <v>24</v>
      </c>
      <c r="W74" s="44" t="n">
        <v>19</v>
      </c>
      <c r="X74" s="42" t="n">
        <v>2004</v>
      </c>
      <c r="Y74" s="42" t="n">
        <v>21</v>
      </c>
      <c r="Z74" s="44" t="n">
        <v>20.1</v>
      </c>
      <c r="AA74" s="42" t="n">
        <v>1984</v>
      </c>
      <c r="AB74" s="42" t="n">
        <v>31</v>
      </c>
      <c r="AC74" s="44" t="n">
        <v>19.6</v>
      </c>
      <c r="AD74" s="42" t="n">
        <v>1983</v>
      </c>
      <c r="AE74" s="42" t="n">
        <v>1</v>
      </c>
      <c r="AF74" s="44" t="n">
        <v>20</v>
      </c>
      <c r="AG74" s="42" t="n">
        <v>1994</v>
      </c>
      <c r="AH74" s="42" t="n">
        <v>20</v>
      </c>
      <c r="AI74" s="44" t="n">
        <v>20.9</v>
      </c>
      <c r="AJ74" s="42" t="n">
        <v>2022</v>
      </c>
      <c r="AK74" s="42" t="n">
        <v>13</v>
      </c>
      <c r="AL74" s="44" t="n">
        <v>21</v>
      </c>
      <c r="AM74" s="42" t="n">
        <v>2001</v>
      </c>
      <c r="AN74" s="42" t="n">
        <v>3</v>
      </c>
      <c r="AO74" s="44" t="n">
        <v>20.8</v>
      </c>
      <c r="AP74" s="42" t="n">
        <v>1978</v>
      </c>
      <c r="AQ74" s="42" t="n">
        <v>8</v>
      </c>
    </row>
    <row r="75" ht="14.45" customHeight="1">
      <c r="A75" s="42" t="n">
        <v>26075080</v>
      </c>
      <c r="B75" s="42" t="inlineStr">
        <is>
          <t>CENICANA [26075080]</t>
        </is>
      </c>
      <c r="C75" s="42" t="n">
        <v>3.360416667</v>
      </c>
      <c r="D75" s="42" t="n">
        <v>-76.299722222</v>
      </c>
      <c r="E75" s="42" t="n">
        <v>128</v>
      </c>
      <c r="F75" s="42" t="inlineStr">
        <is>
          <t>Florida</t>
        </is>
      </c>
      <c r="G75" s="42" t="inlineStr">
        <is>
          <t>Valle Del Cauca</t>
        </is>
      </c>
      <c r="H75" s="44" t="n">
        <v>14</v>
      </c>
      <c r="I75" s="42" t="n">
        <v>2017</v>
      </c>
      <c r="J75" s="42" t="n">
        <v>23</v>
      </c>
      <c r="K75" s="44" t="n">
        <v>15</v>
      </c>
      <c r="L75" s="42" t="n">
        <v>1985</v>
      </c>
      <c r="M75" s="42" t="n">
        <v>5</v>
      </c>
      <c r="N75" s="44" t="n">
        <v>15</v>
      </c>
      <c r="O75" s="42" t="n">
        <v>1989</v>
      </c>
      <c r="P75" s="42" t="n">
        <v>29</v>
      </c>
      <c r="Q75" s="44" t="n">
        <v>15.6</v>
      </c>
      <c r="R75" s="42" t="n">
        <v>1985</v>
      </c>
      <c r="S75" s="42" t="n">
        <v>28</v>
      </c>
      <c r="T75" s="44" t="n">
        <v>15.1</v>
      </c>
      <c r="U75" s="42" t="n">
        <v>2019</v>
      </c>
      <c r="V75" s="42" t="n">
        <v>31</v>
      </c>
      <c r="W75" s="44" t="n">
        <v>14.7</v>
      </c>
      <c r="X75" s="42" t="n">
        <v>1986</v>
      </c>
      <c r="Y75" s="42" t="n">
        <v>3</v>
      </c>
      <c r="Z75" s="44" t="n">
        <v>13.3</v>
      </c>
      <c r="AA75" s="42" t="n">
        <v>1986</v>
      </c>
      <c r="AB75" s="42" t="n">
        <v>24</v>
      </c>
      <c r="AC75" s="44" t="n">
        <v>13</v>
      </c>
      <c r="AD75" s="42" t="n">
        <v>2018</v>
      </c>
      <c r="AE75" s="42" t="n">
        <v>11</v>
      </c>
      <c r="AF75" s="44" t="n">
        <v>15</v>
      </c>
      <c r="AG75" s="42" t="n">
        <v>1981</v>
      </c>
      <c r="AH75" s="42" t="n">
        <v>12</v>
      </c>
      <c r="AI75" s="44" t="n">
        <v>15</v>
      </c>
      <c r="AJ75" s="42" t="n">
        <v>1981</v>
      </c>
      <c r="AK75" s="42" t="n">
        <v>4</v>
      </c>
      <c r="AL75" s="44" t="n">
        <v>13.3</v>
      </c>
      <c r="AM75" s="42" t="n">
        <v>1985</v>
      </c>
      <c r="AN75" s="42" t="n">
        <v>2</v>
      </c>
      <c r="AO75" s="44" t="n">
        <v>15.2</v>
      </c>
      <c r="AP75" s="42" t="n">
        <v>2014</v>
      </c>
      <c r="AQ75" s="42" t="n">
        <v>15</v>
      </c>
    </row>
    <row r="76" ht="14.45" customHeight="1">
      <c r="A76" s="42" t="n">
        <v>37055010</v>
      </c>
      <c r="B76" s="42" t="inlineStr">
        <is>
          <t>AEROPUERTO SANTIAGO PÉREZ [37055010]</t>
        </is>
      </c>
      <c r="C76" s="42" t="n">
        <v>7.069444444</v>
      </c>
      <c r="D76" s="42" t="n">
        <v>-70.73805556000001</v>
      </c>
      <c r="E76" s="42" t="n">
        <v>128</v>
      </c>
      <c r="F76" s="42" t="inlineStr">
        <is>
          <t>Arauca</t>
        </is>
      </c>
      <c r="G76" s="42" t="inlineStr">
        <is>
          <t>Arauca</t>
        </is>
      </c>
      <c r="H76" s="44" t="n">
        <v>15.4</v>
      </c>
      <c r="I76" s="42" t="n">
        <v>1982</v>
      </c>
      <c r="J76" s="42" t="n">
        <v>23</v>
      </c>
      <c r="K76" s="44" t="n">
        <v>15.2</v>
      </c>
      <c r="L76" s="42" t="n">
        <v>1985</v>
      </c>
      <c r="M76" s="42" t="n">
        <v>27</v>
      </c>
      <c r="N76" s="44" t="n">
        <v>18</v>
      </c>
      <c r="O76" s="42" t="n">
        <v>1989</v>
      </c>
      <c r="P76" s="42" t="n">
        <v>28</v>
      </c>
      <c r="Q76" s="44" t="n">
        <v>19</v>
      </c>
      <c r="R76" s="42" t="n">
        <v>1986</v>
      </c>
      <c r="S76" s="42" t="n">
        <v>9</v>
      </c>
      <c r="T76" s="44" t="n">
        <v>19.4</v>
      </c>
      <c r="U76" s="42" t="n">
        <v>1986</v>
      </c>
      <c r="V76" s="42" t="n">
        <v>17</v>
      </c>
      <c r="W76" s="44" t="n">
        <v>19</v>
      </c>
      <c r="X76" s="42" t="n">
        <v>1986</v>
      </c>
      <c r="Y76" s="42" t="n">
        <v>16</v>
      </c>
      <c r="Z76" s="44" t="n">
        <v>18.8</v>
      </c>
      <c r="AA76" s="42" t="n">
        <v>1980</v>
      </c>
      <c r="AB76" s="42" t="n">
        <v>6</v>
      </c>
      <c r="AC76" s="44" t="n">
        <v>18.4</v>
      </c>
      <c r="AD76" s="42" t="n">
        <v>1978</v>
      </c>
      <c r="AE76" s="42" t="n">
        <v>16</v>
      </c>
      <c r="AF76" s="44" t="n">
        <v>19.4</v>
      </c>
      <c r="AG76" s="42" t="n">
        <v>2008</v>
      </c>
      <c r="AH76" s="42" t="n">
        <v>12</v>
      </c>
      <c r="AI76" s="44" t="n">
        <v>18.2</v>
      </c>
      <c r="AJ76" s="42" t="n">
        <v>1981</v>
      </c>
      <c r="AK76" s="42" t="n">
        <v>10</v>
      </c>
      <c r="AL76" s="44" t="n">
        <v>18.6</v>
      </c>
      <c r="AM76" s="42" t="n">
        <v>1981</v>
      </c>
      <c r="AN76" s="42" t="n">
        <v>23</v>
      </c>
      <c r="AO76" s="44" t="n">
        <v>18.2</v>
      </c>
      <c r="AP76" s="42" t="n">
        <v>1993</v>
      </c>
      <c r="AQ76" s="42" t="n">
        <v>29</v>
      </c>
    </row>
    <row r="77" ht="14.45" customHeight="1">
      <c r="A77" s="42" t="n">
        <v>12015010</v>
      </c>
      <c r="B77" s="42" t="inlineStr">
        <is>
          <t>VILLARTEAGA [12015010]</t>
        </is>
      </c>
      <c r="C77" s="42" t="n">
        <v>7.334666667</v>
      </c>
      <c r="D77" s="42" t="n">
        <v>-76.48602778</v>
      </c>
      <c r="E77" s="42" t="n">
        <v>132</v>
      </c>
      <c r="F77" s="42" t="inlineStr">
        <is>
          <t>Mutatá</t>
        </is>
      </c>
      <c r="G77" s="42" t="inlineStr">
        <is>
          <t>Antioquia</t>
        </is>
      </c>
      <c r="H77" s="44" t="n">
        <v>16</v>
      </c>
      <c r="I77" s="42" t="n">
        <v>1978</v>
      </c>
      <c r="J77" s="42" t="n">
        <v>5</v>
      </c>
      <c r="K77" s="44" t="n">
        <v>17</v>
      </c>
      <c r="L77" s="42" t="n">
        <v>1992</v>
      </c>
      <c r="M77" s="42" t="n">
        <v>1</v>
      </c>
      <c r="N77" s="44" t="n">
        <v>17.2</v>
      </c>
      <c r="O77" s="42" t="n">
        <v>1992</v>
      </c>
      <c r="P77" s="42" t="n">
        <v>23</v>
      </c>
      <c r="Q77" s="44" t="n">
        <v>16.4</v>
      </c>
      <c r="R77" s="42" t="n">
        <v>1992</v>
      </c>
      <c r="S77" s="42" t="n">
        <v>25</v>
      </c>
      <c r="T77" s="44" t="n">
        <v>16</v>
      </c>
      <c r="U77" s="42" t="n">
        <v>1987</v>
      </c>
      <c r="V77" s="42" t="n">
        <v>26</v>
      </c>
      <c r="W77" s="44" t="n">
        <v>18.2</v>
      </c>
      <c r="X77" s="42" t="n">
        <v>1992</v>
      </c>
      <c r="Y77" s="42" t="n">
        <v>28</v>
      </c>
      <c r="Z77" s="44" t="n">
        <v>16</v>
      </c>
      <c r="AA77" s="42" t="n">
        <v>1991</v>
      </c>
      <c r="AB77" s="42" t="n">
        <v>1</v>
      </c>
      <c r="AC77" s="44" t="n">
        <v>16</v>
      </c>
      <c r="AD77" s="42" t="n">
        <v>1991</v>
      </c>
      <c r="AE77" s="42" t="n">
        <v>8</v>
      </c>
      <c r="AF77" s="44" t="n">
        <v>16</v>
      </c>
      <c r="AG77" s="42" t="n">
        <v>1991</v>
      </c>
      <c r="AH77" s="42" t="n">
        <v>16</v>
      </c>
      <c r="AI77" s="44" t="n">
        <v>16</v>
      </c>
      <c r="AJ77" s="42" t="n">
        <v>1991</v>
      </c>
      <c r="AK77" s="42" t="n">
        <v>19</v>
      </c>
      <c r="AL77" s="44" t="n">
        <v>16</v>
      </c>
      <c r="AM77" s="42" t="n">
        <v>1991</v>
      </c>
      <c r="AN77" s="42" t="n">
        <v>19</v>
      </c>
      <c r="AO77" s="44" t="n">
        <v>16</v>
      </c>
      <c r="AP77" s="42" t="n">
        <v>1991</v>
      </c>
      <c r="AQ77" s="42" t="n">
        <v>8</v>
      </c>
    </row>
    <row r="78" ht="14.45" customHeight="1">
      <c r="A78" s="42" t="n">
        <v>24065010</v>
      </c>
      <c r="B78" s="42" t="inlineStr">
        <is>
          <t>HACIENDA LAS BRISAS [24065010]</t>
        </is>
      </c>
      <c r="C78" s="42" t="n">
        <v>7.246111111</v>
      </c>
      <c r="D78" s="42" t="n">
        <v>-73.79000000000001</v>
      </c>
      <c r="E78" s="42" t="n">
        <v>138</v>
      </c>
      <c r="F78" s="42" t="inlineStr">
        <is>
          <t>Puerto Wilches</t>
        </is>
      </c>
      <c r="G78" s="42" t="inlineStr">
        <is>
          <t>Santander</t>
        </is>
      </c>
      <c r="H78" s="44" t="n">
        <v>17.6</v>
      </c>
      <c r="I78" s="42" t="n">
        <v>1979</v>
      </c>
      <c r="J78" s="42" t="n">
        <v>28</v>
      </c>
      <c r="K78" s="44" t="n">
        <v>17</v>
      </c>
      <c r="L78" s="42" t="n">
        <v>1989</v>
      </c>
      <c r="M78" s="42" t="n">
        <v>16</v>
      </c>
      <c r="N78" s="44" t="n">
        <v>14.6</v>
      </c>
      <c r="O78" s="42" t="n">
        <v>1996</v>
      </c>
      <c r="P78" s="42" t="n">
        <v>2</v>
      </c>
      <c r="Q78" s="44" t="n">
        <v>18.2</v>
      </c>
      <c r="R78" s="42" t="n">
        <v>1979</v>
      </c>
      <c r="S78" s="42" t="n">
        <v>27</v>
      </c>
      <c r="T78" s="44" t="n">
        <v>18</v>
      </c>
      <c r="U78" s="42" t="n">
        <v>1997</v>
      </c>
      <c r="V78" s="42" t="n">
        <v>8</v>
      </c>
      <c r="W78" s="44" t="n">
        <v>18</v>
      </c>
      <c r="X78" s="42" t="n">
        <v>1997</v>
      </c>
      <c r="Y78" s="42" t="n">
        <v>27</v>
      </c>
      <c r="Z78" s="44" t="n">
        <v>17.4</v>
      </c>
      <c r="AA78" s="42" t="n">
        <v>1981</v>
      </c>
      <c r="AB78" s="42" t="n">
        <v>17</v>
      </c>
      <c r="AC78" s="44" t="n">
        <v>17.2</v>
      </c>
      <c r="AD78" s="42" t="n">
        <v>2003</v>
      </c>
      <c r="AE78" s="42" t="n">
        <v>14</v>
      </c>
      <c r="AF78" s="44" t="n">
        <v>17.2</v>
      </c>
      <c r="AG78" s="42" t="n">
        <v>1981</v>
      </c>
      <c r="AH78" s="42" t="n">
        <v>1</v>
      </c>
      <c r="AI78" s="44" t="n">
        <v>18.2</v>
      </c>
      <c r="AJ78" s="42" t="n">
        <v>1978</v>
      </c>
      <c r="AK78" s="42" t="n">
        <v>3</v>
      </c>
      <c r="AL78" s="44" t="n">
        <v>18</v>
      </c>
      <c r="AM78" s="42" t="n">
        <v>1997</v>
      </c>
      <c r="AN78" s="42" t="n">
        <v>10</v>
      </c>
      <c r="AO78" s="44" t="n">
        <v>18.6</v>
      </c>
      <c r="AP78" s="42" t="n">
        <v>1978</v>
      </c>
      <c r="AQ78" s="42" t="n">
        <v>11</v>
      </c>
    </row>
    <row r="79" ht="14.45" customHeight="1">
      <c r="A79" s="42" t="n">
        <v>28025502</v>
      </c>
      <c r="B79" s="42" t="inlineStr">
        <is>
          <t>AEROPUERTO ALFONSO LOPEZ - [28025502]</t>
        </is>
      </c>
      <c r="C79" s="42" t="n">
        <v>10.43616667</v>
      </c>
      <c r="D79" s="42" t="n">
        <v>-73.24766667</v>
      </c>
      <c r="E79" s="42" t="n">
        <v>138</v>
      </c>
      <c r="F79" s="42" t="inlineStr">
        <is>
          <t>Valledupar</t>
        </is>
      </c>
      <c r="G79" s="42" t="inlineStr">
        <is>
          <t>Cesar</t>
        </is>
      </c>
      <c r="H79" s="44" t="n">
        <v>19</v>
      </c>
      <c r="I79" s="42" t="n">
        <v>1985</v>
      </c>
      <c r="J79" s="42" t="n">
        <v>29</v>
      </c>
      <c r="K79" s="44" t="n">
        <v>18.6</v>
      </c>
      <c r="L79" s="42" t="n">
        <v>2000</v>
      </c>
      <c r="M79" s="42" t="n">
        <v>9</v>
      </c>
      <c r="N79" s="44" t="n">
        <v>20.3</v>
      </c>
      <c r="O79" s="42" t="n">
        <v>1976</v>
      </c>
      <c r="P79" s="42" t="n">
        <v>7</v>
      </c>
      <c r="Q79" s="44" t="n">
        <v>20.8</v>
      </c>
      <c r="R79" s="42" t="n">
        <v>1976</v>
      </c>
      <c r="S79" s="42" t="n">
        <v>10</v>
      </c>
      <c r="T79" s="44" t="n">
        <v>20.8</v>
      </c>
      <c r="U79" s="42" t="n">
        <v>1995</v>
      </c>
      <c r="V79" s="42" t="n">
        <v>26</v>
      </c>
      <c r="W79" s="44" t="n">
        <v>19.2</v>
      </c>
      <c r="X79" s="42" t="n">
        <v>1980</v>
      </c>
      <c r="Y79" s="42" t="n">
        <v>7</v>
      </c>
      <c r="Z79" s="44" t="n">
        <v>20.8</v>
      </c>
      <c r="AA79" s="42" t="n">
        <v>1996</v>
      </c>
      <c r="AB79" s="42" t="n">
        <v>12</v>
      </c>
      <c r="AC79" s="44" t="n">
        <v>20</v>
      </c>
      <c r="AD79" s="42" t="n">
        <v>1979</v>
      </c>
      <c r="AE79" s="42" t="n">
        <v>21</v>
      </c>
      <c r="AF79" s="44" t="n">
        <v>20.4</v>
      </c>
      <c r="AG79" s="42" t="n">
        <v>1978</v>
      </c>
      <c r="AH79" s="42" t="n">
        <v>7</v>
      </c>
      <c r="AI79" s="44" t="n">
        <v>18.4</v>
      </c>
      <c r="AJ79" s="42" t="n">
        <v>2006</v>
      </c>
      <c r="AK79" s="42" t="n">
        <v>30</v>
      </c>
      <c r="AL79" s="44" t="n">
        <v>19</v>
      </c>
      <c r="AM79" s="42" t="n">
        <v>1996</v>
      </c>
      <c r="AN79" s="42" t="n">
        <v>22</v>
      </c>
      <c r="AO79" s="44" t="n">
        <v>19</v>
      </c>
      <c r="AP79" s="42" t="n">
        <v>1985</v>
      </c>
      <c r="AQ79" s="42" t="n">
        <v>15</v>
      </c>
    </row>
    <row r="80" ht="14.45" customHeight="1">
      <c r="A80" s="42" t="n">
        <v>35225030</v>
      </c>
      <c r="B80" s="42" t="inlineStr">
        <is>
          <t>MODULOS - AUT [35225030]</t>
        </is>
      </c>
      <c r="C80" s="42" t="n">
        <v>4.910528</v>
      </c>
      <c r="D80" s="42" t="n">
        <v>-71.433083</v>
      </c>
      <c r="E80" s="42" t="n">
        <v>139</v>
      </c>
      <c r="F80" s="42" t="inlineStr">
        <is>
          <t>Orocué</t>
        </is>
      </c>
      <c r="G80" s="42" t="inlineStr">
        <is>
          <t>Casanare</t>
        </is>
      </c>
      <c r="H80" s="44" t="n">
        <v>15.4</v>
      </c>
      <c r="I80" s="42" t="n">
        <v>1984</v>
      </c>
      <c r="J80" s="42" t="n">
        <v>13</v>
      </c>
      <c r="K80" s="44" t="n">
        <v>15</v>
      </c>
      <c r="L80" s="42" t="n">
        <v>1987</v>
      </c>
      <c r="M80" s="42" t="n">
        <v>7</v>
      </c>
      <c r="N80" s="44" t="n">
        <v>12.6</v>
      </c>
      <c r="O80" s="42" t="n">
        <v>1984</v>
      </c>
      <c r="P80" s="42" t="n">
        <v>11</v>
      </c>
      <c r="Q80" s="44" t="n">
        <v>16.6</v>
      </c>
      <c r="R80" s="42" t="n">
        <v>1982</v>
      </c>
      <c r="S80" s="42" t="n">
        <v>21</v>
      </c>
      <c r="T80" s="44" t="n">
        <v>16</v>
      </c>
      <c r="U80" s="42" t="n">
        <v>1989</v>
      </c>
      <c r="V80" s="42" t="n">
        <v>13</v>
      </c>
      <c r="W80" s="44" t="n">
        <v>16.4</v>
      </c>
      <c r="X80" s="42" t="n">
        <v>1982</v>
      </c>
      <c r="Y80" s="42" t="n">
        <v>17</v>
      </c>
      <c r="Z80" s="44" t="n">
        <v>15.8</v>
      </c>
      <c r="AA80" s="42" t="n">
        <v>1982</v>
      </c>
      <c r="AB80" s="42" t="n">
        <v>18</v>
      </c>
      <c r="AC80" s="44" t="n">
        <v>15.4</v>
      </c>
      <c r="AD80" s="42" t="n">
        <v>1985</v>
      </c>
      <c r="AE80" s="42" t="n">
        <v>1</v>
      </c>
      <c r="AF80" s="44" t="n">
        <v>14</v>
      </c>
      <c r="AG80" s="42" t="n">
        <v>1982</v>
      </c>
      <c r="AH80" s="42" t="n">
        <v>13</v>
      </c>
      <c r="AI80" s="44" t="n">
        <v>15.2</v>
      </c>
      <c r="AJ80" s="42" t="n">
        <v>1988</v>
      </c>
      <c r="AK80" s="42" t="n">
        <v>13</v>
      </c>
      <c r="AL80" s="44" t="n">
        <v>16.6</v>
      </c>
      <c r="AM80" s="42" t="n">
        <v>1981</v>
      </c>
      <c r="AN80" s="42" t="n">
        <v>7</v>
      </c>
      <c r="AO80" s="44" t="n">
        <v>14</v>
      </c>
      <c r="AP80" s="42" t="n">
        <v>1985</v>
      </c>
      <c r="AQ80" s="42" t="n">
        <v>30</v>
      </c>
    </row>
    <row r="81" ht="14.45" customHeight="1">
      <c r="A81" s="42" t="n">
        <v>47045010</v>
      </c>
      <c r="B81" s="42" t="inlineStr">
        <is>
          <t>PUERTO LEGUIZAMO [47045010]</t>
        </is>
      </c>
      <c r="C81" s="42" t="n">
        <v>-0.180611111</v>
      </c>
      <c r="D81" s="42" t="n">
        <v>-74.77627778</v>
      </c>
      <c r="E81" s="42" t="n">
        <v>147</v>
      </c>
      <c r="F81" s="42" t="inlineStr">
        <is>
          <t>Puerto Leguízamo</t>
        </is>
      </c>
      <c r="G81" s="42" t="inlineStr">
        <is>
          <t>Putumayo</t>
        </is>
      </c>
      <c r="H81" s="44" t="n">
        <v>17</v>
      </c>
      <c r="I81" s="42" t="n">
        <v>1987</v>
      </c>
      <c r="J81" s="42" t="n">
        <v>21</v>
      </c>
      <c r="K81" s="44" t="n">
        <v>17</v>
      </c>
      <c r="L81" s="42" t="n">
        <v>1987</v>
      </c>
      <c r="M81" s="42" t="n">
        <v>16</v>
      </c>
      <c r="N81" s="44" t="n">
        <v>17.5</v>
      </c>
      <c r="O81" s="42" t="n">
        <v>1981</v>
      </c>
      <c r="P81" s="42" t="n">
        <v>3</v>
      </c>
      <c r="Q81" s="44" t="n">
        <v>19.3</v>
      </c>
      <c r="R81" s="42" t="n">
        <v>2016</v>
      </c>
      <c r="S81" s="42" t="n">
        <v>29</v>
      </c>
      <c r="T81" s="44" t="n">
        <v>19.8</v>
      </c>
      <c r="U81" s="42" t="n">
        <v>2007</v>
      </c>
      <c r="V81" s="42" t="n">
        <v>27</v>
      </c>
      <c r="W81" s="44" t="n">
        <v>17.4</v>
      </c>
      <c r="X81" s="42" t="n">
        <v>1996</v>
      </c>
      <c r="Y81" s="42" t="n">
        <v>30</v>
      </c>
      <c r="Z81" s="44" t="n">
        <v>17.5</v>
      </c>
      <c r="AA81" s="42" t="n">
        <v>1981</v>
      </c>
      <c r="AB81" s="42" t="n">
        <v>22</v>
      </c>
      <c r="AC81" s="44" t="n">
        <v>16.6</v>
      </c>
      <c r="AD81" s="42" t="n">
        <v>2022</v>
      </c>
      <c r="AE81" s="42" t="n">
        <v>21</v>
      </c>
      <c r="AF81" s="44" t="n">
        <v>17.6</v>
      </c>
      <c r="AG81" s="42" t="n">
        <v>1980</v>
      </c>
      <c r="AH81" s="42" t="n">
        <v>18</v>
      </c>
      <c r="AI81" s="44" t="n">
        <v>17</v>
      </c>
      <c r="AJ81" s="42" t="n">
        <v>1986</v>
      </c>
      <c r="AK81" s="42" t="n">
        <v>14</v>
      </c>
      <c r="AL81" s="44" t="n">
        <v>18</v>
      </c>
      <c r="AM81" s="42" t="n">
        <v>1984</v>
      </c>
      <c r="AN81" s="42" t="n">
        <v>21</v>
      </c>
      <c r="AO81" s="44" t="n">
        <v>18.6</v>
      </c>
      <c r="AP81" s="42" t="n">
        <v>2016</v>
      </c>
      <c r="AQ81" s="42" t="n">
        <v>20</v>
      </c>
    </row>
    <row r="82" ht="14.45" customHeight="1">
      <c r="A82" s="42" t="n">
        <v>44135010</v>
      </c>
      <c r="B82" s="42" t="inlineStr">
        <is>
          <t>ARARACUARA [44135010]</t>
        </is>
      </c>
      <c r="C82" s="42" t="n">
        <v>-0.616361111</v>
      </c>
      <c r="D82" s="42" t="n">
        <v>-72.38191667</v>
      </c>
      <c r="E82" s="42" t="n">
        <v>150</v>
      </c>
      <c r="F82" s="42" t="inlineStr">
        <is>
          <t>Solano</t>
        </is>
      </c>
      <c r="G82" s="42" t="inlineStr">
        <is>
          <t>Caqueta</t>
        </is>
      </c>
      <c r="H82" s="44" t="n">
        <v>17.8</v>
      </c>
      <c r="I82" s="42" t="n">
        <v>1991</v>
      </c>
      <c r="J82" s="42" t="n">
        <v>19</v>
      </c>
      <c r="K82" s="44" t="n">
        <v>18.6</v>
      </c>
      <c r="L82" s="42" t="n">
        <v>1989</v>
      </c>
      <c r="M82" s="42" t="n">
        <v>17</v>
      </c>
      <c r="N82" s="44" t="n">
        <v>12.8</v>
      </c>
      <c r="O82" s="42" t="n">
        <v>1992</v>
      </c>
      <c r="P82" s="42" t="n">
        <v>13</v>
      </c>
      <c r="Q82" s="44" t="n">
        <v>12.7</v>
      </c>
      <c r="R82" s="42" t="n">
        <v>1992</v>
      </c>
      <c r="S82" s="42" t="n">
        <v>3</v>
      </c>
      <c r="T82" s="44" t="n">
        <v>16.3</v>
      </c>
      <c r="U82" s="42" t="n">
        <v>1992</v>
      </c>
      <c r="V82" s="42" t="n">
        <v>31</v>
      </c>
      <c r="W82" s="44" t="n">
        <v>16.2</v>
      </c>
      <c r="X82" s="42" t="n">
        <v>1992</v>
      </c>
      <c r="Y82" s="42" t="n">
        <v>21</v>
      </c>
      <c r="Z82" s="44" t="n">
        <v>15.6</v>
      </c>
      <c r="AA82" s="42" t="n">
        <v>2016</v>
      </c>
      <c r="AB82" s="42" t="n">
        <v>18</v>
      </c>
      <c r="AC82" s="44" t="n">
        <v>16.8</v>
      </c>
      <c r="AD82" s="42" t="n">
        <v>1985</v>
      </c>
      <c r="AE82" s="42" t="n">
        <v>24</v>
      </c>
      <c r="AF82" s="44" t="n">
        <v>16.3</v>
      </c>
      <c r="AG82" s="42" t="n">
        <v>1985</v>
      </c>
      <c r="AH82" s="42" t="n">
        <v>2</v>
      </c>
      <c r="AI82" s="44" t="n">
        <v>18.5</v>
      </c>
      <c r="AJ82" s="42" t="n">
        <v>1987</v>
      </c>
      <c r="AK82" s="42" t="n">
        <v>25</v>
      </c>
      <c r="AL82" s="44" t="n">
        <v>19</v>
      </c>
      <c r="AM82" s="42" t="n">
        <v>1985</v>
      </c>
      <c r="AN82" s="42" t="n">
        <v>29</v>
      </c>
      <c r="AO82" s="44" t="n">
        <v>17.2</v>
      </c>
      <c r="AP82" s="42" t="n">
        <v>1985</v>
      </c>
      <c r="AQ82" s="42" t="n">
        <v>1</v>
      </c>
    </row>
    <row r="83" ht="14.45" customHeight="1">
      <c r="A83" s="42" t="n">
        <v>29015020</v>
      </c>
      <c r="B83" s="42" t="inlineStr">
        <is>
          <t>CARMEN DE BOLIVAR [29015020]</t>
        </is>
      </c>
      <c r="C83" s="42" t="n">
        <v>9.71569</v>
      </c>
      <c r="D83" s="42" t="n">
        <v>-75.106448</v>
      </c>
      <c r="E83" s="42" t="n">
        <v>152</v>
      </c>
      <c r="F83" s="42" t="inlineStr">
        <is>
          <t>El Carmén De Bolívar</t>
        </is>
      </c>
      <c r="G83" s="42" t="inlineStr">
        <is>
          <t>Bolivar</t>
        </is>
      </c>
      <c r="H83" s="44" t="n">
        <v>16.3</v>
      </c>
      <c r="I83" s="42" t="n">
        <v>2023</v>
      </c>
      <c r="J83" s="42" t="n">
        <v>29</v>
      </c>
      <c r="K83" s="44" t="n">
        <v>16</v>
      </c>
      <c r="L83" s="42" t="n">
        <v>1986</v>
      </c>
      <c r="M83" s="42" t="n">
        <v>28</v>
      </c>
      <c r="N83" s="44" t="n">
        <v>16.4</v>
      </c>
      <c r="O83" s="42" t="n">
        <v>1988</v>
      </c>
      <c r="P83" s="42" t="n">
        <v>20</v>
      </c>
      <c r="Q83" s="44" t="n">
        <v>19</v>
      </c>
      <c r="R83" s="42" t="n">
        <v>1985</v>
      </c>
      <c r="S83" s="42" t="n">
        <v>27</v>
      </c>
      <c r="T83" s="44" t="n">
        <v>19</v>
      </c>
      <c r="U83" s="42" t="n">
        <v>1985</v>
      </c>
      <c r="V83" s="42" t="n">
        <v>1</v>
      </c>
      <c r="W83" s="44" t="n">
        <v>19</v>
      </c>
      <c r="X83" s="42" t="n">
        <v>1985</v>
      </c>
      <c r="Y83" s="42" t="n">
        <v>23</v>
      </c>
      <c r="Z83" s="44" t="n">
        <v>19</v>
      </c>
      <c r="AA83" s="42" t="n">
        <v>1985</v>
      </c>
      <c r="AB83" s="42" t="n">
        <v>10</v>
      </c>
      <c r="AC83" s="44" t="n">
        <v>19</v>
      </c>
      <c r="AD83" s="42" t="n">
        <v>1986</v>
      </c>
      <c r="AE83" s="42" t="n">
        <v>30</v>
      </c>
      <c r="AF83" s="44" t="n">
        <v>18.6</v>
      </c>
      <c r="AG83" s="42" t="n">
        <v>1999</v>
      </c>
      <c r="AH83" s="42" t="n">
        <v>22</v>
      </c>
      <c r="AI83" s="44" t="n">
        <v>19</v>
      </c>
      <c r="AJ83" s="42" t="n">
        <v>2011</v>
      </c>
      <c r="AK83" s="42" t="n">
        <v>23</v>
      </c>
      <c r="AL83" s="44" t="n">
        <v>17.4</v>
      </c>
      <c r="AM83" s="42" t="n">
        <v>1996</v>
      </c>
      <c r="AN83" s="42" t="n">
        <v>21</v>
      </c>
      <c r="AO83" s="44" t="n">
        <v>16.4</v>
      </c>
      <c r="AP83" s="42" t="n">
        <v>1984</v>
      </c>
      <c r="AQ83" s="42" t="n">
        <v>31</v>
      </c>
    </row>
    <row r="84" ht="14.45" customHeight="1">
      <c r="A84" s="42" t="n">
        <v>29015040</v>
      </c>
      <c r="B84" s="42" t="inlineStr">
        <is>
          <t>CARMEN DE BOLIVAR  - AUT [29015040]</t>
        </is>
      </c>
      <c r="C84" s="42" t="n">
        <v>9.71569</v>
      </c>
      <c r="D84" s="42" t="n">
        <v>-75.106448</v>
      </c>
      <c r="E84" s="42" t="n">
        <v>152</v>
      </c>
      <c r="F84" s="42" t="inlineStr">
        <is>
          <t>El Carmén De Bolívar</t>
        </is>
      </c>
      <c r="G84" s="42" t="inlineStr">
        <is>
          <t>Bolivar</t>
        </is>
      </c>
      <c r="H84" s="44" t="n">
        <v>17.4</v>
      </c>
      <c r="I84" s="42" t="n">
        <v>2020</v>
      </c>
      <c r="J84" s="42" t="n">
        <v>10</v>
      </c>
      <c r="K84" s="44" t="n">
        <v>18.4</v>
      </c>
      <c r="L84" s="42" t="n">
        <v>2019</v>
      </c>
      <c r="M84" s="42" t="n">
        <v>27</v>
      </c>
      <c r="N84" s="44" t="n">
        <v>20.4</v>
      </c>
      <c r="O84" s="42" t="n">
        <v>2019</v>
      </c>
      <c r="P84" s="42" t="n">
        <v>13</v>
      </c>
      <c r="Q84" s="44" t="n">
        <v>20.3</v>
      </c>
      <c r="R84" s="42" t="n">
        <v>2019</v>
      </c>
      <c r="S84" s="42" t="n">
        <v>4</v>
      </c>
      <c r="T84" s="44" t="n">
        <v>21.3</v>
      </c>
      <c r="U84" s="42" t="n">
        <v>2018</v>
      </c>
      <c r="V84" s="42" t="n">
        <v>13</v>
      </c>
      <c r="W84" s="44" t="n">
        <v>21.4</v>
      </c>
      <c r="X84" s="42" t="n">
        <v>2019</v>
      </c>
      <c r="Y84" s="42" t="n">
        <v>23</v>
      </c>
      <c r="Z84" s="44" t="n">
        <v>21.1</v>
      </c>
      <c r="AA84" s="42" t="n">
        <v>2019</v>
      </c>
      <c r="AB84" s="42" t="n">
        <v>10</v>
      </c>
      <c r="AC84" s="44" t="n">
        <v>20.3</v>
      </c>
      <c r="AD84" s="42" t="n">
        <v>2018</v>
      </c>
      <c r="AE84" s="42" t="n">
        <v>30</v>
      </c>
      <c r="AF84" s="44" t="n">
        <v>20.2</v>
      </c>
      <c r="AG84" s="42" t="n">
        <v>2018</v>
      </c>
      <c r="AH84" s="42" t="n">
        <v>16</v>
      </c>
      <c r="AI84" s="44" t="n">
        <v>21</v>
      </c>
      <c r="AJ84" s="42" t="n">
        <v>2018</v>
      </c>
      <c r="AK84" s="42" t="n">
        <v>10</v>
      </c>
      <c r="AL84" s="44" t="n">
        <v>20.4</v>
      </c>
      <c r="AM84" s="42" t="n">
        <v>2018</v>
      </c>
      <c r="AN84" s="42" t="n">
        <v>29</v>
      </c>
      <c r="AO84" s="44" t="n">
        <v>18</v>
      </c>
      <c r="AP84" s="42" t="n">
        <v>2018</v>
      </c>
      <c r="AQ84" s="42" t="n">
        <v>23</v>
      </c>
    </row>
    <row r="85" ht="14.45" customHeight="1">
      <c r="A85" s="42" t="n">
        <v>44115020</v>
      </c>
      <c r="B85" s="42" t="inlineStr">
        <is>
          <t>TAGUA LA [44115020]</t>
        </is>
      </c>
      <c r="C85" s="42" t="n">
        <v>-0.06075</v>
      </c>
      <c r="D85" s="42" t="n">
        <v>-74.66522222</v>
      </c>
      <c r="E85" s="42" t="n">
        <v>153</v>
      </c>
      <c r="F85" s="42" t="inlineStr">
        <is>
          <t>Puerto Leguízamo</t>
        </is>
      </c>
      <c r="G85" s="42" t="inlineStr">
        <is>
          <t>Putumayo</t>
        </is>
      </c>
      <c r="H85" s="44" t="n">
        <v>17.2</v>
      </c>
      <c r="I85" s="42" t="n">
        <v>1989</v>
      </c>
      <c r="J85" s="42" t="n">
        <v>10</v>
      </c>
      <c r="K85" s="44" t="n">
        <v>16.1</v>
      </c>
      <c r="L85" s="42" t="n">
        <v>1988</v>
      </c>
      <c r="M85" s="42" t="n">
        <v>25</v>
      </c>
      <c r="N85" s="44" t="n">
        <v>17</v>
      </c>
      <c r="O85" s="42" t="n">
        <v>1993</v>
      </c>
      <c r="P85" s="42" t="n">
        <v>15</v>
      </c>
      <c r="Q85" s="44" t="n">
        <v>15</v>
      </c>
      <c r="R85" s="42" t="n">
        <v>1988</v>
      </c>
      <c r="S85" s="42" t="n">
        <v>25</v>
      </c>
      <c r="T85" s="44" t="n">
        <v>16.4</v>
      </c>
      <c r="U85" s="42" t="n">
        <v>1988</v>
      </c>
      <c r="V85" s="42" t="n">
        <v>10</v>
      </c>
      <c r="W85" s="44" t="n">
        <v>18.2</v>
      </c>
      <c r="X85" s="42" t="n">
        <v>2023</v>
      </c>
      <c r="Y85" s="42" t="n">
        <v>16</v>
      </c>
      <c r="Z85" s="44" t="n">
        <v>16</v>
      </c>
      <c r="AA85" s="42" t="n">
        <v>1991</v>
      </c>
      <c r="AB85" s="42" t="n">
        <v>13</v>
      </c>
      <c r="AC85" s="44" t="n">
        <v>14</v>
      </c>
      <c r="AD85" s="42" t="n">
        <v>1988</v>
      </c>
      <c r="AE85" s="42" t="n">
        <v>19</v>
      </c>
      <c r="AF85" s="44" t="n">
        <v>14</v>
      </c>
      <c r="AG85" s="42" t="n">
        <v>1988</v>
      </c>
      <c r="AH85" s="42" t="n">
        <v>5</v>
      </c>
      <c r="AI85" s="44" t="n">
        <v>15</v>
      </c>
      <c r="AJ85" s="42" t="n">
        <v>1988</v>
      </c>
      <c r="AK85" s="42" t="n">
        <v>30</v>
      </c>
      <c r="AL85" s="44" t="n">
        <v>13.2</v>
      </c>
      <c r="AM85" s="42" t="n">
        <v>1988</v>
      </c>
      <c r="AN85" s="42" t="n">
        <v>26</v>
      </c>
      <c r="AO85" s="44" t="n">
        <v>15.2</v>
      </c>
      <c r="AP85" s="42" t="n">
        <v>1988</v>
      </c>
      <c r="AQ85" s="42" t="n">
        <v>1</v>
      </c>
    </row>
    <row r="86" ht="14.45" customHeight="1">
      <c r="A86" s="42" t="n">
        <v>32155010</v>
      </c>
      <c r="B86" s="42" t="inlineStr">
        <is>
          <t>MAPIRIPANA [32155010]</t>
        </is>
      </c>
      <c r="C86" s="42" t="n">
        <v>2.811778</v>
      </c>
      <c r="D86" s="42" t="n">
        <v>-70.475139</v>
      </c>
      <c r="E86" s="42" t="n">
        <v>154</v>
      </c>
      <c r="F86" s="42" t="inlineStr">
        <is>
          <t>Barranco Mina</t>
        </is>
      </c>
      <c r="G86" s="42" t="inlineStr">
        <is>
          <t>Guainía</t>
        </is>
      </c>
      <c r="H86" s="44" t="n">
        <v>18.4</v>
      </c>
      <c r="I86" s="42" t="n">
        <v>2022</v>
      </c>
      <c r="J86" s="42" t="n">
        <v>31</v>
      </c>
      <c r="K86" s="44" t="n">
        <v>18.4</v>
      </c>
      <c r="L86" s="42" t="n">
        <v>2009</v>
      </c>
      <c r="M86" s="42" t="n">
        <v>15</v>
      </c>
      <c r="N86" s="44" t="n">
        <v>19.2</v>
      </c>
      <c r="O86" s="42" t="n">
        <v>2008</v>
      </c>
      <c r="P86" s="42" t="n">
        <v>1</v>
      </c>
      <c r="Q86" s="44" t="n">
        <v>19.2</v>
      </c>
      <c r="R86" s="42" t="n">
        <v>1998</v>
      </c>
      <c r="S86" s="42" t="n">
        <v>1</v>
      </c>
      <c r="T86" s="44" t="n">
        <v>19.6</v>
      </c>
      <c r="U86" s="42" t="n">
        <v>1992</v>
      </c>
      <c r="V86" s="42" t="n">
        <v>7</v>
      </c>
      <c r="W86" s="44" t="n">
        <v>17.8</v>
      </c>
      <c r="X86" s="42" t="n">
        <v>2010</v>
      </c>
      <c r="Y86" s="42" t="n">
        <v>24</v>
      </c>
      <c r="Z86" s="44" t="n">
        <v>17.4</v>
      </c>
      <c r="AA86" s="42" t="n">
        <v>1996</v>
      </c>
      <c r="AB86" s="42" t="n">
        <v>1</v>
      </c>
      <c r="AC86" s="44" t="n">
        <v>18.9</v>
      </c>
      <c r="AD86" s="42" t="n">
        <v>1991</v>
      </c>
      <c r="AE86" s="42" t="n">
        <v>17</v>
      </c>
      <c r="AF86" s="44" t="n">
        <v>18.5</v>
      </c>
      <c r="AG86" s="42" t="n">
        <v>1991</v>
      </c>
      <c r="AH86" s="42" t="n">
        <v>7</v>
      </c>
      <c r="AI86" s="44" t="n">
        <v>18.1</v>
      </c>
      <c r="AJ86" s="42" t="n">
        <v>1991</v>
      </c>
      <c r="AK86" s="42" t="n">
        <v>22</v>
      </c>
      <c r="AL86" s="44" t="n">
        <v>18.2</v>
      </c>
      <c r="AM86" s="42" t="n">
        <v>2022</v>
      </c>
      <c r="AN86" s="42" t="n">
        <v>3</v>
      </c>
      <c r="AO86" s="44" t="n">
        <v>19.2</v>
      </c>
      <c r="AP86" s="42" t="n">
        <v>2007</v>
      </c>
      <c r="AQ86" s="42" t="n">
        <v>19</v>
      </c>
    </row>
    <row r="87" ht="14.45" customHeight="1">
      <c r="A87" s="42" t="n">
        <v>33055010</v>
      </c>
      <c r="B87" s="42" t="inlineStr">
        <is>
          <t>CUMARIBO [33055010]</t>
        </is>
      </c>
      <c r="C87" s="42" t="n">
        <v>4.494806</v>
      </c>
      <c r="D87" s="42" t="n">
        <v>-69.81230600000001</v>
      </c>
      <c r="E87" s="42" t="n">
        <v>158</v>
      </c>
      <c r="F87" s="42" t="inlineStr">
        <is>
          <t>Cumaribo</t>
        </is>
      </c>
      <c r="G87" s="42" t="inlineStr">
        <is>
          <t>Vichada</t>
        </is>
      </c>
      <c r="H87" s="44" t="n">
        <v>17.6</v>
      </c>
      <c r="I87" s="42" t="n">
        <v>2010</v>
      </c>
      <c r="J87" s="42" t="n">
        <v>3</v>
      </c>
      <c r="K87" s="44" t="n">
        <v>18.2</v>
      </c>
      <c r="L87" s="42" t="n">
        <v>1993</v>
      </c>
      <c r="M87" s="42" t="n">
        <v>17</v>
      </c>
      <c r="N87" s="44" t="n">
        <v>18.4</v>
      </c>
      <c r="O87" s="42" t="n">
        <v>2023</v>
      </c>
      <c r="P87" s="42" t="n">
        <v>21</v>
      </c>
      <c r="Q87" s="44" t="n">
        <v>18.2</v>
      </c>
      <c r="R87" s="42" t="n">
        <v>2004</v>
      </c>
      <c r="S87" s="42" t="n">
        <v>5</v>
      </c>
      <c r="T87" s="44" t="n">
        <v>18</v>
      </c>
      <c r="U87" s="42" t="n">
        <v>2001</v>
      </c>
      <c r="V87" s="42" t="n">
        <v>1</v>
      </c>
      <c r="W87" s="44" t="n">
        <v>18.2</v>
      </c>
      <c r="X87" s="42" t="n">
        <v>2000</v>
      </c>
      <c r="Y87" s="42" t="n">
        <v>13</v>
      </c>
      <c r="Z87" s="44" t="n">
        <v>18.8</v>
      </c>
      <c r="AA87" s="42" t="n">
        <v>2013</v>
      </c>
      <c r="AB87" s="42" t="n">
        <v>27</v>
      </c>
      <c r="AC87" s="44" t="n">
        <v>17.4</v>
      </c>
      <c r="AD87" s="42" t="n">
        <v>2003</v>
      </c>
      <c r="AE87" s="42" t="n">
        <v>13</v>
      </c>
      <c r="AF87" s="44" t="n">
        <v>17.8</v>
      </c>
      <c r="AG87" s="42" t="n">
        <v>2003</v>
      </c>
      <c r="AH87" s="42" t="n">
        <v>18</v>
      </c>
      <c r="AI87" s="44" t="n">
        <v>19.1</v>
      </c>
      <c r="AJ87" s="42" t="n">
        <v>2007</v>
      </c>
      <c r="AK87" s="42" t="n">
        <v>21</v>
      </c>
      <c r="AL87" s="44" t="n">
        <v>17.8</v>
      </c>
      <c r="AM87" s="42" t="n">
        <v>2022</v>
      </c>
      <c r="AN87" s="42" t="n">
        <v>4</v>
      </c>
      <c r="AO87" s="44" t="n">
        <v>19.2</v>
      </c>
      <c r="AP87" s="42" t="n">
        <v>2005</v>
      </c>
      <c r="AQ87" s="42" t="n">
        <v>19</v>
      </c>
    </row>
    <row r="88" ht="14.45" customHeight="1">
      <c r="A88" s="42" t="n">
        <v>25025270</v>
      </c>
      <c r="B88" s="42" t="inlineStr">
        <is>
          <t>UNISUCRE AUT [25025270]</t>
        </is>
      </c>
      <c r="C88" s="42" t="n">
        <v>9.316388889000001</v>
      </c>
      <c r="D88" s="42" t="n">
        <v>-75.3875</v>
      </c>
      <c r="E88" s="42" t="n">
        <v>160</v>
      </c>
      <c r="F88" s="42" t="inlineStr">
        <is>
          <t>Sampués</t>
        </is>
      </c>
      <c r="G88" s="42" t="inlineStr">
        <is>
          <t>Sucre</t>
        </is>
      </c>
      <c r="H88" s="44" t="n">
        <v>18</v>
      </c>
      <c r="I88" s="42" t="n">
        <v>1996</v>
      </c>
      <c r="J88" s="42" t="n">
        <v>4</v>
      </c>
      <c r="K88" s="44" t="n">
        <v>17.6</v>
      </c>
      <c r="L88" s="42" t="n">
        <v>1998</v>
      </c>
      <c r="M88" s="42" t="n">
        <v>3</v>
      </c>
      <c r="N88" s="44" t="n">
        <v>17.8</v>
      </c>
      <c r="O88" s="42" t="n">
        <v>1998</v>
      </c>
      <c r="P88" s="42" t="n">
        <v>23</v>
      </c>
      <c r="Q88" s="44" t="n">
        <v>17.4</v>
      </c>
      <c r="R88" s="42" t="n">
        <v>1998</v>
      </c>
      <c r="S88" s="42" t="n">
        <v>9</v>
      </c>
      <c r="T88" s="44" t="n">
        <v>18</v>
      </c>
      <c r="U88" s="42" t="n">
        <v>1997</v>
      </c>
      <c r="V88" s="42" t="n">
        <v>21</v>
      </c>
      <c r="W88" s="44" t="n">
        <v>18</v>
      </c>
      <c r="X88" s="42" t="n">
        <v>1996</v>
      </c>
      <c r="Y88" s="42" t="n">
        <v>10</v>
      </c>
      <c r="Z88" s="44" t="n">
        <v>17.8</v>
      </c>
      <c r="AA88" s="42" t="n">
        <v>1997</v>
      </c>
      <c r="AB88" s="42" t="n">
        <v>26</v>
      </c>
      <c r="AC88" s="44" t="n">
        <v>17</v>
      </c>
      <c r="AD88" s="42" t="n">
        <v>1998</v>
      </c>
      <c r="AE88" s="42" t="n">
        <v>14</v>
      </c>
      <c r="AF88" s="44" t="n">
        <v>18.2</v>
      </c>
      <c r="AG88" s="42" t="n">
        <v>1989</v>
      </c>
      <c r="AH88" s="42" t="n">
        <v>4</v>
      </c>
      <c r="AI88" s="44" t="n">
        <v>18</v>
      </c>
      <c r="AJ88" s="42" t="n">
        <v>1989</v>
      </c>
      <c r="AK88" s="42" t="n">
        <v>19</v>
      </c>
      <c r="AL88" s="44" t="n">
        <v>18.4</v>
      </c>
      <c r="AM88" s="42" t="n">
        <v>1997</v>
      </c>
      <c r="AN88" s="42" t="n">
        <v>4</v>
      </c>
      <c r="AO88" s="44" t="n">
        <v>18</v>
      </c>
      <c r="AP88" s="42" t="n">
        <v>1997</v>
      </c>
      <c r="AQ88" s="42" t="n">
        <v>8</v>
      </c>
    </row>
    <row r="89" ht="14.45" customHeight="1">
      <c r="A89" s="42" t="n">
        <v>47075010</v>
      </c>
      <c r="B89" s="42" t="inlineStr">
        <is>
          <t>LA CHORRERA [47075010]</t>
        </is>
      </c>
      <c r="C89" s="42" t="n">
        <v>-1.444611111</v>
      </c>
      <c r="D89" s="42" t="n">
        <v>-72.789583333</v>
      </c>
      <c r="E89" s="42" t="n">
        <v>160</v>
      </c>
      <c r="F89" s="42" t="inlineStr">
        <is>
          <t>La Chorrera</t>
        </is>
      </c>
      <c r="G89" s="42" t="inlineStr">
        <is>
          <t>Amazonas</t>
        </is>
      </c>
      <c r="H89" s="44" t="n">
        <v>19</v>
      </c>
      <c r="I89" s="42" t="n">
        <v>1992</v>
      </c>
      <c r="J89" s="42" t="n">
        <v>28</v>
      </c>
      <c r="K89" s="44" t="n">
        <v>17</v>
      </c>
      <c r="L89" s="42" t="n">
        <v>1989</v>
      </c>
      <c r="M89" s="42" t="n">
        <v>16</v>
      </c>
      <c r="N89" s="44" t="n">
        <v>17.2</v>
      </c>
      <c r="O89" s="42" t="n">
        <v>2006</v>
      </c>
      <c r="P89" s="42" t="n">
        <v>13</v>
      </c>
      <c r="Q89" s="44" t="n">
        <v>17.4</v>
      </c>
      <c r="R89" s="42" t="n">
        <v>2006</v>
      </c>
      <c r="S89" s="42" t="n">
        <v>11</v>
      </c>
      <c r="T89" s="44" t="n">
        <v>18.8</v>
      </c>
      <c r="U89" s="42" t="n">
        <v>2024</v>
      </c>
      <c r="V89" s="42" t="n">
        <v>31</v>
      </c>
      <c r="W89" s="44" t="n">
        <v>17.2</v>
      </c>
      <c r="X89" s="42" t="n">
        <v>2001</v>
      </c>
      <c r="Y89" s="42" t="n">
        <v>22</v>
      </c>
      <c r="Z89" s="44" t="n">
        <v>17.2</v>
      </c>
      <c r="AA89" s="42" t="n">
        <v>2013</v>
      </c>
      <c r="AB89" s="42" t="n">
        <v>26</v>
      </c>
      <c r="AC89" s="44" t="n">
        <v>17.2</v>
      </c>
      <c r="AD89" s="42" t="n">
        <v>2007</v>
      </c>
      <c r="AE89" s="42" t="n">
        <v>2</v>
      </c>
      <c r="AF89" s="44" t="n">
        <v>18.2</v>
      </c>
      <c r="AG89" s="42" t="n">
        <v>2003</v>
      </c>
      <c r="AH89" s="42" t="n">
        <v>13</v>
      </c>
      <c r="AI89" s="44" t="n">
        <v>17.4</v>
      </c>
      <c r="AJ89" s="42" t="n">
        <v>2000</v>
      </c>
      <c r="AK89" s="42" t="n">
        <v>2</v>
      </c>
      <c r="AL89" s="44" t="n">
        <v>18</v>
      </c>
      <c r="AM89" s="42" t="n">
        <v>2008</v>
      </c>
      <c r="AN89" s="42" t="n">
        <v>14</v>
      </c>
      <c r="AO89" s="44" t="n">
        <v>13.8</v>
      </c>
      <c r="AP89" s="42" t="n">
        <v>1995</v>
      </c>
      <c r="AQ89" s="42" t="n">
        <v>31</v>
      </c>
    </row>
    <row r="90" ht="14.45" customHeight="1">
      <c r="A90" s="42" t="n">
        <v>23215050</v>
      </c>
      <c r="B90" s="42" t="inlineStr">
        <is>
          <t>MATA LA [23215050]</t>
        </is>
      </c>
      <c r="C90" s="42" t="n">
        <v>8.614444444</v>
      </c>
      <c r="D90" s="42" t="n">
        <v>-73.63638889000001</v>
      </c>
      <c r="E90" s="42" t="n">
        <v>163</v>
      </c>
      <c r="F90" s="42" t="inlineStr">
        <is>
          <t>La Gloria</t>
        </is>
      </c>
      <c r="G90" s="42" t="inlineStr">
        <is>
          <t>Cesar</t>
        </is>
      </c>
      <c r="H90" s="44" t="n">
        <v>18</v>
      </c>
      <c r="I90" s="42" t="n">
        <v>1993</v>
      </c>
      <c r="J90" s="42" t="n">
        <v>5</v>
      </c>
      <c r="K90" s="44" t="n">
        <v>18</v>
      </c>
      <c r="L90" s="42" t="n">
        <v>1993</v>
      </c>
      <c r="M90" s="42" t="n">
        <v>1</v>
      </c>
      <c r="N90" s="44" t="n">
        <v>18.2</v>
      </c>
      <c r="O90" s="42" t="n">
        <v>1987</v>
      </c>
      <c r="P90" s="42" t="n">
        <v>5</v>
      </c>
      <c r="Q90" s="44" t="n">
        <v>18.2</v>
      </c>
      <c r="R90" s="42" t="n">
        <v>1986</v>
      </c>
      <c r="S90" s="42" t="n">
        <v>28</v>
      </c>
      <c r="T90" s="44" t="n">
        <v>18</v>
      </c>
      <c r="U90" s="42" t="n">
        <v>1994</v>
      </c>
      <c r="V90" s="42" t="n">
        <v>5</v>
      </c>
      <c r="W90" s="44" t="n">
        <v>18.4</v>
      </c>
      <c r="X90" s="42" t="n">
        <v>1986</v>
      </c>
      <c r="Y90" s="42" t="n">
        <v>7</v>
      </c>
      <c r="Z90" s="44" t="n">
        <v>18</v>
      </c>
      <c r="AA90" s="42" t="n">
        <v>1993</v>
      </c>
      <c r="AB90" s="42" t="n">
        <v>6</v>
      </c>
      <c r="AC90" s="44" t="n">
        <v>18</v>
      </c>
      <c r="AD90" s="42" t="n">
        <v>1993</v>
      </c>
      <c r="AE90" s="42" t="n">
        <v>28</v>
      </c>
      <c r="AF90" s="44" t="n">
        <v>18</v>
      </c>
      <c r="AG90" s="42" t="n">
        <v>1993</v>
      </c>
      <c r="AH90" s="42" t="n">
        <v>11</v>
      </c>
      <c r="AI90" s="44" t="n">
        <v>18</v>
      </c>
      <c r="AJ90" s="42" t="n">
        <v>1993</v>
      </c>
      <c r="AK90" s="42" t="n">
        <v>8</v>
      </c>
      <c r="AL90" s="44" t="n">
        <v>18.2</v>
      </c>
      <c r="AM90" s="42" t="n">
        <v>1993</v>
      </c>
      <c r="AN90" s="42" t="n">
        <v>23</v>
      </c>
      <c r="AO90" s="44" t="n">
        <v>18</v>
      </c>
      <c r="AP90" s="42" t="n">
        <v>1992</v>
      </c>
      <c r="AQ90" s="42" t="n">
        <v>5</v>
      </c>
    </row>
    <row r="91" ht="14.45" customHeight="1">
      <c r="A91" s="42" t="n">
        <v>23205020</v>
      </c>
      <c r="B91" s="42" t="inlineStr">
        <is>
          <t>COLEGIO COOPERATIVO [23205020]</t>
        </is>
      </c>
      <c r="C91" s="42" t="n">
        <v>7.475</v>
      </c>
      <c r="D91" s="42" t="n">
        <v>-73.92555556000001</v>
      </c>
      <c r="E91" s="42" t="n">
        <v>165</v>
      </c>
      <c r="F91" s="42" t="inlineStr">
        <is>
          <t>San Pablo</t>
        </is>
      </c>
      <c r="G91" s="42" t="inlineStr">
        <is>
          <t>Bolivar</t>
        </is>
      </c>
      <c r="H91" s="44" t="n">
        <v>18</v>
      </c>
      <c r="I91" s="42" t="n">
        <v>1979</v>
      </c>
      <c r="J91" s="42" t="n">
        <v>4</v>
      </c>
      <c r="K91" s="44" t="n">
        <v>18</v>
      </c>
      <c r="L91" s="42" t="n">
        <v>1979</v>
      </c>
      <c r="M91" s="42" t="n">
        <v>6</v>
      </c>
      <c r="N91" s="44" t="n">
        <v>17</v>
      </c>
      <c r="O91" s="42" t="n">
        <v>2018</v>
      </c>
      <c r="P91" s="42" t="n">
        <v>15</v>
      </c>
      <c r="Q91" s="44" t="n">
        <v>18.2</v>
      </c>
      <c r="R91" s="42" t="n">
        <v>1979</v>
      </c>
      <c r="S91" s="42" t="n">
        <v>15</v>
      </c>
      <c r="T91" s="44" t="n">
        <v>19.4</v>
      </c>
      <c r="U91" s="42" t="n">
        <v>1984</v>
      </c>
      <c r="V91" s="42" t="n">
        <v>14</v>
      </c>
      <c r="W91" s="44" t="n">
        <v>20</v>
      </c>
      <c r="X91" s="42" t="n">
        <v>1984</v>
      </c>
      <c r="Y91" s="42" t="n">
        <v>3</v>
      </c>
      <c r="Z91" s="44" t="n">
        <v>19.6</v>
      </c>
      <c r="AA91" s="42" t="n">
        <v>1984</v>
      </c>
      <c r="AB91" s="42" t="n">
        <v>5</v>
      </c>
      <c r="AC91" s="44" t="n">
        <v>17.4</v>
      </c>
      <c r="AD91" s="42" t="n">
        <v>1983</v>
      </c>
      <c r="AE91" s="42" t="n">
        <v>7</v>
      </c>
      <c r="AF91" s="44" t="n">
        <v>20</v>
      </c>
      <c r="AG91" s="42" t="n">
        <v>1995</v>
      </c>
      <c r="AH91" s="42" t="n">
        <v>3</v>
      </c>
      <c r="AI91" s="44" t="n">
        <v>20.2</v>
      </c>
      <c r="AJ91" s="42" t="n">
        <v>1986</v>
      </c>
      <c r="AK91" s="42" t="n">
        <v>2</v>
      </c>
      <c r="AL91" s="44" t="n">
        <v>19.8</v>
      </c>
      <c r="AM91" s="42" t="n">
        <v>1995</v>
      </c>
      <c r="AN91" s="42" t="n">
        <v>10</v>
      </c>
      <c r="AO91" s="44" t="n">
        <v>19</v>
      </c>
      <c r="AP91" s="42" t="n">
        <v>1991</v>
      </c>
      <c r="AQ91" s="42" t="n">
        <v>16</v>
      </c>
    </row>
    <row r="92" ht="14.45" customHeight="1">
      <c r="A92" s="42" t="n">
        <v>25025080</v>
      </c>
      <c r="B92" s="42" t="inlineStr">
        <is>
          <t>AEROPUERTO RAFAEL BARVO [25025080]</t>
        </is>
      </c>
      <c r="C92" s="42" t="n">
        <v>9.333888889000001</v>
      </c>
      <c r="D92" s="42" t="n">
        <v>-75.28305555999999</v>
      </c>
      <c r="E92" s="42" t="n">
        <v>166</v>
      </c>
      <c r="F92" s="42" t="inlineStr">
        <is>
          <t>Corozal</t>
        </is>
      </c>
      <c r="G92" s="42" t="inlineStr">
        <is>
          <t>Sucre</t>
        </is>
      </c>
      <c r="H92" s="44" t="n">
        <v>17.5</v>
      </c>
      <c r="I92" s="42" t="n">
        <v>1967</v>
      </c>
      <c r="J92" s="42" t="n">
        <v>10</v>
      </c>
      <c r="K92" s="44" t="n">
        <v>18.5</v>
      </c>
      <c r="L92" s="42" t="n">
        <v>2004</v>
      </c>
      <c r="M92" s="42" t="n">
        <v>5</v>
      </c>
      <c r="N92" s="44" t="n">
        <v>18.6</v>
      </c>
      <c r="O92" s="42" t="n">
        <v>2004</v>
      </c>
      <c r="P92" s="42" t="n">
        <v>28</v>
      </c>
      <c r="Q92" s="44" t="n">
        <v>18</v>
      </c>
      <c r="R92" s="42" t="n">
        <v>1995</v>
      </c>
      <c r="S92" s="42" t="n">
        <v>27</v>
      </c>
      <c r="T92" s="44" t="n">
        <v>17.4</v>
      </c>
      <c r="U92" s="42" t="n">
        <v>2002</v>
      </c>
      <c r="V92" s="42" t="n">
        <v>27</v>
      </c>
      <c r="W92" s="44" t="n">
        <v>17.4</v>
      </c>
      <c r="X92" s="42" t="n">
        <v>2002</v>
      </c>
      <c r="Y92" s="42" t="n">
        <v>11</v>
      </c>
      <c r="Z92" s="44" t="n">
        <v>17.8</v>
      </c>
      <c r="AA92" s="42" t="n">
        <v>2010</v>
      </c>
      <c r="AB92" s="42" t="n">
        <v>5</v>
      </c>
      <c r="AC92" s="44" t="n">
        <v>18.4</v>
      </c>
      <c r="AD92" s="42" t="n">
        <v>2003</v>
      </c>
      <c r="AE92" s="42" t="n">
        <v>13</v>
      </c>
      <c r="AF92" s="44" t="n">
        <v>17.8</v>
      </c>
      <c r="AG92" s="42" t="n">
        <v>2010</v>
      </c>
      <c r="AH92" s="42" t="n">
        <v>5</v>
      </c>
      <c r="AI92" s="44" t="n">
        <v>18</v>
      </c>
      <c r="AJ92" s="42" t="n">
        <v>2003</v>
      </c>
      <c r="AK92" s="42" t="n">
        <v>20</v>
      </c>
      <c r="AL92" s="44" t="n">
        <v>17.4</v>
      </c>
      <c r="AM92" s="42" t="n">
        <v>2003</v>
      </c>
      <c r="AN92" s="42" t="n">
        <v>7</v>
      </c>
      <c r="AO92" s="44" t="n">
        <v>17.8</v>
      </c>
      <c r="AP92" s="42" t="n">
        <v>2010</v>
      </c>
      <c r="AQ92" s="42" t="n">
        <v>17</v>
      </c>
    </row>
    <row r="93" ht="14.45" customHeight="1">
      <c r="A93" s="42" t="n">
        <v>23125050</v>
      </c>
      <c r="B93" s="42" t="inlineStr">
        <is>
          <t>CARARE [23125050]</t>
        </is>
      </c>
      <c r="C93" s="42" t="n">
        <v>6.649444444</v>
      </c>
      <c r="D93" s="42" t="n">
        <v>-74.06138889</v>
      </c>
      <c r="E93" s="42" t="n">
        <v>168</v>
      </c>
      <c r="F93" s="42" t="inlineStr">
        <is>
          <t>Puerto Parra</t>
        </is>
      </c>
      <c r="G93" s="42" t="inlineStr">
        <is>
          <t>Santander</t>
        </is>
      </c>
      <c r="H93" s="44" t="n">
        <v>18.6</v>
      </c>
      <c r="I93" s="42" t="n">
        <v>2023</v>
      </c>
      <c r="J93" s="42" t="n">
        <v>5</v>
      </c>
      <c r="K93" s="44" t="n">
        <v>19.2</v>
      </c>
      <c r="L93" s="42" t="n">
        <v>1993</v>
      </c>
      <c r="M93" s="42" t="n">
        <v>26</v>
      </c>
      <c r="N93" s="44" t="n">
        <v>19.6</v>
      </c>
      <c r="O93" s="42" t="n">
        <v>1993</v>
      </c>
      <c r="P93" s="42" t="n">
        <v>18</v>
      </c>
      <c r="Q93" s="44" t="n">
        <v>19</v>
      </c>
      <c r="R93" s="42" t="n">
        <v>2010</v>
      </c>
      <c r="S93" s="42" t="n">
        <v>19</v>
      </c>
      <c r="T93" s="44" t="n">
        <v>18.4</v>
      </c>
      <c r="U93" s="42" t="n">
        <v>1993</v>
      </c>
      <c r="V93" s="42" t="n">
        <v>6</v>
      </c>
      <c r="W93" s="44" t="n">
        <v>19.2</v>
      </c>
      <c r="X93" s="42" t="n">
        <v>2001</v>
      </c>
      <c r="Y93" s="42" t="n">
        <v>13</v>
      </c>
      <c r="Z93" s="44" t="n">
        <v>19.6</v>
      </c>
      <c r="AA93" s="42" t="n">
        <v>2022</v>
      </c>
      <c r="AB93" s="42" t="n">
        <v>28</v>
      </c>
      <c r="AC93" s="44" t="n">
        <v>18.8</v>
      </c>
      <c r="AD93" s="42" t="n">
        <v>2022</v>
      </c>
      <c r="AE93" s="42" t="n">
        <v>16</v>
      </c>
      <c r="AF93" s="44" t="n">
        <v>19</v>
      </c>
      <c r="AG93" s="42" t="n">
        <v>2022</v>
      </c>
      <c r="AH93" s="42" t="n">
        <v>8</v>
      </c>
      <c r="AI93" s="44" t="n">
        <v>19</v>
      </c>
      <c r="AJ93" s="42" t="n">
        <v>1982</v>
      </c>
      <c r="AK93" s="42" t="n">
        <v>15</v>
      </c>
      <c r="AL93" s="44" t="n">
        <v>20</v>
      </c>
      <c r="AM93" s="42" t="n">
        <v>1992</v>
      </c>
      <c r="AN93" s="42" t="n">
        <v>23</v>
      </c>
      <c r="AO93" s="44" t="n">
        <v>19.2</v>
      </c>
      <c r="AP93" s="42" t="n">
        <v>2022</v>
      </c>
      <c r="AQ93" s="42" t="n">
        <v>3</v>
      </c>
    </row>
    <row r="94" ht="14.45" customHeight="1">
      <c r="A94" s="42" t="n">
        <v>42075010</v>
      </c>
      <c r="B94" s="42" t="inlineStr">
        <is>
          <t>MITU [42075010]</t>
        </is>
      </c>
      <c r="C94" s="42" t="n">
        <v>1.259702</v>
      </c>
      <c r="D94" s="42" t="n">
        <v>-70.239204</v>
      </c>
      <c r="E94" s="42" t="n">
        <v>168</v>
      </c>
      <c r="F94" s="42" t="inlineStr">
        <is>
          <t>Mitú</t>
        </is>
      </c>
      <c r="G94" s="42" t="inlineStr">
        <is>
          <t>Vaupes</t>
        </is>
      </c>
      <c r="H94" s="44" t="n">
        <v>17</v>
      </c>
      <c r="I94" s="42" t="n">
        <v>1999</v>
      </c>
      <c r="J94" s="42" t="n">
        <v>20</v>
      </c>
      <c r="K94" s="44" t="n">
        <v>17</v>
      </c>
      <c r="L94" s="42" t="n">
        <v>1999</v>
      </c>
      <c r="M94" s="42" t="n">
        <v>10</v>
      </c>
      <c r="N94" s="44" t="n">
        <v>17</v>
      </c>
      <c r="O94" s="42" t="n">
        <v>1999</v>
      </c>
      <c r="P94" s="42" t="n">
        <v>9</v>
      </c>
      <c r="Q94" s="44" t="n">
        <v>17</v>
      </c>
      <c r="R94" s="42" t="n">
        <v>1999</v>
      </c>
      <c r="S94" s="42" t="n">
        <v>4</v>
      </c>
      <c r="T94" s="44" t="n">
        <v>17</v>
      </c>
      <c r="U94" s="42" t="n">
        <v>1999</v>
      </c>
      <c r="V94" s="42" t="n">
        <v>20</v>
      </c>
      <c r="W94" s="44" t="n">
        <v>17</v>
      </c>
      <c r="X94" s="42" t="n">
        <v>1999</v>
      </c>
      <c r="Y94" s="42" t="n">
        <v>17</v>
      </c>
      <c r="Z94" s="44" t="n">
        <v>17</v>
      </c>
      <c r="AA94" s="42" t="n">
        <v>1994</v>
      </c>
      <c r="AB94" s="42" t="n">
        <v>10</v>
      </c>
      <c r="AC94" s="44" t="n">
        <v>16</v>
      </c>
      <c r="AD94" s="42" t="n">
        <v>1999</v>
      </c>
      <c r="AE94" s="42" t="n">
        <v>17</v>
      </c>
      <c r="AF94" s="44" t="n">
        <v>17.2</v>
      </c>
      <c r="AG94" s="42" t="n">
        <v>2001</v>
      </c>
      <c r="AH94" s="42" t="n">
        <v>2</v>
      </c>
      <c r="AI94" s="44" t="n">
        <v>17.8</v>
      </c>
      <c r="AJ94" s="42" t="n">
        <v>2001</v>
      </c>
      <c r="AK94" s="42" t="n">
        <v>16</v>
      </c>
      <c r="AL94" s="44" t="n">
        <v>18</v>
      </c>
      <c r="AM94" s="42" t="n">
        <v>2001</v>
      </c>
      <c r="AN94" s="42" t="n">
        <v>18</v>
      </c>
      <c r="AO94" s="44" t="n">
        <v>17.8</v>
      </c>
      <c r="AP94" s="42" t="n">
        <v>2000</v>
      </c>
      <c r="AQ94" s="42" t="n">
        <v>8</v>
      </c>
    </row>
    <row r="95" ht="14.45" customHeight="1">
      <c r="A95" s="42" t="n">
        <v>15065040</v>
      </c>
      <c r="B95" s="42" t="inlineStr">
        <is>
          <t>LA PAULINA - AUT [15065040]</t>
        </is>
      </c>
      <c r="C95" s="42" t="n">
        <v>10.89813889</v>
      </c>
      <c r="D95" s="42" t="n">
        <v>-72.82847221999999</v>
      </c>
      <c r="E95" s="42" t="n">
        <v>170</v>
      </c>
      <c r="F95" s="42" t="inlineStr">
        <is>
          <t>Fonseca</t>
        </is>
      </c>
      <c r="G95" s="42" t="inlineStr">
        <is>
          <t>La Guajira</t>
        </is>
      </c>
      <c r="H95" s="44" t="n">
        <v>16.4</v>
      </c>
      <c r="I95" s="42" t="n">
        <v>1979</v>
      </c>
      <c r="J95" s="42" t="n">
        <v>19</v>
      </c>
      <c r="K95" s="44" t="n">
        <v>16</v>
      </c>
      <c r="L95" s="42" t="n">
        <v>1985</v>
      </c>
      <c r="M95" s="42" t="n">
        <v>1</v>
      </c>
      <c r="N95" s="44" t="n">
        <v>16</v>
      </c>
      <c r="O95" s="42" t="n">
        <v>1982</v>
      </c>
      <c r="P95" s="42" t="n">
        <v>26</v>
      </c>
      <c r="Q95" s="44" t="n">
        <v>15.6</v>
      </c>
      <c r="R95" s="42" t="n">
        <v>1996</v>
      </c>
      <c r="S95" s="42" t="n">
        <v>25</v>
      </c>
      <c r="T95" s="44" t="n">
        <v>16.2</v>
      </c>
      <c r="U95" s="42" t="n">
        <v>1978</v>
      </c>
      <c r="V95" s="42" t="n">
        <v>27</v>
      </c>
      <c r="W95" s="44" t="n">
        <v>12.4</v>
      </c>
      <c r="X95" s="42" t="n">
        <v>1996</v>
      </c>
      <c r="Y95" s="42" t="n">
        <v>6</v>
      </c>
      <c r="Z95" s="44" t="n">
        <v>17.4</v>
      </c>
      <c r="AA95" s="42" t="n">
        <v>1996</v>
      </c>
      <c r="AB95" s="42" t="n">
        <v>9</v>
      </c>
      <c r="AC95" s="44" t="n">
        <v>19.2</v>
      </c>
      <c r="AD95" s="42" t="n">
        <v>1978</v>
      </c>
      <c r="AE95" s="42" t="n">
        <v>2</v>
      </c>
      <c r="AF95" s="44" t="n">
        <v>17.6</v>
      </c>
      <c r="AG95" s="42" t="n">
        <v>1984</v>
      </c>
      <c r="AH95" s="42" t="n">
        <v>1</v>
      </c>
      <c r="AI95" s="44" t="n">
        <v>17</v>
      </c>
      <c r="AJ95" s="42" t="n">
        <v>1976</v>
      </c>
      <c r="AK95" s="42" t="n">
        <v>11</v>
      </c>
      <c r="AL95" s="44" t="n">
        <v>17.6</v>
      </c>
      <c r="AM95" s="42" t="n">
        <v>1984</v>
      </c>
      <c r="AN95" s="42" t="n">
        <v>16</v>
      </c>
      <c r="AO95" s="44" t="n">
        <v>17</v>
      </c>
      <c r="AP95" s="42" t="n">
        <v>1984</v>
      </c>
      <c r="AQ95" s="42" t="n">
        <v>12</v>
      </c>
    </row>
    <row r="96" ht="14.45" customHeight="1">
      <c r="A96" s="42" t="n">
        <v>25015010</v>
      </c>
      <c r="B96" s="42" t="inlineStr">
        <is>
          <t>CENTRO ALEGRE [25015010]</t>
        </is>
      </c>
      <c r="C96" s="42" t="n">
        <v>8.180777778</v>
      </c>
      <c r="D96" s="42" t="n">
        <v>-75.63227778</v>
      </c>
      <c r="E96" s="42" t="n">
        <v>170</v>
      </c>
      <c r="F96" s="42" t="inlineStr">
        <is>
          <t>Planeta Rica</t>
        </is>
      </c>
      <c r="G96" s="42" t="inlineStr">
        <is>
          <t>Cordoba</t>
        </is>
      </c>
      <c r="H96" s="44" t="n">
        <v>16.4</v>
      </c>
      <c r="I96" s="42" t="n">
        <v>1993</v>
      </c>
      <c r="J96" s="42" t="n">
        <v>19</v>
      </c>
      <c r="K96" s="44" t="n">
        <v>18.2</v>
      </c>
      <c r="L96" s="42" t="n">
        <v>1995</v>
      </c>
      <c r="M96" s="42" t="n">
        <v>7</v>
      </c>
      <c r="N96" s="44" t="n">
        <v>17.4</v>
      </c>
      <c r="O96" s="42" t="n">
        <v>1993</v>
      </c>
      <c r="P96" s="42" t="n">
        <v>25</v>
      </c>
      <c r="Q96" s="44" t="n">
        <v>15.4</v>
      </c>
      <c r="R96" s="42" t="n">
        <v>1995</v>
      </c>
      <c r="S96" s="42" t="n">
        <v>9</v>
      </c>
      <c r="T96" s="44" t="n">
        <v>18.2</v>
      </c>
      <c r="U96" s="42" t="n">
        <v>1993</v>
      </c>
      <c r="V96" s="42" t="n">
        <v>20</v>
      </c>
      <c r="W96" s="44" t="n">
        <v>17</v>
      </c>
      <c r="X96" s="42" t="n">
        <v>1992</v>
      </c>
      <c r="Y96" s="42" t="n">
        <v>17</v>
      </c>
      <c r="Z96" s="44" t="n">
        <v>16.1</v>
      </c>
      <c r="AA96" s="42" t="n">
        <v>1989</v>
      </c>
      <c r="AB96" s="42" t="n">
        <v>20</v>
      </c>
      <c r="AC96" s="44" t="n">
        <v>17</v>
      </c>
      <c r="AD96" s="42" t="n">
        <v>1992</v>
      </c>
      <c r="AE96" s="42" t="n">
        <v>8</v>
      </c>
      <c r="AF96" s="44" t="n">
        <v>16.8</v>
      </c>
      <c r="AG96" s="42" t="n">
        <v>1992</v>
      </c>
      <c r="AH96" s="42" t="n">
        <v>8</v>
      </c>
      <c r="AI96" s="44" t="n">
        <v>18.6</v>
      </c>
      <c r="AJ96" s="42" t="n">
        <v>2004</v>
      </c>
      <c r="AK96" s="42" t="n">
        <v>5</v>
      </c>
      <c r="AL96" s="44" t="n">
        <v>18.4</v>
      </c>
      <c r="AM96" s="42" t="n">
        <v>1988</v>
      </c>
      <c r="AN96" s="42" t="n">
        <v>14</v>
      </c>
      <c r="AO96" s="44" t="n">
        <v>17.2</v>
      </c>
      <c r="AP96" s="42" t="n">
        <v>1994</v>
      </c>
      <c r="AQ96" s="42" t="n">
        <v>25</v>
      </c>
    </row>
    <row r="97" ht="14.45" customHeight="1">
      <c r="A97" s="42" t="n">
        <v>23035020</v>
      </c>
      <c r="B97" s="42" t="inlineStr">
        <is>
          <t>AEROPUERTO PALANQUERO [23035020]</t>
        </is>
      </c>
      <c r="C97" s="42" t="n">
        <v>5.471388889</v>
      </c>
      <c r="D97" s="42" t="n">
        <v>-74.65472222</v>
      </c>
      <c r="E97" s="42" t="n">
        <v>172</v>
      </c>
      <c r="F97" s="42" t="inlineStr">
        <is>
          <t>Puerto Salgar</t>
        </is>
      </c>
      <c r="G97" s="42" t="inlineStr">
        <is>
          <t>Cundinamarca</t>
        </is>
      </c>
      <c r="H97" s="44" t="n">
        <v>18.2</v>
      </c>
      <c r="I97" s="42" t="n">
        <v>1988</v>
      </c>
      <c r="J97" s="42" t="n">
        <v>30</v>
      </c>
      <c r="K97" s="44" t="n">
        <v>18</v>
      </c>
      <c r="L97" s="42" t="n">
        <v>1988</v>
      </c>
      <c r="M97" s="42" t="n">
        <v>7</v>
      </c>
      <c r="N97" s="44" t="n">
        <v>18</v>
      </c>
      <c r="O97" s="42" t="n">
        <v>1986</v>
      </c>
      <c r="P97" s="42" t="n">
        <v>2</v>
      </c>
      <c r="Q97" s="44" t="n">
        <v>18</v>
      </c>
      <c r="R97" s="42" t="n">
        <v>1986</v>
      </c>
      <c r="S97" s="42" t="n">
        <v>19</v>
      </c>
      <c r="T97" s="44" t="n">
        <v>18</v>
      </c>
      <c r="U97" s="42" t="n">
        <v>1986</v>
      </c>
      <c r="V97" s="42" t="n">
        <v>28</v>
      </c>
      <c r="W97" s="44" t="n">
        <v>18</v>
      </c>
      <c r="X97" s="42" t="n">
        <v>1986</v>
      </c>
      <c r="Y97" s="42" t="n">
        <v>9</v>
      </c>
      <c r="Z97" s="44" t="n">
        <v>18</v>
      </c>
      <c r="AA97" s="42" t="n">
        <v>2002</v>
      </c>
      <c r="AB97" s="42" t="n">
        <v>18</v>
      </c>
      <c r="AC97" s="44" t="n">
        <v>18.2</v>
      </c>
      <c r="AD97" s="42" t="n">
        <v>2001</v>
      </c>
      <c r="AE97" s="42" t="n">
        <v>10</v>
      </c>
      <c r="AF97" s="44" t="n">
        <v>18</v>
      </c>
      <c r="AG97" s="42" t="n">
        <v>2001</v>
      </c>
      <c r="AH97" s="42" t="n">
        <v>19</v>
      </c>
      <c r="AI97" s="44" t="n">
        <v>18</v>
      </c>
      <c r="AJ97" s="42" t="n">
        <v>1988</v>
      </c>
      <c r="AK97" s="42" t="n">
        <v>13</v>
      </c>
      <c r="AL97" s="44" t="n">
        <v>18</v>
      </c>
      <c r="AM97" s="42" t="n">
        <v>1991</v>
      </c>
      <c r="AN97" s="42" t="n">
        <v>15</v>
      </c>
      <c r="AO97" s="44" t="n">
        <v>18.4</v>
      </c>
      <c r="AP97" s="42" t="n">
        <v>1987</v>
      </c>
      <c r="AQ97" s="42" t="n">
        <v>22</v>
      </c>
    </row>
    <row r="98" ht="14.45" customHeight="1">
      <c r="A98" s="42" t="n">
        <v>34015010</v>
      </c>
      <c r="B98" s="42" t="inlineStr">
        <is>
          <t>LAS GAVIOTAS [34015010]</t>
        </is>
      </c>
      <c r="C98" s="42" t="n">
        <v>4.553891</v>
      </c>
      <c r="D98" s="42" t="n">
        <v>-70.93022499999999</v>
      </c>
      <c r="E98" s="42" t="n">
        <v>173</v>
      </c>
      <c r="F98" s="42" t="inlineStr">
        <is>
          <t>Cumaribo</t>
        </is>
      </c>
      <c r="G98" s="42" t="inlineStr">
        <is>
          <t>Vichada</t>
        </is>
      </c>
      <c r="H98" s="44" t="n">
        <v>15.4</v>
      </c>
      <c r="I98" s="42" t="n">
        <v>2001</v>
      </c>
      <c r="J98" s="42" t="n">
        <v>31</v>
      </c>
      <c r="K98" s="44" t="n">
        <v>16.4</v>
      </c>
      <c r="L98" s="42" t="n">
        <v>2001</v>
      </c>
      <c r="M98" s="42" t="n">
        <v>1</v>
      </c>
      <c r="N98" s="44" t="n">
        <v>16.4</v>
      </c>
      <c r="O98" s="42" t="n">
        <v>2002</v>
      </c>
      <c r="P98" s="42" t="n">
        <v>9</v>
      </c>
      <c r="Q98" s="44" t="n">
        <v>17.3</v>
      </c>
      <c r="R98" s="42" t="n">
        <v>1996</v>
      </c>
      <c r="S98" s="42" t="n">
        <v>28</v>
      </c>
      <c r="T98" s="44" t="n">
        <v>19.8</v>
      </c>
      <c r="U98" s="42" t="n">
        <v>2006</v>
      </c>
      <c r="V98" s="42" t="n">
        <v>21</v>
      </c>
      <c r="W98" s="44" t="n">
        <v>18</v>
      </c>
      <c r="X98" s="42" t="n">
        <v>2018</v>
      </c>
      <c r="Y98" s="42" t="n">
        <v>1</v>
      </c>
      <c r="Z98" s="44" t="n">
        <v>17.4</v>
      </c>
      <c r="AA98" s="42" t="n">
        <v>1981</v>
      </c>
      <c r="AB98" s="42" t="n">
        <v>21</v>
      </c>
      <c r="AC98" s="44" t="n">
        <v>17.8</v>
      </c>
      <c r="AD98" s="42" t="n">
        <v>1992</v>
      </c>
      <c r="AE98" s="42" t="n">
        <v>11</v>
      </c>
      <c r="AF98" s="44" t="n">
        <v>17.9</v>
      </c>
      <c r="AG98" s="42" t="n">
        <v>1991</v>
      </c>
      <c r="AH98" s="42" t="n">
        <v>12</v>
      </c>
      <c r="AI98" s="44" t="n">
        <v>18</v>
      </c>
      <c r="AJ98" s="42" t="n">
        <v>2013</v>
      </c>
      <c r="AK98" s="42" t="n">
        <v>14</v>
      </c>
      <c r="AL98" s="44" t="n">
        <v>17.8</v>
      </c>
      <c r="AM98" s="42" t="n">
        <v>2022</v>
      </c>
      <c r="AN98" s="42" t="n">
        <v>4</v>
      </c>
      <c r="AO98" s="44" t="n">
        <v>15</v>
      </c>
      <c r="AP98" s="42" t="n">
        <v>2000</v>
      </c>
      <c r="AQ98" s="42" t="n">
        <v>16</v>
      </c>
    </row>
    <row r="99" ht="14.45" customHeight="1">
      <c r="A99" s="42" t="n">
        <v>35125010</v>
      </c>
      <c r="B99" s="42" t="inlineStr">
        <is>
          <t>HACIENDA LAS MARGARITAS [35125010]</t>
        </is>
      </c>
      <c r="C99" s="42" t="n">
        <v>4.3698889</v>
      </c>
      <c r="D99" s="42" t="n">
        <v>-72.2270638</v>
      </c>
      <c r="E99" s="42" t="n">
        <v>178</v>
      </c>
      <c r="F99" s="42" t="inlineStr">
        <is>
          <t>Puerto López</t>
        </is>
      </c>
      <c r="G99" s="42" t="inlineStr">
        <is>
          <t>Meta</t>
        </is>
      </c>
      <c r="H99" s="44" t="n">
        <v>16.8</v>
      </c>
      <c r="I99" s="42" t="n">
        <v>1983</v>
      </c>
      <c r="J99" s="42" t="n">
        <v>14</v>
      </c>
      <c r="K99" s="44" t="n">
        <v>17.4</v>
      </c>
      <c r="L99" s="42" t="n">
        <v>1994</v>
      </c>
      <c r="M99" s="42" t="n">
        <v>12</v>
      </c>
      <c r="N99" s="44" t="n">
        <v>15.4</v>
      </c>
      <c r="O99" s="42" t="n">
        <v>1988</v>
      </c>
      <c r="P99" s="42" t="n">
        <v>3</v>
      </c>
      <c r="Q99" s="44" t="n">
        <v>17.2</v>
      </c>
      <c r="R99" s="42" t="n">
        <v>1985</v>
      </c>
      <c r="S99" s="42" t="n">
        <v>24</v>
      </c>
      <c r="T99" s="44" t="n">
        <v>15.8</v>
      </c>
      <c r="U99" s="42" t="n">
        <v>1985</v>
      </c>
      <c r="V99" s="42" t="n">
        <v>27</v>
      </c>
      <c r="W99" s="44" t="n">
        <v>16.6</v>
      </c>
      <c r="X99" s="42" t="n">
        <v>2019</v>
      </c>
      <c r="Y99" s="42" t="n">
        <v>10</v>
      </c>
      <c r="Z99" s="44" t="n">
        <v>18.6</v>
      </c>
      <c r="AA99" s="42" t="n">
        <v>1987</v>
      </c>
      <c r="AB99" s="42" t="n">
        <v>6</v>
      </c>
      <c r="AC99" s="44" t="n">
        <v>18</v>
      </c>
      <c r="AD99" s="42" t="n">
        <v>1994</v>
      </c>
      <c r="AE99" s="42" t="n">
        <v>13</v>
      </c>
      <c r="AF99" s="44" t="n">
        <v>19.4</v>
      </c>
      <c r="AG99" s="42" t="n">
        <v>2015</v>
      </c>
      <c r="AH99" s="42" t="n">
        <v>2</v>
      </c>
      <c r="AI99" s="44" t="n">
        <v>18</v>
      </c>
      <c r="AJ99" s="42" t="n">
        <v>1991</v>
      </c>
      <c r="AK99" s="42" t="n">
        <v>4</v>
      </c>
      <c r="AL99" s="44" t="n">
        <v>16.4</v>
      </c>
      <c r="AM99" s="42" t="n">
        <v>2010</v>
      </c>
      <c r="AN99" s="42" t="n">
        <v>26</v>
      </c>
      <c r="AO99" s="44" t="n">
        <v>17.2</v>
      </c>
      <c r="AP99" s="42" t="n">
        <v>1993</v>
      </c>
      <c r="AQ99" s="42" t="n">
        <v>27</v>
      </c>
    </row>
    <row r="100" ht="14.45" customHeight="1">
      <c r="A100" s="42" t="n">
        <v>23125040</v>
      </c>
      <c r="B100" s="42" t="inlineStr">
        <is>
          <t>CAMPO CAPOTE [23125040]</t>
        </is>
      </c>
      <c r="C100" s="42" t="n">
        <v>6.616111111</v>
      </c>
      <c r="D100" s="42" t="n">
        <v>-73.92055556</v>
      </c>
      <c r="E100" s="42" t="n">
        <v>180</v>
      </c>
      <c r="F100" s="42" t="inlineStr">
        <is>
          <t>Puerto Parra</t>
        </is>
      </c>
      <c r="G100" s="42" t="inlineStr">
        <is>
          <t>Santander</t>
        </is>
      </c>
      <c r="H100" s="44" t="n">
        <v>19</v>
      </c>
      <c r="I100" s="42" t="n">
        <v>1979</v>
      </c>
      <c r="J100" s="42" t="n">
        <v>7</v>
      </c>
      <c r="K100" s="44" t="n">
        <v>17.4</v>
      </c>
      <c r="L100" s="42" t="n">
        <v>1989</v>
      </c>
      <c r="M100" s="42" t="n">
        <v>16</v>
      </c>
      <c r="N100" s="44" t="n">
        <v>17.4</v>
      </c>
      <c r="O100" s="42" t="n">
        <v>1989</v>
      </c>
      <c r="P100" s="42" t="n">
        <v>30</v>
      </c>
      <c r="Q100" s="44" t="n">
        <v>18.2</v>
      </c>
      <c r="R100" s="42" t="n">
        <v>1982</v>
      </c>
      <c r="S100" s="42" t="n">
        <v>13</v>
      </c>
      <c r="T100" s="44" t="n">
        <v>19.6</v>
      </c>
      <c r="U100" s="42" t="n">
        <v>1982</v>
      </c>
      <c r="V100" s="42" t="n">
        <v>4</v>
      </c>
      <c r="W100" s="44" t="n">
        <v>20</v>
      </c>
      <c r="X100" s="42" t="n">
        <v>1979</v>
      </c>
      <c r="Y100" s="42" t="n">
        <v>24</v>
      </c>
      <c r="Z100" s="44" t="n">
        <v>18.4</v>
      </c>
      <c r="AA100" s="42" t="n">
        <v>1986</v>
      </c>
      <c r="AB100" s="42" t="n">
        <v>18</v>
      </c>
      <c r="AC100" s="44" t="n">
        <v>17.6</v>
      </c>
      <c r="AD100" s="42" t="n">
        <v>1982</v>
      </c>
      <c r="AE100" s="42" t="n">
        <v>31</v>
      </c>
      <c r="AF100" s="44" t="n">
        <v>19.4</v>
      </c>
      <c r="AG100" s="42" t="n">
        <v>1979</v>
      </c>
      <c r="AH100" s="42" t="n">
        <v>1</v>
      </c>
      <c r="AI100" s="44" t="n">
        <v>16</v>
      </c>
      <c r="AJ100" s="42" t="n">
        <v>1983</v>
      </c>
      <c r="AK100" s="42" t="n">
        <v>23</v>
      </c>
      <c r="AL100" s="44" t="n">
        <v>15.8</v>
      </c>
      <c r="AM100" s="42" t="n">
        <v>1989</v>
      </c>
      <c r="AN100" s="42" t="n">
        <v>30</v>
      </c>
      <c r="AO100" s="44" t="n">
        <v>19.6</v>
      </c>
      <c r="AP100" s="42" t="n">
        <v>1989</v>
      </c>
      <c r="AQ100" s="42" t="n">
        <v>1</v>
      </c>
    </row>
    <row r="101" ht="14.45" customHeight="1">
      <c r="A101" s="42" t="n">
        <v>28025070</v>
      </c>
      <c r="B101" s="42" t="inlineStr">
        <is>
          <t>MOTILONIA CODAZZI [28025070]</t>
        </is>
      </c>
      <c r="C101" s="42" t="n">
        <v>10.00180556</v>
      </c>
      <c r="D101" s="42" t="n">
        <v>-73.24938889000001</v>
      </c>
      <c r="E101" s="42" t="n">
        <v>180</v>
      </c>
      <c r="F101" s="42" t="inlineStr">
        <is>
          <t>Agustín Codazzi</t>
        </is>
      </c>
      <c r="G101" s="42" t="inlineStr">
        <is>
          <t>Cesar</t>
        </is>
      </c>
      <c r="H101" s="44" t="n">
        <v>17.4</v>
      </c>
      <c r="I101" s="42" t="n">
        <v>1978</v>
      </c>
      <c r="J101" s="42" t="n">
        <v>2</v>
      </c>
      <c r="K101" s="44" t="n">
        <v>17.8</v>
      </c>
      <c r="L101" s="42" t="n">
        <v>1994</v>
      </c>
      <c r="M101" s="42" t="n">
        <v>4</v>
      </c>
      <c r="N101" s="44" t="n">
        <v>18</v>
      </c>
      <c r="O101" s="42" t="n">
        <v>1997</v>
      </c>
      <c r="P101" s="42" t="n">
        <v>3</v>
      </c>
      <c r="Q101" s="44" t="n">
        <v>20</v>
      </c>
      <c r="R101" s="42" t="n">
        <v>1979</v>
      </c>
      <c r="S101" s="42" t="n">
        <v>12</v>
      </c>
      <c r="T101" s="44" t="n">
        <v>17.6</v>
      </c>
      <c r="U101" s="42" t="n">
        <v>1993</v>
      </c>
      <c r="V101" s="42" t="n">
        <v>27</v>
      </c>
      <c r="W101" s="44" t="n">
        <v>18</v>
      </c>
      <c r="X101" s="42" t="n">
        <v>1986</v>
      </c>
      <c r="Y101" s="42" t="n">
        <v>7</v>
      </c>
      <c r="Z101" s="44" t="n">
        <v>19.6</v>
      </c>
      <c r="AA101" s="42" t="n">
        <v>1996</v>
      </c>
      <c r="AB101" s="42" t="n">
        <v>8</v>
      </c>
      <c r="AC101" s="44" t="n">
        <v>20.2</v>
      </c>
      <c r="AD101" s="42" t="n">
        <v>1995</v>
      </c>
      <c r="AE101" s="42" t="n">
        <v>10</v>
      </c>
      <c r="AF101" s="44" t="n">
        <v>20</v>
      </c>
      <c r="AG101" s="42" t="n">
        <v>1986</v>
      </c>
      <c r="AH101" s="42" t="n">
        <v>10</v>
      </c>
      <c r="AI101" s="44" t="n">
        <v>18</v>
      </c>
      <c r="AJ101" s="42" t="n">
        <v>1992</v>
      </c>
      <c r="AK101" s="42" t="n">
        <v>12</v>
      </c>
      <c r="AL101" s="44" t="n">
        <v>18.6</v>
      </c>
      <c r="AM101" s="42" t="n">
        <v>1994</v>
      </c>
      <c r="AN101" s="42" t="n">
        <v>30</v>
      </c>
      <c r="AO101" s="44" t="n">
        <v>17.6</v>
      </c>
      <c r="AP101" s="42" t="n">
        <v>1981</v>
      </c>
      <c r="AQ101" s="42" t="n">
        <v>23</v>
      </c>
    </row>
    <row r="102" ht="14.45" customHeight="1">
      <c r="A102" s="42" t="n">
        <v>24015260</v>
      </c>
      <c r="B102" s="42" t="inlineStr">
        <is>
          <t>CHIMA [24015260]</t>
        </is>
      </c>
      <c r="C102" s="42" t="n">
        <v>6.355</v>
      </c>
      <c r="D102" s="42" t="n">
        <v>-73.36833333</v>
      </c>
      <c r="E102" s="42" t="n">
        <v>190</v>
      </c>
      <c r="F102" s="42" t="inlineStr">
        <is>
          <t>Chima</t>
        </is>
      </c>
      <c r="G102" s="42" t="inlineStr">
        <is>
          <t>Santander</t>
        </is>
      </c>
      <c r="H102" s="44" t="n">
        <v>11</v>
      </c>
      <c r="I102" s="42" t="n">
        <v>1981</v>
      </c>
      <c r="J102" s="42" t="n">
        <v>1</v>
      </c>
      <c r="K102" s="44" t="n">
        <v>12.6</v>
      </c>
      <c r="L102" s="42" t="n">
        <v>1985</v>
      </c>
      <c r="M102" s="42" t="n">
        <v>5</v>
      </c>
      <c r="N102" s="44" t="n">
        <v>13.2</v>
      </c>
      <c r="O102" s="42" t="n">
        <v>2005</v>
      </c>
      <c r="P102" s="42" t="n">
        <v>18</v>
      </c>
      <c r="Q102" s="44" t="n">
        <v>13</v>
      </c>
      <c r="R102" s="42" t="n">
        <v>2008</v>
      </c>
      <c r="S102" s="42" t="n">
        <v>3</v>
      </c>
      <c r="T102" s="44" t="n">
        <v>11.2</v>
      </c>
      <c r="U102" s="42" t="n">
        <v>1981</v>
      </c>
      <c r="V102" s="42" t="n">
        <v>3</v>
      </c>
      <c r="W102" s="44" t="n">
        <v>11</v>
      </c>
      <c r="X102" s="42" t="n">
        <v>1981</v>
      </c>
      <c r="Y102" s="42" t="n">
        <v>1</v>
      </c>
      <c r="Z102" s="44" t="n">
        <v>12</v>
      </c>
      <c r="AA102" s="42" t="n">
        <v>2008</v>
      </c>
      <c r="AB102" s="42" t="n">
        <v>9</v>
      </c>
      <c r="AC102" s="44" t="n">
        <v>13</v>
      </c>
      <c r="AD102" s="42" t="n">
        <v>1983</v>
      </c>
      <c r="AE102" s="42" t="n">
        <v>2</v>
      </c>
      <c r="AF102" s="44" t="n">
        <v>11</v>
      </c>
      <c r="AG102" s="42" t="n">
        <v>1980</v>
      </c>
      <c r="AH102" s="42" t="n">
        <v>12</v>
      </c>
      <c r="AI102" s="44" t="n">
        <v>14</v>
      </c>
      <c r="AJ102" s="42" t="n">
        <v>1980</v>
      </c>
      <c r="AK102" s="42" t="n">
        <v>2</v>
      </c>
      <c r="AL102" s="44" t="n">
        <v>12</v>
      </c>
      <c r="AM102" s="42" t="n">
        <v>1980</v>
      </c>
      <c r="AN102" s="42" t="n">
        <v>15</v>
      </c>
      <c r="AO102" s="44" t="n">
        <v>11.8</v>
      </c>
      <c r="AP102" s="42" t="n">
        <v>1985</v>
      </c>
      <c r="AQ102" s="42" t="n">
        <v>31</v>
      </c>
    </row>
    <row r="103" ht="14.45" customHeight="1">
      <c r="A103" s="42" t="n">
        <v>47035020</v>
      </c>
      <c r="B103" s="42" t="inlineStr">
        <is>
          <t>PUERTO OSPINA [47035020]</t>
        </is>
      </c>
      <c r="C103" s="42" t="n">
        <v>0.132861111</v>
      </c>
      <c r="D103" s="42" t="n">
        <v>-75.85111111000001</v>
      </c>
      <c r="E103" s="42" t="n">
        <v>190</v>
      </c>
      <c r="F103" s="42" t="inlineStr">
        <is>
          <t>Puerto Leguízamo</t>
        </is>
      </c>
      <c r="G103" s="42" t="inlineStr">
        <is>
          <t>Putumayo</t>
        </is>
      </c>
      <c r="H103" s="44" t="n">
        <v>16.5</v>
      </c>
      <c r="I103" s="42" t="n">
        <v>2001</v>
      </c>
      <c r="J103" s="42" t="n">
        <v>4</v>
      </c>
      <c r="K103" s="44" t="n">
        <v>13.5</v>
      </c>
      <c r="L103" s="42" t="n">
        <v>2001</v>
      </c>
      <c r="M103" s="42" t="n">
        <v>12</v>
      </c>
      <c r="N103" s="44" t="n">
        <v>18.5</v>
      </c>
      <c r="O103" s="42" t="n">
        <v>2005</v>
      </c>
      <c r="P103" s="42" t="n">
        <v>5</v>
      </c>
      <c r="Q103" s="44" t="n">
        <v>19</v>
      </c>
      <c r="R103" s="42" t="n">
        <v>2000</v>
      </c>
      <c r="S103" s="42" t="n">
        <v>4</v>
      </c>
      <c r="T103" s="44" t="n">
        <v>18.5</v>
      </c>
      <c r="U103" s="42" t="n">
        <v>2007</v>
      </c>
      <c r="V103" s="42" t="n">
        <v>28</v>
      </c>
      <c r="W103" s="44" t="n">
        <v>16.7</v>
      </c>
      <c r="X103" s="42" t="n">
        <v>1994</v>
      </c>
      <c r="Y103" s="42" t="n">
        <v>28</v>
      </c>
      <c r="Z103" s="44" t="n">
        <v>16.5</v>
      </c>
      <c r="AA103" s="42" t="n">
        <v>1999</v>
      </c>
      <c r="AB103" s="42" t="n">
        <v>10</v>
      </c>
      <c r="AC103" s="44" t="n">
        <v>17.2</v>
      </c>
      <c r="AD103" s="42" t="n">
        <v>1993</v>
      </c>
      <c r="AE103" s="42" t="n">
        <v>2</v>
      </c>
      <c r="AF103" s="44" t="n">
        <v>17.4</v>
      </c>
      <c r="AG103" s="42" t="n">
        <v>1997</v>
      </c>
      <c r="AH103" s="42" t="n">
        <v>8</v>
      </c>
      <c r="AI103" s="44" t="n">
        <v>17.5</v>
      </c>
      <c r="AJ103" s="42" t="n">
        <v>1994</v>
      </c>
      <c r="AK103" s="42" t="n">
        <v>16</v>
      </c>
      <c r="AL103" s="44" t="n">
        <v>17</v>
      </c>
      <c r="AM103" s="42" t="n">
        <v>2000</v>
      </c>
      <c r="AN103" s="42" t="n">
        <v>22</v>
      </c>
      <c r="AO103" s="44" t="n">
        <v>16.8</v>
      </c>
      <c r="AP103" s="42" t="n">
        <v>2015</v>
      </c>
      <c r="AQ103" s="42" t="n">
        <v>1</v>
      </c>
    </row>
    <row r="104" ht="14.45" customHeight="1">
      <c r="A104" s="42" t="n">
        <v>37045010</v>
      </c>
      <c r="B104" s="42" t="inlineStr">
        <is>
          <t>SARAVENA  - AUT [37045010]</t>
        </is>
      </c>
      <c r="C104" s="42" t="n">
        <v>6.96208</v>
      </c>
      <c r="D104" s="42" t="n">
        <v>-71.851252</v>
      </c>
      <c r="E104" s="42" t="n">
        <v>197</v>
      </c>
      <c r="F104" s="42" t="inlineStr">
        <is>
          <t>Saravena</t>
        </is>
      </c>
      <c r="G104" s="42" t="inlineStr">
        <is>
          <t>Arauca</t>
        </is>
      </c>
      <c r="H104" s="44" t="n">
        <v>15.2</v>
      </c>
      <c r="I104" s="42" t="n">
        <v>1981</v>
      </c>
      <c r="J104" s="42" t="n">
        <v>30</v>
      </c>
      <c r="K104" s="44" t="n">
        <v>15.2</v>
      </c>
      <c r="L104" s="42" t="n">
        <v>2001</v>
      </c>
      <c r="M104" s="42" t="n">
        <v>16</v>
      </c>
      <c r="N104" s="44" t="n">
        <v>15</v>
      </c>
      <c r="O104" s="42" t="n">
        <v>1981</v>
      </c>
      <c r="P104" s="42" t="n">
        <v>28</v>
      </c>
      <c r="Q104" s="44" t="n">
        <v>15</v>
      </c>
      <c r="R104" s="42" t="n">
        <v>1982</v>
      </c>
      <c r="S104" s="42" t="n">
        <v>25</v>
      </c>
      <c r="T104" s="44" t="n">
        <v>15</v>
      </c>
      <c r="U104" s="42" t="n">
        <v>1982</v>
      </c>
      <c r="V104" s="42" t="n">
        <v>13</v>
      </c>
      <c r="W104" s="44" t="n">
        <v>15.4</v>
      </c>
      <c r="X104" s="42" t="n">
        <v>1984</v>
      </c>
      <c r="Y104" s="42" t="n">
        <v>30</v>
      </c>
      <c r="Z104" s="44" t="n">
        <v>15</v>
      </c>
      <c r="AA104" s="42" t="n">
        <v>1980</v>
      </c>
      <c r="AB104" s="42" t="n">
        <v>19</v>
      </c>
      <c r="AC104" s="44" t="n">
        <v>14.4</v>
      </c>
      <c r="AD104" s="42" t="n">
        <v>1985</v>
      </c>
      <c r="AE104" s="42" t="n">
        <v>18</v>
      </c>
      <c r="AF104" s="44" t="n">
        <v>14</v>
      </c>
      <c r="AG104" s="42" t="n">
        <v>1982</v>
      </c>
      <c r="AH104" s="42" t="n">
        <v>21</v>
      </c>
      <c r="AI104" s="44" t="n">
        <v>15</v>
      </c>
      <c r="AJ104" s="42" t="n">
        <v>1982</v>
      </c>
      <c r="AK104" s="42" t="n">
        <v>3</v>
      </c>
      <c r="AL104" s="44" t="n">
        <v>15</v>
      </c>
      <c r="AM104" s="42" t="n">
        <v>1978</v>
      </c>
      <c r="AN104" s="42" t="n">
        <v>17</v>
      </c>
      <c r="AO104" s="44" t="n">
        <v>14</v>
      </c>
      <c r="AP104" s="42" t="n">
        <v>1980</v>
      </c>
      <c r="AQ104" s="42" t="n">
        <v>26</v>
      </c>
    </row>
    <row r="105" ht="14.45" customHeight="1">
      <c r="A105" s="42" t="n">
        <v>23125120</v>
      </c>
      <c r="B105" s="42" t="inlineStr">
        <is>
          <t>CIMITARRA [23125120]</t>
        </is>
      </c>
      <c r="C105" s="42" t="n">
        <v>6.308611111</v>
      </c>
      <c r="D105" s="42" t="n">
        <v>-73.95222222</v>
      </c>
      <c r="E105" s="42" t="n">
        <v>198</v>
      </c>
      <c r="F105" s="42" t="inlineStr">
        <is>
          <t>Cimitarra</t>
        </is>
      </c>
      <c r="G105" s="42" t="inlineStr">
        <is>
          <t>Santander</t>
        </is>
      </c>
      <c r="H105" s="44" t="n">
        <v>16</v>
      </c>
      <c r="I105" s="42" t="n">
        <v>2003</v>
      </c>
      <c r="J105" s="42" t="n">
        <v>15</v>
      </c>
      <c r="K105" s="44" t="n">
        <v>16.5</v>
      </c>
      <c r="L105" s="42" t="n">
        <v>2003</v>
      </c>
      <c r="M105" s="42" t="n">
        <v>5</v>
      </c>
      <c r="N105" s="44" t="n">
        <v>16</v>
      </c>
      <c r="O105" s="42" t="n">
        <v>2003</v>
      </c>
      <c r="P105" s="42" t="n">
        <v>1</v>
      </c>
      <c r="Q105" s="44" t="n">
        <v>18</v>
      </c>
      <c r="R105" s="42" t="n">
        <v>1995</v>
      </c>
      <c r="S105" s="42" t="n">
        <v>3</v>
      </c>
      <c r="T105" s="44" t="n">
        <v>18</v>
      </c>
      <c r="U105" s="42" t="n">
        <v>2002</v>
      </c>
      <c r="V105" s="42" t="n">
        <v>28</v>
      </c>
      <c r="W105" s="44" t="n">
        <v>17.4</v>
      </c>
      <c r="X105" s="42" t="n">
        <v>1999</v>
      </c>
      <c r="Y105" s="42" t="n">
        <v>8</v>
      </c>
      <c r="Z105" s="44" t="n">
        <v>16</v>
      </c>
      <c r="AA105" s="42" t="n">
        <v>2003</v>
      </c>
      <c r="AB105" s="42" t="n">
        <v>12</v>
      </c>
      <c r="AC105" s="44" t="n">
        <v>17</v>
      </c>
      <c r="AD105" s="42" t="n">
        <v>2002</v>
      </c>
      <c r="AE105" s="42" t="n">
        <v>12</v>
      </c>
      <c r="AF105" s="44" t="n">
        <v>17</v>
      </c>
      <c r="AG105" s="42" t="n">
        <v>2002</v>
      </c>
      <c r="AH105" s="42" t="n">
        <v>19</v>
      </c>
      <c r="AI105" s="44" t="n">
        <v>16</v>
      </c>
      <c r="AJ105" s="42" t="n">
        <v>2003</v>
      </c>
      <c r="AK105" s="42" t="n">
        <v>26</v>
      </c>
      <c r="AL105" s="44" t="n">
        <v>17</v>
      </c>
      <c r="AM105" s="42" t="n">
        <v>2002</v>
      </c>
      <c r="AN105" s="42" t="n">
        <v>5</v>
      </c>
      <c r="AO105" s="44" t="n">
        <v>17</v>
      </c>
      <c r="AP105" s="42" t="n">
        <v>2002</v>
      </c>
      <c r="AQ105" s="42" t="n">
        <v>10</v>
      </c>
    </row>
    <row r="106" ht="14.45" customHeight="1">
      <c r="A106" s="42" t="n">
        <v>35105050</v>
      </c>
      <c r="B106" s="42" t="inlineStr">
        <is>
          <t>GUAICARAMO [35105050]</t>
        </is>
      </c>
      <c r="C106" s="42" t="n">
        <v>4.46865</v>
      </c>
      <c r="D106" s="42" t="n">
        <v>-72.95363999999999</v>
      </c>
      <c r="E106" s="42" t="n">
        <v>199</v>
      </c>
      <c r="F106" s="42" t="inlineStr">
        <is>
          <t>Barranca De Upía</t>
        </is>
      </c>
      <c r="G106" s="42" t="inlineStr">
        <is>
          <t>Meta</t>
        </is>
      </c>
      <c r="H106" s="44" t="n">
        <v>15.4</v>
      </c>
      <c r="I106" s="42" t="n">
        <v>2000</v>
      </c>
      <c r="J106" s="42" t="n">
        <v>14</v>
      </c>
      <c r="K106" s="44" t="n">
        <v>16</v>
      </c>
      <c r="L106" s="42" t="n">
        <v>2000</v>
      </c>
      <c r="M106" s="42" t="n">
        <v>15</v>
      </c>
      <c r="N106" s="44" t="n">
        <v>17</v>
      </c>
      <c r="O106" s="42" t="n">
        <v>1995</v>
      </c>
      <c r="P106" s="42" t="n">
        <v>6</v>
      </c>
      <c r="Q106" s="44" t="n">
        <v>18.4</v>
      </c>
      <c r="R106" s="42" t="n">
        <v>1996</v>
      </c>
      <c r="S106" s="42" t="n">
        <v>29</v>
      </c>
      <c r="T106" s="44" t="n">
        <v>17</v>
      </c>
      <c r="U106" s="42" t="n">
        <v>1995</v>
      </c>
      <c r="V106" s="42" t="n">
        <v>22</v>
      </c>
      <c r="W106" s="44" t="n">
        <v>17.2</v>
      </c>
      <c r="X106" s="42" t="n">
        <v>1995</v>
      </c>
      <c r="Y106" s="42" t="n">
        <v>16</v>
      </c>
      <c r="Z106" s="44" t="n">
        <v>16.8</v>
      </c>
      <c r="AA106" s="42" t="n">
        <v>2020</v>
      </c>
      <c r="AB106" s="42" t="n">
        <v>5</v>
      </c>
      <c r="AC106" s="44" t="n">
        <v>18</v>
      </c>
      <c r="AD106" s="42" t="n">
        <v>1995</v>
      </c>
      <c r="AE106" s="42" t="n">
        <v>15</v>
      </c>
      <c r="AF106" s="44" t="n">
        <v>18.4</v>
      </c>
      <c r="AG106" s="42" t="n">
        <v>1996</v>
      </c>
      <c r="AH106" s="42" t="n">
        <v>15</v>
      </c>
      <c r="AI106" s="44" t="n">
        <v>18</v>
      </c>
      <c r="AJ106" s="42" t="n">
        <v>2020</v>
      </c>
      <c r="AK106" s="42" t="n">
        <v>3</v>
      </c>
      <c r="AL106" s="44" t="n">
        <v>17</v>
      </c>
      <c r="AM106" s="42" t="n">
        <v>1993</v>
      </c>
      <c r="AN106" s="42" t="n">
        <v>27</v>
      </c>
      <c r="AO106" s="44" t="n">
        <v>17</v>
      </c>
      <c r="AP106" s="42" t="n">
        <v>1996</v>
      </c>
      <c r="AQ106" s="42" t="n">
        <v>8</v>
      </c>
    </row>
    <row r="107" ht="14.45" customHeight="1">
      <c r="A107" s="42" t="n">
        <v>13095020</v>
      </c>
      <c r="B107" s="42" t="inlineStr">
        <is>
          <t>PRIMATES [13095020]</t>
        </is>
      </c>
      <c r="C107" s="42" t="n">
        <v>9.530138889</v>
      </c>
      <c r="D107" s="42" t="n">
        <v>-75.35136111</v>
      </c>
      <c r="E107" s="42" t="n">
        <v>200</v>
      </c>
      <c r="F107" s="42" t="inlineStr">
        <is>
          <t>Colosó</t>
        </is>
      </c>
      <c r="G107" s="42" t="inlineStr">
        <is>
          <t>Sucre</t>
        </is>
      </c>
      <c r="H107" s="44" t="n">
        <v>16</v>
      </c>
      <c r="I107" s="42" t="n">
        <v>1988</v>
      </c>
      <c r="J107" s="42" t="n">
        <v>3</v>
      </c>
      <c r="K107" s="44" t="n">
        <v>17</v>
      </c>
      <c r="L107" s="42" t="n">
        <v>1986</v>
      </c>
      <c r="M107" s="42" t="n">
        <v>7</v>
      </c>
      <c r="N107" s="44" t="n">
        <v>15.4</v>
      </c>
      <c r="O107" s="42" t="n">
        <v>1987</v>
      </c>
      <c r="P107" s="42" t="n">
        <v>25</v>
      </c>
      <c r="Q107" s="44" t="n">
        <v>16.2</v>
      </c>
      <c r="R107" s="42" t="n">
        <v>1987</v>
      </c>
      <c r="S107" s="42" t="n">
        <v>2</v>
      </c>
      <c r="T107" s="44" t="n">
        <v>15.6</v>
      </c>
      <c r="U107" s="42" t="n">
        <v>1989</v>
      </c>
      <c r="V107" s="42" t="n">
        <v>1</v>
      </c>
      <c r="W107" s="44" t="n">
        <v>16</v>
      </c>
      <c r="X107" s="42" t="n">
        <v>1989</v>
      </c>
      <c r="Y107" s="42" t="n">
        <v>13</v>
      </c>
      <c r="Z107" s="44" t="n">
        <v>16.6</v>
      </c>
      <c r="AA107" s="42" t="n">
        <v>1989</v>
      </c>
      <c r="AB107" s="42" t="n">
        <v>19</v>
      </c>
      <c r="AC107" s="44" t="n">
        <v>16</v>
      </c>
      <c r="AD107" s="42" t="n">
        <v>1989</v>
      </c>
      <c r="AE107" s="42" t="n">
        <v>11</v>
      </c>
      <c r="AF107" s="44" t="n">
        <v>15.6</v>
      </c>
      <c r="AG107" s="42" t="n">
        <v>1989</v>
      </c>
      <c r="AH107" s="42" t="n">
        <v>16</v>
      </c>
      <c r="AI107" s="44" t="n">
        <v>16.4</v>
      </c>
      <c r="AJ107" s="42" t="n">
        <v>1989</v>
      </c>
      <c r="AK107" s="42" t="n">
        <v>28</v>
      </c>
      <c r="AL107" s="44" t="n">
        <v>15.4</v>
      </c>
      <c r="AM107" s="42" t="n">
        <v>1989</v>
      </c>
      <c r="AN107" s="42" t="n">
        <v>27</v>
      </c>
      <c r="AO107" s="44" t="n">
        <v>15.2</v>
      </c>
      <c r="AP107" s="42" t="n">
        <v>1995</v>
      </c>
      <c r="AQ107" s="42" t="n">
        <v>4</v>
      </c>
    </row>
    <row r="108" ht="14.45" customHeight="1">
      <c r="A108" s="42" t="n">
        <v>23215030</v>
      </c>
      <c r="B108" s="42" t="inlineStr">
        <is>
          <t>AGUAS CLARAS [23215030]</t>
        </is>
      </c>
      <c r="C108" s="42" t="n">
        <v>8.228888889</v>
      </c>
      <c r="D108" s="42" t="n">
        <v>-73.60277778</v>
      </c>
      <c r="E108" s="42" t="n">
        <v>208</v>
      </c>
      <c r="F108" s="42" t="inlineStr">
        <is>
          <t>Aguachica</t>
        </is>
      </c>
      <c r="G108" s="42" t="inlineStr">
        <is>
          <t>Cesar</t>
        </is>
      </c>
      <c r="H108" s="44" t="n">
        <v>19</v>
      </c>
      <c r="I108" s="42" t="n">
        <v>1980</v>
      </c>
      <c r="J108" s="42" t="n">
        <v>13</v>
      </c>
      <c r="K108" s="44" t="n">
        <v>20</v>
      </c>
      <c r="L108" s="42" t="n">
        <v>1978</v>
      </c>
      <c r="M108" s="42" t="n">
        <v>20</v>
      </c>
      <c r="N108" s="44" t="n">
        <v>20</v>
      </c>
      <c r="O108" s="42" t="n">
        <v>1997</v>
      </c>
      <c r="P108" s="42" t="n">
        <v>25</v>
      </c>
      <c r="Q108" s="44" t="n">
        <v>19.4</v>
      </c>
      <c r="R108" s="42" t="n">
        <v>1982</v>
      </c>
      <c r="S108" s="42" t="n">
        <v>12</v>
      </c>
      <c r="T108" s="44" t="n">
        <v>19.8</v>
      </c>
      <c r="U108" s="42" t="n">
        <v>1998</v>
      </c>
      <c r="V108" s="42" t="n">
        <v>29</v>
      </c>
      <c r="W108" s="44" t="n">
        <v>19.2</v>
      </c>
      <c r="X108" s="42" t="n">
        <v>1996</v>
      </c>
      <c r="Y108" s="42" t="n">
        <v>5</v>
      </c>
      <c r="Z108" s="44" t="n">
        <v>18.6</v>
      </c>
      <c r="AA108" s="42" t="n">
        <v>1996</v>
      </c>
      <c r="AB108" s="42" t="n">
        <v>2</v>
      </c>
      <c r="AC108" s="44" t="n">
        <v>19.4</v>
      </c>
      <c r="AD108" s="42" t="n">
        <v>1996</v>
      </c>
      <c r="AE108" s="42" t="n">
        <v>2</v>
      </c>
      <c r="AF108" s="44" t="n">
        <v>18.2</v>
      </c>
      <c r="AG108" s="42" t="n">
        <v>1988</v>
      </c>
      <c r="AH108" s="42" t="n">
        <v>5</v>
      </c>
      <c r="AI108" s="44" t="n">
        <v>19.9</v>
      </c>
      <c r="AJ108" s="42" t="n">
        <v>1999</v>
      </c>
      <c r="AK108" s="42" t="n">
        <v>7</v>
      </c>
      <c r="AL108" s="44" t="n">
        <v>20</v>
      </c>
      <c r="AM108" s="42" t="n">
        <v>1987</v>
      </c>
      <c r="AN108" s="42" t="n">
        <v>28</v>
      </c>
      <c r="AO108" s="44" t="n">
        <v>19.2</v>
      </c>
      <c r="AP108" s="42" t="n">
        <v>1988</v>
      </c>
      <c r="AQ108" s="42" t="n">
        <v>20</v>
      </c>
    </row>
    <row r="109" ht="14.45" customHeight="1">
      <c r="A109" s="42" t="n">
        <v>31015010</v>
      </c>
      <c r="B109" s="42" t="inlineStr">
        <is>
          <t>EL TRUENO [31015010]</t>
        </is>
      </c>
      <c r="C109" s="42" t="n">
        <v>2.372592</v>
      </c>
      <c r="D109" s="42" t="n">
        <v>-72.639861</v>
      </c>
      <c r="E109" s="42" t="n">
        <v>216</v>
      </c>
      <c r="F109" s="42" t="inlineStr">
        <is>
          <t>El Retorno</t>
        </is>
      </c>
      <c r="G109" s="42" t="inlineStr">
        <is>
          <t>Guaviare</t>
        </is>
      </c>
      <c r="H109" s="44" t="n">
        <v>15.7</v>
      </c>
      <c r="I109" s="42" t="n">
        <v>1986</v>
      </c>
      <c r="J109" s="42" t="n">
        <v>16</v>
      </c>
      <c r="K109" s="44" t="n">
        <v>14.6</v>
      </c>
      <c r="L109" s="42" t="n">
        <v>1989</v>
      </c>
      <c r="M109" s="42" t="n">
        <v>16</v>
      </c>
      <c r="N109" s="44" t="n">
        <v>15</v>
      </c>
      <c r="O109" s="42" t="n">
        <v>1983</v>
      </c>
      <c r="P109" s="42" t="n">
        <v>24</v>
      </c>
      <c r="Q109" s="44" t="n">
        <v>16.5</v>
      </c>
      <c r="R109" s="42" t="n">
        <v>1985</v>
      </c>
      <c r="S109" s="42" t="n">
        <v>5</v>
      </c>
      <c r="T109" s="44" t="n">
        <v>15.5</v>
      </c>
      <c r="U109" s="42" t="n">
        <v>1985</v>
      </c>
      <c r="V109" s="42" t="n">
        <v>13</v>
      </c>
      <c r="W109" s="44" t="n">
        <v>14.8</v>
      </c>
      <c r="X109" s="42" t="n">
        <v>1985</v>
      </c>
      <c r="Y109" s="42" t="n">
        <v>10</v>
      </c>
      <c r="Z109" s="44" t="n">
        <v>15.2</v>
      </c>
      <c r="AA109" s="42" t="n">
        <v>1989</v>
      </c>
      <c r="AB109" s="42" t="n">
        <v>9</v>
      </c>
      <c r="AC109" s="44" t="n">
        <v>16</v>
      </c>
      <c r="AD109" s="42" t="n">
        <v>1999</v>
      </c>
      <c r="AE109" s="42" t="n">
        <v>17</v>
      </c>
      <c r="AF109" s="44" t="n">
        <v>15.8</v>
      </c>
      <c r="AG109" s="42" t="n">
        <v>1985</v>
      </c>
      <c r="AH109" s="42" t="n">
        <v>12</v>
      </c>
      <c r="AI109" s="44" t="n">
        <v>16.5</v>
      </c>
      <c r="AJ109" s="42" t="n">
        <v>1984</v>
      </c>
      <c r="AK109" s="42" t="n">
        <v>31</v>
      </c>
      <c r="AL109" s="44" t="n">
        <v>16.8</v>
      </c>
      <c r="AM109" s="42" t="n">
        <v>1985</v>
      </c>
      <c r="AN109" s="42" t="n">
        <v>16</v>
      </c>
      <c r="AO109" s="44" t="n">
        <v>15.4</v>
      </c>
      <c r="AP109" s="42" t="n">
        <v>1989</v>
      </c>
      <c r="AQ109" s="42" t="n">
        <v>21</v>
      </c>
    </row>
    <row r="110" ht="14.45" customHeight="1">
      <c r="A110" s="42" t="n">
        <v>44055010</v>
      </c>
      <c r="B110" s="42" t="inlineStr">
        <is>
          <t>TRES ESQUINAS [44055010]</t>
        </is>
      </c>
      <c r="C110" s="42" t="n">
        <v>0.7375</v>
      </c>
      <c r="D110" s="42" t="n">
        <v>-75.23611111</v>
      </c>
      <c r="E110" s="42" t="n">
        <v>219</v>
      </c>
      <c r="F110" s="42" t="inlineStr">
        <is>
          <t>Solano</t>
        </is>
      </c>
      <c r="G110" s="42" t="inlineStr">
        <is>
          <t>Caqueta</t>
        </is>
      </c>
      <c r="H110" s="44" t="n">
        <v>15</v>
      </c>
      <c r="I110" s="42" t="n">
        <v>1999</v>
      </c>
      <c r="J110" s="42" t="n">
        <v>22</v>
      </c>
      <c r="K110" s="44" t="n">
        <v>14.8</v>
      </c>
      <c r="L110" s="42" t="n">
        <v>1995</v>
      </c>
      <c r="M110" s="42" t="n">
        <v>16</v>
      </c>
      <c r="N110" s="44" t="n">
        <v>16.2</v>
      </c>
      <c r="O110" s="42" t="n">
        <v>2010</v>
      </c>
      <c r="P110" s="42" t="n">
        <v>23</v>
      </c>
      <c r="Q110" s="44" t="n">
        <v>14.2</v>
      </c>
      <c r="R110" s="42" t="n">
        <v>1995</v>
      </c>
      <c r="S110" s="42" t="n">
        <v>15</v>
      </c>
      <c r="T110" s="44" t="n">
        <v>16.4</v>
      </c>
      <c r="U110" s="42" t="n">
        <v>2008</v>
      </c>
      <c r="V110" s="42" t="n">
        <v>26</v>
      </c>
      <c r="W110" s="44" t="n">
        <v>14</v>
      </c>
      <c r="X110" s="42" t="n">
        <v>2021</v>
      </c>
      <c r="Y110" s="42" t="n">
        <v>23</v>
      </c>
      <c r="Z110" s="44" t="n">
        <v>14.9</v>
      </c>
      <c r="AA110" s="42" t="n">
        <v>2006</v>
      </c>
      <c r="AB110" s="42" t="n">
        <v>20</v>
      </c>
      <c r="AC110" s="44" t="n">
        <v>14.6</v>
      </c>
      <c r="AD110" s="42" t="n">
        <v>2005</v>
      </c>
      <c r="AE110" s="42" t="n">
        <v>12</v>
      </c>
      <c r="AF110" s="44" t="n">
        <v>15</v>
      </c>
      <c r="AG110" s="42" t="n">
        <v>2002</v>
      </c>
      <c r="AH110" s="42" t="n">
        <v>22</v>
      </c>
      <c r="AI110" s="44" t="n">
        <v>12.4</v>
      </c>
      <c r="AJ110" s="42" t="n">
        <v>2003</v>
      </c>
      <c r="AK110" s="42" t="n">
        <v>11</v>
      </c>
      <c r="AL110" s="44" t="n">
        <v>13.2</v>
      </c>
      <c r="AM110" s="42" t="n">
        <v>2003</v>
      </c>
      <c r="AN110" s="42" t="n">
        <v>29</v>
      </c>
      <c r="AO110" s="44" t="n">
        <v>14.8</v>
      </c>
      <c r="AP110" s="42" t="n">
        <v>1990</v>
      </c>
      <c r="AQ110" s="42" t="n">
        <v>24</v>
      </c>
    </row>
    <row r="111" ht="14.45" customHeight="1">
      <c r="A111" s="42" t="n">
        <v>32035010</v>
      </c>
      <c r="B111" s="42" t="inlineStr">
        <is>
          <t>LA MACARENA [32035010]</t>
        </is>
      </c>
      <c r="C111" s="42" t="n">
        <v>2.176139</v>
      </c>
      <c r="D111" s="42" t="n">
        <v>-73.79347199999999</v>
      </c>
      <c r="E111" s="42" t="n">
        <v>227</v>
      </c>
      <c r="F111" s="42" t="inlineStr">
        <is>
          <t>La Macarena</t>
        </is>
      </c>
      <c r="G111" s="42" t="inlineStr">
        <is>
          <t>Meta</t>
        </is>
      </c>
      <c r="H111" s="44" t="n">
        <v>15.8</v>
      </c>
      <c r="I111" s="42" t="n">
        <v>2010</v>
      </c>
      <c r="J111" s="42" t="n">
        <v>4</v>
      </c>
      <c r="K111" s="44" t="n">
        <v>15.2</v>
      </c>
      <c r="L111" s="42" t="n">
        <v>1996</v>
      </c>
      <c r="M111" s="42" t="n">
        <v>18</v>
      </c>
      <c r="N111" s="44" t="n">
        <v>17.6</v>
      </c>
      <c r="O111" s="42" t="n">
        <v>1984</v>
      </c>
      <c r="P111" s="42" t="n">
        <v>13</v>
      </c>
      <c r="Q111" s="44" t="n">
        <v>17.4</v>
      </c>
      <c r="R111" s="42" t="n">
        <v>1990</v>
      </c>
      <c r="S111" s="42" t="n">
        <v>26</v>
      </c>
      <c r="T111" s="44" t="n">
        <v>18</v>
      </c>
      <c r="U111" s="42" t="n">
        <v>1990</v>
      </c>
      <c r="V111" s="42" t="n">
        <v>1</v>
      </c>
      <c r="W111" s="44" t="n">
        <v>17</v>
      </c>
      <c r="X111" s="42" t="n">
        <v>1983</v>
      </c>
      <c r="Y111" s="42" t="n">
        <v>7</v>
      </c>
      <c r="Z111" s="44" t="n">
        <v>17</v>
      </c>
      <c r="AA111" s="42" t="n">
        <v>1990</v>
      </c>
      <c r="AB111" s="42" t="n">
        <v>26</v>
      </c>
      <c r="AC111" s="44" t="n">
        <v>17</v>
      </c>
      <c r="AD111" s="42" t="n">
        <v>1994</v>
      </c>
      <c r="AE111" s="42" t="n">
        <v>13</v>
      </c>
      <c r="AF111" s="44" t="n">
        <v>17.1</v>
      </c>
      <c r="AG111" s="42" t="n">
        <v>1983</v>
      </c>
      <c r="AH111" s="42" t="n">
        <v>9</v>
      </c>
      <c r="AI111" s="44" t="n">
        <v>16.5</v>
      </c>
      <c r="AJ111" s="42" t="n">
        <v>1983</v>
      </c>
      <c r="AK111" s="42" t="n">
        <v>26</v>
      </c>
      <c r="AL111" s="44" t="n">
        <v>18.6</v>
      </c>
      <c r="AM111" s="42" t="n">
        <v>1991</v>
      </c>
      <c r="AN111" s="42" t="n">
        <v>7</v>
      </c>
      <c r="AO111" s="44" t="n">
        <v>15</v>
      </c>
      <c r="AP111" s="42" t="n">
        <v>1983</v>
      </c>
      <c r="AQ111" s="42" t="n">
        <v>3</v>
      </c>
    </row>
    <row r="112" ht="14.45" customHeight="1">
      <c r="A112" s="42" t="n">
        <v>46015020</v>
      </c>
      <c r="B112" s="42" t="inlineStr">
        <is>
          <t>SANTA ROSA CAGUAN [46015020]</t>
        </is>
      </c>
      <c r="C112" s="42" t="n">
        <v>1.735472222</v>
      </c>
      <c r="D112" s="42" t="n">
        <v>-74.78505556</v>
      </c>
      <c r="E112" s="42" t="n">
        <v>240</v>
      </c>
      <c r="F112" s="42" t="inlineStr">
        <is>
          <t>San Vicente Del Caguán</t>
        </is>
      </c>
      <c r="G112" s="42" t="inlineStr">
        <is>
          <t>Caqueta</t>
        </is>
      </c>
      <c r="H112" s="44" t="n">
        <v>16.2</v>
      </c>
      <c r="I112" s="42" t="n">
        <v>1989</v>
      </c>
      <c r="J112" s="42" t="n">
        <v>11</v>
      </c>
      <c r="K112" s="44" t="n">
        <v>16</v>
      </c>
      <c r="L112" s="42" t="n">
        <v>1994</v>
      </c>
      <c r="M112" s="42" t="n">
        <v>14</v>
      </c>
      <c r="N112" s="44" t="n">
        <v>17</v>
      </c>
      <c r="O112" s="42" t="n">
        <v>1997</v>
      </c>
      <c r="P112" s="42" t="n">
        <v>6</v>
      </c>
      <c r="Q112" s="44" t="n">
        <v>20</v>
      </c>
      <c r="R112" s="42" t="n">
        <v>1989</v>
      </c>
      <c r="S112" s="42" t="n">
        <v>7</v>
      </c>
      <c r="T112" s="44" t="n">
        <v>19.6</v>
      </c>
      <c r="U112" s="42" t="n">
        <v>1989</v>
      </c>
      <c r="V112" s="42" t="n">
        <v>14</v>
      </c>
      <c r="W112" s="44" t="n">
        <v>17.4</v>
      </c>
      <c r="X112" s="42" t="n">
        <v>1985</v>
      </c>
      <c r="Y112" s="42" t="n">
        <v>12</v>
      </c>
      <c r="Z112" s="44" t="n">
        <v>17.2</v>
      </c>
      <c r="AA112" s="42" t="n">
        <v>1990</v>
      </c>
      <c r="AB112" s="42" t="n">
        <v>14</v>
      </c>
      <c r="AC112" s="44" t="n">
        <v>16</v>
      </c>
      <c r="AD112" s="42" t="n">
        <v>1999</v>
      </c>
      <c r="AE112" s="42" t="n">
        <v>17</v>
      </c>
      <c r="AF112" s="44" t="n">
        <v>17.2</v>
      </c>
      <c r="AG112" s="42" t="n">
        <v>1990</v>
      </c>
      <c r="AH112" s="42" t="n">
        <v>16</v>
      </c>
      <c r="AI112" s="44" t="n">
        <v>19</v>
      </c>
      <c r="AJ112" s="42" t="n">
        <v>1999</v>
      </c>
      <c r="AK112" s="42" t="n">
        <v>7</v>
      </c>
      <c r="AL112" s="44" t="n">
        <v>16.8</v>
      </c>
      <c r="AM112" s="42" t="n">
        <v>2022</v>
      </c>
      <c r="AN112" s="42" t="n">
        <v>4</v>
      </c>
      <c r="AO112" s="44" t="n">
        <v>16</v>
      </c>
      <c r="AP112" s="42" t="n">
        <v>1988</v>
      </c>
      <c r="AQ112" s="42" t="n">
        <v>21</v>
      </c>
    </row>
    <row r="113" ht="14.45" customHeight="1">
      <c r="A113" s="42" t="n">
        <v>32035020</v>
      </c>
      <c r="B113" s="42" t="inlineStr">
        <is>
          <t>LA BALSORA [32035020]</t>
        </is>
      </c>
      <c r="C113" s="42" t="n">
        <v>2.438389</v>
      </c>
      <c r="D113" s="42" t="n">
        <v>-73.932278</v>
      </c>
      <c r="E113" s="42" t="n">
        <v>249</v>
      </c>
      <c r="F113" s="42" t="inlineStr">
        <is>
          <t>La Macarena</t>
        </is>
      </c>
      <c r="G113" s="42" t="inlineStr">
        <is>
          <t>Meta</t>
        </is>
      </c>
      <c r="H113" s="44" t="n">
        <v>16.2</v>
      </c>
      <c r="I113" s="42" t="n">
        <v>1990</v>
      </c>
      <c r="J113" s="42" t="n">
        <v>17</v>
      </c>
      <c r="K113" s="44" t="n">
        <v>16.4</v>
      </c>
      <c r="L113" s="42" t="n">
        <v>1987</v>
      </c>
      <c r="M113" s="42" t="n">
        <v>16</v>
      </c>
      <c r="N113" s="44" t="n">
        <v>16</v>
      </c>
      <c r="O113" s="42" t="n">
        <v>1994</v>
      </c>
      <c r="P113" s="42" t="n">
        <v>19</v>
      </c>
      <c r="Q113" s="44" t="n">
        <v>16.4</v>
      </c>
      <c r="R113" s="42" t="n">
        <v>1993</v>
      </c>
      <c r="S113" s="42" t="n">
        <v>4</v>
      </c>
      <c r="T113" s="44" t="n">
        <v>16.4</v>
      </c>
      <c r="U113" s="42" t="n">
        <v>1994</v>
      </c>
      <c r="V113" s="42" t="n">
        <v>6</v>
      </c>
      <c r="W113" s="44" t="n">
        <v>16.4</v>
      </c>
      <c r="X113" s="42" t="n">
        <v>1991</v>
      </c>
      <c r="Y113" s="42" t="n">
        <v>11</v>
      </c>
      <c r="Z113" s="44" t="n">
        <v>16.4</v>
      </c>
      <c r="AA113" s="42" t="n">
        <v>1994</v>
      </c>
      <c r="AB113" s="42" t="n">
        <v>14</v>
      </c>
      <c r="AC113" s="44" t="n">
        <v>16</v>
      </c>
      <c r="AD113" s="42" t="n">
        <v>1993</v>
      </c>
      <c r="AE113" s="42" t="n">
        <v>30</v>
      </c>
      <c r="AF113" s="44" t="n">
        <v>16.4</v>
      </c>
      <c r="AG113" s="42" t="n">
        <v>1991</v>
      </c>
      <c r="AH113" s="42" t="n">
        <v>21</v>
      </c>
      <c r="AI113" s="44" t="n">
        <v>16.4</v>
      </c>
      <c r="AJ113" s="42" t="n">
        <v>1994</v>
      </c>
      <c r="AK113" s="42" t="n">
        <v>12</v>
      </c>
      <c r="AL113" s="44" t="n">
        <v>17.6</v>
      </c>
      <c r="AM113" s="42" t="n">
        <v>1990</v>
      </c>
      <c r="AN113" s="42" t="n">
        <v>15</v>
      </c>
      <c r="AO113" s="44" t="n">
        <v>16.2</v>
      </c>
      <c r="AP113" s="42" t="n">
        <v>1990</v>
      </c>
      <c r="AQ113" s="42" t="n">
        <v>19</v>
      </c>
    </row>
    <row r="114" ht="14.45" customHeight="1">
      <c r="A114" s="42" t="n">
        <v>16015010</v>
      </c>
      <c r="B114" s="42" t="inlineStr">
        <is>
          <t>AEROPUERTO CAMILO DAZA [16015010]</t>
        </is>
      </c>
      <c r="C114" s="42" t="n">
        <v>7.930277778</v>
      </c>
      <c r="D114" s="42" t="n">
        <v>-72.50916667</v>
      </c>
      <c r="E114" s="42" t="n">
        <v>250</v>
      </c>
      <c r="F114" s="42" t="inlineStr">
        <is>
          <t>Cúcuta</t>
        </is>
      </c>
      <c r="G114" s="42" t="inlineStr">
        <is>
          <t>Norte De Santander</t>
        </is>
      </c>
      <c r="H114" s="44" t="n">
        <v>16.6</v>
      </c>
      <c r="I114" s="42" t="n">
        <v>1993</v>
      </c>
      <c r="J114" s="42" t="n">
        <v>9</v>
      </c>
      <c r="K114" s="44" t="n">
        <v>16</v>
      </c>
      <c r="L114" s="42" t="n">
        <v>1989</v>
      </c>
      <c r="M114" s="42" t="n">
        <v>18</v>
      </c>
      <c r="N114" s="44" t="n">
        <v>18</v>
      </c>
      <c r="O114" s="42" t="n">
        <v>1986</v>
      </c>
      <c r="P114" s="42" t="n">
        <v>9</v>
      </c>
      <c r="Q114" s="44" t="n">
        <v>18.8</v>
      </c>
      <c r="R114" s="42" t="n">
        <v>1989</v>
      </c>
      <c r="S114" s="42" t="n">
        <v>24</v>
      </c>
      <c r="T114" s="44" t="n">
        <v>18</v>
      </c>
      <c r="U114" s="42" t="n">
        <v>1987</v>
      </c>
      <c r="V114" s="42" t="n">
        <v>25</v>
      </c>
      <c r="W114" s="44" t="n">
        <v>17.4</v>
      </c>
      <c r="X114" s="42" t="n">
        <v>1990</v>
      </c>
      <c r="Y114" s="42" t="n">
        <v>3</v>
      </c>
      <c r="Z114" s="44" t="n">
        <v>19</v>
      </c>
      <c r="AA114" s="42" t="n">
        <v>1981</v>
      </c>
      <c r="AB114" s="42" t="n">
        <v>3</v>
      </c>
      <c r="AC114" s="44" t="n">
        <v>18.8</v>
      </c>
      <c r="AD114" s="42" t="n">
        <v>1986</v>
      </c>
      <c r="AE114" s="42" t="n">
        <v>22</v>
      </c>
      <c r="AF114" s="44" t="n">
        <v>18.6</v>
      </c>
      <c r="AG114" s="42" t="n">
        <v>1986</v>
      </c>
      <c r="AH114" s="42" t="n">
        <v>26</v>
      </c>
      <c r="AI114" s="44" t="n">
        <v>18.8</v>
      </c>
      <c r="AJ114" s="42" t="n">
        <v>1986</v>
      </c>
      <c r="AK114" s="42" t="n">
        <v>6</v>
      </c>
      <c r="AL114" s="44" t="n">
        <v>18</v>
      </c>
      <c r="AM114" s="42" t="n">
        <v>1977</v>
      </c>
      <c r="AN114" s="42" t="n">
        <v>30</v>
      </c>
      <c r="AO114" s="44" t="n">
        <v>16.8</v>
      </c>
      <c r="AP114" s="42" t="n">
        <v>1988</v>
      </c>
      <c r="AQ114" s="42" t="n">
        <v>16</v>
      </c>
    </row>
    <row r="115" ht="14.45" customHeight="1">
      <c r="A115" s="42" t="n">
        <v>28015070</v>
      </c>
      <c r="B115" s="42" t="inlineStr">
        <is>
          <t>URUMITA AUT [28015070]</t>
        </is>
      </c>
      <c r="C115" s="42" t="n">
        <v>10.56638889</v>
      </c>
      <c r="D115" s="42" t="n">
        <v>-73.01638889</v>
      </c>
      <c r="E115" s="42" t="n">
        <v>255</v>
      </c>
      <c r="F115" s="42" t="inlineStr">
        <is>
          <t>Urumita</t>
        </is>
      </c>
      <c r="G115" s="42" t="inlineStr">
        <is>
          <t>La Guajira</t>
        </is>
      </c>
      <c r="H115" s="44" t="n">
        <v>15.4</v>
      </c>
      <c r="I115" s="42" t="n">
        <v>2000</v>
      </c>
      <c r="J115" s="42" t="n">
        <v>14</v>
      </c>
      <c r="K115" s="44" t="n">
        <v>16.5</v>
      </c>
      <c r="L115" s="42" t="n">
        <v>2007</v>
      </c>
      <c r="M115" s="42" t="n">
        <v>20</v>
      </c>
      <c r="N115" s="44" t="n">
        <v>17</v>
      </c>
      <c r="O115" s="42" t="n">
        <v>2008</v>
      </c>
      <c r="P115" s="42" t="n">
        <v>1</v>
      </c>
      <c r="Q115" s="44" t="n">
        <v>18</v>
      </c>
      <c r="R115" s="42" t="n">
        <v>1979</v>
      </c>
      <c r="S115" s="42" t="n">
        <v>28</v>
      </c>
      <c r="T115" s="44" t="n">
        <v>16.8</v>
      </c>
      <c r="U115" s="42" t="n">
        <v>2008</v>
      </c>
      <c r="V115" s="42" t="n">
        <v>24</v>
      </c>
      <c r="W115" s="44" t="n">
        <v>16.5</v>
      </c>
      <c r="X115" s="42" t="n">
        <v>2008</v>
      </c>
      <c r="Y115" s="42" t="n">
        <v>27</v>
      </c>
      <c r="Z115" s="44" t="n">
        <v>16</v>
      </c>
      <c r="AA115" s="42" t="n">
        <v>2008</v>
      </c>
      <c r="AB115" s="42" t="n">
        <v>17</v>
      </c>
      <c r="AC115" s="44" t="n">
        <v>18.5</v>
      </c>
      <c r="AD115" s="42" t="n">
        <v>1984</v>
      </c>
      <c r="AE115" s="42" t="n">
        <v>19</v>
      </c>
      <c r="AF115" s="44" t="n">
        <v>18.5</v>
      </c>
      <c r="AG115" s="42" t="n">
        <v>1999</v>
      </c>
      <c r="AH115" s="42" t="n">
        <v>27</v>
      </c>
      <c r="AI115" s="44" t="n">
        <v>16.4</v>
      </c>
      <c r="AJ115" s="42" t="n">
        <v>1990</v>
      </c>
      <c r="AK115" s="42" t="n">
        <v>25</v>
      </c>
      <c r="AL115" s="44" t="n">
        <v>18.5</v>
      </c>
      <c r="AM115" s="42" t="n">
        <v>2007</v>
      </c>
      <c r="AN115" s="42" t="n">
        <v>23</v>
      </c>
      <c r="AO115" s="44" t="n">
        <v>17.2</v>
      </c>
      <c r="AP115" s="42" t="n">
        <v>2018</v>
      </c>
      <c r="AQ115" s="42" t="n">
        <v>9</v>
      </c>
    </row>
    <row r="116" ht="14.45" customHeight="1">
      <c r="A116" s="42" t="n">
        <v>44045020</v>
      </c>
      <c r="B116" s="42" t="inlineStr">
        <is>
          <t>VALPARAISO [44045020]</t>
        </is>
      </c>
      <c r="C116" s="42" t="n">
        <v>1.19525</v>
      </c>
      <c r="D116" s="42" t="n">
        <v>-75.70447222</v>
      </c>
      <c r="E116" s="42" t="n">
        <v>270</v>
      </c>
      <c r="F116" s="42" t="inlineStr">
        <is>
          <t>Valparaíso</t>
        </is>
      </c>
      <c r="G116" s="42" t="inlineStr">
        <is>
          <t>Caqueta</t>
        </is>
      </c>
      <c r="H116" s="44" t="n">
        <v>18</v>
      </c>
      <c r="I116" s="42" t="n">
        <v>1985</v>
      </c>
      <c r="J116" s="42" t="n">
        <v>24</v>
      </c>
      <c r="K116" s="44" t="n">
        <v>17.4</v>
      </c>
      <c r="L116" s="42" t="n">
        <v>1985</v>
      </c>
      <c r="M116" s="42" t="n">
        <v>5</v>
      </c>
      <c r="N116" s="44" t="n">
        <v>19</v>
      </c>
      <c r="O116" s="42" t="n">
        <v>1984</v>
      </c>
      <c r="P116" s="42" t="n">
        <v>3</v>
      </c>
      <c r="Q116" s="44" t="n">
        <v>19.2</v>
      </c>
      <c r="R116" s="42" t="n">
        <v>1995</v>
      </c>
      <c r="S116" s="42" t="n">
        <v>27</v>
      </c>
      <c r="T116" s="44" t="n">
        <v>18.4</v>
      </c>
      <c r="U116" s="42" t="n">
        <v>1984</v>
      </c>
      <c r="V116" s="42" t="n">
        <v>3</v>
      </c>
      <c r="W116" s="44" t="n">
        <v>15</v>
      </c>
      <c r="X116" s="42" t="n">
        <v>1985</v>
      </c>
      <c r="Y116" s="42" t="n">
        <v>11</v>
      </c>
      <c r="Z116" s="44" t="n">
        <v>17.6</v>
      </c>
      <c r="AA116" s="42" t="n">
        <v>1994</v>
      </c>
      <c r="AB116" s="42" t="n">
        <v>11</v>
      </c>
      <c r="AC116" s="44" t="n">
        <v>16.8</v>
      </c>
      <c r="AD116" s="42" t="n">
        <v>1999</v>
      </c>
      <c r="AE116" s="42" t="n">
        <v>17</v>
      </c>
      <c r="AF116" s="44" t="n">
        <v>17.6</v>
      </c>
      <c r="AG116" s="42" t="n">
        <v>1990</v>
      </c>
      <c r="AH116" s="42" t="n">
        <v>16</v>
      </c>
      <c r="AI116" s="44" t="n">
        <v>19</v>
      </c>
      <c r="AJ116" s="42" t="n">
        <v>1983</v>
      </c>
      <c r="AK116" s="42" t="n">
        <v>25</v>
      </c>
      <c r="AL116" s="44" t="n">
        <v>17.8</v>
      </c>
      <c r="AM116" s="42" t="n">
        <v>2022</v>
      </c>
      <c r="AN116" s="42" t="n">
        <v>4</v>
      </c>
      <c r="AO116" s="44" t="n">
        <v>19</v>
      </c>
      <c r="AP116" s="42" t="n">
        <v>1977</v>
      </c>
      <c r="AQ116" s="42" t="n">
        <v>5</v>
      </c>
    </row>
    <row r="117" ht="14.45" customHeight="1">
      <c r="A117" s="42" t="n">
        <v>3502500006</v>
      </c>
      <c r="B117" s="42" t="inlineStr">
        <is>
          <t>MORICHAL   [3502500006]</t>
        </is>
      </c>
      <c r="C117" s="42" t="n">
        <v>3.932547222</v>
      </c>
      <c r="D117" s="42" t="n">
        <v>-73.24296388899999</v>
      </c>
      <c r="E117" s="42" t="n">
        <v>277</v>
      </c>
      <c r="F117" s="42" t="inlineStr">
        <is>
          <t>San Carlos De Guaroa</t>
        </is>
      </c>
      <c r="G117" s="42" t="inlineStr">
        <is>
          <t>Meta</t>
        </is>
      </c>
      <c r="H117" s="44" t="n">
        <v>17</v>
      </c>
      <c r="I117" s="42" t="n">
        <v>2023</v>
      </c>
      <c r="J117" s="42" t="n">
        <v>30</v>
      </c>
      <c r="K117" s="44" t="n">
        <v>17.2</v>
      </c>
      <c r="L117" s="42" t="n">
        <v>2020</v>
      </c>
      <c r="M117" s="42" t="n">
        <v>13</v>
      </c>
      <c r="N117" s="44" t="n">
        <v>18.6</v>
      </c>
      <c r="O117" s="42" t="n">
        <v>2020</v>
      </c>
      <c r="P117" s="42" t="n">
        <v>6</v>
      </c>
      <c r="Q117" s="44" t="n">
        <v>20</v>
      </c>
      <c r="R117" s="42" t="n">
        <v>2018</v>
      </c>
      <c r="S117" s="42" t="n">
        <v>3</v>
      </c>
      <c r="T117" s="44" t="n">
        <v>19</v>
      </c>
      <c r="U117" s="42" t="n">
        <v>2022</v>
      </c>
      <c r="V117" s="42" t="n">
        <v>22</v>
      </c>
      <c r="W117" s="44" t="n">
        <v>17.8</v>
      </c>
      <c r="X117" s="42" t="n">
        <v>2022</v>
      </c>
      <c r="Y117" s="42" t="n">
        <v>19</v>
      </c>
      <c r="Z117" s="44" t="n">
        <v>19.2</v>
      </c>
      <c r="AA117" s="42" t="n">
        <v>2019</v>
      </c>
      <c r="AB117" s="42" t="n">
        <v>22</v>
      </c>
      <c r="AC117" s="44" t="n">
        <v>18.8</v>
      </c>
      <c r="AD117" s="42" t="n">
        <v>2022</v>
      </c>
      <c r="AE117" s="42" t="n">
        <v>23</v>
      </c>
      <c r="AF117" s="44" t="n">
        <v>19</v>
      </c>
      <c r="AG117" s="42" t="n">
        <v>2020</v>
      </c>
      <c r="AH117" s="42" t="n">
        <v>17</v>
      </c>
      <c r="AI117" s="44" t="n">
        <v>18.6</v>
      </c>
      <c r="AJ117" s="42" t="n">
        <v>2022</v>
      </c>
      <c r="AK117" s="42" t="n">
        <v>30</v>
      </c>
      <c r="AL117" s="44" t="n">
        <v>16.8</v>
      </c>
      <c r="AM117" s="42" t="n">
        <v>2022</v>
      </c>
      <c r="AN117" s="42" t="n">
        <v>4</v>
      </c>
      <c r="AO117" s="44" t="n">
        <v>18</v>
      </c>
      <c r="AP117" s="42" t="n">
        <v>2025</v>
      </c>
      <c r="AQ117" s="42" t="n">
        <v>28</v>
      </c>
    </row>
    <row r="118" ht="14.45" customHeight="1">
      <c r="A118" s="42" t="n">
        <v>44035030</v>
      </c>
      <c r="B118" s="42" t="inlineStr">
        <is>
          <t>MACAGUAL [44035030]</t>
        </is>
      </c>
      <c r="C118" s="42" t="n">
        <v>1.5</v>
      </c>
      <c r="D118" s="42" t="n">
        <v>-75.66</v>
      </c>
      <c r="E118" s="42" t="n">
        <v>280</v>
      </c>
      <c r="F118" s="42" t="inlineStr">
        <is>
          <t>Florencia</t>
        </is>
      </c>
      <c r="G118" s="42" t="inlineStr">
        <is>
          <t>Caqueta</t>
        </is>
      </c>
      <c r="H118" s="44" t="n">
        <v>17</v>
      </c>
      <c r="I118" s="42" t="n">
        <v>1984</v>
      </c>
      <c r="J118" s="42" t="n">
        <v>29</v>
      </c>
      <c r="K118" s="44" t="n">
        <v>17.2</v>
      </c>
      <c r="L118" s="42" t="n">
        <v>1995</v>
      </c>
      <c r="M118" s="42" t="n">
        <v>16</v>
      </c>
      <c r="N118" s="44" t="n">
        <v>19</v>
      </c>
      <c r="O118" s="42" t="n">
        <v>1984</v>
      </c>
      <c r="P118" s="42" t="n">
        <v>26</v>
      </c>
      <c r="Q118" s="44" t="n">
        <v>17.5</v>
      </c>
      <c r="R118" s="42" t="n">
        <v>1990</v>
      </c>
      <c r="S118" s="42" t="n">
        <v>21</v>
      </c>
      <c r="T118" s="44" t="n">
        <v>17.5</v>
      </c>
      <c r="U118" s="42" t="n">
        <v>1990</v>
      </c>
      <c r="V118" s="42" t="n">
        <v>31</v>
      </c>
      <c r="W118" s="44" t="n">
        <v>16</v>
      </c>
      <c r="X118" s="42" t="n">
        <v>1985</v>
      </c>
      <c r="Y118" s="42" t="n">
        <v>11</v>
      </c>
      <c r="Z118" s="44" t="n">
        <v>16</v>
      </c>
      <c r="AA118" s="42" t="n">
        <v>1986</v>
      </c>
      <c r="AB118" s="42" t="n">
        <v>4</v>
      </c>
      <c r="AC118" s="44" t="n">
        <v>16</v>
      </c>
      <c r="AD118" s="42" t="n">
        <v>1999</v>
      </c>
      <c r="AE118" s="42" t="n">
        <v>16</v>
      </c>
      <c r="AF118" s="44" t="n">
        <v>16.5</v>
      </c>
      <c r="AG118" s="42" t="n">
        <v>1983</v>
      </c>
      <c r="AH118" s="42" t="n">
        <v>4</v>
      </c>
      <c r="AI118" s="44" t="n">
        <v>18</v>
      </c>
      <c r="AJ118" s="42" t="n">
        <v>1986</v>
      </c>
      <c r="AK118" s="42" t="n">
        <v>6</v>
      </c>
      <c r="AL118" s="44" t="n">
        <v>16.5</v>
      </c>
      <c r="AM118" s="42" t="n">
        <v>1982</v>
      </c>
      <c r="AN118" s="42" t="n">
        <v>25</v>
      </c>
      <c r="AO118" s="44" t="n">
        <v>16.3</v>
      </c>
      <c r="AP118" s="42" t="n">
        <v>1989</v>
      </c>
      <c r="AQ118" s="42" t="n">
        <v>23</v>
      </c>
    </row>
    <row r="119" ht="14.45" customHeight="1">
      <c r="A119" s="42" t="n">
        <v>16025010</v>
      </c>
      <c r="B119" s="42" t="inlineStr">
        <is>
          <t>CARMEN DE TONCHALA [16025010]</t>
        </is>
      </c>
      <c r="C119" s="42" t="n">
        <v>7.848888889</v>
      </c>
      <c r="D119" s="42" t="n">
        <v>-72.56611110999999</v>
      </c>
      <c r="E119" s="42" t="n">
        <v>285</v>
      </c>
      <c r="F119" s="42" t="inlineStr">
        <is>
          <t>Cúcuta</t>
        </is>
      </c>
      <c r="G119" s="42" t="inlineStr">
        <is>
          <t>Norte De Santander</t>
        </is>
      </c>
      <c r="H119" s="44" t="n">
        <v>15.6</v>
      </c>
      <c r="I119" s="42" t="n">
        <v>2023</v>
      </c>
      <c r="J119" s="42" t="n">
        <v>26</v>
      </c>
      <c r="K119" s="44" t="n">
        <v>14.6</v>
      </c>
      <c r="L119" s="42" t="n">
        <v>1985</v>
      </c>
      <c r="M119" s="42" t="n">
        <v>6</v>
      </c>
      <c r="N119" s="44" t="n">
        <v>16.8</v>
      </c>
      <c r="O119" s="42" t="n">
        <v>1997</v>
      </c>
      <c r="P119" s="42" t="n">
        <v>5</v>
      </c>
      <c r="Q119" s="44" t="n">
        <v>17</v>
      </c>
      <c r="R119" s="42" t="n">
        <v>1987</v>
      </c>
      <c r="S119" s="42" t="n">
        <v>14</v>
      </c>
      <c r="T119" s="44" t="n">
        <v>18.4</v>
      </c>
      <c r="U119" s="42" t="n">
        <v>2006</v>
      </c>
      <c r="V119" s="42" t="n">
        <v>20</v>
      </c>
      <c r="W119" s="44" t="n">
        <v>16.8</v>
      </c>
      <c r="X119" s="42" t="n">
        <v>1989</v>
      </c>
      <c r="Y119" s="42" t="n">
        <v>27</v>
      </c>
      <c r="Z119" s="44" t="n">
        <v>17</v>
      </c>
      <c r="AA119" s="42" t="n">
        <v>1989</v>
      </c>
      <c r="AB119" s="42" t="n">
        <v>3</v>
      </c>
      <c r="AC119" s="44" t="n">
        <v>18</v>
      </c>
      <c r="AD119" s="42" t="n">
        <v>1985</v>
      </c>
      <c r="AE119" s="42" t="n">
        <v>1</v>
      </c>
      <c r="AF119" s="44" t="n">
        <v>19</v>
      </c>
      <c r="AG119" s="42" t="n">
        <v>1988</v>
      </c>
      <c r="AH119" s="42" t="n">
        <v>24</v>
      </c>
      <c r="AI119" s="44" t="n">
        <v>18</v>
      </c>
      <c r="AJ119" s="42" t="n">
        <v>1991</v>
      </c>
      <c r="AK119" s="42" t="n">
        <v>19</v>
      </c>
      <c r="AL119" s="44" t="n">
        <v>17</v>
      </c>
      <c r="AM119" s="42" t="n">
        <v>1985</v>
      </c>
      <c r="AN119" s="42" t="n">
        <v>25</v>
      </c>
      <c r="AO119" s="44" t="n">
        <v>15.4</v>
      </c>
      <c r="AP119" s="42" t="n">
        <v>1983</v>
      </c>
      <c r="AQ119" s="42" t="n">
        <v>30</v>
      </c>
    </row>
    <row r="120" ht="14.45" customHeight="1">
      <c r="A120" s="42" t="n">
        <v>21235010</v>
      </c>
      <c r="B120" s="42" t="inlineStr">
        <is>
          <t>JERUSALEN [21235010]</t>
        </is>
      </c>
      <c r="C120" s="42" t="n">
        <v>4.561805556</v>
      </c>
      <c r="D120" s="42" t="n">
        <v>-74.70238888999999</v>
      </c>
      <c r="E120" s="42" t="n">
        <v>297</v>
      </c>
      <c r="F120" s="42" t="inlineStr">
        <is>
          <t>Jerusalén</t>
        </is>
      </c>
      <c r="G120" s="42" t="inlineStr">
        <is>
          <t>Cundinamarca</t>
        </is>
      </c>
      <c r="H120" s="44" t="n">
        <v>17.4</v>
      </c>
      <c r="I120" s="42" t="n">
        <v>1992</v>
      </c>
      <c r="J120" s="42" t="n">
        <v>1</v>
      </c>
      <c r="K120" s="44" t="n">
        <v>17.2</v>
      </c>
      <c r="L120" s="42" t="n">
        <v>1982</v>
      </c>
      <c r="M120" s="42" t="n">
        <v>17</v>
      </c>
      <c r="N120" s="44" t="n">
        <v>18</v>
      </c>
      <c r="O120" s="42" t="n">
        <v>1982</v>
      </c>
      <c r="P120" s="42" t="n">
        <v>20</v>
      </c>
      <c r="Q120" s="44" t="n">
        <v>17.4</v>
      </c>
      <c r="R120" s="42" t="n">
        <v>1992</v>
      </c>
      <c r="S120" s="42" t="n">
        <v>13</v>
      </c>
      <c r="T120" s="44" t="n">
        <v>17.4</v>
      </c>
      <c r="U120" s="42" t="n">
        <v>1995</v>
      </c>
      <c r="V120" s="42" t="n">
        <v>15</v>
      </c>
      <c r="W120" s="44" t="n">
        <v>17.2</v>
      </c>
      <c r="X120" s="42" t="n">
        <v>2008</v>
      </c>
      <c r="Y120" s="42" t="n">
        <v>23</v>
      </c>
      <c r="Z120" s="44" t="n">
        <v>18</v>
      </c>
      <c r="AA120" s="42" t="n">
        <v>1982</v>
      </c>
      <c r="AB120" s="42" t="n">
        <v>13</v>
      </c>
      <c r="AC120" s="44" t="n">
        <v>18</v>
      </c>
      <c r="AD120" s="42" t="n">
        <v>1978</v>
      </c>
      <c r="AE120" s="42" t="n">
        <v>22</v>
      </c>
      <c r="AF120" s="44" t="n">
        <v>17.4</v>
      </c>
      <c r="AG120" s="42" t="n">
        <v>2008</v>
      </c>
      <c r="AH120" s="42" t="n">
        <v>26</v>
      </c>
      <c r="AI120" s="44" t="n">
        <v>17.4</v>
      </c>
      <c r="AJ120" s="42" t="n">
        <v>1991</v>
      </c>
      <c r="AK120" s="42" t="n">
        <v>21</v>
      </c>
      <c r="AL120" s="44" t="n">
        <v>18</v>
      </c>
      <c r="AM120" s="42" t="n">
        <v>1983</v>
      </c>
      <c r="AN120" s="42" t="n">
        <v>4</v>
      </c>
      <c r="AO120" s="44" t="n">
        <v>17.2</v>
      </c>
      <c r="AP120" s="42" t="n">
        <v>1983</v>
      </c>
      <c r="AQ120" s="42" t="n">
        <v>19</v>
      </c>
    </row>
    <row r="121" ht="14.45" customHeight="1">
      <c r="A121" s="42" t="n">
        <v>13015040</v>
      </c>
      <c r="B121" s="42" t="inlineStr">
        <is>
          <t>REPRESA URRA [13015040]</t>
        </is>
      </c>
      <c r="C121" s="42" t="n">
        <v>8.014166667</v>
      </c>
      <c r="D121" s="42" t="n">
        <v>-76.20305556</v>
      </c>
      <c r="E121" s="42" t="n">
        <v>300</v>
      </c>
      <c r="F121" s="42" t="inlineStr">
        <is>
          <t>Tierralta</t>
        </is>
      </c>
      <c r="G121" s="42" t="inlineStr">
        <is>
          <t>Cordoba</t>
        </is>
      </c>
      <c r="H121" s="44" t="n">
        <v>20</v>
      </c>
      <c r="I121" s="42" t="n">
        <v>2022</v>
      </c>
      <c r="J121" s="42" t="n">
        <v>31</v>
      </c>
      <c r="K121" s="44" t="n">
        <v>19.9</v>
      </c>
      <c r="L121" s="42" t="n">
        <v>2006</v>
      </c>
      <c r="M121" s="42" t="n">
        <v>5</v>
      </c>
      <c r="N121" s="44" t="n">
        <v>19.6</v>
      </c>
      <c r="O121" s="42" t="n">
        <v>2009</v>
      </c>
      <c r="P121" s="42" t="n">
        <v>7</v>
      </c>
      <c r="Q121" s="44" t="n">
        <v>18.8</v>
      </c>
      <c r="R121" s="42" t="n">
        <v>2009</v>
      </c>
      <c r="S121" s="42" t="n">
        <v>11</v>
      </c>
      <c r="T121" s="44" t="n">
        <v>19.4</v>
      </c>
      <c r="U121" s="42" t="n">
        <v>2008</v>
      </c>
      <c r="V121" s="42" t="n">
        <v>3</v>
      </c>
      <c r="W121" s="44" t="n">
        <v>19.6</v>
      </c>
      <c r="X121" s="42" t="n">
        <v>2007</v>
      </c>
      <c r="Y121" s="42" t="n">
        <v>3</v>
      </c>
      <c r="Z121" s="44" t="n">
        <v>19</v>
      </c>
      <c r="AA121" s="42" t="n">
        <v>2008</v>
      </c>
      <c r="AB121" s="42" t="n">
        <v>20</v>
      </c>
      <c r="AC121" s="44" t="n">
        <v>19.4</v>
      </c>
      <c r="AD121" s="42" t="n">
        <v>2007</v>
      </c>
      <c r="AE121" s="42" t="n">
        <v>4</v>
      </c>
      <c r="AF121" s="44" t="n">
        <v>19</v>
      </c>
      <c r="AG121" s="42" t="n">
        <v>2008</v>
      </c>
      <c r="AH121" s="42" t="n">
        <v>21</v>
      </c>
      <c r="AI121" s="44" t="n">
        <v>19.2</v>
      </c>
      <c r="AJ121" s="42" t="n">
        <v>2008</v>
      </c>
      <c r="AK121" s="42" t="n">
        <v>11</v>
      </c>
      <c r="AL121" s="44" t="n">
        <v>20</v>
      </c>
      <c r="AM121" s="42" t="n">
        <v>2005</v>
      </c>
      <c r="AN121" s="42" t="n">
        <v>19</v>
      </c>
      <c r="AO121" s="44" t="n">
        <v>19.8</v>
      </c>
      <c r="AP121" s="42" t="n">
        <v>2008</v>
      </c>
      <c r="AQ121" s="42" t="n">
        <v>12</v>
      </c>
    </row>
    <row r="122" ht="14.45" customHeight="1">
      <c r="A122" s="42" t="n">
        <v>44045030</v>
      </c>
      <c r="B122" s="42" t="inlineStr">
        <is>
          <t>MONO LA [44045030]</t>
        </is>
      </c>
      <c r="C122" s="42" t="n">
        <v>1.303361111</v>
      </c>
      <c r="D122" s="42" t="n">
        <v>-75.807722222</v>
      </c>
      <c r="E122" s="42" t="n">
        <v>300</v>
      </c>
      <c r="F122" s="42" t="inlineStr">
        <is>
          <t>Belén De Los Andaquíes</t>
        </is>
      </c>
      <c r="G122" s="42" t="inlineStr">
        <is>
          <t>Caqueta</t>
        </is>
      </c>
      <c r="H122" s="44" t="n">
        <v>16.6</v>
      </c>
      <c r="I122" s="42" t="n">
        <v>1993</v>
      </c>
      <c r="J122" s="42" t="n">
        <v>21</v>
      </c>
      <c r="K122" s="44" t="n">
        <v>14</v>
      </c>
      <c r="L122" s="42" t="n">
        <v>1996</v>
      </c>
      <c r="M122" s="42" t="n">
        <v>15</v>
      </c>
      <c r="N122" s="44" t="n">
        <v>18</v>
      </c>
      <c r="O122" s="42" t="n">
        <v>1993</v>
      </c>
      <c r="P122" s="42" t="n">
        <v>9</v>
      </c>
      <c r="Q122" s="44" t="n">
        <v>17.6</v>
      </c>
      <c r="R122" s="42" t="n">
        <v>1992</v>
      </c>
      <c r="S122" s="42" t="n">
        <v>29</v>
      </c>
      <c r="T122" s="44" t="n">
        <v>18</v>
      </c>
      <c r="U122" s="42" t="n">
        <v>1989</v>
      </c>
      <c r="V122" s="42" t="n">
        <v>22</v>
      </c>
      <c r="W122" s="44" t="n">
        <v>17</v>
      </c>
      <c r="X122" s="42" t="n">
        <v>1985</v>
      </c>
      <c r="Y122" s="42" t="n">
        <v>10</v>
      </c>
      <c r="Z122" s="44" t="n">
        <v>16.2</v>
      </c>
      <c r="AA122" s="42" t="n">
        <v>1986</v>
      </c>
      <c r="AB122" s="42" t="n">
        <v>3</v>
      </c>
      <c r="AC122" s="44" t="n">
        <v>16</v>
      </c>
      <c r="AD122" s="42" t="n">
        <v>1999</v>
      </c>
      <c r="AE122" s="42" t="n">
        <v>17</v>
      </c>
      <c r="AF122" s="44" t="n">
        <v>14</v>
      </c>
      <c r="AG122" s="42" t="n">
        <v>1988</v>
      </c>
      <c r="AH122" s="42" t="n">
        <v>17</v>
      </c>
      <c r="AI122" s="44" t="n">
        <v>18</v>
      </c>
      <c r="AJ122" s="42" t="n">
        <v>1983</v>
      </c>
      <c r="AK122" s="42" t="n">
        <v>16</v>
      </c>
      <c r="AL122" s="44" t="n">
        <v>17.6</v>
      </c>
      <c r="AM122" s="42" t="n">
        <v>1983</v>
      </c>
      <c r="AN122" s="42" t="n">
        <v>25</v>
      </c>
      <c r="AO122" s="44" t="n">
        <v>18</v>
      </c>
      <c r="AP122" s="42" t="n">
        <v>1991</v>
      </c>
      <c r="AQ122" s="42" t="n">
        <v>17</v>
      </c>
    </row>
    <row r="123" ht="14.45" customHeight="1">
      <c r="A123" s="42" t="n">
        <v>21185040</v>
      </c>
      <c r="B123" s="42" t="inlineStr">
        <is>
          <t>AEROPUERTO SANTIAGO VILA [21185040]</t>
        </is>
      </c>
      <c r="C123" s="42" t="n">
        <v>4.275444444</v>
      </c>
      <c r="D123" s="42" t="n">
        <v>-74.798</v>
      </c>
      <c r="E123" s="42" t="n">
        <v>305</v>
      </c>
      <c r="F123" s="42" t="inlineStr">
        <is>
          <t>Flandes</t>
        </is>
      </c>
      <c r="G123" s="42" t="inlineStr">
        <is>
          <t>Tolima</t>
        </is>
      </c>
      <c r="H123" s="44" t="n">
        <v>18.4</v>
      </c>
      <c r="I123" s="42" t="n">
        <v>2008</v>
      </c>
      <c r="J123" s="42" t="n">
        <v>16</v>
      </c>
      <c r="K123" s="44" t="n">
        <v>18.4</v>
      </c>
      <c r="L123" s="42" t="n">
        <v>2008</v>
      </c>
      <c r="M123" s="42" t="n">
        <v>5</v>
      </c>
      <c r="N123" s="44" t="n">
        <v>18.6</v>
      </c>
      <c r="O123" s="42" t="n">
        <v>2008</v>
      </c>
      <c r="P123" s="42" t="n">
        <v>16</v>
      </c>
      <c r="Q123" s="44" t="n">
        <v>18.6</v>
      </c>
      <c r="R123" s="42" t="n">
        <v>2008</v>
      </c>
      <c r="S123" s="42" t="n">
        <v>27</v>
      </c>
      <c r="T123" s="44" t="n">
        <v>18.6</v>
      </c>
      <c r="U123" s="42" t="n">
        <v>2008</v>
      </c>
      <c r="V123" s="42" t="n">
        <v>10</v>
      </c>
      <c r="W123" s="44" t="n">
        <v>19.6</v>
      </c>
      <c r="X123" s="42" t="n">
        <v>2001</v>
      </c>
      <c r="Y123" s="42" t="n">
        <v>24</v>
      </c>
      <c r="Z123" s="44" t="n">
        <v>18.4</v>
      </c>
      <c r="AA123" s="42" t="n">
        <v>1981</v>
      </c>
      <c r="AB123" s="42" t="n">
        <v>24</v>
      </c>
      <c r="AC123" s="44" t="n">
        <v>18.6</v>
      </c>
      <c r="AD123" s="42" t="n">
        <v>2007</v>
      </c>
      <c r="AE123" s="42" t="n">
        <v>23</v>
      </c>
      <c r="AF123" s="44" t="n">
        <v>18.6</v>
      </c>
      <c r="AG123" s="42" t="n">
        <v>2007</v>
      </c>
      <c r="AH123" s="42" t="n">
        <v>28</v>
      </c>
      <c r="AI123" s="44" t="n">
        <v>18.8</v>
      </c>
      <c r="AJ123" s="42" t="n">
        <v>2007</v>
      </c>
      <c r="AK123" s="42" t="n">
        <v>10</v>
      </c>
      <c r="AL123" s="44" t="n">
        <v>19</v>
      </c>
      <c r="AM123" s="42" t="n">
        <v>1988</v>
      </c>
      <c r="AN123" s="42" t="n">
        <v>27</v>
      </c>
      <c r="AO123" s="44" t="n">
        <v>19.2</v>
      </c>
      <c r="AP123" s="42" t="n">
        <v>2007</v>
      </c>
      <c r="AQ123" s="42" t="n">
        <v>19</v>
      </c>
    </row>
    <row r="124" ht="14.45" customHeight="1">
      <c r="A124" s="42" t="n">
        <v>21255080</v>
      </c>
      <c r="B124" s="42" t="inlineStr">
        <is>
          <t>SALTO EL [21255080]</t>
        </is>
      </c>
      <c r="C124" s="42" t="n">
        <v>4.783778</v>
      </c>
      <c r="D124" s="42" t="n">
        <v>-74.76794443999999</v>
      </c>
      <c r="E124" s="42" t="n">
        <v>308</v>
      </c>
      <c r="F124" s="42" t="inlineStr">
        <is>
          <t>Ambalema</t>
        </is>
      </c>
      <c r="G124" s="42" t="inlineStr">
        <is>
          <t>Tolima</t>
        </is>
      </c>
      <c r="H124" s="44" t="n">
        <v>19</v>
      </c>
      <c r="I124" s="42" t="n">
        <v>1982</v>
      </c>
      <c r="J124" s="42" t="n">
        <v>2</v>
      </c>
      <c r="K124" s="44" t="n">
        <v>19</v>
      </c>
      <c r="L124" s="42" t="n">
        <v>1985</v>
      </c>
      <c r="M124" s="42" t="n">
        <v>5</v>
      </c>
      <c r="N124" s="44" t="n">
        <v>19</v>
      </c>
      <c r="O124" s="42" t="n">
        <v>2014</v>
      </c>
      <c r="P124" s="42" t="n">
        <v>9</v>
      </c>
      <c r="Q124" s="44" t="n">
        <v>19</v>
      </c>
      <c r="R124" s="42" t="n">
        <v>2012</v>
      </c>
      <c r="S124" s="42" t="n">
        <v>17</v>
      </c>
      <c r="T124" s="44" t="n">
        <v>19.2</v>
      </c>
      <c r="U124" s="42" t="n">
        <v>1982</v>
      </c>
      <c r="V124" s="42" t="n">
        <v>2</v>
      </c>
      <c r="W124" s="44" t="n">
        <v>19</v>
      </c>
      <c r="X124" s="42" t="n">
        <v>1985</v>
      </c>
      <c r="Y124" s="42" t="n">
        <v>12</v>
      </c>
      <c r="Z124" s="44" t="n">
        <v>19</v>
      </c>
      <c r="AA124" s="42" t="n">
        <v>1996</v>
      </c>
      <c r="AB124" s="42" t="n">
        <v>3</v>
      </c>
      <c r="AC124" s="44" t="n">
        <v>19</v>
      </c>
      <c r="AD124" s="42" t="n">
        <v>1992</v>
      </c>
      <c r="AE124" s="42" t="n">
        <v>1</v>
      </c>
      <c r="AF124" s="44" t="n">
        <v>19</v>
      </c>
      <c r="AG124" s="42" t="n">
        <v>1983</v>
      </c>
      <c r="AH124" s="42" t="n">
        <v>22</v>
      </c>
      <c r="AI124" s="44" t="n">
        <v>19</v>
      </c>
      <c r="AJ124" s="42" t="n">
        <v>2000</v>
      </c>
      <c r="AK124" s="42" t="n">
        <v>20</v>
      </c>
      <c r="AL124" s="44" t="n">
        <v>19.5</v>
      </c>
      <c r="AM124" s="42" t="n">
        <v>2003</v>
      </c>
      <c r="AN124" s="42" t="n">
        <v>4</v>
      </c>
      <c r="AO124" s="44" t="n">
        <v>19</v>
      </c>
      <c r="AP124" s="42" t="n">
        <v>2014</v>
      </c>
      <c r="AQ124" s="42" t="n">
        <v>21</v>
      </c>
    </row>
    <row r="125" ht="14.45" customHeight="1">
      <c r="A125" s="42" t="n">
        <v>35045020</v>
      </c>
      <c r="B125" s="42" t="inlineStr">
        <is>
          <t>HACIENDA LA CABAÑA [35045020]</t>
        </is>
      </c>
      <c r="C125" s="42" t="n">
        <v>4.300444444</v>
      </c>
      <c r="D125" s="42" t="n">
        <v>-73.3575</v>
      </c>
      <c r="E125" s="42" t="n">
        <v>310</v>
      </c>
      <c r="F125" s="42" t="inlineStr">
        <is>
          <t>Cumaral</t>
        </is>
      </c>
      <c r="G125" s="42" t="inlineStr">
        <is>
          <t>Meta</t>
        </is>
      </c>
      <c r="H125" s="44" t="n">
        <v>17.2</v>
      </c>
      <c r="I125" s="42" t="n">
        <v>2015</v>
      </c>
      <c r="J125" s="42" t="n">
        <v>3</v>
      </c>
      <c r="K125" s="44" t="n">
        <v>17.1</v>
      </c>
      <c r="L125" s="42" t="n">
        <v>1985</v>
      </c>
      <c r="M125" s="42" t="n">
        <v>5</v>
      </c>
      <c r="N125" s="44" t="n">
        <v>18.4</v>
      </c>
      <c r="O125" s="42" t="n">
        <v>1997</v>
      </c>
      <c r="P125" s="42" t="n">
        <v>5</v>
      </c>
      <c r="Q125" s="44" t="n">
        <v>18.6</v>
      </c>
      <c r="R125" s="42" t="n">
        <v>1982</v>
      </c>
      <c r="S125" s="42" t="n">
        <v>22</v>
      </c>
      <c r="T125" s="44" t="n">
        <v>16.8</v>
      </c>
      <c r="U125" s="42" t="n">
        <v>1991</v>
      </c>
      <c r="V125" s="42" t="n">
        <v>6</v>
      </c>
      <c r="W125" s="44" t="n">
        <v>17.2</v>
      </c>
      <c r="X125" s="42" t="n">
        <v>1984</v>
      </c>
      <c r="Y125" s="42" t="n">
        <v>20</v>
      </c>
      <c r="Z125" s="44" t="n">
        <v>16.3</v>
      </c>
      <c r="AA125" s="42" t="n">
        <v>1985</v>
      </c>
      <c r="AB125" s="42" t="n">
        <v>31</v>
      </c>
      <c r="AC125" s="44" t="n">
        <v>18</v>
      </c>
      <c r="AD125" s="42" t="n">
        <v>1999</v>
      </c>
      <c r="AE125" s="42" t="n">
        <v>17</v>
      </c>
      <c r="AF125" s="44" t="n">
        <v>18.2</v>
      </c>
      <c r="AG125" s="42" t="n">
        <v>1984</v>
      </c>
      <c r="AH125" s="42" t="n">
        <v>6</v>
      </c>
      <c r="AI125" s="44" t="n">
        <v>15</v>
      </c>
      <c r="AJ125" s="42" t="n">
        <v>1982</v>
      </c>
      <c r="AK125" s="42" t="n">
        <v>28</v>
      </c>
      <c r="AL125" s="44" t="n">
        <v>17.8</v>
      </c>
      <c r="AM125" s="42" t="n">
        <v>2022</v>
      </c>
      <c r="AN125" s="42" t="n">
        <v>4</v>
      </c>
      <c r="AO125" s="44" t="n">
        <v>16</v>
      </c>
      <c r="AP125" s="42" t="n">
        <v>2014</v>
      </c>
      <c r="AQ125" s="42" t="n">
        <v>23</v>
      </c>
    </row>
    <row r="126" ht="14.45" customHeight="1">
      <c r="A126" s="42" t="n">
        <v>21165010</v>
      </c>
      <c r="B126" s="42" t="inlineStr">
        <is>
          <t>PST DE MONTA [21165010]</t>
        </is>
      </c>
      <c r="C126" s="42" t="n">
        <v>3.787611111</v>
      </c>
      <c r="D126" s="42" t="n">
        <v>-74.91702778</v>
      </c>
      <c r="E126" s="42" t="n">
        <v>311</v>
      </c>
      <c r="F126" s="42" t="inlineStr">
        <is>
          <t>Prado</t>
        </is>
      </c>
      <c r="G126" s="42" t="inlineStr">
        <is>
          <t>Tolima</t>
        </is>
      </c>
      <c r="H126" s="44" t="n">
        <v>19</v>
      </c>
      <c r="I126" s="42" t="n">
        <v>2023</v>
      </c>
      <c r="J126" s="42" t="n">
        <v>8</v>
      </c>
      <c r="K126" s="44" t="n">
        <v>19</v>
      </c>
      <c r="L126" s="42" t="n">
        <v>1999</v>
      </c>
      <c r="M126" s="42" t="n">
        <v>19</v>
      </c>
      <c r="N126" s="44" t="n">
        <v>19</v>
      </c>
      <c r="O126" s="42" t="n">
        <v>1997</v>
      </c>
      <c r="P126" s="42" t="n">
        <v>7</v>
      </c>
      <c r="Q126" s="44" t="n">
        <v>19</v>
      </c>
      <c r="R126" s="42" t="n">
        <v>2021</v>
      </c>
      <c r="S126" s="42" t="n">
        <v>13</v>
      </c>
      <c r="T126" s="44" t="n">
        <v>19.2</v>
      </c>
      <c r="U126" s="42" t="n">
        <v>2023</v>
      </c>
      <c r="V126" s="42" t="n">
        <v>27</v>
      </c>
      <c r="W126" s="44" t="n">
        <v>19</v>
      </c>
      <c r="X126" s="42" t="n">
        <v>1994</v>
      </c>
      <c r="Y126" s="42" t="n">
        <v>30</v>
      </c>
      <c r="Z126" s="44" t="n">
        <v>19</v>
      </c>
      <c r="AA126" s="42" t="n">
        <v>1993</v>
      </c>
      <c r="AB126" s="42" t="n">
        <v>16</v>
      </c>
      <c r="AC126" s="44" t="n">
        <v>19</v>
      </c>
      <c r="AD126" s="42" t="n">
        <v>1993</v>
      </c>
      <c r="AE126" s="42" t="n">
        <v>19</v>
      </c>
      <c r="AF126" s="44" t="n">
        <v>19</v>
      </c>
      <c r="AG126" s="42" t="n">
        <v>1996</v>
      </c>
      <c r="AH126" s="42" t="n">
        <v>16</v>
      </c>
      <c r="AI126" s="44" t="n">
        <v>19</v>
      </c>
      <c r="AJ126" s="42" t="n">
        <v>2010</v>
      </c>
      <c r="AK126" s="42" t="n">
        <v>1</v>
      </c>
      <c r="AL126" s="44" t="n">
        <v>19.4</v>
      </c>
      <c r="AM126" s="42" t="n">
        <v>1990</v>
      </c>
      <c r="AN126" s="42" t="n">
        <v>22</v>
      </c>
      <c r="AO126" s="44" t="n">
        <v>19.2</v>
      </c>
      <c r="AP126" s="42" t="n">
        <v>2000</v>
      </c>
      <c r="AQ126" s="42" t="n">
        <v>9</v>
      </c>
    </row>
    <row r="127" ht="14.45" customHeight="1">
      <c r="A127" s="42" t="n">
        <v>21135020</v>
      </c>
      <c r="B127" s="42" t="inlineStr">
        <is>
          <t>JABALCON [21135020]</t>
        </is>
      </c>
      <c r="C127" s="42" t="n">
        <v>3.85575</v>
      </c>
      <c r="D127" s="42" t="n">
        <v>-75.01575</v>
      </c>
      <c r="E127" s="42" t="n">
        <v>313</v>
      </c>
      <c r="F127" s="42" t="inlineStr">
        <is>
          <t>Saldaña</t>
        </is>
      </c>
      <c r="G127" s="42" t="inlineStr">
        <is>
          <t>Tolima</t>
        </is>
      </c>
      <c r="H127" s="44" t="n">
        <v>19</v>
      </c>
      <c r="I127" s="42" t="n">
        <v>1990</v>
      </c>
      <c r="J127" s="42" t="n">
        <v>2</v>
      </c>
      <c r="K127" s="44" t="n">
        <v>18</v>
      </c>
      <c r="L127" s="42" t="n">
        <v>1979</v>
      </c>
      <c r="M127" s="42" t="n">
        <v>26</v>
      </c>
      <c r="N127" s="44" t="n">
        <v>18.2</v>
      </c>
      <c r="O127" s="42" t="n">
        <v>1990</v>
      </c>
      <c r="P127" s="42" t="n">
        <v>5</v>
      </c>
      <c r="Q127" s="44" t="n">
        <v>18.2</v>
      </c>
      <c r="R127" s="42" t="n">
        <v>1979</v>
      </c>
      <c r="S127" s="42" t="n">
        <v>20</v>
      </c>
      <c r="T127" s="44" t="n">
        <v>18.2</v>
      </c>
      <c r="U127" s="42" t="n">
        <v>1979</v>
      </c>
      <c r="V127" s="42" t="n">
        <v>17</v>
      </c>
      <c r="W127" s="44" t="n">
        <v>18</v>
      </c>
      <c r="X127" s="42" t="n">
        <v>2005</v>
      </c>
      <c r="Y127" s="42" t="n">
        <v>25</v>
      </c>
      <c r="Z127" s="44" t="n">
        <v>18.6</v>
      </c>
      <c r="AA127" s="42" t="n">
        <v>1979</v>
      </c>
      <c r="AB127" s="42" t="n">
        <v>21</v>
      </c>
      <c r="AC127" s="44" t="n">
        <v>18.4</v>
      </c>
      <c r="AD127" s="42" t="n">
        <v>1979</v>
      </c>
      <c r="AE127" s="42" t="n">
        <v>10</v>
      </c>
      <c r="AF127" s="44" t="n">
        <v>18</v>
      </c>
      <c r="AG127" s="42" t="n">
        <v>1979</v>
      </c>
      <c r="AH127" s="42" t="n">
        <v>22</v>
      </c>
      <c r="AI127" s="44" t="n">
        <v>18</v>
      </c>
      <c r="AJ127" s="42" t="n">
        <v>1994</v>
      </c>
      <c r="AK127" s="42" t="n">
        <v>13</v>
      </c>
      <c r="AL127" s="44" t="n">
        <v>18.2</v>
      </c>
      <c r="AM127" s="42" t="n">
        <v>1992</v>
      </c>
      <c r="AN127" s="42" t="n">
        <v>6</v>
      </c>
      <c r="AO127" s="44" t="n">
        <v>18.6</v>
      </c>
      <c r="AP127" s="42" t="n">
        <v>1991</v>
      </c>
      <c r="AQ127" s="42" t="n">
        <v>10</v>
      </c>
    </row>
    <row r="128" ht="14.45" customHeight="1">
      <c r="A128" s="42" t="n">
        <v>44045010</v>
      </c>
      <c r="B128" s="42" t="inlineStr">
        <is>
          <t>SAN JOSE DE FRAGUA [44045010]</t>
        </is>
      </c>
      <c r="C128" s="42" t="n">
        <v>1.325138889</v>
      </c>
      <c r="D128" s="42" t="n">
        <v>-75.9615</v>
      </c>
      <c r="E128" s="42" t="n">
        <v>320</v>
      </c>
      <c r="F128" s="42" t="inlineStr">
        <is>
          <t>San José Del Fragua</t>
        </is>
      </c>
      <c r="G128" s="42" t="inlineStr">
        <is>
          <t>Caqueta</t>
        </is>
      </c>
      <c r="H128" s="44" t="n">
        <v>18.2</v>
      </c>
      <c r="I128" s="42" t="n">
        <v>1983</v>
      </c>
      <c r="J128" s="42" t="n">
        <v>2</v>
      </c>
      <c r="K128" s="44" t="n">
        <v>18.6</v>
      </c>
      <c r="L128" s="42" t="n">
        <v>2009</v>
      </c>
      <c r="M128" s="42" t="n">
        <v>19</v>
      </c>
      <c r="N128" s="44" t="n">
        <v>18</v>
      </c>
      <c r="O128" s="42" t="n">
        <v>2007</v>
      </c>
      <c r="P128" s="42" t="n">
        <v>26</v>
      </c>
      <c r="Q128" s="44" t="n">
        <v>17.4</v>
      </c>
      <c r="R128" s="42" t="n">
        <v>2010</v>
      </c>
      <c r="S128" s="42" t="n">
        <v>20</v>
      </c>
      <c r="T128" s="44" t="n">
        <v>16.4</v>
      </c>
      <c r="U128" s="42" t="n">
        <v>2004</v>
      </c>
      <c r="V128" s="42" t="n">
        <v>23</v>
      </c>
      <c r="W128" s="44" t="n">
        <v>16.2</v>
      </c>
      <c r="X128" s="42" t="n">
        <v>1985</v>
      </c>
      <c r="Y128" s="42" t="n">
        <v>11</v>
      </c>
      <c r="Z128" s="44" t="n">
        <v>15.4</v>
      </c>
      <c r="AA128" s="42" t="n">
        <v>1981</v>
      </c>
      <c r="AB128" s="42" t="n">
        <v>21</v>
      </c>
      <c r="AC128" s="44" t="n">
        <v>15.6</v>
      </c>
      <c r="AD128" s="42" t="n">
        <v>1999</v>
      </c>
      <c r="AE128" s="42" t="n">
        <v>17</v>
      </c>
      <c r="AF128" s="44" t="n">
        <v>17</v>
      </c>
      <c r="AG128" s="42" t="n">
        <v>1990</v>
      </c>
      <c r="AH128" s="42" t="n">
        <v>16</v>
      </c>
      <c r="AI128" s="44" t="n">
        <v>17.4</v>
      </c>
      <c r="AJ128" s="42" t="n">
        <v>1979</v>
      </c>
      <c r="AK128" s="42" t="n">
        <v>17</v>
      </c>
      <c r="AL128" s="44" t="n">
        <v>16</v>
      </c>
      <c r="AM128" s="42" t="n">
        <v>1979</v>
      </c>
      <c r="AN128" s="42" t="n">
        <v>26</v>
      </c>
      <c r="AO128" s="44" t="n">
        <v>16</v>
      </c>
      <c r="AP128" s="42" t="n">
        <v>1979</v>
      </c>
      <c r="AQ128" s="42" t="n">
        <v>18</v>
      </c>
    </row>
    <row r="129" ht="14.45" customHeight="1">
      <c r="A129" s="42" t="n">
        <v>21255090</v>
      </c>
      <c r="B129" s="42" t="inlineStr">
        <is>
          <t>ARMERO GRANJA [21255090]</t>
        </is>
      </c>
      <c r="C129" s="42" t="n">
        <v>5</v>
      </c>
      <c r="D129" s="42" t="n">
        <v>-74.89999166699999</v>
      </c>
      <c r="E129" s="42" t="n">
        <v>321</v>
      </c>
      <c r="F129" s="42" t="inlineStr">
        <is>
          <t>Armero (Guayabal)</t>
        </is>
      </c>
      <c r="G129" s="42" t="inlineStr">
        <is>
          <t>Tolima</t>
        </is>
      </c>
      <c r="H129" s="44" t="n">
        <v>16.2</v>
      </c>
      <c r="I129" s="42" t="n">
        <v>1991</v>
      </c>
      <c r="J129" s="42" t="n">
        <v>8</v>
      </c>
      <c r="K129" s="44" t="n">
        <v>16.2</v>
      </c>
      <c r="L129" s="42" t="n">
        <v>1991</v>
      </c>
      <c r="M129" s="42" t="n">
        <v>15</v>
      </c>
      <c r="N129" s="44" t="n">
        <v>16.2</v>
      </c>
      <c r="O129" s="42" t="n">
        <v>1991</v>
      </c>
      <c r="P129" s="42" t="n">
        <v>14</v>
      </c>
      <c r="Q129" s="44" t="n">
        <v>17</v>
      </c>
      <c r="R129" s="42" t="n">
        <v>1999</v>
      </c>
      <c r="S129" s="42" t="n">
        <v>20</v>
      </c>
      <c r="T129" s="44" t="n">
        <v>16.4</v>
      </c>
      <c r="U129" s="42" t="n">
        <v>1992</v>
      </c>
      <c r="V129" s="42" t="n">
        <v>23</v>
      </c>
      <c r="W129" s="44" t="n">
        <v>16.4</v>
      </c>
      <c r="X129" s="42" t="n">
        <v>1992</v>
      </c>
      <c r="Y129" s="42" t="n">
        <v>14</v>
      </c>
      <c r="Z129" s="44" t="n">
        <v>16.8</v>
      </c>
      <c r="AA129" s="42" t="n">
        <v>1998</v>
      </c>
      <c r="AB129" s="42" t="n">
        <v>1</v>
      </c>
      <c r="AC129" s="44" t="n">
        <v>16.4</v>
      </c>
      <c r="AD129" s="42" t="n">
        <v>1999</v>
      </c>
      <c r="AE129" s="42" t="n">
        <v>3</v>
      </c>
      <c r="AF129" s="44" t="n">
        <v>16.2</v>
      </c>
      <c r="AG129" s="42" t="n">
        <v>1992</v>
      </c>
      <c r="AH129" s="42" t="n">
        <v>3</v>
      </c>
      <c r="AI129" s="44" t="n">
        <v>16.6</v>
      </c>
      <c r="AJ129" s="42" t="n">
        <v>1999</v>
      </c>
      <c r="AK129" s="42" t="n">
        <v>16</v>
      </c>
      <c r="AL129" s="44" t="n">
        <v>16.6</v>
      </c>
      <c r="AM129" s="42" t="n">
        <v>1991</v>
      </c>
      <c r="AN129" s="42" t="n">
        <v>9</v>
      </c>
      <c r="AO129" s="44" t="n">
        <v>16.4</v>
      </c>
      <c r="AP129" s="42" t="n">
        <v>1996</v>
      </c>
      <c r="AQ129" s="42" t="n">
        <v>17</v>
      </c>
    </row>
    <row r="130" ht="14.45" customHeight="1">
      <c r="A130" s="42" t="n">
        <v>35215020</v>
      </c>
      <c r="B130" s="42" t="inlineStr">
        <is>
          <t>AEROPUERTO YOPAL - AUT [35215020]</t>
        </is>
      </c>
      <c r="C130" s="42" t="n">
        <v>5.320444444</v>
      </c>
      <c r="D130" s="42" t="n">
        <v>-72.3875</v>
      </c>
      <c r="E130" s="42" t="n">
        <v>325</v>
      </c>
      <c r="F130" s="42" t="inlineStr">
        <is>
          <t>Yopal</t>
        </is>
      </c>
      <c r="G130" s="42" t="inlineStr">
        <is>
          <t>Casanare</t>
        </is>
      </c>
      <c r="H130" s="44" t="n">
        <v>18</v>
      </c>
      <c r="I130" s="42" t="n">
        <v>1994</v>
      </c>
      <c r="J130" s="42" t="n">
        <v>20</v>
      </c>
      <c r="K130" s="44" t="n">
        <v>18.5</v>
      </c>
      <c r="L130" s="42" t="n">
        <v>1994</v>
      </c>
      <c r="M130" s="42" t="n">
        <v>9</v>
      </c>
      <c r="N130" s="44" t="n">
        <v>18.2</v>
      </c>
      <c r="O130" s="42" t="n">
        <v>2025</v>
      </c>
      <c r="P130" s="42" t="n">
        <v>18</v>
      </c>
      <c r="Q130" s="44" t="n">
        <v>19.4</v>
      </c>
      <c r="R130" s="42" t="n">
        <v>2025</v>
      </c>
      <c r="S130" s="42" t="n">
        <v>11</v>
      </c>
      <c r="T130" s="44" t="n">
        <v>18.6</v>
      </c>
      <c r="U130" s="42" t="n">
        <v>2025</v>
      </c>
      <c r="V130" s="42" t="n">
        <v>31</v>
      </c>
      <c r="W130" s="44" t="n">
        <v>17.8</v>
      </c>
      <c r="X130" s="42" t="n">
        <v>2025</v>
      </c>
      <c r="Y130" s="42" t="n">
        <v>25</v>
      </c>
      <c r="Z130" s="44" t="n">
        <v>17.8</v>
      </c>
      <c r="AA130" s="42" t="n">
        <v>1983</v>
      </c>
      <c r="AB130" s="42" t="n">
        <v>25</v>
      </c>
      <c r="AC130" s="44" t="n">
        <v>18</v>
      </c>
      <c r="AD130" s="42" t="n">
        <v>1999</v>
      </c>
      <c r="AE130" s="42" t="n">
        <v>17</v>
      </c>
      <c r="AF130" s="44" t="n">
        <v>18</v>
      </c>
      <c r="AG130" s="42" t="n">
        <v>1984</v>
      </c>
      <c r="AH130" s="42" t="n">
        <v>22</v>
      </c>
      <c r="AI130" s="44" t="n">
        <v>18</v>
      </c>
      <c r="AJ130" s="42" t="n">
        <v>1984</v>
      </c>
      <c r="AK130" s="42" t="n">
        <v>2</v>
      </c>
      <c r="AL130" s="44" t="n">
        <v>18.5</v>
      </c>
      <c r="AM130" s="42" t="n">
        <v>1997</v>
      </c>
      <c r="AN130" s="42" t="n">
        <v>21</v>
      </c>
      <c r="AO130" s="44" t="n">
        <v>18.6</v>
      </c>
      <c r="AP130" s="42" t="n">
        <v>1986</v>
      </c>
      <c r="AQ130" s="42" t="n">
        <v>5</v>
      </c>
    </row>
    <row r="131" ht="14.45" customHeight="1">
      <c r="A131" s="42" t="n">
        <v>23185010</v>
      </c>
      <c r="B131" s="42" t="inlineStr">
        <is>
          <t>VILLA LEIVA [23185010]</t>
        </is>
      </c>
      <c r="C131" s="42" t="n">
        <v>7.456111111</v>
      </c>
      <c r="D131" s="42" t="n">
        <v>-73.53722222</v>
      </c>
      <c r="E131" s="42" t="n">
        <v>328</v>
      </c>
      <c r="F131" s="42" t="inlineStr">
        <is>
          <t>Sabana De Torres</t>
        </is>
      </c>
      <c r="G131" s="42" t="inlineStr">
        <is>
          <t>Santander</t>
        </is>
      </c>
      <c r="H131" s="44" t="n">
        <v>17.2</v>
      </c>
      <c r="I131" s="42" t="n">
        <v>1985</v>
      </c>
      <c r="J131" s="42" t="n">
        <v>16</v>
      </c>
      <c r="K131" s="44" t="n">
        <v>15.2</v>
      </c>
      <c r="L131" s="42" t="n">
        <v>1988</v>
      </c>
      <c r="M131" s="42" t="n">
        <v>25</v>
      </c>
      <c r="N131" s="44" t="n">
        <v>17.2</v>
      </c>
      <c r="O131" s="42" t="n">
        <v>1983</v>
      </c>
      <c r="P131" s="42" t="n">
        <v>10</v>
      </c>
      <c r="Q131" s="44" t="n">
        <v>17.8</v>
      </c>
      <c r="R131" s="42" t="n">
        <v>2012</v>
      </c>
      <c r="S131" s="42" t="n">
        <v>25</v>
      </c>
      <c r="T131" s="44" t="n">
        <v>17.6</v>
      </c>
      <c r="U131" s="42" t="n">
        <v>1991</v>
      </c>
      <c r="V131" s="42" t="n">
        <v>4</v>
      </c>
      <c r="W131" s="44" t="n">
        <v>19.4</v>
      </c>
      <c r="X131" s="42" t="n">
        <v>1992</v>
      </c>
      <c r="Y131" s="42" t="n">
        <v>14</v>
      </c>
      <c r="Z131" s="44" t="n">
        <v>17.4</v>
      </c>
      <c r="AA131" s="42" t="n">
        <v>1983</v>
      </c>
      <c r="AB131" s="42" t="n">
        <v>15</v>
      </c>
      <c r="AC131" s="44" t="n">
        <v>17</v>
      </c>
      <c r="AD131" s="42" t="n">
        <v>1991</v>
      </c>
      <c r="AE131" s="42" t="n">
        <v>2</v>
      </c>
      <c r="AF131" s="44" t="n">
        <v>17</v>
      </c>
      <c r="AG131" s="42" t="n">
        <v>1985</v>
      </c>
      <c r="AH131" s="42" t="n">
        <v>18</v>
      </c>
      <c r="AI131" s="44" t="n">
        <v>17.4</v>
      </c>
      <c r="AJ131" s="42" t="n">
        <v>1983</v>
      </c>
      <c r="AK131" s="42" t="n">
        <v>2</v>
      </c>
      <c r="AL131" s="44" t="n">
        <v>15</v>
      </c>
      <c r="AM131" s="42" t="n">
        <v>1984</v>
      </c>
      <c r="AN131" s="42" t="n">
        <v>18</v>
      </c>
      <c r="AO131" s="44" t="n">
        <v>17</v>
      </c>
      <c r="AP131" s="42" t="n">
        <v>1985</v>
      </c>
      <c r="AQ131" s="42" t="n">
        <v>12</v>
      </c>
    </row>
    <row r="132" ht="14.45" customHeight="1">
      <c r="A132" s="42" t="n">
        <v>21185030</v>
      </c>
      <c r="B132" s="42" t="inlineStr">
        <is>
          <t>GUAMO [21185030]</t>
        </is>
      </c>
      <c r="C132" s="42" t="n">
        <v>4.008833333</v>
      </c>
      <c r="D132" s="42" t="n">
        <v>-74.98138889000001</v>
      </c>
      <c r="E132" s="42" t="n">
        <v>332</v>
      </c>
      <c r="F132" s="42" t="inlineStr">
        <is>
          <t>Guamo</t>
        </is>
      </c>
      <c r="G132" s="42" t="inlineStr">
        <is>
          <t>Tolima</t>
        </is>
      </c>
      <c r="H132" s="44" t="n">
        <v>18.8</v>
      </c>
      <c r="I132" s="42" t="n">
        <v>2003</v>
      </c>
      <c r="J132" s="42" t="n">
        <v>1</v>
      </c>
      <c r="K132" s="44" t="n">
        <v>18.6</v>
      </c>
      <c r="L132" s="42" t="n">
        <v>1985</v>
      </c>
      <c r="M132" s="42" t="n">
        <v>5</v>
      </c>
      <c r="N132" s="44" t="n">
        <v>18.2</v>
      </c>
      <c r="O132" s="42" t="n">
        <v>2004</v>
      </c>
      <c r="P132" s="42" t="n">
        <v>10</v>
      </c>
      <c r="Q132" s="44" t="n">
        <v>18.8</v>
      </c>
      <c r="R132" s="42" t="n">
        <v>2004</v>
      </c>
      <c r="S132" s="42" t="n">
        <v>1</v>
      </c>
      <c r="T132" s="44" t="n">
        <v>18</v>
      </c>
      <c r="U132" s="42" t="n">
        <v>2001</v>
      </c>
      <c r="V132" s="42" t="n">
        <v>22</v>
      </c>
      <c r="W132" s="44" t="n">
        <v>18</v>
      </c>
      <c r="X132" s="42" t="n">
        <v>1979</v>
      </c>
      <c r="Y132" s="42" t="n">
        <v>6</v>
      </c>
      <c r="Z132" s="44" t="n">
        <v>18</v>
      </c>
      <c r="AA132" s="42" t="n">
        <v>1979</v>
      </c>
      <c r="AB132" s="42" t="n">
        <v>8</v>
      </c>
      <c r="AC132" s="44" t="n">
        <v>18.2</v>
      </c>
      <c r="AD132" s="42" t="n">
        <v>1978</v>
      </c>
      <c r="AE132" s="42" t="n">
        <v>17</v>
      </c>
      <c r="AF132" s="44" t="n">
        <v>18.4</v>
      </c>
      <c r="AG132" s="42" t="n">
        <v>2001</v>
      </c>
      <c r="AH132" s="42" t="n">
        <v>8</v>
      </c>
      <c r="AI132" s="44" t="n">
        <v>18.4</v>
      </c>
      <c r="AJ132" s="42" t="n">
        <v>2005</v>
      </c>
      <c r="AK132" s="42" t="n">
        <v>14</v>
      </c>
      <c r="AL132" s="44" t="n">
        <v>18</v>
      </c>
      <c r="AM132" s="42" t="n">
        <v>1983</v>
      </c>
      <c r="AN132" s="42" t="n">
        <v>2</v>
      </c>
      <c r="AO132" s="44" t="n">
        <v>18.1</v>
      </c>
      <c r="AP132" s="42" t="n">
        <v>2018</v>
      </c>
      <c r="AQ132" s="42" t="n">
        <v>26</v>
      </c>
    </row>
    <row r="133" ht="14.45" customHeight="1">
      <c r="A133" s="42" t="n">
        <v>35025110</v>
      </c>
      <c r="B133" s="42" t="inlineStr">
        <is>
          <t>LA LIBERTAD - AUT [35025110]</t>
        </is>
      </c>
      <c r="C133" s="42" t="n">
        <v>4.057415</v>
      </c>
      <c r="D133" s="42" t="n">
        <v>-73.467865</v>
      </c>
      <c r="E133" s="42" t="n">
        <v>340</v>
      </c>
      <c r="F133" s="42" t="inlineStr">
        <is>
          <t>Villavicencio</t>
        </is>
      </c>
      <c r="G133" s="42" t="inlineStr">
        <is>
          <t>Meta</t>
        </is>
      </c>
      <c r="H133" s="44" t="n">
        <v>17.2</v>
      </c>
      <c r="I133" s="42" t="n">
        <v>1982</v>
      </c>
      <c r="J133" s="42" t="n">
        <v>24</v>
      </c>
      <c r="K133" s="44" t="n">
        <v>18.8</v>
      </c>
      <c r="L133" s="42" t="n">
        <v>1980</v>
      </c>
      <c r="M133" s="42" t="n">
        <v>4</v>
      </c>
      <c r="N133" s="44" t="n">
        <v>18</v>
      </c>
      <c r="O133" s="42" t="n">
        <v>1982</v>
      </c>
      <c r="P133" s="42" t="n">
        <v>12</v>
      </c>
      <c r="Q133" s="44" t="n">
        <v>18.2</v>
      </c>
      <c r="R133" s="42" t="n">
        <v>2005</v>
      </c>
      <c r="S133" s="42" t="n">
        <v>18</v>
      </c>
      <c r="T133" s="44" t="n">
        <v>18.2</v>
      </c>
      <c r="U133" s="42" t="n">
        <v>1984</v>
      </c>
      <c r="V133" s="42" t="n">
        <v>11</v>
      </c>
      <c r="W133" s="44" t="n">
        <v>17.6</v>
      </c>
      <c r="X133" s="42" t="n">
        <v>2004</v>
      </c>
      <c r="Y133" s="42" t="n">
        <v>29</v>
      </c>
      <c r="Z133" s="44" t="n">
        <v>17.2</v>
      </c>
      <c r="AA133" s="42" t="n">
        <v>1982</v>
      </c>
      <c r="AB133" s="42" t="n">
        <v>1</v>
      </c>
      <c r="AC133" s="44" t="n">
        <v>18</v>
      </c>
      <c r="AD133" s="42" t="n">
        <v>2022</v>
      </c>
      <c r="AE133" s="42" t="n">
        <v>22</v>
      </c>
      <c r="AF133" s="44" t="n">
        <v>18</v>
      </c>
      <c r="AG133" s="42" t="n">
        <v>2007</v>
      </c>
      <c r="AH133" s="42" t="n">
        <v>5</v>
      </c>
      <c r="AI133" s="44" t="n">
        <v>18</v>
      </c>
      <c r="AJ133" s="42" t="n">
        <v>2005</v>
      </c>
      <c r="AK133" s="42" t="n">
        <v>10</v>
      </c>
      <c r="AL133" s="44" t="n">
        <v>17.4</v>
      </c>
      <c r="AM133" s="42" t="n">
        <v>2022</v>
      </c>
      <c r="AN133" s="42" t="n">
        <v>4</v>
      </c>
      <c r="AO133" s="44" t="n">
        <v>17.2</v>
      </c>
      <c r="AP133" s="42" t="n">
        <v>1982</v>
      </c>
      <c r="AQ133" s="42" t="n">
        <v>12</v>
      </c>
    </row>
    <row r="134" ht="14.45" customHeight="1">
      <c r="A134" s="42" t="n">
        <v>36015010</v>
      </c>
      <c r="B134" s="42" t="inlineStr">
        <is>
          <t>PAZ DE ARIPORO [36015010]</t>
        </is>
      </c>
      <c r="C134" s="42" t="n">
        <v>5.878527778</v>
      </c>
      <c r="D134" s="42" t="n">
        <v>-71.88719444</v>
      </c>
      <c r="E134" s="42" t="n">
        <v>342</v>
      </c>
      <c r="F134" s="42" t="inlineStr">
        <is>
          <t>Paz De Ariporo</t>
        </is>
      </c>
      <c r="G134" s="42" t="inlineStr">
        <is>
          <t>Casanare</t>
        </is>
      </c>
      <c r="H134" s="44" t="n">
        <v>18.8</v>
      </c>
      <c r="I134" s="42" t="n">
        <v>2008</v>
      </c>
      <c r="J134" s="42" t="n">
        <v>30</v>
      </c>
      <c r="K134" s="44" t="n">
        <v>18.6</v>
      </c>
      <c r="L134" s="42" t="n">
        <v>2008</v>
      </c>
      <c r="M134" s="42" t="n">
        <v>2</v>
      </c>
      <c r="N134" s="44" t="n">
        <v>17.8</v>
      </c>
      <c r="O134" s="42" t="n">
        <v>1999</v>
      </c>
      <c r="P134" s="42" t="n">
        <v>15</v>
      </c>
      <c r="Q134" s="44" t="n">
        <v>19</v>
      </c>
      <c r="R134" s="42" t="n">
        <v>2024</v>
      </c>
      <c r="S134" s="42" t="n">
        <v>26</v>
      </c>
      <c r="T134" s="44" t="n">
        <v>18</v>
      </c>
      <c r="U134" s="42" t="n">
        <v>2024</v>
      </c>
      <c r="V134" s="42" t="n">
        <v>6</v>
      </c>
      <c r="W134" s="44" t="n">
        <v>19</v>
      </c>
      <c r="X134" s="42" t="n">
        <v>2007</v>
      </c>
      <c r="Y134" s="42" t="n">
        <v>17</v>
      </c>
      <c r="Z134" s="44" t="n">
        <v>18.8</v>
      </c>
      <c r="AA134" s="42" t="n">
        <v>2007</v>
      </c>
      <c r="AB134" s="42" t="n">
        <v>18</v>
      </c>
      <c r="AC134" s="44" t="n">
        <v>18.2</v>
      </c>
      <c r="AD134" s="42" t="n">
        <v>1999</v>
      </c>
      <c r="AE134" s="42" t="n">
        <v>17</v>
      </c>
      <c r="AF134" s="44" t="n">
        <v>18</v>
      </c>
      <c r="AG134" s="42" t="n">
        <v>2007</v>
      </c>
      <c r="AH134" s="42" t="n">
        <v>20</v>
      </c>
      <c r="AI134" s="44" t="n">
        <v>18.6</v>
      </c>
      <c r="AJ134" s="42" t="n">
        <v>2008</v>
      </c>
      <c r="AK134" s="42" t="n">
        <v>29</v>
      </c>
      <c r="AL134" s="44" t="n">
        <v>18.8</v>
      </c>
      <c r="AM134" s="42" t="n">
        <v>2007</v>
      </c>
      <c r="AN134" s="42" t="n">
        <v>27</v>
      </c>
      <c r="AO134" s="44" t="n">
        <v>18.6</v>
      </c>
      <c r="AP134" s="42" t="n">
        <v>2000</v>
      </c>
      <c r="AQ134" s="42" t="n">
        <v>14</v>
      </c>
    </row>
    <row r="135" ht="14.45" customHeight="1">
      <c r="A135" s="42" t="n">
        <v>23115010</v>
      </c>
      <c r="B135" s="42" t="inlineStr">
        <is>
          <t>PUERTO BOYACA [23115010]</t>
        </is>
      </c>
      <c r="C135" s="42" t="n">
        <v>5.978333333</v>
      </c>
      <c r="D135" s="42" t="n">
        <v>-74.56666667</v>
      </c>
      <c r="E135" s="42" t="n">
        <v>350</v>
      </c>
      <c r="F135" s="42" t="inlineStr">
        <is>
          <t>Puerto Boyacá</t>
        </is>
      </c>
      <c r="G135" s="42" t="inlineStr">
        <is>
          <t>Boyacá</t>
        </is>
      </c>
      <c r="H135" s="44" t="n">
        <v>20</v>
      </c>
      <c r="I135" s="42" t="n">
        <v>2004</v>
      </c>
      <c r="J135" s="42" t="n">
        <v>1</v>
      </c>
      <c r="K135" s="44" t="n">
        <v>20</v>
      </c>
      <c r="L135" s="42" t="n">
        <v>2010</v>
      </c>
      <c r="M135" s="42" t="n">
        <v>3</v>
      </c>
      <c r="N135" s="44" t="n">
        <v>20</v>
      </c>
      <c r="O135" s="42" t="n">
        <v>2010</v>
      </c>
      <c r="P135" s="42" t="n">
        <v>1</v>
      </c>
      <c r="Q135" s="44" t="n">
        <v>20</v>
      </c>
      <c r="R135" s="42" t="n">
        <v>2006</v>
      </c>
      <c r="S135" s="42" t="n">
        <v>6</v>
      </c>
      <c r="T135" s="44" t="n">
        <v>20</v>
      </c>
      <c r="U135" s="42" t="n">
        <v>2009</v>
      </c>
      <c r="V135" s="42" t="n">
        <v>2</v>
      </c>
      <c r="W135" s="44" t="n">
        <v>20</v>
      </c>
      <c r="X135" s="42" t="n">
        <v>1989</v>
      </c>
      <c r="Y135" s="42" t="n">
        <v>23</v>
      </c>
      <c r="Z135" s="44" t="n">
        <v>20.2</v>
      </c>
      <c r="AA135" s="42" t="n">
        <v>1990</v>
      </c>
      <c r="AB135" s="42" t="n">
        <v>8</v>
      </c>
      <c r="AC135" s="44" t="n">
        <v>20</v>
      </c>
      <c r="AD135" s="42" t="n">
        <v>1989</v>
      </c>
      <c r="AE135" s="42" t="n">
        <v>9</v>
      </c>
      <c r="AF135" s="44" t="n">
        <v>20.2</v>
      </c>
      <c r="AG135" s="42" t="n">
        <v>2001</v>
      </c>
      <c r="AH135" s="42" t="n">
        <v>29</v>
      </c>
      <c r="AI135" s="44" t="n">
        <v>20.8</v>
      </c>
      <c r="AJ135" s="42" t="n">
        <v>1989</v>
      </c>
      <c r="AK135" s="42" t="n">
        <v>22</v>
      </c>
      <c r="AL135" s="44" t="n">
        <v>20</v>
      </c>
      <c r="AM135" s="42" t="n">
        <v>2002</v>
      </c>
      <c r="AN135" s="42" t="n">
        <v>9</v>
      </c>
      <c r="AO135" s="44" t="n">
        <v>20</v>
      </c>
      <c r="AP135" s="42" t="n">
        <v>2009</v>
      </c>
      <c r="AQ135" s="42" t="n">
        <v>6</v>
      </c>
    </row>
    <row r="136" ht="14.45" customHeight="1">
      <c r="A136" s="42" t="n">
        <v>28025020</v>
      </c>
      <c r="B136" s="42" t="inlineStr">
        <is>
          <t>EL RINCON [28025020]</t>
        </is>
      </c>
      <c r="C136" s="42" t="n">
        <v>10.27138889</v>
      </c>
      <c r="D136" s="42" t="n">
        <v>-73.13138889</v>
      </c>
      <c r="E136" s="42" t="n">
        <v>350</v>
      </c>
      <c r="F136" s="42" t="inlineStr">
        <is>
          <t>San Diego</t>
        </is>
      </c>
      <c r="G136" s="42" t="inlineStr">
        <is>
          <t>Cesar</t>
        </is>
      </c>
      <c r="H136" s="44" t="n">
        <v>12</v>
      </c>
      <c r="I136" s="42" t="n">
        <v>2005</v>
      </c>
      <c r="J136" s="42" t="n">
        <v>20</v>
      </c>
      <c r="K136" s="44" t="n">
        <v>12.6</v>
      </c>
      <c r="L136" s="42" t="n">
        <v>2002</v>
      </c>
      <c r="M136" s="42" t="n">
        <v>12</v>
      </c>
      <c r="N136" s="44" t="n">
        <v>15.4</v>
      </c>
      <c r="O136" s="42" t="n">
        <v>1998</v>
      </c>
      <c r="P136" s="42" t="n">
        <v>13</v>
      </c>
      <c r="Q136" s="44" t="n">
        <v>14</v>
      </c>
      <c r="R136" s="42" t="n">
        <v>2001</v>
      </c>
      <c r="S136" s="42" t="n">
        <v>24</v>
      </c>
      <c r="T136" s="44" t="n">
        <v>15.2</v>
      </c>
      <c r="U136" s="42" t="n">
        <v>2005</v>
      </c>
      <c r="V136" s="42" t="n">
        <v>21</v>
      </c>
      <c r="W136" s="44" t="n">
        <v>15.4</v>
      </c>
      <c r="X136" s="42" t="n">
        <v>2001</v>
      </c>
      <c r="Y136" s="42" t="n">
        <v>4</v>
      </c>
      <c r="Z136" s="44" t="n">
        <v>15</v>
      </c>
      <c r="AA136" s="42" t="n">
        <v>2001</v>
      </c>
      <c r="AB136" s="42" t="n">
        <v>19</v>
      </c>
      <c r="AC136" s="44" t="n">
        <v>16.2</v>
      </c>
      <c r="AD136" s="42" t="n">
        <v>2001</v>
      </c>
      <c r="AE136" s="42" t="n">
        <v>10</v>
      </c>
      <c r="AF136" s="44" t="n">
        <v>15.8</v>
      </c>
      <c r="AG136" s="42" t="n">
        <v>2001</v>
      </c>
      <c r="AH136" s="42" t="n">
        <v>6</v>
      </c>
      <c r="AI136" s="44" t="n">
        <v>16.2</v>
      </c>
      <c r="AJ136" s="42" t="n">
        <v>2001</v>
      </c>
      <c r="AK136" s="42" t="n">
        <v>8</v>
      </c>
      <c r="AL136" s="44" t="n">
        <v>13.6</v>
      </c>
      <c r="AM136" s="42" t="n">
        <v>2001</v>
      </c>
      <c r="AN136" s="42" t="n">
        <v>29</v>
      </c>
      <c r="AO136" s="44" t="n">
        <v>13.8</v>
      </c>
      <c r="AP136" s="42" t="n">
        <v>2001</v>
      </c>
      <c r="AQ136" s="42" t="n">
        <v>3</v>
      </c>
    </row>
    <row r="137" ht="14.45" customHeight="1">
      <c r="A137" s="42" t="n">
        <v>36025010</v>
      </c>
      <c r="B137" s="42" t="inlineStr">
        <is>
          <t>TAME [36025010]</t>
        </is>
      </c>
      <c r="C137" s="42" t="n">
        <v>6.456194444</v>
      </c>
      <c r="D137" s="42" t="n">
        <v>-71.74502778</v>
      </c>
      <c r="E137" s="42" t="n">
        <v>350</v>
      </c>
      <c r="F137" s="42" t="inlineStr">
        <is>
          <t>Tame</t>
        </is>
      </c>
      <c r="G137" s="42" t="inlineStr">
        <is>
          <t>Arauca</t>
        </is>
      </c>
      <c r="H137" s="44" t="n">
        <v>18</v>
      </c>
      <c r="I137" s="42" t="n">
        <v>2013</v>
      </c>
      <c r="J137" s="42" t="n">
        <v>4</v>
      </c>
      <c r="K137" s="44" t="n">
        <v>18</v>
      </c>
      <c r="L137" s="42" t="n">
        <v>1999</v>
      </c>
      <c r="M137" s="42" t="n">
        <v>23</v>
      </c>
      <c r="N137" s="44" t="n">
        <v>17.2</v>
      </c>
      <c r="O137" s="42" t="n">
        <v>2015</v>
      </c>
      <c r="P137" s="42" t="n">
        <v>24</v>
      </c>
      <c r="Q137" s="44" t="n">
        <v>13</v>
      </c>
      <c r="R137" s="42" t="n">
        <v>2017</v>
      </c>
      <c r="S137" s="42" t="n">
        <v>21</v>
      </c>
      <c r="T137" s="44" t="n">
        <v>17</v>
      </c>
      <c r="U137" s="42" t="n">
        <v>2015</v>
      </c>
      <c r="V137" s="42" t="n">
        <v>6</v>
      </c>
      <c r="W137" s="44" t="n">
        <v>18</v>
      </c>
      <c r="X137" s="42" t="n">
        <v>2012</v>
      </c>
      <c r="Y137" s="42" t="n">
        <v>3</v>
      </c>
      <c r="Z137" s="44" t="n">
        <v>13.2</v>
      </c>
      <c r="AA137" s="42" t="n">
        <v>2019</v>
      </c>
      <c r="AB137" s="42" t="n">
        <v>6</v>
      </c>
      <c r="AC137" s="44" t="n">
        <v>18</v>
      </c>
      <c r="AD137" s="42" t="n">
        <v>1991</v>
      </c>
      <c r="AE137" s="42" t="n">
        <v>20</v>
      </c>
      <c r="AF137" s="44" t="n">
        <v>18</v>
      </c>
      <c r="AG137" s="42" t="n">
        <v>2011</v>
      </c>
      <c r="AH137" s="42" t="n">
        <v>4</v>
      </c>
      <c r="AI137" s="44" t="n">
        <v>16</v>
      </c>
      <c r="AJ137" s="42" t="n">
        <v>1991</v>
      </c>
      <c r="AK137" s="42" t="n">
        <v>25</v>
      </c>
      <c r="AL137" s="44" t="n">
        <v>15.5</v>
      </c>
      <c r="AM137" s="42" t="n">
        <v>1997</v>
      </c>
      <c r="AN137" s="42" t="n">
        <v>20</v>
      </c>
      <c r="AO137" s="44" t="n">
        <v>13.4</v>
      </c>
      <c r="AP137" s="42" t="n">
        <v>2017</v>
      </c>
      <c r="AQ137" s="42" t="n">
        <v>12</v>
      </c>
    </row>
    <row r="138" ht="14.45" customHeight="1">
      <c r="A138" s="42" t="n">
        <v>47015070</v>
      </c>
      <c r="B138" s="42" t="inlineStr">
        <is>
          <t>PUERTO UMBRIA [47015070]</t>
        </is>
      </c>
      <c r="C138" s="42" t="n">
        <v>0.838972222</v>
      </c>
      <c r="D138" s="42" t="n">
        <v>-76.57044444</v>
      </c>
      <c r="E138" s="42" t="n">
        <v>362</v>
      </c>
      <c r="F138" s="42" t="inlineStr">
        <is>
          <t>Villagarzón</t>
        </is>
      </c>
      <c r="G138" s="42" t="inlineStr">
        <is>
          <t>Putumayo</t>
        </is>
      </c>
      <c r="H138" s="44" t="n">
        <v>18</v>
      </c>
      <c r="I138" s="42" t="n">
        <v>1984</v>
      </c>
      <c r="J138" s="42" t="n">
        <v>10</v>
      </c>
      <c r="K138" s="44" t="n">
        <v>16.2</v>
      </c>
      <c r="L138" s="42" t="n">
        <v>1984</v>
      </c>
      <c r="M138" s="42" t="n">
        <v>11</v>
      </c>
      <c r="N138" s="44" t="n">
        <v>17.8</v>
      </c>
      <c r="O138" s="42" t="n">
        <v>1993</v>
      </c>
      <c r="P138" s="42" t="n">
        <v>24</v>
      </c>
      <c r="Q138" s="44" t="n">
        <v>17.9</v>
      </c>
      <c r="R138" s="42" t="n">
        <v>1993</v>
      </c>
      <c r="S138" s="42" t="n">
        <v>23</v>
      </c>
      <c r="T138" s="44" t="n">
        <v>17.3</v>
      </c>
      <c r="U138" s="42" t="n">
        <v>1990</v>
      </c>
      <c r="V138" s="42" t="n">
        <v>26</v>
      </c>
      <c r="W138" s="44" t="n">
        <v>16</v>
      </c>
      <c r="X138" s="42" t="n">
        <v>1994</v>
      </c>
      <c r="Y138" s="42" t="n">
        <v>28</v>
      </c>
      <c r="Z138" s="44" t="n">
        <v>16.2</v>
      </c>
      <c r="AA138" s="42" t="n">
        <v>1994</v>
      </c>
      <c r="AB138" s="42" t="n">
        <v>11</v>
      </c>
      <c r="AC138" s="44" t="n">
        <v>16.2</v>
      </c>
      <c r="AD138" s="42" t="n">
        <v>2022</v>
      </c>
      <c r="AE138" s="42" t="n">
        <v>22</v>
      </c>
      <c r="AF138" s="44" t="n">
        <v>16.8</v>
      </c>
      <c r="AG138" s="42" t="n">
        <v>1990</v>
      </c>
      <c r="AH138" s="42" t="n">
        <v>17</v>
      </c>
      <c r="AI138" s="44" t="n">
        <v>18</v>
      </c>
      <c r="AJ138" s="42" t="n">
        <v>1991</v>
      </c>
      <c r="AK138" s="42" t="n">
        <v>21</v>
      </c>
      <c r="AL138" s="44" t="n">
        <v>16.8</v>
      </c>
      <c r="AM138" s="42" t="n">
        <v>1990</v>
      </c>
      <c r="AN138" s="42" t="n">
        <v>8</v>
      </c>
      <c r="AO138" s="44" t="n">
        <v>17.4</v>
      </c>
      <c r="AP138" s="42" t="n">
        <v>1983</v>
      </c>
      <c r="AQ138" s="42" t="n">
        <v>15</v>
      </c>
    </row>
    <row r="139" ht="14.45" customHeight="1">
      <c r="A139" s="42" t="n">
        <v>37035010</v>
      </c>
      <c r="B139" s="42" t="inlineStr">
        <is>
          <t>TUNEBIA [37035010]</t>
        </is>
      </c>
      <c r="C139" s="42" t="n">
        <v>7.006111111</v>
      </c>
      <c r="D139" s="42" t="n">
        <v>-72.11583333</v>
      </c>
      <c r="E139" s="42" t="n">
        <v>370</v>
      </c>
      <c r="F139" s="42" t="inlineStr">
        <is>
          <t>Toledo</t>
        </is>
      </c>
      <c r="G139" s="42" t="inlineStr">
        <is>
          <t>Norte De Santander</t>
        </is>
      </c>
      <c r="H139" s="44" t="n">
        <v>15</v>
      </c>
      <c r="I139" s="42" t="n">
        <v>1978</v>
      </c>
      <c r="J139" s="42" t="n">
        <v>3</v>
      </c>
      <c r="K139" s="44" t="n">
        <v>15</v>
      </c>
      <c r="L139" s="42" t="n">
        <v>1987</v>
      </c>
      <c r="M139" s="42" t="n">
        <v>3</v>
      </c>
      <c r="N139" s="44" t="n">
        <v>15</v>
      </c>
      <c r="O139" s="42" t="n">
        <v>1987</v>
      </c>
      <c r="P139" s="42" t="n">
        <v>3</v>
      </c>
      <c r="Q139" s="44" t="n">
        <v>15</v>
      </c>
      <c r="R139" s="42" t="n">
        <v>1987</v>
      </c>
      <c r="S139" s="42" t="n">
        <v>29</v>
      </c>
      <c r="T139" s="44" t="n">
        <v>15.2</v>
      </c>
      <c r="U139" s="42" t="n">
        <v>2002</v>
      </c>
      <c r="V139" s="42" t="n">
        <v>7</v>
      </c>
      <c r="W139" s="44" t="n">
        <v>15</v>
      </c>
      <c r="X139" s="42" t="n">
        <v>1987</v>
      </c>
      <c r="Y139" s="42" t="n">
        <v>3</v>
      </c>
      <c r="Z139" s="44" t="n">
        <v>16</v>
      </c>
      <c r="AA139" s="42" t="n">
        <v>2000</v>
      </c>
      <c r="AB139" s="42" t="n">
        <v>10</v>
      </c>
      <c r="AC139" s="44" t="n">
        <v>16.2</v>
      </c>
      <c r="AD139" s="42" t="n">
        <v>2002</v>
      </c>
      <c r="AE139" s="42" t="n">
        <v>3</v>
      </c>
      <c r="AF139" s="44" t="n">
        <v>16.4</v>
      </c>
      <c r="AG139" s="42" t="n">
        <v>1978</v>
      </c>
      <c r="AH139" s="42" t="n">
        <v>11</v>
      </c>
      <c r="AI139" s="44" t="n">
        <v>15.8</v>
      </c>
      <c r="AJ139" s="42" t="n">
        <v>1987</v>
      </c>
      <c r="AK139" s="42" t="n">
        <v>25</v>
      </c>
      <c r="AL139" s="44" t="n">
        <v>15</v>
      </c>
      <c r="AM139" s="42" t="n">
        <v>1987</v>
      </c>
      <c r="AN139" s="42" t="n">
        <v>11</v>
      </c>
      <c r="AO139" s="44" t="n">
        <v>15.4</v>
      </c>
      <c r="AP139" s="42" t="n">
        <v>1985</v>
      </c>
      <c r="AQ139" s="42" t="n">
        <v>28</v>
      </c>
    </row>
    <row r="140" ht="14.45" customHeight="1">
      <c r="A140" s="42" t="n">
        <v>21185090</v>
      </c>
      <c r="B140" s="42" t="inlineStr">
        <is>
          <t>NATAIMA - AUT [21185090]</t>
        </is>
      </c>
      <c r="C140" s="42" t="n">
        <v>4.188138889</v>
      </c>
      <c r="D140" s="42" t="n">
        <v>-74.96047222</v>
      </c>
      <c r="E140" s="42" t="n">
        <v>371</v>
      </c>
      <c r="F140" s="42" t="inlineStr">
        <is>
          <t>Espinal</t>
        </is>
      </c>
      <c r="G140" s="42" t="inlineStr">
        <is>
          <t>Tolima</t>
        </is>
      </c>
      <c r="H140" s="44" t="n">
        <v>18</v>
      </c>
      <c r="I140" s="42" t="n">
        <v>1984</v>
      </c>
      <c r="J140" s="42" t="n">
        <v>16</v>
      </c>
      <c r="K140" s="44" t="n">
        <v>17.4</v>
      </c>
      <c r="L140" s="42" t="n">
        <v>1996</v>
      </c>
      <c r="M140" s="42" t="n">
        <v>3</v>
      </c>
      <c r="N140" s="44" t="n">
        <v>18</v>
      </c>
      <c r="O140" s="42" t="n">
        <v>2002</v>
      </c>
      <c r="P140" s="42" t="n">
        <v>20</v>
      </c>
      <c r="Q140" s="44" t="n">
        <v>19.4</v>
      </c>
      <c r="R140" s="42" t="n">
        <v>1993</v>
      </c>
      <c r="S140" s="42" t="n">
        <v>25</v>
      </c>
      <c r="T140" s="44" t="n">
        <v>18</v>
      </c>
      <c r="U140" s="42" t="n">
        <v>2002</v>
      </c>
      <c r="V140" s="42" t="n">
        <v>29</v>
      </c>
      <c r="W140" s="44" t="n">
        <v>15.2</v>
      </c>
      <c r="X140" s="42" t="n">
        <v>1995</v>
      </c>
      <c r="Y140" s="42" t="n">
        <v>27</v>
      </c>
      <c r="Z140" s="44" t="n">
        <v>17.6</v>
      </c>
      <c r="AA140" s="42" t="n">
        <v>1993</v>
      </c>
      <c r="AB140" s="42" t="n">
        <v>7</v>
      </c>
      <c r="AC140" s="44" t="n">
        <v>18</v>
      </c>
      <c r="AD140" s="42" t="n">
        <v>1999</v>
      </c>
      <c r="AE140" s="42" t="n">
        <v>4</v>
      </c>
      <c r="AF140" s="44" t="n">
        <v>18.2</v>
      </c>
      <c r="AG140" s="42" t="n">
        <v>1992</v>
      </c>
      <c r="AH140" s="42" t="n">
        <v>10</v>
      </c>
      <c r="AI140" s="44" t="n">
        <v>18</v>
      </c>
      <c r="AJ140" s="42" t="n">
        <v>1979</v>
      </c>
      <c r="AK140" s="42" t="n">
        <v>20</v>
      </c>
      <c r="AL140" s="44" t="n">
        <v>18.2</v>
      </c>
      <c r="AM140" s="42" t="n">
        <v>1980</v>
      </c>
      <c r="AN140" s="42" t="n">
        <v>25</v>
      </c>
      <c r="AO140" s="44" t="n">
        <v>17.8</v>
      </c>
      <c r="AP140" s="42" t="n">
        <v>1992</v>
      </c>
      <c r="AQ140" s="42" t="n">
        <v>29</v>
      </c>
    </row>
    <row r="141" ht="14.45" customHeight="1">
      <c r="A141" s="42" t="n">
        <v>35035070</v>
      </c>
      <c r="B141" s="42" t="inlineStr">
        <is>
          <t>UNILLANOS [35035070]</t>
        </is>
      </c>
      <c r="C141" s="42" t="n">
        <v>4.076861</v>
      </c>
      <c r="D141" s="42" t="n">
        <v>-73.582722</v>
      </c>
      <c r="E141" s="42" t="n">
        <v>386</v>
      </c>
      <c r="F141" s="42" t="inlineStr">
        <is>
          <t>Villavicencio</t>
        </is>
      </c>
      <c r="G141" s="42" t="inlineStr">
        <is>
          <t>Meta</t>
        </is>
      </c>
      <c r="H141" s="44" t="n">
        <v>17.2</v>
      </c>
      <c r="I141" s="42" t="n">
        <v>1995</v>
      </c>
      <c r="J141" s="42" t="n">
        <v>13</v>
      </c>
      <c r="K141" s="44" t="n">
        <v>17</v>
      </c>
      <c r="L141" s="42" t="n">
        <v>2005</v>
      </c>
      <c r="M141" s="42" t="n">
        <v>1</v>
      </c>
      <c r="N141" s="44" t="n">
        <v>17</v>
      </c>
      <c r="O141" s="42" t="n">
        <v>1987</v>
      </c>
      <c r="P141" s="42" t="n">
        <v>2</v>
      </c>
      <c r="Q141" s="44" t="n">
        <v>18</v>
      </c>
      <c r="R141" s="42" t="n">
        <v>1987</v>
      </c>
      <c r="S141" s="42" t="n">
        <v>12</v>
      </c>
      <c r="T141" s="44" t="n">
        <v>18</v>
      </c>
      <c r="U141" s="42" t="n">
        <v>2006</v>
      </c>
      <c r="V141" s="42" t="n">
        <v>23</v>
      </c>
      <c r="W141" s="44" t="n">
        <v>17.3</v>
      </c>
      <c r="X141" s="42" t="n">
        <v>1984</v>
      </c>
      <c r="Y141" s="42" t="n">
        <v>20</v>
      </c>
      <c r="Z141" s="44" t="n">
        <v>17.6</v>
      </c>
      <c r="AA141" s="42" t="n">
        <v>1987</v>
      </c>
      <c r="AB141" s="42" t="n">
        <v>11</v>
      </c>
      <c r="AC141" s="44" t="n">
        <v>16.4</v>
      </c>
      <c r="AD141" s="42" t="n">
        <v>1995</v>
      </c>
      <c r="AE141" s="42" t="n">
        <v>14</v>
      </c>
      <c r="AF141" s="44" t="n">
        <v>18</v>
      </c>
      <c r="AG141" s="42" t="n">
        <v>1995</v>
      </c>
      <c r="AH141" s="42" t="n">
        <v>19</v>
      </c>
      <c r="AI141" s="44" t="n">
        <v>17</v>
      </c>
      <c r="AJ141" s="42" t="n">
        <v>2004</v>
      </c>
      <c r="AK141" s="42" t="n">
        <v>21</v>
      </c>
      <c r="AL141" s="44" t="n">
        <v>17.2</v>
      </c>
      <c r="AM141" s="42" t="n">
        <v>2022</v>
      </c>
      <c r="AN141" s="42" t="n">
        <v>4</v>
      </c>
      <c r="AO141" s="44" t="n">
        <v>18</v>
      </c>
      <c r="AP141" s="42" t="n">
        <v>1996</v>
      </c>
      <c r="AQ141" s="42" t="n">
        <v>7</v>
      </c>
    </row>
    <row r="142" ht="14.45" customHeight="1">
      <c r="A142" s="42" t="n">
        <v>21115060</v>
      </c>
      <c r="B142" s="42" t="inlineStr">
        <is>
          <t>SAN JOSE [21115060]</t>
        </is>
      </c>
      <c r="C142" s="42" t="n">
        <v>3.329222222</v>
      </c>
      <c r="D142" s="42" t="n">
        <v>-75.18405556</v>
      </c>
      <c r="E142" s="42" t="n">
        <v>400</v>
      </c>
      <c r="F142" s="42" t="inlineStr">
        <is>
          <t>Villavieja</t>
        </is>
      </c>
      <c r="G142" s="42" t="inlineStr">
        <is>
          <t>Huila</t>
        </is>
      </c>
      <c r="H142" s="44" t="n">
        <v>17.6</v>
      </c>
      <c r="I142" s="42" t="n">
        <v>1996</v>
      </c>
      <c r="J142" s="42" t="n">
        <v>26</v>
      </c>
      <c r="K142" s="44" t="n">
        <v>19</v>
      </c>
      <c r="L142" s="42" t="n">
        <v>1993</v>
      </c>
      <c r="M142" s="42" t="n">
        <v>25</v>
      </c>
      <c r="N142" s="44" t="n">
        <v>18</v>
      </c>
      <c r="O142" s="42" t="n">
        <v>1992</v>
      </c>
      <c r="P142" s="42" t="n">
        <v>24</v>
      </c>
      <c r="Q142" s="44" t="n">
        <v>19</v>
      </c>
      <c r="R142" s="42" t="n">
        <v>1992</v>
      </c>
      <c r="S142" s="42" t="n">
        <v>14</v>
      </c>
      <c r="T142" s="44" t="n">
        <v>18</v>
      </c>
      <c r="U142" s="42" t="n">
        <v>1992</v>
      </c>
      <c r="V142" s="42" t="n">
        <v>7</v>
      </c>
      <c r="W142" s="44" t="n">
        <v>18.8</v>
      </c>
      <c r="X142" s="42" t="n">
        <v>1994</v>
      </c>
      <c r="Y142" s="42" t="n">
        <v>7</v>
      </c>
      <c r="Z142" s="44" t="n">
        <v>19</v>
      </c>
      <c r="AA142" s="42" t="n">
        <v>1993</v>
      </c>
      <c r="AB142" s="42" t="n">
        <v>3</v>
      </c>
      <c r="AC142" s="44" t="n">
        <v>19</v>
      </c>
      <c r="AD142" s="42" t="n">
        <v>1996</v>
      </c>
      <c r="AE142" s="42" t="n">
        <v>16</v>
      </c>
      <c r="AF142" s="44" t="n">
        <v>18.6</v>
      </c>
      <c r="AG142" s="42" t="n">
        <v>1994</v>
      </c>
      <c r="AH142" s="42" t="n">
        <v>25</v>
      </c>
      <c r="AI142" s="44" t="n">
        <v>19.4</v>
      </c>
      <c r="AJ142" s="42" t="n">
        <v>1996</v>
      </c>
      <c r="AK142" s="42" t="n">
        <v>20</v>
      </c>
      <c r="AL142" s="44" t="n">
        <v>18.8</v>
      </c>
      <c r="AM142" s="42" t="n">
        <v>1983</v>
      </c>
      <c r="AN142" s="42" t="n">
        <v>24</v>
      </c>
      <c r="AO142" s="44" t="n">
        <v>19</v>
      </c>
      <c r="AP142" s="42" t="n">
        <v>1992</v>
      </c>
      <c r="AQ142" s="42" t="n">
        <v>2</v>
      </c>
    </row>
    <row r="143" ht="14.45" customHeight="1">
      <c r="A143" s="42" t="n">
        <v>21135030</v>
      </c>
      <c r="B143" s="42" t="inlineStr">
        <is>
          <t>ANCHIQUE [21135030]</t>
        </is>
      </c>
      <c r="C143" s="42" t="n">
        <v>3.573833333</v>
      </c>
      <c r="D143" s="42" t="n">
        <v>-75.10899999999999</v>
      </c>
      <c r="E143" s="42" t="n">
        <v>415</v>
      </c>
      <c r="F143" s="42" t="inlineStr">
        <is>
          <t>Natagaima</t>
        </is>
      </c>
      <c r="G143" s="42" t="inlineStr">
        <is>
          <t>Tolima</t>
        </is>
      </c>
      <c r="H143" s="44" t="n">
        <v>19.2</v>
      </c>
      <c r="I143" s="42" t="n">
        <v>2010</v>
      </c>
      <c r="J143" s="42" t="n">
        <v>4</v>
      </c>
      <c r="K143" s="44" t="n">
        <v>17</v>
      </c>
      <c r="L143" s="42" t="n">
        <v>1980</v>
      </c>
      <c r="M143" s="42" t="n">
        <v>1</v>
      </c>
      <c r="N143" s="44" t="n">
        <v>19</v>
      </c>
      <c r="O143" s="42" t="n">
        <v>1979</v>
      </c>
      <c r="P143" s="42" t="n">
        <v>6</v>
      </c>
      <c r="Q143" s="44" t="n">
        <v>19.4</v>
      </c>
      <c r="R143" s="42" t="n">
        <v>1982</v>
      </c>
      <c r="S143" s="42" t="n">
        <v>30</v>
      </c>
      <c r="T143" s="44" t="n">
        <v>18.2</v>
      </c>
      <c r="U143" s="42" t="n">
        <v>1992</v>
      </c>
      <c r="V143" s="42" t="n">
        <v>9</v>
      </c>
      <c r="W143" s="44" t="n">
        <v>17.2</v>
      </c>
      <c r="X143" s="42" t="n">
        <v>1979</v>
      </c>
      <c r="Y143" s="42" t="n">
        <v>15</v>
      </c>
      <c r="Z143" s="44" t="n">
        <v>19.4</v>
      </c>
      <c r="AA143" s="42" t="n">
        <v>1979</v>
      </c>
      <c r="AB143" s="42" t="n">
        <v>6</v>
      </c>
      <c r="AC143" s="44" t="n">
        <v>17.8</v>
      </c>
      <c r="AD143" s="42" t="n">
        <v>1993</v>
      </c>
      <c r="AE143" s="42" t="n">
        <v>18</v>
      </c>
      <c r="AF143" s="44" t="n">
        <v>18.6</v>
      </c>
      <c r="AG143" s="42" t="n">
        <v>1981</v>
      </c>
      <c r="AH143" s="42" t="n">
        <v>4</v>
      </c>
      <c r="AI143" s="44" t="n">
        <v>17</v>
      </c>
      <c r="AJ143" s="42" t="n">
        <v>1980</v>
      </c>
      <c r="AK143" s="42" t="n">
        <v>9</v>
      </c>
      <c r="AL143" s="44" t="n">
        <v>17</v>
      </c>
      <c r="AM143" s="42" t="n">
        <v>1979</v>
      </c>
      <c r="AN143" s="42" t="n">
        <v>15</v>
      </c>
      <c r="AO143" s="44" t="n">
        <v>17.4</v>
      </c>
      <c r="AP143" s="42" t="n">
        <v>1979</v>
      </c>
      <c r="AQ143" s="42" t="n">
        <v>15</v>
      </c>
    </row>
    <row r="144" ht="14.45" customHeight="1">
      <c r="A144" s="42" t="n">
        <v>35035020</v>
      </c>
      <c r="B144" s="42" t="inlineStr">
        <is>
          <t>AEROPUERTO VANGUARDIA [35035020]</t>
        </is>
      </c>
      <c r="C144" s="42" t="n">
        <v>4.161917</v>
      </c>
      <c r="D144" s="42" t="n">
        <v>-73.617583</v>
      </c>
      <c r="E144" s="42" t="n">
        <v>420</v>
      </c>
      <c r="F144" s="42" t="inlineStr">
        <is>
          <t>Villavicencio</t>
        </is>
      </c>
      <c r="G144" s="42" t="inlineStr">
        <is>
          <t>Meta</t>
        </is>
      </c>
      <c r="H144" s="44" t="n">
        <v>16.8</v>
      </c>
      <c r="I144" s="42" t="n">
        <v>1994</v>
      </c>
      <c r="J144" s="42" t="n">
        <v>26</v>
      </c>
      <c r="K144" s="44" t="n">
        <v>18</v>
      </c>
      <c r="L144" s="42" t="n">
        <v>2001</v>
      </c>
      <c r="M144" s="42" t="n">
        <v>19</v>
      </c>
      <c r="N144" s="44" t="n">
        <v>18.5</v>
      </c>
      <c r="O144" s="42" t="n">
        <v>2013</v>
      </c>
      <c r="P144" s="42" t="n">
        <v>24</v>
      </c>
      <c r="Q144" s="44" t="n">
        <v>18.1</v>
      </c>
      <c r="R144" s="42" t="n">
        <v>2014</v>
      </c>
      <c r="S144" s="42" t="n">
        <v>23</v>
      </c>
      <c r="T144" s="44" t="n">
        <v>17.6</v>
      </c>
      <c r="U144" s="42" t="n">
        <v>2000</v>
      </c>
      <c r="V144" s="42" t="n">
        <v>29</v>
      </c>
      <c r="W144" s="44" t="n">
        <v>17</v>
      </c>
      <c r="X144" s="42" t="n">
        <v>1985</v>
      </c>
      <c r="Y144" s="42" t="n">
        <v>10</v>
      </c>
      <c r="Z144" s="44" t="n">
        <v>16</v>
      </c>
      <c r="AA144" s="42" t="n">
        <v>1981</v>
      </c>
      <c r="AB144" s="42" t="n">
        <v>21</v>
      </c>
      <c r="AC144" s="44" t="n">
        <v>17</v>
      </c>
      <c r="AD144" s="42" t="n">
        <v>1995</v>
      </c>
      <c r="AE144" s="42" t="n">
        <v>14</v>
      </c>
      <c r="AF144" s="44" t="n">
        <v>17.8</v>
      </c>
      <c r="AG144" s="42" t="n">
        <v>1992</v>
      </c>
      <c r="AH144" s="42" t="n">
        <v>21</v>
      </c>
      <c r="AI144" s="44" t="n">
        <v>17.5</v>
      </c>
      <c r="AJ144" s="42" t="n">
        <v>1993</v>
      </c>
      <c r="AK144" s="42" t="n">
        <v>4</v>
      </c>
      <c r="AL144" s="44" t="n">
        <v>17.7</v>
      </c>
      <c r="AM144" s="42" t="n">
        <v>2012</v>
      </c>
      <c r="AN144" s="42" t="n">
        <v>6</v>
      </c>
      <c r="AO144" s="44" t="n">
        <v>16.6</v>
      </c>
      <c r="AP144" s="42" t="n">
        <v>1985</v>
      </c>
      <c r="AQ144" s="42" t="n">
        <v>18</v>
      </c>
    </row>
    <row r="145" ht="14.45" customHeight="1">
      <c r="A145" s="42" t="n">
        <v>32070110</v>
      </c>
      <c r="B145" s="42" t="inlineStr">
        <is>
          <t>AGUAS CLARAS [32070110]</t>
        </is>
      </c>
      <c r="C145" s="42" t="n">
        <v>3.47071</v>
      </c>
      <c r="D145" s="42" t="n">
        <v>-73.86185</v>
      </c>
      <c r="E145" s="42" t="n">
        <v>422</v>
      </c>
      <c r="F145" s="42" t="inlineStr">
        <is>
          <t>Granada</t>
        </is>
      </c>
      <c r="G145" s="42" t="inlineStr">
        <is>
          <t>Meta</t>
        </is>
      </c>
      <c r="H145" s="44" t="n">
        <v>18.6</v>
      </c>
      <c r="I145" s="42" t="n">
        <v>1988</v>
      </c>
      <c r="J145" s="42" t="n">
        <v>26</v>
      </c>
      <c r="K145" s="44" t="n">
        <v>19.3</v>
      </c>
      <c r="L145" s="42" t="n">
        <v>1987</v>
      </c>
      <c r="M145" s="42" t="n">
        <v>28</v>
      </c>
      <c r="N145" s="44" t="n">
        <v>19</v>
      </c>
      <c r="O145" s="42" t="n">
        <v>1987</v>
      </c>
      <c r="P145" s="42" t="n">
        <v>25</v>
      </c>
      <c r="Q145" s="44" t="n">
        <v>19</v>
      </c>
      <c r="R145" s="42" t="n">
        <v>1987</v>
      </c>
      <c r="S145" s="42" t="n">
        <v>3</v>
      </c>
      <c r="T145" s="44" t="n">
        <v>19</v>
      </c>
      <c r="U145" s="42" t="n">
        <v>1986</v>
      </c>
      <c r="V145" s="42" t="n">
        <v>7</v>
      </c>
      <c r="W145" s="44" t="n">
        <v>19.4</v>
      </c>
      <c r="X145" s="42" t="n">
        <v>1986</v>
      </c>
      <c r="Y145" s="42" t="n">
        <v>23</v>
      </c>
      <c r="Z145" s="44" t="n">
        <v>18.8</v>
      </c>
      <c r="AA145" s="42" t="n">
        <v>1988</v>
      </c>
      <c r="AB145" s="42" t="n">
        <v>15</v>
      </c>
      <c r="AC145" s="44" t="n">
        <v>17.9</v>
      </c>
      <c r="AD145" s="42" t="n">
        <v>1986</v>
      </c>
      <c r="AE145" s="42" t="n">
        <v>12</v>
      </c>
      <c r="AF145" s="44" t="n">
        <v>18.6</v>
      </c>
      <c r="AG145" s="42" t="n">
        <v>1986</v>
      </c>
      <c r="AH145" s="42" t="n">
        <v>7</v>
      </c>
      <c r="AI145" s="44" t="n">
        <v>19</v>
      </c>
      <c r="AJ145" s="42" t="n">
        <v>1987</v>
      </c>
      <c r="AK145" s="42" t="n">
        <v>10</v>
      </c>
      <c r="AL145" s="44" t="n">
        <v>19.4</v>
      </c>
      <c r="AM145" s="42" t="n">
        <v>1986</v>
      </c>
      <c r="AN145" s="42" t="n">
        <v>7</v>
      </c>
      <c r="AO145" s="44" t="n">
        <v>17.5</v>
      </c>
      <c r="AP145" s="42" t="n">
        <v>1987</v>
      </c>
      <c r="AQ145" s="42" t="n">
        <v>17</v>
      </c>
    </row>
    <row r="146" ht="14.45" customHeight="1">
      <c r="A146" s="42" t="n">
        <v>21255140</v>
      </c>
      <c r="B146" s="42" t="inlineStr">
        <is>
          <t>QUINTA LA [21255140]</t>
        </is>
      </c>
      <c r="C146" s="42" t="n">
        <v>4.8215</v>
      </c>
      <c r="D146" s="42" t="n">
        <v>-74.92063889000001</v>
      </c>
      <c r="E146" s="42" t="n">
        <v>429</v>
      </c>
      <c r="F146" s="42" t="inlineStr">
        <is>
          <t>Lérida</t>
        </is>
      </c>
      <c r="G146" s="42" t="inlineStr">
        <is>
          <t>Tolima</t>
        </is>
      </c>
      <c r="H146" s="44" t="n">
        <v>19.8</v>
      </c>
      <c r="I146" s="42" t="n">
        <v>1988</v>
      </c>
      <c r="J146" s="42" t="n">
        <v>30</v>
      </c>
      <c r="K146" s="44" t="n">
        <v>19.8</v>
      </c>
      <c r="L146" s="42" t="n">
        <v>1996</v>
      </c>
      <c r="M146" s="42" t="n">
        <v>7</v>
      </c>
      <c r="N146" s="44" t="n">
        <v>19.8</v>
      </c>
      <c r="O146" s="42" t="n">
        <v>1987</v>
      </c>
      <c r="P146" s="42" t="n">
        <v>11</v>
      </c>
      <c r="Q146" s="44" t="n">
        <v>19.8</v>
      </c>
      <c r="R146" s="42" t="n">
        <v>1987</v>
      </c>
      <c r="S146" s="42" t="n">
        <v>5</v>
      </c>
      <c r="T146" s="44" t="n">
        <v>19.8</v>
      </c>
      <c r="U146" s="42" t="n">
        <v>1987</v>
      </c>
      <c r="V146" s="42" t="n">
        <v>24</v>
      </c>
      <c r="W146" s="44" t="n">
        <v>19.8</v>
      </c>
      <c r="X146" s="42" t="n">
        <v>1994</v>
      </c>
      <c r="Y146" s="42" t="n">
        <v>5</v>
      </c>
      <c r="Z146" s="44" t="n">
        <v>19.8</v>
      </c>
      <c r="AA146" s="42" t="n">
        <v>1987</v>
      </c>
      <c r="AB146" s="42" t="n">
        <v>25</v>
      </c>
      <c r="AC146" s="44" t="n">
        <v>19.8</v>
      </c>
      <c r="AD146" s="42" t="n">
        <v>1987</v>
      </c>
      <c r="AE146" s="42" t="n">
        <v>2</v>
      </c>
      <c r="AF146" s="44" t="n">
        <v>19.8</v>
      </c>
      <c r="AG146" s="42" t="n">
        <v>1985</v>
      </c>
      <c r="AH146" s="42" t="n">
        <v>26</v>
      </c>
      <c r="AI146" s="44" t="n">
        <v>19.8</v>
      </c>
      <c r="AJ146" s="42" t="n">
        <v>1986</v>
      </c>
      <c r="AK146" s="42" t="n">
        <v>12</v>
      </c>
      <c r="AL146" s="44" t="n">
        <v>19.8</v>
      </c>
      <c r="AM146" s="42" t="n">
        <v>1987</v>
      </c>
      <c r="AN146" s="42" t="n">
        <v>7</v>
      </c>
      <c r="AO146" s="44" t="n">
        <v>19.8</v>
      </c>
      <c r="AP146" s="42" t="n">
        <v>1985</v>
      </c>
      <c r="AQ146" s="42" t="n">
        <v>31</v>
      </c>
    </row>
    <row r="147" ht="14.45" customHeight="1">
      <c r="A147" s="42" t="n">
        <v>21115080</v>
      </c>
      <c r="B147" s="42" t="inlineStr">
        <is>
          <t>VILLAVIEJA FFCC [21115080]</t>
        </is>
      </c>
      <c r="C147" s="42" t="n">
        <v>3.183055556</v>
      </c>
      <c r="D147" s="42" t="n">
        <v>-75.2475</v>
      </c>
      <c r="E147" s="42" t="n">
        <v>430</v>
      </c>
      <c r="F147" s="42" t="inlineStr">
        <is>
          <t>Villavieja</t>
        </is>
      </c>
      <c r="G147" s="42" t="inlineStr">
        <is>
          <t>Huila</t>
        </is>
      </c>
      <c r="H147" s="44" t="n">
        <v>17.3</v>
      </c>
      <c r="I147" s="42" t="n">
        <v>2019</v>
      </c>
      <c r="J147" s="42" t="n">
        <v>1</v>
      </c>
      <c r="K147" s="44" t="n">
        <v>16.4</v>
      </c>
      <c r="L147" s="42" t="n">
        <v>1989</v>
      </c>
      <c r="M147" s="42" t="n">
        <v>3</v>
      </c>
      <c r="N147" s="44" t="n">
        <v>18</v>
      </c>
      <c r="O147" s="42" t="n">
        <v>1980</v>
      </c>
      <c r="P147" s="42" t="n">
        <v>17</v>
      </c>
      <c r="Q147" s="44" t="n">
        <v>18.2</v>
      </c>
      <c r="R147" s="42" t="n">
        <v>2024</v>
      </c>
      <c r="S147" s="42" t="n">
        <v>13</v>
      </c>
      <c r="T147" s="44" t="n">
        <v>17</v>
      </c>
      <c r="U147" s="42" t="n">
        <v>2024</v>
      </c>
      <c r="V147" s="42" t="n">
        <v>11</v>
      </c>
      <c r="W147" s="44" t="n">
        <v>15.4</v>
      </c>
      <c r="X147" s="42" t="n">
        <v>1995</v>
      </c>
      <c r="Y147" s="42" t="n">
        <v>9</v>
      </c>
      <c r="Z147" s="44" t="n">
        <v>16</v>
      </c>
      <c r="AA147" s="42" t="n">
        <v>1980</v>
      </c>
      <c r="AB147" s="42" t="n">
        <v>7</v>
      </c>
      <c r="AC147" s="44" t="n">
        <v>16.8</v>
      </c>
      <c r="AD147" s="42" t="n">
        <v>1978</v>
      </c>
      <c r="AE147" s="42" t="n">
        <v>17</v>
      </c>
      <c r="AF147" s="44" t="n">
        <v>18.4</v>
      </c>
      <c r="AG147" s="42" t="n">
        <v>1999</v>
      </c>
      <c r="AH147" s="42" t="n">
        <v>26</v>
      </c>
      <c r="AI147" s="44" t="n">
        <v>16.8</v>
      </c>
      <c r="AJ147" s="42" t="n">
        <v>1978</v>
      </c>
      <c r="AK147" s="42" t="n">
        <v>23</v>
      </c>
      <c r="AL147" s="44" t="n">
        <v>17</v>
      </c>
      <c r="AM147" s="42" t="n">
        <v>1992</v>
      </c>
      <c r="AN147" s="42" t="n">
        <v>18</v>
      </c>
      <c r="AO147" s="44" t="n">
        <v>17</v>
      </c>
      <c r="AP147" s="42" t="n">
        <v>2018</v>
      </c>
      <c r="AQ147" s="42" t="n">
        <v>26</v>
      </c>
    </row>
    <row r="148" ht="14.45" customHeight="1">
      <c r="A148" s="42" t="n">
        <v>21215080</v>
      </c>
      <c r="B148" s="42" t="inlineStr">
        <is>
          <t>CHICORAL [21215080]</t>
        </is>
      </c>
      <c r="C148" s="42" t="n">
        <v>4.231527778</v>
      </c>
      <c r="D148" s="42" t="n">
        <v>-74.99536111</v>
      </c>
      <c r="E148" s="42" t="n">
        <v>432</v>
      </c>
      <c r="F148" s="42" t="inlineStr">
        <is>
          <t>Espinal</t>
        </is>
      </c>
      <c r="G148" s="42" t="inlineStr">
        <is>
          <t>Tolima</t>
        </is>
      </c>
      <c r="H148" s="44" t="n">
        <v>17.4</v>
      </c>
      <c r="I148" s="42" t="n">
        <v>1998</v>
      </c>
      <c r="J148" s="42" t="n">
        <v>3</v>
      </c>
      <c r="K148" s="44" t="n">
        <v>17.8</v>
      </c>
      <c r="L148" s="42" t="n">
        <v>1998</v>
      </c>
      <c r="M148" s="42" t="n">
        <v>16</v>
      </c>
      <c r="N148" s="44" t="n">
        <v>17</v>
      </c>
      <c r="O148" s="42" t="n">
        <v>2001</v>
      </c>
      <c r="P148" s="42" t="n">
        <v>3</v>
      </c>
      <c r="Q148" s="44" t="n">
        <v>17.6</v>
      </c>
      <c r="R148" s="42" t="n">
        <v>1988</v>
      </c>
      <c r="S148" s="42" t="n">
        <v>15</v>
      </c>
      <c r="T148" s="44" t="n">
        <v>17</v>
      </c>
      <c r="U148" s="42" t="n">
        <v>1998</v>
      </c>
      <c r="V148" s="42" t="n">
        <v>20</v>
      </c>
      <c r="W148" s="44" t="n">
        <v>16.2</v>
      </c>
      <c r="X148" s="42" t="n">
        <v>1983</v>
      </c>
      <c r="Y148" s="42" t="n">
        <v>15</v>
      </c>
      <c r="Z148" s="44" t="n">
        <v>16</v>
      </c>
      <c r="AA148" s="42" t="n">
        <v>1997</v>
      </c>
      <c r="AB148" s="42" t="n">
        <v>19</v>
      </c>
      <c r="AC148" s="44" t="n">
        <v>16</v>
      </c>
      <c r="AD148" s="42" t="n">
        <v>2001</v>
      </c>
      <c r="AE148" s="42" t="n">
        <v>11</v>
      </c>
      <c r="AF148" s="44" t="n">
        <v>16</v>
      </c>
      <c r="AG148" s="42" t="n">
        <v>1998</v>
      </c>
      <c r="AH148" s="42" t="n">
        <v>13</v>
      </c>
      <c r="AI148" s="44" t="n">
        <v>16.8</v>
      </c>
      <c r="AJ148" s="42" t="n">
        <v>1998</v>
      </c>
      <c r="AK148" s="42" t="n">
        <v>21</v>
      </c>
      <c r="AL148" s="44" t="n">
        <v>16.4</v>
      </c>
      <c r="AM148" s="42" t="n">
        <v>1998</v>
      </c>
      <c r="AN148" s="42" t="n">
        <v>7</v>
      </c>
      <c r="AO148" s="44" t="n">
        <v>17.2</v>
      </c>
      <c r="AP148" s="42" t="n">
        <v>1997</v>
      </c>
      <c r="AQ148" s="42" t="n">
        <v>2</v>
      </c>
    </row>
    <row r="149" ht="14.45" customHeight="1">
      <c r="A149" s="42" t="n">
        <v>2125500032</v>
      </c>
      <c r="B149" s="42" t="inlineStr">
        <is>
          <t>MARIQUITA  [2125500032]</t>
        </is>
      </c>
      <c r="C149" s="42" t="n">
        <v>5.170052</v>
      </c>
      <c r="D149" s="42" t="n">
        <v>-74.890866</v>
      </c>
      <c r="E149" s="42" t="n">
        <v>437</v>
      </c>
      <c r="F149" s="42" t="inlineStr">
        <is>
          <t>Mariquita</t>
        </is>
      </c>
      <c r="G149" s="42" t="inlineStr">
        <is>
          <t>Tolima</t>
        </is>
      </c>
      <c r="H149" s="44" t="n">
        <v>20.2</v>
      </c>
      <c r="I149" s="42" t="n">
        <v>2025</v>
      </c>
      <c r="J149" s="42" t="n">
        <v>24</v>
      </c>
      <c r="K149" s="44" t="n">
        <v>20.2</v>
      </c>
      <c r="L149" s="42" t="n">
        <v>2023</v>
      </c>
      <c r="M149" s="42" t="n">
        <v>2</v>
      </c>
      <c r="N149" s="44" t="n">
        <v>20.4</v>
      </c>
      <c r="O149" s="42" t="n">
        <v>2022</v>
      </c>
      <c r="P149" s="42" t="n">
        <v>12</v>
      </c>
      <c r="Q149" s="44" t="n">
        <v>20.6</v>
      </c>
      <c r="R149" s="42" t="n">
        <v>2021</v>
      </c>
      <c r="S149" s="42" t="n">
        <v>30</v>
      </c>
      <c r="T149" s="44" t="n">
        <v>20</v>
      </c>
      <c r="U149" s="42" t="n">
        <v>2025</v>
      </c>
      <c r="V149" s="42" t="n">
        <v>3</v>
      </c>
      <c r="W149" s="44" t="n">
        <v>20</v>
      </c>
      <c r="X149" s="42" t="n">
        <v>2020</v>
      </c>
      <c r="Y149" s="42" t="n">
        <v>9</v>
      </c>
      <c r="Z149" s="44" t="n">
        <v>20.2</v>
      </c>
      <c r="AA149" s="42" t="n">
        <v>2025</v>
      </c>
      <c r="AB149" s="42" t="n">
        <v>8</v>
      </c>
      <c r="AC149" s="44" t="n">
        <v>20</v>
      </c>
      <c r="AD149" s="42" t="n">
        <v>2020</v>
      </c>
      <c r="AE149" s="42" t="n">
        <v>6</v>
      </c>
      <c r="AF149" s="44" t="n">
        <v>20</v>
      </c>
      <c r="AG149" s="42" t="n">
        <v>2022</v>
      </c>
      <c r="AH149" s="42" t="n">
        <v>27</v>
      </c>
      <c r="AI149" s="44" t="n">
        <v>20</v>
      </c>
      <c r="AJ149" s="42" t="n">
        <v>2023</v>
      </c>
      <c r="AK149" s="42" t="n">
        <v>6</v>
      </c>
      <c r="AL149" s="44" t="n">
        <v>20.4</v>
      </c>
      <c r="AM149" s="42" t="n">
        <v>2019</v>
      </c>
      <c r="AN149" s="42" t="n">
        <v>17</v>
      </c>
      <c r="AO149" s="44" t="n">
        <v>20</v>
      </c>
      <c r="AP149" s="42" t="n">
        <v>2019</v>
      </c>
      <c r="AQ149" s="42" t="n">
        <v>2</v>
      </c>
    </row>
    <row r="150" ht="14.45" customHeight="1">
      <c r="A150" s="42" t="n">
        <v>21115020</v>
      </c>
      <c r="B150" s="42" t="inlineStr">
        <is>
          <t>AEROPUERTO BENITO SALAS [21115020]</t>
        </is>
      </c>
      <c r="C150" s="42" t="n">
        <v>2.94875</v>
      </c>
      <c r="D150" s="42" t="n">
        <v>-75.29305556</v>
      </c>
      <c r="E150" s="42" t="n">
        <v>439</v>
      </c>
      <c r="F150" s="42" t="inlineStr">
        <is>
          <t>Neiva</t>
        </is>
      </c>
      <c r="G150" s="42" t="inlineStr">
        <is>
          <t>Huila</t>
        </is>
      </c>
      <c r="H150" s="44" t="n">
        <v>18.4</v>
      </c>
      <c r="I150" s="42" t="n">
        <v>1982</v>
      </c>
      <c r="J150" s="42" t="n">
        <v>20</v>
      </c>
      <c r="K150" s="44" t="n">
        <v>18.8</v>
      </c>
      <c r="L150" s="42" t="n">
        <v>1979</v>
      </c>
      <c r="M150" s="42" t="n">
        <v>4</v>
      </c>
      <c r="N150" s="44" t="n">
        <v>18.6</v>
      </c>
      <c r="O150" s="42" t="n">
        <v>1982</v>
      </c>
      <c r="P150" s="42" t="n">
        <v>7</v>
      </c>
      <c r="Q150" s="44" t="n">
        <v>19.2</v>
      </c>
      <c r="R150" s="42" t="n">
        <v>1997</v>
      </c>
      <c r="S150" s="42" t="n">
        <v>25</v>
      </c>
      <c r="T150" s="44" t="n">
        <v>19.1</v>
      </c>
      <c r="U150" s="42" t="n">
        <v>1982</v>
      </c>
      <c r="V150" s="42" t="n">
        <v>4</v>
      </c>
      <c r="W150" s="44" t="n">
        <v>18</v>
      </c>
      <c r="X150" s="42" t="n">
        <v>1994</v>
      </c>
      <c r="Y150" s="42" t="n">
        <v>6</v>
      </c>
      <c r="Z150" s="44" t="n">
        <v>18.4</v>
      </c>
      <c r="AA150" s="42" t="n">
        <v>1982</v>
      </c>
      <c r="AB150" s="42" t="n">
        <v>9</v>
      </c>
      <c r="AC150" s="44" t="n">
        <v>18.5</v>
      </c>
      <c r="AD150" s="42" t="n">
        <v>1985</v>
      </c>
      <c r="AE150" s="42" t="n">
        <v>11</v>
      </c>
      <c r="AF150" s="44" t="n">
        <v>17.6</v>
      </c>
      <c r="AG150" s="42" t="n">
        <v>1993</v>
      </c>
      <c r="AH150" s="42" t="n">
        <v>11</v>
      </c>
      <c r="AI150" s="44" t="n">
        <v>19.6</v>
      </c>
      <c r="AJ150" s="42" t="n">
        <v>1990</v>
      </c>
      <c r="AK150" s="42" t="n">
        <v>10</v>
      </c>
      <c r="AL150" s="44" t="n">
        <v>18.6</v>
      </c>
      <c r="AM150" s="42" t="n">
        <v>2001</v>
      </c>
      <c r="AN150" s="42" t="n">
        <v>2</v>
      </c>
      <c r="AO150" s="44" t="n">
        <v>18.5</v>
      </c>
      <c r="AP150" s="42" t="n">
        <v>1988</v>
      </c>
      <c r="AQ150" s="42" t="n">
        <v>21</v>
      </c>
    </row>
    <row r="151" ht="14.45" customHeight="1">
      <c r="A151" s="42" t="n">
        <v>21145040</v>
      </c>
      <c r="B151" s="42" t="inlineStr">
        <is>
          <t>SAN ALFONSO [21145040]</t>
        </is>
      </c>
      <c r="C151" s="42" t="n">
        <v>3.373361111</v>
      </c>
      <c r="D151" s="42" t="n">
        <v>-75.11011111000001</v>
      </c>
      <c r="E151" s="42" t="n">
        <v>440</v>
      </c>
      <c r="F151" s="42" t="inlineStr">
        <is>
          <t>Villavieja</t>
        </is>
      </c>
      <c r="G151" s="42" t="inlineStr">
        <is>
          <t>Huila</t>
        </is>
      </c>
      <c r="H151" s="44" t="n">
        <v>18.4</v>
      </c>
      <c r="I151" s="42" t="n">
        <v>1984</v>
      </c>
      <c r="J151" s="42" t="n">
        <v>19</v>
      </c>
      <c r="K151" s="44" t="n">
        <v>18.4</v>
      </c>
      <c r="L151" s="42" t="n">
        <v>1979</v>
      </c>
      <c r="M151" s="42" t="n">
        <v>8</v>
      </c>
      <c r="N151" s="44" t="n">
        <v>17.4</v>
      </c>
      <c r="O151" s="42" t="n">
        <v>1979</v>
      </c>
      <c r="P151" s="42" t="n">
        <v>5</v>
      </c>
      <c r="Q151" s="44" t="n">
        <v>17.4</v>
      </c>
      <c r="R151" s="42" t="n">
        <v>1979</v>
      </c>
      <c r="S151" s="42" t="n">
        <v>18</v>
      </c>
      <c r="T151" s="44" t="n">
        <v>18</v>
      </c>
      <c r="U151" s="42" t="n">
        <v>1979</v>
      </c>
      <c r="V151" s="42" t="n">
        <v>25</v>
      </c>
      <c r="W151" s="44" t="n">
        <v>19</v>
      </c>
      <c r="X151" s="42" t="n">
        <v>1984</v>
      </c>
      <c r="Y151" s="42" t="n">
        <v>12</v>
      </c>
      <c r="Z151" s="44" t="n">
        <v>18.2</v>
      </c>
      <c r="AA151" s="42" t="n">
        <v>1996</v>
      </c>
      <c r="AB151" s="42" t="n">
        <v>24</v>
      </c>
      <c r="AC151" s="44" t="n">
        <v>18.2</v>
      </c>
      <c r="AD151" s="42" t="n">
        <v>1991</v>
      </c>
      <c r="AE151" s="42" t="n">
        <v>11</v>
      </c>
      <c r="AF151" s="44" t="n">
        <v>18</v>
      </c>
      <c r="AG151" s="42" t="n">
        <v>1979</v>
      </c>
      <c r="AH151" s="42" t="n">
        <v>1</v>
      </c>
      <c r="AI151" s="44" t="n">
        <v>17.8</v>
      </c>
      <c r="AJ151" s="42" t="n">
        <v>1982</v>
      </c>
      <c r="AK151" s="42" t="n">
        <v>26</v>
      </c>
      <c r="AL151" s="44" t="n">
        <v>18.8</v>
      </c>
      <c r="AM151" s="42" t="n">
        <v>1979</v>
      </c>
      <c r="AN151" s="42" t="n">
        <v>6</v>
      </c>
      <c r="AO151" s="44" t="n">
        <v>17.4</v>
      </c>
      <c r="AP151" s="42" t="n">
        <v>1982</v>
      </c>
      <c r="AQ151" s="42" t="n">
        <v>24</v>
      </c>
    </row>
    <row r="152" ht="14.45" customHeight="1">
      <c r="A152" s="42" t="n">
        <v>23070020</v>
      </c>
      <c r="B152" s="42" t="inlineStr">
        <is>
          <t>RIO CLARO [23070020]</t>
        </is>
      </c>
      <c r="C152" s="42" t="n">
        <v>5.855527778</v>
      </c>
      <c r="D152" s="42" t="n">
        <v>-74.84836111</v>
      </c>
      <c r="E152" s="42" t="n">
        <v>449</v>
      </c>
      <c r="F152" s="42" t="inlineStr">
        <is>
          <t>Sonsón</t>
        </is>
      </c>
      <c r="G152" s="42" t="inlineStr">
        <is>
          <t>Antioquia</t>
        </is>
      </c>
      <c r="H152" s="44" t="n">
        <v>17</v>
      </c>
      <c r="I152" s="42" t="n">
        <v>2004</v>
      </c>
      <c r="J152" s="42" t="n">
        <v>20</v>
      </c>
      <c r="K152" s="44" t="n">
        <v>16.6</v>
      </c>
      <c r="L152" s="42" t="n">
        <v>1996</v>
      </c>
      <c r="M152" s="42" t="n">
        <v>1</v>
      </c>
      <c r="N152" s="44" t="n">
        <v>17.4</v>
      </c>
      <c r="O152" s="42" t="n">
        <v>1991</v>
      </c>
      <c r="P152" s="42" t="n">
        <v>9</v>
      </c>
      <c r="Q152" s="44" t="n">
        <v>16.8</v>
      </c>
      <c r="R152" s="42" t="n">
        <v>1994</v>
      </c>
      <c r="S152" s="42" t="n">
        <v>18</v>
      </c>
      <c r="T152" s="44" t="n">
        <v>17.2</v>
      </c>
      <c r="U152" s="42" t="n">
        <v>1994</v>
      </c>
      <c r="V152" s="42" t="n">
        <v>27</v>
      </c>
      <c r="W152" s="44" t="n">
        <v>18.2</v>
      </c>
      <c r="X152" s="42" t="n">
        <v>1992</v>
      </c>
      <c r="Y152" s="42" t="n">
        <v>4</v>
      </c>
      <c r="Z152" s="44" t="n">
        <v>17.2</v>
      </c>
      <c r="AA152" s="42" t="n">
        <v>1994</v>
      </c>
      <c r="AB152" s="42" t="n">
        <v>16</v>
      </c>
      <c r="AC152" s="44" t="n">
        <v>16.4</v>
      </c>
      <c r="AD152" s="42" t="n">
        <v>1990</v>
      </c>
      <c r="AE152" s="42" t="n">
        <v>31</v>
      </c>
      <c r="AF152" s="44" t="n">
        <v>17</v>
      </c>
      <c r="AG152" s="42" t="n">
        <v>1994</v>
      </c>
      <c r="AH152" s="42" t="n">
        <v>23</v>
      </c>
      <c r="AI152" s="44" t="n">
        <v>17.4</v>
      </c>
      <c r="AJ152" s="42" t="n">
        <v>1995</v>
      </c>
      <c r="AK152" s="42" t="n">
        <v>28</v>
      </c>
      <c r="AL152" s="44" t="n">
        <v>17.8</v>
      </c>
      <c r="AM152" s="42" t="n">
        <v>1996</v>
      </c>
      <c r="AN152" s="42" t="n">
        <v>3</v>
      </c>
      <c r="AO152" s="44" t="n">
        <v>18.2</v>
      </c>
      <c r="AP152" s="42" t="n">
        <v>1993</v>
      </c>
      <c r="AQ152" s="42" t="n">
        <v>29</v>
      </c>
    </row>
    <row r="153" ht="14.45" customHeight="1">
      <c r="A153" s="42" t="n">
        <v>21095010</v>
      </c>
      <c r="B153" s="42" t="inlineStr">
        <is>
          <t>JUNCAL EL AUT [21095010]</t>
        </is>
      </c>
      <c r="C153" s="42" t="n">
        <v>2.828805556</v>
      </c>
      <c r="D153" s="42" t="n">
        <v>-75.33116667</v>
      </c>
      <c r="E153" s="42" t="n">
        <v>460</v>
      </c>
      <c r="F153" s="42" t="inlineStr">
        <is>
          <t>Palermo</t>
        </is>
      </c>
      <c r="G153" s="42" t="inlineStr">
        <is>
          <t>Huila</t>
        </is>
      </c>
      <c r="H153" s="44" t="n">
        <v>17.8</v>
      </c>
      <c r="I153" s="42" t="n">
        <v>1989</v>
      </c>
      <c r="J153" s="42" t="n">
        <v>18</v>
      </c>
      <c r="K153" s="44" t="n">
        <v>17</v>
      </c>
      <c r="L153" s="42" t="n">
        <v>1979</v>
      </c>
      <c r="M153" s="42" t="n">
        <v>27</v>
      </c>
      <c r="N153" s="44" t="n">
        <v>17</v>
      </c>
      <c r="O153" s="42" t="n">
        <v>1979</v>
      </c>
      <c r="P153" s="42" t="n">
        <v>26</v>
      </c>
      <c r="Q153" s="44" t="n">
        <v>17</v>
      </c>
      <c r="R153" s="42" t="n">
        <v>1979</v>
      </c>
      <c r="S153" s="42" t="n">
        <v>7</v>
      </c>
      <c r="T153" s="44" t="n">
        <v>18</v>
      </c>
      <c r="U153" s="42" t="n">
        <v>1999</v>
      </c>
      <c r="V153" s="42" t="n">
        <v>10</v>
      </c>
      <c r="W153" s="44" t="n">
        <v>19</v>
      </c>
      <c r="X153" s="42" t="n">
        <v>1979</v>
      </c>
      <c r="Y153" s="42" t="n">
        <v>12</v>
      </c>
      <c r="Z153" s="44" t="n">
        <v>17.4</v>
      </c>
      <c r="AA153" s="42" t="n">
        <v>1999</v>
      </c>
      <c r="AB153" s="42" t="n">
        <v>10</v>
      </c>
      <c r="AC153" s="44" t="n">
        <v>17.2</v>
      </c>
      <c r="AD153" s="42" t="n">
        <v>1984</v>
      </c>
      <c r="AE153" s="42" t="n">
        <v>1</v>
      </c>
      <c r="AF153" s="44" t="n">
        <v>17</v>
      </c>
      <c r="AG153" s="42" t="n">
        <v>1978</v>
      </c>
      <c r="AH153" s="42" t="n">
        <v>2</v>
      </c>
      <c r="AI153" s="44" t="n">
        <v>17</v>
      </c>
      <c r="AJ153" s="42" t="n">
        <v>1978</v>
      </c>
      <c r="AK153" s="42" t="n">
        <v>3</v>
      </c>
      <c r="AL153" s="44" t="n">
        <v>17.8</v>
      </c>
      <c r="AM153" s="42" t="n">
        <v>1979</v>
      </c>
      <c r="AN153" s="42" t="n">
        <v>21</v>
      </c>
      <c r="AO153" s="44" t="n">
        <v>18.4</v>
      </c>
      <c r="AP153" s="42" t="n">
        <v>1988</v>
      </c>
      <c r="AQ153" s="42" t="n">
        <v>21</v>
      </c>
    </row>
    <row r="154" ht="14.45" customHeight="1">
      <c r="A154" s="42" t="n">
        <v>35195020</v>
      </c>
      <c r="B154" s="42" t="inlineStr">
        <is>
          <t>TAURAMENA [35195020]</t>
        </is>
      </c>
      <c r="C154" s="42" t="n">
        <v>5.027257778</v>
      </c>
      <c r="D154" s="42" t="n">
        <v>-72.869841667</v>
      </c>
      <c r="E154" s="42" t="n">
        <v>460</v>
      </c>
      <c r="F154" s="42" t="inlineStr">
        <is>
          <t>Tauramena</t>
        </is>
      </c>
      <c r="G154" s="42" t="inlineStr">
        <is>
          <t>Casanare</t>
        </is>
      </c>
      <c r="H154" s="44" t="n">
        <v>16</v>
      </c>
      <c r="I154" s="42" t="n">
        <v>1985</v>
      </c>
      <c r="J154" s="42" t="n">
        <v>7</v>
      </c>
      <c r="K154" s="44" t="n">
        <v>15</v>
      </c>
      <c r="L154" s="42" t="n">
        <v>1985</v>
      </c>
      <c r="M154" s="42" t="n">
        <v>7</v>
      </c>
      <c r="N154" s="44" t="n">
        <v>16</v>
      </c>
      <c r="O154" s="42" t="n">
        <v>1987</v>
      </c>
      <c r="P154" s="42" t="n">
        <v>1</v>
      </c>
      <c r="Q154" s="44" t="n">
        <v>15.4</v>
      </c>
      <c r="R154" s="42" t="n">
        <v>1987</v>
      </c>
      <c r="S154" s="42" t="n">
        <v>12</v>
      </c>
      <c r="T154" s="44" t="n">
        <v>15</v>
      </c>
      <c r="U154" s="42" t="n">
        <v>1985</v>
      </c>
      <c r="V154" s="42" t="n">
        <v>2</v>
      </c>
      <c r="W154" s="44" t="n">
        <v>15.2</v>
      </c>
      <c r="X154" s="42" t="n">
        <v>1987</v>
      </c>
      <c r="Y154" s="42" t="n">
        <v>18</v>
      </c>
      <c r="Z154" s="44" t="n">
        <v>12.2</v>
      </c>
      <c r="AA154" s="42" t="n">
        <v>1990</v>
      </c>
      <c r="AB154" s="42" t="n">
        <v>30</v>
      </c>
      <c r="AC154" s="44" t="n">
        <v>14</v>
      </c>
      <c r="AD154" s="42" t="n">
        <v>1990</v>
      </c>
      <c r="AE154" s="42" t="n">
        <v>9</v>
      </c>
      <c r="AF154" s="44" t="n">
        <v>14.2</v>
      </c>
      <c r="AG154" s="42" t="n">
        <v>1995</v>
      </c>
      <c r="AH154" s="42" t="n">
        <v>26</v>
      </c>
      <c r="AI154" s="44" t="n">
        <v>16</v>
      </c>
      <c r="AJ154" s="42" t="n">
        <v>1985</v>
      </c>
      <c r="AK154" s="42" t="n">
        <v>3</v>
      </c>
      <c r="AL154" s="44" t="n">
        <v>16</v>
      </c>
      <c r="AM154" s="42" t="n">
        <v>1985</v>
      </c>
      <c r="AN154" s="42" t="n">
        <v>5</v>
      </c>
      <c r="AO154" s="44" t="n">
        <v>16.8</v>
      </c>
      <c r="AP154" s="42" t="n">
        <v>1983</v>
      </c>
      <c r="AQ154" s="42" t="n">
        <v>8</v>
      </c>
    </row>
    <row r="155" ht="14.45" customHeight="1">
      <c r="A155" s="42" t="n">
        <v>26225030</v>
      </c>
      <c r="B155" s="42" t="inlineStr">
        <is>
          <t>COTOVE HACIENDA [26225030]</t>
        </is>
      </c>
      <c r="C155" s="42" t="n">
        <v>6.533916667</v>
      </c>
      <c r="D155" s="42" t="n">
        <v>-75.827333333</v>
      </c>
      <c r="E155" s="42" t="n">
        <v>534</v>
      </c>
      <c r="F155" s="42" t="inlineStr">
        <is>
          <t>Santa Fe De Antioquia</t>
        </is>
      </c>
      <c r="G155" s="42" t="inlineStr">
        <is>
          <t>Antioquia</t>
        </is>
      </c>
      <c r="H155" s="44" t="n">
        <v>15.8</v>
      </c>
      <c r="I155" s="42" t="n">
        <v>1997</v>
      </c>
      <c r="J155" s="42" t="n">
        <v>19</v>
      </c>
      <c r="K155" s="44" t="n">
        <v>17</v>
      </c>
      <c r="L155" s="42" t="n">
        <v>1978</v>
      </c>
      <c r="M155" s="42" t="n">
        <v>19</v>
      </c>
      <c r="N155" s="44" t="n">
        <v>15.4</v>
      </c>
      <c r="O155" s="42" t="n">
        <v>1978</v>
      </c>
      <c r="P155" s="42" t="n">
        <v>4</v>
      </c>
      <c r="Q155" s="44" t="n">
        <v>16.4</v>
      </c>
      <c r="R155" s="42" t="n">
        <v>1997</v>
      </c>
      <c r="S155" s="42" t="n">
        <v>24</v>
      </c>
      <c r="T155" s="44" t="n">
        <v>16</v>
      </c>
      <c r="U155" s="42" t="n">
        <v>1991</v>
      </c>
      <c r="V155" s="42" t="n">
        <v>19</v>
      </c>
      <c r="W155" s="44" t="n">
        <v>15.4</v>
      </c>
      <c r="X155" s="42" t="n">
        <v>1984</v>
      </c>
      <c r="Y155" s="42" t="n">
        <v>1</v>
      </c>
      <c r="Z155" s="44" t="n">
        <v>15.4</v>
      </c>
      <c r="AA155" s="42" t="n">
        <v>1978</v>
      </c>
      <c r="AB155" s="42" t="n">
        <v>25</v>
      </c>
      <c r="AC155" s="44" t="n">
        <v>15.6</v>
      </c>
      <c r="AD155" s="42" t="n">
        <v>1984</v>
      </c>
      <c r="AE155" s="42" t="n">
        <v>28</v>
      </c>
      <c r="AF155" s="44" t="n">
        <v>16</v>
      </c>
      <c r="AG155" s="42" t="n">
        <v>1983</v>
      </c>
      <c r="AH155" s="42" t="n">
        <v>22</v>
      </c>
      <c r="AI155" s="44" t="n">
        <v>15</v>
      </c>
      <c r="AJ155" s="42" t="n">
        <v>1988</v>
      </c>
      <c r="AK155" s="42" t="n">
        <v>16</v>
      </c>
      <c r="AL155" s="44" t="n">
        <v>15</v>
      </c>
      <c r="AM155" s="42" t="n">
        <v>1988</v>
      </c>
      <c r="AN155" s="42" t="n">
        <v>15</v>
      </c>
      <c r="AO155" s="44" t="n">
        <v>15.2</v>
      </c>
      <c r="AP155" s="42" t="n">
        <v>1982</v>
      </c>
      <c r="AQ155" s="42" t="n">
        <v>30</v>
      </c>
    </row>
    <row r="156" ht="14.45" customHeight="1">
      <c r="A156" s="42" t="n">
        <v>21185080</v>
      </c>
      <c r="B156" s="42" t="inlineStr">
        <is>
          <t>VALLE DE SAN JUAN [21185080]</t>
        </is>
      </c>
      <c r="C156" s="42" t="n">
        <v>4.216458333</v>
      </c>
      <c r="D156" s="42" t="n">
        <v>-75.104611111</v>
      </c>
      <c r="E156" s="42" t="n">
        <v>591</v>
      </c>
      <c r="F156" s="42" t="inlineStr">
        <is>
          <t>Valle De San Juan</t>
        </is>
      </c>
      <c r="G156" s="42" t="inlineStr">
        <is>
          <t>Tolima</t>
        </is>
      </c>
      <c r="H156" s="44" t="n">
        <v>16</v>
      </c>
      <c r="I156" s="42" t="n">
        <v>1993</v>
      </c>
      <c r="J156" s="42" t="n">
        <v>27</v>
      </c>
      <c r="K156" s="44" t="n">
        <v>16</v>
      </c>
      <c r="L156" s="42" t="n">
        <v>1993</v>
      </c>
      <c r="M156" s="42" t="n">
        <v>24</v>
      </c>
      <c r="N156" s="44" t="n">
        <v>16</v>
      </c>
      <c r="O156" s="42" t="n">
        <v>2000</v>
      </c>
      <c r="P156" s="42" t="n">
        <v>22</v>
      </c>
      <c r="Q156" s="44" t="n">
        <v>16</v>
      </c>
      <c r="R156" s="42" t="n">
        <v>2000</v>
      </c>
      <c r="S156" s="42" t="n">
        <v>12</v>
      </c>
      <c r="T156" s="44" t="n">
        <v>16</v>
      </c>
      <c r="U156" s="42" t="n">
        <v>2001</v>
      </c>
      <c r="V156" s="42" t="n">
        <v>6</v>
      </c>
      <c r="W156" s="44" t="n">
        <v>16.2</v>
      </c>
      <c r="X156" s="42" t="n">
        <v>1990</v>
      </c>
      <c r="Y156" s="42" t="n">
        <v>3</v>
      </c>
      <c r="Z156" s="44" t="n">
        <v>16</v>
      </c>
      <c r="AA156" s="42" t="n">
        <v>1993</v>
      </c>
      <c r="AB156" s="42" t="n">
        <v>19</v>
      </c>
      <c r="AC156" s="44" t="n">
        <v>16</v>
      </c>
      <c r="AD156" s="42" t="n">
        <v>2001</v>
      </c>
      <c r="AE156" s="42" t="n">
        <v>14</v>
      </c>
      <c r="AF156" s="44" t="n">
        <v>16</v>
      </c>
      <c r="AG156" s="42" t="n">
        <v>1992</v>
      </c>
      <c r="AH156" s="42" t="n">
        <v>2</v>
      </c>
      <c r="AI156" s="44" t="n">
        <v>16</v>
      </c>
      <c r="AJ156" s="42" t="n">
        <v>1992</v>
      </c>
      <c r="AK156" s="42" t="n">
        <v>1</v>
      </c>
      <c r="AL156" s="44" t="n">
        <v>16</v>
      </c>
      <c r="AM156" s="42" t="n">
        <v>1992</v>
      </c>
      <c r="AN156" s="42" t="n">
        <v>4</v>
      </c>
      <c r="AO156" s="44" t="n">
        <v>16.2</v>
      </c>
      <c r="AP156" s="42" t="n">
        <v>2001</v>
      </c>
      <c r="AQ156" s="42" t="n">
        <v>26</v>
      </c>
    </row>
    <row r="157" ht="14.45" customHeight="1">
      <c r="A157" s="42" t="n">
        <v>21115160</v>
      </c>
      <c r="B157" s="42" t="inlineStr">
        <is>
          <t>HACIENDA MANILA [21115160]</t>
        </is>
      </c>
      <c r="C157" s="42" t="n">
        <v>3.133055556</v>
      </c>
      <c r="D157" s="42" t="n">
        <v>-75.08152778</v>
      </c>
      <c r="E157" s="42" t="n">
        <v>600</v>
      </c>
      <c r="F157" s="42" t="inlineStr">
        <is>
          <t>Baraya</t>
        </is>
      </c>
      <c r="G157" s="42" t="inlineStr">
        <is>
          <t>Huila</t>
        </is>
      </c>
      <c r="H157" s="44" t="n">
        <v>15</v>
      </c>
      <c r="I157" s="42" t="n">
        <v>1995</v>
      </c>
      <c r="J157" s="42" t="n">
        <v>15</v>
      </c>
      <c r="K157" s="44" t="n">
        <v>14.8</v>
      </c>
      <c r="L157" s="42" t="n">
        <v>1995</v>
      </c>
      <c r="M157" s="42" t="n">
        <v>1</v>
      </c>
      <c r="N157" s="44" t="n">
        <v>15</v>
      </c>
      <c r="O157" s="42" t="n">
        <v>1995</v>
      </c>
      <c r="P157" s="42" t="n">
        <v>30</v>
      </c>
      <c r="Q157" s="44" t="n">
        <v>15</v>
      </c>
      <c r="R157" s="42" t="n">
        <v>1995</v>
      </c>
      <c r="S157" s="42" t="n">
        <v>26</v>
      </c>
      <c r="T157" s="44" t="n">
        <v>14.4</v>
      </c>
      <c r="U157" s="42" t="n">
        <v>1995</v>
      </c>
      <c r="V157" s="42" t="n">
        <v>2</v>
      </c>
      <c r="W157" s="44" t="n">
        <v>14.2</v>
      </c>
      <c r="X157" s="42" t="n">
        <v>1995</v>
      </c>
      <c r="Y157" s="42" t="n">
        <v>15</v>
      </c>
      <c r="Z157" s="44" t="n">
        <v>17</v>
      </c>
      <c r="AA157" s="42" t="n">
        <v>1997</v>
      </c>
      <c r="AB157" s="42" t="n">
        <v>28</v>
      </c>
      <c r="AC157" s="44" t="n">
        <v>18</v>
      </c>
      <c r="AD157" s="42" t="n">
        <v>1995</v>
      </c>
      <c r="AE157" s="42" t="n">
        <v>12</v>
      </c>
      <c r="AF157" s="44" t="n">
        <v>17.6</v>
      </c>
      <c r="AG157" s="42" t="n">
        <v>1993</v>
      </c>
      <c r="AH157" s="42" t="n">
        <v>11</v>
      </c>
      <c r="AI157" s="44" t="n">
        <v>16.4</v>
      </c>
      <c r="AJ157" s="42" t="n">
        <v>1994</v>
      </c>
      <c r="AK157" s="42" t="n">
        <v>12</v>
      </c>
      <c r="AL157" s="44" t="n">
        <v>14.4</v>
      </c>
      <c r="AM157" s="42" t="n">
        <v>1996</v>
      </c>
      <c r="AN157" s="42" t="n">
        <v>12</v>
      </c>
      <c r="AO157" s="44" t="n">
        <v>14.2</v>
      </c>
      <c r="AP157" s="42" t="n">
        <v>1994</v>
      </c>
      <c r="AQ157" s="42" t="n">
        <v>17</v>
      </c>
    </row>
    <row r="158" ht="14.45" customHeight="1">
      <c r="A158" s="42" t="n">
        <v>26175040</v>
      </c>
      <c r="B158" s="42" t="inlineStr">
        <is>
          <t>HACIENDA TUNEZ [26175040]</t>
        </is>
      </c>
      <c r="C158" s="42" t="n">
        <v>5.80025</v>
      </c>
      <c r="D158" s="42" t="n">
        <v>-75.65097222</v>
      </c>
      <c r="E158" s="42" t="n">
        <v>604</v>
      </c>
      <c r="F158" s="42" t="inlineStr">
        <is>
          <t>Fredonia</t>
        </is>
      </c>
      <c r="G158" s="42" t="inlineStr">
        <is>
          <t>Antioquia</t>
        </is>
      </c>
      <c r="H158" s="44" t="n">
        <v>14.8</v>
      </c>
      <c r="I158" s="42" t="n">
        <v>2024</v>
      </c>
      <c r="J158" s="42" t="n">
        <v>24</v>
      </c>
      <c r="K158" s="44" t="n">
        <v>15</v>
      </c>
      <c r="L158" s="42" t="n">
        <v>1985</v>
      </c>
      <c r="M158" s="42" t="n">
        <v>6</v>
      </c>
      <c r="N158" s="44" t="n">
        <v>16</v>
      </c>
      <c r="O158" s="42" t="n">
        <v>1980</v>
      </c>
      <c r="P158" s="42" t="n">
        <v>4</v>
      </c>
      <c r="Q158" s="44" t="n">
        <v>15.4</v>
      </c>
      <c r="R158" s="42" t="n">
        <v>1999</v>
      </c>
      <c r="S158" s="42" t="n">
        <v>18</v>
      </c>
      <c r="T158" s="44" t="n">
        <v>16.8</v>
      </c>
      <c r="U158" s="42" t="n">
        <v>2008</v>
      </c>
      <c r="V158" s="42" t="n">
        <v>10</v>
      </c>
      <c r="W158" s="44" t="n">
        <v>16</v>
      </c>
      <c r="X158" s="42" t="n">
        <v>2004</v>
      </c>
      <c r="Y158" s="42" t="n">
        <v>11</v>
      </c>
      <c r="Z158" s="44" t="n">
        <v>15.2</v>
      </c>
      <c r="AA158" s="42" t="n">
        <v>2007</v>
      </c>
      <c r="AB158" s="42" t="n">
        <v>6</v>
      </c>
      <c r="AC158" s="44" t="n">
        <v>15</v>
      </c>
      <c r="AD158" s="42" t="n">
        <v>1978</v>
      </c>
      <c r="AE158" s="42" t="n">
        <v>18</v>
      </c>
      <c r="AF158" s="44" t="n">
        <v>16</v>
      </c>
      <c r="AG158" s="42" t="n">
        <v>2009</v>
      </c>
      <c r="AH158" s="42" t="n">
        <v>25</v>
      </c>
      <c r="AI158" s="44" t="n">
        <v>16.2</v>
      </c>
      <c r="AJ158" s="42" t="n">
        <v>2001</v>
      </c>
      <c r="AK158" s="42" t="n">
        <v>16</v>
      </c>
      <c r="AL158" s="44" t="n">
        <v>15.4</v>
      </c>
      <c r="AM158" s="42" t="n">
        <v>2004</v>
      </c>
      <c r="AN158" s="42" t="n">
        <v>6</v>
      </c>
      <c r="AO158" s="44" t="n">
        <v>15.4</v>
      </c>
      <c r="AP158" s="42" t="n">
        <v>1980</v>
      </c>
      <c r="AQ158" s="42" t="n">
        <v>21</v>
      </c>
    </row>
    <row r="159" ht="14.45" customHeight="1">
      <c r="A159" s="42" t="n">
        <v>21145020</v>
      </c>
      <c r="B159" s="42" t="inlineStr">
        <is>
          <t>ARIZONA [21145020]</t>
        </is>
      </c>
      <c r="C159" s="42" t="n">
        <v>3.276111111</v>
      </c>
      <c r="D159" s="42" t="n">
        <v>-74.93583332999999</v>
      </c>
      <c r="E159" s="42" t="n">
        <v>638</v>
      </c>
      <c r="F159" s="42" t="inlineStr">
        <is>
          <t>Baraya</t>
        </is>
      </c>
      <c r="G159" s="42" t="inlineStr">
        <is>
          <t>Huila</t>
        </is>
      </c>
      <c r="H159" s="44" t="n">
        <v>18.4</v>
      </c>
      <c r="I159" s="42" t="n">
        <v>2018</v>
      </c>
      <c r="J159" s="42" t="n">
        <v>14</v>
      </c>
      <c r="K159" s="44" t="n">
        <v>20.4</v>
      </c>
      <c r="L159" s="42" t="n">
        <v>2019</v>
      </c>
      <c r="M159" s="42" t="n">
        <v>17</v>
      </c>
      <c r="N159" s="44" t="n">
        <v>20</v>
      </c>
      <c r="O159" s="42" t="n">
        <v>2018</v>
      </c>
      <c r="P159" s="42" t="n">
        <v>4</v>
      </c>
      <c r="Q159" s="44" t="n">
        <v>20</v>
      </c>
      <c r="R159" s="42" t="n">
        <v>2018</v>
      </c>
      <c r="S159" s="42" t="n">
        <v>30</v>
      </c>
      <c r="T159" s="44" t="n">
        <v>18.8</v>
      </c>
      <c r="U159" s="42" t="n">
        <v>2020</v>
      </c>
      <c r="V159" s="42" t="n">
        <v>14</v>
      </c>
      <c r="W159" s="44" t="n">
        <v>19.8</v>
      </c>
      <c r="X159" s="42" t="n">
        <v>2020</v>
      </c>
      <c r="Y159" s="42" t="n">
        <v>9</v>
      </c>
      <c r="Z159" s="44" t="n">
        <v>19.8</v>
      </c>
      <c r="AA159" s="42" t="n">
        <v>2020</v>
      </c>
      <c r="AB159" s="42" t="n">
        <v>20</v>
      </c>
      <c r="AC159" s="44" t="n">
        <v>20</v>
      </c>
      <c r="AD159" s="42" t="n">
        <v>2019</v>
      </c>
      <c r="AE159" s="42" t="n">
        <v>27</v>
      </c>
      <c r="AF159" s="44" t="n">
        <v>19</v>
      </c>
      <c r="AG159" s="42" t="n">
        <v>2020</v>
      </c>
      <c r="AH159" s="42" t="n">
        <v>14</v>
      </c>
      <c r="AI159" s="44" t="n">
        <v>20.6</v>
      </c>
      <c r="AJ159" s="42" t="n">
        <v>2020</v>
      </c>
      <c r="AK159" s="42" t="n">
        <v>1</v>
      </c>
      <c r="AL159" s="44" t="n">
        <v>19.4</v>
      </c>
      <c r="AM159" s="42" t="n">
        <v>2019</v>
      </c>
      <c r="AN159" s="42" t="n">
        <v>1</v>
      </c>
      <c r="AO159" s="44" t="n">
        <v>19</v>
      </c>
      <c r="AP159" s="42" t="n">
        <v>2020</v>
      </c>
      <c r="AQ159" s="42" t="n">
        <v>20</v>
      </c>
    </row>
    <row r="160" ht="14.45" customHeight="1">
      <c r="A160" s="42" t="n">
        <v>23175020</v>
      </c>
      <c r="B160" s="42" t="inlineStr">
        <is>
          <t>AEROPUERTO OTU [23175020]</t>
        </is>
      </c>
      <c r="C160" s="42" t="n">
        <v>7.01175</v>
      </c>
      <c r="D160" s="42" t="n">
        <v>-74.71630556</v>
      </c>
      <c r="E160" s="42" t="n">
        <v>643</v>
      </c>
      <c r="F160" s="42" t="inlineStr">
        <is>
          <t>Remedios</t>
        </is>
      </c>
      <c r="G160" s="42" t="inlineStr">
        <is>
          <t>Antioquia</t>
        </is>
      </c>
      <c r="H160" s="44" t="n">
        <v>15.8</v>
      </c>
      <c r="I160" s="42" t="n">
        <v>2020</v>
      </c>
      <c r="J160" s="42" t="n">
        <v>11</v>
      </c>
      <c r="K160" s="44" t="n">
        <v>16</v>
      </c>
      <c r="L160" s="42" t="n">
        <v>1989</v>
      </c>
      <c r="M160" s="42" t="n">
        <v>16</v>
      </c>
      <c r="N160" s="44" t="n">
        <v>14</v>
      </c>
      <c r="O160" s="42" t="n">
        <v>2003</v>
      </c>
      <c r="P160" s="42" t="n">
        <v>29</v>
      </c>
      <c r="Q160" s="44" t="n">
        <v>16</v>
      </c>
      <c r="R160" s="42" t="n">
        <v>1984</v>
      </c>
      <c r="S160" s="42" t="n">
        <v>13</v>
      </c>
      <c r="T160" s="44" t="n">
        <v>16</v>
      </c>
      <c r="U160" s="42" t="n">
        <v>1994</v>
      </c>
      <c r="V160" s="42" t="n">
        <v>25</v>
      </c>
      <c r="W160" s="44" t="n">
        <v>15.4</v>
      </c>
      <c r="X160" s="42" t="n">
        <v>2021</v>
      </c>
      <c r="Y160" s="42" t="n">
        <v>23</v>
      </c>
      <c r="Z160" s="44" t="n">
        <v>16</v>
      </c>
      <c r="AA160" s="42" t="n">
        <v>2021</v>
      </c>
      <c r="AB160" s="42" t="n">
        <v>26</v>
      </c>
      <c r="AC160" s="44" t="n">
        <v>15.8</v>
      </c>
      <c r="AD160" s="42" t="n">
        <v>2022</v>
      </c>
      <c r="AE160" s="42" t="n">
        <v>17</v>
      </c>
      <c r="AF160" s="44" t="n">
        <v>15</v>
      </c>
      <c r="AG160" s="42" t="n">
        <v>2022</v>
      </c>
      <c r="AH160" s="42" t="n">
        <v>1</v>
      </c>
      <c r="AI160" s="44" t="n">
        <v>15</v>
      </c>
      <c r="AJ160" s="42" t="n">
        <v>2022</v>
      </c>
      <c r="AK160" s="42" t="n">
        <v>31</v>
      </c>
      <c r="AL160" s="44" t="n">
        <v>16</v>
      </c>
      <c r="AM160" s="42" t="n">
        <v>2020</v>
      </c>
      <c r="AN160" s="42" t="n">
        <v>1</v>
      </c>
      <c r="AO160" s="44" t="n">
        <v>13.6</v>
      </c>
      <c r="AP160" s="42" t="n">
        <v>2021</v>
      </c>
      <c r="AQ160" s="42" t="n">
        <v>28</v>
      </c>
    </row>
    <row r="161" ht="14.45" customHeight="1">
      <c r="A161" s="42" t="n">
        <v>23205030</v>
      </c>
      <c r="B161" s="42" t="inlineStr">
        <is>
          <t>SANTA ROSA D SIMITI [23205030]</t>
        </is>
      </c>
      <c r="C161" s="42" t="n">
        <v>7.965277778</v>
      </c>
      <c r="D161" s="42" t="n">
        <v>-74.05916667</v>
      </c>
      <c r="E161" s="42" t="n">
        <v>650</v>
      </c>
      <c r="F161" s="42" t="inlineStr">
        <is>
          <t>Santa Rosa Del Sur</t>
        </is>
      </c>
      <c r="G161" s="42" t="inlineStr">
        <is>
          <t>Bolivar</t>
        </is>
      </c>
      <c r="H161" s="44" t="n">
        <v>16.2</v>
      </c>
      <c r="I161" s="42" t="n">
        <v>1984</v>
      </c>
      <c r="J161" s="42" t="n">
        <v>8</v>
      </c>
      <c r="K161" s="44" t="n">
        <v>15</v>
      </c>
      <c r="L161" s="42" t="n">
        <v>2008</v>
      </c>
      <c r="M161" s="42" t="n">
        <v>24</v>
      </c>
      <c r="N161" s="44" t="n">
        <v>17.6</v>
      </c>
      <c r="O161" s="42" t="n">
        <v>1981</v>
      </c>
      <c r="P161" s="42" t="n">
        <v>19</v>
      </c>
      <c r="Q161" s="44" t="n">
        <v>15.6</v>
      </c>
      <c r="R161" s="42" t="n">
        <v>1983</v>
      </c>
      <c r="S161" s="42" t="n">
        <v>27</v>
      </c>
      <c r="T161" s="44" t="n">
        <v>17.4</v>
      </c>
      <c r="U161" s="42" t="n">
        <v>1979</v>
      </c>
      <c r="V161" s="42" t="n">
        <v>3</v>
      </c>
      <c r="W161" s="44" t="n">
        <v>17.2</v>
      </c>
      <c r="X161" s="42" t="n">
        <v>2021</v>
      </c>
      <c r="Y161" s="42" t="n">
        <v>14</v>
      </c>
      <c r="Z161" s="44" t="n">
        <v>16.2</v>
      </c>
      <c r="AA161" s="42" t="n">
        <v>1981</v>
      </c>
      <c r="AB161" s="42" t="n">
        <v>18</v>
      </c>
      <c r="AC161" s="44" t="n">
        <v>15.2</v>
      </c>
      <c r="AD161" s="42" t="n">
        <v>1982</v>
      </c>
      <c r="AE161" s="42" t="n">
        <v>17</v>
      </c>
      <c r="AF161" s="44" t="n">
        <v>16.2</v>
      </c>
      <c r="AG161" s="42" t="n">
        <v>1982</v>
      </c>
      <c r="AH161" s="42" t="n">
        <v>17</v>
      </c>
      <c r="AI161" s="44" t="n">
        <v>15.8</v>
      </c>
      <c r="AJ161" s="42" t="n">
        <v>1982</v>
      </c>
      <c r="AK161" s="42" t="n">
        <v>22</v>
      </c>
      <c r="AL161" s="44" t="n">
        <v>16.6</v>
      </c>
      <c r="AM161" s="42" t="n">
        <v>2021</v>
      </c>
      <c r="AN161" s="42" t="n">
        <v>24</v>
      </c>
      <c r="AO161" s="44" t="n">
        <v>16</v>
      </c>
      <c r="AP161" s="42" t="n">
        <v>1978</v>
      </c>
      <c r="AQ161" s="42" t="n">
        <v>19</v>
      </c>
    </row>
    <row r="162" ht="14.45" customHeight="1">
      <c r="A162" s="42" t="n">
        <v>44015060</v>
      </c>
      <c r="B162" s="42" t="inlineStr">
        <is>
          <t>ACUEDUCTO MOCOA - AUT [44015060]</t>
        </is>
      </c>
      <c r="C162" s="42" t="n">
        <v>1.157333333</v>
      </c>
      <c r="D162" s="42" t="n">
        <v>-76.65183333</v>
      </c>
      <c r="E162" s="42" t="n">
        <v>650</v>
      </c>
      <c r="F162" s="42" t="inlineStr">
        <is>
          <t>Mocoa</t>
        </is>
      </c>
      <c r="G162" s="42" t="inlineStr">
        <is>
          <t>Putumayo</t>
        </is>
      </c>
      <c r="H162" s="44" t="n">
        <v>15</v>
      </c>
      <c r="I162" s="42" t="n">
        <v>2002</v>
      </c>
      <c r="J162" s="42" t="n">
        <v>4</v>
      </c>
      <c r="K162" s="44" t="n">
        <v>16.4</v>
      </c>
      <c r="L162" s="42" t="n">
        <v>2001</v>
      </c>
      <c r="M162" s="42" t="n">
        <v>6</v>
      </c>
      <c r="N162" s="44" t="n">
        <v>15.9</v>
      </c>
      <c r="O162" s="42" t="n">
        <v>1999</v>
      </c>
      <c r="P162" s="42" t="n">
        <v>22</v>
      </c>
      <c r="Q162" s="44" t="n">
        <v>16.6</v>
      </c>
      <c r="R162" s="42" t="n">
        <v>1999</v>
      </c>
      <c r="S162" s="42" t="n">
        <v>2</v>
      </c>
      <c r="T162" s="44" t="n">
        <v>16.5</v>
      </c>
      <c r="U162" s="42" t="n">
        <v>2010</v>
      </c>
      <c r="V162" s="42" t="n">
        <v>13</v>
      </c>
      <c r="W162" s="44" t="n">
        <v>15</v>
      </c>
      <c r="X162" s="42" t="n">
        <v>2001</v>
      </c>
      <c r="Y162" s="42" t="n">
        <v>22</v>
      </c>
      <c r="Z162" s="44" t="n">
        <v>15.4</v>
      </c>
      <c r="AA162" s="42" t="n">
        <v>2012</v>
      </c>
      <c r="AB162" s="42" t="n">
        <v>19</v>
      </c>
      <c r="AC162" s="44" t="n">
        <v>15</v>
      </c>
      <c r="AD162" s="42" t="n">
        <v>2001</v>
      </c>
      <c r="AE162" s="42" t="n">
        <v>3</v>
      </c>
      <c r="AF162" s="44" t="n">
        <v>16</v>
      </c>
      <c r="AG162" s="42" t="n">
        <v>1990</v>
      </c>
      <c r="AH162" s="42" t="n">
        <v>16</v>
      </c>
      <c r="AI162" s="44" t="n">
        <v>15.2</v>
      </c>
      <c r="AJ162" s="42" t="n">
        <v>2008</v>
      </c>
      <c r="AK162" s="42" t="n">
        <v>5</v>
      </c>
      <c r="AL162" s="44" t="n">
        <v>15.5</v>
      </c>
      <c r="AM162" s="42" t="n">
        <v>1998</v>
      </c>
      <c r="AN162" s="42" t="n">
        <v>7</v>
      </c>
      <c r="AO162" s="44" t="n">
        <v>16.5</v>
      </c>
      <c r="AP162" s="42" t="n">
        <v>2001</v>
      </c>
      <c r="AQ162" s="42" t="n">
        <v>25</v>
      </c>
    </row>
    <row r="163" ht="14.45" customHeight="1">
      <c r="A163" s="42" t="n">
        <v>21105040</v>
      </c>
      <c r="B163" s="42" t="inlineStr">
        <is>
          <t>POTOSI HACIENDA [21105040]</t>
        </is>
      </c>
      <c r="C163" s="42" t="n">
        <v>2.696805556</v>
      </c>
      <c r="D163" s="42" t="n">
        <v>-75.29888889</v>
      </c>
      <c r="E163" s="42" t="n">
        <v>680</v>
      </c>
      <c r="F163" s="42" t="inlineStr">
        <is>
          <t>Campoalegre</t>
        </is>
      </c>
      <c r="G163" s="42" t="inlineStr">
        <is>
          <t>Huila</t>
        </is>
      </c>
      <c r="H163" s="44" t="n">
        <v>17.4</v>
      </c>
      <c r="I163" s="42" t="n">
        <v>2007</v>
      </c>
      <c r="J163" s="42" t="n">
        <v>5</v>
      </c>
      <c r="K163" s="44" t="n">
        <v>15</v>
      </c>
      <c r="L163" s="42" t="n">
        <v>2018</v>
      </c>
      <c r="M163" s="42" t="n">
        <v>19</v>
      </c>
      <c r="N163" s="44" t="n">
        <v>17.8</v>
      </c>
      <c r="O163" s="42" t="n">
        <v>1999</v>
      </c>
      <c r="P163" s="42" t="n">
        <v>22</v>
      </c>
      <c r="Q163" s="44" t="n">
        <v>14.7</v>
      </c>
      <c r="R163" s="42" t="n">
        <v>2015</v>
      </c>
      <c r="S163" s="42" t="n">
        <v>10</v>
      </c>
      <c r="T163" s="44" t="n">
        <v>17.2</v>
      </c>
      <c r="U163" s="42" t="n">
        <v>1999</v>
      </c>
      <c r="V163" s="42" t="n">
        <v>5</v>
      </c>
      <c r="W163" s="44" t="n">
        <v>17</v>
      </c>
      <c r="X163" s="42" t="n">
        <v>1999</v>
      </c>
      <c r="Y163" s="42" t="n">
        <v>13</v>
      </c>
      <c r="Z163" s="44" t="n">
        <v>15.8</v>
      </c>
      <c r="AA163" s="42" t="n">
        <v>2007</v>
      </c>
      <c r="AB163" s="42" t="n">
        <v>23</v>
      </c>
      <c r="AC163" s="44" t="n">
        <v>16.2</v>
      </c>
      <c r="AD163" s="42" t="n">
        <v>1999</v>
      </c>
      <c r="AE163" s="42" t="n">
        <v>16</v>
      </c>
      <c r="AF163" s="44" t="n">
        <v>16.4</v>
      </c>
      <c r="AG163" s="42" t="n">
        <v>2006</v>
      </c>
      <c r="AH163" s="42" t="n">
        <v>26</v>
      </c>
      <c r="AI163" s="44" t="n">
        <v>16.6</v>
      </c>
      <c r="AJ163" s="42" t="n">
        <v>2006</v>
      </c>
      <c r="AK163" s="42" t="n">
        <v>15</v>
      </c>
      <c r="AL163" s="44" t="n">
        <v>15</v>
      </c>
      <c r="AM163" s="42" t="n">
        <v>2017</v>
      </c>
      <c r="AN163" s="42" t="n">
        <v>21</v>
      </c>
      <c r="AO163" s="44" t="n">
        <v>17</v>
      </c>
      <c r="AP163" s="42" t="n">
        <v>2006</v>
      </c>
      <c r="AQ163" s="42" t="n">
        <v>12</v>
      </c>
    </row>
    <row r="164" ht="14.45" customHeight="1">
      <c r="A164" s="42" t="n">
        <v>22055020</v>
      </c>
      <c r="B164" s="42" t="inlineStr">
        <is>
          <t>MESA DE POLE [22055020]</t>
        </is>
      </c>
      <c r="C164" s="42" t="n">
        <v>3.455777778</v>
      </c>
      <c r="D164" s="42" t="n">
        <v>-75.53636111</v>
      </c>
      <c r="E164" s="42" t="n">
        <v>699</v>
      </c>
      <c r="F164" s="42" t="inlineStr">
        <is>
          <t>Ataco</t>
        </is>
      </c>
      <c r="G164" s="42" t="inlineStr">
        <is>
          <t>Tolima</t>
        </is>
      </c>
      <c r="H164" s="44" t="n">
        <v>16.2</v>
      </c>
      <c r="I164" s="42" t="n">
        <v>1981</v>
      </c>
      <c r="J164" s="42" t="n">
        <v>5</v>
      </c>
      <c r="K164" s="44" t="n">
        <v>16</v>
      </c>
      <c r="L164" s="42" t="n">
        <v>2020</v>
      </c>
      <c r="M164" s="42" t="n">
        <v>7</v>
      </c>
      <c r="N164" s="44" t="n">
        <v>17</v>
      </c>
      <c r="O164" s="42" t="n">
        <v>1991</v>
      </c>
      <c r="P164" s="42" t="n">
        <v>25</v>
      </c>
      <c r="Q164" s="44" t="n">
        <v>17.4</v>
      </c>
      <c r="R164" s="42" t="n">
        <v>2004</v>
      </c>
      <c r="S164" s="42" t="n">
        <v>24</v>
      </c>
      <c r="T164" s="44" t="n">
        <v>17</v>
      </c>
      <c r="U164" s="42" t="n">
        <v>2008</v>
      </c>
      <c r="V164" s="42" t="n">
        <v>10</v>
      </c>
      <c r="W164" s="44" t="n">
        <v>17</v>
      </c>
      <c r="X164" s="42" t="n">
        <v>1991</v>
      </c>
      <c r="Y164" s="42" t="n">
        <v>15</v>
      </c>
      <c r="Z164" s="44" t="n">
        <v>16.4</v>
      </c>
      <c r="AA164" s="42" t="n">
        <v>2007</v>
      </c>
      <c r="AB164" s="42" t="n">
        <v>30</v>
      </c>
      <c r="AC164" s="44" t="n">
        <v>16.4</v>
      </c>
      <c r="AD164" s="42" t="n">
        <v>2019</v>
      </c>
      <c r="AE164" s="42" t="n">
        <v>22</v>
      </c>
      <c r="AF164" s="44" t="n">
        <v>16</v>
      </c>
      <c r="AG164" s="42" t="n">
        <v>2013</v>
      </c>
      <c r="AH164" s="42" t="n">
        <v>21</v>
      </c>
      <c r="AI164" s="44" t="n">
        <v>17.4</v>
      </c>
      <c r="AJ164" s="42" t="n">
        <v>1985</v>
      </c>
      <c r="AK164" s="42" t="n">
        <v>13</v>
      </c>
      <c r="AL164" s="44" t="n">
        <v>16.8</v>
      </c>
      <c r="AM164" s="42" t="n">
        <v>1990</v>
      </c>
      <c r="AN164" s="42" t="n">
        <v>11</v>
      </c>
      <c r="AO164" s="44" t="n">
        <v>16.2</v>
      </c>
      <c r="AP164" s="42" t="n">
        <v>2018</v>
      </c>
      <c r="AQ164" s="42" t="n">
        <v>27</v>
      </c>
    </row>
    <row r="165" ht="14.45" customHeight="1">
      <c r="A165" s="42" t="n">
        <v>23195110</v>
      </c>
      <c r="B165" s="42" t="inlineStr">
        <is>
          <t>LLANO GRANDE  - AUT [23195110]</t>
        </is>
      </c>
      <c r="C165" s="42" t="n">
        <v>7.025555556</v>
      </c>
      <c r="D165" s="42" t="n">
        <v>-73.16722222</v>
      </c>
      <c r="E165" s="42" t="n">
        <v>777</v>
      </c>
      <c r="F165" s="42" t="inlineStr">
        <is>
          <t>Girón</t>
        </is>
      </c>
      <c r="G165" s="42" t="inlineStr">
        <is>
          <t>Santander</t>
        </is>
      </c>
      <c r="H165" s="44" t="n">
        <v>14</v>
      </c>
      <c r="I165" s="42" t="n">
        <v>2015</v>
      </c>
      <c r="J165" s="42" t="n">
        <v>7</v>
      </c>
      <c r="K165" s="44" t="n">
        <v>14</v>
      </c>
      <c r="L165" s="42" t="n">
        <v>1989</v>
      </c>
      <c r="M165" s="42" t="n">
        <v>18</v>
      </c>
      <c r="N165" s="44" t="n">
        <v>14</v>
      </c>
      <c r="O165" s="42" t="n">
        <v>2002</v>
      </c>
      <c r="P165" s="42" t="n">
        <v>22</v>
      </c>
      <c r="Q165" s="44" t="n">
        <v>15.8</v>
      </c>
      <c r="R165" s="42" t="n">
        <v>1989</v>
      </c>
      <c r="S165" s="42" t="n">
        <v>3</v>
      </c>
      <c r="T165" s="44" t="n">
        <v>16</v>
      </c>
      <c r="U165" s="42" t="n">
        <v>1989</v>
      </c>
      <c r="V165" s="42" t="n">
        <v>23</v>
      </c>
      <c r="W165" s="44" t="n">
        <v>14.8</v>
      </c>
      <c r="X165" s="42" t="n">
        <v>1990</v>
      </c>
      <c r="Y165" s="42" t="n">
        <v>11</v>
      </c>
      <c r="Z165" s="44" t="n">
        <v>14</v>
      </c>
      <c r="AA165" s="42" t="n">
        <v>1983</v>
      </c>
      <c r="AB165" s="42" t="n">
        <v>8</v>
      </c>
      <c r="AC165" s="44" t="n">
        <v>16.5</v>
      </c>
      <c r="AD165" s="42" t="n">
        <v>1998</v>
      </c>
      <c r="AE165" s="42" t="n">
        <v>28</v>
      </c>
      <c r="AF165" s="44" t="n">
        <v>14</v>
      </c>
      <c r="AG165" s="42" t="n">
        <v>2003</v>
      </c>
      <c r="AH165" s="42" t="n">
        <v>7</v>
      </c>
      <c r="AI165" s="44" t="n">
        <v>16</v>
      </c>
      <c r="AJ165" s="42" t="n">
        <v>1991</v>
      </c>
      <c r="AK165" s="42" t="n">
        <v>19</v>
      </c>
      <c r="AL165" s="44" t="n">
        <v>14.5</v>
      </c>
      <c r="AM165" s="42" t="n">
        <v>2003</v>
      </c>
      <c r="AN165" s="42" t="n">
        <v>1</v>
      </c>
      <c r="AO165" s="44" t="n">
        <v>14.8</v>
      </c>
      <c r="AP165" s="42" t="n">
        <v>2009</v>
      </c>
      <c r="AQ165" s="42" t="n">
        <v>31</v>
      </c>
    </row>
    <row r="166" ht="14.45" customHeight="1">
      <c r="A166" s="42" t="n">
        <v>21045010</v>
      </c>
      <c r="B166" s="42" t="inlineStr">
        <is>
          <t>BETULIA LA [21045010]</t>
        </is>
      </c>
      <c r="C166" s="42" t="n">
        <v>2.281583333</v>
      </c>
      <c r="D166" s="42" t="n">
        <v>-75.70508332999999</v>
      </c>
      <c r="E166" s="42" t="n">
        <v>780</v>
      </c>
      <c r="F166" s="42" t="inlineStr">
        <is>
          <t>Agrado</t>
        </is>
      </c>
      <c r="G166" s="42" t="inlineStr">
        <is>
          <t>Huila</t>
        </is>
      </c>
      <c r="H166" s="44" t="n">
        <v>14.4</v>
      </c>
      <c r="I166" s="42" t="n">
        <v>2010</v>
      </c>
      <c r="J166" s="42" t="n">
        <v>4</v>
      </c>
      <c r="K166" s="44" t="n">
        <v>14.8</v>
      </c>
      <c r="L166" s="42" t="n">
        <v>1995</v>
      </c>
      <c r="M166" s="42" t="n">
        <v>16</v>
      </c>
      <c r="N166" s="44" t="n">
        <v>14.6</v>
      </c>
      <c r="O166" s="42" t="n">
        <v>2001</v>
      </c>
      <c r="P166" s="42" t="n">
        <v>13</v>
      </c>
      <c r="Q166" s="44" t="n">
        <v>14.2</v>
      </c>
      <c r="R166" s="42" t="n">
        <v>2022</v>
      </c>
      <c r="S166" s="42" t="n">
        <v>6</v>
      </c>
      <c r="T166" s="44" t="n">
        <v>13</v>
      </c>
      <c r="U166" s="42" t="n">
        <v>2022</v>
      </c>
      <c r="V166" s="42" t="n">
        <v>1</v>
      </c>
      <c r="W166" s="44" t="n">
        <v>15.4</v>
      </c>
      <c r="X166" s="42" t="n">
        <v>1986</v>
      </c>
      <c r="Y166" s="42" t="n">
        <v>3</v>
      </c>
      <c r="Z166" s="44" t="n">
        <v>13.2</v>
      </c>
      <c r="AA166" s="42" t="n">
        <v>1999</v>
      </c>
      <c r="AB166" s="42" t="n">
        <v>10</v>
      </c>
      <c r="AC166" s="44" t="n">
        <v>13</v>
      </c>
      <c r="AD166" s="42" t="n">
        <v>1989</v>
      </c>
      <c r="AE166" s="42" t="n">
        <v>7</v>
      </c>
      <c r="AF166" s="44" t="n">
        <v>13.4</v>
      </c>
      <c r="AG166" s="42" t="n">
        <v>1989</v>
      </c>
      <c r="AH166" s="42" t="n">
        <v>18</v>
      </c>
      <c r="AI166" s="44" t="n">
        <v>14.8</v>
      </c>
      <c r="AJ166" s="42" t="n">
        <v>1991</v>
      </c>
      <c r="AK166" s="42" t="n">
        <v>14</v>
      </c>
      <c r="AL166" s="44" t="n">
        <v>15.8</v>
      </c>
      <c r="AM166" s="42" t="n">
        <v>1994</v>
      </c>
      <c r="AN166" s="42" t="n">
        <v>12</v>
      </c>
      <c r="AO166" s="44" t="n">
        <v>15</v>
      </c>
      <c r="AP166" s="42" t="n">
        <v>2015</v>
      </c>
      <c r="AQ166" s="42" t="n">
        <v>21</v>
      </c>
    </row>
    <row r="167" ht="14.45" customHeight="1">
      <c r="A167" s="42" t="n">
        <v>23025040</v>
      </c>
      <c r="B167" s="42" t="inlineStr">
        <is>
          <t>ALBANIA [23025040]</t>
        </is>
      </c>
      <c r="C167" s="42" t="n">
        <v>5.301108889</v>
      </c>
      <c r="D167" s="42" t="n">
        <v>-74.914580556</v>
      </c>
      <c r="E167" s="42" t="n">
        <v>788</v>
      </c>
      <c r="F167" s="42" t="inlineStr">
        <is>
          <t>Mariquita</t>
        </is>
      </c>
      <c r="G167" s="42" t="inlineStr">
        <is>
          <t>Tolima</t>
        </is>
      </c>
      <c r="H167" s="44" t="n">
        <v>17</v>
      </c>
      <c r="I167" s="42" t="n">
        <v>1996</v>
      </c>
      <c r="J167" s="42" t="n">
        <v>9</v>
      </c>
      <c r="K167" s="44" t="n">
        <v>17</v>
      </c>
      <c r="L167" s="42" t="n">
        <v>1997</v>
      </c>
      <c r="M167" s="42" t="n">
        <v>5</v>
      </c>
      <c r="N167" s="44" t="n">
        <v>16</v>
      </c>
      <c r="O167" s="42" t="n">
        <v>1996</v>
      </c>
      <c r="P167" s="42" t="n">
        <v>31</v>
      </c>
      <c r="Q167" s="44" t="n">
        <v>16.8</v>
      </c>
      <c r="R167" s="42" t="n">
        <v>1997</v>
      </c>
      <c r="S167" s="42" t="n">
        <v>4</v>
      </c>
      <c r="T167" s="44" t="n">
        <v>17</v>
      </c>
      <c r="U167" s="42" t="n">
        <v>1997</v>
      </c>
      <c r="V167" s="42" t="n">
        <v>11</v>
      </c>
      <c r="W167" s="44" t="n">
        <v>17.2</v>
      </c>
      <c r="X167" s="42" t="n">
        <v>1997</v>
      </c>
      <c r="Y167" s="42" t="n">
        <v>8</v>
      </c>
      <c r="Z167" s="44" t="n">
        <v>17</v>
      </c>
      <c r="AA167" s="42" t="n">
        <v>1998</v>
      </c>
      <c r="AB167" s="42" t="n">
        <v>16</v>
      </c>
      <c r="AC167" s="44" t="n">
        <v>16</v>
      </c>
      <c r="AD167" s="42" t="n">
        <v>1999</v>
      </c>
      <c r="AE167" s="42" t="n">
        <v>4</v>
      </c>
      <c r="AF167" s="44" t="n">
        <v>17</v>
      </c>
      <c r="AG167" s="42" t="n">
        <v>1991</v>
      </c>
      <c r="AH167" s="42" t="n">
        <v>19</v>
      </c>
      <c r="AI167" s="44" t="n">
        <v>16.8</v>
      </c>
      <c r="AJ167" s="42" t="n">
        <v>2002</v>
      </c>
      <c r="AK167" s="42" t="n">
        <v>27</v>
      </c>
      <c r="AL167" s="44" t="n">
        <v>17</v>
      </c>
      <c r="AM167" s="42" t="n">
        <v>1992</v>
      </c>
      <c r="AN167" s="42" t="n">
        <v>22</v>
      </c>
      <c r="AO167" s="44" t="n">
        <v>17</v>
      </c>
      <c r="AP167" s="42" t="n">
        <v>1996</v>
      </c>
      <c r="AQ167" s="42" t="n">
        <v>28</v>
      </c>
    </row>
    <row r="168" ht="14.45" customHeight="1">
      <c r="A168" s="42" t="n">
        <v>23145020</v>
      </c>
      <c r="B168" s="42" t="inlineStr">
        <is>
          <t>CARMEN EL [23145020]</t>
        </is>
      </c>
      <c r="C168" s="42" t="n">
        <v>6.696388889</v>
      </c>
      <c r="D168" s="42" t="n">
        <v>-73.51000000000001</v>
      </c>
      <c r="E168" s="42" t="n">
        <v>805</v>
      </c>
      <c r="F168" s="42" t="inlineStr">
        <is>
          <t>El Carmen</t>
        </is>
      </c>
      <c r="G168" s="42" t="inlineStr">
        <is>
          <t>Santander</t>
        </is>
      </c>
      <c r="H168" s="44" t="n">
        <v>17</v>
      </c>
      <c r="I168" s="42" t="n">
        <v>1996</v>
      </c>
      <c r="J168" s="42" t="n">
        <v>13</v>
      </c>
      <c r="K168" s="44" t="n">
        <v>17</v>
      </c>
      <c r="L168" s="42" t="n">
        <v>2000</v>
      </c>
      <c r="M168" s="42" t="n">
        <v>17</v>
      </c>
      <c r="N168" s="44" t="n">
        <v>17.2</v>
      </c>
      <c r="O168" s="42" t="n">
        <v>1995</v>
      </c>
      <c r="P168" s="42" t="n">
        <v>17</v>
      </c>
      <c r="Q168" s="44" t="n">
        <v>17</v>
      </c>
      <c r="R168" s="42" t="n">
        <v>2000</v>
      </c>
      <c r="S168" s="42" t="n">
        <v>5</v>
      </c>
      <c r="T168" s="44" t="n">
        <v>17</v>
      </c>
      <c r="U168" s="42" t="n">
        <v>2003</v>
      </c>
      <c r="V168" s="42" t="n">
        <v>19</v>
      </c>
      <c r="W168" s="44" t="n">
        <v>17</v>
      </c>
      <c r="X168" s="42" t="n">
        <v>1996</v>
      </c>
      <c r="Y168" s="42" t="n">
        <v>29</v>
      </c>
      <c r="Z168" s="44" t="n">
        <v>16.8</v>
      </c>
      <c r="AA168" s="42" t="n">
        <v>1996</v>
      </c>
      <c r="AB168" s="42" t="n">
        <v>2</v>
      </c>
      <c r="AC168" s="44" t="n">
        <v>16.8</v>
      </c>
      <c r="AD168" s="42" t="n">
        <v>1996</v>
      </c>
      <c r="AE168" s="42" t="n">
        <v>15</v>
      </c>
      <c r="AF168" s="44" t="n">
        <v>16.4</v>
      </c>
      <c r="AG168" s="42" t="n">
        <v>2015</v>
      </c>
      <c r="AH168" s="42" t="n">
        <v>30</v>
      </c>
      <c r="AI168" s="44" t="n">
        <v>17</v>
      </c>
      <c r="AJ168" s="42" t="n">
        <v>1999</v>
      </c>
      <c r="AK168" s="42" t="n">
        <v>8</v>
      </c>
      <c r="AL168" s="44" t="n">
        <v>16</v>
      </c>
      <c r="AM168" s="42" t="n">
        <v>2002</v>
      </c>
      <c r="AN168" s="42" t="n">
        <v>8</v>
      </c>
      <c r="AO168" s="44" t="n">
        <v>15</v>
      </c>
      <c r="AP168" s="42" t="n">
        <v>2002</v>
      </c>
      <c r="AQ168" s="42" t="n">
        <v>18</v>
      </c>
    </row>
    <row r="169" ht="14.45" customHeight="1">
      <c r="A169" s="42" t="n">
        <v>21245010</v>
      </c>
      <c r="B169" s="42" t="inlineStr">
        <is>
          <t>PERALES HATO OPIA [21245010]</t>
        </is>
      </c>
      <c r="C169" s="42" t="n">
        <v>4.429666667</v>
      </c>
      <c r="D169" s="42" t="n">
        <v>-75.20052222</v>
      </c>
      <c r="E169" s="42" t="n">
        <v>826</v>
      </c>
      <c r="F169" s="42" t="inlineStr">
        <is>
          <t>Ibagué</t>
        </is>
      </c>
      <c r="G169" s="42" t="inlineStr">
        <is>
          <t>Tolima</t>
        </is>
      </c>
      <c r="H169" s="44" t="n">
        <v>16</v>
      </c>
      <c r="I169" s="42" t="n">
        <v>1979</v>
      </c>
      <c r="J169" s="42" t="n">
        <v>19</v>
      </c>
      <c r="K169" s="44" t="n">
        <v>16.4</v>
      </c>
      <c r="L169" s="42" t="n">
        <v>1980</v>
      </c>
      <c r="M169" s="42" t="n">
        <v>21</v>
      </c>
      <c r="N169" s="44" t="n">
        <v>16.4</v>
      </c>
      <c r="O169" s="42" t="n">
        <v>1989</v>
      </c>
      <c r="P169" s="42" t="n">
        <v>17</v>
      </c>
      <c r="Q169" s="44" t="n">
        <v>16</v>
      </c>
      <c r="R169" s="42" t="n">
        <v>1991</v>
      </c>
      <c r="S169" s="42" t="n">
        <v>12</v>
      </c>
      <c r="T169" s="44" t="n">
        <v>16.4</v>
      </c>
      <c r="U169" s="42" t="n">
        <v>1990</v>
      </c>
      <c r="V169" s="42" t="n">
        <v>24</v>
      </c>
      <c r="W169" s="44" t="n">
        <v>16</v>
      </c>
      <c r="X169" s="42" t="n">
        <v>1979</v>
      </c>
      <c r="Y169" s="42" t="n">
        <v>7</v>
      </c>
      <c r="Z169" s="44" t="n">
        <v>16</v>
      </c>
      <c r="AA169" s="42" t="n">
        <v>1984</v>
      </c>
      <c r="AB169" s="42" t="n">
        <v>21</v>
      </c>
      <c r="AC169" s="44" t="n">
        <v>16.2</v>
      </c>
      <c r="AD169" s="42" t="n">
        <v>1991</v>
      </c>
      <c r="AE169" s="42" t="n">
        <v>18</v>
      </c>
      <c r="AF169" s="44" t="n">
        <v>16</v>
      </c>
      <c r="AG169" s="42" t="n">
        <v>1990</v>
      </c>
      <c r="AH169" s="42" t="n">
        <v>29</v>
      </c>
      <c r="AI169" s="44" t="n">
        <v>16</v>
      </c>
      <c r="AJ169" s="42" t="n">
        <v>1990</v>
      </c>
      <c r="AK169" s="42" t="n">
        <v>13</v>
      </c>
      <c r="AL169" s="44" t="n">
        <v>16</v>
      </c>
      <c r="AM169" s="42" t="n">
        <v>1985</v>
      </c>
      <c r="AN169" s="42" t="n">
        <v>1</v>
      </c>
      <c r="AO169" s="44" t="n">
        <v>16</v>
      </c>
      <c r="AP169" s="42" t="n">
        <v>1985</v>
      </c>
      <c r="AQ169" s="42" t="n">
        <v>30</v>
      </c>
    </row>
    <row r="170" ht="14.45" customHeight="1">
      <c r="A170" s="42" t="n">
        <v>23085080</v>
      </c>
      <c r="B170" s="42" t="inlineStr">
        <is>
          <t>GRANJA EXPERIMENTAL EL NUS [23085080]</t>
        </is>
      </c>
      <c r="C170" s="42" t="n">
        <v>6.483583333</v>
      </c>
      <c r="D170" s="42" t="n">
        <v>-74.83669444</v>
      </c>
      <c r="E170" s="42" t="n">
        <v>859</v>
      </c>
      <c r="F170" s="42" t="inlineStr">
        <is>
          <t>San Roque</t>
        </is>
      </c>
      <c r="G170" s="42" t="inlineStr">
        <is>
          <t>Antioquia</t>
        </is>
      </c>
      <c r="H170" s="44" t="n">
        <v>13.8</v>
      </c>
      <c r="I170" s="42" t="n">
        <v>1997</v>
      </c>
      <c r="J170" s="42" t="n">
        <v>2</v>
      </c>
      <c r="K170" s="44" t="n">
        <v>13</v>
      </c>
      <c r="L170" s="42" t="n">
        <v>1992</v>
      </c>
      <c r="M170" s="42" t="n">
        <v>7</v>
      </c>
      <c r="N170" s="44" t="n">
        <v>13</v>
      </c>
      <c r="O170" s="42" t="n">
        <v>1996</v>
      </c>
      <c r="P170" s="42" t="n">
        <v>17</v>
      </c>
      <c r="Q170" s="44" t="n">
        <v>12.2</v>
      </c>
      <c r="R170" s="42" t="n">
        <v>1996</v>
      </c>
      <c r="S170" s="42" t="n">
        <v>20</v>
      </c>
      <c r="T170" s="44" t="n">
        <v>15</v>
      </c>
      <c r="U170" s="42" t="n">
        <v>1995</v>
      </c>
      <c r="V170" s="42" t="n">
        <v>17</v>
      </c>
      <c r="W170" s="44" t="n">
        <v>11.2</v>
      </c>
      <c r="X170" s="42" t="n">
        <v>2015</v>
      </c>
      <c r="Y170" s="42" t="n">
        <v>30</v>
      </c>
      <c r="Z170" s="44" t="n">
        <v>11</v>
      </c>
      <c r="AA170" s="42" t="n">
        <v>2015</v>
      </c>
      <c r="AB170" s="42" t="n">
        <v>1</v>
      </c>
      <c r="AC170" s="44" t="n">
        <v>11.6</v>
      </c>
      <c r="AD170" s="42" t="n">
        <v>2015</v>
      </c>
      <c r="AE170" s="42" t="n">
        <v>3</v>
      </c>
      <c r="AF170" s="44" t="n">
        <v>11</v>
      </c>
      <c r="AG170" s="42" t="n">
        <v>2015</v>
      </c>
      <c r="AH170" s="42" t="n">
        <v>5</v>
      </c>
      <c r="AI170" s="44" t="n">
        <v>12.4</v>
      </c>
      <c r="AJ170" s="42" t="n">
        <v>1996</v>
      </c>
      <c r="AK170" s="42" t="n">
        <v>16</v>
      </c>
      <c r="AL170" s="44" t="n">
        <v>14</v>
      </c>
      <c r="AM170" s="42" t="n">
        <v>1984</v>
      </c>
      <c r="AN170" s="42" t="n">
        <v>25</v>
      </c>
      <c r="AO170" s="44" t="n">
        <v>13</v>
      </c>
      <c r="AP170" s="42" t="n">
        <v>2013</v>
      </c>
      <c r="AQ170" s="42" t="n">
        <v>20</v>
      </c>
    </row>
    <row r="171" ht="14.45" customHeight="1">
      <c r="A171" s="42" t="n">
        <v>16025030</v>
      </c>
      <c r="B171" s="42" t="inlineStr">
        <is>
          <t>SALAZAR [16025030]</t>
        </is>
      </c>
      <c r="C171" s="42" t="n">
        <v>7.774583333</v>
      </c>
      <c r="D171" s="42" t="n">
        <v>-72.83055555999999</v>
      </c>
      <c r="E171" s="42" t="n">
        <v>860</v>
      </c>
      <c r="F171" s="42" t="inlineStr">
        <is>
          <t>Salazar</t>
        </is>
      </c>
      <c r="G171" s="42" t="inlineStr">
        <is>
          <t>Norte De Santander</t>
        </is>
      </c>
      <c r="H171" s="44" t="n">
        <v>10</v>
      </c>
      <c r="I171" s="42" t="n">
        <v>1991</v>
      </c>
      <c r="J171" s="42" t="n">
        <v>8</v>
      </c>
      <c r="K171" s="44" t="n">
        <v>13</v>
      </c>
      <c r="L171" s="42" t="n">
        <v>1999</v>
      </c>
      <c r="M171" s="42" t="n">
        <v>6</v>
      </c>
      <c r="N171" s="44" t="n">
        <v>13.8</v>
      </c>
      <c r="O171" s="42" t="n">
        <v>2002</v>
      </c>
      <c r="P171" s="42" t="n">
        <v>10</v>
      </c>
      <c r="Q171" s="44" t="n">
        <v>13.8</v>
      </c>
      <c r="R171" s="42" t="n">
        <v>2002</v>
      </c>
      <c r="S171" s="42" t="n">
        <v>9</v>
      </c>
      <c r="T171" s="44" t="n">
        <v>14</v>
      </c>
      <c r="U171" s="42" t="n">
        <v>2004</v>
      </c>
      <c r="V171" s="42" t="n">
        <v>3</v>
      </c>
      <c r="W171" s="44" t="n">
        <v>15</v>
      </c>
      <c r="X171" s="42" t="n">
        <v>2001</v>
      </c>
      <c r="Y171" s="42" t="n">
        <v>3</v>
      </c>
      <c r="Z171" s="44" t="n">
        <v>13</v>
      </c>
      <c r="AA171" s="42" t="n">
        <v>2004</v>
      </c>
      <c r="AB171" s="42" t="n">
        <v>4</v>
      </c>
      <c r="AC171" s="44" t="n">
        <v>15.2</v>
      </c>
      <c r="AD171" s="42" t="n">
        <v>2000</v>
      </c>
      <c r="AE171" s="42" t="n">
        <v>12</v>
      </c>
      <c r="AF171" s="44" t="n">
        <v>15.2</v>
      </c>
      <c r="AG171" s="42" t="n">
        <v>2007</v>
      </c>
      <c r="AH171" s="42" t="n">
        <v>1</v>
      </c>
      <c r="AI171" s="44" t="n">
        <v>16</v>
      </c>
      <c r="AJ171" s="42" t="n">
        <v>1990</v>
      </c>
      <c r="AK171" s="42" t="n">
        <v>28</v>
      </c>
      <c r="AL171" s="44" t="n">
        <v>15.2</v>
      </c>
      <c r="AM171" s="42" t="n">
        <v>1984</v>
      </c>
      <c r="AN171" s="42" t="n">
        <v>26</v>
      </c>
      <c r="AO171" s="44" t="n">
        <v>14.2</v>
      </c>
      <c r="AP171" s="42" t="n">
        <v>2000</v>
      </c>
      <c r="AQ171" s="42" t="n">
        <v>16</v>
      </c>
    </row>
    <row r="172" ht="14.45" customHeight="1">
      <c r="A172" s="42" t="n">
        <v>22045010</v>
      </c>
      <c r="B172" s="42" t="inlineStr">
        <is>
          <t>DEMOSTRACION GRANJA  - AUT [22045010]</t>
        </is>
      </c>
      <c r="C172" s="42" t="n">
        <v>3.722444444</v>
      </c>
      <c r="D172" s="42" t="n">
        <v>-75.50344444</v>
      </c>
      <c r="E172" s="42" t="n">
        <v>895</v>
      </c>
      <c r="F172" s="42" t="inlineStr">
        <is>
          <t>Chaparral</t>
        </is>
      </c>
      <c r="G172" s="42" t="inlineStr">
        <is>
          <t>Tolima</t>
        </is>
      </c>
      <c r="H172" s="44" t="n">
        <v>16.8</v>
      </c>
      <c r="I172" s="42" t="n">
        <v>1997</v>
      </c>
      <c r="J172" s="42" t="n">
        <v>19</v>
      </c>
      <c r="K172" s="44" t="n">
        <v>16.8</v>
      </c>
      <c r="L172" s="42" t="n">
        <v>2004</v>
      </c>
      <c r="M172" s="42" t="n">
        <v>24</v>
      </c>
      <c r="N172" s="44" t="n">
        <v>16.8</v>
      </c>
      <c r="O172" s="42" t="n">
        <v>2001</v>
      </c>
      <c r="P172" s="42" t="n">
        <v>20</v>
      </c>
      <c r="Q172" s="44" t="n">
        <v>16.8</v>
      </c>
      <c r="R172" s="42" t="n">
        <v>2004</v>
      </c>
      <c r="S172" s="42" t="n">
        <v>3</v>
      </c>
      <c r="T172" s="44" t="n">
        <v>16.8</v>
      </c>
      <c r="U172" s="42" t="n">
        <v>1996</v>
      </c>
      <c r="V172" s="42" t="n">
        <v>25</v>
      </c>
      <c r="W172" s="44" t="n">
        <v>16.8</v>
      </c>
      <c r="X172" s="42" t="n">
        <v>2002</v>
      </c>
      <c r="Y172" s="42" t="n">
        <v>16</v>
      </c>
      <c r="Z172" s="44" t="n">
        <v>16.8</v>
      </c>
      <c r="AA172" s="42" t="n">
        <v>2000</v>
      </c>
      <c r="AB172" s="42" t="n">
        <v>30</v>
      </c>
      <c r="AC172" s="44" t="n">
        <v>16.8</v>
      </c>
      <c r="AD172" s="42" t="n">
        <v>2004</v>
      </c>
      <c r="AE172" s="42" t="n">
        <v>27</v>
      </c>
      <c r="AF172" s="44" t="n">
        <v>16.8</v>
      </c>
      <c r="AG172" s="42" t="n">
        <v>2003</v>
      </c>
      <c r="AH172" s="42" t="n">
        <v>18</v>
      </c>
      <c r="AI172" s="44" t="n">
        <v>17</v>
      </c>
      <c r="AJ172" s="42" t="n">
        <v>1978</v>
      </c>
      <c r="AK172" s="42" t="n">
        <v>23</v>
      </c>
      <c r="AL172" s="44" t="n">
        <v>16.8</v>
      </c>
      <c r="AM172" s="42" t="n">
        <v>2003</v>
      </c>
      <c r="AN172" s="42" t="n">
        <v>8</v>
      </c>
      <c r="AO172" s="44" t="n">
        <v>16.8</v>
      </c>
      <c r="AP172" s="42" t="n">
        <v>1996</v>
      </c>
      <c r="AQ172" s="42" t="n">
        <v>10</v>
      </c>
    </row>
    <row r="173" ht="14.45" customHeight="1">
      <c r="A173" s="42" t="n">
        <v>24055040</v>
      </c>
      <c r="B173" s="42" t="inlineStr">
        <is>
          <t>PALMAR EL [24055040]</t>
        </is>
      </c>
      <c r="C173" s="42" t="n">
        <v>6.549722222</v>
      </c>
      <c r="D173" s="42" t="n">
        <v>-73.292</v>
      </c>
      <c r="E173" s="42" t="n">
        <v>940</v>
      </c>
      <c r="F173" s="42" t="inlineStr">
        <is>
          <t>Palmar</t>
        </is>
      </c>
      <c r="G173" s="42" t="inlineStr">
        <is>
          <t>Santander</t>
        </is>
      </c>
      <c r="H173" s="44" t="n">
        <v>15.4</v>
      </c>
      <c r="I173" s="42" t="n">
        <v>2017</v>
      </c>
      <c r="J173" s="42" t="n">
        <v>23</v>
      </c>
      <c r="K173" s="44" t="n">
        <v>16.6</v>
      </c>
      <c r="L173" s="42" t="n">
        <v>2004</v>
      </c>
      <c r="M173" s="42" t="n">
        <v>2</v>
      </c>
      <c r="N173" s="44" t="n">
        <v>17.2</v>
      </c>
      <c r="O173" s="42" t="n">
        <v>1984</v>
      </c>
      <c r="P173" s="42" t="n">
        <v>16</v>
      </c>
      <c r="Q173" s="44" t="n">
        <v>16</v>
      </c>
      <c r="R173" s="42" t="n">
        <v>1993</v>
      </c>
      <c r="S173" s="42" t="n">
        <v>29</v>
      </c>
      <c r="T173" s="44" t="n">
        <v>16.4</v>
      </c>
      <c r="U173" s="42" t="n">
        <v>1985</v>
      </c>
      <c r="V173" s="42" t="n">
        <v>2</v>
      </c>
      <c r="W173" s="44" t="n">
        <v>14</v>
      </c>
      <c r="X173" s="42" t="n">
        <v>2020</v>
      </c>
      <c r="Y173" s="42" t="n">
        <v>21</v>
      </c>
      <c r="Z173" s="44" t="n">
        <v>15.6</v>
      </c>
      <c r="AA173" s="42" t="n">
        <v>1985</v>
      </c>
      <c r="AB173" s="42" t="n">
        <v>16</v>
      </c>
      <c r="AC173" s="44" t="n">
        <v>17</v>
      </c>
      <c r="AD173" s="42" t="n">
        <v>1998</v>
      </c>
      <c r="AE173" s="42" t="n">
        <v>13</v>
      </c>
      <c r="AF173" s="44" t="n">
        <v>16.2</v>
      </c>
      <c r="AG173" s="42" t="n">
        <v>1984</v>
      </c>
      <c r="AH173" s="42" t="n">
        <v>2</v>
      </c>
      <c r="AI173" s="44" t="n">
        <v>16.6</v>
      </c>
      <c r="AJ173" s="42" t="n">
        <v>2009</v>
      </c>
      <c r="AK173" s="42" t="n">
        <v>1</v>
      </c>
      <c r="AL173" s="44" t="n">
        <v>16.4</v>
      </c>
      <c r="AM173" s="42" t="n">
        <v>1999</v>
      </c>
      <c r="AN173" s="42" t="n">
        <v>22</v>
      </c>
      <c r="AO173" s="44" t="n">
        <v>15.6</v>
      </c>
      <c r="AP173" s="42" t="n">
        <v>2000</v>
      </c>
      <c r="AQ173" s="42" t="n">
        <v>17</v>
      </c>
    </row>
    <row r="174" ht="14.45" customHeight="1">
      <c r="A174" s="42" t="n">
        <v>21245040</v>
      </c>
      <c r="B174" s="42" t="inlineStr">
        <is>
          <t>AEROPUERTO PERALES [21245040]</t>
        </is>
      </c>
      <c r="C174" s="42" t="n">
        <v>4.424138889</v>
      </c>
      <c r="D174" s="42" t="n">
        <v>-75.13941667</v>
      </c>
      <c r="E174" s="42" t="n">
        <v>943</v>
      </c>
      <c r="F174" s="42" t="inlineStr">
        <is>
          <t>Ibagué</t>
        </is>
      </c>
      <c r="G174" s="42" t="inlineStr">
        <is>
          <t>Tolima</t>
        </is>
      </c>
      <c r="H174" s="44" t="n">
        <v>15.3</v>
      </c>
      <c r="I174" s="42" t="n">
        <v>1995</v>
      </c>
      <c r="J174" s="42" t="n">
        <v>14</v>
      </c>
      <c r="K174" s="44" t="n">
        <v>15.9</v>
      </c>
      <c r="L174" s="42" t="n">
        <v>1982</v>
      </c>
      <c r="M174" s="42" t="n">
        <v>16</v>
      </c>
      <c r="N174" s="44" t="n">
        <v>15.2</v>
      </c>
      <c r="O174" s="42" t="n">
        <v>1982</v>
      </c>
      <c r="P174" s="42" t="n">
        <v>10</v>
      </c>
      <c r="Q174" s="44" t="n">
        <v>16.2</v>
      </c>
      <c r="R174" s="42" t="n">
        <v>1982</v>
      </c>
      <c r="S174" s="42" t="n">
        <v>27</v>
      </c>
      <c r="T174" s="44" t="n">
        <v>16.2</v>
      </c>
      <c r="U174" s="42" t="n">
        <v>1978</v>
      </c>
      <c r="V174" s="42" t="n">
        <v>5</v>
      </c>
      <c r="W174" s="44" t="n">
        <v>15.3</v>
      </c>
      <c r="X174" s="42" t="n">
        <v>2009</v>
      </c>
      <c r="Y174" s="42" t="n">
        <v>24</v>
      </c>
      <c r="Z174" s="44" t="n">
        <v>15.2</v>
      </c>
      <c r="AA174" s="42" t="n">
        <v>1984</v>
      </c>
      <c r="AB174" s="42" t="n">
        <v>23</v>
      </c>
      <c r="AC174" s="44" t="n">
        <v>15.8</v>
      </c>
      <c r="AD174" s="42" t="n">
        <v>1999</v>
      </c>
      <c r="AE174" s="42" t="n">
        <v>4</v>
      </c>
      <c r="AF174" s="44" t="n">
        <v>15.4</v>
      </c>
      <c r="AG174" s="42" t="n">
        <v>1989</v>
      </c>
      <c r="AH174" s="42" t="n">
        <v>14</v>
      </c>
      <c r="AI174" s="44" t="n">
        <v>16.2</v>
      </c>
      <c r="AJ174" s="42" t="n">
        <v>2010</v>
      </c>
      <c r="AK174" s="42" t="n">
        <v>25</v>
      </c>
      <c r="AL174" s="44" t="n">
        <v>15.2</v>
      </c>
      <c r="AM174" s="42" t="n">
        <v>2003</v>
      </c>
      <c r="AN174" s="42" t="n">
        <v>4</v>
      </c>
      <c r="AO174" s="44" t="n">
        <v>15.8</v>
      </c>
      <c r="AP174" s="42" t="n">
        <v>1999</v>
      </c>
      <c r="AQ174" s="42" t="n">
        <v>29</v>
      </c>
    </row>
    <row r="175" ht="14.45" customHeight="1">
      <c r="A175" s="42" t="n">
        <v>21195060</v>
      </c>
      <c r="B175" s="42" t="inlineStr">
        <is>
          <t>PANDI [21195060]</t>
        </is>
      </c>
      <c r="C175" s="42" t="n">
        <v>4.192722222</v>
      </c>
      <c r="D175" s="42" t="n">
        <v>-74.48741667</v>
      </c>
      <c r="E175" s="42" t="n">
        <v>950</v>
      </c>
      <c r="F175" s="42" t="inlineStr">
        <is>
          <t>Pandi</t>
        </is>
      </c>
      <c r="G175" s="42" t="inlineStr">
        <is>
          <t>Cundinamarca</t>
        </is>
      </c>
      <c r="H175" s="44" t="n">
        <v>14.3</v>
      </c>
      <c r="I175" s="42" t="n">
        <v>2006</v>
      </c>
      <c r="J175" s="42" t="n">
        <v>5</v>
      </c>
      <c r="K175" s="44" t="n">
        <v>15.1</v>
      </c>
      <c r="L175" s="42" t="n">
        <v>2006</v>
      </c>
      <c r="M175" s="42" t="n">
        <v>21</v>
      </c>
      <c r="N175" s="44" t="n">
        <v>14.2</v>
      </c>
      <c r="O175" s="42" t="n">
        <v>2006</v>
      </c>
      <c r="P175" s="42" t="n">
        <v>14</v>
      </c>
      <c r="Q175" s="44" t="n">
        <v>16.8</v>
      </c>
      <c r="R175" s="42" t="n">
        <v>2002</v>
      </c>
      <c r="S175" s="42" t="n">
        <v>8</v>
      </c>
      <c r="T175" s="44" t="n">
        <v>16.6</v>
      </c>
      <c r="U175" s="42" t="n">
        <v>2002</v>
      </c>
      <c r="V175" s="42" t="n">
        <v>29</v>
      </c>
      <c r="W175" s="44" t="n">
        <v>15.6</v>
      </c>
      <c r="X175" s="42" t="n">
        <v>2002</v>
      </c>
      <c r="Y175" s="42" t="n">
        <v>5</v>
      </c>
      <c r="Z175" s="44" t="n">
        <v>16.8</v>
      </c>
      <c r="AA175" s="42" t="n">
        <v>1981</v>
      </c>
      <c r="AB175" s="42" t="n">
        <v>18</v>
      </c>
      <c r="AC175" s="44" t="n">
        <v>16.2</v>
      </c>
      <c r="AD175" s="42" t="n">
        <v>2008</v>
      </c>
      <c r="AE175" s="42" t="n">
        <v>9</v>
      </c>
      <c r="AF175" s="44" t="n">
        <v>14.8</v>
      </c>
      <c r="AG175" s="42" t="n">
        <v>2024</v>
      </c>
      <c r="AH175" s="42" t="n">
        <v>8</v>
      </c>
      <c r="AI175" s="44" t="n">
        <v>16.4</v>
      </c>
      <c r="AJ175" s="42" t="n">
        <v>1981</v>
      </c>
      <c r="AK175" s="42" t="n">
        <v>7</v>
      </c>
      <c r="AL175" s="44" t="n">
        <v>14.4</v>
      </c>
      <c r="AM175" s="42" t="n">
        <v>2005</v>
      </c>
      <c r="AN175" s="42" t="n">
        <v>26</v>
      </c>
      <c r="AO175" s="44" t="n">
        <v>14.2</v>
      </c>
      <c r="AP175" s="42" t="n">
        <v>2023</v>
      </c>
      <c r="AQ175" s="42" t="n">
        <v>1</v>
      </c>
    </row>
    <row r="176" ht="14.45" customHeight="1">
      <c r="A176" s="42" t="n">
        <v>26105110</v>
      </c>
      <c r="B176" s="42" t="inlineStr">
        <is>
          <t>INGENIO RIOPAILA [26105110]</t>
        </is>
      </c>
      <c r="C176" s="42" t="n">
        <v>4.3245</v>
      </c>
      <c r="D176" s="42" t="n">
        <v>-76.08452778</v>
      </c>
      <c r="E176" s="42" t="n">
        <v>954</v>
      </c>
      <c r="F176" s="42" t="inlineStr">
        <is>
          <t>Zarzal</t>
        </is>
      </c>
      <c r="G176" s="42" t="inlineStr">
        <is>
          <t>Valle Del Cauca</t>
        </is>
      </c>
      <c r="H176" s="44" t="n">
        <v>13.4</v>
      </c>
      <c r="I176" s="42" t="n">
        <v>2017</v>
      </c>
      <c r="J176" s="42" t="n">
        <v>23</v>
      </c>
      <c r="K176" s="44" t="n">
        <v>13</v>
      </c>
      <c r="L176" s="42" t="n">
        <v>2004</v>
      </c>
      <c r="M176" s="42" t="n">
        <v>26</v>
      </c>
      <c r="N176" s="44" t="n">
        <v>13</v>
      </c>
      <c r="O176" s="42" t="n">
        <v>2004</v>
      </c>
      <c r="P176" s="42" t="n">
        <v>1</v>
      </c>
      <c r="Q176" s="44" t="n">
        <v>14.2</v>
      </c>
      <c r="R176" s="42" t="n">
        <v>1995</v>
      </c>
      <c r="S176" s="42" t="n">
        <v>19</v>
      </c>
      <c r="T176" s="44" t="n">
        <v>13</v>
      </c>
      <c r="U176" s="42" t="n">
        <v>1993</v>
      </c>
      <c r="V176" s="42" t="n">
        <v>1</v>
      </c>
      <c r="W176" s="44" t="n">
        <v>13.6</v>
      </c>
      <c r="X176" s="42" t="n">
        <v>1995</v>
      </c>
      <c r="Y176" s="42" t="n">
        <v>19</v>
      </c>
      <c r="Z176" s="44" t="n">
        <v>13</v>
      </c>
      <c r="AA176" s="42" t="n">
        <v>1995</v>
      </c>
      <c r="AB176" s="42" t="n">
        <v>24</v>
      </c>
      <c r="AC176" s="44" t="n">
        <v>13.2</v>
      </c>
      <c r="AD176" s="42" t="n">
        <v>1994</v>
      </c>
      <c r="AE176" s="42" t="n">
        <v>15</v>
      </c>
      <c r="AF176" s="44" t="n">
        <v>14.2</v>
      </c>
      <c r="AG176" s="42" t="n">
        <v>2004</v>
      </c>
      <c r="AH176" s="42" t="n">
        <v>21</v>
      </c>
      <c r="AI176" s="44" t="n">
        <v>13</v>
      </c>
      <c r="AJ176" s="42" t="n">
        <v>1995</v>
      </c>
      <c r="AK176" s="42" t="n">
        <v>7</v>
      </c>
      <c r="AL176" s="44" t="n">
        <v>14</v>
      </c>
      <c r="AM176" s="42" t="n">
        <v>2004</v>
      </c>
      <c r="AN176" s="42" t="n">
        <v>1</v>
      </c>
      <c r="AO176" s="44" t="n">
        <v>13.2</v>
      </c>
      <c r="AP176" s="42" t="n">
        <v>1993</v>
      </c>
      <c r="AQ176" s="42" t="n">
        <v>1</v>
      </c>
    </row>
    <row r="177" ht="14.45" customHeight="1">
      <c r="A177" s="42" t="n">
        <v>26075040</v>
      </c>
      <c r="B177" s="42" t="inlineStr">
        <is>
          <t>AEROPUERTO A BONILLA [26075040]</t>
        </is>
      </c>
      <c r="C177" s="42" t="n">
        <v>3.536688889</v>
      </c>
      <c r="D177" s="42" t="n">
        <v>-76.386638889</v>
      </c>
      <c r="E177" s="42" t="n">
        <v>970</v>
      </c>
      <c r="F177" s="42" t="inlineStr">
        <is>
          <t>Palmira</t>
        </is>
      </c>
      <c r="G177" s="42" t="inlineStr">
        <is>
          <t>Valle Del Cauca</t>
        </is>
      </c>
      <c r="H177" s="44" t="n">
        <v>13.7</v>
      </c>
      <c r="I177" s="42" t="n">
        <v>2017</v>
      </c>
      <c r="J177" s="42" t="n">
        <v>23</v>
      </c>
      <c r="K177" s="44" t="n">
        <v>15.2</v>
      </c>
      <c r="L177" s="42" t="n">
        <v>1995</v>
      </c>
      <c r="M177" s="42" t="n">
        <v>23</v>
      </c>
      <c r="N177" s="44" t="n">
        <v>14</v>
      </c>
      <c r="O177" s="42" t="n">
        <v>1993</v>
      </c>
      <c r="P177" s="42" t="n">
        <v>23</v>
      </c>
      <c r="Q177" s="44" t="n">
        <v>15</v>
      </c>
      <c r="R177" s="42" t="n">
        <v>1981</v>
      </c>
      <c r="S177" s="42" t="n">
        <v>28</v>
      </c>
      <c r="T177" s="44" t="n">
        <v>12.6</v>
      </c>
      <c r="U177" s="42" t="n">
        <v>2018</v>
      </c>
      <c r="V177" s="42" t="n">
        <v>29</v>
      </c>
      <c r="W177" s="44" t="n">
        <v>15.6</v>
      </c>
      <c r="X177" s="42" t="n">
        <v>2004</v>
      </c>
      <c r="Y177" s="42" t="n">
        <v>6</v>
      </c>
      <c r="Z177" s="44" t="n">
        <v>13.6</v>
      </c>
      <c r="AA177" s="42" t="n">
        <v>1981</v>
      </c>
      <c r="AB177" s="42" t="n">
        <v>25</v>
      </c>
      <c r="AC177" s="44" t="n">
        <v>13.4</v>
      </c>
      <c r="AD177" s="42" t="n">
        <v>1978</v>
      </c>
      <c r="AE177" s="42" t="n">
        <v>18</v>
      </c>
      <c r="AF177" s="44" t="n">
        <v>14.2</v>
      </c>
      <c r="AG177" s="42" t="n">
        <v>1976</v>
      </c>
      <c r="AH177" s="42" t="n">
        <v>30</v>
      </c>
      <c r="AI177" s="44" t="n">
        <v>15</v>
      </c>
      <c r="AJ177" s="42" t="n">
        <v>1976</v>
      </c>
      <c r="AK177" s="42" t="n">
        <v>10</v>
      </c>
      <c r="AL177" s="44" t="n">
        <v>13.1</v>
      </c>
      <c r="AM177" s="42" t="n">
        <v>2016</v>
      </c>
      <c r="AN177" s="42" t="n">
        <v>22</v>
      </c>
      <c r="AO177" s="44" t="n">
        <v>15.4</v>
      </c>
      <c r="AP177" s="42" t="n">
        <v>1990</v>
      </c>
      <c r="AQ177" s="42" t="n">
        <v>13</v>
      </c>
    </row>
    <row r="178" ht="14.45" customHeight="1">
      <c r="A178" s="42" t="n">
        <v>26085170</v>
      </c>
      <c r="B178" s="42" t="inlineStr">
        <is>
          <t>BASE AEREA MARCO FIDEL SUAREZ  - AUT [26085170]</t>
        </is>
      </c>
      <c r="C178" s="42" t="n">
        <v>3.454414</v>
      </c>
      <c r="D178" s="42" t="n">
        <v>-76.499948</v>
      </c>
      <c r="E178" s="42" t="n">
        <v>971</v>
      </c>
      <c r="F178" s="42" t="inlineStr">
        <is>
          <t>Cali</t>
        </is>
      </c>
      <c r="G178" s="42" t="inlineStr">
        <is>
          <t>Valle Del Cauca</t>
        </is>
      </c>
      <c r="H178" s="44" t="n">
        <v>16</v>
      </c>
      <c r="I178" s="42" t="n">
        <v>2001</v>
      </c>
      <c r="J178" s="42" t="n">
        <v>18</v>
      </c>
      <c r="K178" s="44" t="n">
        <v>16.2</v>
      </c>
      <c r="L178" s="42" t="n">
        <v>2008</v>
      </c>
      <c r="M178" s="42" t="n">
        <v>20</v>
      </c>
      <c r="N178" s="44" t="n">
        <v>17.4</v>
      </c>
      <c r="O178" s="42" t="n">
        <v>2008</v>
      </c>
      <c r="P178" s="42" t="n">
        <v>13</v>
      </c>
      <c r="Q178" s="44" t="n">
        <v>15.8</v>
      </c>
      <c r="R178" s="42" t="n">
        <v>2006</v>
      </c>
      <c r="S178" s="42" t="n">
        <v>14</v>
      </c>
      <c r="T178" s="44" t="n">
        <v>15.2</v>
      </c>
      <c r="U178" s="42" t="n">
        <v>1999</v>
      </c>
      <c r="V178" s="42" t="n">
        <v>20</v>
      </c>
      <c r="W178" s="44" t="n">
        <v>16.4</v>
      </c>
      <c r="X178" s="42" t="n">
        <v>2008</v>
      </c>
      <c r="Y178" s="42" t="n">
        <v>26</v>
      </c>
      <c r="Z178" s="44" t="n">
        <v>15.6</v>
      </c>
      <c r="AA178" s="42" t="n">
        <v>2009</v>
      </c>
      <c r="AB178" s="42" t="n">
        <v>16</v>
      </c>
      <c r="AC178" s="44" t="n">
        <v>16</v>
      </c>
      <c r="AD178" s="42" t="n">
        <v>2002</v>
      </c>
      <c r="AE178" s="42" t="n">
        <v>1</v>
      </c>
      <c r="AF178" s="44" t="n">
        <v>16.8</v>
      </c>
      <c r="AG178" s="42" t="n">
        <v>2010</v>
      </c>
      <c r="AH178" s="42" t="n">
        <v>8</v>
      </c>
      <c r="AI178" s="44" t="n">
        <v>15.4</v>
      </c>
      <c r="AJ178" s="42" t="n">
        <v>1997</v>
      </c>
      <c r="AK178" s="42" t="n">
        <v>14</v>
      </c>
      <c r="AL178" s="44" t="n">
        <v>17</v>
      </c>
      <c r="AM178" s="42" t="n">
        <v>2003</v>
      </c>
      <c r="AN178" s="42" t="n">
        <v>1</v>
      </c>
      <c r="AO178" s="44" t="n">
        <v>13.8</v>
      </c>
      <c r="AP178" s="42" t="n">
        <v>1990</v>
      </c>
      <c r="AQ178" s="42" t="n">
        <v>9</v>
      </c>
    </row>
    <row r="179" ht="14.45" customHeight="1">
      <c r="A179" s="42" t="n">
        <v>24025020</v>
      </c>
      <c r="B179" s="42" t="inlineStr">
        <is>
          <t>CUCHARO EL [24025020]</t>
        </is>
      </c>
      <c r="C179" s="42" t="n">
        <v>6.532222222</v>
      </c>
      <c r="D179" s="42" t="n">
        <v>-73.19916667</v>
      </c>
      <c r="E179" s="42" t="n">
        <v>975</v>
      </c>
      <c r="F179" s="42" t="inlineStr">
        <is>
          <t>Pinchote</t>
        </is>
      </c>
      <c r="G179" s="42" t="inlineStr">
        <is>
          <t>Santander</t>
        </is>
      </c>
      <c r="H179" s="44" t="n">
        <v>13.2</v>
      </c>
      <c r="I179" s="42" t="n">
        <v>1991</v>
      </c>
      <c r="J179" s="42" t="n">
        <v>21</v>
      </c>
      <c r="K179" s="44" t="n">
        <v>13.4</v>
      </c>
      <c r="L179" s="42" t="n">
        <v>1985</v>
      </c>
      <c r="M179" s="42" t="n">
        <v>7</v>
      </c>
      <c r="N179" s="44" t="n">
        <v>15.4</v>
      </c>
      <c r="O179" s="42" t="n">
        <v>1989</v>
      </c>
      <c r="P179" s="42" t="n">
        <v>30</v>
      </c>
      <c r="Q179" s="44" t="n">
        <v>14</v>
      </c>
      <c r="R179" s="42" t="n">
        <v>1979</v>
      </c>
      <c r="S179" s="42" t="n">
        <v>30</v>
      </c>
      <c r="T179" s="44" t="n">
        <v>15.4</v>
      </c>
      <c r="U179" s="42" t="n">
        <v>1988</v>
      </c>
      <c r="V179" s="42" t="n">
        <v>2</v>
      </c>
      <c r="W179" s="44" t="n">
        <v>16</v>
      </c>
      <c r="X179" s="42" t="n">
        <v>1984</v>
      </c>
      <c r="Y179" s="42" t="n">
        <v>21</v>
      </c>
      <c r="Z179" s="44" t="n">
        <v>14.8</v>
      </c>
      <c r="AA179" s="42" t="n">
        <v>2001</v>
      </c>
      <c r="AB179" s="42" t="n">
        <v>17</v>
      </c>
      <c r="AC179" s="44" t="n">
        <v>15.8</v>
      </c>
      <c r="AD179" s="42" t="n">
        <v>2001</v>
      </c>
      <c r="AE179" s="42" t="n">
        <v>9</v>
      </c>
      <c r="AF179" s="44" t="n">
        <v>15.8</v>
      </c>
      <c r="AG179" s="42" t="n">
        <v>1999</v>
      </c>
      <c r="AH179" s="42" t="n">
        <v>29</v>
      </c>
      <c r="AI179" s="44" t="n">
        <v>14.2</v>
      </c>
      <c r="AJ179" s="42" t="n">
        <v>1984</v>
      </c>
      <c r="AK179" s="42" t="n">
        <v>7</v>
      </c>
      <c r="AL179" s="44" t="n">
        <v>14.8</v>
      </c>
      <c r="AM179" s="42" t="n">
        <v>1999</v>
      </c>
      <c r="AN179" s="42" t="n">
        <v>22</v>
      </c>
      <c r="AO179" s="44" t="n">
        <v>14</v>
      </c>
      <c r="AP179" s="42" t="n">
        <v>1981</v>
      </c>
      <c r="AQ179" s="42" t="n">
        <v>23</v>
      </c>
    </row>
    <row r="180" ht="14.45" customHeight="1">
      <c r="A180" s="42" t="n">
        <v>26095320</v>
      </c>
      <c r="B180" s="42" t="inlineStr">
        <is>
          <t>EL VINCULO - AUT [26095320]</t>
        </is>
      </c>
      <c r="C180" s="42" t="n">
        <v>3.360416667</v>
      </c>
      <c r="D180" s="42" t="n">
        <v>-76.300005556</v>
      </c>
      <c r="E180" s="42" t="n">
        <v>980</v>
      </c>
      <c r="F180" s="42" t="inlineStr">
        <is>
          <t>Florida</t>
        </is>
      </c>
      <c r="G180" s="42" t="inlineStr">
        <is>
          <t>Valle Del Cauca</t>
        </is>
      </c>
      <c r="H180" s="44" t="n">
        <v>15</v>
      </c>
      <c r="I180" s="42" t="n">
        <v>1984</v>
      </c>
      <c r="J180" s="42" t="n">
        <v>18</v>
      </c>
      <c r="K180" s="44" t="n">
        <v>14.8</v>
      </c>
      <c r="L180" s="42" t="n">
        <v>1984</v>
      </c>
      <c r="M180" s="42" t="n">
        <v>14</v>
      </c>
      <c r="N180" s="44" t="n">
        <v>15.2</v>
      </c>
      <c r="O180" s="42" t="n">
        <v>2020</v>
      </c>
      <c r="P180" s="42" t="n">
        <v>22</v>
      </c>
      <c r="Q180" s="44" t="n">
        <v>14</v>
      </c>
      <c r="R180" s="42" t="n">
        <v>1999</v>
      </c>
      <c r="S180" s="42" t="n">
        <v>7</v>
      </c>
      <c r="T180" s="44" t="n">
        <v>15</v>
      </c>
      <c r="U180" s="42" t="n">
        <v>1999</v>
      </c>
      <c r="V180" s="42" t="n">
        <v>2</v>
      </c>
      <c r="W180" s="44" t="n">
        <v>15</v>
      </c>
      <c r="X180" s="42" t="n">
        <v>1987</v>
      </c>
      <c r="Y180" s="42" t="n">
        <v>20</v>
      </c>
      <c r="Z180" s="44" t="n">
        <v>14.6</v>
      </c>
      <c r="AA180" s="42" t="n">
        <v>1984</v>
      </c>
      <c r="AB180" s="42" t="n">
        <v>2</v>
      </c>
      <c r="AC180" s="44" t="n">
        <v>14</v>
      </c>
      <c r="AD180" s="42" t="n">
        <v>2019</v>
      </c>
      <c r="AE180" s="42" t="n">
        <v>15</v>
      </c>
      <c r="AF180" s="44" t="n">
        <v>15</v>
      </c>
      <c r="AG180" s="42" t="n">
        <v>2014</v>
      </c>
      <c r="AH180" s="42" t="n">
        <v>25</v>
      </c>
      <c r="AI180" s="44" t="n">
        <v>14.6</v>
      </c>
      <c r="AJ180" s="42" t="n">
        <v>1983</v>
      </c>
      <c r="AK180" s="42" t="n">
        <v>17</v>
      </c>
      <c r="AL180" s="44" t="n">
        <v>14.2</v>
      </c>
      <c r="AM180" s="42" t="n">
        <v>1985</v>
      </c>
      <c r="AN180" s="42" t="n">
        <v>2</v>
      </c>
      <c r="AO180" s="44" t="n">
        <v>14.6</v>
      </c>
      <c r="AP180" s="42" t="n">
        <v>1983</v>
      </c>
      <c r="AQ180" s="42" t="n">
        <v>27</v>
      </c>
    </row>
    <row r="181" ht="14.45" customHeight="1">
      <c r="A181" s="42" t="n">
        <v>26045010</v>
      </c>
      <c r="B181" s="42" t="inlineStr">
        <is>
          <t>INGENIO BENGALA [26045010]</t>
        </is>
      </c>
      <c r="C181" s="42" t="n">
        <v>3.262805556</v>
      </c>
      <c r="D181" s="42" t="n">
        <v>-76.41447221999999</v>
      </c>
      <c r="E181" s="42" t="n">
        <v>983</v>
      </c>
      <c r="F181" s="42" t="inlineStr">
        <is>
          <t>Puerto Tejada</t>
        </is>
      </c>
      <c r="G181" s="42" t="inlineStr">
        <is>
          <t>Cauca</t>
        </is>
      </c>
      <c r="H181" s="44" t="n">
        <v>11.2</v>
      </c>
      <c r="I181" s="42" t="n">
        <v>2022</v>
      </c>
      <c r="J181" s="42" t="n">
        <v>28</v>
      </c>
      <c r="K181" s="44" t="n">
        <v>14.4</v>
      </c>
      <c r="L181" s="42" t="n">
        <v>1994</v>
      </c>
      <c r="M181" s="42" t="n">
        <v>6</v>
      </c>
      <c r="N181" s="44" t="n">
        <v>13.6</v>
      </c>
      <c r="O181" s="42" t="n">
        <v>2003</v>
      </c>
      <c r="P181" s="42" t="n">
        <v>23</v>
      </c>
      <c r="Q181" s="44" t="n">
        <v>13.2</v>
      </c>
      <c r="R181" s="42" t="n">
        <v>1982</v>
      </c>
      <c r="S181" s="42" t="n">
        <v>12</v>
      </c>
      <c r="T181" s="44" t="n">
        <v>14.2</v>
      </c>
      <c r="U181" s="42" t="n">
        <v>2003</v>
      </c>
      <c r="V181" s="42" t="n">
        <v>22</v>
      </c>
      <c r="W181" s="44" t="n">
        <v>14</v>
      </c>
      <c r="X181" s="42" t="n">
        <v>2002</v>
      </c>
      <c r="Y181" s="42" t="n">
        <v>15</v>
      </c>
      <c r="Z181" s="44" t="n">
        <v>12.6</v>
      </c>
      <c r="AA181" s="42" t="n">
        <v>1986</v>
      </c>
      <c r="AB181" s="42" t="n">
        <v>24</v>
      </c>
      <c r="AC181" s="44" t="n">
        <v>13.2</v>
      </c>
      <c r="AD181" s="42" t="n">
        <v>1980</v>
      </c>
      <c r="AE181" s="42" t="n">
        <v>24</v>
      </c>
      <c r="AF181" s="44" t="n">
        <v>14.4</v>
      </c>
      <c r="AG181" s="42" t="n">
        <v>1981</v>
      </c>
      <c r="AH181" s="42" t="n">
        <v>10</v>
      </c>
      <c r="AI181" s="44" t="n">
        <v>14.2</v>
      </c>
      <c r="AJ181" s="42" t="n">
        <v>1979</v>
      </c>
      <c r="AK181" s="42" t="n">
        <v>31</v>
      </c>
      <c r="AL181" s="44" t="n">
        <v>14.2</v>
      </c>
      <c r="AM181" s="42" t="n">
        <v>1985</v>
      </c>
      <c r="AN181" s="42" t="n">
        <v>2</v>
      </c>
      <c r="AO181" s="44" t="n">
        <v>14.2</v>
      </c>
      <c r="AP181" s="42" t="n">
        <v>1981</v>
      </c>
      <c r="AQ181" s="42" t="n">
        <v>28</v>
      </c>
    </row>
    <row r="182" ht="14.45" customHeight="1">
      <c r="A182" s="42" t="n">
        <v>26135100</v>
      </c>
      <c r="B182" s="42" t="inlineStr">
        <is>
          <t>BOHEMIA LA [26135100]</t>
        </is>
      </c>
      <c r="C182" s="42" t="n">
        <v>4.878027778</v>
      </c>
      <c r="D182" s="42" t="n">
        <v>-75.87755556</v>
      </c>
      <c r="E182" s="42" t="n">
        <v>995</v>
      </c>
      <c r="F182" s="42" t="inlineStr">
        <is>
          <t>Pereira</t>
        </is>
      </c>
      <c r="G182" s="42" t="inlineStr">
        <is>
          <t>Risaralda</t>
        </is>
      </c>
      <c r="H182" s="44" t="n">
        <v>15.2</v>
      </c>
      <c r="I182" s="42" t="n">
        <v>1986</v>
      </c>
      <c r="J182" s="42" t="n">
        <v>28</v>
      </c>
      <c r="K182" s="44" t="n">
        <v>15.4</v>
      </c>
      <c r="L182" s="42" t="n">
        <v>2017</v>
      </c>
      <c r="M182" s="42" t="n">
        <v>15</v>
      </c>
      <c r="N182" s="44" t="n">
        <v>15.2</v>
      </c>
      <c r="O182" s="42" t="n">
        <v>1995</v>
      </c>
      <c r="P182" s="42" t="n">
        <v>15</v>
      </c>
      <c r="Q182" s="44" t="n">
        <v>15.6</v>
      </c>
      <c r="R182" s="42" t="n">
        <v>1985</v>
      </c>
      <c r="S182" s="42" t="n">
        <v>28</v>
      </c>
      <c r="T182" s="44" t="n">
        <v>16.4</v>
      </c>
      <c r="U182" s="42" t="n">
        <v>2002</v>
      </c>
      <c r="V182" s="42" t="n">
        <v>28</v>
      </c>
      <c r="W182" s="44" t="n">
        <v>15.8</v>
      </c>
      <c r="X182" s="42" t="n">
        <v>1986</v>
      </c>
      <c r="Y182" s="42" t="n">
        <v>3</v>
      </c>
      <c r="Z182" s="44" t="n">
        <v>15</v>
      </c>
      <c r="AA182" s="42" t="n">
        <v>1983</v>
      </c>
      <c r="AB182" s="42" t="n">
        <v>14</v>
      </c>
      <c r="AC182" s="44" t="n">
        <v>15</v>
      </c>
      <c r="AD182" s="42" t="n">
        <v>1979</v>
      </c>
      <c r="AE182" s="42" t="n">
        <v>10</v>
      </c>
      <c r="AF182" s="44" t="n">
        <v>15</v>
      </c>
      <c r="AG182" s="42" t="n">
        <v>1978</v>
      </c>
      <c r="AH182" s="42" t="n">
        <v>6</v>
      </c>
      <c r="AI182" s="44" t="n">
        <v>15</v>
      </c>
      <c r="AJ182" s="42" t="n">
        <v>1979</v>
      </c>
      <c r="AK182" s="42" t="n">
        <v>30</v>
      </c>
      <c r="AL182" s="44" t="n">
        <v>11.2</v>
      </c>
      <c r="AM182" s="42" t="n">
        <v>1978</v>
      </c>
      <c r="AN182" s="42" t="n">
        <v>29</v>
      </c>
      <c r="AO182" s="44" t="n">
        <v>16</v>
      </c>
      <c r="AP182" s="42" t="n">
        <v>1990</v>
      </c>
      <c r="AQ182" s="42" t="n">
        <v>9</v>
      </c>
    </row>
    <row r="183" ht="14.45" customHeight="1">
      <c r="A183" s="42" t="n">
        <v>26055120</v>
      </c>
      <c r="B183" s="42" t="inlineStr">
        <is>
          <t>UNIVERSIDAD DEL VALLE  - AUT [26055120]</t>
        </is>
      </c>
      <c r="C183" s="42" t="n">
        <v>3.378</v>
      </c>
      <c r="D183" s="42" t="n">
        <v>-76.53388889</v>
      </c>
      <c r="E183" s="42" t="n">
        <v>996</v>
      </c>
      <c r="F183" s="42" t="inlineStr">
        <is>
          <t>Cali</t>
        </is>
      </c>
      <c r="G183" s="42" t="inlineStr">
        <is>
          <t>Valle Del Cauca</t>
        </is>
      </c>
      <c r="H183" s="44" t="n">
        <v>15</v>
      </c>
      <c r="I183" s="42" t="n">
        <v>2000</v>
      </c>
      <c r="J183" s="42" t="n">
        <v>2</v>
      </c>
      <c r="K183" s="44" t="n">
        <v>16</v>
      </c>
      <c r="L183" s="42" t="n">
        <v>2000</v>
      </c>
      <c r="M183" s="42" t="n">
        <v>2</v>
      </c>
      <c r="N183" s="44" t="n">
        <v>14.2</v>
      </c>
      <c r="O183" s="42" t="n">
        <v>2014</v>
      </c>
      <c r="P183" s="42" t="n">
        <v>1</v>
      </c>
      <c r="Q183" s="44" t="n">
        <v>15</v>
      </c>
      <c r="R183" s="42" t="n">
        <v>1992</v>
      </c>
      <c r="S183" s="42" t="n">
        <v>16</v>
      </c>
      <c r="T183" s="44" t="n">
        <v>15</v>
      </c>
      <c r="U183" s="42" t="n">
        <v>1984</v>
      </c>
      <c r="V183" s="42" t="n">
        <v>31</v>
      </c>
      <c r="W183" s="44" t="n">
        <v>15</v>
      </c>
      <c r="X183" s="42" t="n">
        <v>1984</v>
      </c>
      <c r="Y183" s="42" t="n">
        <v>14</v>
      </c>
      <c r="Z183" s="44" t="n">
        <v>14</v>
      </c>
      <c r="AA183" s="42" t="n">
        <v>1997</v>
      </c>
      <c r="AB183" s="42" t="n">
        <v>26</v>
      </c>
      <c r="AC183" s="44" t="n">
        <v>14.5</v>
      </c>
      <c r="AD183" s="42" t="n">
        <v>1991</v>
      </c>
      <c r="AE183" s="42" t="n">
        <v>29</v>
      </c>
      <c r="AF183" s="44" t="n">
        <v>15</v>
      </c>
      <c r="AG183" s="42" t="n">
        <v>1991</v>
      </c>
      <c r="AH183" s="42" t="n">
        <v>19</v>
      </c>
      <c r="AI183" s="44" t="n">
        <v>15</v>
      </c>
      <c r="AJ183" s="42" t="n">
        <v>1991</v>
      </c>
      <c r="AK183" s="42" t="n">
        <v>2</v>
      </c>
      <c r="AL183" s="44" t="n">
        <v>14.8</v>
      </c>
      <c r="AM183" s="42" t="n">
        <v>1985</v>
      </c>
      <c r="AN183" s="42" t="n">
        <v>3</v>
      </c>
      <c r="AO183" s="44" t="n">
        <v>15</v>
      </c>
      <c r="AP183" s="42" t="n">
        <v>1985</v>
      </c>
      <c r="AQ183" s="42" t="n">
        <v>1</v>
      </c>
    </row>
    <row r="184" ht="14.45" customHeight="1">
      <c r="A184" s="42" t="n">
        <v>22045020</v>
      </c>
      <c r="B184" s="42" t="inlineStr">
        <is>
          <t>LIMON EL [22045020]</t>
        </is>
      </c>
      <c r="C184" s="42" t="n">
        <v>3.65178</v>
      </c>
      <c r="D184" s="42" t="n">
        <v>-75.58419444</v>
      </c>
      <c r="E184" s="42" t="n">
        <v>1002</v>
      </c>
      <c r="F184" s="42" t="inlineStr">
        <is>
          <t>Chaparral</t>
        </is>
      </c>
      <c r="G184" s="42" t="inlineStr">
        <is>
          <t>Tolima</t>
        </is>
      </c>
      <c r="H184" s="44" t="n">
        <v>15</v>
      </c>
      <c r="I184" s="42" t="n">
        <v>1991</v>
      </c>
      <c r="J184" s="42" t="n">
        <v>21</v>
      </c>
      <c r="K184" s="44" t="n">
        <v>15</v>
      </c>
      <c r="L184" s="42" t="n">
        <v>1992</v>
      </c>
      <c r="M184" s="42" t="n">
        <v>6</v>
      </c>
      <c r="N184" s="44" t="n">
        <v>15</v>
      </c>
      <c r="O184" s="42" t="n">
        <v>1988</v>
      </c>
      <c r="P184" s="42" t="n">
        <v>26</v>
      </c>
      <c r="Q184" s="44" t="n">
        <v>15</v>
      </c>
      <c r="R184" s="42" t="n">
        <v>1991</v>
      </c>
      <c r="S184" s="42" t="n">
        <v>19</v>
      </c>
      <c r="T184" s="44" t="n">
        <v>15</v>
      </c>
      <c r="U184" s="42" t="n">
        <v>1992</v>
      </c>
      <c r="V184" s="42" t="n">
        <v>1</v>
      </c>
      <c r="W184" s="44" t="n">
        <v>15</v>
      </c>
      <c r="X184" s="42" t="n">
        <v>1994</v>
      </c>
      <c r="Y184" s="42" t="n">
        <v>20</v>
      </c>
      <c r="Z184" s="44" t="n">
        <v>15</v>
      </c>
      <c r="AA184" s="42" t="n">
        <v>1992</v>
      </c>
      <c r="AB184" s="42" t="n">
        <v>22</v>
      </c>
      <c r="AC184" s="44" t="n">
        <v>15</v>
      </c>
      <c r="AD184" s="42" t="n">
        <v>1991</v>
      </c>
      <c r="AE184" s="42" t="n">
        <v>29</v>
      </c>
      <c r="AF184" s="44" t="n">
        <v>15</v>
      </c>
      <c r="AG184" s="42" t="n">
        <v>1991</v>
      </c>
      <c r="AH184" s="42" t="n">
        <v>10</v>
      </c>
      <c r="AI184" s="44" t="n">
        <v>15</v>
      </c>
      <c r="AJ184" s="42" t="n">
        <v>1993</v>
      </c>
      <c r="AK184" s="42" t="n">
        <v>1</v>
      </c>
      <c r="AL184" s="44" t="n">
        <v>15</v>
      </c>
      <c r="AM184" s="42" t="n">
        <v>1991</v>
      </c>
      <c r="AN184" s="42" t="n">
        <v>7</v>
      </c>
      <c r="AO184" s="44" t="n">
        <v>15</v>
      </c>
      <c r="AP184" s="42" t="n">
        <v>1989</v>
      </c>
      <c r="AQ184" s="42" t="n">
        <v>16</v>
      </c>
    </row>
    <row r="185" ht="14.45" customHeight="1">
      <c r="A185" s="42" t="n">
        <v>26025110</v>
      </c>
      <c r="B185" s="42" t="inlineStr">
        <is>
          <t>LOMITAS [26025110]</t>
        </is>
      </c>
      <c r="C185" s="42" t="n">
        <v>3.075388889</v>
      </c>
      <c r="D185" s="42" t="n">
        <v>-76.55625000000001</v>
      </c>
      <c r="E185" s="42" t="n">
        <v>1009</v>
      </c>
      <c r="F185" s="42" t="inlineStr">
        <is>
          <t>Santander De Quilichao</t>
        </is>
      </c>
      <c r="G185" s="42" t="inlineStr">
        <is>
          <t>Cauca</t>
        </is>
      </c>
      <c r="H185" s="44" t="n">
        <v>15</v>
      </c>
      <c r="I185" s="42" t="n">
        <v>2004</v>
      </c>
      <c r="J185" s="42" t="n">
        <v>28</v>
      </c>
      <c r="K185" s="44" t="n">
        <v>15.2</v>
      </c>
      <c r="L185" s="42" t="n">
        <v>2007</v>
      </c>
      <c r="M185" s="42" t="n">
        <v>21</v>
      </c>
      <c r="N185" s="44" t="n">
        <v>15</v>
      </c>
      <c r="O185" s="42" t="n">
        <v>2006</v>
      </c>
      <c r="P185" s="42" t="n">
        <v>24</v>
      </c>
      <c r="Q185" s="44" t="n">
        <v>15.2</v>
      </c>
      <c r="R185" s="42" t="n">
        <v>2004</v>
      </c>
      <c r="S185" s="42" t="n">
        <v>15</v>
      </c>
      <c r="T185" s="44" t="n">
        <v>15</v>
      </c>
      <c r="U185" s="42" t="n">
        <v>2005</v>
      </c>
      <c r="V185" s="42" t="n">
        <v>23</v>
      </c>
      <c r="W185" s="44" t="n">
        <v>15</v>
      </c>
      <c r="X185" s="42" t="n">
        <v>2004</v>
      </c>
      <c r="Y185" s="42" t="n">
        <v>29</v>
      </c>
      <c r="Z185" s="44" t="n">
        <v>14.2</v>
      </c>
      <c r="AA185" s="42" t="n">
        <v>2007</v>
      </c>
      <c r="AB185" s="42" t="n">
        <v>29</v>
      </c>
      <c r="AC185" s="44" t="n">
        <v>14</v>
      </c>
      <c r="AD185" s="42" t="n">
        <v>2004</v>
      </c>
      <c r="AE185" s="42" t="n">
        <v>10</v>
      </c>
      <c r="AF185" s="44" t="n">
        <v>15</v>
      </c>
      <c r="AG185" s="42" t="n">
        <v>2002</v>
      </c>
      <c r="AH185" s="42" t="n">
        <v>8</v>
      </c>
      <c r="AI185" s="44" t="n">
        <v>14.2</v>
      </c>
      <c r="AJ185" s="42" t="n">
        <v>2004</v>
      </c>
      <c r="AK185" s="42" t="n">
        <v>10</v>
      </c>
      <c r="AL185" s="44" t="n">
        <v>15</v>
      </c>
      <c r="AM185" s="42" t="n">
        <v>2005</v>
      </c>
      <c r="AN185" s="42" t="n">
        <v>11</v>
      </c>
      <c r="AO185" s="44" t="n">
        <v>15.2</v>
      </c>
      <c r="AP185" s="42" t="n">
        <v>2011</v>
      </c>
      <c r="AQ185" s="42" t="n">
        <v>8</v>
      </c>
    </row>
    <row r="186" ht="14.45" customHeight="1">
      <c r="A186" s="42" t="n">
        <v>26105150</v>
      </c>
      <c r="B186" s="42" t="inlineStr">
        <is>
          <t>SAN MARCOS [26105150]</t>
        </is>
      </c>
      <c r="C186" s="42" t="n">
        <v>4.238916667</v>
      </c>
      <c r="D186" s="42" t="n">
        <v>-76.03305555599999</v>
      </c>
      <c r="E186" s="42" t="n">
        <v>1011</v>
      </c>
      <c r="F186" s="42" t="inlineStr">
        <is>
          <t>Bugalagrande</t>
        </is>
      </c>
      <c r="G186" s="42" t="inlineStr">
        <is>
          <t>Valle Del Cauca</t>
        </is>
      </c>
      <c r="H186" s="44" t="n">
        <v>13.2</v>
      </c>
      <c r="I186" s="42" t="n">
        <v>2013</v>
      </c>
      <c r="J186" s="42" t="n">
        <v>8</v>
      </c>
      <c r="K186" s="44" t="n">
        <v>11.2</v>
      </c>
      <c r="L186" s="42" t="n">
        <v>1981</v>
      </c>
      <c r="M186" s="42" t="n">
        <v>10</v>
      </c>
      <c r="N186" s="44" t="n">
        <v>13.4</v>
      </c>
      <c r="O186" s="42" t="n">
        <v>1995</v>
      </c>
      <c r="P186" s="42" t="n">
        <v>16</v>
      </c>
      <c r="Q186" s="44" t="n">
        <v>12.4</v>
      </c>
      <c r="R186" s="42" t="n">
        <v>1985</v>
      </c>
      <c r="S186" s="42" t="n">
        <v>30</v>
      </c>
      <c r="T186" s="44" t="n">
        <v>12.4</v>
      </c>
      <c r="U186" s="42" t="n">
        <v>1985</v>
      </c>
      <c r="V186" s="42" t="n">
        <v>1</v>
      </c>
      <c r="W186" s="44" t="n">
        <v>13.8</v>
      </c>
      <c r="X186" s="42" t="n">
        <v>1986</v>
      </c>
      <c r="Y186" s="42" t="n">
        <v>3</v>
      </c>
      <c r="Z186" s="44" t="n">
        <v>12.2</v>
      </c>
      <c r="AA186" s="42" t="n">
        <v>1994</v>
      </c>
      <c r="AB186" s="42" t="n">
        <v>14</v>
      </c>
      <c r="AC186" s="44" t="n">
        <v>11.8</v>
      </c>
      <c r="AD186" s="42" t="n">
        <v>1991</v>
      </c>
      <c r="AE186" s="42" t="n">
        <v>29</v>
      </c>
      <c r="AF186" s="44" t="n">
        <v>12.6</v>
      </c>
      <c r="AG186" s="42" t="n">
        <v>2009</v>
      </c>
      <c r="AH186" s="42" t="n">
        <v>6</v>
      </c>
      <c r="AI186" s="44" t="n">
        <v>12.8</v>
      </c>
      <c r="AJ186" s="42" t="n">
        <v>1984</v>
      </c>
      <c r="AK186" s="42" t="n">
        <v>16</v>
      </c>
      <c r="AL186" s="44" t="n">
        <v>13.4</v>
      </c>
      <c r="AM186" s="42" t="n">
        <v>1985</v>
      </c>
      <c r="AN186" s="42" t="n">
        <v>1</v>
      </c>
      <c r="AO186" s="44" t="n">
        <v>13.6</v>
      </c>
      <c r="AP186" s="42" t="n">
        <v>1983</v>
      </c>
      <c r="AQ186" s="42" t="n">
        <v>28</v>
      </c>
    </row>
    <row r="187" ht="14.45" customHeight="1">
      <c r="A187" s="42" t="n">
        <v>26075010</v>
      </c>
      <c r="B187" s="42" t="inlineStr">
        <is>
          <t>PALMIRA ICA [26075010]</t>
        </is>
      </c>
      <c r="C187" s="42" t="n">
        <v>3.513472222</v>
      </c>
      <c r="D187" s="42" t="n">
        <v>-76.314888889</v>
      </c>
      <c r="E187" s="42" t="n">
        <v>1018</v>
      </c>
      <c r="F187" s="42" t="inlineStr">
        <is>
          <t>Palmira</t>
        </is>
      </c>
      <c r="G187" s="42" t="inlineStr">
        <is>
          <t>Valle Del Cauca</t>
        </is>
      </c>
      <c r="H187" s="44" t="n">
        <v>14.8</v>
      </c>
      <c r="I187" s="42" t="n">
        <v>1996</v>
      </c>
      <c r="J187" s="42" t="n">
        <v>1</v>
      </c>
      <c r="K187" s="44" t="n">
        <v>14.9</v>
      </c>
      <c r="L187" s="42" t="n">
        <v>1985</v>
      </c>
      <c r="M187" s="42" t="n">
        <v>5</v>
      </c>
      <c r="N187" s="44" t="n">
        <v>15</v>
      </c>
      <c r="O187" s="42" t="n">
        <v>1996</v>
      </c>
      <c r="P187" s="42" t="n">
        <v>10</v>
      </c>
      <c r="Q187" s="44" t="n">
        <v>15.7</v>
      </c>
      <c r="R187" s="42" t="n">
        <v>1980</v>
      </c>
      <c r="S187" s="42" t="n">
        <v>12</v>
      </c>
      <c r="T187" s="44" t="n">
        <v>15.4</v>
      </c>
      <c r="U187" s="42" t="n">
        <v>1996</v>
      </c>
      <c r="V187" s="42" t="n">
        <v>12</v>
      </c>
      <c r="W187" s="44" t="n">
        <v>15.1</v>
      </c>
      <c r="X187" s="42" t="n">
        <v>1977</v>
      </c>
      <c r="Y187" s="42" t="n">
        <v>14</v>
      </c>
      <c r="Z187" s="44" t="n">
        <v>14.7</v>
      </c>
      <c r="AA187" s="42" t="n">
        <v>1985</v>
      </c>
      <c r="AB187" s="42" t="n">
        <v>22</v>
      </c>
      <c r="AC187" s="44" t="n">
        <v>15</v>
      </c>
      <c r="AD187" s="42" t="n">
        <v>1980</v>
      </c>
      <c r="AE187" s="42" t="n">
        <v>24</v>
      </c>
      <c r="AF187" s="44" t="n">
        <v>15.7</v>
      </c>
      <c r="AG187" s="42" t="n">
        <v>1978</v>
      </c>
      <c r="AH187" s="42" t="n">
        <v>11</v>
      </c>
      <c r="AI187" s="44" t="n">
        <v>15.4</v>
      </c>
      <c r="AJ187" s="42" t="n">
        <v>1977</v>
      </c>
      <c r="AK187" s="42" t="n">
        <v>31</v>
      </c>
      <c r="AL187" s="44" t="n">
        <v>15</v>
      </c>
      <c r="AM187" s="42" t="n">
        <v>1986</v>
      </c>
      <c r="AN187" s="42" t="n">
        <v>2</v>
      </c>
      <c r="AO187" s="44" t="n">
        <v>15.1</v>
      </c>
      <c r="AP187" s="42" t="n">
        <v>1985</v>
      </c>
      <c r="AQ187" s="42" t="n">
        <v>3</v>
      </c>
    </row>
    <row r="188" ht="14.45" customHeight="1">
      <c r="A188" s="42" t="n">
        <v>21085030</v>
      </c>
      <c r="B188" s="42" t="inlineStr">
        <is>
          <t>SAN RAFAEL [21085030]</t>
        </is>
      </c>
      <c r="C188" s="42" t="n">
        <v>2.76</v>
      </c>
      <c r="D188" s="42" t="n">
        <v>-75.58</v>
      </c>
      <c r="E188" s="42" t="n">
        <v>1030</v>
      </c>
      <c r="F188" s="42" t="inlineStr">
        <is>
          <t>Teruel</t>
        </is>
      </c>
      <c r="G188" s="42" t="inlineStr">
        <is>
          <t>Huila</t>
        </is>
      </c>
      <c r="H188" s="44" t="n">
        <v>16</v>
      </c>
      <c r="I188" s="42" t="n">
        <v>2023</v>
      </c>
      <c r="J188" s="42" t="n">
        <v>2</v>
      </c>
      <c r="K188" s="44" t="n">
        <v>15.4</v>
      </c>
      <c r="L188" s="42" t="n">
        <v>2023</v>
      </c>
      <c r="M188" s="42" t="n">
        <v>3</v>
      </c>
      <c r="N188" s="44" t="n">
        <v>15</v>
      </c>
      <c r="O188" s="42" t="n">
        <v>2023</v>
      </c>
      <c r="P188" s="42" t="n">
        <v>12</v>
      </c>
      <c r="Q188" s="44" t="n">
        <v>15.6</v>
      </c>
      <c r="R188" s="42" t="n">
        <v>2023</v>
      </c>
      <c r="S188" s="42" t="n">
        <v>6</v>
      </c>
      <c r="T188" s="44" t="n">
        <v>16.6</v>
      </c>
      <c r="U188" s="42" t="n">
        <v>2022</v>
      </c>
      <c r="V188" s="42" t="n">
        <v>31</v>
      </c>
      <c r="W188" s="44" t="n">
        <v>16</v>
      </c>
      <c r="X188" s="42" t="n">
        <v>2022</v>
      </c>
      <c r="Y188" s="42" t="n">
        <v>6</v>
      </c>
      <c r="Z188" s="44" t="n">
        <v>15.8</v>
      </c>
      <c r="AA188" s="42" t="n">
        <v>2013</v>
      </c>
      <c r="AB188" s="42" t="n">
        <v>29</v>
      </c>
      <c r="AC188" s="44" t="n">
        <v>15.6</v>
      </c>
      <c r="AD188" s="42" t="n">
        <v>2022</v>
      </c>
      <c r="AE188" s="42" t="n">
        <v>23</v>
      </c>
      <c r="AF188" s="44" t="n">
        <v>15</v>
      </c>
      <c r="AG188" s="42" t="n">
        <v>2022</v>
      </c>
      <c r="AH188" s="42" t="n">
        <v>12</v>
      </c>
      <c r="AI188" s="44" t="n">
        <v>16</v>
      </c>
      <c r="AJ188" s="42" t="n">
        <v>2022</v>
      </c>
      <c r="AK188" s="42" t="n">
        <v>9</v>
      </c>
      <c r="AL188" s="44" t="n">
        <v>16</v>
      </c>
      <c r="AM188" s="42" t="n">
        <v>2022</v>
      </c>
      <c r="AN188" s="42" t="n">
        <v>4</v>
      </c>
      <c r="AO188" s="44" t="n">
        <v>15</v>
      </c>
      <c r="AP188" s="42" t="n">
        <v>2022</v>
      </c>
      <c r="AQ188" s="42" t="n">
        <v>27</v>
      </c>
    </row>
    <row r="189" ht="14.45" customHeight="1">
      <c r="A189" s="42" t="n">
        <v>21035040</v>
      </c>
      <c r="B189" s="42" t="inlineStr">
        <is>
          <t>LIBANO EL [21035040]</t>
        </is>
      </c>
      <c r="C189" s="42" t="n">
        <v>1.87</v>
      </c>
      <c r="D189" s="42" t="n">
        <v>-75.83</v>
      </c>
      <c r="E189" s="42" t="n">
        <v>1045</v>
      </c>
      <c r="F189" s="42" t="inlineStr">
        <is>
          <t>Suaza</t>
        </is>
      </c>
      <c r="G189" s="42" t="inlineStr">
        <is>
          <t>Huila</t>
        </is>
      </c>
      <c r="H189" s="44" t="n">
        <v>14.2</v>
      </c>
      <c r="I189" s="42" t="n">
        <v>1992</v>
      </c>
      <c r="J189" s="42" t="n">
        <v>3</v>
      </c>
      <c r="K189" s="44" t="n">
        <v>13.2</v>
      </c>
      <c r="L189" s="42" t="n">
        <v>1995</v>
      </c>
      <c r="M189" s="42" t="n">
        <v>28</v>
      </c>
      <c r="N189" s="44" t="n">
        <v>14.2</v>
      </c>
      <c r="O189" s="42" t="n">
        <v>1992</v>
      </c>
      <c r="P189" s="42" t="n">
        <v>10</v>
      </c>
      <c r="Q189" s="44" t="n">
        <v>13.6</v>
      </c>
      <c r="R189" s="42" t="n">
        <v>1995</v>
      </c>
      <c r="S189" s="42" t="n">
        <v>14</v>
      </c>
      <c r="T189" s="44" t="n">
        <v>12.8</v>
      </c>
      <c r="U189" s="42" t="n">
        <v>1993</v>
      </c>
      <c r="V189" s="42" t="n">
        <v>5</v>
      </c>
      <c r="W189" s="44" t="n">
        <v>14.2</v>
      </c>
      <c r="X189" s="42" t="n">
        <v>1992</v>
      </c>
      <c r="Y189" s="42" t="n">
        <v>3</v>
      </c>
      <c r="Z189" s="44" t="n">
        <v>12.4</v>
      </c>
      <c r="AA189" s="42" t="n">
        <v>1996</v>
      </c>
      <c r="AB189" s="42" t="n">
        <v>14</v>
      </c>
      <c r="AC189" s="44" t="n">
        <v>13.3</v>
      </c>
      <c r="AD189" s="42" t="n">
        <v>1996</v>
      </c>
      <c r="AE189" s="42" t="n">
        <v>30</v>
      </c>
      <c r="AF189" s="44" t="n">
        <v>11.4</v>
      </c>
      <c r="AG189" s="42" t="n">
        <v>1995</v>
      </c>
      <c r="AH189" s="42" t="n">
        <v>8</v>
      </c>
      <c r="AI189" s="44" t="n">
        <v>12.6</v>
      </c>
      <c r="AJ189" s="42" t="n">
        <v>1995</v>
      </c>
      <c r="AK189" s="42" t="n">
        <v>23</v>
      </c>
      <c r="AL189" s="44" t="n">
        <v>12.8</v>
      </c>
      <c r="AM189" s="42" t="n">
        <v>1992</v>
      </c>
      <c r="AN189" s="42" t="n">
        <v>21</v>
      </c>
      <c r="AO189" s="44" t="n">
        <v>13.2</v>
      </c>
      <c r="AP189" s="42" t="n">
        <v>1993</v>
      </c>
      <c r="AQ189" s="42" t="n">
        <v>3</v>
      </c>
    </row>
    <row r="190" ht="14.45" customHeight="1">
      <c r="A190" s="42" t="n">
        <v>26075050</v>
      </c>
      <c r="B190" s="42" t="inlineStr">
        <is>
          <t>INGENIO MANUELITA [26075050]</t>
        </is>
      </c>
      <c r="C190" s="42" t="n">
        <v>3.574055556</v>
      </c>
      <c r="D190" s="42" t="n">
        <v>-76.277805556</v>
      </c>
      <c r="E190" s="42" t="n">
        <v>1059</v>
      </c>
      <c r="F190" s="42" t="inlineStr">
        <is>
          <t>Palmira</t>
        </is>
      </c>
      <c r="G190" s="42" t="inlineStr">
        <is>
          <t>Valle Del Cauca</t>
        </is>
      </c>
      <c r="H190" s="44" t="n">
        <v>15.2</v>
      </c>
      <c r="I190" s="42" t="n">
        <v>1995</v>
      </c>
      <c r="J190" s="42" t="n">
        <v>14</v>
      </c>
      <c r="K190" s="44" t="n">
        <v>15.2</v>
      </c>
      <c r="L190" s="42" t="n">
        <v>1985</v>
      </c>
      <c r="M190" s="42" t="n">
        <v>6</v>
      </c>
      <c r="N190" s="44" t="n">
        <v>15</v>
      </c>
      <c r="O190" s="42" t="n">
        <v>1995</v>
      </c>
      <c r="P190" s="42" t="n">
        <v>16</v>
      </c>
      <c r="Q190" s="44" t="n">
        <v>15.4</v>
      </c>
      <c r="R190" s="42" t="n">
        <v>1985</v>
      </c>
      <c r="S190" s="42" t="n">
        <v>28</v>
      </c>
      <c r="T190" s="44" t="n">
        <v>15.2</v>
      </c>
      <c r="U190" s="42" t="n">
        <v>2001</v>
      </c>
      <c r="V190" s="42" t="n">
        <v>25</v>
      </c>
      <c r="W190" s="44" t="n">
        <v>15.2</v>
      </c>
      <c r="X190" s="42" t="n">
        <v>1986</v>
      </c>
      <c r="Y190" s="42" t="n">
        <v>3</v>
      </c>
      <c r="Z190" s="44" t="n">
        <v>15.2</v>
      </c>
      <c r="AA190" s="42" t="n">
        <v>1985</v>
      </c>
      <c r="AB190" s="42" t="n">
        <v>22</v>
      </c>
      <c r="AC190" s="44" t="n">
        <v>15</v>
      </c>
      <c r="AD190" s="42" t="n">
        <v>1990</v>
      </c>
      <c r="AE190" s="42" t="n">
        <v>1</v>
      </c>
      <c r="AF190" s="44" t="n">
        <v>16</v>
      </c>
      <c r="AG190" s="42" t="n">
        <v>1988</v>
      </c>
      <c r="AH190" s="42" t="n">
        <v>6</v>
      </c>
      <c r="AI190" s="44" t="n">
        <v>15</v>
      </c>
      <c r="AJ190" s="42" t="n">
        <v>1997</v>
      </c>
      <c r="AK190" s="42" t="n">
        <v>22</v>
      </c>
      <c r="AL190" s="44" t="n">
        <v>15</v>
      </c>
      <c r="AM190" s="42" t="n">
        <v>1999</v>
      </c>
      <c r="AN190" s="42" t="n">
        <v>16</v>
      </c>
      <c r="AO190" s="44" t="n">
        <v>15.4</v>
      </c>
      <c r="AP190" s="42" t="n">
        <v>1985</v>
      </c>
      <c r="AQ190" s="42" t="n">
        <v>3</v>
      </c>
    </row>
    <row r="191" ht="14.45" customHeight="1">
      <c r="A191" s="42" t="n">
        <v>21055020</v>
      </c>
      <c r="B191" s="42" t="inlineStr">
        <is>
          <t>ESCUELA AGRICOLA LA PLATA [21055020]</t>
        </is>
      </c>
      <c r="C191" s="42" t="n">
        <v>2.38</v>
      </c>
      <c r="D191" s="42" t="n">
        <v>-75.89</v>
      </c>
      <c r="E191" s="42" t="n">
        <v>1070</v>
      </c>
      <c r="F191" s="42" t="inlineStr">
        <is>
          <t>La Plata</t>
        </is>
      </c>
      <c r="G191" s="42" t="inlineStr">
        <is>
          <t>Huila</t>
        </is>
      </c>
      <c r="H191" s="44" t="n">
        <v>12</v>
      </c>
      <c r="I191" s="42" t="n">
        <v>1995</v>
      </c>
      <c r="J191" s="42" t="n">
        <v>16</v>
      </c>
      <c r="K191" s="44" t="n">
        <v>13.6</v>
      </c>
      <c r="L191" s="42" t="n">
        <v>1985</v>
      </c>
      <c r="M191" s="42" t="n">
        <v>5</v>
      </c>
      <c r="N191" s="44" t="n">
        <v>13.2</v>
      </c>
      <c r="O191" s="42" t="n">
        <v>1985</v>
      </c>
      <c r="P191" s="42" t="n">
        <v>2</v>
      </c>
      <c r="Q191" s="44" t="n">
        <v>13.8</v>
      </c>
      <c r="R191" s="42" t="n">
        <v>2013</v>
      </c>
      <c r="S191" s="42" t="n">
        <v>26</v>
      </c>
      <c r="T191" s="44" t="n">
        <v>12</v>
      </c>
      <c r="U191" s="42" t="n">
        <v>1996</v>
      </c>
      <c r="V191" s="42" t="n">
        <v>17</v>
      </c>
      <c r="W191" s="44" t="n">
        <v>11.6</v>
      </c>
      <c r="X191" s="42" t="n">
        <v>1988</v>
      </c>
      <c r="Y191" s="42" t="n">
        <v>1</v>
      </c>
      <c r="Z191" s="44" t="n">
        <v>12</v>
      </c>
      <c r="AA191" s="42" t="n">
        <v>1992</v>
      </c>
      <c r="AB191" s="42" t="n">
        <v>18</v>
      </c>
      <c r="AC191" s="44" t="n">
        <v>11.4</v>
      </c>
      <c r="AD191" s="42" t="n">
        <v>1996</v>
      </c>
      <c r="AE191" s="42" t="n">
        <v>29</v>
      </c>
      <c r="AF191" s="44" t="n">
        <v>12</v>
      </c>
      <c r="AG191" s="42" t="n">
        <v>2011</v>
      </c>
      <c r="AH191" s="42" t="n">
        <v>2</v>
      </c>
      <c r="AI191" s="44" t="n">
        <v>12.8</v>
      </c>
      <c r="AJ191" s="42" t="n">
        <v>1992</v>
      </c>
      <c r="AK191" s="42" t="n">
        <v>8</v>
      </c>
      <c r="AL191" s="44" t="n">
        <v>13.2</v>
      </c>
      <c r="AM191" s="42" t="n">
        <v>2001</v>
      </c>
      <c r="AN191" s="42" t="n">
        <v>4</v>
      </c>
      <c r="AO191" s="44" t="n">
        <v>11.2</v>
      </c>
      <c r="AP191" s="42" t="n">
        <v>1988</v>
      </c>
      <c r="AQ191" s="42" t="n">
        <v>21</v>
      </c>
    </row>
    <row r="192" ht="14.45" customHeight="1">
      <c r="A192" s="42" t="n">
        <v>21115100</v>
      </c>
      <c r="B192" s="42" t="inlineStr">
        <is>
          <t>PALACIO-VEGALARGA [21115100]</t>
        </is>
      </c>
      <c r="C192" s="42" t="n">
        <v>2.942638889</v>
      </c>
      <c r="D192" s="42" t="n">
        <v>-75.06638889</v>
      </c>
      <c r="E192" s="42" t="n">
        <v>1100</v>
      </c>
      <c r="F192" s="42" t="inlineStr">
        <is>
          <t>Neiva</t>
        </is>
      </c>
      <c r="G192" s="42" t="inlineStr">
        <is>
          <t>Huila</t>
        </is>
      </c>
      <c r="H192" s="44" t="n">
        <v>15</v>
      </c>
      <c r="I192" s="42" t="n">
        <v>1983</v>
      </c>
      <c r="J192" s="42" t="n">
        <v>3</v>
      </c>
      <c r="K192" s="44" t="n">
        <v>14.8</v>
      </c>
      <c r="L192" s="42" t="n">
        <v>2018</v>
      </c>
      <c r="M192" s="42" t="n">
        <v>25</v>
      </c>
      <c r="N192" s="44" t="n">
        <v>14.8</v>
      </c>
      <c r="O192" s="42" t="n">
        <v>1981</v>
      </c>
      <c r="P192" s="42" t="n">
        <v>2</v>
      </c>
      <c r="Q192" s="44" t="n">
        <v>14.6</v>
      </c>
      <c r="R192" s="42" t="n">
        <v>1992</v>
      </c>
      <c r="S192" s="42" t="n">
        <v>28</v>
      </c>
      <c r="T192" s="44" t="n">
        <v>14.8</v>
      </c>
      <c r="U192" s="42" t="n">
        <v>1981</v>
      </c>
      <c r="V192" s="42" t="n">
        <v>1</v>
      </c>
      <c r="W192" s="44" t="n">
        <v>14.2</v>
      </c>
      <c r="X192" s="42" t="n">
        <v>2017</v>
      </c>
      <c r="Y192" s="42" t="n">
        <v>3</v>
      </c>
      <c r="Z192" s="44" t="n">
        <v>14.6</v>
      </c>
      <c r="AA192" s="42" t="n">
        <v>1984</v>
      </c>
      <c r="AB192" s="42" t="n">
        <v>9</v>
      </c>
      <c r="AC192" s="44" t="n">
        <v>15.4</v>
      </c>
      <c r="AD192" s="42" t="n">
        <v>1991</v>
      </c>
      <c r="AE192" s="42" t="n">
        <v>5</v>
      </c>
      <c r="AF192" s="44" t="n">
        <v>14.6</v>
      </c>
      <c r="AG192" s="42" t="n">
        <v>1992</v>
      </c>
      <c r="AH192" s="42" t="n">
        <v>26</v>
      </c>
      <c r="AI192" s="44" t="n">
        <v>14.6</v>
      </c>
      <c r="AJ192" s="42" t="n">
        <v>1999</v>
      </c>
      <c r="AK192" s="42" t="n">
        <v>31</v>
      </c>
      <c r="AL192" s="44" t="n">
        <v>14.6</v>
      </c>
      <c r="AM192" s="42" t="n">
        <v>2025</v>
      </c>
      <c r="AN192" s="42" t="n">
        <v>29</v>
      </c>
      <c r="AO192" s="44" t="n">
        <v>14.8</v>
      </c>
      <c r="AP192" s="42" t="n">
        <v>1980</v>
      </c>
      <c r="AQ192" s="42" t="n">
        <v>9</v>
      </c>
    </row>
    <row r="193" ht="14.45" customHeight="1">
      <c r="A193" s="42" t="n">
        <v>23125080</v>
      </c>
      <c r="B193" s="42" t="inlineStr">
        <is>
          <t>OTANCHE [23125080]</t>
        </is>
      </c>
      <c r="C193" s="42" t="n">
        <v>5.661722222</v>
      </c>
      <c r="D193" s="42" t="n">
        <v>-74.18461111000001</v>
      </c>
      <c r="E193" s="42" t="n">
        <v>1100</v>
      </c>
      <c r="F193" s="42" t="inlineStr">
        <is>
          <t>Otanche</t>
        </is>
      </c>
      <c r="G193" s="42" t="inlineStr">
        <is>
          <t>Boyacá</t>
        </is>
      </c>
      <c r="H193" s="44" t="n">
        <v>13.2</v>
      </c>
      <c r="I193" s="42" t="n">
        <v>1997</v>
      </c>
      <c r="J193" s="42" t="n">
        <v>18</v>
      </c>
      <c r="K193" s="44" t="n">
        <v>13.6</v>
      </c>
      <c r="L193" s="42" t="n">
        <v>1999</v>
      </c>
      <c r="M193" s="42" t="n">
        <v>23</v>
      </c>
      <c r="N193" s="44" t="n">
        <v>13.4</v>
      </c>
      <c r="O193" s="42" t="n">
        <v>1978</v>
      </c>
      <c r="P193" s="42" t="n">
        <v>11</v>
      </c>
      <c r="Q193" s="44" t="n">
        <v>10</v>
      </c>
      <c r="R193" s="42" t="n">
        <v>1981</v>
      </c>
      <c r="S193" s="42" t="n">
        <v>16</v>
      </c>
      <c r="T193" s="44" t="n">
        <v>12.2</v>
      </c>
      <c r="U193" s="42" t="n">
        <v>1981</v>
      </c>
      <c r="V193" s="42" t="n">
        <v>5</v>
      </c>
      <c r="W193" s="44" t="n">
        <v>15</v>
      </c>
      <c r="X193" s="42" t="n">
        <v>1978</v>
      </c>
      <c r="Y193" s="42" t="n">
        <v>18</v>
      </c>
      <c r="Z193" s="44" t="n">
        <v>12.6</v>
      </c>
      <c r="AA193" s="42" t="n">
        <v>2013</v>
      </c>
      <c r="AB193" s="42" t="n">
        <v>29</v>
      </c>
      <c r="AC193" s="44" t="n">
        <v>13.2</v>
      </c>
      <c r="AD193" s="42" t="n">
        <v>2013</v>
      </c>
      <c r="AE193" s="42" t="n">
        <v>3</v>
      </c>
      <c r="AF193" s="44" t="n">
        <v>11.4</v>
      </c>
      <c r="AG193" s="42" t="n">
        <v>1983</v>
      </c>
      <c r="AH193" s="42" t="n">
        <v>15</v>
      </c>
      <c r="AI193" s="44" t="n">
        <v>13.6</v>
      </c>
      <c r="AJ193" s="42" t="n">
        <v>2009</v>
      </c>
      <c r="AK193" s="42" t="n">
        <v>28</v>
      </c>
      <c r="AL193" s="44" t="n">
        <v>10</v>
      </c>
      <c r="AM193" s="42" t="n">
        <v>2018</v>
      </c>
      <c r="AN193" s="42" t="n">
        <v>30</v>
      </c>
      <c r="AO193" s="44" t="n">
        <v>12.8</v>
      </c>
      <c r="AP193" s="42" t="n">
        <v>2003</v>
      </c>
      <c r="AQ193" s="42" t="n">
        <v>5</v>
      </c>
    </row>
    <row r="194" ht="14.45" customHeight="1">
      <c r="A194" s="42" t="n">
        <v>16015140</v>
      </c>
      <c r="B194" s="42" t="inlineStr">
        <is>
          <t>FCA.LA PALMITA [16015140]</t>
        </is>
      </c>
      <c r="C194" s="42" t="n">
        <v>7.517361111</v>
      </c>
      <c r="D194" s="42" t="n">
        <v>-72.64408333</v>
      </c>
      <c r="E194" s="42" t="n">
        <v>1107</v>
      </c>
      <c r="F194" s="42" t="inlineStr">
        <is>
          <t>Pamplonita</t>
        </is>
      </c>
      <c r="G194" s="42" t="inlineStr">
        <is>
          <t>Norte De Santander</t>
        </is>
      </c>
      <c r="H194" s="44" t="n">
        <v>9.800000000000001</v>
      </c>
      <c r="I194" s="42" t="n">
        <v>2022</v>
      </c>
      <c r="J194" s="42" t="n">
        <v>3</v>
      </c>
      <c r="K194" s="44" t="n">
        <v>11.2</v>
      </c>
      <c r="L194" s="42" t="n">
        <v>2020</v>
      </c>
      <c r="M194" s="42" t="n">
        <v>6</v>
      </c>
      <c r="N194" s="44" t="n">
        <v>11.8</v>
      </c>
      <c r="O194" s="42" t="n">
        <v>2021</v>
      </c>
      <c r="P194" s="42" t="n">
        <v>3</v>
      </c>
      <c r="Q194" s="44" t="n">
        <v>12.2</v>
      </c>
      <c r="R194" s="42" t="n">
        <v>2011</v>
      </c>
      <c r="S194" s="42" t="n">
        <v>25</v>
      </c>
      <c r="T194" s="44" t="n">
        <v>13</v>
      </c>
      <c r="U194" s="42" t="n">
        <v>2021</v>
      </c>
      <c r="V194" s="42" t="n">
        <v>14</v>
      </c>
      <c r="W194" s="44" t="n">
        <v>11</v>
      </c>
      <c r="X194" s="42" t="n">
        <v>2011</v>
      </c>
      <c r="Y194" s="42" t="n">
        <v>30</v>
      </c>
      <c r="Z194" s="44" t="n">
        <v>12.2</v>
      </c>
      <c r="AA194" s="42" t="n">
        <v>2019</v>
      </c>
      <c r="AB194" s="42" t="n">
        <v>4</v>
      </c>
      <c r="AC194" s="44" t="n">
        <v>12</v>
      </c>
      <c r="AD194" s="42" t="n">
        <v>2011</v>
      </c>
      <c r="AE194" s="42" t="n">
        <v>31</v>
      </c>
      <c r="AF194" s="44" t="n">
        <v>12</v>
      </c>
      <c r="AG194" s="42" t="n">
        <v>2011</v>
      </c>
      <c r="AH194" s="42" t="n">
        <v>17</v>
      </c>
      <c r="AI194" s="44" t="n">
        <v>14</v>
      </c>
      <c r="AJ194" s="42" t="n">
        <v>2020</v>
      </c>
      <c r="AK194" s="42" t="n">
        <v>16</v>
      </c>
      <c r="AL194" s="44" t="n">
        <v>12</v>
      </c>
      <c r="AM194" s="42" t="n">
        <v>2011</v>
      </c>
      <c r="AN194" s="42" t="n">
        <v>7</v>
      </c>
      <c r="AO194" s="44" t="n">
        <v>10.2</v>
      </c>
      <c r="AP194" s="42" t="n">
        <v>2018</v>
      </c>
      <c r="AQ194" s="42" t="n">
        <v>24</v>
      </c>
    </row>
    <row r="195" ht="14.45" customHeight="1">
      <c r="A195" s="42" t="n">
        <v>23085220</v>
      </c>
      <c r="B195" s="42" t="inlineStr">
        <is>
          <t>SAN CARLOS [23085220]</t>
        </is>
      </c>
      <c r="C195" s="42" t="n">
        <v>6.157666667</v>
      </c>
      <c r="D195" s="42" t="n">
        <v>-75.03891667000001</v>
      </c>
      <c r="E195" s="42" t="n">
        <v>1113</v>
      </c>
      <c r="F195" s="42" t="inlineStr">
        <is>
          <t>San Carlos</t>
        </is>
      </c>
      <c r="G195" s="42" t="inlineStr">
        <is>
          <t>Antioquia</t>
        </is>
      </c>
      <c r="H195" s="44" t="n">
        <v>13.8</v>
      </c>
      <c r="I195" s="42" t="n">
        <v>1997</v>
      </c>
      <c r="J195" s="42" t="n">
        <v>20</v>
      </c>
      <c r="K195" s="44" t="n">
        <v>14.6</v>
      </c>
      <c r="L195" s="42" t="n">
        <v>1997</v>
      </c>
      <c r="M195" s="42" t="n">
        <v>1</v>
      </c>
      <c r="N195" s="44" t="n">
        <v>14</v>
      </c>
      <c r="O195" s="42" t="n">
        <v>1997</v>
      </c>
      <c r="P195" s="42" t="n">
        <v>22</v>
      </c>
      <c r="Q195" s="44" t="n">
        <v>15</v>
      </c>
      <c r="R195" s="42" t="n">
        <v>2008</v>
      </c>
      <c r="S195" s="42" t="n">
        <v>6</v>
      </c>
      <c r="T195" s="44" t="n">
        <v>14.2</v>
      </c>
      <c r="U195" s="42" t="n">
        <v>2006</v>
      </c>
      <c r="V195" s="42" t="n">
        <v>18</v>
      </c>
      <c r="W195" s="44" t="n">
        <v>12</v>
      </c>
      <c r="X195" s="42" t="n">
        <v>2006</v>
      </c>
      <c r="Y195" s="42" t="n">
        <v>17</v>
      </c>
      <c r="Z195" s="44" t="n">
        <v>14</v>
      </c>
      <c r="AA195" s="42" t="n">
        <v>1996</v>
      </c>
      <c r="AB195" s="42" t="n">
        <v>25</v>
      </c>
      <c r="AC195" s="44" t="n">
        <v>12.1</v>
      </c>
      <c r="AD195" s="42" t="n">
        <v>2020</v>
      </c>
      <c r="AE195" s="42" t="n">
        <v>2</v>
      </c>
      <c r="AF195" s="44" t="n">
        <v>12.8</v>
      </c>
      <c r="AG195" s="42" t="n">
        <v>2006</v>
      </c>
      <c r="AH195" s="42" t="n">
        <v>8</v>
      </c>
      <c r="AI195" s="44" t="n">
        <v>14.2</v>
      </c>
      <c r="AJ195" s="42" t="n">
        <v>2014</v>
      </c>
      <c r="AK195" s="42" t="n">
        <v>28</v>
      </c>
      <c r="AL195" s="44" t="n">
        <v>14.6</v>
      </c>
      <c r="AM195" s="42" t="n">
        <v>1990</v>
      </c>
      <c r="AN195" s="42" t="n">
        <v>21</v>
      </c>
      <c r="AO195" s="44" t="n">
        <v>14.2</v>
      </c>
      <c r="AP195" s="42" t="n">
        <v>1996</v>
      </c>
      <c r="AQ195" s="42" t="n">
        <v>16</v>
      </c>
    </row>
    <row r="196" ht="14.45" customHeight="1">
      <c r="A196" s="42" t="n">
        <v>54025010</v>
      </c>
      <c r="B196" s="42" t="inlineStr">
        <is>
          <t>SAN JOSE PALMAR [54025010]</t>
        </is>
      </c>
      <c r="C196" s="42" t="n">
        <v>4.898083333</v>
      </c>
      <c r="D196" s="42" t="n">
        <v>-76.67666666700001</v>
      </c>
      <c r="E196" s="42" t="n">
        <v>1115</v>
      </c>
      <c r="F196" s="42" t="inlineStr">
        <is>
          <t>Nóvita</t>
        </is>
      </c>
      <c r="G196" s="42" t="inlineStr">
        <is>
          <t>Choco</t>
        </is>
      </c>
      <c r="H196" s="44" t="n">
        <v>12</v>
      </c>
      <c r="I196" s="42" t="n">
        <v>1984</v>
      </c>
      <c r="J196" s="42" t="n">
        <v>23</v>
      </c>
      <c r="K196" s="44" t="n">
        <v>13</v>
      </c>
      <c r="L196" s="42" t="n">
        <v>1984</v>
      </c>
      <c r="M196" s="42" t="n">
        <v>5</v>
      </c>
      <c r="N196" s="44" t="n">
        <v>13.6</v>
      </c>
      <c r="O196" s="42" t="n">
        <v>1984</v>
      </c>
      <c r="P196" s="42" t="n">
        <v>3</v>
      </c>
      <c r="Q196" s="44" t="n">
        <v>16.2</v>
      </c>
      <c r="R196" s="42" t="n">
        <v>1985</v>
      </c>
      <c r="S196" s="42" t="n">
        <v>28</v>
      </c>
      <c r="T196" s="44" t="n">
        <v>12.4</v>
      </c>
      <c r="U196" s="42" t="n">
        <v>2021</v>
      </c>
      <c r="V196" s="42" t="n">
        <v>31</v>
      </c>
      <c r="W196" s="44" t="n">
        <v>12.2</v>
      </c>
      <c r="X196" s="42" t="n">
        <v>1984</v>
      </c>
      <c r="Y196" s="42" t="n">
        <v>25</v>
      </c>
      <c r="Z196" s="44" t="n">
        <v>13.6</v>
      </c>
      <c r="AA196" s="42" t="n">
        <v>1997</v>
      </c>
      <c r="AB196" s="42" t="n">
        <v>29</v>
      </c>
      <c r="AC196" s="44" t="n">
        <v>14</v>
      </c>
      <c r="AD196" s="42" t="n">
        <v>1997</v>
      </c>
      <c r="AE196" s="42" t="n">
        <v>1</v>
      </c>
      <c r="AF196" s="44" t="n">
        <v>15.2</v>
      </c>
      <c r="AG196" s="42" t="n">
        <v>1984</v>
      </c>
      <c r="AH196" s="42" t="n">
        <v>15</v>
      </c>
      <c r="AI196" s="44" t="n">
        <v>14</v>
      </c>
      <c r="AJ196" s="42" t="n">
        <v>1983</v>
      </c>
      <c r="AK196" s="42" t="n">
        <v>17</v>
      </c>
      <c r="AL196" s="44" t="n">
        <v>15</v>
      </c>
      <c r="AM196" s="42" t="n">
        <v>1983</v>
      </c>
      <c r="AN196" s="42" t="n">
        <v>14</v>
      </c>
      <c r="AO196" s="44" t="n">
        <v>10.8</v>
      </c>
      <c r="AP196" s="42" t="n">
        <v>1984</v>
      </c>
      <c r="AQ196" s="42" t="n">
        <v>30</v>
      </c>
    </row>
    <row r="197" ht="14.45" customHeight="1">
      <c r="A197" s="42" t="n">
        <v>26105230</v>
      </c>
      <c r="B197" s="42" t="inlineStr">
        <is>
          <t>MATEGUADUA [26105230]</t>
        </is>
      </c>
      <c r="C197" s="42" t="n">
        <v>4.028333333</v>
      </c>
      <c r="D197" s="42" t="n">
        <v>-76.16852778000001</v>
      </c>
      <c r="E197" s="42" t="n">
        <v>1119</v>
      </c>
      <c r="F197" s="42" t="inlineStr">
        <is>
          <t>Tuluá</t>
        </is>
      </c>
      <c r="G197" s="42" t="inlineStr">
        <is>
          <t>Valle Del Cauca</t>
        </is>
      </c>
      <c r="H197" s="44" t="n">
        <v>12</v>
      </c>
      <c r="I197" s="42" t="n">
        <v>1992</v>
      </c>
      <c r="J197" s="42" t="n">
        <v>13</v>
      </c>
      <c r="K197" s="44" t="n">
        <v>12.8</v>
      </c>
      <c r="L197" s="42" t="n">
        <v>1997</v>
      </c>
      <c r="M197" s="42" t="n">
        <v>27</v>
      </c>
      <c r="N197" s="44" t="n">
        <v>14</v>
      </c>
      <c r="O197" s="42" t="n">
        <v>2000</v>
      </c>
      <c r="P197" s="42" t="n">
        <v>1</v>
      </c>
      <c r="Q197" s="44" t="n">
        <v>14.8</v>
      </c>
      <c r="R197" s="42" t="n">
        <v>2012</v>
      </c>
      <c r="S197" s="42" t="n">
        <v>23</v>
      </c>
      <c r="T197" s="44" t="n">
        <v>13.4</v>
      </c>
      <c r="U197" s="42" t="n">
        <v>2018</v>
      </c>
      <c r="V197" s="42" t="n">
        <v>22</v>
      </c>
      <c r="W197" s="44" t="n">
        <v>14.4</v>
      </c>
      <c r="X197" s="42" t="n">
        <v>2018</v>
      </c>
      <c r="Y197" s="42" t="n">
        <v>24</v>
      </c>
      <c r="Z197" s="44" t="n">
        <v>11</v>
      </c>
      <c r="AA197" s="42" t="n">
        <v>2013</v>
      </c>
      <c r="AB197" s="42" t="n">
        <v>8</v>
      </c>
      <c r="AC197" s="44" t="n">
        <v>11.8</v>
      </c>
      <c r="AD197" s="42" t="n">
        <v>1996</v>
      </c>
      <c r="AE197" s="42" t="n">
        <v>12</v>
      </c>
      <c r="AF197" s="44" t="n">
        <v>14.2</v>
      </c>
      <c r="AG197" s="42" t="n">
        <v>2018</v>
      </c>
      <c r="AH197" s="42" t="n">
        <v>19</v>
      </c>
      <c r="AI197" s="44" t="n">
        <v>14.2</v>
      </c>
      <c r="AJ197" s="42" t="n">
        <v>1984</v>
      </c>
      <c r="AK197" s="42" t="n">
        <v>26</v>
      </c>
      <c r="AL197" s="44" t="n">
        <v>11.4</v>
      </c>
      <c r="AM197" s="42" t="n">
        <v>2025</v>
      </c>
      <c r="AN197" s="42" t="n">
        <v>4</v>
      </c>
      <c r="AO197" s="44" t="n">
        <v>12.8</v>
      </c>
      <c r="AP197" s="42" t="n">
        <v>1996</v>
      </c>
      <c r="AQ197" s="42" t="n">
        <v>19</v>
      </c>
    </row>
    <row r="198" ht="14.45" customHeight="1">
      <c r="A198" s="42" t="n">
        <v>26255020</v>
      </c>
      <c r="B198" s="42" t="inlineStr">
        <is>
          <t>SANTA ISABEL [26255020]</t>
        </is>
      </c>
      <c r="C198" s="42" t="n">
        <v>7.157222222</v>
      </c>
      <c r="D198" s="42" t="n">
        <v>-75.442275</v>
      </c>
      <c r="E198" s="42" t="n">
        <v>1131</v>
      </c>
      <c r="F198" s="42" t="inlineStr">
        <is>
          <t>Valdivia</t>
        </is>
      </c>
      <c r="G198" s="42" t="inlineStr">
        <is>
          <t>Antioquia</t>
        </is>
      </c>
      <c r="H198" s="44" t="n">
        <v>15</v>
      </c>
      <c r="I198" s="42" t="n">
        <v>1981</v>
      </c>
      <c r="J198" s="42" t="n">
        <v>13</v>
      </c>
      <c r="K198" s="44" t="n">
        <v>15</v>
      </c>
      <c r="L198" s="42" t="n">
        <v>2008</v>
      </c>
      <c r="M198" s="42" t="n">
        <v>2</v>
      </c>
      <c r="N198" s="44" t="n">
        <v>15.4</v>
      </c>
      <c r="O198" s="42" t="n">
        <v>1989</v>
      </c>
      <c r="P198" s="42" t="n">
        <v>12</v>
      </c>
      <c r="Q198" s="44" t="n">
        <v>15.6</v>
      </c>
      <c r="R198" s="42" t="n">
        <v>1984</v>
      </c>
      <c r="S198" s="42" t="n">
        <v>12</v>
      </c>
      <c r="T198" s="44" t="n">
        <v>14</v>
      </c>
      <c r="U198" s="42" t="n">
        <v>1999</v>
      </c>
      <c r="V198" s="42" t="n">
        <v>13</v>
      </c>
      <c r="W198" s="44" t="n">
        <v>14.4</v>
      </c>
      <c r="X198" s="42" t="n">
        <v>1999</v>
      </c>
      <c r="Y198" s="42" t="n">
        <v>5</v>
      </c>
      <c r="Z198" s="44" t="n">
        <v>14</v>
      </c>
      <c r="AA198" s="42" t="n">
        <v>1999</v>
      </c>
      <c r="AB198" s="42" t="n">
        <v>2</v>
      </c>
      <c r="AC198" s="44" t="n">
        <v>14</v>
      </c>
      <c r="AD198" s="42" t="n">
        <v>2024</v>
      </c>
      <c r="AE198" s="42" t="n">
        <v>27</v>
      </c>
      <c r="AF198" s="44" t="n">
        <v>15</v>
      </c>
      <c r="AG198" s="42" t="n">
        <v>1979</v>
      </c>
      <c r="AH198" s="42" t="n">
        <v>5</v>
      </c>
      <c r="AI198" s="44" t="n">
        <v>13.8</v>
      </c>
      <c r="AJ198" s="42" t="n">
        <v>1983</v>
      </c>
      <c r="AK198" s="42" t="n">
        <v>11</v>
      </c>
      <c r="AL198" s="44" t="n">
        <v>15.4</v>
      </c>
      <c r="AM198" s="42" t="n">
        <v>1999</v>
      </c>
      <c r="AN198" s="42" t="n">
        <v>20</v>
      </c>
      <c r="AO198" s="44" t="n">
        <v>15</v>
      </c>
      <c r="AP198" s="42" t="n">
        <v>1997</v>
      </c>
      <c r="AQ198" s="42" t="n">
        <v>16</v>
      </c>
    </row>
    <row r="199" ht="14.45" customHeight="1">
      <c r="A199" s="42" t="n">
        <v>26065020</v>
      </c>
      <c r="B199" s="42" t="inlineStr">
        <is>
          <t>MIRANDA [26065020]</t>
        </is>
      </c>
      <c r="C199" s="42" t="n">
        <v>3.245666667</v>
      </c>
      <c r="D199" s="42" t="n">
        <v>-76.22305556000001</v>
      </c>
      <c r="E199" s="42" t="n">
        <v>1133</v>
      </c>
      <c r="F199" s="42" t="inlineStr">
        <is>
          <t>Miranda</t>
        </is>
      </c>
      <c r="G199" s="42" t="inlineStr">
        <is>
          <t>Cauca</t>
        </is>
      </c>
      <c r="H199" s="44" t="n">
        <v>15</v>
      </c>
      <c r="I199" s="42" t="n">
        <v>1980</v>
      </c>
      <c r="J199" s="42" t="n">
        <v>24</v>
      </c>
      <c r="K199" s="44" t="n">
        <v>15.2</v>
      </c>
      <c r="L199" s="42" t="n">
        <v>1980</v>
      </c>
      <c r="M199" s="42" t="n">
        <v>29</v>
      </c>
      <c r="N199" s="44" t="n">
        <v>15.2</v>
      </c>
      <c r="O199" s="42" t="n">
        <v>1980</v>
      </c>
      <c r="P199" s="42" t="n">
        <v>19</v>
      </c>
      <c r="Q199" s="44" t="n">
        <v>15.2</v>
      </c>
      <c r="R199" s="42" t="n">
        <v>1979</v>
      </c>
      <c r="S199" s="42" t="n">
        <v>20</v>
      </c>
      <c r="T199" s="44" t="n">
        <v>15.2</v>
      </c>
      <c r="U199" s="42" t="n">
        <v>1981</v>
      </c>
      <c r="V199" s="42" t="n">
        <v>8</v>
      </c>
      <c r="W199" s="44" t="n">
        <v>15.6</v>
      </c>
      <c r="X199" s="42" t="n">
        <v>1989</v>
      </c>
      <c r="Y199" s="42" t="n">
        <v>28</v>
      </c>
      <c r="Z199" s="44" t="n">
        <v>15</v>
      </c>
      <c r="AA199" s="42" t="n">
        <v>1985</v>
      </c>
      <c r="AB199" s="42" t="n">
        <v>22</v>
      </c>
      <c r="AC199" s="44" t="n">
        <v>15</v>
      </c>
      <c r="AD199" s="42" t="n">
        <v>1978</v>
      </c>
      <c r="AE199" s="42" t="n">
        <v>21</v>
      </c>
      <c r="AF199" s="44" t="n">
        <v>15.2</v>
      </c>
      <c r="AG199" s="42" t="n">
        <v>1993</v>
      </c>
      <c r="AH199" s="42" t="n">
        <v>9</v>
      </c>
      <c r="AI199" s="44" t="n">
        <v>15.3</v>
      </c>
      <c r="AJ199" s="42" t="n">
        <v>1990</v>
      </c>
      <c r="AK199" s="42" t="n">
        <v>19</v>
      </c>
      <c r="AL199" s="44" t="n">
        <v>15</v>
      </c>
      <c r="AM199" s="42" t="n">
        <v>1984</v>
      </c>
      <c r="AN199" s="42" t="n">
        <v>7</v>
      </c>
      <c r="AO199" s="44" t="n">
        <v>15.2</v>
      </c>
      <c r="AP199" s="42" t="n">
        <v>1980</v>
      </c>
      <c r="AQ199" s="42" t="n">
        <v>29</v>
      </c>
    </row>
    <row r="200" ht="14.45" customHeight="1">
      <c r="A200" s="42" t="n">
        <v>16055100</v>
      </c>
      <c r="B200" s="42" t="inlineStr">
        <is>
          <t>UNIVERSIDAD FRANCISCO DE PAULA SANTANDER [16055100]</t>
        </is>
      </c>
      <c r="C200" s="42" t="n">
        <v>8.237777778</v>
      </c>
      <c r="D200" s="42" t="n">
        <v>-73.32222222</v>
      </c>
      <c r="E200" s="42" t="n">
        <v>1150</v>
      </c>
      <c r="F200" s="42" t="inlineStr">
        <is>
          <t>Ocaña</t>
        </is>
      </c>
      <c r="G200" s="42" t="inlineStr">
        <is>
          <t>Norte De Santander</t>
        </is>
      </c>
      <c r="H200" s="44" t="n">
        <v>9</v>
      </c>
      <c r="I200" s="42" t="n">
        <v>1994</v>
      </c>
      <c r="J200" s="42" t="n">
        <v>31</v>
      </c>
      <c r="K200" s="44" t="n">
        <v>9.199999999999999</v>
      </c>
      <c r="L200" s="42" t="n">
        <v>2008</v>
      </c>
      <c r="M200" s="42" t="n">
        <v>4</v>
      </c>
      <c r="N200" s="44" t="n">
        <v>9.199999999999999</v>
      </c>
      <c r="O200" s="42" t="n">
        <v>1993</v>
      </c>
      <c r="P200" s="42" t="n">
        <v>7</v>
      </c>
      <c r="Q200" s="44" t="n">
        <v>10</v>
      </c>
      <c r="R200" s="42" t="n">
        <v>1993</v>
      </c>
      <c r="S200" s="42" t="n">
        <v>5</v>
      </c>
      <c r="T200" s="44" t="n">
        <v>11.4</v>
      </c>
      <c r="U200" s="42" t="n">
        <v>1993</v>
      </c>
      <c r="V200" s="42" t="n">
        <v>16</v>
      </c>
      <c r="W200" s="44" t="n">
        <v>9.6</v>
      </c>
      <c r="X200" s="42" t="n">
        <v>1997</v>
      </c>
      <c r="Y200" s="42" t="n">
        <v>30</v>
      </c>
      <c r="Z200" s="44" t="n">
        <v>10</v>
      </c>
      <c r="AA200" s="42" t="n">
        <v>1994</v>
      </c>
      <c r="AB200" s="42" t="n">
        <v>10</v>
      </c>
      <c r="AC200" s="44" t="n">
        <v>10.6</v>
      </c>
      <c r="AD200" s="42" t="n">
        <v>2002</v>
      </c>
      <c r="AE200" s="42" t="n">
        <v>3</v>
      </c>
      <c r="AF200" s="44" t="n">
        <v>11</v>
      </c>
      <c r="AG200" s="42" t="n">
        <v>2003</v>
      </c>
      <c r="AH200" s="42" t="n">
        <v>2</v>
      </c>
      <c r="AI200" s="44" t="n">
        <v>10</v>
      </c>
      <c r="AJ200" s="42" t="n">
        <v>1994</v>
      </c>
      <c r="AK200" s="42" t="n">
        <v>12</v>
      </c>
      <c r="AL200" s="44" t="n">
        <v>10</v>
      </c>
      <c r="AM200" s="42" t="n">
        <v>1994</v>
      </c>
      <c r="AN200" s="42" t="n">
        <v>16</v>
      </c>
      <c r="AO200" s="44" t="n">
        <v>9.199999999999999</v>
      </c>
      <c r="AP200" s="42" t="n">
        <v>1993</v>
      </c>
      <c r="AQ200" s="42" t="n">
        <v>30</v>
      </c>
    </row>
    <row r="201" ht="14.45" customHeight="1">
      <c r="A201" s="42" t="n">
        <v>26175030</v>
      </c>
      <c r="B201" s="42" t="inlineStr">
        <is>
          <t>GRANJA LA NACIONAL [26175030]</t>
        </is>
      </c>
      <c r="C201" s="42" t="n">
        <v>5.717333333</v>
      </c>
      <c r="D201" s="42" t="n">
        <v>-75.69091666999999</v>
      </c>
      <c r="E201" s="42" t="n">
        <v>1153</v>
      </c>
      <c r="F201" s="42" t="inlineStr">
        <is>
          <t>Támesis</t>
        </is>
      </c>
      <c r="G201" s="42" t="inlineStr">
        <is>
          <t>Antioquia</t>
        </is>
      </c>
      <c r="H201" s="44" t="n">
        <v>14</v>
      </c>
      <c r="I201" s="42" t="n">
        <v>1979</v>
      </c>
      <c r="J201" s="42" t="n">
        <v>22</v>
      </c>
      <c r="K201" s="44" t="n">
        <v>15</v>
      </c>
      <c r="L201" s="42" t="n">
        <v>1979</v>
      </c>
      <c r="M201" s="42" t="n">
        <v>4</v>
      </c>
      <c r="N201" s="44" t="n">
        <v>14.8</v>
      </c>
      <c r="O201" s="42" t="n">
        <v>2000</v>
      </c>
      <c r="P201" s="42" t="n">
        <v>14</v>
      </c>
      <c r="Q201" s="44" t="n">
        <v>15.6</v>
      </c>
      <c r="R201" s="42" t="n">
        <v>2002</v>
      </c>
      <c r="S201" s="42" t="n">
        <v>18</v>
      </c>
      <c r="T201" s="44" t="n">
        <v>14.2</v>
      </c>
      <c r="U201" s="42" t="n">
        <v>2021</v>
      </c>
      <c r="V201" s="42" t="n">
        <v>6</v>
      </c>
      <c r="W201" s="44" t="n">
        <v>14.2</v>
      </c>
      <c r="X201" s="42" t="n">
        <v>2021</v>
      </c>
      <c r="Y201" s="42" t="n">
        <v>10</v>
      </c>
      <c r="Z201" s="44" t="n">
        <v>15</v>
      </c>
      <c r="AA201" s="42" t="n">
        <v>1992</v>
      </c>
      <c r="AB201" s="42" t="n">
        <v>8</v>
      </c>
      <c r="AC201" s="44" t="n">
        <v>14.3</v>
      </c>
      <c r="AD201" s="42" t="n">
        <v>2023</v>
      </c>
      <c r="AE201" s="42" t="n">
        <v>11</v>
      </c>
      <c r="AF201" s="44" t="n">
        <v>15</v>
      </c>
      <c r="AG201" s="42" t="n">
        <v>2000</v>
      </c>
      <c r="AH201" s="42" t="n">
        <v>6</v>
      </c>
      <c r="AI201" s="44" t="n">
        <v>14</v>
      </c>
      <c r="AJ201" s="42" t="n">
        <v>1983</v>
      </c>
      <c r="AK201" s="42" t="n">
        <v>29</v>
      </c>
      <c r="AL201" s="44" t="n">
        <v>14.2</v>
      </c>
      <c r="AM201" s="42" t="n">
        <v>2016</v>
      </c>
      <c r="AN201" s="42" t="n">
        <v>22</v>
      </c>
      <c r="AO201" s="44" t="n">
        <v>15.2</v>
      </c>
      <c r="AP201" s="42" t="n">
        <v>1985</v>
      </c>
      <c r="AQ201" s="42" t="n">
        <v>2</v>
      </c>
    </row>
    <row r="202" ht="14.45" customHeight="1">
      <c r="A202" s="42" t="n">
        <v>16055020</v>
      </c>
      <c r="B202" s="42" t="inlineStr">
        <is>
          <t>TEORAMA [16055020]</t>
        </is>
      </c>
      <c r="C202" s="42" t="n">
        <v>8.442222222</v>
      </c>
      <c r="D202" s="42" t="n">
        <v>-73.28527778</v>
      </c>
      <c r="E202" s="42" t="n">
        <v>1160</v>
      </c>
      <c r="F202" s="42" t="inlineStr">
        <is>
          <t>Teorama</t>
        </is>
      </c>
      <c r="G202" s="42" t="inlineStr">
        <is>
          <t>Norte De Santander</t>
        </is>
      </c>
      <c r="H202" s="44" t="n">
        <v>12.2</v>
      </c>
      <c r="I202" s="42" t="n">
        <v>2020</v>
      </c>
      <c r="J202" s="42" t="n">
        <v>26</v>
      </c>
      <c r="K202" s="44" t="n">
        <v>13.2</v>
      </c>
      <c r="L202" s="42" t="n">
        <v>2010</v>
      </c>
      <c r="M202" s="42" t="n">
        <v>7</v>
      </c>
      <c r="N202" s="44" t="n">
        <v>12.5</v>
      </c>
      <c r="O202" s="42" t="n">
        <v>1982</v>
      </c>
      <c r="P202" s="42" t="n">
        <v>12</v>
      </c>
      <c r="Q202" s="44" t="n">
        <v>15</v>
      </c>
      <c r="R202" s="42" t="n">
        <v>1984</v>
      </c>
      <c r="S202" s="42" t="n">
        <v>1</v>
      </c>
      <c r="T202" s="44" t="n">
        <v>14</v>
      </c>
      <c r="U202" s="42" t="n">
        <v>2007</v>
      </c>
      <c r="V202" s="42" t="n">
        <v>4</v>
      </c>
      <c r="W202" s="44" t="n">
        <v>16</v>
      </c>
      <c r="X202" s="42" t="n">
        <v>1982</v>
      </c>
      <c r="Y202" s="42" t="n">
        <v>18</v>
      </c>
      <c r="Z202" s="44" t="n">
        <v>12</v>
      </c>
      <c r="AA202" s="42" t="n">
        <v>1982</v>
      </c>
      <c r="AB202" s="42" t="n">
        <v>18</v>
      </c>
      <c r="AC202" s="44" t="n">
        <v>12</v>
      </c>
      <c r="AD202" s="42" t="n">
        <v>1982</v>
      </c>
      <c r="AE202" s="42" t="n">
        <v>11</v>
      </c>
      <c r="AF202" s="44" t="n">
        <v>13.4</v>
      </c>
      <c r="AG202" s="42" t="n">
        <v>2009</v>
      </c>
      <c r="AH202" s="42" t="n">
        <v>1</v>
      </c>
      <c r="AI202" s="44" t="n">
        <v>13</v>
      </c>
      <c r="AJ202" s="42" t="n">
        <v>2009</v>
      </c>
      <c r="AK202" s="42" t="n">
        <v>15</v>
      </c>
      <c r="AL202" s="44" t="n">
        <v>13.6</v>
      </c>
      <c r="AM202" s="42" t="n">
        <v>2009</v>
      </c>
      <c r="AN202" s="42" t="n">
        <v>4</v>
      </c>
      <c r="AO202" s="44" t="n">
        <v>13.4</v>
      </c>
      <c r="AP202" s="42" t="n">
        <v>2009</v>
      </c>
      <c r="AQ202" s="42" t="n">
        <v>18</v>
      </c>
    </row>
    <row r="203" ht="14.45" customHeight="1">
      <c r="A203" s="42" t="n">
        <v>22015020</v>
      </c>
      <c r="B203" s="42" t="inlineStr">
        <is>
          <t>RELATOR [22015020]</t>
        </is>
      </c>
      <c r="C203" s="42" t="n">
        <v>3.529138889</v>
      </c>
      <c r="D203" s="42" t="n">
        <v>-75.63141666999999</v>
      </c>
      <c r="E203" s="42" t="n">
        <v>1160</v>
      </c>
      <c r="F203" s="42" t="inlineStr">
        <is>
          <t>Rioblanco</t>
        </is>
      </c>
      <c r="G203" s="42" t="inlineStr">
        <is>
          <t>Tolima</t>
        </is>
      </c>
      <c r="H203" s="44" t="n">
        <v>15</v>
      </c>
      <c r="I203" s="42" t="n">
        <v>1994</v>
      </c>
      <c r="J203" s="42" t="n">
        <v>15</v>
      </c>
      <c r="K203" s="44" t="n">
        <v>15</v>
      </c>
      <c r="L203" s="42" t="n">
        <v>1994</v>
      </c>
      <c r="M203" s="42" t="n">
        <v>2</v>
      </c>
      <c r="N203" s="44" t="n">
        <v>15</v>
      </c>
      <c r="O203" s="42" t="n">
        <v>1993</v>
      </c>
      <c r="P203" s="42" t="n">
        <v>22</v>
      </c>
      <c r="Q203" s="44" t="n">
        <v>15.2</v>
      </c>
      <c r="R203" s="42" t="n">
        <v>1993</v>
      </c>
      <c r="S203" s="42" t="n">
        <v>19</v>
      </c>
      <c r="T203" s="44" t="n">
        <v>15.2</v>
      </c>
      <c r="U203" s="42" t="n">
        <v>1996</v>
      </c>
      <c r="V203" s="42" t="n">
        <v>17</v>
      </c>
      <c r="W203" s="44" t="n">
        <v>15</v>
      </c>
      <c r="X203" s="42" t="n">
        <v>1994</v>
      </c>
      <c r="Y203" s="42" t="n">
        <v>4</v>
      </c>
      <c r="Z203" s="44" t="n">
        <v>15</v>
      </c>
      <c r="AA203" s="42" t="n">
        <v>1994</v>
      </c>
      <c r="AB203" s="42" t="n">
        <v>20</v>
      </c>
      <c r="AC203" s="44" t="n">
        <v>15</v>
      </c>
      <c r="AD203" s="42" t="n">
        <v>1994</v>
      </c>
      <c r="AE203" s="42" t="n">
        <v>9</v>
      </c>
      <c r="AF203" s="44" t="n">
        <v>15.2</v>
      </c>
      <c r="AG203" s="42" t="n">
        <v>2011</v>
      </c>
      <c r="AH203" s="42" t="n">
        <v>9</v>
      </c>
      <c r="AI203" s="44" t="n">
        <v>15</v>
      </c>
      <c r="AJ203" s="42" t="n">
        <v>1988</v>
      </c>
      <c r="AK203" s="42" t="n">
        <v>2</v>
      </c>
      <c r="AL203" s="44" t="n">
        <v>15</v>
      </c>
      <c r="AM203" s="42" t="n">
        <v>1990</v>
      </c>
      <c r="AN203" s="42" t="n">
        <v>11</v>
      </c>
      <c r="AO203" s="44" t="n">
        <v>15</v>
      </c>
      <c r="AP203" s="42" t="n">
        <v>2009</v>
      </c>
      <c r="AQ203" s="42" t="n">
        <v>19</v>
      </c>
    </row>
    <row r="204" ht="14.45" customHeight="1">
      <c r="A204" s="42" t="n">
        <v>24035260</v>
      </c>
      <c r="B204" s="42" t="inlineStr">
        <is>
          <t>CAPITANEJO [24035260]</t>
        </is>
      </c>
      <c r="C204" s="42" t="n">
        <v>6.520722222</v>
      </c>
      <c r="D204" s="42" t="n">
        <v>-72.69661111000001</v>
      </c>
      <c r="E204" s="42" t="n">
        <v>1160</v>
      </c>
      <c r="F204" s="42" t="inlineStr">
        <is>
          <t>Capitanejo</t>
        </is>
      </c>
      <c r="G204" s="42" t="inlineStr">
        <is>
          <t>Santander</t>
        </is>
      </c>
      <c r="H204" s="44" t="n">
        <v>12.4</v>
      </c>
      <c r="I204" s="42" t="n">
        <v>2023</v>
      </c>
      <c r="J204" s="42" t="n">
        <v>29</v>
      </c>
      <c r="K204" s="44" t="n">
        <v>10.4</v>
      </c>
      <c r="L204" s="42" t="n">
        <v>2007</v>
      </c>
      <c r="M204" s="42" t="n">
        <v>25</v>
      </c>
      <c r="N204" s="44" t="n">
        <v>12.8</v>
      </c>
      <c r="O204" s="42" t="n">
        <v>1994</v>
      </c>
      <c r="P204" s="42" t="n">
        <v>23</v>
      </c>
      <c r="Q204" s="44" t="n">
        <v>14</v>
      </c>
      <c r="R204" s="42" t="n">
        <v>1999</v>
      </c>
      <c r="S204" s="42" t="n">
        <v>18</v>
      </c>
      <c r="T204" s="44" t="n">
        <v>13.6</v>
      </c>
      <c r="U204" s="42" t="n">
        <v>1998</v>
      </c>
      <c r="V204" s="42" t="n">
        <v>15</v>
      </c>
      <c r="W204" s="44" t="n">
        <v>13.4</v>
      </c>
      <c r="X204" s="42" t="n">
        <v>2012</v>
      </c>
      <c r="Y204" s="42" t="n">
        <v>22</v>
      </c>
      <c r="Z204" s="44" t="n">
        <v>12</v>
      </c>
      <c r="AA204" s="42" t="n">
        <v>1998</v>
      </c>
      <c r="AB204" s="42" t="n">
        <v>13</v>
      </c>
      <c r="AC204" s="44" t="n">
        <v>11.8</v>
      </c>
      <c r="AD204" s="42" t="n">
        <v>2001</v>
      </c>
      <c r="AE204" s="42" t="n">
        <v>30</v>
      </c>
      <c r="AF204" s="44" t="n">
        <v>14</v>
      </c>
      <c r="AG204" s="42" t="n">
        <v>1998</v>
      </c>
      <c r="AH204" s="42" t="n">
        <v>30</v>
      </c>
      <c r="AI204" s="44" t="n">
        <v>12.4</v>
      </c>
      <c r="AJ204" s="42" t="n">
        <v>2009</v>
      </c>
      <c r="AK204" s="42" t="n">
        <v>9</v>
      </c>
      <c r="AL204" s="44" t="n">
        <v>13.4</v>
      </c>
      <c r="AM204" s="42" t="n">
        <v>1987</v>
      </c>
      <c r="AN204" s="42" t="n">
        <v>13</v>
      </c>
      <c r="AO204" s="44" t="n">
        <v>12</v>
      </c>
      <c r="AP204" s="42" t="n">
        <v>1985</v>
      </c>
      <c r="AQ204" s="42" t="n">
        <v>18</v>
      </c>
    </row>
    <row r="205" ht="14.45" customHeight="1">
      <c r="A205" s="42" t="n">
        <v>26195020</v>
      </c>
      <c r="B205" s="42" t="inlineStr">
        <is>
          <t>ITA ANDES [26195020]</t>
        </is>
      </c>
      <c r="C205" s="42" t="n">
        <v>5.691</v>
      </c>
      <c r="D205" s="42" t="n">
        <v>-75.88022221999999</v>
      </c>
      <c r="E205" s="42" t="n">
        <v>1180</v>
      </c>
      <c r="F205" s="42" t="inlineStr">
        <is>
          <t>Andes</t>
        </is>
      </c>
      <c r="G205" s="42" t="inlineStr">
        <is>
          <t>Antioquia</t>
        </is>
      </c>
      <c r="H205" s="44" t="n">
        <v>10.2</v>
      </c>
      <c r="I205" s="42" t="n">
        <v>1992</v>
      </c>
      <c r="J205" s="42" t="n">
        <v>9</v>
      </c>
      <c r="K205" s="44" t="n">
        <v>6.2</v>
      </c>
      <c r="L205" s="42" t="n">
        <v>2014</v>
      </c>
      <c r="M205" s="42" t="n">
        <v>25</v>
      </c>
      <c r="N205" s="44" t="n">
        <v>10.2</v>
      </c>
      <c r="O205" s="42" t="n">
        <v>1992</v>
      </c>
      <c r="P205" s="42" t="n">
        <v>30</v>
      </c>
      <c r="Q205" s="44" t="n">
        <v>10.4</v>
      </c>
      <c r="R205" s="42" t="n">
        <v>1992</v>
      </c>
      <c r="S205" s="42" t="n">
        <v>2</v>
      </c>
      <c r="T205" s="44" t="n">
        <v>10.2</v>
      </c>
      <c r="U205" s="42" t="n">
        <v>1992</v>
      </c>
      <c r="V205" s="42" t="n">
        <v>8</v>
      </c>
      <c r="W205" s="44" t="n">
        <v>10.2</v>
      </c>
      <c r="X205" s="42" t="n">
        <v>1992</v>
      </c>
      <c r="Y205" s="42" t="n">
        <v>15</v>
      </c>
      <c r="Z205" s="44" t="n">
        <v>10.2</v>
      </c>
      <c r="AA205" s="42" t="n">
        <v>1992</v>
      </c>
      <c r="AB205" s="42" t="n">
        <v>14</v>
      </c>
      <c r="AC205" s="44" t="n">
        <v>10</v>
      </c>
      <c r="AD205" s="42" t="n">
        <v>1986</v>
      </c>
      <c r="AE205" s="42" t="n">
        <v>5</v>
      </c>
      <c r="AF205" s="44" t="n">
        <v>10.2</v>
      </c>
      <c r="AG205" s="42" t="n">
        <v>1991</v>
      </c>
      <c r="AH205" s="42" t="n">
        <v>27</v>
      </c>
      <c r="AI205" s="44" t="n">
        <v>10.4</v>
      </c>
      <c r="AJ205" s="42" t="n">
        <v>1991</v>
      </c>
      <c r="AK205" s="42" t="n">
        <v>11</v>
      </c>
      <c r="AL205" s="44" t="n">
        <v>10</v>
      </c>
      <c r="AM205" s="42" t="n">
        <v>1991</v>
      </c>
      <c r="AN205" s="42" t="n">
        <v>4</v>
      </c>
      <c r="AO205" s="44" t="n">
        <v>10.4</v>
      </c>
      <c r="AP205" s="42" t="n">
        <v>1981</v>
      </c>
      <c r="AQ205" s="42" t="n">
        <v>26</v>
      </c>
    </row>
    <row r="206" ht="14.45" customHeight="1">
      <c r="A206" s="42" t="n">
        <v>23195502</v>
      </c>
      <c r="B206" s="42" t="inlineStr">
        <is>
          <t>AEROPUERTO PALONEGRO AUT [23195502]</t>
        </is>
      </c>
      <c r="C206" s="42" t="n">
        <v>7.121472222</v>
      </c>
      <c r="D206" s="42" t="n">
        <v>-73.18452778</v>
      </c>
      <c r="E206" s="42" t="n">
        <v>1189</v>
      </c>
      <c r="F206" s="42" t="inlineStr">
        <is>
          <t>Lebrija</t>
        </is>
      </c>
      <c r="G206" s="42" t="inlineStr">
        <is>
          <t>Santander</t>
        </is>
      </c>
      <c r="H206" s="44" t="n">
        <v>16</v>
      </c>
      <c r="I206" s="42" t="n">
        <v>2000</v>
      </c>
      <c r="J206" s="42" t="n">
        <v>16</v>
      </c>
      <c r="K206" s="44" t="n">
        <v>15.4</v>
      </c>
      <c r="L206" s="42" t="n">
        <v>1985</v>
      </c>
      <c r="M206" s="42" t="n">
        <v>6</v>
      </c>
      <c r="N206" s="44" t="n">
        <v>16.1</v>
      </c>
      <c r="O206" s="42" t="n">
        <v>1979</v>
      </c>
      <c r="P206" s="42" t="n">
        <v>25</v>
      </c>
      <c r="Q206" s="44" t="n">
        <v>16.2</v>
      </c>
      <c r="R206" s="42" t="n">
        <v>2018</v>
      </c>
      <c r="S206" s="42" t="n">
        <v>8</v>
      </c>
      <c r="T206" s="44" t="n">
        <v>16</v>
      </c>
      <c r="U206" s="42" t="n">
        <v>2002</v>
      </c>
      <c r="V206" s="42" t="n">
        <v>29</v>
      </c>
      <c r="W206" s="44" t="n">
        <v>16.4</v>
      </c>
      <c r="X206" s="42" t="n">
        <v>1979</v>
      </c>
      <c r="Y206" s="42" t="n">
        <v>5</v>
      </c>
      <c r="Z206" s="44" t="n">
        <v>15.2</v>
      </c>
      <c r="AA206" s="42" t="n">
        <v>1985</v>
      </c>
      <c r="AB206" s="42" t="n">
        <v>25</v>
      </c>
      <c r="AC206" s="44" t="n">
        <v>16.4</v>
      </c>
      <c r="AD206" s="42" t="n">
        <v>1979</v>
      </c>
      <c r="AE206" s="42" t="n">
        <v>31</v>
      </c>
      <c r="AF206" s="44" t="n">
        <v>15.6</v>
      </c>
      <c r="AG206" s="42" t="n">
        <v>1984</v>
      </c>
      <c r="AH206" s="42" t="n">
        <v>15</v>
      </c>
      <c r="AI206" s="44" t="n">
        <v>15</v>
      </c>
      <c r="AJ206" s="42" t="n">
        <v>1982</v>
      </c>
      <c r="AK206" s="42" t="n">
        <v>9</v>
      </c>
      <c r="AL206" s="44" t="n">
        <v>15.8</v>
      </c>
      <c r="AM206" s="42" t="n">
        <v>1984</v>
      </c>
      <c r="AN206" s="42" t="n">
        <v>9</v>
      </c>
      <c r="AO206" s="44" t="n">
        <v>15.8</v>
      </c>
      <c r="AP206" s="42" t="n">
        <v>2010</v>
      </c>
      <c r="AQ206" s="42" t="n">
        <v>21</v>
      </c>
    </row>
    <row r="207" ht="14.45" customHeight="1">
      <c r="A207" s="42" t="n">
        <v>26125061</v>
      </c>
      <c r="B207" s="42" t="inlineStr">
        <is>
          <t>AEROPUERTO EL EDEN - - AUT [26125061]</t>
        </is>
      </c>
      <c r="C207" s="42" t="n">
        <v>4.454722222</v>
      </c>
      <c r="D207" s="42" t="n">
        <v>-75.76638889</v>
      </c>
      <c r="E207" s="42" t="n">
        <v>1229</v>
      </c>
      <c r="F207" s="42" t="inlineStr">
        <is>
          <t>Armenia</t>
        </is>
      </c>
      <c r="G207" s="42" t="inlineStr">
        <is>
          <t>Quindío</t>
        </is>
      </c>
      <c r="H207" s="44" t="n">
        <v>11</v>
      </c>
      <c r="I207" s="42" t="n">
        <v>1989</v>
      </c>
      <c r="J207" s="42" t="n">
        <v>29</v>
      </c>
      <c r="K207" s="44" t="n">
        <v>12.6</v>
      </c>
      <c r="L207" s="42" t="n">
        <v>1985</v>
      </c>
      <c r="M207" s="42" t="n">
        <v>5</v>
      </c>
      <c r="N207" s="44" t="n">
        <v>11</v>
      </c>
      <c r="O207" s="42" t="n">
        <v>1988</v>
      </c>
      <c r="P207" s="42" t="n">
        <v>8</v>
      </c>
      <c r="Q207" s="44" t="n">
        <v>12.6</v>
      </c>
      <c r="R207" s="42" t="n">
        <v>1985</v>
      </c>
      <c r="S207" s="42" t="n">
        <v>21</v>
      </c>
      <c r="T207" s="44" t="n">
        <v>13.2</v>
      </c>
      <c r="U207" s="42" t="n">
        <v>1990</v>
      </c>
      <c r="V207" s="42" t="n">
        <v>2</v>
      </c>
      <c r="W207" s="44" t="n">
        <v>11.8</v>
      </c>
      <c r="X207" s="42" t="n">
        <v>1986</v>
      </c>
      <c r="Y207" s="42" t="n">
        <v>3</v>
      </c>
      <c r="Z207" s="44" t="n">
        <v>12.4</v>
      </c>
      <c r="AA207" s="42" t="n">
        <v>1983</v>
      </c>
      <c r="AB207" s="42" t="n">
        <v>25</v>
      </c>
      <c r="AC207" s="44" t="n">
        <v>11.4</v>
      </c>
      <c r="AD207" s="42" t="n">
        <v>2018</v>
      </c>
      <c r="AE207" s="42" t="n">
        <v>11</v>
      </c>
      <c r="AF207" s="44" t="n">
        <v>12.6</v>
      </c>
      <c r="AG207" s="42" t="n">
        <v>1986</v>
      </c>
      <c r="AH207" s="42" t="n">
        <v>5</v>
      </c>
      <c r="AI207" s="44" t="n">
        <v>13</v>
      </c>
      <c r="AJ207" s="42" t="n">
        <v>1989</v>
      </c>
      <c r="AK207" s="42" t="n">
        <v>4</v>
      </c>
      <c r="AL207" s="44" t="n">
        <v>11.8</v>
      </c>
      <c r="AM207" s="42" t="n">
        <v>2016</v>
      </c>
      <c r="AN207" s="42" t="n">
        <v>22</v>
      </c>
      <c r="AO207" s="44" t="n">
        <v>12</v>
      </c>
      <c r="AP207" s="42" t="n">
        <v>1989</v>
      </c>
      <c r="AQ207" s="42" t="n">
        <v>17</v>
      </c>
    </row>
    <row r="208" ht="14.45" customHeight="1">
      <c r="A208" s="42" t="n">
        <v>23125140</v>
      </c>
      <c r="B208" s="42" t="inlineStr">
        <is>
          <t>AEROPUERTO FURATENA  - AUT [23125140]</t>
        </is>
      </c>
      <c r="C208" s="42" t="n">
        <v>5.520833333</v>
      </c>
      <c r="D208" s="42" t="n">
        <v>-74.18241666999999</v>
      </c>
      <c r="E208" s="42" t="n">
        <v>1250</v>
      </c>
      <c r="F208" s="42" t="inlineStr">
        <is>
          <t>Quípama</t>
        </is>
      </c>
      <c r="G208" s="42" t="inlineStr">
        <is>
          <t>Boyacá</t>
        </is>
      </c>
      <c r="H208" s="44" t="n">
        <v>13.4</v>
      </c>
      <c r="I208" s="42" t="n">
        <v>2005</v>
      </c>
      <c r="J208" s="42" t="n">
        <v>17</v>
      </c>
      <c r="K208" s="44" t="n">
        <v>12.2</v>
      </c>
      <c r="L208" s="42" t="n">
        <v>2002</v>
      </c>
      <c r="M208" s="42" t="n">
        <v>8</v>
      </c>
      <c r="N208" s="44" t="n">
        <v>12.4</v>
      </c>
      <c r="O208" s="42" t="n">
        <v>2002</v>
      </c>
      <c r="P208" s="42" t="n">
        <v>20</v>
      </c>
      <c r="Q208" s="44" t="n">
        <v>12.4</v>
      </c>
      <c r="R208" s="42" t="n">
        <v>2003</v>
      </c>
      <c r="S208" s="42" t="n">
        <v>15</v>
      </c>
      <c r="T208" s="44" t="n">
        <v>12</v>
      </c>
      <c r="U208" s="42" t="n">
        <v>2003</v>
      </c>
      <c r="V208" s="42" t="n">
        <v>4</v>
      </c>
      <c r="W208" s="44" t="n">
        <v>14.4</v>
      </c>
      <c r="X208" s="42" t="n">
        <v>2002</v>
      </c>
      <c r="Y208" s="42" t="n">
        <v>4</v>
      </c>
      <c r="Z208" s="44" t="n">
        <v>14.2</v>
      </c>
      <c r="AA208" s="42" t="n">
        <v>2003</v>
      </c>
      <c r="AB208" s="42" t="n">
        <v>1</v>
      </c>
      <c r="AC208" s="44" t="n">
        <v>13.8</v>
      </c>
      <c r="AD208" s="42" t="n">
        <v>2004</v>
      </c>
      <c r="AE208" s="42" t="n">
        <v>27</v>
      </c>
      <c r="AF208" s="44" t="n">
        <v>14.2</v>
      </c>
      <c r="AG208" s="42" t="n">
        <v>2000</v>
      </c>
      <c r="AH208" s="42" t="n">
        <v>24</v>
      </c>
      <c r="AI208" s="44" t="n">
        <v>13.2</v>
      </c>
      <c r="AJ208" s="42" t="n">
        <v>2002</v>
      </c>
      <c r="AK208" s="42" t="n">
        <v>28</v>
      </c>
      <c r="AL208" s="44" t="n">
        <v>13</v>
      </c>
      <c r="AM208" s="42" t="n">
        <v>2003</v>
      </c>
      <c r="AN208" s="42" t="n">
        <v>12</v>
      </c>
      <c r="AO208" s="44" t="n">
        <v>14.2</v>
      </c>
      <c r="AP208" s="42" t="n">
        <v>2004</v>
      </c>
      <c r="AQ208" s="42" t="n">
        <v>16</v>
      </c>
    </row>
    <row r="209" ht="14.45" customHeight="1">
      <c r="A209" s="42" t="n">
        <v>21065040</v>
      </c>
      <c r="B209" s="42" t="inlineStr">
        <is>
          <t>ZULUAGA AUT [21065040]</t>
        </is>
      </c>
      <c r="C209" s="42" t="n">
        <v>2.2525</v>
      </c>
      <c r="D209" s="42" t="n">
        <v>-75.52944444000001</v>
      </c>
      <c r="E209" s="42" t="n">
        <v>1270</v>
      </c>
      <c r="F209" s="42" t="inlineStr">
        <is>
          <t>Garzón</t>
        </is>
      </c>
      <c r="G209" s="42" t="inlineStr">
        <is>
          <t>Huila</t>
        </is>
      </c>
      <c r="H209" s="44" t="n">
        <v>10.4</v>
      </c>
      <c r="I209" s="42" t="n">
        <v>1986</v>
      </c>
      <c r="J209" s="42" t="n">
        <v>7</v>
      </c>
      <c r="K209" s="44" t="n">
        <v>10.6</v>
      </c>
      <c r="L209" s="42" t="n">
        <v>1984</v>
      </c>
      <c r="M209" s="42" t="n">
        <v>28</v>
      </c>
      <c r="N209" s="44" t="n">
        <v>11.2</v>
      </c>
      <c r="O209" s="42" t="n">
        <v>1988</v>
      </c>
      <c r="P209" s="42" t="n">
        <v>5</v>
      </c>
      <c r="Q209" s="44" t="n">
        <v>12</v>
      </c>
      <c r="R209" s="42" t="n">
        <v>2013</v>
      </c>
      <c r="S209" s="42" t="n">
        <v>25</v>
      </c>
      <c r="T209" s="44" t="n">
        <v>13.2</v>
      </c>
      <c r="U209" s="42" t="n">
        <v>1979</v>
      </c>
      <c r="V209" s="42" t="n">
        <v>24</v>
      </c>
      <c r="W209" s="44" t="n">
        <v>11.4</v>
      </c>
      <c r="X209" s="42" t="n">
        <v>2001</v>
      </c>
      <c r="Y209" s="42" t="n">
        <v>22</v>
      </c>
      <c r="Z209" s="44" t="n">
        <v>10.4</v>
      </c>
      <c r="AA209" s="42" t="n">
        <v>1999</v>
      </c>
      <c r="AB209" s="42" t="n">
        <v>10</v>
      </c>
      <c r="AC209" s="44" t="n">
        <v>11</v>
      </c>
      <c r="AD209" s="42" t="n">
        <v>1990</v>
      </c>
      <c r="AE209" s="42" t="n">
        <v>12</v>
      </c>
      <c r="AF209" s="44" t="n">
        <v>11.4</v>
      </c>
      <c r="AG209" s="42" t="n">
        <v>1983</v>
      </c>
      <c r="AH209" s="42" t="n">
        <v>12</v>
      </c>
      <c r="AI209" s="44" t="n">
        <v>11</v>
      </c>
      <c r="AJ209" s="42" t="n">
        <v>1984</v>
      </c>
      <c r="AK209" s="42" t="n">
        <v>29</v>
      </c>
      <c r="AL209" s="44" t="n">
        <v>12.2</v>
      </c>
      <c r="AM209" s="42" t="n">
        <v>1983</v>
      </c>
      <c r="AN209" s="42" t="n">
        <v>24</v>
      </c>
      <c r="AO209" s="44" t="n">
        <v>11.2</v>
      </c>
      <c r="AP209" s="42" t="n">
        <v>1980</v>
      </c>
      <c r="AQ209" s="42" t="n">
        <v>23</v>
      </c>
    </row>
    <row r="210" ht="14.45" customHeight="1">
      <c r="A210" s="42" t="n">
        <v>11115020</v>
      </c>
      <c r="B210" s="42" t="inlineStr">
        <is>
          <t>CAÑASGORDAS [11115020]</t>
        </is>
      </c>
      <c r="C210" s="42" t="n">
        <v>6.758027778</v>
      </c>
      <c r="D210" s="42" t="n">
        <v>-76.02966667</v>
      </c>
      <c r="E210" s="42" t="n">
        <v>1294</v>
      </c>
      <c r="F210" s="42" t="inlineStr">
        <is>
          <t>Cañasgordas</t>
        </is>
      </c>
      <c r="G210" s="42" t="inlineStr">
        <is>
          <t>Antioquia</t>
        </is>
      </c>
      <c r="H210" s="44" t="n">
        <v>10</v>
      </c>
      <c r="I210" s="42" t="n">
        <v>2018</v>
      </c>
      <c r="J210" s="42" t="n">
        <v>15</v>
      </c>
      <c r="K210" s="44" t="n">
        <v>11.2</v>
      </c>
      <c r="L210" s="42" t="n">
        <v>1993</v>
      </c>
      <c r="M210" s="42" t="n">
        <v>17</v>
      </c>
      <c r="N210" s="44" t="n">
        <v>11.2</v>
      </c>
      <c r="O210" s="42" t="n">
        <v>1993</v>
      </c>
      <c r="P210" s="42" t="n">
        <v>5</v>
      </c>
      <c r="Q210" s="44" t="n">
        <v>11.6</v>
      </c>
      <c r="R210" s="42" t="n">
        <v>1980</v>
      </c>
      <c r="S210" s="42" t="n">
        <v>23</v>
      </c>
      <c r="T210" s="44" t="n">
        <v>11.6</v>
      </c>
      <c r="U210" s="42" t="n">
        <v>1993</v>
      </c>
      <c r="V210" s="42" t="n">
        <v>5</v>
      </c>
      <c r="W210" s="44" t="n">
        <v>12.2</v>
      </c>
      <c r="X210" s="42" t="n">
        <v>1993</v>
      </c>
      <c r="Y210" s="42" t="n">
        <v>6</v>
      </c>
      <c r="Z210" s="44" t="n">
        <v>13.4</v>
      </c>
      <c r="AA210" s="42" t="n">
        <v>2018</v>
      </c>
      <c r="AB210" s="42" t="n">
        <v>15</v>
      </c>
      <c r="AC210" s="44" t="n">
        <v>13.2</v>
      </c>
      <c r="AD210" s="42" t="n">
        <v>1980</v>
      </c>
      <c r="AE210" s="42" t="n">
        <v>20</v>
      </c>
      <c r="AF210" s="44" t="n">
        <v>13.2</v>
      </c>
      <c r="AG210" s="42" t="n">
        <v>1992</v>
      </c>
      <c r="AH210" s="42" t="n">
        <v>17</v>
      </c>
      <c r="AI210" s="44" t="n">
        <v>12.6</v>
      </c>
      <c r="AJ210" s="42" t="n">
        <v>1984</v>
      </c>
      <c r="AK210" s="42" t="n">
        <v>13</v>
      </c>
      <c r="AL210" s="44" t="n">
        <v>11.4</v>
      </c>
      <c r="AM210" s="42" t="n">
        <v>2016</v>
      </c>
      <c r="AN210" s="42" t="n">
        <v>22</v>
      </c>
      <c r="AO210" s="44" t="n">
        <v>12</v>
      </c>
      <c r="AP210" s="42" t="n">
        <v>2005</v>
      </c>
      <c r="AQ210" s="42" t="n">
        <v>31</v>
      </c>
    </row>
    <row r="211" ht="14.45" customHeight="1">
      <c r="A211" s="42" t="n">
        <v>21125010</v>
      </c>
      <c r="B211" s="42" t="inlineStr">
        <is>
          <t>SANTA MARIA [21125010]</t>
        </is>
      </c>
      <c r="C211" s="42" t="n">
        <v>2.935694444</v>
      </c>
      <c r="D211" s="42" t="n">
        <v>-75.58905556000001</v>
      </c>
      <c r="E211" s="42" t="n">
        <v>1300</v>
      </c>
      <c r="F211" s="42" t="inlineStr">
        <is>
          <t>Santa María</t>
        </is>
      </c>
      <c r="G211" s="42" t="inlineStr">
        <is>
          <t>Huila</t>
        </is>
      </c>
      <c r="H211" s="44" t="n">
        <v>12</v>
      </c>
      <c r="I211" s="42" t="n">
        <v>1996</v>
      </c>
      <c r="J211" s="42" t="n">
        <v>27</v>
      </c>
      <c r="K211" s="44" t="n">
        <v>12.4</v>
      </c>
      <c r="L211" s="42" t="n">
        <v>2004</v>
      </c>
      <c r="M211" s="42" t="n">
        <v>6</v>
      </c>
      <c r="N211" s="44" t="n">
        <v>12.5</v>
      </c>
      <c r="O211" s="42" t="n">
        <v>1986</v>
      </c>
      <c r="P211" s="42" t="n">
        <v>14</v>
      </c>
      <c r="Q211" s="44" t="n">
        <v>11.8</v>
      </c>
      <c r="R211" s="42" t="n">
        <v>1986</v>
      </c>
      <c r="S211" s="42" t="n">
        <v>4</v>
      </c>
      <c r="T211" s="44" t="n">
        <v>13.2</v>
      </c>
      <c r="U211" s="42" t="n">
        <v>1996</v>
      </c>
      <c r="V211" s="42" t="n">
        <v>22</v>
      </c>
      <c r="W211" s="44" t="n">
        <v>12.4</v>
      </c>
      <c r="X211" s="42" t="n">
        <v>1997</v>
      </c>
      <c r="Y211" s="42" t="n">
        <v>21</v>
      </c>
      <c r="Z211" s="44" t="n">
        <v>10.2</v>
      </c>
      <c r="AA211" s="42" t="n">
        <v>1996</v>
      </c>
      <c r="AB211" s="42" t="n">
        <v>23</v>
      </c>
      <c r="AC211" s="44" t="n">
        <v>10.3</v>
      </c>
      <c r="AD211" s="42" t="n">
        <v>1985</v>
      </c>
      <c r="AE211" s="42" t="n">
        <v>11</v>
      </c>
      <c r="AF211" s="44" t="n">
        <v>12</v>
      </c>
      <c r="AG211" s="42" t="n">
        <v>1985</v>
      </c>
      <c r="AH211" s="42" t="n">
        <v>7</v>
      </c>
      <c r="AI211" s="44" t="n">
        <v>12.4</v>
      </c>
      <c r="AJ211" s="42" t="n">
        <v>1984</v>
      </c>
      <c r="AK211" s="42" t="n">
        <v>5</v>
      </c>
      <c r="AL211" s="44" t="n">
        <v>12</v>
      </c>
      <c r="AM211" s="42" t="n">
        <v>1985</v>
      </c>
      <c r="AN211" s="42" t="n">
        <v>28</v>
      </c>
      <c r="AO211" s="44" t="n">
        <v>12.4</v>
      </c>
      <c r="AP211" s="42" t="n">
        <v>1985</v>
      </c>
      <c r="AQ211" s="42" t="n">
        <v>1</v>
      </c>
    </row>
    <row r="212" ht="14.45" customHeight="1">
      <c r="A212" s="42" t="n">
        <v>35075040</v>
      </c>
      <c r="B212" s="42" t="inlineStr">
        <is>
          <t>INSTITUCION AGRICOLA MACANAL [35075040]</t>
        </is>
      </c>
      <c r="C212" s="42" t="n">
        <v>4.974361111</v>
      </c>
      <c r="D212" s="42" t="n">
        <v>-73.31675</v>
      </c>
      <c r="E212" s="42" t="n">
        <v>1300</v>
      </c>
      <c r="F212" s="42" t="inlineStr">
        <is>
          <t>Macanal</t>
        </is>
      </c>
      <c r="G212" s="42" t="inlineStr">
        <is>
          <t>Boyacá</t>
        </is>
      </c>
      <c r="H212" s="44" t="n">
        <v>9</v>
      </c>
      <c r="I212" s="42" t="n">
        <v>1988</v>
      </c>
      <c r="J212" s="42" t="n">
        <v>13</v>
      </c>
      <c r="K212" s="44" t="n">
        <v>9.199999999999999</v>
      </c>
      <c r="L212" s="42" t="n">
        <v>2007</v>
      </c>
      <c r="M212" s="42" t="n">
        <v>7</v>
      </c>
      <c r="N212" s="44" t="n">
        <v>9.6</v>
      </c>
      <c r="O212" s="42" t="n">
        <v>1992</v>
      </c>
      <c r="P212" s="42" t="n">
        <v>29</v>
      </c>
      <c r="Q212" s="44" t="n">
        <v>10.6</v>
      </c>
      <c r="R212" s="42" t="n">
        <v>1992</v>
      </c>
      <c r="S212" s="42" t="n">
        <v>17</v>
      </c>
      <c r="T212" s="44" t="n">
        <v>11</v>
      </c>
      <c r="U212" s="42" t="n">
        <v>1992</v>
      </c>
      <c r="V212" s="42" t="n">
        <v>27</v>
      </c>
      <c r="W212" s="44" t="n">
        <v>9.4</v>
      </c>
      <c r="X212" s="42" t="n">
        <v>1997</v>
      </c>
      <c r="Y212" s="42" t="n">
        <v>29</v>
      </c>
      <c r="Z212" s="44" t="n">
        <v>9.4</v>
      </c>
      <c r="AA212" s="42" t="n">
        <v>1997</v>
      </c>
      <c r="AB212" s="42" t="n">
        <v>22</v>
      </c>
      <c r="AC212" s="44" t="n">
        <v>8.4</v>
      </c>
      <c r="AD212" s="42" t="n">
        <v>2018</v>
      </c>
      <c r="AE212" s="42" t="n">
        <v>11</v>
      </c>
      <c r="AF212" s="44" t="n">
        <v>9.4</v>
      </c>
      <c r="AG212" s="42" t="n">
        <v>1983</v>
      </c>
      <c r="AH212" s="42" t="n">
        <v>8</v>
      </c>
      <c r="AI212" s="44" t="n">
        <v>9.6</v>
      </c>
      <c r="AJ212" s="42" t="n">
        <v>1983</v>
      </c>
      <c r="AK212" s="42" t="n">
        <v>6</v>
      </c>
      <c r="AL212" s="44" t="n">
        <v>10</v>
      </c>
      <c r="AM212" s="42" t="n">
        <v>1990</v>
      </c>
      <c r="AN212" s="42" t="n">
        <v>29</v>
      </c>
      <c r="AO212" s="44" t="n">
        <v>9.6</v>
      </c>
      <c r="AP212" s="42" t="n">
        <v>2022</v>
      </c>
      <c r="AQ212" s="42" t="n">
        <v>27</v>
      </c>
    </row>
    <row r="213" ht="14.45" customHeight="1">
      <c r="A213" s="42" t="n">
        <v>35085050</v>
      </c>
      <c r="B213" s="42" t="inlineStr">
        <is>
          <t>CAMPOHERMOSO [35085050]</t>
        </is>
      </c>
      <c r="C213" s="42" t="n">
        <v>5.0345</v>
      </c>
      <c r="D213" s="42" t="n">
        <v>-73.10366667</v>
      </c>
      <c r="E213" s="42" t="n">
        <v>1300</v>
      </c>
      <c r="F213" s="42" t="inlineStr">
        <is>
          <t>Campohermoso</t>
        </is>
      </c>
      <c r="G213" s="42" t="inlineStr">
        <is>
          <t>Boyacá</t>
        </is>
      </c>
      <c r="H213" s="44" t="n">
        <v>12</v>
      </c>
      <c r="I213" s="42" t="n">
        <v>1990</v>
      </c>
      <c r="J213" s="42" t="n">
        <v>17</v>
      </c>
      <c r="K213" s="44" t="n">
        <v>12.8</v>
      </c>
      <c r="L213" s="42" t="n">
        <v>1998</v>
      </c>
      <c r="M213" s="42" t="n">
        <v>28</v>
      </c>
      <c r="N213" s="44" t="n">
        <v>12</v>
      </c>
      <c r="O213" s="42" t="n">
        <v>1998</v>
      </c>
      <c r="P213" s="42" t="n">
        <v>27</v>
      </c>
      <c r="Q213" s="44" t="n">
        <v>13</v>
      </c>
      <c r="R213" s="42" t="n">
        <v>2015</v>
      </c>
      <c r="S213" s="42" t="n">
        <v>13</v>
      </c>
      <c r="T213" s="44" t="n">
        <v>12.8</v>
      </c>
      <c r="U213" s="42" t="n">
        <v>1998</v>
      </c>
      <c r="V213" s="42" t="n">
        <v>2</v>
      </c>
      <c r="W213" s="44" t="n">
        <v>11.6</v>
      </c>
      <c r="X213" s="42" t="n">
        <v>2012</v>
      </c>
      <c r="Y213" s="42" t="n">
        <v>11</v>
      </c>
      <c r="Z213" s="44" t="n">
        <v>11</v>
      </c>
      <c r="AA213" s="42" t="n">
        <v>1992</v>
      </c>
      <c r="AB213" s="42" t="n">
        <v>24</v>
      </c>
      <c r="AC213" s="44" t="n">
        <v>11.4</v>
      </c>
      <c r="AD213" s="42" t="n">
        <v>1997</v>
      </c>
      <c r="AE213" s="42" t="n">
        <v>18</v>
      </c>
      <c r="AF213" s="44" t="n">
        <v>13.4</v>
      </c>
      <c r="AG213" s="42" t="n">
        <v>1997</v>
      </c>
      <c r="AH213" s="42" t="n">
        <v>24</v>
      </c>
      <c r="AI213" s="44" t="n">
        <v>14.2</v>
      </c>
      <c r="AJ213" s="42" t="n">
        <v>1991</v>
      </c>
      <c r="AK213" s="42" t="n">
        <v>21</v>
      </c>
      <c r="AL213" s="44" t="n">
        <v>9.199999999999999</v>
      </c>
      <c r="AM213" s="42" t="n">
        <v>2021</v>
      </c>
      <c r="AN213" s="42" t="n">
        <v>1</v>
      </c>
      <c r="AO213" s="44" t="n">
        <v>13</v>
      </c>
      <c r="AP213" s="42" t="n">
        <v>1993</v>
      </c>
      <c r="AQ213" s="42" t="n">
        <v>31</v>
      </c>
    </row>
    <row r="214" ht="14.45" customHeight="1">
      <c r="A214" s="42" t="n">
        <v>21015020</v>
      </c>
      <c r="B214" s="42" t="inlineStr">
        <is>
          <t>SEVILLA [21015020]</t>
        </is>
      </c>
      <c r="C214" s="42" t="n">
        <v>1.824833333</v>
      </c>
      <c r="D214" s="42" t="n">
        <v>-76.13027778</v>
      </c>
      <c r="E214" s="42" t="n">
        <v>1320</v>
      </c>
      <c r="F214" s="42" t="inlineStr">
        <is>
          <t>Pitalito</t>
        </is>
      </c>
      <c r="G214" s="42" t="inlineStr">
        <is>
          <t>Huila</t>
        </is>
      </c>
      <c r="H214" s="44" t="n">
        <v>9.5</v>
      </c>
      <c r="I214" s="42" t="n">
        <v>1979</v>
      </c>
      <c r="J214" s="42" t="n">
        <v>2</v>
      </c>
      <c r="K214" s="44" t="n">
        <v>10</v>
      </c>
      <c r="L214" s="42" t="n">
        <v>1997</v>
      </c>
      <c r="M214" s="42" t="n">
        <v>20</v>
      </c>
      <c r="N214" s="44" t="n">
        <v>10</v>
      </c>
      <c r="O214" s="42" t="n">
        <v>1992</v>
      </c>
      <c r="P214" s="42" t="n">
        <v>25</v>
      </c>
      <c r="Q214" s="44" t="n">
        <v>10.6</v>
      </c>
      <c r="R214" s="42" t="n">
        <v>2013</v>
      </c>
      <c r="S214" s="42" t="n">
        <v>26</v>
      </c>
      <c r="T214" s="44" t="n">
        <v>11</v>
      </c>
      <c r="U214" s="42" t="n">
        <v>1999</v>
      </c>
      <c r="V214" s="42" t="n">
        <v>10</v>
      </c>
      <c r="W214" s="44" t="n">
        <v>10.4</v>
      </c>
      <c r="X214" s="42" t="n">
        <v>1985</v>
      </c>
      <c r="Y214" s="42" t="n">
        <v>11</v>
      </c>
      <c r="Z214" s="44" t="n">
        <v>9.800000000000001</v>
      </c>
      <c r="AA214" s="42" t="n">
        <v>1992</v>
      </c>
      <c r="AB214" s="42" t="n">
        <v>18</v>
      </c>
      <c r="AC214" s="44" t="n">
        <v>9.6</v>
      </c>
      <c r="AD214" s="42" t="n">
        <v>1995</v>
      </c>
      <c r="AE214" s="42" t="n">
        <v>6</v>
      </c>
      <c r="AF214" s="44" t="n">
        <v>9.800000000000001</v>
      </c>
      <c r="AG214" s="42" t="n">
        <v>1989</v>
      </c>
      <c r="AH214" s="42" t="n">
        <v>18</v>
      </c>
      <c r="AI214" s="44" t="n">
        <v>10</v>
      </c>
      <c r="AJ214" s="42" t="n">
        <v>1991</v>
      </c>
      <c r="AK214" s="42" t="n">
        <v>14</v>
      </c>
      <c r="AL214" s="44" t="n">
        <v>10</v>
      </c>
      <c r="AM214" s="42" t="n">
        <v>1995</v>
      </c>
      <c r="AN214" s="42" t="n">
        <v>1</v>
      </c>
      <c r="AO214" s="44" t="n">
        <v>10.4</v>
      </c>
      <c r="AP214" s="42" t="n">
        <v>1983</v>
      </c>
      <c r="AQ214" s="42" t="n">
        <v>16</v>
      </c>
    </row>
    <row r="215" ht="14.45" customHeight="1">
      <c r="A215" s="42" t="n">
        <v>23085140</v>
      </c>
      <c r="B215" s="42" t="inlineStr">
        <is>
          <t>SAN FRANCISCO [23085140]</t>
        </is>
      </c>
      <c r="C215" s="42" t="n">
        <v>5.963805556</v>
      </c>
      <c r="D215" s="42" t="n">
        <v>-75.10069444</v>
      </c>
      <c r="E215" s="42" t="n">
        <v>1325</v>
      </c>
      <c r="F215" s="42" t="inlineStr">
        <is>
          <t>San Francisco</t>
        </is>
      </c>
      <c r="G215" s="42" t="inlineStr">
        <is>
          <t>Antioquia</t>
        </is>
      </c>
      <c r="H215" s="44" t="n">
        <v>14</v>
      </c>
      <c r="I215" s="42" t="n">
        <v>1995</v>
      </c>
      <c r="J215" s="42" t="n">
        <v>25</v>
      </c>
      <c r="K215" s="44" t="n">
        <v>14.4</v>
      </c>
      <c r="L215" s="42" t="n">
        <v>1986</v>
      </c>
      <c r="M215" s="42" t="n">
        <v>28</v>
      </c>
      <c r="N215" s="44" t="n">
        <v>14</v>
      </c>
      <c r="O215" s="42" t="n">
        <v>2011</v>
      </c>
      <c r="P215" s="42" t="n">
        <v>20</v>
      </c>
      <c r="Q215" s="44" t="n">
        <v>10.2</v>
      </c>
      <c r="R215" s="42" t="n">
        <v>1983</v>
      </c>
      <c r="S215" s="42" t="n">
        <v>28</v>
      </c>
      <c r="T215" s="44" t="n">
        <v>10</v>
      </c>
      <c r="U215" s="42" t="n">
        <v>1983</v>
      </c>
      <c r="V215" s="42" t="n">
        <v>10</v>
      </c>
      <c r="W215" s="44" t="n">
        <v>10</v>
      </c>
      <c r="X215" s="42" t="n">
        <v>1983</v>
      </c>
      <c r="Y215" s="42" t="n">
        <v>16</v>
      </c>
      <c r="Z215" s="44" t="n">
        <v>10</v>
      </c>
      <c r="AA215" s="42" t="n">
        <v>1983</v>
      </c>
      <c r="AB215" s="42" t="n">
        <v>8</v>
      </c>
      <c r="AC215" s="44" t="n">
        <v>10</v>
      </c>
      <c r="AD215" s="42" t="n">
        <v>1983</v>
      </c>
      <c r="AE215" s="42" t="n">
        <v>2</v>
      </c>
      <c r="AF215" s="44" t="n">
        <v>10.6</v>
      </c>
      <c r="AG215" s="42" t="n">
        <v>1983</v>
      </c>
      <c r="AH215" s="42" t="n">
        <v>1</v>
      </c>
      <c r="AI215" s="44" t="n">
        <v>10</v>
      </c>
      <c r="AJ215" s="42" t="n">
        <v>2015</v>
      </c>
      <c r="AK215" s="42" t="n">
        <v>5</v>
      </c>
      <c r="AL215" s="44" t="n">
        <v>13.6</v>
      </c>
      <c r="AM215" s="42" t="n">
        <v>1983</v>
      </c>
      <c r="AN215" s="42" t="n">
        <v>9</v>
      </c>
      <c r="AO215" s="44" t="n">
        <v>14.6</v>
      </c>
      <c r="AP215" s="42" t="n">
        <v>2011</v>
      </c>
      <c r="AQ215" s="42" t="n">
        <v>2</v>
      </c>
    </row>
    <row r="216" ht="14.45" customHeight="1">
      <c r="A216" s="42" t="n">
        <v>26135040</v>
      </c>
      <c r="B216" s="42" t="inlineStr">
        <is>
          <t>AEROPUERTO MATECANA [26135040]</t>
        </is>
      </c>
      <c r="C216" s="42" t="n">
        <v>4.815861111</v>
      </c>
      <c r="D216" s="42" t="n">
        <v>-75.737222222</v>
      </c>
      <c r="E216" s="42" t="n">
        <v>1342</v>
      </c>
      <c r="F216" s="42" t="inlineStr">
        <is>
          <t>Pereira</t>
        </is>
      </c>
      <c r="G216" s="42" t="inlineStr">
        <is>
          <t>Risaralda</t>
        </is>
      </c>
      <c r="H216" s="44" t="n">
        <v>13.8</v>
      </c>
      <c r="I216" s="42" t="n">
        <v>1986</v>
      </c>
      <c r="J216" s="42" t="n">
        <v>28</v>
      </c>
      <c r="K216" s="44" t="n">
        <v>14.4</v>
      </c>
      <c r="L216" s="42" t="n">
        <v>1989</v>
      </c>
      <c r="M216" s="42" t="n">
        <v>24</v>
      </c>
      <c r="N216" s="44" t="n">
        <v>14.2</v>
      </c>
      <c r="O216" s="42" t="n">
        <v>1979</v>
      </c>
      <c r="P216" s="42" t="n">
        <v>12</v>
      </c>
      <c r="Q216" s="44" t="n">
        <v>13</v>
      </c>
      <c r="R216" s="42" t="n">
        <v>1979</v>
      </c>
      <c r="S216" s="42" t="n">
        <v>28</v>
      </c>
      <c r="T216" s="44" t="n">
        <v>14.4</v>
      </c>
      <c r="U216" s="42" t="n">
        <v>1983</v>
      </c>
      <c r="V216" s="42" t="n">
        <v>12</v>
      </c>
      <c r="W216" s="44" t="n">
        <v>13.3</v>
      </c>
      <c r="X216" s="42" t="n">
        <v>1986</v>
      </c>
      <c r="Y216" s="42" t="n">
        <v>3</v>
      </c>
      <c r="Z216" s="44" t="n">
        <v>13.4</v>
      </c>
      <c r="AA216" s="42" t="n">
        <v>1983</v>
      </c>
      <c r="AB216" s="42" t="n">
        <v>9</v>
      </c>
      <c r="AC216" s="44" t="n">
        <v>13.2</v>
      </c>
      <c r="AD216" s="42" t="n">
        <v>1994</v>
      </c>
      <c r="AE216" s="42" t="n">
        <v>24</v>
      </c>
      <c r="AF216" s="44" t="n">
        <v>13.2</v>
      </c>
      <c r="AG216" s="42" t="n">
        <v>1994</v>
      </c>
      <c r="AH216" s="42" t="n">
        <v>19</v>
      </c>
      <c r="AI216" s="44" t="n">
        <v>14</v>
      </c>
      <c r="AJ216" s="42" t="n">
        <v>1979</v>
      </c>
      <c r="AK216" s="42" t="n">
        <v>30</v>
      </c>
      <c r="AL216" s="44" t="n">
        <v>13.4</v>
      </c>
      <c r="AM216" s="42" t="n">
        <v>1985</v>
      </c>
      <c r="AN216" s="42" t="n">
        <v>2</v>
      </c>
      <c r="AO216" s="44" t="n">
        <v>14.4</v>
      </c>
      <c r="AP216" s="42" t="n">
        <v>1990</v>
      </c>
      <c r="AQ216" s="42" t="n">
        <v>9</v>
      </c>
    </row>
    <row r="217" ht="14.45" customHeight="1">
      <c r="A217" s="42" t="n">
        <v>24025050</v>
      </c>
      <c r="B217" s="42" t="inlineStr">
        <is>
          <t>CHARALA [24025050]</t>
        </is>
      </c>
      <c r="C217" s="42" t="n">
        <v>6.274166667</v>
      </c>
      <c r="D217" s="42" t="n">
        <v>-73.15055556</v>
      </c>
      <c r="E217" s="42" t="n">
        <v>1350</v>
      </c>
      <c r="F217" s="42" t="inlineStr">
        <is>
          <t>Charalá</t>
        </is>
      </c>
      <c r="G217" s="42" t="inlineStr">
        <is>
          <t>Santander</t>
        </is>
      </c>
      <c r="H217" s="44" t="n">
        <v>10.2</v>
      </c>
      <c r="I217" s="42" t="n">
        <v>1992</v>
      </c>
      <c r="J217" s="42" t="n">
        <v>19</v>
      </c>
      <c r="K217" s="44" t="n">
        <v>10.6</v>
      </c>
      <c r="L217" s="42" t="n">
        <v>1995</v>
      </c>
      <c r="M217" s="42" t="n">
        <v>12</v>
      </c>
      <c r="N217" s="44" t="n">
        <v>10</v>
      </c>
      <c r="O217" s="42" t="n">
        <v>1988</v>
      </c>
      <c r="P217" s="42" t="n">
        <v>27</v>
      </c>
      <c r="Q217" s="44" t="n">
        <v>10.2</v>
      </c>
      <c r="R217" s="42" t="n">
        <v>1986</v>
      </c>
      <c r="S217" s="42" t="n">
        <v>23</v>
      </c>
      <c r="T217" s="44" t="n">
        <v>10</v>
      </c>
      <c r="U217" s="42" t="n">
        <v>1985</v>
      </c>
      <c r="V217" s="42" t="n">
        <v>16</v>
      </c>
      <c r="W217" s="44" t="n">
        <v>10.4</v>
      </c>
      <c r="X217" s="42" t="n">
        <v>1985</v>
      </c>
      <c r="Y217" s="42" t="n">
        <v>24</v>
      </c>
      <c r="Z217" s="44" t="n">
        <v>10</v>
      </c>
      <c r="AA217" s="42" t="n">
        <v>1983</v>
      </c>
      <c r="AB217" s="42" t="n">
        <v>25</v>
      </c>
      <c r="AC217" s="44" t="n">
        <v>10</v>
      </c>
      <c r="AD217" s="42" t="n">
        <v>1984</v>
      </c>
      <c r="AE217" s="42" t="n">
        <v>20</v>
      </c>
      <c r="AF217" s="44" t="n">
        <v>10</v>
      </c>
      <c r="AG217" s="42" t="n">
        <v>1986</v>
      </c>
      <c r="AH217" s="42" t="n">
        <v>6</v>
      </c>
      <c r="AI217" s="44" t="n">
        <v>10.2</v>
      </c>
      <c r="AJ217" s="42" t="n">
        <v>1984</v>
      </c>
      <c r="AK217" s="42" t="n">
        <v>10</v>
      </c>
      <c r="AL217" s="44" t="n">
        <v>10.4</v>
      </c>
      <c r="AM217" s="42" t="n">
        <v>1983</v>
      </c>
      <c r="AN217" s="42" t="n">
        <v>2</v>
      </c>
      <c r="AO217" s="44" t="n">
        <v>10.4</v>
      </c>
      <c r="AP217" s="42" t="n">
        <v>1985</v>
      </c>
      <c r="AQ217" s="42" t="n">
        <v>19</v>
      </c>
    </row>
    <row r="218" ht="14.45" customHeight="1">
      <c r="A218" s="42" t="n">
        <v>21025030</v>
      </c>
      <c r="B218" s="42" t="inlineStr">
        <is>
          <t>ALTAMIRA EL GRIFO AUT [21025030]</t>
        </is>
      </c>
      <c r="C218" s="42" t="n">
        <v>2.079166667</v>
      </c>
      <c r="D218" s="42" t="n">
        <v>-75.73622222</v>
      </c>
      <c r="E218" s="42" t="n">
        <v>1368</v>
      </c>
      <c r="F218" s="42" t="inlineStr">
        <is>
          <t>Altamira</t>
        </is>
      </c>
      <c r="G218" s="42" t="inlineStr">
        <is>
          <t>Huila</t>
        </is>
      </c>
      <c r="H218" s="44" t="n">
        <v>15</v>
      </c>
      <c r="I218" s="42" t="n">
        <v>2023</v>
      </c>
      <c r="J218" s="42" t="n">
        <v>20</v>
      </c>
      <c r="K218" s="44" t="n">
        <v>15</v>
      </c>
      <c r="L218" s="42" t="n">
        <v>1996</v>
      </c>
      <c r="M218" s="42" t="n">
        <v>3</v>
      </c>
      <c r="N218" s="44" t="n">
        <v>15</v>
      </c>
      <c r="O218" s="42" t="n">
        <v>2008</v>
      </c>
      <c r="P218" s="42" t="n">
        <v>13</v>
      </c>
      <c r="Q218" s="44" t="n">
        <v>13.8</v>
      </c>
      <c r="R218" s="42" t="n">
        <v>2003</v>
      </c>
      <c r="S218" s="42" t="n">
        <v>14</v>
      </c>
      <c r="T218" s="44" t="n">
        <v>14.2</v>
      </c>
      <c r="U218" s="42" t="n">
        <v>2006</v>
      </c>
      <c r="V218" s="42" t="n">
        <v>5</v>
      </c>
      <c r="W218" s="44" t="n">
        <v>13</v>
      </c>
      <c r="X218" s="42" t="n">
        <v>1996</v>
      </c>
      <c r="Y218" s="42" t="n">
        <v>16</v>
      </c>
      <c r="Z218" s="44" t="n">
        <v>12.8</v>
      </c>
      <c r="AA218" s="42" t="n">
        <v>2003</v>
      </c>
      <c r="AB218" s="42" t="n">
        <v>15</v>
      </c>
      <c r="AC218" s="44" t="n">
        <v>13.5</v>
      </c>
      <c r="AD218" s="42" t="n">
        <v>2002</v>
      </c>
      <c r="AE218" s="42" t="n">
        <v>13</v>
      </c>
      <c r="AF218" s="44" t="n">
        <v>14.2</v>
      </c>
      <c r="AG218" s="42" t="n">
        <v>2002</v>
      </c>
      <c r="AH218" s="42" t="n">
        <v>11</v>
      </c>
      <c r="AI218" s="44" t="n">
        <v>15</v>
      </c>
      <c r="AJ218" s="42" t="n">
        <v>2009</v>
      </c>
      <c r="AK218" s="42" t="n">
        <v>14</v>
      </c>
      <c r="AL218" s="44" t="n">
        <v>14.5</v>
      </c>
      <c r="AM218" s="42" t="n">
        <v>2001</v>
      </c>
      <c r="AN218" s="42" t="n">
        <v>4</v>
      </c>
      <c r="AO218" s="44" t="n">
        <v>14.5</v>
      </c>
      <c r="AP218" s="42" t="n">
        <v>2002</v>
      </c>
      <c r="AQ218" s="42" t="n">
        <v>17</v>
      </c>
    </row>
    <row r="219" ht="14.45" customHeight="1">
      <c r="A219" s="42" t="n">
        <v>11115040</v>
      </c>
      <c r="B219" s="42" t="inlineStr">
        <is>
          <t>MUSINGA AUT [11115040]</t>
        </is>
      </c>
      <c r="C219" s="42" t="n">
        <v>6.777972222</v>
      </c>
      <c r="D219" s="42" t="n">
        <v>-76.20333333000001</v>
      </c>
      <c r="E219" s="42" t="n">
        <v>1396</v>
      </c>
      <c r="F219" s="42" t="inlineStr">
        <is>
          <t>Frontino</t>
        </is>
      </c>
      <c r="G219" s="42" t="inlineStr">
        <is>
          <t>Antioquia</t>
        </is>
      </c>
      <c r="H219" s="44" t="n">
        <v>10.4</v>
      </c>
      <c r="I219" s="42" t="n">
        <v>2017</v>
      </c>
      <c r="J219" s="42" t="n">
        <v>22</v>
      </c>
      <c r="K219" s="44" t="n">
        <v>10.6</v>
      </c>
      <c r="L219" s="42" t="n">
        <v>2023</v>
      </c>
      <c r="M219" s="42" t="n">
        <v>7</v>
      </c>
      <c r="N219" s="44" t="n">
        <v>11.4</v>
      </c>
      <c r="O219" s="42" t="n">
        <v>2022</v>
      </c>
      <c r="P219" s="42" t="n">
        <v>13</v>
      </c>
      <c r="Q219" s="44" t="n">
        <v>11</v>
      </c>
      <c r="R219" s="42" t="n">
        <v>2020</v>
      </c>
      <c r="S219" s="42" t="n">
        <v>20</v>
      </c>
      <c r="T219" s="44" t="n">
        <v>12</v>
      </c>
      <c r="U219" s="42" t="n">
        <v>2021</v>
      </c>
      <c r="V219" s="42" t="n">
        <v>7</v>
      </c>
      <c r="W219" s="44" t="n">
        <v>10.6</v>
      </c>
      <c r="X219" s="42" t="n">
        <v>2022</v>
      </c>
      <c r="Y219" s="42" t="n">
        <v>9</v>
      </c>
      <c r="Z219" s="44" t="n">
        <v>11.4</v>
      </c>
      <c r="AA219" s="42" t="n">
        <v>2022</v>
      </c>
      <c r="AB219" s="42" t="n">
        <v>15</v>
      </c>
      <c r="AC219" s="44" t="n">
        <v>11.2</v>
      </c>
      <c r="AD219" s="42" t="n">
        <v>2011</v>
      </c>
      <c r="AE219" s="42" t="n">
        <v>4</v>
      </c>
      <c r="AF219" s="44" t="n">
        <v>11</v>
      </c>
      <c r="AG219" s="42" t="n">
        <v>2021</v>
      </c>
      <c r="AH219" s="42" t="n">
        <v>23</v>
      </c>
      <c r="AI219" s="44" t="n">
        <v>11</v>
      </c>
      <c r="AJ219" s="42" t="n">
        <v>2012</v>
      </c>
      <c r="AK219" s="42" t="n">
        <v>11</v>
      </c>
      <c r="AL219" s="44" t="n">
        <v>11.2</v>
      </c>
      <c r="AM219" s="42" t="n">
        <v>2016</v>
      </c>
      <c r="AN219" s="42" t="n">
        <v>21</v>
      </c>
      <c r="AO219" s="44" t="n">
        <v>11</v>
      </c>
      <c r="AP219" s="42" t="n">
        <v>1994</v>
      </c>
      <c r="AQ219" s="42" t="n">
        <v>31</v>
      </c>
    </row>
    <row r="220" ht="14.45" customHeight="1">
      <c r="A220" s="42" t="n">
        <v>24015250</v>
      </c>
      <c r="B220" s="42" t="inlineStr">
        <is>
          <t>LAJA LA [24015250]</t>
        </is>
      </c>
      <c r="C220" s="42" t="n">
        <v>6.237166667</v>
      </c>
      <c r="D220" s="42" t="n">
        <v>-73.41538889</v>
      </c>
      <c r="E220" s="42" t="n">
        <v>1400</v>
      </c>
      <c r="F220" s="42" t="inlineStr">
        <is>
          <t>Guadalupe</t>
        </is>
      </c>
      <c r="G220" s="42" t="inlineStr">
        <is>
          <t>Santander</t>
        </is>
      </c>
      <c r="H220" s="44" t="n">
        <v>10.8</v>
      </c>
      <c r="I220" s="42" t="n">
        <v>2017</v>
      </c>
      <c r="J220" s="42" t="n">
        <v>23</v>
      </c>
      <c r="K220" s="44" t="n">
        <v>11</v>
      </c>
      <c r="L220" s="42" t="n">
        <v>1989</v>
      </c>
      <c r="M220" s="42" t="n">
        <v>25</v>
      </c>
      <c r="N220" s="44" t="n">
        <v>10.2</v>
      </c>
      <c r="O220" s="42" t="n">
        <v>1990</v>
      </c>
      <c r="P220" s="42" t="n">
        <v>15</v>
      </c>
      <c r="Q220" s="44" t="n">
        <v>11.8</v>
      </c>
      <c r="R220" s="42" t="n">
        <v>1990</v>
      </c>
      <c r="S220" s="42" t="n">
        <v>26</v>
      </c>
      <c r="T220" s="44" t="n">
        <v>11</v>
      </c>
      <c r="U220" s="42" t="n">
        <v>1985</v>
      </c>
      <c r="V220" s="42" t="n">
        <v>1</v>
      </c>
      <c r="W220" s="44" t="n">
        <v>11.4</v>
      </c>
      <c r="X220" s="42" t="n">
        <v>2016</v>
      </c>
      <c r="Y220" s="42" t="n">
        <v>14</v>
      </c>
      <c r="Z220" s="44" t="n">
        <v>11</v>
      </c>
      <c r="AA220" s="42" t="n">
        <v>1982</v>
      </c>
      <c r="AB220" s="42" t="n">
        <v>15</v>
      </c>
      <c r="AC220" s="44" t="n">
        <v>11</v>
      </c>
      <c r="AD220" s="42" t="n">
        <v>1998</v>
      </c>
      <c r="AE220" s="42" t="n">
        <v>6</v>
      </c>
      <c r="AF220" s="44" t="n">
        <v>11</v>
      </c>
      <c r="AG220" s="42" t="n">
        <v>2001</v>
      </c>
      <c r="AH220" s="42" t="n">
        <v>26</v>
      </c>
      <c r="AI220" s="44" t="n">
        <v>11.2</v>
      </c>
      <c r="AJ220" s="42" t="n">
        <v>1989</v>
      </c>
      <c r="AK220" s="42" t="n">
        <v>2</v>
      </c>
      <c r="AL220" s="44" t="n">
        <v>11</v>
      </c>
      <c r="AM220" s="42" t="n">
        <v>1982</v>
      </c>
      <c r="AN220" s="42" t="n">
        <v>12</v>
      </c>
      <c r="AO220" s="44" t="n">
        <v>11</v>
      </c>
      <c r="AP220" s="42" t="n">
        <v>1997</v>
      </c>
      <c r="AQ220" s="42" t="n">
        <v>5</v>
      </c>
    </row>
    <row r="221" ht="14.45" customHeight="1">
      <c r="A221" s="42" t="n">
        <v>21195120</v>
      </c>
      <c r="B221" s="42" t="inlineStr">
        <is>
          <t>ITA VALSALICE [21195120]</t>
        </is>
      </c>
      <c r="C221" s="42" t="n">
        <v>4.39292</v>
      </c>
      <c r="D221" s="42" t="n">
        <v>-74.39272</v>
      </c>
      <c r="E221" s="42" t="n">
        <v>1421</v>
      </c>
      <c r="F221" s="42" t="inlineStr">
        <is>
          <t>Silvania</t>
        </is>
      </c>
      <c r="G221" s="42" t="inlineStr">
        <is>
          <t>Cundinamarca</t>
        </is>
      </c>
      <c r="H221" s="44" t="n">
        <v>12</v>
      </c>
      <c r="I221" s="42" t="n">
        <v>2000</v>
      </c>
      <c r="J221" s="42" t="n">
        <v>9</v>
      </c>
      <c r="K221" s="44" t="n">
        <v>11.4</v>
      </c>
      <c r="L221" s="42" t="n">
        <v>2008</v>
      </c>
      <c r="M221" s="42" t="n">
        <v>7</v>
      </c>
      <c r="N221" s="44" t="n">
        <v>11.4</v>
      </c>
      <c r="O221" s="42" t="n">
        <v>2008</v>
      </c>
      <c r="P221" s="42" t="n">
        <v>15</v>
      </c>
      <c r="Q221" s="44" t="n">
        <v>12</v>
      </c>
      <c r="R221" s="42" t="n">
        <v>2007</v>
      </c>
      <c r="S221" s="42" t="n">
        <v>13</v>
      </c>
      <c r="T221" s="44" t="n">
        <v>11.2</v>
      </c>
      <c r="U221" s="42" t="n">
        <v>2008</v>
      </c>
      <c r="V221" s="42" t="n">
        <v>9</v>
      </c>
      <c r="W221" s="44" t="n">
        <v>11.2</v>
      </c>
      <c r="X221" s="42" t="n">
        <v>2018</v>
      </c>
      <c r="Y221" s="42" t="n">
        <v>2</v>
      </c>
      <c r="Z221" s="44" t="n">
        <v>11.2</v>
      </c>
      <c r="AA221" s="42" t="n">
        <v>2008</v>
      </c>
      <c r="AB221" s="42" t="n">
        <v>12</v>
      </c>
      <c r="AC221" s="44" t="n">
        <v>12</v>
      </c>
      <c r="AD221" s="42" t="n">
        <v>2004</v>
      </c>
      <c r="AE221" s="42" t="n">
        <v>1</v>
      </c>
      <c r="AF221" s="44" t="n">
        <v>11.2</v>
      </c>
      <c r="AG221" s="42" t="n">
        <v>2007</v>
      </c>
      <c r="AH221" s="42" t="n">
        <v>1</v>
      </c>
      <c r="AI221" s="44" t="n">
        <v>11.2</v>
      </c>
      <c r="AJ221" s="42" t="n">
        <v>2006</v>
      </c>
      <c r="AK221" s="42" t="n">
        <v>24</v>
      </c>
      <c r="AL221" s="44" t="n">
        <v>11.2</v>
      </c>
      <c r="AM221" s="42" t="n">
        <v>2008</v>
      </c>
      <c r="AN221" s="42" t="n">
        <v>23</v>
      </c>
      <c r="AO221" s="44" t="n">
        <v>11.2</v>
      </c>
      <c r="AP221" s="42" t="n">
        <v>2008</v>
      </c>
      <c r="AQ221" s="42" t="n">
        <v>23</v>
      </c>
    </row>
    <row r="222" ht="14.45" customHeight="1">
      <c r="A222" s="42" t="n">
        <v>16055040</v>
      </c>
      <c r="B222" s="42" t="inlineStr">
        <is>
          <t>ABREGO CENTRO ADMO [16055040]</t>
        </is>
      </c>
      <c r="C222" s="42" t="n">
        <v>8.087222221999999</v>
      </c>
      <c r="D222" s="42" t="n">
        <v>-73.22305556000001</v>
      </c>
      <c r="E222" s="42" t="n">
        <v>1430</v>
      </c>
      <c r="F222" s="42" t="inlineStr">
        <is>
          <t>Ábrego</t>
        </is>
      </c>
      <c r="G222" s="42" t="inlineStr">
        <is>
          <t>Norte De Santander</t>
        </is>
      </c>
      <c r="H222" s="44" t="n">
        <v>6</v>
      </c>
      <c r="I222" s="42" t="n">
        <v>2023</v>
      </c>
      <c r="J222" s="42" t="n">
        <v>27</v>
      </c>
      <c r="K222" s="44" t="n">
        <v>4.4</v>
      </c>
      <c r="L222" s="42" t="n">
        <v>2004</v>
      </c>
      <c r="M222" s="42" t="n">
        <v>5</v>
      </c>
      <c r="N222" s="44" t="n">
        <v>7.4</v>
      </c>
      <c r="O222" s="42" t="n">
        <v>1999</v>
      </c>
      <c r="P222" s="42" t="n">
        <v>8</v>
      </c>
      <c r="Q222" s="44" t="n">
        <v>9.199999999999999</v>
      </c>
      <c r="R222" s="42" t="n">
        <v>1999</v>
      </c>
      <c r="S222" s="42" t="n">
        <v>19</v>
      </c>
      <c r="T222" s="44" t="n">
        <v>9.4</v>
      </c>
      <c r="U222" s="42" t="n">
        <v>2023</v>
      </c>
      <c r="V222" s="42" t="n">
        <v>3</v>
      </c>
      <c r="W222" s="44" t="n">
        <v>9.199999999999999</v>
      </c>
      <c r="X222" s="42" t="n">
        <v>2005</v>
      </c>
      <c r="Y222" s="42" t="n">
        <v>27</v>
      </c>
      <c r="Z222" s="44" t="n">
        <v>8.199999999999999</v>
      </c>
      <c r="AA222" s="42" t="n">
        <v>1986</v>
      </c>
      <c r="AB222" s="42" t="n">
        <v>13</v>
      </c>
      <c r="AC222" s="44" t="n">
        <v>8.4</v>
      </c>
      <c r="AD222" s="42" t="n">
        <v>2001</v>
      </c>
      <c r="AE222" s="42" t="n">
        <v>31</v>
      </c>
      <c r="AF222" s="44" t="n">
        <v>8.6</v>
      </c>
      <c r="AG222" s="42" t="n">
        <v>2001</v>
      </c>
      <c r="AH222" s="42" t="n">
        <v>1</v>
      </c>
      <c r="AI222" s="44" t="n">
        <v>9</v>
      </c>
      <c r="AJ222" s="42" t="n">
        <v>1993</v>
      </c>
      <c r="AK222" s="42" t="n">
        <v>3</v>
      </c>
      <c r="AL222" s="44" t="n">
        <v>9.800000000000001</v>
      </c>
      <c r="AM222" s="42" t="n">
        <v>1998</v>
      </c>
      <c r="AN222" s="42" t="n">
        <v>24</v>
      </c>
      <c r="AO222" s="44" t="n">
        <v>6.4</v>
      </c>
      <c r="AP222" s="42" t="n">
        <v>2000</v>
      </c>
      <c r="AQ222" s="42" t="n">
        <v>14</v>
      </c>
    </row>
    <row r="223" ht="14.45" customHeight="1">
      <c r="A223" s="42" t="n">
        <v>16055010</v>
      </c>
      <c r="B223" s="42" t="inlineStr">
        <is>
          <t>AEROPUERTO AGUAS CLARAS [16055010]</t>
        </is>
      </c>
      <c r="C223" s="42" t="n">
        <v>8.315277778</v>
      </c>
      <c r="D223" s="42" t="n">
        <v>-73.3575</v>
      </c>
      <c r="E223" s="42" t="n">
        <v>1435</v>
      </c>
      <c r="F223" s="42" t="inlineStr">
        <is>
          <t>Ocaña</t>
        </is>
      </c>
      <c r="G223" s="42" t="inlineStr">
        <is>
          <t>Norte De Santander</t>
        </is>
      </c>
      <c r="H223" s="44" t="n">
        <v>10</v>
      </c>
      <c r="I223" s="42" t="n">
        <v>1996</v>
      </c>
      <c r="J223" s="42" t="n">
        <v>28</v>
      </c>
      <c r="K223" s="44" t="n">
        <v>10.2</v>
      </c>
      <c r="L223" s="42" t="n">
        <v>2022</v>
      </c>
      <c r="M223" s="42" t="n">
        <v>21</v>
      </c>
      <c r="N223" s="44" t="n">
        <v>10</v>
      </c>
      <c r="O223" s="42" t="n">
        <v>2003</v>
      </c>
      <c r="P223" s="42" t="n">
        <v>22</v>
      </c>
      <c r="Q223" s="44" t="n">
        <v>10</v>
      </c>
      <c r="R223" s="42" t="n">
        <v>1986</v>
      </c>
      <c r="S223" s="42" t="n">
        <v>9</v>
      </c>
      <c r="T223" s="44" t="n">
        <v>12</v>
      </c>
      <c r="U223" s="42" t="n">
        <v>1986</v>
      </c>
      <c r="V223" s="42" t="n">
        <v>4</v>
      </c>
      <c r="W223" s="44" t="n">
        <v>10</v>
      </c>
      <c r="X223" s="42" t="n">
        <v>1986</v>
      </c>
      <c r="Y223" s="42" t="n">
        <v>23</v>
      </c>
      <c r="Z223" s="44" t="n">
        <v>10</v>
      </c>
      <c r="AA223" s="42" t="n">
        <v>2004</v>
      </c>
      <c r="AB223" s="42" t="n">
        <v>1</v>
      </c>
      <c r="AC223" s="44" t="n">
        <v>11.2</v>
      </c>
      <c r="AD223" s="42" t="n">
        <v>1997</v>
      </c>
      <c r="AE223" s="42" t="n">
        <v>18</v>
      </c>
      <c r="AF223" s="44" t="n">
        <v>11.4</v>
      </c>
      <c r="AG223" s="42" t="n">
        <v>1986</v>
      </c>
      <c r="AH223" s="42" t="n">
        <v>15</v>
      </c>
      <c r="AI223" s="44" t="n">
        <v>10.7</v>
      </c>
      <c r="AJ223" s="42" t="n">
        <v>1997</v>
      </c>
      <c r="AK223" s="42" t="n">
        <v>17</v>
      </c>
      <c r="AL223" s="44" t="n">
        <v>10.4</v>
      </c>
      <c r="AM223" s="42" t="n">
        <v>1999</v>
      </c>
      <c r="AN223" s="42" t="n">
        <v>22</v>
      </c>
      <c r="AO223" s="44" t="n">
        <v>10</v>
      </c>
      <c r="AP223" s="42" t="n">
        <v>1988</v>
      </c>
      <c r="AQ223" s="42" t="n">
        <v>16</v>
      </c>
    </row>
    <row r="224" ht="14.45" customHeight="1">
      <c r="A224" s="42" t="n">
        <v>27015190</v>
      </c>
      <c r="B224" s="42" t="inlineStr">
        <is>
          <t>GUAYABITO [27015190]</t>
        </is>
      </c>
      <c r="C224" s="42" t="n">
        <v>6.540388889</v>
      </c>
      <c r="D224" s="42" t="n">
        <v>-75.14675</v>
      </c>
      <c r="E224" s="42" t="n">
        <v>1440</v>
      </c>
      <c r="F224" s="42" t="inlineStr">
        <is>
          <t>Santo Domingo</t>
        </is>
      </c>
      <c r="G224" s="42" t="inlineStr">
        <is>
          <t>Antioquia</t>
        </is>
      </c>
      <c r="H224" s="44" t="n">
        <v>11.4</v>
      </c>
      <c r="I224" s="42" t="n">
        <v>2006</v>
      </c>
      <c r="J224" s="42" t="n">
        <v>30</v>
      </c>
      <c r="K224" s="44" t="n">
        <v>11.2</v>
      </c>
      <c r="L224" s="42" t="n">
        <v>2006</v>
      </c>
      <c r="M224" s="42" t="n">
        <v>15</v>
      </c>
      <c r="N224" s="44" t="n">
        <v>11</v>
      </c>
      <c r="O224" s="42" t="n">
        <v>2019</v>
      </c>
      <c r="P224" s="42" t="n">
        <v>6</v>
      </c>
      <c r="Q224" s="44" t="n">
        <v>11.2</v>
      </c>
      <c r="R224" s="42" t="n">
        <v>2006</v>
      </c>
      <c r="S224" s="42" t="n">
        <v>9</v>
      </c>
      <c r="T224" s="44" t="n">
        <v>11.4</v>
      </c>
      <c r="U224" s="42" t="n">
        <v>2006</v>
      </c>
      <c r="V224" s="42" t="n">
        <v>5</v>
      </c>
      <c r="W224" s="44" t="n">
        <v>11.2</v>
      </c>
      <c r="X224" s="42" t="n">
        <v>2005</v>
      </c>
      <c r="Y224" s="42" t="n">
        <v>2</v>
      </c>
      <c r="Z224" s="44" t="n">
        <v>11.2</v>
      </c>
      <c r="AA224" s="42" t="n">
        <v>2005</v>
      </c>
      <c r="AB224" s="42" t="n">
        <v>16</v>
      </c>
      <c r="AC224" s="44" t="n">
        <v>12</v>
      </c>
      <c r="AD224" s="42" t="n">
        <v>2002</v>
      </c>
      <c r="AE224" s="42" t="n">
        <v>31</v>
      </c>
      <c r="AF224" s="44" t="n">
        <v>11.2</v>
      </c>
      <c r="AG224" s="42" t="n">
        <v>2016</v>
      </c>
      <c r="AH224" s="42" t="n">
        <v>25</v>
      </c>
      <c r="AI224" s="44" t="n">
        <v>11.2</v>
      </c>
      <c r="AJ224" s="42" t="n">
        <v>2016</v>
      </c>
      <c r="AK224" s="42" t="n">
        <v>27</v>
      </c>
      <c r="AL224" s="44" t="n">
        <v>12.2</v>
      </c>
      <c r="AM224" s="42" t="n">
        <v>1985</v>
      </c>
      <c r="AN224" s="42" t="n">
        <v>3</v>
      </c>
      <c r="AO224" s="44" t="n">
        <v>12</v>
      </c>
      <c r="AP224" s="42" t="n">
        <v>1982</v>
      </c>
      <c r="AQ224" s="42" t="n">
        <v>28</v>
      </c>
    </row>
    <row r="225" ht="14.45" customHeight="1">
      <c r="A225" s="42" t="n">
        <v>27015090</v>
      </c>
      <c r="B225" s="42" t="inlineStr">
        <is>
          <t>TULIO OSPINA [27015090]</t>
        </is>
      </c>
      <c r="C225" s="42" t="n">
        <v>6.319694444</v>
      </c>
      <c r="D225" s="42" t="n">
        <v>-75.55325000000001</v>
      </c>
      <c r="E225" s="42" t="n">
        <v>1453</v>
      </c>
      <c r="F225" s="42" t="inlineStr">
        <is>
          <t>Bello</t>
        </is>
      </c>
      <c r="G225" s="42" t="inlineStr">
        <is>
          <t>Antioquia</t>
        </is>
      </c>
      <c r="H225" s="44" t="n">
        <v>10</v>
      </c>
      <c r="I225" s="42" t="n">
        <v>1979</v>
      </c>
      <c r="J225" s="42" t="n">
        <v>16</v>
      </c>
      <c r="K225" s="44" t="n">
        <v>10</v>
      </c>
      <c r="L225" s="42" t="n">
        <v>1979</v>
      </c>
      <c r="M225" s="42" t="n">
        <v>3</v>
      </c>
      <c r="N225" s="44" t="n">
        <v>11.6</v>
      </c>
      <c r="O225" s="42" t="n">
        <v>1986</v>
      </c>
      <c r="P225" s="42" t="n">
        <v>9</v>
      </c>
      <c r="Q225" s="44" t="n">
        <v>13.6</v>
      </c>
      <c r="R225" s="42" t="n">
        <v>1984</v>
      </c>
      <c r="S225" s="42" t="n">
        <v>7</v>
      </c>
      <c r="T225" s="44" t="n">
        <v>12.8</v>
      </c>
      <c r="U225" s="42" t="n">
        <v>1986</v>
      </c>
      <c r="V225" s="42" t="n">
        <v>30</v>
      </c>
      <c r="W225" s="44" t="n">
        <v>10.2</v>
      </c>
      <c r="X225" s="42" t="n">
        <v>2004</v>
      </c>
      <c r="Y225" s="42" t="n">
        <v>30</v>
      </c>
      <c r="Z225" s="44" t="n">
        <v>11.2</v>
      </c>
      <c r="AA225" s="42" t="n">
        <v>1979</v>
      </c>
      <c r="AB225" s="42" t="n">
        <v>8</v>
      </c>
      <c r="AC225" s="44" t="n">
        <v>12.2</v>
      </c>
      <c r="AD225" s="42" t="n">
        <v>1980</v>
      </c>
      <c r="AE225" s="42" t="n">
        <v>24</v>
      </c>
      <c r="AF225" s="44" t="n">
        <v>13</v>
      </c>
      <c r="AG225" s="42" t="n">
        <v>1991</v>
      </c>
      <c r="AH225" s="42" t="n">
        <v>13</v>
      </c>
      <c r="AI225" s="44" t="n">
        <v>12.2</v>
      </c>
      <c r="AJ225" s="42" t="n">
        <v>1993</v>
      </c>
      <c r="AK225" s="42" t="n">
        <v>9</v>
      </c>
      <c r="AL225" s="44" t="n">
        <v>11.8</v>
      </c>
      <c r="AM225" s="42" t="n">
        <v>2016</v>
      </c>
      <c r="AN225" s="42" t="n">
        <v>22</v>
      </c>
      <c r="AO225" s="44" t="n">
        <v>10.8</v>
      </c>
      <c r="AP225" s="42" t="n">
        <v>1985</v>
      </c>
      <c r="AQ225" s="42" t="n">
        <v>26</v>
      </c>
    </row>
    <row r="226" ht="14.45" customHeight="1">
      <c r="A226" s="42" t="n">
        <v>21145070</v>
      </c>
      <c r="B226" s="42" t="inlineStr">
        <is>
          <t>LEGIOSA LA [21145070]</t>
        </is>
      </c>
      <c r="C226" s="42" t="n">
        <v>3.311027778</v>
      </c>
      <c r="D226" s="42" t="n">
        <v>-74.70288889</v>
      </c>
      <c r="E226" s="42" t="n">
        <v>1476</v>
      </c>
      <c r="F226" s="42" t="inlineStr">
        <is>
          <t>Colombia</t>
        </is>
      </c>
      <c r="G226" s="42" t="inlineStr">
        <is>
          <t>Huila</t>
        </is>
      </c>
      <c r="H226" s="44" t="n">
        <v>13</v>
      </c>
      <c r="I226" s="42" t="n">
        <v>1979</v>
      </c>
      <c r="J226" s="42" t="n">
        <v>21</v>
      </c>
      <c r="K226" s="44" t="n">
        <v>13.2</v>
      </c>
      <c r="L226" s="42" t="n">
        <v>1986</v>
      </c>
      <c r="M226" s="42" t="n">
        <v>28</v>
      </c>
      <c r="N226" s="44" t="n">
        <v>13.4</v>
      </c>
      <c r="O226" s="42" t="n">
        <v>1979</v>
      </c>
      <c r="P226" s="42" t="n">
        <v>8</v>
      </c>
      <c r="Q226" s="44" t="n">
        <v>13.8</v>
      </c>
      <c r="R226" s="42" t="n">
        <v>1988</v>
      </c>
      <c r="S226" s="42" t="n">
        <v>14</v>
      </c>
      <c r="T226" s="44" t="n">
        <v>14</v>
      </c>
      <c r="U226" s="42" t="n">
        <v>1989</v>
      </c>
      <c r="V226" s="42" t="n">
        <v>20</v>
      </c>
      <c r="W226" s="44" t="n">
        <v>13</v>
      </c>
      <c r="X226" s="42" t="n">
        <v>1985</v>
      </c>
      <c r="Y226" s="42" t="n">
        <v>10</v>
      </c>
      <c r="Z226" s="44" t="n">
        <v>12.6</v>
      </c>
      <c r="AA226" s="42" t="n">
        <v>1988</v>
      </c>
      <c r="AB226" s="42" t="n">
        <v>13</v>
      </c>
      <c r="AC226" s="44" t="n">
        <v>11.6</v>
      </c>
      <c r="AD226" s="42" t="n">
        <v>1994</v>
      </c>
      <c r="AE226" s="42" t="n">
        <v>29</v>
      </c>
      <c r="AF226" s="44" t="n">
        <v>12.4</v>
      </c>
      <c r="AG226" s="42" t="n">
        <v>1989</v>
      </c>
      <c r="AH226" s="42" t="n">
        <v>26</v>
      </c>
      <c r="AI226" s="44" t="n">
        <v>12.8</v>
      </c>
      <c r="AJ226" s="42" t="n">
        <v>2017</v>
      </c>
      <c r="AK226" s="42" t="n">
        <v>17</v>
      </c>
      <c r="AL226" s="44" t="n">
        <v>13.2</v>
      </c>
      <c r="AM226" s="42" t="n">
        <v>1996</v>
      </c>
      <c r="AN226" s="42" t="n">
        <v>3</v>
      </c>
      <c r="AO226" s="44" t="n">
        <v>12</v>
      </c>
      <c r="AP226" s="42" t="n">
        <v>1991</v>
      </c>
      <c r="AQ226" s="42" t="n">
        <v>27</v>
      </c>
    </row>
    <row r="227" ht="14.45" customHeight="1">
      <c r="A227" s="42" t="n">
        <v>27015070</v>
      </c>
      <c r="B227" s="42" t="inlineStr">
        <is>
          <t>AEROPUERTO OLAYA HERRERA [27015070]</t>
        </is>
      </c>
      <c r="C227" s="42" t="n">
        <v>6.2246389</v>
      </c>
      <c r="D227" s="42" t="n">
        <v>-75.5882</v>
      </c>
      <c r="E227" s="42" t="n">
        <v>1492</v>
      </c>
      <c r="F227" s="42" t="inlineStr">
        <is>
          <t>Medellín</t>
        </is>
      </c>
      <c r="G227" s="42" t="inlineStr">
        <is>
          <t>Antioquia</t>
        </is>
      </c>
      <c r="H227" s="44" t="n">
        <v>11.4</v>
      </c>
      <c r="I227" s="42" t="n">
        <v>1968</v>
      </c>
      <c r="J227" s="42" t="n">
        <v>4</v>
      </c>
      <c r="K227" s="44" t="n">
        <v>12.4</v>
      </c>
      <c r="L227" s="42" t="n">
        <v>1972</v>
      </c>
      <c r="M227" s="42" t="n">
        <v>19</v>
      </c>
      <c r="N227" s="44" t="n">
        <v>12.7</v>
      </c>
      <c r="O227" s="42" t="n">
        <v>1969</v>
      </c>
      <c r="P227" s="42" t="n">
        <v>12</v>
      </c>
      <c r="Q227" s="44" t="n">
        <v>13.9</v>
      </c>
      <c r="R227" s="42" t="n">
        <v>1974</v>
      </c>
      <c r="S227" s="42" t="n">
        <v>1</v>
      </c>
      <c r="T227" s="44" t="n">
        <v>12.8</v>
      </c>
      <c r="U227" s="42" t="n">
        <v>1986</v>
      </c>
      <c r="V227" s="42" t="n">
        <v>30</v>
      </c>
      <c r="W227" s="44" t="n">
        <v>12.4</v>
      </c>
      <c r="X227" s="42" t="n">
        <v>2006</v>
      </c>
      <c r="Y227" s="42" t="n">
        <v>1</v>
      </c>
      <c r="Z227" s="44" t="n">
        <v>11.2</v>
      </c>
      <c r="AA227" s="42" t="n">
        <v>1986</v>
      </c>
      <c r="AB227" s="42" t="n">
        <v>20</v>
      </c>
      <c r="AC227" s="44" t="n">
        <v>11.4</v>
      </c>
      <c r="AD227" s="42" t="n">
        <v>1986</v>
      </c>
      <c r="AE227" s="42" t="n">
        <v>25</v>
      </c>
      <c r="AF227" s="44" t="n">
        <v>12</v>
      </c>
      <c r="AG227" s="42" t="n">
        <v>1986</v>
      </c>
      <c r="AH227" s="42" t="n">
        <v>16</v>
      </c>
      <c r="AI227" s="44" t="n">
        <v>11.2</v>
      </c>
      <c r="AJ227" s="42" t="n">
        <v>1986</v>
      </c>
      <c r="AK227" s="42" t="n">
        <v>2</v>
      </c>
      <c r="AL227" s="44" t="n">
        <v>11.1</v>
      </c>
      <c r="AM227" s="42" t="n">
        <v>2016</v>
      </c>
      <c r="AN227" s="42" t="n">
        <v>22</v>
      </c>
      <c r="AO227" s="44" t="n">
        <v>11.6</v>
      </c>
      <c r="AP227" s="42" t="n">
        <v>1986</v>
      </c>
      <c r="AQ227" s="42" t="n">
        <v>26</v>
      </c>
    </row>
    <row r="228" ht="14.45" customHeight="1">
      <c r="A228" s="42" t="n">
        <v>27015330</v>
      </c>
      <c r="B228" s="42" t="inlineStr">
        <is>
          <t>AEROPUERTO OLAYA HERRERA [27015330]</t>
        </is>
      </c>
      <c r="C228" s="42" t="n">
        <v>6.2246389</v>
      </c>
      <c r="D228" s="42" t="n">
        <v>-75.5882</v>
      </c>
      <c r="E228" s="42" t="n">
        <v>1492</v>
      </c>
      <c r="F228" s="42" t="inlineStr">
        <is>
          <t>Medellín</t>
        </is>
      </c>
      <c r="G228" s="42" t="inlineStr">
        <is>
          <t>Antioquia</t>
        </is>
      </c>
      <c r="H228" s="44" t="n">
        <v>11.4</v>
      </c>
      <c r="I228" s="42" t="n">
        <v>1968</v>
      </c>
      <c r="J228" s="42" t="n">
        <v>4</v>
      </c>
      <c r="K228" s="44" t="n">
        <v>12.4</v>
      </c>
      <c r="L228" s="42" t="n">
        <v>1972</v>
      </c>
      <c r="M228" s="42" t="n">
        <v>19</v>
      </c>
      <c r="N228" s="44" t="n">
        <v>12.7</v>
      </c>
      <c r="O228" s="42" t="n">
        <v>1969</v>
      </c>
      <c r="P228" s="42" t="n">
        <v>12</v>
      </c>
      <c r="Q228" s="44" t="n">
        <v>13.9</v>
      </c>
      <c r="R228" s="42" t="n">
        <v>1974</v>
      </c>
      <c r="S228" s="42" t="n">
        <v>1</v>
      </c>
      <c r="T228" s="44" t="n">
        <v>12.8</v>
      </c>
      <c r="U228" s="42" t="n">
        <v>1986</v>
      </c>
      <c r="V228" s="42" t="n">
        <v>30</v>
      </c>
      <c r="W228" s="44" t="n">
        <v>12.4</v>
      </c>
      <c r="X228" s="42" t="n">
        <v>2006</v>
      </c>
      <c r="Y228" s="42" t="n">
        <v>1</v>
      </c>
      <c r="Z228" s="44" t="n">
        <v>11.2</v>
      </c>
      <c r="AA228" s="42" t="n">
        <v>1986</v>
      </c>
      <c r="AB228" s="42" t="n">
        <v>20</v>
      </c>
      <c r="AC228" s="44" t="n">
        <v>11.4</v>
      </c>
      <c r="AD228" s="42" t="n">
        <v>1986</v>
      </c>
      <c r="AE228" s="42" t="n">
        <v>25</v>
      </c>
      <c r="AF228" s="44" t="n">
        <v>12</v>
      </c>
      <c r="AG228" s="42" t="n">
        <v>1986</v>
      </c>
      <c r="AH228" s="42" t="n">
        <v>16</v>
      </c>
      <c r="AI228" s="44" t="n">
        <v>11.2</v>
      </c>
      <c r="AJ228" s="42" t="n">
        <v>1986</v>
      </c>
      <c r="AK228" s="42" t="n">
        <v>2</v>
      </c>
      <c r="AL228" s="44" t="n">
        <v>11.1</v>
      </c>
      <c r="AM228" s="42" t="n">
        <v>2016</v>
      </c>
      <c r="AN228" s="42" t="n">
        <v>22</v>
      </c>
      <c r="AO228" s="44" t="n">
        <v>11.6</v>
      </c>
      <c r="AP228" s="42" t="n">
        <v>1986</v>
      </c>
      <c r="AQ228" s="42" t="n">
        <v>26</v>
      </c>
    </row>
    <row r="229" ht="14.45" customHeight="1">
      <c r="A229" s="42" t="n">
        <v>52055030</v>
      </c>
      <c r="B229" s="42" t="inlineStr">
        <is>
          <t>BOMBONA [52055030]</t>
        </is>
      </c>
      <c r="C229" s="42" t="n">
        <v>1.184361111</v>
      </c>
      <c r="D229" s="42" t="n">
        <v>-77.46511111</v>
      </c>
      <c r="E229" s="42" t="n">
        <v>1493</v>
      </c>
      <c r="F229" s="42" t="inlineStr">
        <is>
          <t>Consacá</t>
        </is>
      </c>
      <c r="G229" s="42" t="inlineStr">
        <is>
          <t>Nariño</t>
        </is>
      </c>
      <c r="H229" s="44" t="n">
        <v>9</v>
      </c>
      <c r="I229" s="42" t="n">
        <v>1978</v>
      </c>
      <c r="J229" s="42" t="n">
        <v>4</v>
      </c>
      <c r="K229" s="44" t="n">
        <v>9.199999999999999</v>
      </c>
      <c r="L229" s="42" t="n">
        <v>1979</v>
      </c>
      <c r="M229" s="42" t="n">
        <v>5</v>
      </c>
      <c r="N229" s="44" t="n">
        <v>10</v>
      </c>
      <c r="O229" s="42" t="n">
        <v>1985</v>
      </c>
      <c r="P229" s="42" t="n">
        <v>22</v>
      </c>
      <c r="Q229" s="44" t="n">
        <v>10.6</v>
      </c>
      <c r="R229" s="42" t="n">
        <v>1985</v>
      </c>
      <c r="S229" s="42" t="n">
        <v>15</v>
      </c>
      <c r="T229" s="44" t="n">
        <v>7.6</v>
      </c>
      <c r="U229" s="42" t="n">
        <v>1998</v>
      </c>
      <c r="V229" s="42" t="n">
        <v>6</v>
      </c>
      <c r="W229" s="44" t="n">
        <v>10.4</v>
      </c>
      <c r="X229" s="42" t="n">
        <v>1981</v>
      </c>
      <c r="Y229" s="42" t="n">
        <v>16</v>
      </c>
      <c r="Z229" s="44" t="n">
        <v>8.6</v>
      </c>
      <c r="AA229" s="42" t="n">
        <v>1978</v>
      </c>
      <c r="AB229" s="42" t="n">
        <v>24</v>
      </c>
      <c r="AC229" s="44" t="n">
        <v>9</v>
      </c>
      <c r="AD229" s="42" t="n">
        <v>1998</v>
      </c>
      <c r="AE229" s="42" t="n">
        <v>14</v>
      </c>
      <c r="AF229" s="44" t="n">
        <v>8.6</v>
      </c>
      <c r="AG229" s="42" t="n">
        <v>1978</v>
      </c>
      <c r="AH229" s="42" t="n">
        <v>7</v>
      </c>
      <c r="AI229" s="44" t="n">
        <v>10</v>
      </c>
      <c r="AJ229" s="42" t="n">
        <v>1978</v>
      </c>
      <c r="AK229" s="42" t="n">
        <v>16</v>
      </c>
      <c r="AL229" s="44" t="n">
        <v>8.1</v>
      </c>
      <c r="AM229" s="42" t="n">
        <v>1985</v>
      </c>
      <c r="AN229" s="42" t="n">
        <v>3</v>
      </c>
      <c r="AO229" s="44" t="n">
        <v>10.4</v>
      </c>
      <c r="AP229" s="42" t="n">
        <v>1984</v>
      </c>
      <c r="AQ229" s="42" t="n">
        <v>7</v>
      </c>
    </row>
    <row r="230" ht="14.45" customHeight="1">
      <c r="A230" s="42" t="n">
        <v>16055060</v>
      </c>
      <c r="B230" s="42" t="inlineStr">
        <is>
          <t>PLAYA LA [16055060]</t>
        </is>
      </c>
      <c r="C230" s="42" t="n">
        <v>8.217499999999999</v>
      </c>
      <c r="D230" s="42" t="n">
        <v>-73.235</v>
      </c>
      <c r="E230" s="42" t="n">
        <v>1500</v>
      </c>
      <c r="F230" s="42" t="inlineStr">
        <is>
          <t>La Playa</t>
        </is>
      </c>
      <c r="G230" s="42" t="inlineStr">
        <is>
          <t>Norte De Santander</t>
        </is>
      </c>
      <c r="H230" s="44" t="n">
        <v>8.800000000000001</v>
      </c>
      <c r="I230" s="42" t="n">
        <v>2023</v>
      </c>
      <c r="J230" s="42" t="n">
        <v>26</v>
      </c>
      <c r="K230" s="44" t="n">
        <v>8.4</v>
      </c>
      <c r="L230" s="42" t="n">
        <v>2022</v>
      </c>
      <c r="M230" s="42" t="n">
        <v>22</v>
      </c>
      <c r="N230" s="44" t="n">
        <v>9.199999999999999</v>
      </c>
      <c r="O230" s="42" t="n">
        <v>1997</v>
      </c>
      <c r="P230" s="42" t="n">
        <v>6</v>
      </c>
      <c r="Q230" s="44" t="n">
        <v>10.2</v>
      </c>
      <c r="R230" s="42" t="n">
        <v>2002</v>
      </c>
      <c r="S230" s="42" t="n">
        <v>1</v>
      </c>
      <c r="T230" s="44" t="n">
        <v>10.2</v>
      </c>
      <c r="U230" s="42" t="n">
        <v>1986</v>
      </c>
      <c r="V230" s="42" t="n">
        <v>11</v>
      </c>
      <c r="W230" s="44" t="n">
        <v>10.2</v>
      </c>
      <c r="X230" s="42" t="n">
        <v>1986</v>
      </c>
      <c r="Y230" s="42" t="n">
        <v>13</v>
      </c>
      <c r="Z230" s="44" t="n">
        <v>10</v>
      </c>
      <c r="AA230" s="42" t="n">
        <v>2003</v>
      </c>
      <c r="AB230" s="42" t="n">
        <v>3</v>
      </c>
      <c r="AC230" s="44" t="n">
        <v>10</v>
      </c>
      <c r="AD230" s="42" t="n">
        <v>2002</v>
      </c>
      <c r="AE230" s="42" t="n">
        <v>17</v>
      </c>
      <c r="AF230" s="44" t="n">
        <v>10.4</v>
      </c>
      <c r="AG230" s="42" t="n">
        <v>2009</v>
      </c>
      <c r="AH230" s="42" t="n">
        <v>11</v>
      </c>
      <c r="AI230" s="44" t="n">
        <v>9.4</v>
      </c>
      <c r="AJ230" s="42" t="n">
        <v>2009</v>
      </c>
      <c r="AK230" s="42" t="n">
        <v>9</v>
      </c>
      <c r="AL230" s="44" t="n">
        <v>9.800000000000001</v>
      </c>
      <c r="AM230" s="42" t="n">
        <v>1999</v>
      </c>
      <c r="AN230" s="42" t="n">
        <v>23</v>
      </c>
      <c r="AO230" s="44" t="n">
        <v>9</v>
      </c>
      <c r="AP230" s="42" t="n">
        <v>1993</v>
      </c>
      <c r="AQ230" s="42" t="n">
        <v>25</v>
      </c>
    </row>
    <row r="231" ht="14.45" customHeight="1">
      <c r="A231" s="42" t="n">
        <v>52055060</v>
      </c>
      <c r="B231" s="42" t="inlineStr">
        <is>
          <t>TANAMA [52055060]</t>
        </is>
      </c>
      <c r="C231" s="42" t="n">
        <v>1.373555556</v>
      </c>
      <c r="D231" s="42" t="n">
        <v>-77.58305556000001</v>
      </c>
      <c r="E231" s="42" t="n">
        <v>1500</v>
      </c>
      <c r="F231" s="42" t="inlineStr">
        <is>
          <t>Samaniego</t>
        </is>
      </c>
      <c r="G231" s="42" t="inlineStr">
        <is>
          <t>Nariño</t>
        </is>
      </c>
      <c r="H231" s="44" t="n">
        <v>7</v>
      </c>
      <c r="I231" s="42" t="n">
        <v>1992</v>
      </c>
      <c r="J231" s="42" t="n">
        <v>31</v>
      </c>
      <c r="K231" s="44" t="n">
        <v>8.199999999999999</v>
      </c>
      <c r="L231" s="42" t="n">
        <v>1992</v>
      </c>
      <c r="M231" s="42" t="n">
        <v>1</v>
      </c>
      <c r="N231" s="44" t="n">
        <v>6.4</v>
      </c>
      <c r="O231" s="42" t="n">
        <v>1991</v>
      </c>
      <c r="P231" s="42" t="n">
        <v>11</v>
      </c>
      <c r="Q231" s="44" t="n">
        <v>8.4</v>
      </c>
      <c r="R231" s="42" t="n">
        <v>1991</v>
      </c>
      <c r="S231" s="42" t="n">
        <v>1</v>
      </c>
      <c r="T231" s="44" t="n">
        <v>9</v>
      </c>
      <c r="U231" s="42" t="n">
        <v>1992</v>
      </c>
      <c r="V231" s="42" t="n">
        <v>7</v>
      </c>
      <c r="W231" s="44" t="n">
        <v>9.199999999999999</v>
      </c>
      <c r="X231" s="42" t="n">
        <v>1999</v>
      </c>
      <c r="Y231" s="42" t="n">
        <v>15</v>
      </c>
      <c r="Z231" s="44" t="n">
        <v>6.8</v>
      </c>
      <c r="AA231" s="42" t="n">
        <v>1991</v>
      </c>
      <c r="AB231" s="42" t="n">
        <v>18</v>
      </c>
      <c r="AC231" s="44" t="n">
        <v>8</v>
      </c>
      <c r="AD231" s="42" t="n">
        <v>1992</v>
      </c>
      <c r="AE231" s="42" t="n">
        <v>26</v>
      </c>
      <c r="AF231" s="44" t="n">
        <v>10</v>
      </c>
      <c r="AG231" s="42" t="n">
        <v>1991</v>
      </c>
      <c r="AH231" s="42" t="n">
        <v>4</v>
      </c>
      <c r="AI231" s="44" t="n">
        <v>10</v>
      </c>
      <c r="AJ231" s="42" t="n">
        <v>1978</v>
      </c>
      <c r="AK231" s="42" t="n">
        <v>2</v>
      </c>
      <c r="AL231" s="44" t="n">
        <v>10</v>
      </c>
      <c r="AM231" s="42" t="n">
        <v>1978</v>
      </c>
      <c r="AN231" s="42" t="n">
        <v>1</v>
      </c>
      <c r="AO231" s="44" t="n">
        <v>10</v>
      </c>
      <c r="AP231" s="42" t="n">
        <v>1978</v>
      </c>
      <c r="AQ231" s="42" t="n">
        <v>14</v>
      </c>
    </row>
    <row r="232" ht="14.45" customHeight="1">
      <c r="A232" s="42" t="n">
        <v>23055040</v>
      </c>
      <c r="B232" s="42" t="inlineStr">
        <is>
          <t>SAMANA [23055040]</t>
        </is>
      </c>
      <c r="C232" s="42" t="n">
        <v>5.418288056</v>
      </c>
      <c r="D232" s="42" t="n">
        <v>-74.99292777799999</v>
      </c>
      <c r="E232" s="42" t="n">
        <v>1532</v>
      </c>
      <c r="F232" s="42" t="inlineStr">
        <is>
          <t>Samaná</t>
        </is>
      </c>
      <c r="G232" s="42" t="inlineStr">
        <is>
          <t>Caldas</t>
        </is>
      </c>
      <c r="H232" s="44" t="n">
        <v>14.2</v>
      </c>
      <c r="I232" s="42" t="n">
        <v>1978</v>
      </c>
      <c r="J232" s="42" t="n">
        <v>18</v>
      </c>
      <c r="K232" s="44" t="n">
        <v>14</v>
      </c>
      <c r="L232" s="42" t="n">
        <v>1983</v>
      </c>
      <c r="M232" s="42" t="n">
        <v>11</v>
      </c>
      <c r="N232" s="44" t="n">
        <v>14</v>
      </c>
      <c r="O232" s="42" t="n">
        <v>1993</v>
      </c>
      <c r="P232" s="42" t="n">
        <v>21</v>
      </c>
      <c r="Q232" s="44" t="n">
        <v>14</v>
      </c>
      <c r="R232" s="42" t="n">
        <v>1986</v>
      </c>
      <c r="S232" s="42" t="n">
        <v>26</v>
      </c>
      <c r="T232" s="44" t="n">
        <v>14</v>
      </c>
      <c r="U232" s="42" t="n">
        <v>1985</v>
      </c>
      <c r="V232" s="42" t="n">
        <v>11</v>
      </c>
      <c r="W232" s="44" t="n">
        <v>14</v>
      </c>
      <c r="X232" s="42" t="n">
        <v>1978</v>
      </c>
      <c r="Y232" s="42" t="n">
        <v>2</v>
      </c>
      <c r="Z232" s="44" t="n">
        <v>14</v>
      </c>
      <c r="AA232" s="42" t="n">
        <v>1986</v>
      </c>
      <c r="AB232" s="42" t="n">
        <v>1</v>
      </c>
      <c r="AC232" s="44" t="n">
        <v>14</v>
      </c>
      <c r="AD232" s="42" t="n">
        <v>1978</v>
      </c>
      <c r="AE232" s="42" t="n">
        <v>26</v>
      </c>
      <c r="AF232" s="44" t="n">
        <v>14</v>
      </c>
      <c r="AG232" s="42" t="n">
        <v>1982</v>
      </c>
      <c r="AH232" s="42" t="n">
        <v>13</v>
      </c>
      <c r="AI232" s="44" t="n">
        <v>14</v>
      </c>
      <c r="AJ232" s="42" t="n">
        <v>1988</v>
      </c>
      <c r="AK232" s="42" t="n">
        <v>8</v>
      </c>
      <c r="AL232" s="44" t="n">
        <v>14</v>
      </c>
      <c r="AM232" s="42" t="n">
        <v>1986</v>
      </c>
      <c r="AN232" s="42" t="n">
        <v>3</v>
      </c>
      <c r="AO232" s="44" t="n">
        <v>14</v>
      </c>
      <c r="AP232" s="42" t="n">
        <v>1986</v>
      </c>
      <c r="AQ232" s="42" t="n">
        <v>8</v>
      </c>
    </row>
    <row r="233" ht="14.45" customHeight="1">
      <c r="A233" s="42" t="n">
        <v>16015100</v>
      </c>
      <c r="B233" s="42" t="inlineStr">
        <is>
          <t>RAGONVALIA [16015100]</t>
        </is>
      </c>
      <c r="C233" s="42" t="n">
        <v>7.576666667</v>
      </c>
      <c r="D233" s="42" t="n">
        <v>-72.48388889</v>
      </c>
      <c r="E233" s="42" t="n">
        <v>1550</v>
      </c>
      <c r="F233" s="42" t="inlineStr">
        <is>
          <t>Ragonvalia</t>
        </is>
      </c>
      <c r="G233" s="42" t="inlineStr">
        <is>
          <t>Norte De Santander</t>
        </is>
      </c>
      <c r="H233" s="44" t="n">
        <v>9.6</v>
      </c>
      <c r="I233" s="42" t="n">
        <v>2022</v>
      </c>
      <c r="J233" s="42" t="n">
        <v>6</v>
      </c>
      <c r="K233" s="44" t="n">
        <v>8.4</v>
      </c>
      <c r="L233" s="42" t="n">
        <v>2015</v>
      </c>
      <c r="M233" s="42" t="n">
        <v>15</v>
      </c>
      <c r="N233" s="44" t="n">
        <v>10.8</v>
      </c>
      <c r="O233" s="42" t="n">
        <v>2007</v>
      </c>
      <c r="P233" s="42" t="n">
        <v>28</v>
      </c>
      <c r="Q233" s="44" t="n">
        <v>12.2</v>
      </c>
      <c r="R233" s="42" t="n">
        <v>2017</v>
      </c>
      <c r="S233" s="42" t="n">
        <v>5</v>
      </c>
      <c r="T233" s="44" t="n">
        <v>11.4</v>
      </c>
      <c r="U233" s="42" t="n">
        <v>2010</v>
      </c>
      <c r="V233" s="42" t="n">
        <v>6</v>
      </c>
      <c r="W233" s="44" t="n">
        <v>11</v>
      </c>
      <c r="X233" s="42" t="n">
        <v>2006</v>
      </c>
      <c r="Y233" s="42" t="n">
        <v>27</v>
      </c>
      <c r="Z233" s="44" t="n">
        <v>11.8</v>
      </c>
      <c r="AA233" s="42" t="n">
        <v>2013</v>
      </c>
      <c r="AB233" s="42" t="n">
        <v>3</v>
      </c>
      <c r="AC233" s="44" t="n">
        <v>12.2</v>
      </c>
      <c r="AD233" s="42" t="n">
        <v>2014</v>
      </c>
      <c r="AE233" s="42" t="n">
        <v>30</v>
      </c>
      <c r="AF233" s="44" t="n">
        <v>11.8</v>
      </c>
      <c r="AG233" s="42" t="n">
        <v>2016</v>
      </c>
      <c r="AH233" s="42" t="n">
        <v>30</v>
      </c>
      <c r="AI233" s="44" t="n">
        <v>12.2</v>
      </c>
      <c r="AJ233" s="42" t="n">
        <v>2011</v>
      </c>
      <c r="AK233" s="42" t="n">
        <v>22</v>
      </c>
      <c r="AL233" s="44" t="n">
        <v>11</v>
      </c>
      <c r="AM233" s="42" t="n">
        <v>2004</v>
      </c>
      <c r="AN233" s="42" t="n">
        <v>30</v>
      </c>
      <c r="AO233" s="44" t="n">
        <v>9.800000000000001</v>
      </c>
      <c r="AP233" s="42" t="n">
        <v>2022</v>
      </c>
      <c r="AQ233" s="42" t="n">
        <v>24</v>
      </c>
    </row>
    <row r="234" ht="14.45" customHeight="1">
      <c r="A234" s="42" t="n">
        <v>35195050</v>
      </c>
      <c r="B234" s="42" t="inlineStr">
        <is>
          <t>CORINTO [35195050]</t>
        </is>
      </c>
      <c r="C234" s="42" t="n">
        <v>5.407277778</v>
      </c>
      <c r="D234" s="42" t="n">
        <v>-72.71722222</v>
      </c>
      <c r="E234" s="42" t="n">
        <v>1550</v>
      </c>
      <c r="F234" s="42" t="inlineStr">
        <is>
          <t>Pajarito</t>
        </is>
      </c>
      <c r="G234" s="42" t="inlineStr">
        <is>
          <t>Boyacá</t>
        </is>
      </c>
      <c r="H234" s="44" t="n">
        <v>8.199999999999999</v>
      </c>
      <c r="I234" s="42" t="n">
        <v>1993</v>
      </c>
      <c r="J234" s="42" t="n">
        <v>23</v>
      </c>
      <c r="K234" s="44" t="n">
        <v>10</v>
      </c>
      <c r="L234" s="42" t="n">
        <v>1995</v>
      </c>
      <c r="M234" s="42" t="n">
        <v>14</v>
      </c>
      <c r="N234" s="44" t="n">
        <v>8.6</v>
      </c>
      <c r="O234" s="42" t="n">
        <v>1997</v>
      </c>
      <c r="P234" s="42" t="n">
        <v>5</v>
      </c>
      <c r="Q234" s="44" t="n">
        <v>11.2</v>
      </c>
      <c r="R234" s="42" t="n">
        <v>1992</v>
      </c>
      <c r="S234" s="42" t="n">
        <v>20</v>
      </c>
      <c r="T234" s="44" t="n">
        <v>10.8</v>
      </c>
      <c r="U234" s="42" t="n">
        <v>1994</v>
      </c>
      <c r="V234" s="42" t="n">
        <v>17</v>
      </c>
      <c r="W234" s="44" t="n">
        <v>10</v>
      </c>
      <c r="X234" s="42" t="n">
        <v>1995</v>
      </c>
      <c r="Y234" s="42" t="n">
        <v>29</v>
      </c>
      <c r="Z234" s="44" t="n">
        <v>9.800000000000001</v>
      </c>
      <c r="AA234" s="42" t="n">
        <v>1994</v>
      </c>
      <c r="AB234" s="42" t="n">
        <v>22</v>
      </c>
      <c r="AC234" s="44" t="n">
        <v>10</v>
      </c>
      <c r="AD234" s="42" t="n">
        <v>1994</v>
      </c>
      <c r="AE234" s="42" t="n">
        <v>13</v>
      </c>
      <c r="AF234" s="44" t="n">
        <v>8.4</v>
      </c>
      <c r="AG234" s="42" t="n">
        <v>1994</v>
      </c>
      <c r="AH234" s="42" t="n">
        <v>16</v>
      </c>
      <c r="AI234" s="44" t="n">
        <v>10</v>
      </c>
      <c r="AJ234" s="42" t="n">
        <v>1994</v>
      </c>
      <c r="AK234" s="42" t="n">
        <v>7</v>
      </c>
      <c r="AL234" s="44" t="n">
        <v>9.800000000000001</v>
      </c>
      <c r="AM234" s="42" t="n">
        <v>1994</v>
      </c>
      <c r="AN234" s="42" t="n">
        <v>10</v>
      </c>
      <c r="AO234" s="44" t="n">
        <v>8.6</v>
      </c>
      <c r="AP234" s="42" t="n">
        <v>1993</v>
      </c>
      <c r="AQ234" s="42" t="n">
        <v>31</v>
      </c>
    </row>
    <row r="235" ht="14.45" customHeight="1">
      <c r="A235" s="42" t="n">
        <v>22065040</v>
      </c>
      <c r="B235" s="42" t="inlineStr">
        <is>
          <t>SAN ANTONIO QUINTA [22065040]</t>
        </is>
      </c>
      <c r="C235" s="42" t="n">
        <v>3.9212</v>
      </c>
      <c r="D235" s="42" t="n">
        <v>-75.46775</v>
      </c>
      <c r="E235" s="42" t="n">
        <v>1566</v>
      </c>
      <c r="F235" s="42" t="inlineStr">
        <is>
          <t>San Antonio</t>
        </is>
      </c>
      <c r="G235" s="42" t="inlineStr">
        <is>
          <t>Tolima</t>
        </is>
      </c>
      <c r="H235" s="44" t="n">
        <v>12</v>
      </c>
      <c r="I235" s="42" t="n">
        <v>1987</v>
      </c>
      <c r="J235" s="42" t="n">
        <v>9</v>
      </c>
      <c r="K235" s="44" t="n">
        <v>12</v>
      </c>
      <c r="L235" s="42" t="n">
        <v>1989</v>
      </c>
      <c r="M235" s="42" t="n">
        <v>4</v>
      </c>
      <c r="N235" s="44" t="n">
        <v>12</v>
      </c>
      <c r="O235" s="42" t="n">
        <v>1988</v>
      </c>
      <c r="P235" s="42" t="n">
        <v>17</v>
      </c>
      <c r="Q235" s="44" t="n">
        <v>12</v>
      </c>
      <c r="R235" s="42" t="n">
        <v>1988</v>
      </c>
      <c r="S235" s="42" t="n">
        <v>8</v>
      </c>
      <c r="T235" s="44" t="n">
        <v>12</v>
      </c>
      <c r="U235" s="42" t="n">
        <v>1989</v>
      </c>
      <c r="V235" s="42" t="n">
        <v>3</v>
      </c>
      <c r="W235" s="44" t="n">
        <v>12</v>
      </c>
      <c r="X235" s="42" t="n">
        <v>1986</v>
      </c>
      <c r="Y235" s="42" t="n">
        <v>6</v>
      </c>
      <c r="Z235" s="44" t="n">
        <v>12</v>
      </c>
      <c r="AA235" s="42" t="n">
        <v>1989</v>
      </c>
      <c r="AB235" s="42" t="n">
        <v>5</v>
      </c>
      <c r="AC235" s="44" t="n">
        <v>12</v>
      </c>
      <c r="AD235" s="42" t="n">
        <v>1989</v>
      </c>
      <c r="AE235" s="42" t="n">
        <v>12</v>
      </c>
      <c r="AF235" s="44" t="n">
        <v>12</v>
      </c>
      <c r="AG235" s="42" t="n">
        <v>1985</v>
      </c>
      <c r="AH235" s="42" t="n">
        <v>25</v>
      </c>
      <c r="AI235" s="44" t="n">
        <v>12</v>
      </c>
      <c r="AJ235" s="42" t="n">
        <v>1986</v>
      </c>
      <c r="AK235" s="42" t="n">
        <v>5</v>
      </c>
      <c r="AL235" s="44" t="n">
        <v>12</v>
      </c>
      <c r="AM235" s="42" t="n">
        <v>1988</v>
      </c>
      <c r="AN235" s="42" t="n">
        <v>3</v>
      </c>
      <c r="AO235" s="44" t="n">
        <v>12</v>
      </c>
      <c r="AP235" s="42" t="n">
        <v>1985</v>
      </c>
      <c r="AQ235" s="42" t="n">
        <v>7</v>
      </c>
    </row>
    <row r="236" ht="14.45" customHeight="1">
      <c r="A236" s="42" t="n">
        <v>27025030</v>
      </c>
      <c r="B236" s="42" t="inlineStr">
        <is>
          <t>ANORI [27025030]</t>
        </is>
      </c>
      <c r="C236" s="42" t="n">
        <v>7.0719</v>
      </c>
      <c r="D236" s="42" t="n">
        <v>-75.15049999999999</v>
      </c>
      <c r="E236" s="42" t="n">
        <v>1601</v>
      </c>
      <c r="F236" s="42" t="inlineStr">
        <is>
          <t>Anorí</t>
        </is>
      </c>
      <c r="G236" s="42" t="inlineStr">
        <is>
          <t>Antioquia</t>
        </is>
      </c>
      <c r="H236" s="44" t="n">
        <v>10.4</v>
      </c>
      <c r="I236" s="42" t="n">
        <v>1997</v>
      </c>
      <c r="J236" s="42" t="n">
        <v>28</v>
      </c>
      <c r="K236" s="44" t="n">
        <v>11</v>
      </c>
      <c r="L236" s="42" t="n">
        <v>2008</v>
      </c>
      <c r="M236" s="42" t="n">
        <v>3</v>
      </c>
      <c r="N236" s="44" t="n">
        <v>11.4</v>
      </c>
      <c r="O236" s="42" t="n">
        <v>1997</v>
      </c>
      <c r="P236" s="42" t="n">
        <v>27</v>
      </c>
      <c r="Q236" s="44" t="n">
        <v>11</v>
      </c>
      <c r="R236" s="42" t="n">
        <v>1997</v>
      </c>
      <c r="S236" s="42" t="n">
        <v>5</v>
      </c>
      <c r="T236" s="44" t="n">
        <v>12</v>
      </c>
      <c r="U236" s="42" t="n">
        <v>2020</v>
      </c>
      <c r="V236" s="42" t="n">
        <v>4</v>
      </c>
      <c r="W236" s="44" t="n">
        <v>11.4</v>
      </c>
      <c r="X236" s="42" t="n">
        <v>2006</v>
      </c>
      <c r="Y236" s="42" t="n">
        <v>5</v>
      </c>
      <c r="Z236" s="44" t="n">
        <v>12</v>
      </c>
      <c r="AA236" s="42" t="n">
        <v>2020</v>
      </c>
      <c r="AB236" s="42" t="n">
        <v>11</v>
      </c>
      <c r="AC236" s="44" t="n">
        <v>11</v>
      </c>
      <c r="AD236" s="42" t="n">
        <v>2005</v>
      </c>
      <c r="AE236" s="42" t="n">
        <v>29</v>
      </c>
      <c r="AF236" s="44" t="n">
        <v>11.4</v>
      </c>
      <c r="AG236" s="42" t="n">
        <v>2006</v>
      </c>
      <c r="AH236" s="42" t="n">
        <v>4</v>
      </c>
      <c r="AI236" s="44" t="n">
        <v>12.6</v>
      </c>
      <c r="AJ236" s="42" t="n">
        <v>2000</v>
      </c>
      <c r="AK236" s="42" t="n">
        <v>3</v>
      </c>
      <c r="AL236" s="44" t="n">
        <v>12</v>
      </c>
      <c r="AM236" s="42" t="n">
        <v>2021</v>
      </c>
      <c r="AN236" s="42" t="n">
        <v>3</v>
      </c>
      <c r="AO236" s="44" t="n">
        <v>9.6</v>
      </c>
      <c r="AP236" s="42" t="n">
        <v>1999</v>
      </c>
      <c r="AQ236" s="42" t="n">
        <v>28</v>
      </c>
    </row>
    <row r="237" ht="14.45" customHeight="1">
      <c r="A237" s="42" t="n">
        <v>26135110</v>
      </c>
      <c r="B237" s="42" t="inlineStr">
        <is>
          <t>VERACRUZ [26135110]</t>
        </is>
      </c>
      <c r="C237" s="42" t="n">
        <v>4.87</v>
      </c>
      <c r="D237" s="42" t="n">
        <v>-75.63</v>
      </c>
      <c r="E237" s="42" t="n">
        <v>1628</v>
      </c>
      <c r="F237" s="42" t="inlineStr">
        <is>
          <t>Santa Rosa De Cabal</t>
        </is>
      </c>
      <c r="G237" s="42" t="inlineStr">
        <is>
          <t>Risaralda</t>
        </is>
      </c>
      <c r="H237" s="44" t="n">
        <v>10.6</v>
      </c>
      <c r="I237" s="42" t="n">
        <v>1980</v>
      </c>
      <c r="J237" s="42" t="n">
        <v>25</v>
      </c>
      <c r="K237" s="44" t="n">
        <v>10.4</v>
      </c>
      <c r="L237" s="42" t="n">
        <v>1980</v>
      </c>
      <c r="M237" s="42" t="n">
        <v>5</v>
      </c>
      <c r="N237" s="44" t="n">
        <v>10.8</v>
      </c>
      <c r="O237" s="42" t="n">
        <v>2011</v>
      </c>
      <c r="P237" s="42" t="n">
        <v>15</v>
      </c>
      <c r="Q237" s="44" t="n">
        <v>11.4</v>
      </c>
      <c r="R237" s="42" t="n">
        <v>2010</v>
      </c>
      <c r="S237" s="42" t="n">
        <v>12</v>
      </c>
      <c r="T237" s="44" t="n">
        <v>10.6</v>
      </c>
      <c r="U237" s="42" t="n">
        <v>1986</v>
      </c>
      <c r="V237" s="42" t="n">
        <v>9</v>
      </c>
      <c r="W237" s="44" t="n">
        <v>10</v>
      </c>
      <c r="X237" s="42" t="n">
        <v>1979</v>
      </c>
      <c r="Y237" s="42" t="n">
        <v>29</v>
      </c>
      <c r="Z237" s="44" t="n">
        <v>10.4</v>
      </c>
      <c r="AA237" s="42" t="n">
        <v>2012</v>
      </c>
      <c r="AB237" s="42" t="n">
        <v>14</v>
      </c>
      <c r="AC237" s="44" t="n">
        <v>10.2</v>
      </c>
      <c r="AD237" s="42" t="n">
        <v>1986</v>
      </c>
      <c r="AE237" s="42" t="n">
        <v>14</v>
      </c>
      <c r="AF237" s="44" t="n">
        <v>10.2</v>
      </c>
      <c r="AG237" s="42" t="n">
        <v>2011</v>
      </c>
      <c r="AH237" s="42" t="n">
        <v>6</v>
      </c>
      <c r="AI237" s="44" t="n">
        <v>10</v>
      </c>
      <c r="AJ237" s="42" t="n">
        <v>1979</v>
      </c>
      <c r="AK237" s="42" t="n">
        <v>6</v>
      </c>
      <c r="AL237" s="44" t="n">
        <v>10.2</v>
      </c>
      <c r="AM237" s="42" t="n">
        <v>2010</v>
      </c>
      <c r="AN237" s="42" t="n">
        <v>20</v>
      </c>
      <c r="AO237" s="44" t="n">
        <v>10</v>
      </c>
      <c r="AP237" s="42" t="n">
        <v>2010</v>
      </c>
      <c r="AQ237" s="42" t="n">
        <v>5</v>
      </c>
    </row>
    <row r="238" ht="14.45" customHeight="1">
      <c r="A238" s="42" t="n">
        <v>35085040</v>
      </c>
      <c r="B238" s="42" t="inlineStr">
        <is>
          <t>VIVERO EL [35085040]</t>
        </is>
      </c>
      <c r="C238" s="42" t="n">
        <v>5.192555556</v>
      </c>
      <c r="D238" s="42" t="n">
        <v>-73.14477778</v>
      </c>
      <c r="E238" s="42" t="n">
        <v>1640</v>
      </c>
      <c r="F238" s="42" t="inlineStr">
        <is>
          <t>Miraflores</t>
        </is>
      </c>
      <c r="G238" s="42" t="inlineStr">
        <is>
          <t>Boyacá</t>
        </is>
      </c>
      <c r="H238" s="44" t="n">
        <v>7.5</v>
      </c>
      <c r="I238" s="42" t="n">
        <v>2008</v>
      </c>
      <c r="J238" s="42" t="n">
        <v>17</v>
      </c>
      <c r="K238" s="44" t="n">
        <v>8.5</v>
      </c>
      <c r="L238" s="42" t="n">
        <v>2008</v>
      </c>
      <c r="M238" s="42" t="n">
        <v>20</v>
      </c>
      <c r="N238" s="44" t="n">
        <v>7.5</v>
      </c>
      <c r="O238" s="42" t="n">
        <v>2007</v>
      </c>
      <c r="P238" s="42" t="n">
        <v>4</v>
      </c>
      <c r="Q238" s="44" t="n">
        <v>8</v>
      </c>
      <c r="R238" s="42" t="n">
        <v>2007</v>
      </c>
      <c r="S238" s="42" t="n">
        <v>7</v>
      </c>
      <c r="T238" s="44" t="n">
        <v>7.5</v>
      </c>
      <c r="U238" s="42" t="n">
        <v>2006</v>
      </c>
      <c r="V238" s="42" t="n">
        <v>11</v>
      </c>
      <c r="W238" s="44" t="n">
        <v>7.5</v>
      </c>
      <c r="X238" s="42" t="n">
        <v>2007</v>
      </c>
      <c r="Y238" s="42" t="n">
        <v>14</v>
      </c>
      <c r="Z238" s="44" t="n">
        <v>8</v>
      </c>
      <c r="AA238" s="42" t="n">
        <v>2005</v>
      </c>
      <c r="AB238" s="42" t="n">
        <v>30</v>
      </c>
      <c r="AC238" s="44" t="n">
        <v>8.5</v>
      </c>
      <c r="AD238" s="42" t="n">
        <v>2007</v>
      </c>
      <c r="AE238" s="42" t="n">
        <v>7</v>
      </c>
      <c r="AF238" s="44" t="n">
        <v>8</v>
      </c>
      <c r="AG238" s="42" t="n">
        <v>2007</v>
      </c>
      <c r="AH238" s="42" t="n">
        <v>15</v>
      </c>
      <c r="AI238" s="44" t="n">
        <v>8.5</v>
      </c>
      <c r="AJ238" s="42" t="n">
        <v>2005</v>
      </c>
      <c r="AK238" s="42" t="n">
        <v>2</v>
      </c>
      <c r="AL238" s="44" t="n">
        <v>7.5</v>
      </c>
      <c r="AM238" s="42" t="n">
        <v>2007</v>
      </c>
      <c r="AN238" s="42" t="n">
        <v>17</v>
      </c>
      <c r="AO238" s="44" t="n">
        <v>9.5</v>
      </c>
      <c r="AP238" s="42" t="n">
        <v>2007</v>
      </c>
      <c r="AQ238" s="42" t="n">
        <v>13</v>
      </c>
    </row>
    <row r="239" ht="14.45" customHeight="1">
      <c r="A239" s="42" t="n">
        <v>24025040</v>
      </c>
      <c r="B239" s="42" t="inlineStr">
        <is>
          <t>ESCUELA AGRICOLA MOGOTES [24025040]</t>
        </is>
      </c>
      <c r="C239" s="42" t="n">
        <v>6.47</v>
      </c>
      <c r="D239" s="42" t="n">
        <v>-72.96888889</v>
      </c>
      <c r="E239" s="42" t="n">
        <v>1673</v>
      </c>
      <c r="F239" s="42" t="inlineStr">
        <is>
          <t>Mogotes</t>
        </is>
      </c>
      <c r="G239" s="42" t="inlineStr">
        <is>
          <t>Santander</t>
        </is>
      </c>
      <c r="H239" s="44" t="n">
        <v>6.6</v>
      </c>
      <c r="I239" s="42" t="n">
        <v>1992</v>
      </c>
      <c r="J239" s="42" t="n">
        <v>18</v>
      </c>
      <c r="K239" s="44" t="n">
        <v>5</v>
      </c>
      <c r="L239" s="42" t="n">
        <v>2004</v>
      </c>
      <c r="M239" s="42" t="n">
        <v>5</v>
      </c>
      <c r="N239" s="44" t="n">
        <v>7</v>
      </c>
      <c r="O239" s="42" t="n">
        <v>1997</v>
      </c>
      <c r="P239" s="42" t="n">
        <v>24</v>
      </c>
      <c r="Q239" s="44" t="n">
        <v>7</v>
      </c>
      <c r="R239" s="42" t="n">
        <v>1999</v>
      </c>
      <c r="S239" s="42" t="n">
        <v>19</v>
      </c>
      <c r="T239" s="44" t="n">
        <v>8</v>
      </c>
      <c r="U239" s="42" t="n">
        <v>1995</v>
      </c>
      <c r="V239" s="42" t="n">
        <v>21</v>
      </c>
      <c r="W239" s="44" t="n">
        <v>7.4</v>
      </c>
      <c r="X239" s="42" t="n">
        <v>1994</v>
      </c>
      <c r="Y239" s="42" t="n">
        <v>24</v>
      </c>
      <c r="Z239" s="44" t="n">
        <v>7</v>
      </c>
      <c r="AA239" s="42" t="n">
        <v>2003</v>
      </c>
      <c r="AB239" s="42" t="n">
        <v>2</v>
      </c>
      <c r="AC239" s="44" t="n">
        <v>7.4</v>
      </c>
      <c r="AD239" s="42" t="n">
        <v>1997</v>
      </c>
      <c r="AE239" s="42" t="n">
        <v>7</v>
      </c>
      <c r="AF239" s="44" t="n">
        <v>8</v>
      </c>
      <c r="AG239" s="42" t="n">
        <v>1997</v>
      </c>
      <c r="AH239" s="42" t="n">
        <v>4</v>
      </c>
      <c r="AI239" s="44" t="n">
        <v>8.6</v>
      </c>
      <c r="AJ239" s="42" t="n">
        <v>1991</v>
      </c>
      <c r="AK239" s="42" t="n">
        <v>21</v>
      </c>
      <c r="AL239" s="44" t="n">
        <v>7</v>
      </c>
      <c r="AM239" s="42" t="n">
        <v>2005</v>
      </c>
      <c r="AN239" s="42" t="n">
        <v>29</v>
      </c>
      <c r="AO239" s="44" t="n">
        <v>6</v>
      </c>
      <c r="AP239" s="42" t="n">
        <v>2005</v>
      </c>
      <c r="AQ239" s="42" t="n">
        <v>28</v>
      </c>
    </row>
    <row r="240" ht="14.45" customHeight="1">
      <c r="A240" s="42" t="n">
        <v>23125060</v>
      </c>
      <c r="B240" s="42" t="inlineStr">
        <is>
          <t>ALBANIA [23125060]</t>
        </is>
      </c>
      <c r="C240" s="42" t="n">
        <v>5.758333333</v>
      </c>
      <c r="D240" s="42" t="n">
        <v>-73.91333333</v>
      </c>
      <c r="E240" s="42" t="n">
        <v>1690</v>
      </c>
      <c r="F240" s="42" t="inlineStr">
        <is>
          <t>Albania</t>
        </is>
      </c>
      <c r="G240" s="42" t="inlineStr">
        <is>
          <t>Santander</t>
        </is>
      </c>
      <c r="H240" s="44" t="n">
        <v>10.4</v>
      </c>
      <c r="I240" s="42" t="n">
        <v>2001</v>
      </c>
      <c r="J240" s="42" t="n">
        <v>27</v>
      </c>
      <c r="K240" s="44" t="n">
        <v>10.4</v>
      </c>
      <c r="L240" s="42" t="n">
        <v>1994</v>
      </c>
      <c r="M240" s="42" t="n">
        <v>17</v>
      </c>
      <c r="N240" s="44" t="n">
        <v>11.4</v>
      </c>
      <c r="O240" s="42" t="n">
        <v>1992</v>
      </c>
      <c r="P240" s="42" t="n">
        <v>22</v>
      </c>
      <c r="Q240" s="44" t="n">
        <v>10.8</v>
      </c>
      <c r="R240" s="42" t="n">
        <v>1980</v>
      </c>
      <c r="S240" s="42" t="n">
        <v>8</v>
      </c>
      <c r="T240" s="44" t="n">
        <v>10.2</v>
      </c>
      <c r="U240" s="42" t="n">
        <v>1992</v>
      </c>
      <c r="V240" s="42" t="n">
        <v>29</v>
      </c>
      <c r="W240" s="44" t="n">
        <v>10.2</v>
      </c>
      <c r="X240" s="42" t="n">
        <v>1992</v>
      </c>
      <c r="Y240" s="42" t="n">
        <v>29</v>
      </c>
      <c r="Z240" s="44" t="n">
        <v>10.4</v>
      </c>
      <c r="AA240" s="42" t="n">
        <v>1992</v>
      </c>
      <c r="AB240" s="42" t="n">
        <v>25</v>
      </c>
      <c r="AC240" s="44" t="n">
        <v>10.4</v>
      </c>
      <c r="AD240" s="42" t="n">
        <v>1986</v>
      </c>
      <c r="AE240" s="42" t="n">
        <v>16</v>
      </c>
      <c r="AF240" s="44" t="n">
        <v>11.2</v>
      </c>
      <c r="AG240" s="42" t="n">
        <v>1978</v>
      </c>
      <c r="AH240" s="42" t="n">
        <v>4</v>
      </c>
      <c r="AI240" s="44" t="n">
        <v>12</v>
      </c>
      <c r="AJ240" s="42" t="n">
        <v>1991</v>
      </c>
      <c r="AK240" s="42" t="n">
        <v>20</v>
      </c>
      <c r="AL240" s="44" t="n">
        <v>11.6</v>
      </c>
      <c r="AM240" s="42" t="n">
        <v>2010</v>
      </c>
      <c r="AN240" s="42" t="n">
        <v>5</v>
      </c>
      <c r="AO240" s="44" t="n">
        <v>10.8</v>
      </c>
      <c r="AP240" s="42" t="n">
        <v>2011</v>
      </c>
      <c r="AQ240" s="42" t="n">
        <v>23</v>
      </c>
    </row>
    <row r="241" ht="14.45" customHeight="1">
      <c r="A241" s="42" t="n">
        <v>21135050</v>
      </c>
      <c r="B241" s="42" t="inlineStr">
        <is>
          <t>JULIA LA [21135050]</t>
        </is>
      </c>
      <c r="C241" s="42" t="n">
        <v>3.098777778</v>
      </c>
      <c r="D241" s="42" t="n">
        <v>-75.53002778</v>
      </c>
      <c r="E241" s="42" t="n">
        <v>1691</v>
      </c>
      <c r="F241" s="42" t="inlineStr">
        <is>
          <t>Neiva</t>
        </is>
      </c>
      <c r="G241" s="42" t="inlineStr">
        <is>
          <t>Huila</t>
        </is>
      </c>
      <c r="H241" s="44" t="n">
        <v>12</v>
      </c>
      <c r="I241" s="42" t="n">
        <v>1995</v>
      </c>
      <c r="J241" s="42" t="n">
        <v>13</v>
      </c>
      <c r="K241" s="44" t="n">
        <v>11.4</v>
      </c>
      <c r="L241" s="42" t="n">
        <v>1995</v>
      </c>
      <c r="M241" s="42" t="n">
        <v>2</v>
      </c>
      <c r="N241" s="44" t="n">
        <v>12.2</v>
      </c>
      <c r="O241" s="42" t="n">
        <v>1992</v>
      </c>
      <c r="P241" s="42" t="n">
        <v>25</v>
      </c>
      <c r="Q241" s="44" t="n">
        <v>12.8</v>
      </c>
      <c r="R241" s="42" t="n">
        <v>1992</v>
      </c>
      <c r="S241" s="42" t="n">
        <v>2</v>
      </c>
      <c r="T241" s="44" t="n">
        <v>12.6</v>
      </c>
      <c r="U241" s="42" t="n">
        <v>2004</v>
      </c>
      <c r="V241" s="42" t="n">
        <v>23</v>
      </c>
      <c r="W241" s="44" t="n">
        <v>13</v>
      </c>
      <c r="X241" s="42" t="n">
        <v>1996</v>
      </c>
      <c r="Y241" s="42" t="n">
        <v>16</v>
      </c>
      <c r="Z241" s="44" t="n">
        <v>12.2</v>
      </c>
      <c r="AA241" s="42" t="n">
        <v>1994</v>
      </c>
      <c r="AB241" s="42" t="n">
        <v>12</v>
      </c>
      <c r="AC241" s="44" t="n">
        <v>12</v>
      </c>
      <c r="AD241" s="42" t="n">
        <v>1990</v>
      </c>
      <c r="AE241" s="42" t="n">
        <v>29</v>
      </c>
      <c r="AF241" s="44" t="n">
        <v>12.2</v>
      </c>
      <c r="AG241" s="42" t="n">
        <v>1994</v>
      </c>
      <c r="AH241" s="42" t="n">
        <v>20</v>
      </c>
      <c r="AI241" s="44" t="n">
        <v>11.6</v>
      </c>
      <c r="AJ241" s="42" t="n">
        <v>2004</v>
      </c>
      <c r="AK241" s="42" t="n">
        <v>13</v>
      </c>
      <c r="AL241" s="44" t="n">
        <v>12.2</v>
      </c>
      <c r="AM241" s="42" t="n">
        <v>2001</v>
      </c>
      <c r="AN241" s="42" t="n">
        <v>4</v>
      </c>
      <c r="AO241" s="44" t="n">
        <v>12.4</v>
      </c>
      <c r="AP241" s="42" t="n">
        <v>2014</v>
      </c>
      <c r="AQ241" s="42" t="n">
        <v>2</v>
      </c>
    </row>
    <row r="242" ht="14.45" customHeight="1">
      <c r="A242" s="42" t="n">
        <v>23085030</v>
      </c>
      <c r="B242" s="42" t="inlineStr">
        <is>
          <t>ALEJANDRIA [23085030]</t>
        </is>
      </c>
      <c r="C242" s="42" t="n">
        <v>6.37625</v>
      </c>
      <c r="D242" s="42" t="n">
        <v>-75.14338889</v>
      </c>
      <c r="E242" s="42" t="n">
        <v>1712</v>
      </c>
      <c r="F242" s="42" t="inlineStr">
        <is>
          <t>Alejandría</t>
        </is>
      </c>
      <c r="G242" s="42" t="inlineStr">
        <is>
          <t>Antioquia</t>
        </is>
      </c>
      <c r="H242" s="44" t="n">
        <v>11</v>
      </c>
      <c r="I242" s="42" t="n">
        <v>1997</v>
      </c>
      <c r="J242" s="42" t="n">
        <v>30</v>
      </c>
      <c r="K242" s="44" t="n">
        <v>10.2</v>
      </c>
      <c r="L242" s="42" t="n">
        <v>2012</v>
      </c>
      <c r="M242" s="42" t="n">
        <v>19</v>
      </c>
      <c r="N242" s="44" t="n">
        <v>11.4</v>
      </c>
      <c r="O242" s="42" t="n">
        <v>2000</v>
      </c>
      <c r="P242" s="42" t="n">
        <v>20</v>
      </c>
      <c r="Q242" s="44" t="n">
        <v>12</v>
      </c>
      <c r="R242" s="42" t="n">
        <v>2004</v>
      </c>
      <c r="S242" s="42" t="n">
        <v>26</v>
      </c>
      <c r="T242" s="44" t="n">
        <v>11.2</v>
      </c>
      <c r="U242" s="42" t="n">
        <v>2003</v>
      </c>
      <c r="V242" s="42" t="n">
        <v>17</v>
      </c>
      <c r="W242" s="44" t="n">
        <v>10.4</v>
      </c>
      <c r="X242" s="42" t="n">
        <v>2002</v>
      </c>
      <c r="Y242" s="42" t="n">
        <v>20</v>
      </c>
      <c r="Z242" s="44" t="n">
        <v>9.6</v>
      </c>
      <c r="AA242" s="42" t="n">
        <v>2018</v>
      </c>
      <c r="AB242" s="42" t="n">
        <v>12</v>
      </c>
      <c r="AC242" s="44" t="n">
        <v>10</v>
      </c>
      <c r="AD242" s="42" t="n">
        <v>2003</v>
      </c>
      <c r="AE242" s="42" t="n">
        <v>2</v>
      </c>
      <c r="AF242" s="44" t="n">
        <v>10</v>
      </c>
      <c r="AG242" s="42" t="n">
        <v>2003</v>
      </c>
      <c r="AH242" s="42" t="n">
        <v>24</v>
      </c>
      <c r="AI242" s="44" t="n">
        <v>11</v>
      </c>
      <c r="AJ242" s="42" t="n">
        <v>2003</v>
      </c>
      <c r="AK242" s="42" t="n">
        <v>6</v>
      </c>
      <c r="AL242" s="44" t="n">
        <v>10.4</v>
      </c>
      <c r="AM242" s="42" t="n">
        <v>2003</v>
      </c>
      <c r="AN242" s="42" t="n">
        <v>9</v>
      </c>
      <c r="AO242" s="44" t="n">
        <v>11</v>
      </c>
      <c r="AP242" s="42" t="n">
        <v>2003</v>
      </c>
      <c r="AQ242" s="42" t="n">
        <v>5</v>
      </c>
    </row>
    <row r="243" ht="14.45" customHeight="1">
      <c r="A243" s="42" t="n">
        <v>26205080</v>
      </c>
      <c r="B243" s="42" t="inlineStr">
        <is>
          <t>LA ALDEA [26205080]</t>
        </is>
      </c>
      <c r="C243" s="42" t="n">
        <v>6.341055556</v>
      </c>
      <c r="D243" s="42" t="n">
        <v>-75.70094444</v>
      </c>
      <c r="E243" s="42" t="n">
        <v>1737</v>
      </c>
      <c r="F243" s="42" t="inlineStr">
        <is>
          <t>Medellín</t>
        </is>
      </c>
      <c r="G243" s="42" t="inlineStr">
        <is>
          <t>Antioquia</t>
        </is>
      </c>
      <c r="H243" s="44" t="n">
        <v>13.4</v>
      </c>
      <c r="I243" s="42" t="n">
        <v>2023</v>
      </c>
      <c r="J243" s="42" t="n">
        <v>4</v>
      </c>
      <c r="K243" s="44" t="n">
        <v>13.4</v>
      </c>
      <c r="L243" s="42" t="n">
        <v>2023</v>
      </c>
      <c r="M243" s="42" t="n">
        <v>1</v>
      </c>
      <c r="N243" s="44" t="n">
        <v>14</v>
      </c>
      <c r="O243" s="42" t="n">
        <v>2021</v>
      </c>
      <c r="P243" s="42" t="n">
        <v>17</v>
      </c>
      <c r="Q243" s="44" t="n">
        <v>13.8</v>
      </c>
      <c r="R243" s="42" t="n">
        <v>2023</v>
      </c>
      <c r="S243" s="42" t="n">
        <v>23</v>
      </c>
      <c r="T243" s="44" t="n">
        <v>13.4</v>
      </c>
      <c r="U243" s="42" t="n">
        <v>2021</v>
      </c>
      <c r="V243" s="42" t="n">
        <v>3</v>
      </c>
      <c r="W243" s="44" t="n">
        <v>13.6</v>
      </c>
      <c r="X243" s="42" t="n">
        <v>2021</v>
      </c>
      <c r="Y243" s="42" t="n">
        <v>21</v>
      </c>
      <c r="Z243" s="44" t="n">
        <v>14</v>
      </c>
      <c r="AA243" s="42" t="n">
        <v>2021</v>
      </c>
      <c r="AB243" s="42" t="n">
        <v>17</v>
      </c>
      <c r="AC243" s="44" t="n">
        <v>14</v>
      </c>
      <c r="AD243" s="42" t="n">
        <v>2021</v>
      </c>
      <c r="AE243" s="42" t="n">
        <v>15</v>
      </c>
      <c r="AF243" s="44" t="n">
        <v>14</v>
      </c>
      <c r="AG243" s="42" t="n">
        <v>2021</v>
      </c>
      <c r="AH243" s="42" t="n">
        <v>5</v>
      </c>
      <c r="AI243" s="44" t="n">
        <v>14</v>
      </c>
      <c r="AJ243" s="42" t="n">
        <v>2023</v>
      </c>
      <c r="AK243" s="42" t="n">
        <v>29</v>
      </c>
      <c r="AL243" s="44" t="n">
        <v>14.2</v>
      </c>
      <c r="AM243" s="42" t="n">
        <v>2022</v>
      </c>
      <c r="AN243" s="42" t="n">
        <v>13</v>
      </c>
      <c r="AO243" s="44" t="n">
        <v>13</v>
      </c>
      <c r="AP243" s="42" t="n">
        <v>2022</v>
      </c>
      <c r="AQ243" s="42" t="n">
        <v>3</v>
      </c>
    </row>
    <row r="244" ht="14.45" customHeight="1">
      <c r="A244" s="42" t="n">
        <v>23055070</v>
      </c>
      <c r="B244" s="42" t="inlineStr">
        <is>
          <t>ARGELIA [23055070]</t>
        </is>
      </c>
      <c r="C244" s="42" t="n">
        <v>5.73</v>
      </c>
      <c r="D244" s="42" t="n">
        <v>-75.14</v>
      </c>
      <c r="E244" s="42" t="n">
        <v>1740</v>
      </c>
      <c r="F244" s="42" t="inlineStr">
        <is>
          <t>Argelia</t>
        </is>
      </c>
      <c r="G244" s="42" t="inlineStr">
        <is>
          <t>Antioquia</t>
        </is>
      </c>
      <c r="H244" s="44" t="n">
        <v>14</v>
      </c>
      <c r="I244" s="42" t="n">
        <v>2020</v>
      </c>
      <c r="J244" s="42" t="n">
        <v>1</v>
      </c>
      <c r="K244" s="44" t="n">
        <v>14</v>
      </c>
      <c r="L244" s="42" t="n">
        <v>2020</v>
      </c>
      <c r="M244" s="42" t="n">
        <v>1</v>
      </c>
      <c r="N244" s="44" t="n">
        <v>14</v>
      </c>
      <c r="O244" s="42" t="n">
        <v>2020</v>
      </c>
      <c r="P244" s="42" t="n">
        <v>23</v>
      </c>
      <c r="Q244" s="44" t="n">
        <v>14</v>
      </c>
      <c r="R244" s="42" t="n">
        <v>2018</v>
      </c>
      <c r="S244" s="42" t="n">
        <v>10</v>
      </c>
      <c r="T244" s="44" t="n">
        <v>14</v>
      </c>
      <c r="U244" s="42" t="n">
        <v>2018</v>
      </c>
      <c r="V244" s="42" t="n">
        <v>20</v>
      </c>
      <c r="W244" s="44" t="n">
        <v>14</v>
      </c>
      <c r="X244" s="42" t="n">
        <v>2018</v>
      </c>
      <c r="Y244" s="42" t="n">
        <v>1</v>
      </c>
      <c r="Z244" s="44" t="n">
        <v>14</v>
      </c>
      <c r="AA244" s="42" t="n">
        <v>2020</v>
      </c>
      <c r="AB244" s="42" t="n">
        <v>15</v>
      </c>
      <c r="AC244" s="44" t="n">
        <v>14</v>
      </c>
      <c r="AD244" s="42" t="n">
        <v>2019</v>
      </c>
      <c r="AE244" s="42" t="n">
        <v>8</v>
      </c>
      <c r="AF244" s="44" t="n">
        <v>14</v>
      </c>
      <c r="AG244" s="42" t="n">
        <v>2019</v>
      </c>
      <c r="AH244" s="42" t="n">
        <v>1</v>
      </c>
      <c r="AI244" s="44" t="n">
        <v>13</v>
      </c>
      <c r="AJ244" s="42" t="n">
        <v>2020</v>
      </c>
      <c r="AK244" s="42" t="n">
        <v>14</v>
      </c>
      <c r="AL244" s="44" t="n">
        <v>14</v>
      </c>
      <c r="AM244" s="42" t="n">
        <v>2019</v>
      </c>
      <c r="AN244" s="42" t="n">
        <v>1</v>
      </c>
      <c r="AO244" s="44" t="n">
        <v>14</v>
      </c>
      <c r="AP244" s="42" t="n">
        <v>2019</v>
      </c>
      <c r="AQ244" s="42" t="n">
        <v>2</v>
      </c>
    </row>
    <row r="245" ht="14.45" customHeight="1">
      <c r="A245" s="42" t="n">
        <v>26125130</v>
      </c>
      <c r="B245" s="42" t="inlineStr">
        <is>
          <t>CUMBARCO [26125130]</t>
        </is>
      </c>
      <c r="C245" s="42" t="n">
        <v>4.185055556</v>
      </c>
      <c r="D245" s="42" t="n">
        <v>-75.83236110999999</v>
      </c>
      <c r="E245" s="42" t="n">
        <v>1749</v>
      </c>
      <c r="F245" s="42" t="inlineStr">
        <is>
          <t>Sevilla</t>
        </is>
      </c>
      <c r="G245" s="42" t="inlineStr">
        <is>
          <t>Valle Del Cauca</t>
        </is>
      </c>
      <c r="H245" s="44" t="n">
        <v>9.6</v>
      </c>
      <c r="I245" s="42" t="n">
        <v>1983</v>
      </c>
      <c r="J245" s="42" t="n">
        <v>12</v>
      </c>
      <c r="K245" s="44" t="n">
        <v>9.199999999999999</v>
      </c>
      <c r="L245" s="42" t="n">
        <v>1983</v>
      </c>
      <c r="M245" s="42" t="n">
        <v>7</v>
      </c>
      <c r="N245" s="44" t="n">
        <v>9</v>
      </c>
      <c r="O245" s="42" t="n">
        <v>2018</v>
      </c>
      <c r="P245" s="42" t="n">
        <v>24</v>
      </c>
      <c r="Q245" s="44" t="n">
        <v>9.199999999999999</v>
      </c>
      <c r="R245" s="42" t="n">
        <v>1983</v>
      </c>
      <c r="S245" s="42" t="n">
        <v>13</v>
      </c>
      <c r="T245" s="44" t="n">
        <v>7</v>
      </c>
      <c r="U245" s="42" t="n">
        <v>1983</v>
      </c>
      <c r="V245" s="42" t="n">
        <v>24</v>
      </c>
      <c r="W245" s="44" t="n">
        <v>7.2</v>
      </c>
      <c r="X245" s="42" t="n">
        <v>1983</v>
      </c>
      <c r="Y245" s="42" t="n">
        <v>25</v>
      </c>
      <c r="Z245" s="44" t="n">
        <v>6</v>
      </c>
      <c r="AA245" s="42" t="n">
        <v>1983</v>
      </c>
      <c r="AB245" s="42" t="n">
        <v>26</v>
      </c>
      <c r="AC245" s="44" t="n">
        <v>10</v>
      </c>
      <c r="AD245" s="42" t="n">
        <v>2023</v>
      </c>
      <c r="AE245" s="42" t="n">
        <v>2</v>
      </c>
      <c r="AF245" s="44" t="n">
        <v>8.6</v>
      </c>
      <c r="AG245" s="42" t="n">
        <v>1982</v>
      </c>
      <c r="AH245" s="42" t="n">
        <v>15</v>
      </c>
      <c r="AI245" s="44" t="n">
        <v>8.6</v>
      </c>
      <c r="AJ245" s="42" t="n">
        <v>1982</v>
      </c>
      <c r="AK245" s="42" t="n">
        <v>2</v>
      </c>
      <c r="AL245" s="44" t="n">
        <v>8.6</v>
      </c>
      <c r="AM245" s="42" t="n">
        <v>1982</v>
      </c>
      <c r="AN245" s="42" t="n">
        <v>19</v>
      </c>
      <c r="AO245" s="44" t="n">
        <v>8.199999999999999</v>
      </c>
      <c r="AP245" s="42" t="n">
        <v>1982</v>
      </c>
      <c r="AQ245" s="42" t="n">
        <v>28</v>
      </c>
    </row>
    <row r="246" ht="14.45" customHeight="1">
      <c r="A246" s="42" t="n">
        <v>16015030</v>
      </c>
      <c r="B246" s="42" t="inlineStr">
        <is>
          <t>ESPERANZA LA [16015030]</t>
        </is>
      </c>
      <c r="C246" s="42" t="n">
        <v>7.569722222</v>
      </c>
      <c r="D246" s="42" t="n">
        <v>-72.53388889</v>
      </c>
      <c r="E246" s="42" t="n">
        <v>1760</v>
      </c>
      <c r="F246" s="42" t="inlineStr">
        <is>
          <t>Ragonvalia</t>
        </is>
      </c>
      <c r="G246" s="42" t="inlineStr">
        <is>
          <t>Norte De Santander</t>
        </is>
      </c>
      <c r="H246" s="44" t="n">
        <v>6.4</v>
      </c>
      <c r="I246" s="42" t="n">
        <v>1984</v>
      </c>
      <c r="J246" s="42" t="n">
        <v>18</v>
      </c>
      <c r="K246" s="44" t="n">
        <v>6</v>
      </c>
      <c r="L246" s="42" t="n">
        <v>1984</v>
      </c>
      <c r="M246" s="42" t="n">
        <v>1</v>
      </c>
      <c r="N246" s="44" t="n">
        <v>7.4</v>
      </c>
      <c r="O246" s="42" t="n">
        <v>1989</v>
      </c>
      <c r="P246" s="42" t="n">
        <v>11</v>
      </c>
      <c r="Q246" s="44" t="n">
        <v>7.2</v>
      </c>
      <c r="R246" s="42" t="n">
        <v>1984</v>
      </c>
      <c r="S246" s="42" t="n">
        <v>26</v>
      </c>
      <c r="T246" s="44" t="n">
        <v>8.199999999999999</v>
      </c>
      <c r="U246" s="42" t="n">
        <v>2011</v>
      </c>
      <c r="V246" s="42" t="n">
        <v>21</v>
      </c>
      <c r="W246" s="44" t="n">
        <v>7.2</v>
      </c>
      <c r="X246" s="42" t="n">
        <v>1984</v>
      </c>
      <c r="Y246" s="42" t="n">
        <v>9</v>
      </c>
      <c r="Z246" s="44" t="n">
        <v>9.6</v>
      </c>
      <c r="AA246" s="42" t="n">
        <v>1985</v>
      </c>
      <c r="AB246" s="42" t="n">
        <v>1</v>
      </c>
      <c r="AC246" s="44" t="n">
        <v>10</v>
      </c>
      <c r="AD246" s="42" t="n">
        <v>2003</v>
      </c>
      <c r="AE246" s="42" t="n">
        <v>3</v>
      </c>
      <c r="AF246" s="44" t="n">
        <v>9.4</v>
      </c>
      <c r="AG246" s="42" t="n">
        <v>2002</v>
      </c>
      <c r="AH246" s="42" t="n">
        <v>28</v>
      </c>
      <c r="AI246" s="44" t="n">
        <v>8.800000000000001</v>
      </c>
      <c r="AJ246" s="42" t="n">
        <v>1997</v>
      </c>
      <c r="AK246" s="42" t="n">
        <v>11</v>
      </c>
      <c r="AL246" s="44" t="n">
        <v>9</v>
      </c>
      <c r="AM246" s="42" t="n">
        <v>1983</v>
      </c>
      <c r="AN246" s="42" t="n">
        <v>8</v>
      </c>
      <c r="AO246" s="44" t="n">
        <v>6.2</v>
      </c>
      <c r="AP246" s="42" t="n">
        <v>1983</v>
      </c>
      <c r="AQ246" s="42" t="n">
        <v>30</v>
      </c>
    </row>
    <row r="247" ht="14.45" customHeight="1">
      <c r="A247" s="42" t="n">
        <v>26145030</v>
      </c>
      <c r="B247" s="42" t="inlineStr">
        <is>
          <t>CAMELIA LA [26145030]</t>
        </is>
      </c>
      <c r="C247" s="42" t="n">
        <v>5.08</v>
      </c>
      <c r="D247" s="42" t="n">
        <v>-75.97</v>
      </c>
      <c r="E247" s="42" t="n">
        <v>1763</v>
      </c>
      <c r="F247" s="42" t="inlineStr">
        <is>
          <t>Santuario</t>
        </is>
      </c>
      <c r="G247" s="42" t="inlineStr">
        <is>
          <t>Risaralda</t>
        </is>
      </c>
      <c r="H247" s="44" t="n">
        <v>12.4</v>
      </c>
      <c r="I247" s="42" t="n">
        <v>2001</v>
      </c>
      <c r="J247" s="42" t="n">
        <v>24</v>
      </c>
      <c r="K247" s="44" t="n">
        <v>13</v>
      </c>
      <c r="L247" s="42" t="n">
        <v>1994</v>
      </c>
      <c r="M247" s="42" t="n">
        <v>11</v>
      </c>
      <c r="N247" s="44" t="n">
        <v>12.6</v>
      </c>
      <c r="O247" s="42" t="n">
        <v>2008</v>
      </c>
      <c r="P247" s="42" t="n">
        <v>6</v>
      </c>
      <c r="Q247" s="44" t="n">
        <v>13.4</v>
      </c>
      <c r="R247" s="42" t="n">
        <v>1979</v>
      </c>
      <c r="S247" s="42" t="n">
        <v>29</v>
      </c>
      <c r="T247" s="44" t="n">
        <v>13.8</v>
      </c>
      <c r="U247" s="42" t="n">
        <v>1985</v>
      </c>
      <c r="V247" s="42" t="n">
        <v>12</v>
      </c>
      <c r="W247" s="44" t="n">
        <v>12.2</v>
      </c>
      <c r="X247" s="42" t="n">
        <v>2007</v>
      </c>
      <c r="Y247" s="42" t="n">
        <v>21</v>
      </c>
      <c r="Z247" s="44" t="n">
        <v>13.4</v>
      </c>
      <c r="AA247" s="42" t="n">
        <v>2007</v>
      </c>
      <c r="AB247" s="42" t="n">
        <v>25</v>
      </c>
      <c r="AC247" s="44" t="n">
        <v>13.6</v>
      </c>
      <c r="AD247" s="42" t="n">
        <v>1979</v>
      </c>
      <c r="AE247" s="42" t="n">
        <v>30</v>
      </c>
      <c r="AF247" s="44" t="n">
        <v>13.6</v>
      </c>
      <c r="AG247" s="42" t="n">
        <v>1985</v>
      </c>
      <c r="AH247" s="42" t="n">
        <v>2</v>
      </c>
      <c r="AI247" s="44" t="n">
        <v>12.8</v>
      </c>
      <c r="AJ247" s="42" t="n">
        <v>1979</v>
      </c>
      <c r="AK247" s="42" t="n">
        <v>30</v>
      </c>
      <c r="AL247" s="44" t="n">
        <v>11.2</v>
      </c>
      <c r="AM247" s="42" t="n">
        <v>1996</v>
      </c>
      <c r="AN247" s="42" t="n">
        <v>2</v>
      </c>
      <c r="AO247" s="44" t="n">
        <v>13</v>
      </c>
      <c r="AP247" s="42" t="n">
        <v>1982</v>
      </c>
      <c r="AQ247" s="42" t="n">
        <v>21</v>
      </c>
    </row>
    <row r="248" ht="14.45" customHeight="1">
      <c r="A248" s="42" t="n">
        <v>47015080</v>
      </c>
      <c r="B248" s="42" t="inlineStr">
        <is>
          <t>MONOPAMBA [47015080]</t>
        </is>
      </c>
      <c r="C248" s="42" t="n">
        <v>0.804916667</v>
      </c>
      <c r="D248" s="42" t="n">
        <v>-77.30361111000001</v>
      </c>
      <c r="E248" s="42" t="n">
        <v>1776</v>
      </c>
      <c r="F248" s="42" t="inlineStr">
        <is>
          <t>Puerres</t>
        </is>
      </c>
      <c r="G248" s="42" t="inlineStr">
        <is>
          <t>Nariño</t>
        </is>
      </c>
      <c r="H248" s="44" t="n">
        <v>9</v>
      </c>
      <c r="I248" s="42" t="n">
        <v>1987</v>
      </c>
      <c r="J248" s="42" t="n">
        <v>7</v>
      </c>
      <c r="K248" s="44" t="n">
        <v>9.6</v>
      </c>
      <c r="L248" s="42" t="n">
        <v>1985</v>
      </c>
      <c r="M248" s="42" t="n">
        <v>5</v>
      </c>
      <c r="N248" s="44" t="n">
        <v>10</v>
      </c>
      <c r="O248" s="42" t="n">
        <v>1989</v>
      </c>
      <c r="P248" s="42" t="n">
        <v>26</v>
      </c>
      <c r="Q248" s="44" t="n">
        <v>10.4</v>
      </c>
      <c r="R248" s="42" t="n">
        <v>2013</v>
      </c>
      <c r="S248" s="42" t="n">
        <v>25</v>
      </c>
      <c r="T248" s="44" t="n">
        <v>10.4</v>
      </c>
      <c r="U248" s="42" t="n">
        <v>1986</v>
      </c>
      <c r="V248" s="42" t="n">
        <v>31</v>
      </c>
      <c r="W248" s="44" t="n">
        <v>10.1</v>
      </c>
      <c r="X248" s="42" t="n">
        <v>1985</v>
      </c>
      <c r="Y248" s="42" t="n">
        <v>11</v>
      </c>
      <c r="Z248" s="44" t="n">
        <v>8.5</v>
      </c>
      <c r="AA248" s="42" t="n">
        <v>2007</v>
      </c>
      <c r="AB248" s="42" t="n">
        <v>28</v>
      </c>
      <c r="AC248" s="44" t="n">
        <v>9</v>
      </c>
      <c r="AD248" s="42" t="n">
        <v>1993</v>
      </c>
      <c r="AE248" s="42" t="n">
        <v>8</v>
      </c>
      <c r="AF248" s="44" t="n">
        <v>9</v>
      </c>
      <c r="AG248" s="42" t="n">
        <v>2001</v>
      </c>
      <c r="AH248" s="42" t="n">
        <v>10</v>
      </c>
      <c r="AI248" s="44" t="n">
        <v>10.2</v>
      </c>
      <c r="AJ248" s="42" t="n">
        <v>1987</v>
      </c>
      <c r="AK248" s="42" t="n">
        <v>9</v>
      </c>
      <c r="AL248" s="44" t="n">
        <v>9</v>
      </c>
      <c r="AM248" s="42" t="n">
        <v>2018</v>
      </c>
      <c r="AN248" s="42" t="n">
        <v>19</v>
      </c>
      <c r="AO248" s="44" t="n">
        <v>10</v>
      </c>
      <c r="AP248" s="42" t="n">
        <v>2018</v>
      </c>
      <c r="AQ248" s="42" t="n">
        <v>9</v>
      </c>
    </row>
    <row r="249" ht="14.45" customHeight="1">
      <c r="A249" s="42" t="n">
        <v>23195090</v>
      </c>
      <c r="B249" s="42" t="inlineStr">
        <is>
          <t>VIVERO SURATA  - AUT [23195090]</t>
        </is>
      </c>
      <c r="C249" s="42" t="n">
        <v>7.36583</v>
      </c>
      <c r="D249" s="42" t="n">
        <v>-72.9875</v>
      </c>
      <c r="E249" s="42" t="n">
        <v>1791</v>
      </c>
      <c r="F249" s="42" t="inlineStr">
        <is>
          <t>Suratá</t>
        </is>
      </c>
      <c r="G249" s="42" t="inlineStr">
        <is>
          <t>Santander</t>
        </is>
      </c>
      <c r="H249" s="44" t="n">
        <v>9</v>
      </c>
      <c r="I249" s="42" t="n">
        <v>2025</v>
      </c>
      <c r="J249" s="42" t="n">
        <v>21</v>
      </c>
      <c r="K249" s="44" t="n">
        <v>9</v>
      </c>
      <c r="L249" s="42" t="n">
        <v>1982</v>
      </c>
      <c r="M249" s="42" t="n">
        <v>12</v>
      </c>
      <c r="N249" s="44" t="n">
        <v>9.6</v>
      </c>
      <c r="O249" s="42" t="n">
        <v>2023</v>
      </c>
      <c r="P249" s="42" t="n">
        <v>4</v>
      </c>
      <c r="Q249" s="44" t="n">
        <v>9</v>
      </c>
      <c r="R249" s="42" t="n">
        <v>1982</v>
      </c>
      <c r="S249" s="42" t="n">
        <v>16</v>
      </c>
      <c r="T249" s="44" t="n">
        <v>9.6</v>
      </c>
      <c r="U249" s="42" t="n">
        <v>1982</v>
      </c>
      <c r="V249" s="42" t="n">
        <v>14</v>
      </c>
      <c r="W249" s="44" t="n">
        <v>10</v>
      </c>
      <c r="X249" s="42" t="n">
        <v>2004</v>
      </c>
      <c r="Y249" s="42" t="n">
        <v>25</v>
      </c>
      <c r="Z249" s="44" t="n">
        <v>9.4</v>
      </c>
      <c r="AA249" s="42" t="n">
        <v>1985</v>
      </c>
      <c r="AB249" s="42" t="n">
        <v>9</v>
      </c>
      <c r="AC249" s="44" t="n">
        <v>10.4</v>
      </c>
      <c r="AD249" s="42" t="n">
        <v>1982</v>
      </c>
      <c r="AE249" s="42" t="n">
        <v>7</v>
      </c>
      <c r="AF249" s="44" t="n">
        <v>11</v>
      </c>
      <c r="AG249" s="42" t="n">
        <v>1986</v>
      </c>
      <c r="AH249" s="42" t="n">
        <v>2</v>
      </c>
      <c r="AI249" s="44" t="n">
        <v>9.4</v>
      </c>
      <c r="AJ249" s="42" t="n">
        <v>1978</v>
      </c>
      <c r="AK249" s="42" t="n">
        <v>20</v>
      </c>
      <c r="AL249" s="44" t="n">
        <v>10</v>
      </c>
      <c r="AM249" s="42" t="n">
        <v>1997</v>
      </c>
      <c r="AN249" s="42" t="n">
        <v>30</v>
      </c>
      <c r="AO249" s="44" t="n">
        <v>9.199999999999999</v>
      </c>
      <c r="AP249" s="42" t="n">
        <v>1985</v>
      </c>
      <c r="AQ249" s="42" t="n">
        <v>19</v>
      </c>
    </row>
    <row r="250" ht="14.45" customHeight="1">
      <c r="A250" s="42" t="n">
        <v>52045020</v>
      </c>
      <c r="B250" s="42" t="inlineStr">
        <is>
          <t>AEROPUERTO ANTONIO NARINO [52045020]</t>
        </is>
      </c>
      <c r="C250" s="42" t="n">
        <v>1.394083333</v>
      </c>
      <c r="D250" s="42" t="n">
        <v>-77.29086110999999</v>
      </c>
      <c r="E250" s="42" t="n">
        <v>1796</v>
      </c>
      <c r="F250" s="42" t="inlineStr">
        <is>
          <t>Chachaguí</t>
        </is>
      </c>
      <c r="G250" s="42" t="inlineStr">
        <is>
          <t>Nariño</t>
        </is>
      </c>
      <c r="H250" s="44" t="n">
        <v>10</v>
      </c>
      <c r="I250" s="42" t="n">
        <v>1979</v>
      </c>
      <c r="J250" s="42" t="n">
        <v>12</v>
      </c>
      <c r="K250" s="44" t="n">
        <v>10</v>
      </c>
      <c r="L250" s="42" t="n">
        <v>1979</v>
      </c>
      <c r="M250" s="42" t="n">
        <v>9</v>
      </c>
      <c r="N250" s="44" t="n">
        <v>11.3</v>
      </c>
      <c r="O250" s="42" t="n">
        <v>1989</v>
      </c>
      <c r="P250" s="42" t="n">
        <v>26</v>
      </c>
      <c r="Q250" s="44" t="n">
        <v>11.8</v>
      </c>
      <c r="R250" s="42" t="n">
        <v>2003</v>
      </c>
      <c r="S250" s="42" t="n">
        <v>17</v>
      </c>
      <c r="T250" s="44" t="n">
        <v>11.4</v>
      </c>
      <c r="U250" s="42" t="n">
        <v>2002</v>
      </c>
      <c r="V250" s="42" t="n">
        <v>26</v>
      </c>
      <c r="W250" s="44" t="n">
        <v>10</v>
      </c>
      <c r="X250" s="42" t="n">
        <v>1980</v>
      </c>
      <c r="Y250" s="42" t="n">
        <v>27</v>
      </c>
      <c r="Z250" s="44" t="n">
        <v>10</v>
      </c>
      <c r="AA250" s="42" t="n">
        <v>1980</v>
      </c>
      <c r="AB250" s="42" t="n">
        <v>7</v>
      </c>
      <c r="AC250" s="44" t="n">
        <v>11.2</v>
      </c>
      <c r="AD250" s="42" t="n">
        <v>1980</v>
      </c>
      <c r="AE250" s="42" t="n">
        <v>4</v>
      </c>
      <c r="AF250" s="44" t="n">
        <v>10.4</v>
      </c>
      <c r="AG250" s="42" t="n">
        <v>1984</v>
      </c>
      <c r="AH250" s="42" t="n">
        <v>12</v>
      </c>
      <c r="AI250" s="44" t="n">
        <v>11</v>
      </c>
      <c r="AJ250" s="42" t="n">
        <v>1979</v>
      </c>
      <c r="AK250" s="42" t="n">
        <v>1</v>
      </c>
      <c r="AL250" s="44" t="n">
        <v>9.199999999999999</v>
      </c>
      <c r="AM250" s="42" t="n">
        <v>1996</v>
      </c>
      <c r="AN250" s="42" t="n">
        <v>22</v>
      </c>
      <c r="AO250" s="44" t="n">
        <v>9</v>
      </c>
      <c r="AP250" s="42" t="n">
        <v>1980</v>
      </c>
      <c r="AQ250" s="42" t="n">
        <v>23</v>
      </c>
    </row>
    <row r="251" ht="14.45" customHeight="1">
      <c r="A251" s="42" t="n">
        <v>21015030</v>
      </c>
      <c r="B251" s="42" t="inlineStr">
        <is>
          <t>PARQUE ARQUEOLOGICO - AUT [21015030]</t>
        </is>
      </c>
      <c r="C251" s="42" t="n">
        <v>1.888472222</v>
      </c>
      <c r="D251" s="42" t="n">
        <v>-76.29497222000001</v>
      </c>
      <c r="E251" s="42" t="n">
        <v>1800</v>
      </c>
      <c r="F251" s="42" t="inlineStr">
        <is>
          <t>San Agustín</t>
        </is>
      </c>
      <c r="G251" s="42" t="inlineStr">
        <is>
          <t>Huila</t>
        </is>
      </c>
      <c r="H251" s="44" t="n">
        <v>10</v>
      </c>
      <c r="I251" s="42" t="n">
        <v>2018</v>
      </c>
      <c r="J251" s="42" t="n">
        <v>24</v>
      </c>
      <c r="K251" s="44" t="n">
        <v>10</v>
      </c>
      <c r="L251" s="42" t="n">
        <v>1980</v>
      </c>
      <c r="M251" s="42" t="n">
        <v>23</v>
      </c>
      <c r="N251" s="44" t="n">
        <v>11</v>
      </c>
      <c r="O251" s="42" t="n">
        <v>1978</v>
      </c>
      <c r="P251" s="42" t="n">
        <v>14</v>
      </c>
      <c r="Q251" s="44" t="n">
        <v>10</v>
      </c>
      <c r="R251" s="42" t="n">
        <v>2013</v>
      </c>
      <c r="S251" s="42" t="n">
        <v>26</v>
      </c>
      <c r="T251" s="44" t="n">
        <v>11</v>
      </c>
      <c r="U251" s="42" t="n">
        <v>1978</v>
      </c>
      <c r="V251" s="42" t="n">
        <v>10</v>
      </c>
      <c r="W251" s="44" t="n">
        <v>10.8</v>
      </c>
      <c r="X251" s="42" t="n">
        <v>1986</v>
      </c>
      <c r="Y251" s="42" t="n">
        <v>3</v>
      </c>
      <c r="Z251" s="44" t="n">
        <v>8.5</v>
      </c>
      <c r="AA251" s="42" t="n">
        <v>1978</v>
      </c>
      <c r="AB251" s="42" t="n">
        <v>26</v>
      </c>
      <c r="AC251" s="44" t="n">
        <v>7</v>
      </c>
      <c r="AD251" s="42" t="n">
        <v>1978</v>
      </c>
      <c r="AE251" s="42" t="n">
        <v>17</v>
      </c>
      <c r="AF251" s="44" t="n">
        <v>10</v>
      </c>
      <c r="AG251" s="42" t="n">
        <v>1984</v>
      </c>
      <c r="AH251" s="42" t="n">
        <v>1</v>
      </c>
      <c r="AI251" s="44" t="n">
        <v>10.4</v>
      </c>
      <c r="AJ251" s="42" t="n">
        <v>1991</v>
      </c>
      <c r="AK251" s="42" t="n">
        <v>15</v>
      </c>
      <c r="AL251" s="44" t="n">
        <v>10.2</v>
      </c>
      <c r="AM251" s="42" t="n">
        <v>1994</v>
      </c>
      <c r="AN251" s="42" t="n">
        <v>3</v>
      </c>
      <c r="AO251" s="44" t="n">
        <v>10.2</v>
      </c>
      <c r="AP251" s="42" t="n">
        <v>1985</v>
      </c>
      <c r="AQ251" s="42" t="n">
        <v>18</v>
      </c>
    </row>
    <row r="252" ht="14.45" customHeight="1">
      <c r="A252" s="42" t="n">
        <v>24055030</v>
      </c>
      <c r="B252" s="42" t="inlineStr">
        <is>
          <t>ZAPATOCA [24055030]</t>
        </is>
      </c>
      <c r="C252" s="42" t="n">
        <v>6.792777778</v>
      </c>
      <c r="D252" s="42" t="n">
        <v>-73.28274999999999</v>
      </c>
      <c r="E252" s="42" t="n">
        <v>1810</v>
      </c>
      <c r="F252" s="42" t="inlineStr">
        <is>
          <t>Zapatoca</t>
        </is>
      </c>
      <c r="G252" s="42" t="inlineStr">
        <is>
          <t>Santander</t>
        </is>
      </c>
      <c r="H252" s="44" t="n">
        <v>10</v>
      </c>
      <c r="I252" s="42" t="n">
        <v>1989</v>
      </c>
      <c r="J252" s="42" t="n">
        <v>11</v>
      </c>
      <c r="K252" s="44" t="n">
        <v>10</v>
      </c>
      <c r="L252" s="42" t="n">
        <v>1989</v>
      </c>
      <c r="M252" s="42" t="n">
        <v>17</v>
      </c>
      <c r="N252" s="44" t="n">
        <v>10</v>
      </c>
      <c r="O252" s="42" t="n">
        <v>2011</v>
      </c>
      <c r="P252" s="42" t="n">
        <v>14</v>
      </c>
      <c r="Q252" s="44" t="n">
        <v>10</v>
      </c>
      <c r="R252" s="42" t="n">
        <v>1990</v>
      </c>
      <c r="S252" s="42" t="n">
        <v>20</v>
      </c>
      <c r="T252" s="44" t="n">
        <v>11</v>
      </c>
      <c r="U252" s="42" t="n">
        <v>1985</v>
      </c>
      <c r="V252" s="42" t="n">
        <v>2</v>
      </c>
      <c r="W252" s="44" t="n">
        <v>11.2</v>
      </c>
      <c r="X252" s="42" t="n">
        <v>1989</v>
      </c>
      <c r="Y252" s="42" t="n">
        <v>17</v>
      </c>
      <c r="Z252" s="44" t="n">
        <v>11</v>
      </c>
      <c r="AA252" s="42" t="n">
        <v>2004</v>
      </c>
      <c r="AB252" s="42" t="n">
        <v>29</v>
      </c>
      <c r="AC252" s="44" t="n">
        <v>10.6</v>
      </c>
      <c r="AD252" s="42" t="n">
        <v>1984</v>
      </c>
      <c r="AE252" s="42" t="n">
        <v>31</v>
      </c>
      <c r="AF252" s="44" t="n">
        <v>11</v>
      </c>
      <c r="AG252" s="42" t="n">
        <v>1990</v>
      </c>
      <c r="AH252" s="42" t="n">
        <v>11</v>
      </c>
      <c r="AI252" s="44" t="n">
        <v>10</v>
      </c>
      <c r="AJ252" s="42" t="n">
        <v>2011</v>
      </c>
      <c r="AK252" s="42" t="n">
        <v>22</v>
      </c>
      <c r="AL252" s="44" t="n">
        <v>10.4</v>
      </c>
      <c r="AM252" s="42" t="n">
        <v>1996</v>
      </c>
      <c r="AN252" s="42" t="n">
        <v>20</v>
      </c>
      <c r="AO252" s="44" t="n">
        <v>10.2</v>
      </c>
      <c r="AP252" s="42" t="n">
        <v>2003</v>
      </c>
      <c r="AQ252" s="42" t="n">
        <v>29</v>
      </c>
    </row>
    <row r="253" ht="14.45" customHeight="1">
      <c r="A253" s="42" t="n">
        <v>26025100</v>
      </c>
      <c r="B253" s="42" t="inlineStr">
        <is>
          <t>TUNIA [26025100]</t>
        </is>
      </c>
      <c r="C253" s="42" t="n">
        <v>2.674472222</v>
      </c>
      <c r="D253" s="42" t="n">
        <v>-76.52633333</v>
      </c>
      <c r="E253" s="42" t="n">
        <v>1822</v>
      </c>
      <c r="F253" s="42" t="inlineStr">
        <is>
          <t>Piendamó</t>
        </is>
      </c>
      <c r="G253" s="42" t="inlineStr">
        <is>
          <t>Cauca</t>
        </is>
      </c>
      <c r="H253" s="44" t="n">
        <v>10.5</v>
      </c>
      <c r="I253" s="42" t="n">
        <v>1992</v>
      </c>
      <c r="J253" s="42" t="n">
        <v>1</v>
      </c>
      <c r="K253" s="44" t="n">
        <v>10.7</v>
      </c>
      <c r="L253" s="42" t="n">
        <v>1992</v>
      </c>
      <c r="M253" s="42" t="n">
        <v>6</v>
      </c>
      <c r="N253" s="44" t="n">
        <v>11.4</v>
      </c>
      <c r="O253" s="42" t="n">
        <v>2011</v>
      </c>
      <c r="P253" s="42" t="n">
        <v>1</v>
      </c>
      <c r="Q253" s="44" t="n">
        <v>11.4</v>
      </c>
      <c r="R253" s="42" t="n">
        <v>2023</v>
      </c>
      <c r="S253" s="42" t="n">
        <v>6</v>
      </c>
      <c r="T253" s="44" t="n">
        <v>12.4</v>
      </c>
      <c r="U253" s="42" t="n">
        <v>2008</v>
      </c>
      <c r="V253" s="42" t="n">
        <v>12</v>
      </c>
      <c r="W253" s="44" t="n">
        <v>10.8</v>
      </c>
      <c r="X253" s="42" t="n">
        <v>2022</v>
      </c>
      <c r="Y253" s="42" t="n">
        <v>29</v>
      </c>
      <c r="Z253" s="44" t="n">
        <v>10.8</v>
      </c>
      <c r="AA253" s="42" t="n">
        <v>2022</v>
      </c>
      <c r="AB253" s="42" t="n">
        <v>11</v>
      </c>
      <c r="AC253" s="44" t="n">
        <v>10.8</v>
      </c>
      <c r="AD253" s="42" t="n">
        <v>1993</v>
      </c>
      <c r="AE253" s="42" t="n">
        <v>2</v>
      </c>
      <c r="AF253" s="44" t="n">
        <v>10.8</v>
      </c>
      <c r="AG253" s="42" t="n">
        <v>2019</v>
      </c>
      <c r="AH253" s="42" t="n">
        <v>11</v>
      </c>
      <c r="AI253" s="44" t="n">
        <v>10.6</v>
      </c>
      <c r="AJ253" s="42" t="n">
        <v>2012</v>
      </c>
      <c r="AK253" s="42" t="n">
        <v>24</v>
      </c>
      <c r="AL253" s="44" t="n">
        <v>11.6</v>
      </c>
      <c r="AM253" s="42" t="n">
        <v>1992</v>
      </c>
      <c r="AN253" s="42" t="n">
        <v>11</v>
      </c>
      <c r="AO253" s="44" t="n">
        <v>10.6</v>
      </c>
      <c r="AP253" s="42" t="n">
        <v>1997</v>
      </c>
      <c r="AQ253" s="42" t="n">
        <v>14</v>
      </c>
    </row>
    <row r="254" ht="14.45" customHeight="1">
      <c r="A254" s="42" t="n">
        <v>11075020</v>
      </c>
      <c r="B254" s="42" t="inlineStr">
        <is>
          <t>URRAO [11075020]</t>
        </is>
      </c>
      <c r="C254" s="42" t="n">
        <v>6.298305556</v>
      </c>
      <c r="D254" s="42" t="n">
        <v>-76.143305556</v>
      </c>
      <c r="E254" s="42" t="n">
        <v>1833</v>
      </c>
      <c r="F254" s="42" t="inlineStr">
        <is>
          <t>Urrao</t>
        </is>
      </c>
      <c r="G254" s="42" t="inlineStr">
        <is>
          <t>Antioquia</t>
        </is>
      </c>
      <c r="H254" s="44" t="n">
        <v>6.6</v>
      </c>
      <c r="I254" s="42" t="n">
        <v>1998</v>
      </c>
      <c r="J254" s="42" t="n">
        <v>28</v>
      </c>
      <c r="K254" s="44" t="n">
        <v>8</v>
      </c>
      <c r="L254" s="42" t="n">
        <v>1995</v>
      </c>
      <c r="M254" s="42" t="n">
        <v>22</v>
      </c>
      <c r="N254" s="44" t="n">
        <v>6</v>
      </c>
      <c r="O254" s="42" t="n">
        <v>1995</v>
      </c>
      <c r="P254" s="42" t="n">
        <v>15</v>
      </c>
      <c r="Q254" s="44" t="n">
        <v>9</v>
      </c>
      <c r="R254" s="42" t="n">
        <v>1995</v>
      </c>
      <c r="S254" s="42" t="n">
        <v>15</v>
      </c>
      <c r="T254" s="44" t="n">
        <v>9.4</v>
      </c>
      <c r="U254" s="42" t="n">
        <v>1992</v>
      </c>
      <c r="V254" s="42" t="n">
        <v>23</v>
      </c>
      <c r="W254" s="44" t="n">
        <v>8</v>
      </c>
      <c r="X254" s="42" t="n">
        <v>2018</v>
      </c>
      <c r="Y254" s="42" t="n">
        <v>27</v>
      </c>
      <c r="Z254" s="44" t="n">
        <v>8.800000000000001</v>
      </c>
      <c r="AA254" s="42" t="n">
        <v>2004</v>
      </c>
      <c r="AB254" s="42" t="n">
        <v>17</v>
      </c>
      <c r="AC254" s="44" t="n">
        <v>9.199999999999999</v>
      </c>
      <c r="AD254" s="42" t="n">
        <v>2025</v>
      </c>
      <c r="AE254" s="42" t="n">
        <v>29</v>
      </c>
      <c r="AF254" s="44" t="n">
        <v>8.800000000000001</v>
      </c>
      <c r="AG254" s="42" t="n">
        <v>1998</v>
      </c>
      <c r="AH254" s="42" t="n">
        <v>29</v>
      </c>
      <c r="AI254" s="44" t="n">
        <v>7.4</v>
      </c>
      <c r="AJ254" s="42" t="n">
        <v>1995</v>
      </c>
      <c r="AK254" s="42" t="n">
        <v>12</v>
      </c>
      <c r="AL254" s="44" t="n">
        <v>7.4</v>
      </c>
      <c r="AM254" s="42" t="n">
        <v>1996</v>
      </c>
      <c r="AN254" s="42" t="n">
        <v>20</v>
      </c>
      <c r="AO254" s="44" t="n">
        <v>6</v>
      </c>
      <c r="AP254" s="42" t="n">
        <v>2019</v>
      </c>
      <c r="AQ254" s="42" t="n">
        <v>9</v>
      </c>
    </row>
    <row r="255" ht="14.45" customHeight="1">
      <c r="A255" s="42" t="n">
        <v>21206180</v>
      </c>
      <c r="B255" s="42" t="inlineStr">
        <is>
          <t>PRIMAVERA D' MATIMA [21206180]</t>
        </is>
      </c>
      <c r="C255" s="42" t="n">
        <v>4.8055</v>
      </c>
      <c r="D255" s="42" t="n">
        <v>-74.44347222</v>
      </c>
      <c r="E255" s="42" t="n">
        <v>1850</v>
      </c>
      <c r="F255" s="42" t="inlineStr">
        <is>
          <t>Anolaima</t>
        </is>
      </c>
      <c r="G255" s="42" t="inlineStr">
        <is>
          <t>Cundinamarca</t>
        </is>
      </c>
      <c r="H255" s="44" t="n">
        <v>8.699999999999999</v>
      </c>
      <c r="I255" s="42" t="n">
        <v>2003</v>
      </c>
      <c r="J255" s="42" t="n">
        <v>9</v>
      </c>
      <c r="K255" s="44" t="n">
        <v>8.800000000000001</v>
      </c>
      <c r="L255" s="42" t="n">
        <v>2012</v>
      </c>
      <c r="M255" s="42" t="n">
        <v>1</v>
      </c>
      <c r="N255" s="44" t="n">
        <v>8.800000000000001</v>
      </c>
      <c r="O255" s="42" t="n">
        <v>2012</v>
      </c>
      <c r="P255" s="42" t="n">
        <v>6</v>
      </c>
      <c r="Q255" s="44" t="n">
        <v>10</v>
      </c>
      <c r="R255" s="42" t="n">
        <v>2009</v>
      </c>
      <c r="S255" s="42" t="n">
        <v>16</v>
      </c>
      <c r="T255" s="44" t="n">
        <v>10.2</v>
      </c>
      <c r="U255" s="42" t="n">
        <v>2006</v>
      </c>
      <c r="V255" s="42" t="n">
        <v>30</v>
      </c>
      <c r="W255" s="44" t="n">
        <v>10.4</v>
      </c>
      <c r="X255" s="42" t="n">
        <v>2004</v>
      </c>
      <c r="Y255" s="42" t="n">
        <v>26</v>
      </c>
      <c r="Z255" s="44" t="n">
        <v>9.800000000000001</v>
      </c>
      <c r="AA255" s="42" t="n">
        <v>2011</v>
      </c>
      <c r="AB255" s="42" t="n">
        <v>22</v>
      </c>
      <c r="AC255" s="44" t="n">
        <v>8.199999999999999</v>
      </c>
      <c r="AD255" s="42" t="n">
        <v>2010</v>
      </c>
      <c r="AE255" s="42" t="n">
        <v>9</v>
      </c>
      <c r="AF255" s="44" t="n">
        <v>10.2</v>
      </c>
      <c r="AG255" s="42" t="n">
        <v>2011</v>
      </c>
      <c r="AH255" s="42" t="n">
        <v>6</v>
      </c>
      <c r="AI255" s="44" t="n">
        <v>10.6</v>
      </c>
      <c r="AJ255" s="42" t="n">
        <v>1991</v>
      </c>
      <c r="AK255" s="42" t="n">
        <v>25</v>
      </c>
      <c r="AL255" s="44" t="n">
        <v>10.2</v>
      </c>
      <c r="AM255" s="42" t="n">
        <v>2007</v>
      </c>
      <c r="AN255" s="42" t="n">
        <v>4</v>
      </c>
      <c r="AO255" s="44" t="n">
        <v>9.4</v>
      </c>
      <c r="AP255" s="42" t="n">
        <v>2011</v>
      </c>
      <c r="AQ255" s="42" t="n">
        <v>8</v>
      </c>
    </row>
    <row r="256" ht="14.45" customHeight="1">
      <c r="A256" s="42" t="n">
        <v>26025090</v>
      </c>
      <c r="B256" s="42" t="inlineStr">
        <is>
          <t>VENTA DE CAJIBIO [26025090]</t>
        </is>
      </c>
      <c r="C256" s="42" t="n">
        <v>2.58475</v>
      </c>
      <c r="D256" s="42" t="n">
        <v>-76.561833333</v>
      </c>
      <c r="E256" s="42" t="n">
        <v>1850</v>
      </c>
      <c r="F256" s="42" t="inlineStr">
        <is>
          <t>Cajibío</t>
        </is>
      </c>
      <c r="G256" s="42" t="inlineStr">
        <is>
          <t>Cauca</t>
        </is>
      </c>
      <c r="H256" s="44" t="n">
        <v>8</v>
      </c>
      <c r="I256" s="42" t="n">
        <v>1993</v>
      </c>
      <c r="J256" s="42" t="n">
        <v>4</v>
      </c>
      <c r="K256" s="44" t="n">
        <v>8.800000000000001</v>
      </c>
      <c r="L256" s="42" t="n">
        <v>1989</v>
      </c>
      <c r="M256" s="42" t="n">
        <v>28</v>
      </c>
      <c r="N256" s="44" t="n">
        <v>10</v>
      </c>
      <c r="O256" s="42" t="n">
        <v>1978</v>
      </c>
      <c r="P256" s="42" t="n">
        <v>20</v>
      </c>
      <c r="Q256" s="44" t="n">
        <v>8.800000000000001</v>
      </c>
      <c r="R256" s="42" t="n">
        <v>1987</v>
      </c>
      <c r="S256" s="42" t="n">
        <v>12</v>
      </c>
      <c r="T256" s="44" t="n">
        <v>9.800000000000001</v>
      </c>
      <c r="U256" s="42" t="n">
        <v>1992</v>
      </c>
      <c r="V256" s="42" t="n">
        <v>22</v>
      </c>
      <c r="W256" s="44" t="n">
        <v>9</v>
      </c>
      <c r="X256" s="42" t="n">
        <v>1985</v>
      </c>
      <c r="Y256" s="42" t="n">
        <v>30</v>
      </c>
      <c r="Z256" s="44" t="n">
        <v>10</v>
      </c>
      <c r="AA256" s="42" t="n">
        <v>1999</v>
      </c>
      <c r="AB256" s="42" t="n">
        <v>16</v>
      </c>
      <c r="AC256" s="44" t="n">
        <v>9.199999999999999</v>
      </c>
      <c r="AD256" s="42" t="n">
        <v>1985</v>
      </c>
      <c r="AE256" s="42" t="n">
        <v>31</v>
      </c>
      <c r="AF256" s="44" t="n">
        <v>10</v>
      </c>
      <c r="AG256" s="42" t="n">
        <v>1985</v>
      </c>
      <c r="AH256" s="42" t="n">
        <v>21</v>
      </c>
      <c r="AI256" s="44" t="n">
        <v>10</v>
      </c>
      <c r="AJ256" s="42" t="n">
        <v>1985</v>
      </c>
      <c r="AK256" s="42" t="n">
        <v>29</v>
      </c>
      <c r="AL256" s="44" t="n">
        <v>9.800000000000001</v>
      </c>
      <c r="AM256" s="42" t="n">
        <v>1985</v>
      </c>
      <c r="AN256" s="42" t="n">
        <v>3</v>
      </c>
      <c r="AO256" s="44" t="n">
        <v>7.8</v>
      </c>
      <c r="AP256" s="42" t="n">
        <v>1988</v>
      </c>
      <c r="AQ256" s="42" t="n">
        <v>29</v>
      </c>
    </row>
    <row r="257" ht="14.45" customHeight="1">
      <c r="A257" s="42" t="n">
        <v>52025090</v>
      </c>
      <c r="B257" s="42" t="inlineStr">
        <is>
          <t>LA SIERRA - AUT [52025090]</t>
        </is>
      </c>
      <c r="C257" s="42" t="n">
        <v>2.193833333</v>
      </c>
      <c r="D257" s="42" t="n">
        <v>-76.75033333</v>
      </c>
      <c r="E257" s="42" t="n">
        <v>1870</v>
      </c>
      <c r="F257" s="42" t="inlineStr">
        <is>
          <t>La Sierra</t>
        </is>
      </c>
      <c r="G257" s="42" t="inlineStr">
        <is>
          <t>Cauca</t>
        </is>
      </c>
      <c r="H257" s="44" t="n">
        <v>9.4</v>
      </c>
      <c r="I257" s="42" t="n">
        <v>1986</v>
      </c>
      <c r="J257" s="42" t="n">
        <v>1</v>
      </c>
      <c r="K257" s="44" t="n">
        <v>9.6</v>
      </c>
      <c r="L257" s="42" t="n">
        <v>1983</v>
      </c>
      <c r="M257" s="42" t="n">
        <v>6</v>
      </c>
      <c r="N257" s="44" t="n">
        <v>9.199999999999999</v>
      </c>
      <c r="O257" s="42" t="n">
        <v>1983</v>
      </c>
      <c r="P257" s="42" t="n">
        <v>18</v>
      </c>
      <c r="Q257" s="44" t="n">
        <v>9</v>
      </c>
      <c r="R257" s="42" t="n">
        <v>1994</v>
      </c>
      <c r="S257" s="42" t="n">
        <v>24</v>
      </c>
      <c r="T257" s="44" t="n">
        <v>9</v>
      </c>
      <c r="U257" s="42" t="n">
        <v>1983</v>
      </c>
      <c r="V257" s="42" t="n">
        <v>9</v>
      </c>
      <c r="W257" s="44" t="n">
        <v>9.6</v>
      </c>
      <c r="X257" s="42" t="n">
        <v>1983</v>
      </c>
      <c r="Y257" s="42" t="n">
        <v>7</v>
      </c>
      <c r="Z257" s="44" t="n">
        <v>10</v>
      </c>
      <c r="AA257" s="42" t="n">
        <v>1983</v>
      </c>
      <c r="AB257" s="42" t="n">
        <v>2</v>
      </c>
      <c r="AC257" s="44" t="n">
        <v>10</v>
      </c>
      <c r="AD257" s="42" t="n">
        <v>1983</v>
      </c>
      <c r="AE257" s="42" t="n">
        <v>28</v>
      </c>
      <c r="AF257" s="44" t="n">
        <v>10.2</v>
      </c>
      <c r="AG257" s="42" t="n">
        <v>1989</v>
      </c>
      <c r="AH257" s="42" t="n">
        <v>13</v>
      </c>
      <c r="AI257" s="44" t="n">
        <v>10</v>
      </c>
      <c r="AJ257" s="42" t="n">
        <v>1982</v>
      </c>
      <c r="AK257" s="42" t="n">
        <v>16</v>
      </c>
      <c r="AL257" s="44" t="n">
        <v>10</v>
      </c>
      <c r="AM257" s="42" t="n">
        <v>1989</v>
      </c>
      <c r="AN257" s="42" t="n">
        <v>27</v>
      </c>
      <c r="AO257" s="44" t="n">
        <v>6.6</v>
      </c>
      <c r="AP257" s="42" t="n">
        <v>1983</v>
      </c>
      <c r="AQ257" s="42" t="n">
        <v>7</v>
      </c>
    </row>
    <row r="258" ht="14.45" customHeight="1">
      <c r="A258" s="42" t="n">
        <v>52045040</v>
      </c>
      <c r="B258" s="42" t="inlineStr">
        <is>
          <t>TAMINANGO [52045040]</t>
        </is>
      </c>
      <c r="C258" s="42" t="n">
        <v>1.549166667</v>
      </c>
      <c r="D258" s="42" t="n">
        <v>-77.2675</v>
      </c>
      <c r="E258" s="42" t="n">
        <v>1875</v>
      </c>
      <c r="F258" s="42" t="inlineStr">
        <is>
          <t>Taminango</t>
        </is>
      </c>
      <c r="G258" s="42" t="inlineStr">
        <is>
          <t>Nariño</t>
        </is>
      </c>
      <c r="H258" s="44" t="n">
        <v>10.2</v>
      </c>
      <c r="I258" s="42" t="n">
        <v>1984</v>
      </c>
      <c r="J258" s="42" t="n">
        <v>4</v>
      </c>
      <c r="K258" s="44" t="n">
        <v>10</v>
      </c>
      <c r="L258" s="42" t="n">
        <v>1984</v>
      </c>
      <c r="M258" s="42" t="n">
        <v>16</v>
      </c>
      <c r="N258" s="44" t="n">
        <v>11</v>
      </c>
      <c r="O258" s="42" t="n">
        <v>1989</v>
      </c>
      <c r="P258" s="42" t="n">
        <v>28</v>
      </c>
      <c r="Q258" s="44" t="n">
        <v>9</v>
      </c>
      <c r="R258" s="42" t="n">
        <v>2009</v>
      </c>
      <c r="S258" s="42" t="n">
        <v>8</v>
      </c>
      <c r="T258" s="44" t="n">
        <v>10.2</v>
      </c>
      <c r="U258" s="42" t="n">
        <v>1984</v>
      </c>
      <c r="V258" s="42" t="n">
        <v>30</v>
      </c>
      <c r="W258" s="44" t="n">
        <v>11.3</v>
      </c>
      <c r="X258" s="42" t="n">
        <v>1984</v>
      </c>
      <c r="Y258" s="42" t="n">
        <v>3</v>
      </c>
      <c r="Z258" s="44" t="n">
        <v>11</v>
      </c>
      <c r="AA258" s="42" t="n">
        <v>2003</v>
      </c>
      <c r="AB258" s="42" t="n">
        <v>16</v>
      </c>
      <c r="AC258" s="44" t="n">
        <v>11</v>
      </c>
      <c r="AD258" s="42" t="n">
        <v>2006</v>
      </c>
      <c r="AE258" s="42" t="n">
        <v>21</v>
      </c>
      <c r="AF258" s="44" t="n">
        <v>10</v>
      </c>
      <c r="AG258" s="42" t="n">
        <v>1984</v>
      </c>
      <c r="AH258" s="42" t="n">
        <v>27</v>
      </c>
      <c r="AI258" s="44" t="n">
        <v>10</v>
      </c>
      <c r="AJ258" s="42" t="n">
        <v>1984</v>
      </c>
      <c r="AK258" s="42" t="n">
        <v>6</v>
      </c>
      <c r="AL258" s="44" t="n">
        <v>10</v>
      </c>
      <c r="AM258" s="42" t="n">
        <v>1983</v>
      </c>
      <c r="AN258" s="42" t="n">
        <v>24</v>
      </c>
      <c r="AO258" s="44" t="n">
        <v>10.2</v>
      </c>
      <c r="AP258" s="42" t="n">
        <v>1983</v>
      </c>
      <c r="AQ258" s="42" t="n">
        <v>11</v>
      </c>
    </row>
    <row r="259" ht="14.45" customHeight="1">
      <c r="A259" s="42" t="n">
        <v>23195180</v>
      </c>
      <c r="B259" s="42" t="inlineStr">
        <is>
          <t>ESCUELA AGRICOLA CACHIRA [23195180]</t>
        </is>
      </c>
      <c r="C259" s="42" t="n">
        <v>7.735277778</v>
      </c>
      <c r="D259" s="42" t="n">
        <v>-73.05166667</v>
      </c>
      <c r="E259" s="42" t="n">
        <v>1882</v>
      </c>
      <c r="F259" s="42" t="inlineStr">
        <is>
          <t>Cáchira</t>
        </is>
      </c>
      <c r="G259" s="42" t="inlineStr">
        <is>
          <t>Norte De Santander</t>
        </is>
      </c>
      <c r="H259" s="44" t="n">
        <v>5</v>
      </c>
      <c r="I259" s="42" t="n">
        <v>1979</v>
      </c>
      <c r="J259" s="42" t="n">
        <v>5</v>
      </c>
      <c r="K259" s="44" t="n">
        <v>4.6</v>
      </c>
      <c r="L259" s="42" t="n">
        <v>1991</v>
      </c>
      <c r="M259" s="42" t="n">
        <v>2</v>
      </c>
      <c r="N259" s="44" t="n">
        <v>6.2</v>
      </c>
      <c r="O259" s="42" t="n">
        <v>1990</v>
      </c>
      <c r="P259" s="42" t="n">
        <v>1</v>
      </c>
      <c r="Q259" s="44" t="n">
        <v>1.4</v>
      </c>
      <c r="R259" s="42" t="n">
        <v>2016</v>
      </c>
      <c r="S259" s="42" t="n">
        <v>10</v>
      </c>
      <c r="T259" s="44" t="n">
        <v>9.4</v>
      </c>
      <c r="U259" s="42" t="n">
        <v>1985</v>
      </c>
      <c r="V259" s="42" t="n">
        <v>17</v>
      </c>
      <c r="W259" s="44" t="n">
        <v>7.2</v>
      </c>
      <c r="X259" s="42" t="n">
        <v>1985</v>
      </c>
      <c r="Y259" s="42" t="n">
        <v>30</v>
      </c>
      <c r="Z259" s="44" t="n">
        <v>7</v>
      </c>
      <c r="AA259" s="42" t="n">
        <v>1989</v>
      </c>
      <c r="AB259" s="42" t="n">
        <v>3</v>
      </c>
      <c r="AC259" s="44" t="n">
        <v>6.4</v>
      </c>
      <c r="AD259" s="42" t="n">
        <v>1990</v>
      </c>
      <c r="AE259" s="42" t="n">
        <v>2</v>
      </c>
      <c r="AF259" s="44" t="n">
        <v>9.800000000000001</v>
      </c>
      <c r="AG259" s="42" t="n">
        <v>1996</v>
      </c>
      <c r="AH259" s="42" t="n">
        <v>23</v>
      </c>
      <c r="AI259" s="44" t="n">
        <v>9</v>
      </c>
      <c r="AJ259" s="42" t="n">
        <v>1992</v>
      </c>
      <c r="AK259" s="42" t="n">
        <v>13</v>
      </c>
      <c r="AL259" s="44" t="n">
        <v>8.6</v>
      </c>
      <c r="AM259" s="42" t="n">
        <v>1986</v>
      </c>
      <c r="AN259" s="42" t="n">
        <v>30</v>
      </c>
      <c r="AO259" s="44" t="n">
        <v>5.2</v>
      </c>
      <c r="AP259" s="42" t="n">
        <v>1985</v>
      </c>
      <c r="AQ259" s="42" t="n">
        <v>21</v>
      </c>
    </row>
    <row r="260" ht="14.45" customHeight="1">
      <c r="A260" s="42" t="n">
        <v>23195200</v>
      </c>
      <c r="B260" s="42" t="inlineStr">
        <is>
          <t>CACHIRI  - AUT [23195200]</t>
        </is>
      </c>
      <c r="C260" s="42" t="n">
        <v>7.47389</v>
      </c>
      <c r="D260" s="42" t="n">
        <v>-72.99111000000001</v>
      </c>
      <c r="E260" s="42" t="n">
        <v>1885</v>
      </c>
      <c r="F260" s="42" t="inlineStr">
        <is>
          <t>Suratá</t>
        </is>
      </c>
      <c r="G260" s="42" t="inlineStr">
        <is>
          <t>Santander</t>
        </is>
      </c>
      <c r="H260" s="44" t="n">
        <v>6</v>
      </c>
      <c r="I260" s="42" t="n">
        <v>1981</v>
      </c>
      <c r="J260" s="42" t="n">
        <v>1</v>
      </c>
      <c r="K260" s="44" t="n">
        <v>7.6</v>
      </c>
      <c r="L260" s="42" t="n">
        <v>1991</v>
      </c>
      <c r="M260" s="42" t="n">
        <v>9</v>
      </c>
      <c r="N260" s="44" t="n">
        <v>6</v>
      </c>
      <c r="O260" s="42" t="n">
        <v>1983</v>
      </c>
      <c r="P260" s="42" t="n">
        <v>3</v>
      </c>
      <c r="Q260" s="44" t="n">
        <v>8.6</v>
      </c>
      <c r="R260" s="42" t="n">
        <v>1993</v>
      </c>
      <c r="S260" s="42" t="n">
        <v>12</v>
      </c>
      <c r="T260" s="44" t="n">
        <v>10</v>
      </c>
      <c r="U260" s="42" t="n">
        <v>2003</v>
      </c>
      <c r="V260" s="42" t="n">
        <v>9</v>
      </c>
      <c r="W260" s="44" t="n">
        <v>8</v>
      </c>
      <c r="X260" s="42" t="n">
        <v>1987</v>
      </c>
      <c r="Y260" s="42" t="n">
        <v>25</v>
      </c>
      <c r="Z260" s="44" t="n">
        <v>7</v>
      </c>
      <c r="AA260" s="42" t="n">
        <v>2003</v>
      </c>
      <c r="AB260" s="42" t="n">
        <v>24</v>
      </c>
      <c r="AC260" s="44" t="n">
        <v>7</v>
      </c>
      <c r="AD260" s="42" t="n">
        <v>1991</v>
      </c>
      <c r="AE260" s="42" t="n">
        <v>1</v>
      </c>
      <c r="AF260" s="44" t="n">
        <v>10</v>
      </c>
      <c r="AG260" s="42" t="n">
        <v>1983</v>
      </c>
      <c r="AH260" s="42" t="n">
        <v>9</v>
      </c>
      <c r="AI260" s="44" t="n">
        <v>7.2</v>
      </c>
      <c r="AJ260" s="42" t="n">
        <v>1984</v>
      </c>
      <c r="AK260" s="42" t="n">
        <v>12</v>
      </c>
      <c r="AL260" s="44" t="n">
        <v>9.199999999999999</v>
      </c>
      <c r="AM260" s="42" t="n">
        <v>2007</v>
      </c>
      <c r="AN260" s="42" t="n">
        <v>15</v>
      </c>
      <c r="AO260" s="44" t="n">
        <v>6.4</v>
      </c>
      <c r="AP260" s="42" t="n">
        <v>1982</v>
      </c>
      <c r="AQ260" s="42" t="n">
        <v>16</v>
      </c>
    </row>
    <row r="261" ht="14.45" customHeight="1">
      <c r="A261" s="42" t="n">
        <v>24015280</v>
      </c>
      <c r="B261" s="42" t="inlineStr">
        <is>
          <t>GAMBITA [24015280]</t>
        </is>
      </c>
      <c r="C261" s="42" t="n">
        <v>5.944722222</v>
      </c>
      <c r="D261" s="42" t="n">
        <v>-73.34361111</v>
      </c>
      <c r="E261" s="42" t="n">
        <v>1900</v>
      </c>
      <c r="F261" s="42" t="inlineStr">
        <is>
          <t>Gámbita</t>
        </is>
      </c>
      <c r="G261" s="42" t="inlineStr">
        <is>
          <t>Santander</t>
        </is>
      </c>
      <c r="H261" s="44" t="n">
        <v>7.4</v>
      </c>
      <c r="I261" s="42" t="n">
        <v>2015</v>
      </c>
      <c r="J261" s="42" t="n">
        <v>7</v>
      </c>
      <c r="K261" s="44" t="n">
        <v>8.199999999999999</v>
      </c>
      <c r="L261" s="42" t="n">
        <v>1990</v>
      </c>
      <c r="M261" s="42" t="n">
        <v>23</v>
      </c>
      <c r="N261" s="44" t="n">
        <v>9.4</v>
      </c>
      <c r="O261" s="42" t="n">
        <v>1991</v>
      </c>
      <c r="P261" s="42" t="n">
        <v>21</v>
      </c>
      <c r="Q261" s="44" t="n">
        <v>9.800000000000001</v>
      </c>
      <c r="R261" s="42" t="n">
        <v>1980</v>
      </c>
      <c r="S261" s="42" t="n">
        <v>30</v>
      </c>
      <c r="T261" s="44" t="n">
        <v>10</v>
      </c>
      <c r="U261" s="42" t="n">
        <v>1980</v>
      </c>
      <c r="V261" s="42" t="n">
        <v>17</v>
      </c>
      <c r="W261" s="44" t="n">
        <v>9</v>
      </c>
      <c r="X261" s="42" t="n">
        <v>1980</v>
      </c>
      <c r="Y261" s="42" t="n">
        <v>22</v>
      </c>
      <c r="Z261" s="44" t="n">
        <v>9</v>
      </c>
      <c r="AA261" s="42" t="n">
        <v>1985</v>
      </c>
      <c r="AB261" s="42" t="n">
        <v>11</v>
      </c>
      <c r="AC261" s="44" t="n">
        <v>9.4</v>
      </c>
      <c r="AD261" s="42" t="n">
        <v>1998</v>
      </c>
      <c r="AE261" s="42" t="n">
        <v>17</v>
      </c>
      <c r="AF261" s="44" t="n">
        <v>8</v>
      </c>
      <c r="AG261" s="42" t="n">
        <v>1985</v>
      </c>
      <c r="AH261" s="42" t="n">
        <v>2</v>
      </c>
      <c r="AI261" s="44" t="n">
        <v>9</v>
      </c>
      <c r="AJ261" s="42" t="n">
        <v>1991</v>
      </c>
      <c r="AK261" s="42" t="n">
        <v>21</v>
      </c>
      <c r="AL261" s="44" t="n">
        <v>10</v>
      </c>
      <c r="AM261" s="42" t="n">
        <v>1984</v>
      </c>
      <c r="AN261" s="42" t="n">
        <v>14</v>
      </c>
      <c r="AO261" s="44" t="n">
        <v>8</v>
      </c>
      <c r="AP261" s="42" t="n">
        <v>1985</v>
      </c>
      <c r="AQ261" s="42" t="n">
        <v>17</v>
      </c>
    </row>
    <row r="262" ht="14.45" customHeight="1">
      <c r="A262" s="42" t="n">
        <v>21205670</v>
      </c>
      <c r="B262" s="42" t="inlineStr">
        <is>
          <t>LA FLORIDA [21205670]</t>
        </is>
      </c>
      <c r="C262" s="42" t="n">
        <v>4.767988</v>
      </c>
      <c r="D262" s="42" t="n">
        <v>-74.434235</v>
      </c>
      <c r="E262" s="42" t="n">
        <v>1915</v>
      </c>
      <c r="F262" s="42" t="inlineStr">
        <is>
          <t>Anolaima</t>
        </is>
      </c>
      <c r="G262" s="42" t="inlineStr">
        <is>
          <t>Cundinamarca</t>
        </is>
      </c>
      <c r="H262" s="44" t="n">
        <v>9</v>
      </c>
      <c r="I262" s="42" t="n">
        <v>1996</v>
      </c>
      <c r="J262" s="42" t="n">
        <v>12</v>
      </c>
      <c r="K262" s="44" t="n">
        <v>10</v>
      </c>
      <c r="L262" s="42" t="n">
        <v>1996</v>
      </c>
      <c r="M262" s="42" t="n">
        <v>27</v>
      </c>
      <c r="N262" s="44" t="n">
        <v>10.2</v>
      </c>
      <c r="O262" s="42" t="n">
        <v>1999</v>
      </c>
      <c r="P262" s="42" t="n">
        <v>7</v>
      </c>
      <c r="Q262" s="44" t="n">
        <v>10.6</v>
      </c>
      <c r="R262" s="42" t="n">
        <v>1996</v>
      </c>
      <c r="S262" s="42" t="n">
        <v>27</v>
      </c>
      <c r="T262" s="44" t="n">
        <v>9</v>
      </c>
      <c r="U262" s="42" t="n">
        <v>1996</v>
      </c>
      <c r="V262" s="42" t="n">
        <v>16</v>
      </c>
      <c r="W262" s="44" t="n">
        <v>10</v>
      </c>
      <c r="X262" s="42" t="n">
        <v>1992</v>
      </c>
      <c r="Y262" s="42" t="n">
        <v>24</v>
      </c>
      <c r="Z262" s="44" t="n">
        <v>9.4</v>
      </c>
      <c r="AA262" s="42" t="n">
        <v>1999</v>
      </c>
      <c r="AB262" s="42" t="n">
        <v>12</v>
      </c>
      <c r="AC262" s="44" t="n">
        <v>9.199999999999999</v>
      </c>
      <c r="AD262" s="42" t="n">
        <v>1995</v>
      </c>
      <c r="AE262" s="42" t="n">
        <v>19</v>
      </c>
      <c r="AF262" s="44" t="n">
        <v>10.2</v>
      </c>
      <c r="AG262" s="42" t="n">
        <v>1994</v>
      </c>
      <c r="AH262" s="42" t="n">
        <v>12</v>
      </c>
      <c r="AI262" s="44" t="n">
        <v>10</v>
      </c>
      <c r="AJ262" s="42" t="n">
        <v>2006</v>
      </c>
      <c r="AK262" s="42" t="n">
        <v>6</v>
      </c>
      <c r="AL262" s="44" t="n">
        <v>9.4</v>
      </c>
      <c r="AM262" s="42" t="n">
        <v>2010</v>
      </c>
      <c r="AN262" s="42" t="n">
        <v>13</v>
      </c>
      <c r="AO262" s="44" t="n">
        <v>9.800000000000001</v>
      </c>
      <c r="AP262" s="42" t="n">
        <v>2010</v>
      </c>
      <c r="AQ262" s="42" t="n">
        <v>6</v>
      </c>
    </row>
    <row r="263" ht="14.45" customHeight="1">
      <c r="A263" s="42" t="n">
        <v>27015260</v>
      </c>
      <c r="B263" s="42" t="inlineStr">
        <is>
          <t>LA SALADA [27015260]</t>
        </is>
      </c>
      <c r="C263" s="42" t="n">
        <v>6.048361111</v>
      </c>
      <c r="D263" s="42" t="n">
        <v>-75.62466667</v>
      </c>
      <c r="E263" s="42" t="n">
        <v>1923</v>
      </c>
      <c r="F263" s="42" t="inlineStr">
        <is>
          <t>Caldas</t>
        </is>
      </c>
      <c r="G263" s="42" t="inlineStr">
        <is>
          <t>Antioquia</t>
        </is>
      </c>
      <c r="H263" s="44" t="n">
        <v>8.800000000000001</v>
      </c>
      <c r="I263" s="42" t="n">
        <v>2001</v>
      </c>
      <c r="J263" s="42" t="n">
        <v>3</v>
      </c>
      <c r="K263" s="44" t="n">
        <v>8.4</v>
      </c>
      <c r="L263" s="42" t="n">
        <v>2001</v>
      </c>
      <c r="M263" s="42" t="n">
        <v>12</v>
      </c>
      <c r="N263" s="44" t="n">
        <v>8.4</v>
      </c>
      <c r="O263" s="42" t="n">
        <v>2001</v>
      </c>
      <c r="P263" s="42" t="n">
        <v>13</v>
      </c>
      <c r="Q263" s="44" t="n">
        <v>9.4</v>
      </c>
      <c r="R263" s="42" t="n">
        <v>2001</v>
      </c>
      <c r="S263" s="42" t="n">
        <v>2</v>
      </c>
      <c r="T263" s="44" t="n">
        <v>9.4</v>
      </c>
      <c r="U263" s="42" t="n">
        <v>2001</v>
      </c>
      <c r="V263" s="42" t="n">
        <v>22</v>
      </c>
      <c r="W263" s="44" t="n">
        <v>9.800000000000001</v>
      </c>
      <c r="X263" s="42" t="n">
        <v>2000</v>
      </c>
      <c r="Y263" s="42" t="n">
        <v>27</v>
      </c>
      <c r="Z263" s="44" t="n">
        <v>9</v>
      </c>
      <c r="AA263" s="42" t="n">
        <v>2002</v>
      </c>
      <c r="AB263" s="42" t="n">
        <v>30</v>
      </c>
      <c r="AC263" s="44" t="n">
        <v>9.4</v>
      </c>
      <c r="AD263" s="42" t="n">
        <v>2002</v>
      </c>
      <c r="AE263" s="42" t="n">
        <v>2</v>
      </c>
      <c r="AF263" s="44" t="n">
        <v>9.199999999999999</v>
      </c>
      <c r="AG263" s="42" t="n">
        <v>2002</v>
      </c>
      <c r="AH263" s="42" t="n">
        <v>9</v>
      </c>
      <c r="AI263" s="44" t="n">
        <v>9.800000000000001</v>
      </c>
      <c r="AJ263" s="42" t="n">
        <v>1999</v>
      </c>
      <c r="AK263" s="42" t="n">
        <v>7</v>
      </c>
      <c r="AL263" s="44" t="n">
        <v>7.4</v>
      </c>
      <c r="AM263" s="42" t="n">
        <v>2016</v>
      </c>
      <c r="AN263" s="42" t="n">
        <v>22</v>
      </c>
      <c r="AO263" s="44" t="n">
        <v>9.199999999999999</v>
      </c>
      <c r="AP263" s="42" t="n">
        <v>1998</v>
      </c>
      <c r="AQ263" s="42" t="n">
        <v>23</v>
      </c>
    </row>
    <row r="264" ht="14.45" customHeight="1">
      <c r="A264" s="42" t="n">
        <v>35075020</v>
      </c>
      <c r="B264" s="42" t="inlineStr">
        <is>
          <t>SUTATENZA [35075020]</t>
        </is>
      </c>
      <c r="C264" s="42" t="n">
        <v>5.022277778</v>
      </c>
      <c r="D264" s="42" t="n">
        <v>-73.44916667</v>
      </c>
      <c r="E264" s="42" t="n">
        <v>1930</v>
      </c>
      <c r="F264" s="42" t="inlineStr">
        <is>
          <t>Sutatenza</t>
        </is>
      </c>
      <c r="G264" s="42" t="inlineStr">
        <is>
          <t>Boyacá</t>
        </is>
      </c>
      <c r="H264" s="44" t="n">
        <v>8</v>
      </c>
      <c r="I264" s="42" t="n">
        <v>2010</v>
      </c>
      <c r="J264" s="42" t="n">
        <v>4</v>
      </c>
      <c r="K264" s="44" t="n">
        <v>8.800000000000001</v>
      </c>
      <c r="L264" s="42" t="n">
        <v>1985</v>
      </c>
      <c r="M264" s="42" t="n">
        <v>27</v>
      </c>
      <c r="N264" s="44" t="n">
        <v>10.2</v>
      </c>
      <c r="O264" s="42" t="n">
        <v>2016</v>
      </c>
      <c r="P264" s="42" t="n">
        <v>13</v>
      </c>
      <c r="Q264" s="44" t="n">
        <v>9.199999999999999</v>
      </c>
      <c r="R264" s="42" t="n">
        <v>1985</v>
      </c>
      <c r="S264" s="42" t="n">
        <v>13</v>
      </c>
      <c r="T264" s="44" t="n">
        <v>7.6</v>
      </c>
      <c r="U264" s="42" t="n">
        <v>1984</v>
      </c>
      <c r="V264" s="42" t="n">
        <v>20</v>
      </c>
      <c r="W264" s="44" t="n">
        <v>8.4</v>
      </c>
      <c r="X264" s="42" t="n">
        <v>1985</v>
      </c>
      <c r="Y264" s="42" t="n">
        <v>11</v>
      </c>
      <c r="Z264" s="44" t="n">
        <v>7.3</v>
      </c>
      <c r="AA264" s="42" t="n">
        <v>1985</v>
      </c>
      <c r="AB264" s="42" t="n">
        <v>23</v>
      </c>
      <c r="AC264" s="44" t="n">
        <v>7</v>
      </c>
      <c r="AD264" s="42" t="n">
        <v>1985</v>
      </c>
      <c r="AE264" s="42" t="n">
        <v>28</v>
      </c>
      <c r="AF264" s="44" t="n">
        <v>7.3</v>
      </c>
      <c r="AG264" s="42" t="n">
        <v>1985</v>
      </c>
      <c r="AH264" s="42" t="n">
        <v>4</v>
      </c>
      <c r="AI264" s="44" t="n">
        <v>9.4</v>
      </c>
      <c r="AJ264" s="42" t="n">
        <v>1985</v>
      </c>
      <c r="AK264" s="42" t="n">
        <v>14</v>
      </c>
      <c r="AL264" s="44" t="n">
        <v>8.4</v>
      </c>
      <c r="AM264" s="42" t="n">
        <v>1985</v>
      </c>
      <c r="AN264" s="42" t="n">
        <v>25</v>
      </c>
      <c r="AO264" s="44" t="n">
        <v>7.2</v>
      </c>
      <c r="AP264" s="42" t="n">
        <v>1985</v>
      </c>
      <c r="AQ264" s="42" t="n">
        <v>3</v>
      </c>
    </row>
    <row r="265" ht="14.45" customHeight="1">
      <c r="A265" s="42" t="n">
        <v>26135160</v>
      </c>
      <c r="B265" s="42" t="inlineStr">
        <is>
          <t>SAN REMO [26135160]</t>
        </is>
      </c>
      <c r="C265" s="42" t="n">
        <v>4.841666667</v>
      </c>
      <c r="D265" s="42" t="n">
        <v>-75.57997222</v>
      </c>
      <c r="E265" s="42" t="n">
        <v>1947</v>
      </c>
      <c r="F265" s="42" t="inlineStr">
        <is>
          <t>Santa Rosa De Cabal</t>
        </is>
      </c>
      <c r="G265" s="42" t="inlineStr">
        <is>
          <t>Risaralda</t>
        </is>
      </c>
      <c r="H265" s="44" t="n">
        <v>11</v>
      </c>
      <c r="I265" s="42" t="n">
        <v>2004</v>
      </c>
      <c r="J265" s="42" t="n">
        <v>19</v>
      </c>
      <c r="K265" s="44" t="n">
        <v>11.2</v>
      </c>
      <c r="L265" s="42" t="n">
        <v>2007</v>
      </c>
      <c r="M265" s="42" t="n">
        <v>8</v>
      </c>
      <c r="N265" s="44" t="n">
        <v>11.4</v>
      </c>
      <c r="O265" s="42" t="n">
        <v>1997</v>
      </c>
      <c r="P265" s="42" t="n">
        <v>14</v>
      </c>
      <c r="Q265" s="44" t="n">
        <v>11</v>
      </c>
      <c r="R265" s="42" t="n">
        <v>1995</v>
      </c>
      <c r="S265" s="42" t="n">
        <v>15</v>
      </c>
      <c r="T265" s="44" t="n">
        <v>11.2</v>
      </c>
      <c r="U265" s="42" t="n">
        <v>2008</v>
      </c>
      <c r="V265" s="42" t="n">
        <v>16</v>
      </c>
      <c r="W265" s="44" t="n">
        <v>11.4</v>
      </c>
      <c r="X265" s="42" t="n">
        <v>1999</v>
      </c>
      <c r="Y265" s="42" t="n">
        <v>29</v>
      </c>
      <c r="Z265" s="44" t="n">
        <v>11</v>
      </c>
      <c r="AA265" s="42" t="n">
        <v>2001</v>
      </c>
      <c r="AB265" s="42" t="n">
        <v>27</v>
      </c>
      <c r="AC265" s="44" t="n">
        <v>11.6</v>
      </c>
      <c r="AD265" s="42" t="n">
        <v>1999</v>
      </c>
      <c r="AE265" s="42" t="n">
        <v>23</v>
      </c>
      <c r="AF265" s="44" t="n">
        <v>11.4</v>
      </c>
      <c r="AG265" s="42" t="n">
        <v>2000</v>
      </c>
      <c r="AH265" s="42" t="n">
        <v>21</v>
      </c>
      <c r="AI265" s="44" t="n">
        <v>10.6</v>
      </c>
      <c r="AJ265" s="42" t="n">
        <v>1994</v>
      </c>
      <c r="AK265" s="42" t="n">
        <v>19</v>
      </c>
      <c r="AL265" s="44" t="n">
        <v>11.2</v>
      </c>
      <c r="AM265" s="42" t="n">
        <v>2007</v>
      </c>
      <c r="AN265" s="42" t="n">
        <v>10</v>
      </c>
      <c r="AO265" s="44" t="n">
        <v>11</v>
      </c>
      <c r="AP265" s="42" t="n">
        <v>1999</v>
      </c>
      <c r="AQ265" s="42" t="n">
        <v>28</v>
      </c>
    </row>
    <row r="266" ht="14.45" customHeight="1">
      <c r="A266" s="42" t="n">
        <v>23085160</v>
      </c>
      <c r="B266" s="42" t="inlineStr">
        <is>
          <t>CORRIENTES [23085160]</t>
        </is>
      </c>
      <c r="C266" s="42" t="n">
        <v>6.311944444</v>
      </c>
      <c r="D266" s="42" t="n">
        <v>-75.25355556</v>
      </c>
      <c r="E266" s="42" t="n">
        <v>1965</v>
      </c>
      <c r="F266" s="42" t="inlineStr">
        <is>
          <t>San Vicente</t>
        </is>
      </c>
      <c r="G266" s="42" t="inlineStr">
        <is>
          <t>Antioquia</t>
        </is>
      </c>
      <c r="H266" s="44" t="n">
        <v>6.2</v>
      </c>
      <c r="I266" s="42" t="n">
        <v>2003</v>
      </c>
      <c r="J266" s="42" t="n">
        <v>21</v>
      </c>
      <c r="K266" s="44" t="n">
        <v>6.6</v>
      </c>
      <c r="L266" s="42" t="n">
        <v>1992</v>
      </c>
      <c r="M266" s="42" t="n">
        <v>13</v>
      </c>
      <c r="N266" s="44" t="n">
        <v>6.8</v>
      </c>
      <c r="O266" s="42" t="n">
        <v>1980</v>
      </c>
      <c r="P266" s="42" t="n">
        <v>1</v>
      </c>
      <c r="Q266" s="44" t="n">
        <v>7</v>
      </c>
      <c r="R266" s="42" t="n">
        <v>1980</v>
      </c>
      <c r="S266" s="42" t="n">
        <v>12</v>
      </c>
      <c r="T266" s="44" t="n">
        <v>6</v>
      </c>
      <c r="U266" s="42" t="n">
        <v>1980</v>
      </c>
      <c r="V266" s="42" t="n">
        <v>29</v>
      </c>
      <c r="W266" s="44" t="n">
        <v>7.4</v>
      </c>
      <c r="X266" s="42" t="n">
        <v>1991</v>
      </c>
      <c r="Y266" s="42" t="n">
        <v>30</v>
      </c>
      <c r="Z266" s="44" t="n">
        <v>6</v>
      </c>
      <c r="AA266" s="42" t="n">
        <v>1979</v>
      </c>
      <c r="AB266" s="42" t="n">
        <v>8</v>
      </c>
      <c r="AC266" s="44" t="n">
        <v>6.2</v>
      </c>
      <c r="AD266" s="42" t="n">
        <v>1978</v>
      </c>
      <c r="AE266" s="42" t="n">
        <v>19</v>
      </c>
      <c r="AF266" s="44" t="n">
        <v>7.2</v>
      </c>
      <c r="AG266" s="42" t="n">
        <v>1991</v>
      </c>
      <c r="AH266" s="42" t="n">
        <v>13</v>
      </c>
      <c r="AI266" s="44" t="n">
        <v>8</v>
      </c>
      <c r="AJ266" s="42" t="n">
        <v>2019</v>
      </c>
      <c r="AK266" s="42" t="n">
        <v>22</v>
      </c>
      <c r="AL266" s="44" t="n">
        <v>6.8</v>
      </c>
      <c r="AM266" s="42" t="n">
        <v>1992</v>
      </c>
      <c r="AN266" s="42" t="n">
        <v>9</v>
      </c>
      <c r="AO266" s="44" t="n">
        <v>7.4</v>
      </c>
      <c r="AP266" s="42" t="n">
        <v>2004</v>
      </c>
      <c r="AQ266" s="42" t="n">
        <v>28</v>
      </c>
    </row>
    <row r="267" ht="14.45" customHeight="1">
      <c r="A267" s="42" t="n">
        <v>26145020</v>
      </c>
      <c r="B267" s="42" t="inlineStr">
        <is>
          <t>BELLAVISTA [26145020]</t>
        </is>
      </c>
      <c r="C267" s="42" t="n">
        <v>5.275944444</v>
      </c>
      <c r="D267" s="42" t="n">
        <v>-75.800138889</v>
      </c>
      <c r="E267" s="42" t="n">
        <v>1984</v>
      </c>
      <c r="F267" s="42" t="inlineStr">
        <is>
          <t>Anserma</t>
        </is>
      </c>
      <c r="G267" s="42" t="inlineStr">
        <is>
          <t>Caldas</t>
        </is>
      </c>
      <c r="H267" s="44" t="n">
        <v>10</v>
      </c>
      <c r="I267" s="42" t="n">
        <v>1981</v>
      </c>
      <c r="J267" s="42" t="n">
        <v>2</v>
      </c>
      <c r="K267" s="44" t="n">
        <v>10.2</v>
      </c>
      <c r="L267" s="42" t="n">
        <v>1990</v>
      </c>
      <c r="M267" s="42" t="n">
        <v>17</v>
      </c>
      <c r="N267" s="44" t="n">
        <v>10.4</v>
      </c>
      <c r="O267" s="42" t="n">
        <v>1984</v>
      </c>
      <c r="P267" s="42" t="n">
        <v>12</v>
      </c>
      <c r="Q267" s="44" t="n">
        <v>9</v>
      </c>
      <c r="R267" s="42" t="n">
        <v>1985</v>
      </c>
      <c r="S267" s="42" t="n">
        <v>22</v>
      </c>
      <c r="T267" s="44" t="n">
        <v>8.800000000000001</v>
      </c>
      <c r="U267" s="42" t="n">
        <v>1989</v>
      </c>
      <c r="V267" s="42" t="n">
        <v>29</v>
      </c>
      <c r="W267" s="44" t="n">
        <v>7.2</v>
      </c>
      <c r="X267" s="42" t="n">
        <v>1997</v>
      </c>
      <c r="Y267" s="42" t="n">
        <v>30</v>
      </c>
      <c r="Z267" s="44" t="n">
        <v>7.2</v>
      </c>
      <c r="AA267" s="42" t="n">
        <v>1997</v>
      </c>
      <c r="AB267" s="42" t="n">
        <v>31</v>
      </c>
      <c r="AC267" s="44" t="n">
        <v>9</v>
      </c>
      <c r="AD267" s="42" t="n">
        <v>1997</v>
      </c>
      <c r="AE267" s="42" t="n">
        <v>28</v>
      </c>
      <c r="AF267" s="44" t="n">
        <v>6</v>
      </c>
      <c r="AG267" s="42" t="n">
        <v>1985</v>
      </c>
      <c r="AH267" s="42" t="n">
        <v>24</v>
      </c>
      <c r="AI267" s="44" t="n">
        <v>10</v>
      </c>
      <c r="AJ267" s="42" t="n">
        <v>1994</v>
      </c>
      <c r="AK267" s="42" t="n">
        <v>18</v>
      </c>
      <c r="AL267" s="44" t="n">
        <v>9</v>
      </c>
      <c r="AM267" s="42" t="n">
        <v>1997</v>
      </c>
      <c r="AN267" s="42" t="n">
        <v>1</v>
      </c>
      <c r="AO267" s="44" t="n">
        <v>10</v>
      </c>
      <c r="AP267" s="42" t="n">
        <v>1980</v>
      </c>
      <c r="AQ267" s="42" t="n">
        <v>30</v>
      </c>
    </row>
    <row r="268" ht="14.45" customHeight="1">
      <c r="A268" s="42" t="n">
        <v>11025010</v>
      </c>
      <c r="B268" s="42" t="inlineStr">
        <is>
          <t>LA MANSA [11025010]</t>
        </is>
      </c>
      <c r="C268" s="42" t="n">
        <v>5.878305556</v>
      </c>
      <c r="D268" s="42" t="n">
        <v>-76.08433333000001</v>
      </c>
      <c r="E268" s="42" t="n">
        <v>2018</v>
      </c>
      <c r="F268" s="42" t="inlineStr">
        <is>
          <t>Ciudad Bolívar</t>
        </is>
      </c>
      <c r="G268" s="42" t="inlineStr">
        <is>
          <t>Antioquia</t>
        </is>
      </c>
      <c r="H268" s="44" t="n">
        <v>8.800000000000001</v>
      </c>
      <c r="I268" s="42" t="n">
        <v>2000</v>
      </c>
      <c r="J268" s="42" t="n">
        <v>18</v>
      </c>
      <c r="K268" s="44" t="n">
        <v>8.199999999999999</v>
      </c>
      <c r="L268" s="42" t="n">
        <v>1985</v>
      </c>
      <c r="M268" s="42" t="n">
        <v>5</v>
      </c>
      <c r="N268" s="44" t="n">
        <v>8.4</v>
      </c>
      <c r="O268" s="42" t="n">
        <v>2003</v>
      </c>
      <c r="P268" s="42" t="n">
        <v>6</v>
      </c>
      <c r="Q268" s="44" t="n">
        <v>10</v>
      </c>
      <c r="R268" s="42" t="n">
        <v>2001</v>
      </c>
      <c r="S268" s="42" t="n">
        <v>6</v>
      </c>
      <c r="T268" s="44" t="n">
        <v>9.199999999999999</v>
      </c>
      <c r="U268" s="42" t="n">
        <v>2002</v>
      </c>
      <c r="V268" s="42" t="n">
        <v>27</v>
      </c>
      <c r="W268" s="44" t="n">
        <v>10.2</v>
      </c>
      <c r="X268" s="42" t="n">
        <v>1990</v>
      </c>
      <c r="Y268" s="42" t="n">
        <v>2</v>
      </c>
      <c r="Z268" s="44" t="n">
        <v>9.199999999999999</v>
      </c>
      <c r="AA268" s="42" t="n">
        <v>1986</v>
      </c>
      <c r="AB268" s="42" t="n">
        <v>26</v>
      </c>
      <c r="AC268" s="44" t="n">
        <v>9.4</v>
      </c>
      <c r="AD268" s="42" t="n">
        <v>1982</v>
      </c>
      <c r="AE268" s="42" t="n">
        <v>5</v>
      </c>
      <c r="AF268" s="44" t="n">
        <v>8.800000000000001</v>
      </c>
      <c r="AG268" s="42" t="n">
        <v>1991</v>
      </c>
      <c r="AH268" s="42" t="n">
        <v>13</v>
      </c>
      <c r="AI268" s="44" t="n">
        <v>8.4</v>
      </c>
      <c r="AJ268" s="42" t="n">
        <v>1989</v>
      </c>
      <c r="AK268" s="42" t="n">
        <v>28</v>
      </c>
      <c r="AL268" s="44" t="n">
        <v>8.4</v>
      </c>
      <c r="AM268" s="42" t="n">
        <v>2001</v>
      </c>
      <c r="AN268" s="42" t="n">
        <v>3</v>
      </c>
      <c r="AO268" s="44" t="n">
        <v>9</v>
      </c>
      <c r="AP268" s="42" t="n">
        <v>2003</v>
      </c>
      <c r="AQ268" s="42" t="n">
        <v>6</v>
      </c>
    </row>
    <row r="269" ht="14.45" customHeight="1">
      <c r="A269" s="42" t="n">
        <v>23065120</v>
      </c>
      <c r="B269" s="42" t="inlineStr">
        <is>
          <t>LA CABRERA [23065120]</t>
        </is>
      </c>
      <c r="C269" s="42" t="n">
        <v>5.137887</v>
      </c>
      <c r="D269" s="42" t="n">
        <v>-74.136578</v>
      </c>
      <c r="E269" s="42" t="n">
        <v>2018</v>
      </c>
      <c r="F269" s="42" t="inlineStr">
        <is>
          <t>Pacho</t>
        </is>
      </c>
      <c r="G269" s="42" t="inlineStr">
        <is>
          <t>Cundinamarca</t>
        </is>
      </c>
      <c r="H269" s="44" t="n">
        <v>8.199999999999999</v>
      </c>
      <c r="I269" s="42" t="n">
        <v>1982</v>
      </c>
      <c r="J269" s="42" t="n">
        <v>14</v>
      </c>
      <c r="K269" s="44" t="n">
        <v>8.9</v>
      </c>
      <c r="L269" s="42" t="n">
        <v>2008</v>
      </c>
      <c r="M269" s="42" t="n">
        <v>2</v>
      </c>
      <c r="N269" s="44" t="n">
        <v>9</v>
      </c>
      <c r="O269" s="42" t="n">
        <v>1992</v>
      </c>
      <c r="P269" s="42" t="n">
        <v>24</v>
      </c>
      <c r="Q269" s="44" t="n">
        <v>10</v>
      </c>
      <c r="R269" s="42" t="n">
        <v>1985</v>
      </c>
      <c r="S269" s="42" t="n">
        <v>11</v>
      </c>
      <c r="T269" s="44" t="n">
        <v>9.6</v>
      </c>
      <c r="U269" s="42" t="n">
        <v>1993</v>
      </c>
      <c r="V269" s="42" t="n">
        <v>17</v>
      </c>
      <c r="W269" s="44" t="n">
        <v>9.800000000000001</v>
      </c>
      <c r="X269" s="42" t="n">
        <v>1984</v>
      </c>
      <c r="Y269" s="42" t="n">
        <v>17</v>
      </c>
      <c r="Z269" s="44" t="n">
        <v>10</v>
      </c>
      <c r="AA269" s="42" t="n">
        <v>1993</v>
      </c>
      <c r="AB269" s="42" t="n">
        <v>17</v>
      </c>
      <c r="AC269" s="44" t="n">
        <v>10.4</v>
      </c>
      <c r="AD269" s="42" t="n">
        <v>1992</v>
      </c>
      <c r="AE269" s="42" t="n">
        <v>16</v>
      </c>
      <c r="AF269" s="44" t="n">
        <v>10.2</v>
      </c>
      <c r="AG269" s="42" t="n">
        <v>1989</v>
      </c>
      <c r="AH269" s="42" t="n">
        <v>13</v>
      </c>
      <c r="AI269" s="44" t="n">
        <v>8</v>
      </c>
      <c r="AJ269" s="42" t="n">
        <v>1992</v>
      </c>
      <c r="AK269" s="42" t="n">
        <v>12</v>
      </c>
      <c r="AL269" s="44" t="n">
        <v>9.6</v>
      </c>
      <c r="AM269" s="42" t="n">
        <v>2002</v>
      </c>
      <c r="AN269" s="42" t="n">
        <v>29</v>
      </c>
      <c r="AO269" s="44" t="n">
        <v>8</v>
      </c>
      <c r="AP269" s="42" t="n">
        <v>1989</v>
      </c>
      <c r="AQ269" s="42" t="n">
        <v>22</v>
      </c>
    </row>
    <row r="270" ht="14.45" customHeight="1">
      <c r="A270" s="42" t="n">
        <v>23085110</v>
      </c>
      <c r="B270" s="42" t="inlineStr">
        <is>
          <t>EL PENOL [23085110]</t>
        </is>
      </c>
      <c r="C270" s="42" t="n">
        <v>6.2138889</v>
      </c>
      <c r="D270" s="42" t="n">
        <v>-75.24138888900001</v>
      </c>
      <c r="E270" s="42" t="n">
        <v>2022</v>
      </c>
      <c r="F270" s="42" t="inlineStr">
        <is>
          <t>Peñol</t>
        </is>
      </c>
      <c r="G270" s="42" t="inlineStr">
        <is>
          <t>Antioquia</t>
        </is>
      </c>
      <c r="H270" s="44" t="n">
        <v>8.199999999999999</v>
      </c>
      <c r="I270" s="42" t="n">
        <v>1999</v>
      </c>
      <c r="J270" s="42" t="n">
        <v>19</v>
      </c>
      <c r="K270" s="44" t="n">
        <v>9</v>
      </c>
      <c r="L270" s="42" t="n">
        <v>1992</v>
      </c>
      <c r="M270" s="42" t="n">
        <v>13</v>
      </c>
      <c r="N270" s="44" t="n">
        <v>9</v>
      </c>
      <c r="O270" s="42" t="n">
        <v>1997</v>
      </c>
      <c r="P270" s="42" t="n">
        <v>22</v>
      </c>
      <c r="Q270" s="44" t="n">
        <v>7.2</v>
      </c>
      <c r="R270" s="42" t="n">
        <v>1998</v>
      </c>
      <c r="S270" s="42" t="n">
        <v>13</v>
      </c>
      <c r="T270" s="44" t="n">
        <v>9.199999999999999</v>
      </c>
      <c r="U270" s="42" t="n">
        <v>1998</v>
      </c>
      <c r="V270" s="42" t="n">
        <v>12</v>
      </c>
      <c r="W270" s="44" t="n">
        <v>10</v>
      </c>
      <c r="X270" s="42" t="n">
        <v>1979</v>
      </c>
      <c r="Y270" s="42" t="n">
        <v>9</v>
      </c>
      <c r="Z270" s="44" t="n">
        <v>9.199999999999999</v>
      </c>
      <c r="AA270" s="42" t="n">
        <v>2001</v>
      </c>
      <c r="AB270" s="42" t="n">
        <v>27</v>
      </c>
      <c r="AC270" s="44" t="n">
        <v>9</v>
      </c>
      <c r="AD270" s="42" t="n">
        <v>1978</v>
      </c>
      <c r="AE270" s="42" t="n">
        <v>21</v>
      </c>
      <c r="AF270" s="44" t="n">
        <v>8.6</v>
      </c>
      <c r="AG270" s="42" t="n">
        <v>2000</v>
      </c>
      <c r="AH270" s="42" t="n">
        <v>28</v>
      </c>
      <c r="AI270" s="44" t="n">
        <v>9.199999999999999</v>
      </c>
      <c r="AJ270" s="42" t="n">
        <v>2000</v>
      </c>
      <c r="AK270" s="42" t="n">
        <v>1</v>
      </c>
      <c r="AL270" s="44" t="n">
        <v>8.4</v>
      </c>
      <c r="AM270" s="42" t="n">
        <v>1998</v>
      </c>
      <c r="AN270" s="42" t="n">
        <v>18</v>
      </c>
      <c r="AO270" s="44" t="n">
        <v>8.6</v>
      </c>
      <c r="AP270" s="42" t="n">
        <v>1989</v>
      </c>
      <c r="AQ270" s="42" t="n">
        <v>17</v>
      </c>
    </row>
    <row r="271" ht="14.45" customHeight="1">
      <c r="A271" s="42" t="n">
        <v>26215010</v>
      </c>
      <c r="B271" s="42" t="inlineStr">
        <is>
          <t>CONCORDIA [26215010]</t>
        </is>
      </c>
      <c r="C271" s="42" t="n">
        <v>6.039555556</v>
      </c>
      <c r="D271" s="42" t="n">
        <v>-75.919527778</v>
      </c>
      <c r="E271" s="42" t="n">
        <v>2032</v>
      </c>
      <c r="F271" s="42" t="inlineStr">
        <is>
          <t>Concordia</t>
        </is>
      </c>
      <c r="G271" s="42" t="inlineStr">
        <is>
          <t>Antioquia</t>
        </is>
      </c>
      <c r="H271" s="44" t="n">
        <v>11</v>
      </c>
      <c r="I271" s="42" t="n">
        <v>1999</v>
      </c>
      <c r="J271" s="42" t="n">
        <v>11</v>
      </c>
      <c r="K271" s="44" t="n">
        <v>10.4</v>
      </c>
      <c r="L271" s="42" t="n">
        <v>2007</v>
      </c>
      <c r="M271" s="42" t="n">
        <v>19</v>
      </c>
      <c r="N271" s="44" t="n">
        <v>10.8</v>
      </c>
      <c r="O271" s="42" t="n">
        <v>1999</v>
      </c>
      <c r="P271" s="42" t="n">
        <v>19</v>
      </c>
      <c r="Q271" s="44" t="n">
        <v>10.4</v>
      </c>
      <c r="R271" s="42" t="n">
        <v>1999</v>
      </c>
      <c r="S271" s="42" t="n">
        <v>8</v>
      </c>
      <c r="T271" s="44" t="n">
        <v>10.6</v>
      </c>
      <c r="U271" s="42" t="n">
        <v>1999</v>
      </c>
      <c r="V271" s="42" t="n">
        <v>5</v>
      </c>
      <c r="W271" s="44" t="n">
        <v>10.2</v>
      </c>
      <c r="X271" s="42" t="n">
        <v>1995</v>
      </c>
      <c r="Y271" s="42" t="n">
        <v>7</v>
      </c>
      <c r="Z271" s="44" t="n">
        <v>10.4</v>
      </c>
      <c r="AA271" s="42" t="n">
        <v>2007</v>
      </c>
      <c r="AB271" s="42" t="n">
        <v>9</v>
      </c>
      <c r="AC271" s="44" t="n">
        <v>10.4</v>
      </c>
      <c r="AD271" s="42" t="n">
        <v>2007</v>
      </c>
      <c r="AE271" s="42" t="n">
        <v>30</v>
      </c>
      <c r="AF271" s="44" t="n">
        <v>10.6</v>
      </c>
      <c r="AG271" s="42" t="n">
        <v>2006</v>
      </c>
      <c r="AH271" s="42" t="n">
        <v>16</v>
      </c>
      <c r="AI271" s="44" t="n">
        <v>10.4</v>
      </c>
      <c r="AJ271" s="42" t="n">
        <v>1994</v>
      </c>
      <c r="AK271" s="42" t="n">
        <v>18</v>
      </c>
      <c r="AL271" s="44" t="n">
        <v>11</v>
      </c>
      <c r="AM271" s="42" t="n">
        <v>1982</v>
      </c>
      <c r="AN271" s="42" t="n">
        <v>4</v>
      </c>
      <c r="AO271" s="44" t="n">
        <v>10.6</v>
      </c>
      <c r="AP271" s="42" t="n">
        <v>1981</v>
      </c>
      <c r="AQ271" s="42" t="n">
        <v>11</v>
      </c>
    </row>
    <row r="272" ht="14.45" customHeight="1">
      <c r="A272" s="42" t="n">
        <v>21255120</v>
      </c>
      <c r="B272" s="42" t="inlineStr">
        <is>
          <t>VILLAHERMOSA [21255120]</t>
        </is>
      </c>
      <c r="C272" s="42" t="n">
        <v>5.026761944</v>
      </c>
      <c r="D272" s="42" t="n">
        <v>-75.117336111</v>
      </c>
      <c r="E272" s="42" t="n">
        <v>2069</v>
      </c>
      <c r="F272" s="42" t="inlineStr">
        <is>
          <t>Villahermosa</t>
        </is>
      </c>
      <c r="G272" s="42" t="inlineStr">
        <is>
          <t>Tolima</t>
        </is>
      </c>
      <c r="H272" s="44" t="n">
        <v>11</v>
      </c>
      <c r="I272" s="42" t="n">
        <v>1981</v>
      </c>
      <c r="J272" s="42" t="n">
        <v>23</v>
      </c>
      <c r="K272" s="44" t="n">
        <v>11</v>
      </c>
      <c r="L272" s="42" t="n">
        <v>2008</v>
      </c>
      <c r="M272" s="42" t="n">
        <v>3</v>
      </c>
      <c r="N272" s="44" t="n">
        <v>11</v>
      </c>
      <c r="O272" s="42" t="n">
        <v>1981</v>
      </c>
      <c r="P272" s="42" t="n">
        <v>21</v>
      </c>
      <c r="Q272" s="44" t="n">
        <v>11</v>
      </c>
      <c r="R272" s="42" t="n">
        <v>1982</v>
      </c>
      <c r="S272" s="42" t="n">
        <v>28</v>
      </c>
      <c r="T272" s="44" t="n">
        <v>11</v>
      </c>
      <c r="U272" s="42" t="n">
        <v>1980</v>
      </c>
      <c r="V272" s="42" t="n">
        <v>15</v>
      </c>
      <c r="W272" s="44" t="n">
        <v>11</v>
      </c>
      <c r="X272" s="42" t="n">
        <v>1988</v>
      </c>
      <c r="Y272" s="42" t="n">
        <v>20</v>
      </c>
      <c r="Z272" s="44" t="n">
        <v>11</v>
      </c>
      <c r="AA272" s="42" t="n">
        <v>1990</v>
      </c>
      <c r="AB272" s="42" t="n">
        <v>11</v>
      </c>
      <c r="AC272" s="44" t="n">
        <v>11</v>
      </c>
      <c r="AD272" s="42" t="n">
        <v>1980</v>
      </c>
      <c r="AE272" s="42" t="n">
        <v>5</v>
      </c>
      <c r="AF272" s="44" t="n">
        <v>11</v>
      </c>
      <c r="AG272" s="42" t="n">
        <v>1981</v>
      </c>
      <c r="AH272" s="42" t="n">
        <v>12</v>
      </c>
      <c r="AI272" s="44" t="n">
        <v>11</v>
      </c>
      <c r="AJ272" s="42" t="n">
        <v>1981</v>
      </c>
      <c r="AK272" s="42" t="n">
        <v>1</v>
      </c>
      <c r="AL272" s="44" t="n">
        <v>11.6</v>
      </c>
      <c r="AM272" s="42" t="n">
        <v>1984</v>
      </c>
      <c r="AN272" s="42" t="n">
        <v>10</v>
      </c>
      <c r="AO272" s="44" t="n">
        <v>11</v>
      </c>
      <c r="AP272" s="42" t="n">
        <v>1985</v>
      </c>
      <c r="AQ272" s="42" t="n">
        <v>26</v>
      </c>
    </row>
    <row r="273" ht="14.45" customHeight="1">
      <c r="A273" s="42" t="n">
        <v>23085270</v>
      </c>
      <c r="B273" s="42" t="inlineStr">
        <is>
          <t>AEROPUERTO J.M. CORDOVA [23085270]</t>
        </is>
      </c>
      <c r="C273" s="42" t="n">
        <v>6.1686111</v>
      </c>
      <c r="D273" s="42" t="n">
        <v>-75.426111111</v>
      </c>
      <c r="E273" s="42" t="n">
        <v>2073</v>
      </c>
      <c r="F273" s="42" t="inlineStr">
        <is>
          <t>Rionegro</t>
        </is>
      </c>
      <c r="G273" s="42" t="inlineStr">
        <is>
          <t>Antioquia</t>
        </is>
      </c>
      <c r="H273" s="44" t="n">
        <v>6.6</v>
      </c>
      <c r="I273" s="42" t="n">
        <v>2015</v>
      </c>
      <c r="J273" s="42" t="n">
        <v>4</v>
      </c>
      <c r="K273" s="44" t="n">
        <v>6.8</v>
      </c>
      <c r="L273" s="42" t="n">
        <v>2012</v>
      </c>
      <c r="M273" s="42" t="n">
        <v>19</v>
      </c>
      <c r="N273" s="44" t="n">
        <v>7.4</v>
      </c>
      <c r="O273" s="42" t="n">
        <v>1989</v>
      </c>
      <c r="P273" s="42" t="n">
        <v>18</v>
      </c>
      <c r="Q273" s="44" t="n">
        <v>8</v>
      </c>
      <c r="R273" s="42" t="n">
        <v>1999</v>
      </c>
      <c r="S273" s="42" t="n">
        <v>5</v>
      </c>
      <c r="T273" s="44" t="n">
        <v>8</v>
      </c>
      <c r="U273" s="42" t="n">
        <v>1986</v>
      </c>
      <c r="V273" s="42" t="n">
        <v>13</v>
      </c>
      <c r="W273" s="44" t="n">
        <v>7</v>
      </c>
      <c r="X273" s="42" t="n">
        <v>1998</v>
      </c>
      <c r="Y273" s="42" t="n">
        <v>30</v>
      </c>
      <c r="Z273" s="44" t="n">
        <v>5.6</v>
      </c>
      <c r="AA273" s="42" t="n">
        <v>1981</v>
      </c>
      <c r="AB273" s="42" t="n">
        <v>25</v>
      </c>
      <c r="AC273" s="44" t="n">
        <v>7</v>
      </c>
      <c r="AD273" s="42" t="n">
        <v>1978</v>
      </c>
      <c r="AE273" s="42" t="n">
        <v>21</v>
      </c>
      <c r="AF273" s="44" t="n">
        <v>7.4</v>
      </c>
      <c r="AG273" s="42" t="n">
        <v>1981</v>
      </c>
      <c r="AH273" s="42" t="n">
        <v>23</v>
      </c>
      <c r="AI273" s="44" t="n">
        <v>7</v>
      </c>
      <c r="AJ273" s="42" t="n">
        <v>1982</v>
      </c>
      <c r="AK273" s="42" t="n">
        <v>29</v>
      </c>
      <c r="AL273" s="44" t="n">
        <v>5</v>
      </c>
      <c r="AM273" s="42" t="n">
        <v>2016</v>
      </c>
      <c r="AN273" s="42" t="n">
        <v>22</v>
      </c>
      <c r="AO273" s="44" t="n">
        <v>7</v>
      </c>
      <c r="AP273" s="42" t="n">
        <v>1996</v>
      </c>
      <c r="AQ273" s="42" t="n">
        <v>16</v>
      </c>
    </row>
    <row r="274" ht="14.45" customHeight="1">
      <c r="A274" s="42" t="n">
        <v>21055030</v>
      </c>
      <c r="B274" s="42" t="inlineStr">
        <is>
          <t>SANTA LETICIA [21055030]</t>
        </is>
      </c>
      <c r="C274" s="42" t="n">
        <v>2.24</v>
      </c>
      <c r="D274" s="42" t="n">
        <v>-76.16</v>
      </c>
      <c r="E274" s="42" t="n">
        <v>2085</v>
      </c>
      <c r="F274" s="42" t="inlineStr">
        <is>
          <t>Inzá</t>
        </is>
      </c>
      <c r="G274" s="42" t="inlineStr">
        <is>
          <t>Cauca</t>
        </is>
      </c>
      <c r="H274" s="44" t="n">
        <v>7.2</v>
      </c>
      <c r="I274" s="42" t="n">
        <v>2024</v>
      </c>
      <c r="J274" s="42" t="n">
        <v>24</v>
      </c>
      <c r="K274" s="44" t="n">
        <v>7.2</v>
      </c>
      <c r="L274" s="42" t="n">
        <v>2023</v>
      </c>
      <c r="M274" s="42" t="n">
        <v>4</v>
      </c>
      <c r="N274" s="44" t="n">
        <v>8</v>
      </c>
      <c r="O274" s="42" t="n">
        <v>1989</v>
      </c>
      <c r="P274" s="42" t="n">
        <v>26</v>
      </c>
      <c r="Q274" s="44" t="n">
        <v>9</v>
      </c>
      <c r="R274" s="42" t="n">
        <v>1979</v>
      </c>
      <c r="S274" s="42" t="n">
        <v>11</v>
      </c>
      <c r="T274" s="44" t="n">
        <v>8.4</v>
      </c>
      <c r="U274" s="42" t="n">
        <v>1994</v>
      </c>
      <c r="V274" s="42" t="n">
        <v>19</v>
      </c>
      <c r="W274" s="44" t="n">
        <v>7.2</v>
      </c>
      <c r="X274" s="42" t="n">
        <v>1994</v>
      </c>
      <c r="Y274" s="42" t="n">
        <v>29</v>
      </c>
      <c r="Z274" s="44" t="n">
        <v>8</v>
      </c>
      <c r="AA274" s="42" t="n">
        <v>1988</v>
      </c>
      <c r="AB274" s="42" t="n">
        <v>27</v>
      </c>
      <c r="AC274" s="44" t="n">
        <v>8</v>
      </c>
      <c r="AD274" s="42" t="n">
        <v>1979</v>
      </c>
      <c r="AE274" s="42" t="n">
        <v>10</v>
      </c>
      <c r="AF274" s="44" t="n">
        <v>8</v>
      </c>
      <c r="AG274" s="42" t="n">
        <v>1993</v>
      </c>
      <c r="AH274" s="42" t="n">
        <v>6</v>
      </c>
      <c r="AI274" s="44" t="n">
        <v>7</v>
      </c>
      <c r="AJ274" s="42" t="n">
        <v>1993</v>
      </c>
      <c r="AK274" s="42" t="n">
        <v>29</v>
      </c>
      <c r="AL274" s="44" t="n">
        <v>7</v>
      </c>
      <c r="AM274" s="42" t="n">
        <v>1993</v>
      </c>
      <c r="AN274" s="42" t="n">
        <v>9</v>
      </c>
      <c r="AO274" s="44" t="n">
        <v>7.2</v>
      </c>
      <c r="AP274" s="42" t="n">
        <v>2022</v>
      </c>
      <c r="AQ274" s="42" t="n">
        <v>28</v>
      </c>
    </row>
    <row r="275" ht="14.45" customHeight="1">
      <c r="A275" s="42" t="n">
        <v>47015040</v>
      </c>
      <c r="B275" s="42" t="inlineStr">
        <is>
          <t>MICHOACAN [47015040]</t>
        </is>
      </c>
      <c r="C275" s="42" t="n">
        <v>1.198277778</v>
      </c>
      <c r="D275" s="42" t="n">
        <v>-76.96097222</v>
      </c>
      <c r="E275" s="42" t="n">
        <v>2100</v>
      </c>
      <c r="F275" s="42" t="inlineStr">
        <is>
          <t>Colón</t>
        </is>
      </c>
      <c r="G275" s="42" t="inlineStr">
        <is>
          <t>Putumayo</t>
        </is>
      </c>
      <c r="H275" s="44" t="n">
        <v>2.3</v>
      </c>
      <c r="I275" s="42" t="n">
        <v>1987</v>
      </c>
      <c r="J275" s="42" t="n">
        <v>5</v>
      </c>
      <c r="K275" s="44" t="n">
        <v>2.2</v>
      </c>
      <c r="L275" s="42" t="n">
        <v>1987</v>
      </c>
      <c r="M275" s="42" t="n">
        <v>8</v>
      </c>
      <c r="N275" s="44" t="n">
        <v>2.1</v>
      </c>
      <c r="O275" s="42" t="n">
        <v>1987</v>
      </c>
      <c r="P275" s="42" t="n">
        <v>19</v>
      </c>
      <c r="Q275" s="44" t="n">
        <v>2.4</v>
      </c>
      <c r="R275" s="42" t="n">
        <v>1990</v>
      </c>
      <c r="S275" s="42" t="n">
        <v>18</v>
      </c>
      <c r="T275" s="44" t="n">
        <v>5</v>
      </c>
      <c r="U275" s="42" t="n">
        <v>1987</v>
      </c>
      <c r="V275" s="42" t="n">
        <v>16</v>
      </c>
      <c r="W275" s="44" t="n">
        <v>4.2</v>
      </c>
      <c r="X275" s="42" t="n">
        <v>1987</v>
      </c>
      <c r="Y275" s="42" t="n">
        <v>21</v>
      </c>
      <c r="Z275" s="44" t="n">
        <v>2.5</v>
      </c>
      <c r="AA275" s="42" t="n">
        <v>2003</v>
      </c>
      <c r="AB275" s="42" t="n">
        <v>14</v>
      </c>
      <c r="AC275" s="44" t="n">
        <v>1.8</v>
      </c>
      <c r="AD275" s="42" t="n">
        <v>1990</v>
      </c>
      <c r="AE275" s="42" t="n">
        <v>23</v>
      </c>
      <c r="AF275" s="44" t="n">
        <v>3.4</v>
      </c>
      <c r="AG275" s="42" t="n">
        <v>1990</v>
      </c>
      <c r="AH275" s="42" t="n">
        <v>23</v>
      </c>
      <c r="AI275" s="44" t="n">
        <v>4.6</v>
      </c>
      <c r="AJ275" s="42" t="n">
        <v>1979</v>
      </c>
      <c r="AK275" s="42" t="n">
        <v>31</v>
      </c>
      <c r="AL275" s="44" t="n">
        <v>1.6</v>
      </c>
      <c r="AM275" s="42" t="n">
        <v>1990</v>
      </c>
      <c r="AN275" s="42" t="n">
        <v>1</v>
      </c>
      <c r="AO275" s="44" t="n">
        <v>2.8</v>
      </c>
      <c r="AP275" s="42" t="n">
        <v>1981</v>
      </c>
      <c r="AQ275" s="42" t="n">
        <v>25</v>
      </c>
    </row>
    <row r="276" ht="14.45" customHeight="1">
      <c r="A276" s="42" t="n">
        <v>26155110</v>
      </c>
      <c r="B276" s="42" t="inlineStr">
        <is>
          <t>AEROPUERTO LA NUBIA AUT [26155110]</t>
        </is>
      </c>
      <c r="C276" s="42" t="n">
        <v>5.029777778</v>
      </c>
      <c r="D276" s="42" t="n">
        <v>-75.46991666700001</v>
      </c>
      <c r="E276" s="42" t="n">
        <v>2104</v>
      </c>
      <c r="F276" s="42" t="inlineStr">
        <is>
          <t>Manizales</t>
        </is>
      </c>
      <c r="G276" s="42" t="inlineStr">
        <is>
          <t>Caldas</t>
        </is>
      </c>
      <c r="H276" s="44" t="n">
        <v>8.6</v>
      </c>
      <c r="I276" s="42" t="n">
        <v>2000</v>
      </c>
      <c r="J276" s="42" t="n">
        <v>4</v>
      </c>
      <c r="K276" s="44" t="n">
        <v>7.4</v>
      </c>
      <c r="L276" s="42" t="n">
        <v>1996</v>
      </c>
      <c r="M276" s="42" t="n">
        <v>6</v>
      </c>
      <c r="N276" s="44" t="n">
        <v>8.199999999999999</v>
      </c>
      <c r="O276" s="42" t="n">
        <v>1999</v>
      </c>
      <c r="P276" s="42" t="n">
        <v>8</v>
      </c>
      <c r="Q276" s="44" t="n">
        <v>6.3</v>
      </c>
      <c r="R276" s="42" t="n">
        <v>1999</v>
      </c>
      <c r="S276" s="42" t="n">
        <v>11</v>
      </c>
      <c r="T276" s="44" t="n">
        <v>8.199999999999999</v>
      </c>
      <c r="U276" s="42" t="n">
        <v>1996</v>
      </c>
      <c r="V276" s="42" t="n">
        <v>21</v>
      </c>
      <c r="W276" s="44" t="n">
        <v>8.6</v>
      </c>
      <c r="X276" s="42" t="n">
        <v>1996</v>
      </c>
      <c r="Y276" s="42" t="n">
        <v>4</v>
      </c>
      <c r="Z276" s="44" t="n">
        <v>7.4</v>
      </c>
      <c r="AA276" s="42" t="n">
        <v>1995</v>
      </c>
      <c r="AB276" s="42" t="n">
        <v>9</v>
      </c>
      <c r="AC276" s="44" t="n">
        <v>7.8</v>
      </c>
      <c r="AD276" s="42" t="n">
        <v>1995</v>
      </c>
      <c r="AE276" s="42" t="n">
        <v>16</v>
      </c>
      <c r="AF276" s="44" t="n">
        <v>9</v>
      </c>
      <c r="AG276" s="42" t="n">
        <v>1993</v>
      </c>
      <c r="AH276" s="42" t="n">
        <v>7</v>
      </c>
      <c r="AI276" s="44" t="n">
        <v>8.800000000000001</v>
      </c>
      <c r="AJ276" s="42" t="n">
        <v>2012</v>
      </c>
      <c r="AK276" s="42" t="n">
        <v>23</v>
      </c>
      <c r="AL276" s="44" t="n">
        <v>8.6</v>
      </c>
      <c r="AM276" s="42" t="n">
        <v>1995</v>
      </c>
      <c r="AN276" s="42" t="n">
        <v>14</v>
      </c>
      <c r="AO276" s="44" t="n">
        <v>8.800000000000001</v>
      </c>
      <c r="AP276" s="42" t="n">
        <v>1995</v>
      </c>
      <c r="AQ276" s="42" t="n">
        <v>12</v>
      </c>
    </row>
    <row r="277" ht="14.45" customHeight="1">
      <c r="A277" s="42" t="n">
        <v>35085020</v>
      </c>
      <c r="B277" s="42" t="inlineStr">
        <is>
          <t>RONDON [35085020]</t>
        </is>
      </c>
      <c r="C277" s="42" t="n">
        <v>5.358416667</v>
      </c>
      <c r="D277" s="42" t="n">
        <v>-73.20361111</v>
      </c>
      <c r="E277" s="42" t="n">
        <v>2120</v>
      </c>
      <c r="F277" s="42" t="inlineStr">
        <is>
          <t>Rondón</t>
        </is>
      </c>
      <c r="G277" s="42" t="inlineStr">
        <is>
          <t>Boyacá</t>
        </is>
      </c>
      <c r="H277" s="44" t="n">
        <v>8.800000000000001</v>
      </c>
      <c r="I277" s="42" t="n">
        <v>1994</v>
      </c>
      <c r="J277" s="42" t="n">
        <v>24</v>
      </c>
      <c r="K277" s="44" t="n">
        <v>8</v>
      </c>
      <c r="L277" s="42" t="n">
        <v>2004</v>
      </c>
      <c r="M277" s="42" t="n">
        <v>4</v>
      </c>
      <c r="N277" s="44" t="n">
        <v>8.5</v>
      </c>
      <c r="O277" s="42" t="n">
        <v>2004</v>
      </c>
      <c r="P277" s="42" t="n">
        <v>30</v>
      </c>
      <c r="Q277" s="44" t="n">
        <v>9.6</v>
      </c>
      <c r="R277" s="42" t="n">
        <v>1990</v>
      </c>
      <c r="S277" s="42" t="n">
        <v>26</v>
      </c>
      <c r="T277" s="44" t="n">
        <v>9.199999999999999</v>
      </c>
      <c r="U277" s="42" t="n">
        <v>1987</v>
      </c>
      <c r="V277" s="42" t="n">
        <v>24</v>
      </c>
      <c r="W277" s="44" t="n">
        <v>8.800000000000001</v>
      </c>
      <c r="X277" s="42" t="n">
        <v>1987</v>
      </c>
      <c r="Y277" s="42" t="n">
        <v>21</v>
      </c>
      <c r="Z277" s="44" t="n">
        <v>8.6</v>
      </c>
      <c r="AA277" s="42" t="n">
        <v>1985</v>
      </c>
      <c r="AB277" s="42" t="n">
        <v>18</v>
      </c>
      <c r="AC277" s="44" t="n">
        <v>8.4</v>
      </c>
      <c r="AD277" s="42" t="n">
        <v>1988</v>
      </c>
      <c r="AE277" s="42" t="n">
        <v>10</v>
      </c>
      <c r="AF277" s="44" t="n">
        <v>8.6</v>
      </c>
      <c r="AG277" s="42" t="n">
        <v>1988</v>
      </c>
      <c r="AH277" s="42" t="n">
        <v>18</v>
      </c>
      <c r="AI277" s="44" t="n">
        <v>7.5</v>
      </c>
      <c r="AJ277" s="42" t="n">
        <v>2003</v>
      </c>
      <c r="AK277" s="42" t="n">
        <v>6</v>
      </c>
      <c r="AL277" s="44" t="n">
        <v>9.4</v>
      </c>
      <c r="AM277" s="42" t="n">
        <v>1994</v>
      </c>
      <c r="AN277" s="42" t="n">
        <v>30</v>
      </c>
      <c r="AO277" s="44" t="n">
        <v>8</v>
      </c>
      <c r="AP277" s="42" t="n">
        <v>1988</v>
      </c>
      <c r="AQ277" s="42" t="n">
        <v>20</v>
      </c>
    </row>
    <row r="278" ht="14.45" customHeight="1">
      <c r="A278" s="42" t="n">
        <v>23085260</v>
      </c>
      <c r="B278" s="42" t="inlineStr">
        <is>
          <t>LA SELVA [23085260]</t>
        </is>
      </c>
      <c r="C278" s="42" t="n">
        <v>6.131916667</v>
      </c>
      <c r="D278" s="42" t="n">
        <v>-75.41455556</v>
      </c>
      <c r="E278" s="42" t="n">
        <v>2125</v>
      </c>
      <c r="F278" s="42" t="inlineStr">
        <is>
          <t>Rionegro</t>
        </is>
      </c>
      <c r="G278" s="42" t="inlineStr">
        <is>
          <t>Antioquia</t>
        </is>
      </c>
      <c r="H278" s="44" t="n">
        <v>5.4</v>
      </c>
      <c r="I278" s="42" t="n">
        <v>1991</v>
      </c>
      <c r="J278" s="42" t="n">
        <v>25</v>
      </c>
      <c r="K278" s="44" t="n">
        <v>5.2</v>
      </c>
      <c r="L278" s="42" t="n">
        <v>1985</v>
      </c>
      <c r="M278" s="42" t="n">
        <v>8</v>
      </c>
      <c r="N278" s="44" t="n">
        <v>6</v>
      </c>
      <c r="O278" s="42" t="n">
        <v>1993</v>
      </c>
      <c r="P278" s="42" t="n">
        <v>11</v>
      </c>
      <c r="Q278" s="44" t="n">
        <v>4</v>
      </c>
      <c r="R278" s="42" t="n">
        <v>1987</v>
      </c>
      <c r="S278" s="42" t="n">
        <v>14</v>
      </c>
      <c r="T278" s="44" t="n">
        <v>7.6</v>
      </c>
      <c r="U278" s="42" t="n">
        <v>1986</v>
      </c>
      <c r="V278" s="42" t="n">
        <v>13</v>
      </c>
      <c r="W278" s="44" t="n">
        <v>5.6</v>
      </c>
      <c r="X278" s="42" t="n">
        <v>1985</v>
      </c>
      <c r="Y278" s="42" t="n">
        <v>22</v>
      </c>
      <c r="Z278" s="44" t="n">
        <v>4.6</v>
      </c>
      <c r="AA278" s="42" t="n">
        <v>1983</v>
      </c>
      <c r="AB278" s="42" t="n">
        <v>26</v>
      </c>
      <c r="AC278" s="44" t="n">
        <v>5.2</v>
      </c>
      <c r="AD278" s="42" t="n">
        <v>1986</v>
      </c>
      <c r="AE278" s="42" t="n">
        <v>10</v>
      </c>
      <c r="AF278" s="44" t="n">
        <v>5</v>
      </c>
      <c r="AG278" s="42" t="n">
        <v>1991</v>
      </c>
      <c r="AH278" s="42" t="n">
        <v>12</v>
      </c>
      <c r="AI278" s="44" t="n">
        <v>5</v>
      </c>
      <c r="AJ278" s="42" t="n">
        <v>1986</v>
      </c>
      <c r="AK278" s="42" t="n">
        <v>31</v>
      </c>
      <c r="AL278" s="44" t="n">
        <v>5.4</v>
      </c>
      <c r="AM278" s="42" t="n">
        <v>1986</v>
      </c>
      <c r="AN278" s="42" t="n">
        <v>13</v>
      </c>
      <c r="AO278" s="44" t="n">
        <v>5</v>
      </c>
      <c r="AP278" s="42" t="n">
        <v>1987</v>
      </c>
      <c r="AQ278" s="42" t="n">
        <v>21</v>
      </c>
    </row>
    <row r="279" ht="14.45" customHeight="1">
      <c r="A279" s="42" t="n">
        <v>24035330</v>
      </c>
      <c r="B279" s="42" t="inlineStr">
        <is>
          <t>BOAVITA [24035330]</t>
        </is>
      </c>
      <c r="C279" s="42" t="n">
        <v>6.328972222</v>
      </c>
      <c r="D279" s="42" t="n">
        <v>-72.58227778</v>
      </c>
      <c r="E279" s="42" t="n">
        <v>2150</v>
      </c>
      <c r="F279" s="42" t="inlineStr">
        <is>
          <t>Boavita</t>
        </is>
      </c>
      <c r="G279" s="42" t="inlineStr">
        <is>
          <t>Boyacá</t>
        </is>
      </c>
      <c r="H279" s="44" t="n">
        <v>5.6</v>
      </c>
      <c r="I279" s="42" t="n">
        <v>1991</v>
      </c>
      <c r="J279" s="42" t="n">
        <v>24</v>
      </c>
      <c r="K279" s="44" t="n">
        <v>5</v>
      </c>
      <c r="L279" s="42" t="n">
        <v>2024</v>
      </c>
      <c r="M279" s="42" t="n">
        <v>3</v>
      </c>
      <c r="N279" s="44" t="n">
        <v>6.6</v>
      </c>
      <c r="O279" s="42" t="n">
        <v>1990</v>
      </c>
      <c r="P279" s="42" t="n">
        <v>27</v>
      </c>
      <c r="Q279" s="44" t="n">
        <v>7</v>
      </c>
      <c r="R279" s="42" t="n">
        <v>1990</v>
      </c>
      <c r="S279" s="42" t="n">
        <v>8</v>
      </c>
      <c r="T279" s="44" t="n">
        <v>5</v>
      </c>
      <c r="U279" s="42" t="n">
        <v>1991</v>
      </c>
      <c r="V279" s="42" t="n">
        <v>26</v>
      </c>
      <c r="W279" s="44" t="n">
        <v>6</v>
      </c>
      <c r="X279" s="42" t="n">
        <v>1991</v>
      </c>
      <c r="Y279" s="42" t="n">
        <v>1</v>
      </c>
      <c r="Z279" s="44" t="n">
        <v>6.6</v>
      </c>
      <c r="AA279" s="42" t="n">
        <v>1990</v>
      </c>
      <c r="AB279" s="42" t="n">
        <v>3</v>
      </c>
      <c r="AC279" s="44" t="n">
        <v>6.6</v>
      </c>
      <c r="AD279" s="42" t="n">
        <v>1990</v>
      </c>
      <c r="AE279" s="42" t="n">
        <v>3</v>
      </c>
      <c r="AF279" s="44" t="n">
        <v>6.6</v>
      </c>
      <c r="AG279" s="42" t="n">
        <v>1990</v>
      </c>
      <c r="AH279" s="42" t="n">
        <v>15</v>
      </c>
      <c r="AI279" s="44" t="n">
        <v>7</v>
      </c>
      <c r="AJ279" s="42" t="n">
        <v>1991</v>
      </c>
      <c r="AK279" s="42" t="n">
        <v>2</v>
      </c>
      <c r="AL279" s="44" t="n">
        <v>7</v>
      </c>
      <c r="AM279" s="42" t="n">
        <v>1991</v>
      </c>
      <c r="AN279" s="42" t="n">
        <v>2</v>
      </c>
      <c r="AO279" s="44" t="n">
        <v>6</v>
      </c>
      <c r="AP279" s="42" t="n">
        <v>1990</v>
      </c>
      <c r="AQ279" s="42" t="n">
        <v>10</v>
      </c>
    </row>
    <row r="280" ht="14.45" customHeight="1">
      <c r="A280" s="42" t="n">
        <v>26195030</v>
      </c>
      <c r="B280" s="42" t="inlineStr">
        <is>
          <t>EL JARDIN [26195030]</t>
        </is>
      </c>
      <c r="C280" s="42" t="n">
        <v>5.587722222</v>
      </c>
      <c r="D280" s="42" t="n">
        <v>-75.80055555600001</v>
      </c>
      <c r="E280" s="42" t="n">
        <v>2161</v>
      </c>
      <c r="F280" s="42" t="inlineStr">
        <is>
          <t>Jardín</t>
        </is>
      </c>
      <c r="G280" s="42" t="inlineStr">
        <is>
          <t>Antioquia</t>
        </is>
      </c>
      <c r="H280" s="44" t="n">
        <v>10</v>
      </c>
      <c r="I280" s="42" t="n">
        <v>2008</v>
      </c>
      <c r="J280" s="42" t="n">
        <v>11</v>
      </c>
      <c r="K280" s="44" t="n">
        <v>10</v>
      </c>
      <c r="L280" s="42" t="n">
        <v>2008</v>
      </c>
      <c r="M280" s="42" t="n">
        <v>4</v>
      </c>
      <c r="N280" s="44" t="n">
        <v>10</v>
      </c>
      <c r="O280" s="42" t="n">
        <v>2008</v>
      </c>
      <c r="P280" s="42" t="n">
        <v>15</v>
      </c>
      <c r="Q280" s="44" t="n">
        <v>10</v>
      </c>
      <c r="R280" s="42" t="n">
        <v>2008</v>
      </c>
      <c r="S280" s="42" t="n">
        <v>2</v>
      </c>
      <c r="T280" s="44" t="n">
        <v>11</v>
      </c>
      <c r="U280" s="42" t="n">
        <v>2008</v>
      </c>
      <c r="V280" s="42" t="n">
        <v>18</v>
      </c>
      <c r="W280" s="44" t="n">
        <v>10.8</v>
      </c>
      <c r="X280" s="42" t="n">
        <v>1992</v>
      </c>
      <c r="Y280" s="42" t="n">
        <v>18</v>
      </c>
      <c r="Z280" s="44" t="n">
        <v>10</v>
      </c>
      <c r="AA280" s="42" t="n">
        <v>2008</v>
      </c>
      <c r="AB280" s="42" t="n">
        <v>19</v>
      </c>
      <c r="AC280" s="44" t="n">
        <v>10.4</v>
      </c>
      <c r="AD280" s="42" t="n">
        <v>2008</v>
      </c>
      <c r="AE280" s="42" t="n">
        <v>25</v>
      </c>
      <c r="AF280" s="44" t="n">
        <v>10.4</v>
      </c>
      <c r="AG280" s="42" t="n">
        <v>1992</v>
      </c>
      <c r="AH280" s="42" t="n">
        <v>3</v>
      </c>
      <c r="AI280" s="44" t="n">
        <v>10.2</v>
      </c>
      <c r="AJ280" s="42" t="n">
        <v>1992</v>
      </c>
      <c r="AK280" s="42" t="n">
        <v>9</v>
      </c>
      <c r="AL280" s="44" t="n">
        <v>10.2</v>
      </c>
      <c r="AM280" s="42" t="n">
        <v>1996</v>
      </c>
      <c r="AN280" s="42" t="n">
        <v>21</v>
      </c>
      <c r="AO280" s="44" t="n">
        <v>10</v>
      </c>
      <c r="AP280" s="42" t="n">
        <v>1994</v>
      </c>
      <c r="AQ280" s="42" t="n">
        <v>30</v>
      </c>
    </row>
    <row r="281" ht="14.45" customHeight="1">
      <c r="A281" s="42" t="n">
        <v>26185010</v>
      </c>
      <c r="B281" s="42" t="inlineStr">
        <is>
          <t>LA PELADA [26185010]</t>
        </is>
      </c>
      <c r="C281" s="42" t="n">
        <v>5.57875</v>
      </c>
      <c r="D281" s="42" t="n">
        <v>-75.34477778</v>
      </c>
      <c r="E281" s="42" t="n">
        <v>2180</v>
      </c>
      <c r="F281" s="42" t="inlineStr">
        <is>
          <t>Aguadas</t>
        </is>
      </c>
      <c r="G281" s="42" t="inlineStr">
        <is>
          <t>Caldas</t>
        </is>
      </c>
      <c r="H281" s="44" t="n">
        <v>4</v>
      </c>
      <c r="I281" s="42" t="n">
        <v>2017</v>
      </c>
      <c r="J281" s="42" t="n">
        <v>1</v>
      </c>
      <c r="K281" s="44" t="n">
        <v>9</v>
      </c>
      <c r="L281" s="42" t="n">
        <v>2001</v>
      </c>
      <c r="M281" s="42" t="n">
        <v>9</v>
      </c>
      <c r="N281" s="44" t="n">
        <v>9</v>
      </c>
      <c r="O281" s="42" t="n">
        <v>1997</v>
      </c>
      <c r="P281" s="42" t="n">
        <v>25</v>
      </c>
      <c r="Q281" s="44" t="n">
        <v>8</v>
      </c>
      <c r="R281" s="42" t="n">
        <v>1997</v>
      </c>
      <c r="S281" s="42" t="n">
        <v>16</v>
      </c>
      <c r="T281" s="44" t="n">
        <v>8</v>
      </c>
      <c r="U281" s="42" t="n">
        <v>1997</v>
      </c>
      <c r="V281" s="42" t="n">
        <v>7</v>
      </c>
      <c r="W281" s="44" t="n">
        <v>10</v>
      </c>
      <c r="X281" s="42" t="n">
        <v>1998</v>
      </c>
      <c r="Y281" s="42" t="n">
        <v>2</v>
      </c>
      <c r="Z281" s="44" t="n">
        <v>9.199999999999999</v>
      </c>
      <c r="AA281" s="42" t="n">
        <v>1998</v>
      </c>
      <c r="AB281" s="42" t="n">
        <v>20</v>
      </c>
      <c r="AC281" s="44" t="n">
        <v>9.4</v>
      </c>
      <c r="AD281" s="42" t="n">
        <v>2006</v>
      </c>
      <c r="AE281" s="42" t="n">
        <v>13</v>
      </c>
      <c r="AF281" s="44" t="n">
        <v>9.800000000000001</v>
      </c>
      <c r="AG281" s="42" t="n">
        <v>2014</v>
      </c>
      <c r="AH281" s="42" t="n">
        <v>13</v>
      </c>
      <c r="AI281" s="44" t="n">
        <v>7.4</v>
      </c>
      <c r="AJ281" s="42" t="n">
        <v>1997</v>
      </c>
      <c r="AK281" s="42" t="n">
        <v>13</v>
      </c>
      <c r="AL281" s="44" t="n">
        <v>6.6</v>
      </c>
      <c r="AM281" s="42" t="n">
        <v>1996</v>
      </c>
      <c r="AN281" s="42" t="n">
        <v>29</v>
      </c>
      <c r="AO281" s="44" t="n">
        <v>7</v>
      </c>
      <c r="AP281" s="42" t="n">
        <v>1996</v>
      </c>
      <c r="AQ281" s="42" t="n">
        <v>5</v>
      </c>
    </row>
    <row r="282" ht="14.45" customHeight="1">
      <c r="A282" s="42" t="n">
        <v>52055200</v>
      </c>
      <c r="B282" s="42" t="inlineStr">
        <is>
          <t>FUNES [52055200]</t>
        </is>
      </c>
      <c r="C282" s="42" t="n">
        <v>1.004222222</v>
      </c>
      <c r="D282" s="42" t="n">
        <v>-77.44580556</v>
      </c>
      <c r="E282" s="42" t="n">
        <v>2181</v>
      </c>
      <c r="F282" s="42" t="inlineStr">
        <is>
          <t>Funes</t>
        </is>
      </c>
      <c r="G282" s="42" t="inlineStr">
        <is>
          <t>Nariño</t>
        </is>
      </c>
      <c r="H282" s="44" t="n">
        <v>7.6</v>
      </c>
      <c r="I282" s="42" t="n">
        <v>2020</v>
      </c>
      <c r="J282" s="42" t="n">
        <v>9</v>
      </c>
      <c r="K282" s="44" t="n">
        <v>8.4</v>
      </c>
      <c r="L282" s="42" t="n">
        <v>2017</v>
      </c>
      <c r="M282" s="42" t="n">
        <v>27</v>
      </c>
      <c r="N282" s="44" t="n">
        <v>9</v>
      </c>
      <c r="O282" s="42" t="n">
        <v>2018</v>
      </c>
      <c r="P282" s="42" t="n">
        <v>18</v>
      </c>
      <c r="Q282" s="44" t="n">
        <v>8.6</v>
      </c>
      <c r="R282" s="42" t="n">
        <v>2013</v>
      </c>
      <c r="S282" s="42" t="n">
        <v>26</v>
      </c>
      <c r="T282" s="44" t="n">
        <v>9.6</v>
      </c>
      <c r="U282" s="42" t="n">
        <v>2011</v>
      </c>
      <c r="V282" s="42" t="n">
        <v>4</v>
      </c>
      <c r="W282" s="44" t="n">
        <v>9.4</v>
      </c>
      <c r="X282" s="42" t="n">
        <v>2011</v>
      </c>
      <c r="Y282" s="42" t="n">
        <v>29</v>
      </c>
      <c r="Z282" s="44" t="n">
        <v>8.6</v>
      </c>
      <c r="AA282" s="42" t="n">
        <v>2010</v>
      </c>
      <c r="AB282" s="42" t="n">
        <v>23</v>
      </c>
      <c r="AC282" s="44" t="n">
        <v>7.8</v>
      </c>
      <c r="AD282" s="42" t="n">
        <v>2022</v>
      </c>
      <c r="AE282" s="42" t="n">
        <v>13</v>
      </c>
      <c r="AF282" s="44" t="n">
        <v>8</v>
      </c>
      <c r="AG282" s="42" t="n">
        <v>2020</v>
      </c>
      <c r="AH282" s="42" t="n">
        <v>26</v>
      </c>
      <c r="AI282" s="44" t="n">
        <v>9</v>
      </c>
      <c r="AJ282" s="42" t="n">
        <v>2010</v>
      </c>
      <c r="AK282" s="42" t="n">
        <v>3</v>
      </c>
      <c r="AL282" s="44" t="n">
        <v>8.6</v>
      </c>
      <c r="AM282" s="42" t="n">
        <v>2020</v>
      </c>
      <c r="AN282" s="42" t="n">
        <v>3</v>
      </c>
      <c r="AO282" s="44" t="n">
        <v>9</v>
      </c>
      <c r="AP282" s="42" t="n">
        <v>2010</v>
      </c>
      <c r="AQ282" s="42" t="n">
        <v>19</v>
      </c>
    </row>
    <row r="283" ht="14.45" customHeight="1">
      <c r="A283" s="42" t="n">
        <v>52045030</v>
      </c>
      <c r="B283" s="42" t="inlineStr">
        <is>
          <t>SAN BERNARDO [52045030]</t>
        </is>
      </c>
      <c r="C283" s="42" t="n">
        <v>1.538722222</v>
      </c>
      <c r="D283" s="42" t="n">
        <v>-77.03261111</v>
      </c>
      <c r="E283" s="42" t="n">
        <v>2190</v>
      </c>
      <c r="F283" s="42" t="inlineStr">
        <is>
          <t>San Bernardo</t>
        </is>
      </c>
      <c r="G283" s="42" t="inlineStr">
        <is>
          <t>Nariño</t>
        </is>
      </c>
      <c r="H283" s="44" t="n">
        <v>7</v>
      </c>
      <c r="I283" s="42" t="n">
        <v>2017</v>
      </c>
      <c r="J283" s="42" t="n">
        <v>23</v>
      </c>
      <c r="K283" s="44" t="n">
        <v>7.4</v>
      </c>
      <c r="L283" s="42" t="n">
        <v>1995</v>
      </c>
      <c r="M283" s="42" t="n">
        <v>16</v>
      </c>
      <c r="N283" s="44" t="n">
        <v>6.4</v>
      </c>
      <c r="O283" s="42" t="n">
        <v>2008</v>
      </c>
      <c r="P283" s="42" t="n">
        <v>3</v>
      </c>
      <c r="Q283" s="44" t="n">
        <v>7.8</v>
      </c>
      <c r="R283" s="42" t="n">
        <v>1985</v>
      </c>
      <c r="S283" s="42" t="n">
        <v>23</v>
      </c>
      <c r="T283" s="44" t="n">
        <v>8.4</v>
      </c>
      <c r="U283" s="42" t="n">
        <v>1981</v>
      </c>
      <c r="V283" s="42" t="n">
        <v>8</v>
      </c>
      <c r="W283" s="44" t="n">
        <v>7.4</v>
      </c>
      <c r="X283" s="42" t="n">
        <v>2016</v>
      </c>
      <c r="Y283" s="42" t="n">
        <v>16</v>
      </c>
      <c r="Z283" s="44" t="n">
        <v>6</v>
      </c>
      <c r="AA283" s="42" t="n">
        <v>1989</v>
      </c>
      <c r="AB283" s="42" t="n">
        <v>17</v>
      </c>
      <c r="AC283" s="44" t="n">
        <v>6.4</v>
      </c>
      <c r="AD283" s="42" t="n">
        <v>1978</v>
      </c>
      <c r="AE283" s="42" t="n">
        <v>18</v>
      </c>
      <c r="AF283" s="44" t="n">
        <v>7</v>
      </c>
      <c r="AG283" s="42" t="n">
        <v>1997</v>
      </c>
      <c r="AH283" s="42" t="n">
        <v>10</v>
      </c>
      <c r="AI283" s="44" t="n">
        <v>7.2</v>
      </c>
      <c r="AJ283" s="42" t="n">
        <v>1991</v>
      </c>
      <c r="AK283" s="42" t="n">
        <v>22</v>
      </c>
      <c r="AL283" s="44" t="n">
        <v>6.8</v>
      </c>
      <c r="AM283" s="42" t="n">
        <v>1985</v>
      </c>
      <c r="AN283" s="42" t="n">
        <v>1</v>
      </c>
      <c r="AO283" s="44" t="n">
        <v>8</v>
      </c>
      <c r="AP283" s="42" t="n">
        <v>1997</v>
      </c>
      <c r="AQ283" s="42" t="n">
        <v>19</v>
      </c>
    </row>
    <row r="284" ht="14.45" customHeight="1">
      <c r="A284" s="42" t="n">
        <v>23125100</v>
      </c>
      <c r="B284" s="42" t="inlineStr">
        <is>
          <t>BUENAVISTA [23125100]</t>
        </is>
      </c>
      <c r="C284" s="42" t="n">
        <v>5.514916667</v>
      </c>
      <c r="D284" s="42" t="n">
        <v>-73.94311111</v>
      </c>
      <c r="E284" s="42" t="n">
        <v>2200</v>
      </c>
      <c r="F284" s="42" t="inlineStr">
        <is>
          <t>Buenavista</t>
        </is>
      </c>
      <c r="G284" s="42" t="inlineStr">
        <is>
          <t>Boyacá</t>
        </is>
      </c>
      <c r="H284" s="44" t="n">
        <v>4.8</v>
      </c>
      <c r="I284" s="42" t="n">
        <v>1995</v>
      </c>
      <c r="J284" s="42" t="n">
        <v>12</v>
      </c>
      <c r="K284" s="44" t="n">
        <v>5.4</v>
      </c>
      <c r="L284" s="42" t="n">
        <v>1995</v>
      </c>
      <c r="M284" s="42" t="n">
        <v>1</v>
      </c>
      <c r="N284" s="44" t="n">
        <v>4.8</v>
      </c>
      <c r="O284" s="42" t="n">
        <v>1997</v>
      </c>
      <c r="P284" s="42" t="n">
        <v>29</v>
      </c>
      <c r="Q284" s="44" t="n">
        <v>4.2</v>
      </c>
      <c r="R284" s="42" t="n">
        <v>2000</v>
      </c>
      <c r="S284" s="42" t="n">
        <v>20</v>
      </c>
      <c r="T284" s="44" t="n">
        <v>5.2</v>
      </c>
      <c r="U284" s="42" t="n">
        <v>1996</v>
      </c>
      <c r="V284" s="42" t="n">
        <v>2</v>
      </c>
      <c r="W284" s="44" t="n">
        <v>4.8</v>
      </c>
      <c r="X284" s="42" t="n">
        <v>2000</v>
      </c>
      <c r="Y284" s="42" t="n">
        <v>28</v>
      </c>
      <c r="Z284" s="44" t="n">
        <v>4.4</v>
      </c>
      <c r="AA284" s="42" t="n">
        <v>2000</v>
      </c>
      <c r="AB284" s="42" t="n">
        <v>16</v>
      </c>
      <c r="AC284" s="44" t="n">
        <v>4.2</v>
      </c>
      <c r="AD284" s="42" t="n">
        <v>2000</v>
      </c>
      <c r="AE284" s="42" t="n">
        <v>14</v>
      </c>
      <c r="AF284" s="44" t="n">
        <v>4.2</v>
      </c>
      <c r="AG284" s="42" t="n">
        <v>2000</v>
      </c>
      <c r="AH284" s="42" t="n">
        <v>18</v>
      </c>
      <c r="AI284" s="44" t="n">
        <v>5.2</v>
      </c>
      <c r="AJ284" s="42" t="n">
        <v>1997</v>
      </c>
      <c r="AK284" s="42" t="n">
        <v>20</v>
      </c>
      <c r="AL284" s="44" t="n">
        <v>5.4</v>
      </c>
      <c r="AM284" s="42" t="n">
        <v>1995</v>
      </c>
      <c r="AN284" s="42" t="n">
        <v>10</v>
      </c>
      <c r="AO284" s="44" t="n">
        <v>4.4</v>
      </c>
      <c r="AP284" s="42" t="n">
        <v>1997</v>
      </c>
      <c r="AQ284" s="42" t="n">
        <v>4</v>
      </c>
    </row>
    <row r="285" ht="14.45" customHeight="1">
      <c r="A285" s="42" t="n">
        <v>35075030</v>
      </c>
      <c r="B285" s="42" t="inlineStr">
        <is>
          <t>VILLA LUISA [35075030]</t>
        </is>
      </c>
      <c r="C285" s="42" t="n">
        <v>5.422222222</v>
      </c>
      <c r="D285" s="42" t="n">
        <v>-73.34941667</v>
      </c>
      <c r="E285" s="42" t="n">
        <v>2200</v>
      </c>
      <c r="F285" s="42" t="inlineStr">
        <is>
          <t>Ramiriquí</t>
        </is>
      </c>
      <c r="G285" s="42" t="inlineStr">
        <is>
          <t>Boyacá</t>
        </is>
      </c>
      <c r="H285" s="44" t="n">
        <v>3.4</v>
      </c>
      <c r="I285" s="42" t="n">
        <v>2010</v>
      </c>
      <c r="J285" s="42" t="n">
        <v>5</v>
      </c>
      <c r="K285" s="44" t="n">
        <v>3.2</v>
      </c>
      <c r="L285" s="42" t="n">
        <v>1995</v>
      </c>
      <c r="M285" s="42" t="n">
        <v>16</v>
      </c>
      <c r="N285" s="44" t="n">
        <v>5.2</v>
      </c>
      <c r="O285" s="42" t="n">
        <v>1995</v>
      </c>
      <c r="P285" s="42" t="n">
        <v>21</v>
      </c>
      <c r="Q285" s="44" t="n">
        <v>7.2</v>
      </c>
      <c r="R285" s="42" t="n">
        <v>1991</v>
      </c>
      <c r="S285" s="42" t="n">
        <v>2</v>
      </c>
      <c r="T285" s="44" t="n">
        <v>7</v>
      </c>
      <c r="U285" s="42" t="n">
        <v>2006</v>
      </c>
      <c r="V285" s="42" t="n">
        <v>23</v>
      </c>
      <c r="W285" s="44" t="n">
        <v>6.4</v>
      </c>
      <c r="X285" s="42" t="n">
        <v>2012</v>
      </c>
      <c r="Y285" s="42" t="n">
        <v>22</v>
      </c>
      <c r="Z285" s="44" t="n">
        <v>6.2</v>
      </c>
      <c r="AA285" s="42" t="n">
        <v>1984</v>
      </c>
      <c r="AB285" s="42" t="n">
        <v>9</v>
      </c>
      <c r="AC285" s="44" t="n">
        <v>3</v>
      </c>
      <c r="AD285" s="42" t="n">
        <v>2018</v>
      </c>
      <c r="AE285" s="42" t="n">
        <v>16</v>
      </c>
      <c r="AF285" s="44" t="n">
        <v>1.2</v>
      </c>
      <c r="AG285" s="42" t="n">
        <v>1993</v>
      </c>
      <c r="AH285" s="42" t="n">
        <v>4</v>
      </c>
      <c r="AI285" s="44" t="n">
        <v>5.8</v>
      </c>
      <c r="AJ285" s="42" t="n">
        <v>2016</v>
      </c>
      <c r="AK285" s="42" t="n">
        <v>21</v>
      </c>
      <c r="AL285" s="44" t="n">
        <v>5.2</v>
      </c>
      <c r="AM285" s="42" t="n">
        <v>2016</v>
      </c>
      <c r="AN285" s="42" t="n">
        <v>6</v>
      </c>
      <c r="AO285" s="44" t="n">
        <v>4</v>
      </c>
      <c r="AP285" s="42" t="n">
        <v>2002</v>
      </c>
      <c r="AQ285" s="42" t="n">
        <v>12</v>
      </c>
    </row>
    <row r="286" ht="14.45" customHeight="1">
      <c r="A286" s="42" t="n">
        <v>21215130</v>
      </c>
      <c r="B286" s="42" t="inlineStr">
        <is>
          <t>CUCUANA HACIENDA [21215130]</t>
        </is>
      </c>
      <c r="C286" s="42" t="n">
        <v>4.341388889</v>
      </c>
      <c r="D286" s="42" t="n">
        <v>-75.51858333</v>
      </c>
      <c r="E286" s="42" t="n">
        <v>2229</v>
      </c>
      <c r="F286" s="42" t="inlineStr">
        <is>
          <t>Cajamarca</t>
        </is>
      </c>
      <c r="G286" s="42" t="inlineStr">
        <is>
          <t>Tolima</t>
        </is>
      </c>
      <c r="H286" s="44" t="n">
        <v>7</v>
      </c>
      <c r="I286" s="42" t="n">
        <v>2015</v>
      </c>
      <c r="J286" s="42" t="n">
        <v>5</v>
      </c>
      <c r="K286" s="44" t="n">
        <v>6.4</v>
      </c>
      <c r="L286" s="42" t="n">
        <v>2018</v>
      </c>
      <c r="M286" s="42" t="n">
        <v>27</v>
      </c>
      <c r="N286" s="44" t="n">
        <v>7</v>
      </c>
      <c r="O286" s="42" t="n">
        <v>2020</v>
      </c>
      <c r="P286" s="42" t="n">
        <v>22</v>
      </c>
      <c r="Q286" s="44" t="n">
        <v>9</v>
      </c>
      <c r="R286" s="42" t="n">
        <v>2013</v>
      </c>
      <c r="S286" s="42" t="n">
        <v>26</v>
      </c>
      <c r="T286" s="44" t="n">
        <v>8.800000000000001</v>
      </c>
      <c r="U286" s="42" t="n">
        <v>2019</v>
      </c>
      <c r="V286" s="42" t="n">
        <v>1</v>
      </c>
      <c r="W286" s="44" t="n">
        <v>8.199999999999999</v>
      </c>
      <c r="X286" s="42" t="n">
        <v>2013</v>
      </c>
      <c r="Y286" s="42" t="n">
        <v>6</v>
      </c>
      <c r="Z286" s="44" t="n">
        <v>8</v>
      </c>
      <c r="AA286" s="42" t="n">
        <v>2015</v>
      </c>
      <c r="AB286" s="42" t="n">
        <v>24</v>
      </c>
      <c r="AC286" s="44" t="n">
        <v>7</v>
      </c>
      <c r="AD286" s="42" t="n">
        <v>2014</v>
      </c>
      <c r="AE286" s="42" t="n">
        <v>31</v>
      </c>
      <c r="AF286" s="44" t="n">
        <v>7.2</v>
      </c>
      <c r="AG286" s="42" t="n">
        <v>2013</v>
      </c>
      <c r="AH286" s="42" t="n">
        <v>21</v>
      </c>
      <c r="AI286" s="44" t="n">
        <v>7</v>
      </c>
      <c r="AJ286" s="42" t="n">
        <v>2008</v>
      </c>
      <c r="AK286" s="42" t="n">
        <v>17</v>
      </c>
      <c r="AL286" s="44" t="n">
        <v>7</v>
      </c>
      <c r="AM286" s="42" t="n">
        <v>2016</v>
      </c>
      <c r="AN286" s="42" t="n">
        <v>22</v>
      </c>
      <c r="AO286" s="44" t="n">
        <v>6.8</v>
      </c>
      <c r="AP286" s="42" t="n">
        <v>2014</v>
      </c>
      <c r="AQ286" s="42" t="n">
        <v>23</v>
      </c>
    </row>
    <row r="287" ht="14.45" customHeight="1">
      <c r="A287" s="42" t="n">
        <v>21245140</v>
      </c>
      <c r="B287" s="42" t="inlineStr">
        <is>
          <t>SANTA ISABEL [21245140]</t>
        </is>
      </c>
      <c r="C287" s="42" t="n">
        <v>4.711861111</v>
      </c>
      <c r="D287" s="42" t="n">
        <v>-75.09445556</v>
      </c>
      <c r="E287" s="42" t="n">
        <v>2288</v>
      </c>
      <c r="F287" s="42" t="inlineStr">
        <is>
          <t>Santa Isabel</t>
        </is>
      </c>
      <c r="G287" s="42" t="inlineStr">
        <is>
          <t>Tolima</t>
        </is>
      </c>
      <c r="H287" s="44" t="n">
        <v>10</v>
      </c>
      <c r="I287" s="42" t="n">
        <v>1985</v>
      </c>
      <c r="J287" s="42" t="n">
        <v>15</v>
      </c>
      <c r="K287" s="44" t="n">
        <v>10.5</v>
      </c>
      <c r="L287" s="42" t="n">
        <v>2001</v>
      </c>
      <c r="M287" s="42" t="n">
        <v>5</v>
      </c>
      <c r="N287" s="44" t="n">
        <v>10.5</v>
      </c>
      <c r="O287" s="42" t="n">
        <v>2000</v>
      </c>
      <c r="P287" s="42" t="n">
        <v>9</v>
      </c>
      <c r="Q287" s="44" t="n">
        <v>10</v>
      </c>
      <c r="R287" s="42" t="n">
        <v>2000</v>
      </c>
      <c r="S287" s="42" t="n">
        <v>25</v>
      </c>
      <c r="T287" s="44" t="n">
        <v>10</v>
      </c>
      <c r="U287" s="42" t="n">
        <v>2000</v>
      </c>
      <c r="V287" s="42" t="n">
        <v>14</v>
      </c>
      <c r="W287" s="44" t="n">
        <v>10</v>
      </c>
      <c r="X287" s="42" t="n">
        <v>2003</v>
      </c>
      <c r="Y287" s="42" t="n">
        <v>7</v>
      </c>
      <c r="Z287" s="44" t="n">
        <v>10.2</v>
      </c>
      <c r="AA287" s="42" t="n">
        <v>1985</v>
      </c>
      <c r="AB287" s="42" t="n">
        <v>16</v>
      </c>
      <c r="AC287" s="44" t="n">
        <v>10.4</v>
      </c>
      <c r="AD287" s="42" t="n">
        <v>1985</v>
      </c>
      <c r="AE287" s="42" t="n">
        <v>22</v>
      </c>
      <c r="AF287" s="44" t="n">
        <v>10.6</v>
      </c>
      <c r="AG287" s="42" t="n">
        <v>1983</v>
      </c>
      <c r="AH287" s="42" t="n">
        <v>2</v>
      </c>
      <c r="AI287" s="44" t="n">
        <v>10</v>
      </c>
      <c r="AJ287" s="42" t="n">
        <v>2005</v>
      </c>
      <c r="AK287" s="42" t="n">
        <v>3</v>
      </c>
      <c r="AL287" s="44" t="n">
        <v>10.4</v>
      </c>
      <c r="AM287" s="42" t="n">
        <v>1983</v>
      </c>
      <c r="AN287" s="42" t="n">
        <v>5</v>
      </c>
      <c r="AO287" s="44" t="n">
        <v>10</v>
      </c>
      <c r="AP287" s="42" t="n">
        <v>1999</v>
      </c>
      <c r="AQ287" s="42" t="n">
        <v>26</v>
      </c>
    </row>
    <row r="288" ht="14.45" customHeight="1">
      <c r="A288" s="42" t="n">
        <v>24015090</v>
      </c>
      <c r="B288" s="42" t="inlineStr">
        <is>
          <t>INSTITUCION AGRICOLA SANTA SOFIA [24015090]</t>
        </is>
      </c>
      <c r="C288" s="42" t="n">
        <v>5.710666667</v>
      </c>
      <c r="D288" s="42" t="n">
        <v>-73.60227777999999</v>
      </c>
      <c r="E288" s="42" t="n">
        <v>2300</v>
      </c>
      <c r="F288" s="42" t="inlineStr">
        <is>
          <t>Santa Sofía</t>
        </is>
      </c>
      <c r="G288" s="42" t="inlineStr">
        <is>
          <t>Boyacá</t>
        </is>
      </c>
      <c r="H288" s="44" t="n">
        <v>5</v>
      </c>
      <c r="I288" s="42" t="n">
        <v>2010</v>
      </c>
      <c r="J288" s="42" t="n">
        <v>3</v>
      </c>
      <c r="K288" s="44" t="n">
        <v>3.8</v>
      </c>
      <c r="L288" s="42" t="n">
        <v>2007</v>
      </c>
      <c r="M288" s="42" t="n">
        <v>4</v>
      </c>
      <c r="N288" s="44" t="n">
        <v>6.8</v>
      </c>
      <c r="O288" s="42" t="n">
        <v>1990</v>
      </c>
      <c r="P288" s="42" t="n">
        <v>2</v>
      </c>
      <c r="Q288" s="44" t="n">
        <v>7.6</v>
      </c>
      <c r="R288" s="42" t="n">
        <v>1999</v>
      </c>
      <c r="S288" s="42" t="n">
        <v>4</v>
      </c>
      <c r="T288" s="44" t="n">
        <v>7.8</v>
      </c>
      <c r="U288" s="42" t="n">
        <v>1999</v>
      </c>
      <c r="V288" s="42" t="n">
        <v>3</v>
      </c>
      <c r="W288" s="44" t="n">
        <v>5.8</v>
      </c>
      <c r="X288" s="42" t="n">
        <v>2004</v>
      </c>
      <c r="Y288" s="42" t="n">
        <v>24</v>
      </c>
      <c r="Z288" s="44" t="n">
        <v>5</v>
      </c>
      <c r="AA288" s="42" t="n">
        <v>2004</v>
      </c>
      <c r="AB288" s="42" t="n">
        <v>1</v>
      </c>
      <c r="AC288" s="44" t="n">
        <v>6</v>
      </c>
      <c r="AD288" s="42" t="n">
        <v>2025</v>
      </c>
      <c r="AE288" s="42" t="n">
        <v>5</v>
      </c>
      <c r="AF288" s="44" t="n">
        <v>7</v>
      </c>
      <c r="AG288" s="42" t="n">
        <v>1992</v>
      </c>
      <c r="AH288" s="42" t="n">
        <v>17</v>
      </c>
      <c r="AI288" s="44" t="n">
        <v>6.8</v>
      </c>
      <c r="AJ288" s="42" t="n">
        <v>2000</v>
      </c>
      <c r="AK288" s="42" t="n">
        <v>30</v>
      </c>
      <c r="AL288" s="44" t="n">
        <v>7</v>
      </c>
      <c r="AM288" s="42" t="n">
        <v>1999</v>
      </c>
      <c r="AN288" s="42" t="n">
        <v>29</v>
      </c>
      <c r="AO288" s="44" t="n">
        <v>5.6</v>
      </c>
      <c r="AP288" s="42" t="n">
        <v>1989</v>
      </c>
      <c r="AQ288" s="42" t="n">
        <v>19</v>
      </c>
    </row>
    <row r="289" ht="14.45" customHeight="1">
      <c r="A289" s="42" t="n">
        <v>52025020</v>
      </c>
      <c r="B289" s="42" t="inlineStr">
        <is>
          <t>MILAGROS LOS [52025020]</t>
        </is>
      </c>
      <c r="C289" s="42" t="n">
        <v>1.753333333</v>
      </c>
      <c r="D289" s="42" t="n">
        <v>-76.89166667000001</v>
      </c>
      <c r="E289" s="42" t="n">
        <v>2300</v>
      </c>
      <c r="F289" s="42" t="inlineStr">
        <is>
          <t>Bolívar</t>
        </is>
      </c>
      <c r="G289" s="42" t="inlineStr">
        <is>
          <t>Cauca</t>
        </is>
      </c>
      <c r="H289" s="44" t="n">
        <v>8.199999999999999</v>
      </c>
      <c r="I289" s="42" t="n">
        <v>1980</v>
      </c>
      <c r="J289" s="42" t="n">
        <v>4</v>
      </c>
      <c r="K289" s="44" t="n">
        <v>8.4</v>
      </c>
      <c r="L289" s="42" t="n">
        <v>1978</v>
      </c>
      <c r="M289" s="42" t="n">
        <v>25</v>
      </c>
      <c r="N289" s="44" t="n">
        <v>8.4</v>
      </c>
      <c r="O289" s="42" t="n">
        <v>1978</v>
      </c>
      <c r="P289" s="42" t="n">
        <v>31</v>
      </c>
      <c r="Q289" s="44" t="n">
        <v>8.4</v>
      </c>
      <c r="R289" s="42" t="n">
        <v>1979</v>
      </c>
      <c r="S289" s="42" t="n">
        <v>4</v>
      </c>
      <c r="T289" s="44" t="n">
        <v>8.4</v>
      </c>
      <c r="U289" s="42" t="n">
        <v>1979</v>
      </c>
      <c r="V289" s="42" t="n">
        <v>23</v>
      </c>
      <c r="W289" s="44" t="n">
        <v>8.4</v>
      </c>
      <c r="X289" s="42" t="n">
        <v>1978</v>
      </c>
      <c r="Y289" s="42" t="n">
        <v>11</v>
      </c>
      <c r="Z289" s="44" t="n">
        <v>8.199999999999999</v>
      </c>
      <c r="AA289" s="42" t="n">
        <v>1979</v>
      </c>
      <c r="AB289" s="42" t="n">
        <v>14</v>
      </c>
      <c r="AC289" s="44" t="n">
        <v>8</v>
      </c>
      <c r="AD289" s="42" t="n">
        <v>1979</v>
      </c>
      <c r="AE289" s="42" t="n">
        <v>24</v>
      </c>
      <c r="AF289" s="44" t="n">
        <v>8.199999999999999</v>
      </c>
      <c r="AG289" s="42" t="n">
        <v>1979</v>
      </c>
      <c r="AH289" s="42" t="n">
        <v>15</v>
      </c>
      <c r="AI289" s="44" t="n">
        <v>8.199999999999999</v>
      </c>
      <c r="AJ289" s="42" t="n">
        <v>1978</v>
      </c>
      <c r="AK289" s="42" t="n">
        <v>5</v>
      </c>
      <c r="AL289" s="44" t="n">
        <v>8</v>
      </c>
      <c r="AM289" s="42" t="n">
        <v>1978</v>
      </c>
      <c r="AN289" s="42" t="n">
        <v>3</v>
      </c>
      <c r="AO289" s="44" t="n">
        <v>8</v>
      </c>
      <c r="AP289" s="42" t="n">
        <v>1979</v>
      </c>
      <c r="AQ289" s="42" t="n">
        <v>21</v>
      </c>
    </row>
    <row r="290" ht="14.45" customHeight="1">
      <c r="A290" s="42" t="n">
        <v>26155170</v>
      </c>
      <c r="B290" s="42" t="inlineStr">
        <is>
          <t>TESORITO FINCA  - AUT [26155170]</t>
        </is>
      </c>
      <c r="C290" s="42" t="n">
        <v>5.032222222</v>
      </c>
      <c r="D290" s="42" t="n">
        <v>-75.43833333000001</v>
      </c>
      <c r="E290" s="42" t="n">
        <v>2325</v>
      </c>
      <c r="F290" s="42" t="inlineStr">
        <is>
          <t>Manizales</t>
        </is>
      </c>
      <c r="G290" s="42" t="inlineStr">
        <is>
          <t>Caldas</t>
        </is>
      </c>
      <c r="H290" s="44" t="n">
        <v>9</v>
      </c>
      <c r="I290" s="42" t="n">
        <v>2000</v>
      </c>
      <c r="J290" s="42" t="n">
        <v>10</v>
      </c>
      <c r="K290" s="44" t="n">
        <v>8.6</v>
      </c>
      <c r="L290" s="42" t="n">
        <v>2008</v>
      </c>
      <c r="M290" s="42" t="n">
        <v>4</v>
      </c>
      <c r="N290" s="44" t="n">
        <v>9.300000000000001</v>
      </c>
      <c r="O290" s="42" t="n">
        <v>2022</v>
      </c>
      <c r="P290" s="42" t="n">
        <v>9</v>
      </c>
      <c r="Q290" s="44" t="n">
        <v>9</v>
      </c>
      <c r="R290" s="42" t="n">
        <v>2004</v>
      </c>
      <c r="S290" s="42" t="n">
        <v>17</v>
      </c>
      <c r="T290" s="44" t="n">
        <v>9</v>
      </c>
      <c r="U290" s="42" t="n">
        <v>2004</v>
      </c>
      <c r="V290" s="42" t="n">
        <v>17</v>
      </c>
      <c r="W290" s="44" t="n">
        <v>9.199999999999999</v>
      </c>
      <c r="X290" s="42" t="n">
        <v>2004</v>
      </c>
      <c r="Y290" s="42" t="n">
        <v>7</v>
      </c>
      <c r="Z290" s="44" t="n">
        <v>9.4</v>
      </c>
      <c r="AA290" s="42" t="n">
        <v>2014</v>
      </c>
      <c r="AB290" s="42" t="n">
        <v>28</v>
      </c>
      <c r="AC290" s="44" t="n">
        <v>9.800000000000001</v>
      </c>
      <c r="AD290" s="42" t="n">
        <v>1996</v>
      </c>
      <c r="AE290" s="42" t="n">
        <v>11</v>
      </c>
      <c r="AF290" s="44" t="n">
        <v>9.6</v>
      </c>
      <c r="AG290" s="42" t="n">
        <v>1998</v>
      </c>
      <c r="AH290" s="42" t="n">
        <v>17</v>
      </c>
      <c r="AI290" s="44" t="n">
        <v>9.199999999999999</v>
      </c>
      <c r="AJ290" s="42" t="n">
        <v>2006</v>
      </c>
      <c r="AK290" s="42" t="n">
        <v>20</v>
      </c>
      <c r="AL290" s="44" t="n">
        <v>8</v>
      </c>
      <c r="AM290" s="42" t="n">
        <v>2008</v>
      </c>
      <c r="AN290" s="42" t="n">
        <v>9</v>
      </c>
      <c r="AO290" s="44" t="n">
        <v>8.4</v>
      </c>
      <c r="AP290" s="42" t="n">
        <v>2013</v>
      </c>
      <c r="AQ290" s="42" t="n">
        <v>29</v>
      </c>
    </row>
    <row r="291" ht="14.45" customHeight="1">
      <c r="A291" s="42" t="n">
        <v>16015020</v>
      </c>
      <c r="B291" s="42" t="inlineStr">
        <is>
          <t>ISER PAMPLONA [16015020]</t>
        </is>
      </c>
      <c r="C291" s="42" t="n">
        <v>7.373111111</v>
      </c>
      <c r="D291" s="42" t="n">
        <v>-72.645</v>
      </c>
      <c r="E291" s="42" t="n">
        <v>2340</v>
      </c>
      <c r="F291" s="42" t="inlineStr">
        <is>
          <t>Pamplona</t>
        </is>
      </c>
      <c r="G291" s="42" t="inlineStr">
        <is>
          <t>Norte De Santander</t>
        </is>
      </c>
      <c r="H291" s="44" t="n">
        <v>-1.2</v>
      </c>
      <c r="I291" s="42" t="n">
        <v>2022</v>
      </c>
      <c r="J291" s="42" t="n">
        <v>6</v>
      </c>
      <c r="K291" s="44" t="n">
        <v>0.6</v>
      </c>
      <c r="L291" s="42" t="n">
        <v>2007</v>
      </c>
      <c r="M291" s="42" t="n">
        <v>3</v>
      </c>
      <c r="N291" s="44" t="n">
        <v>0.6</v>
      </c>
      <c r="O291" s="42" t="n">
        <v>1997</v>
      </c>
      <c r="P291" s="42" t="n">
        <v>2</v>
      </c>
      <c r="Q291" s="44" t="n">
        <v>5.2</v>
      </c>
      <c r="R291" s="42" t="n">
        <v>2002</v>
      </c>
      <c r="S291" s="42" t="n">
        <v>6</v>
      </c>
      <c r="T291" s="44" t="n">
        <v>5.4</v>
      </c>
      <c r="U291" s="42" t="n">
        <v>1999</v>
      </c>
      <c r="V291" s="42" t="n">
        <v>27</v>
      </c>
      <c r="W291" s="44" t="n">
        <v>5.4</v>
      </c>
      <c r="X291" s="42" t="n">
        <v>1994</v>
      </c>
      <c r="Y291" s="42" t="n">
        <v>24</v>
      </c>
      <c r="Z291" s="44" t="n">
        <v>2.6</v>
      </c>
      <c r="AA291" s="42" t="n">
        <v>2004</v>
      </c>
      <c r="AB291" s="42" t="n">
        <v>29</v>
      </c>
      <c r="AC291" s="44" t="n">
        <v>5</v>
      </c>
      <c r="AD291" s="42" t="n">
        <v>1992</v>
      </c>
      <c r="AE291" s="42" t="n">
        <v>16</v>
      </c>
      <c r="AF291" s="44" t="n">
        <v>5</v>
      </c>
      <c r="AG291" s="42" t="n">
        <v>1997</v>
      </c>
      <c r="AH291" s="42" t="n">
        <v>30</v>
      </c>
      <c r="AI291" s="44" t="n">
        <v>5</v>
      </c>
      <c r="AJ291" s="42" t="n">
        <v>1992</v>
      </c>
      <c r="AK291" s="42" t="n">
        <v>13</v>
      </c>
      <c r="AL291" s="44" t="n">
        <v>2.8</v>
      </c>
      <c r="AM291" s="42" t="n">
        <v>2000</v>
      </c>
      <c r="AN291" s="42" t="n">
        <v>21</v>
      </c>
      <c r="AO291" s="44" t="n">
        <v>0.2</v>
      </c>
      <c r="AP291" s="42" t="n">
        <v>1993</v>
      </c>
      <c r="AQ291" s="42" t="n">
        <v>30</v>
      </c>
    </row>
    <row r="292" ht="14.45" customHeight="1">
      <c r="A292" s="42" t="n">
        <v>24035310</v>
      </c>
      <c r="B292" s="42" t="inlineStr">
        <is>
          <t>CHISCAS [24035310]</t>
        </is>
      </c>
      <c r="C292" s="42" t="n">
        <v>6.549527778</v>
      </c>
      <c r="D292" s="42" t="n">
        <v>-72.50472222</v>
      </c>
      <c r="E292" s="42" t="n">
        <v>2350</v>
      </c>
      <c r="F292" s="42" t="inlineStr">
        <is>
          <t>Chiscas</t>
        </is>
      </c>
      <c r="G292" s="42" t="inlineStr">
        <is>
          <t>Boyacá</t>
        </is>
      </c>
      <c r="H292" s="44" t="n">
        <v>4.6</v>
      </c>
      <c r="I292" s="42" t="n">
        <v>2006</v>
      </c>
      <c r="J292" s="42" t="n">
        <v>1</v>
      </c>
      <c r="K292" s="44" t="n">
        <v>4.6</v>
      </c>
      <c r="L292" s="42" t="n">
        <v>2008</v>
      </c>
      <c r="M292" s="42" t="n">
        <v>4</v>
      </c>
      <c r="N292" s="44" t="n">
        <v>5.8</v>
      </c>
      <c r="O292" s="42" t="n">
        <v>2008</v>
      </c>
      <c r="P292" s="42" t="n">
        <v>1</v>
      </c>
      <c r="Q292" s="44" t="n">
        <v>6</v>
      </c>
      <c r="R292" s="42" t="n">
        <v>1992</v>
      </c>
      <c r="S292" s="42" t="n">
        <v>25</v>
      </c>
      <c r="T292" s="44" t="n">
        <v>6.2</v>
      </c>
      <c r="U292" s="42" t="n">
        <v>1985</v>
      </c>
      <c r="V292" s="42" t="n">
        <v>19</v>
      </c>
      <c r="W292" s="44" t="n">
        <v>5.2</v>
      </c>
      <c r="X292" s="42" t="n">
        <v>1987</v>
      </c>
      <c r="Y292" s="42" t="n">
        <v>26</v>
      </c>
      <c r="Z292" s="44" t="n">
        <v>5</v>
      </c>
      <c r="AA292" s="42" t="n">
        <v>1985</v>
      </c>
      <c r="AB292" s="42" t="n">
        <v>18</v>
      </c>
      <c r="AC292" s="44" t="n">
        <v>6.2</v>
      </c>
      <c r="AD292" s="42" t="n">
        <v>1985</v>
      </c>
      <c r="AE292" s="42" t="n">
        <v>3</v>
      </c>
      <c r="AF292" s="44" t="n">
        <v>4.8</v>
      </c>
      <c r="AG292" s="42" t="n">
        <v>1984</v>
      </c>
      <c r="AH292" s="42" t="n">
        <v>19</v>
      </c>
      <c r="AI292" s="44" t="n">
        <v>4.6</v>
      </c>
      <c r="AJ292" s="42" t="n">
        <v>2005</v>
      </c>
      <c r="AK292" s="42" t="n">
        <v>6</v>
      </c>
      <c r="AL292" s="44" t="n">
        <v>4.8</v>
      </c>
      <c r="AM292" s="42" t="n">
        <v>2005</v>
      </c>
      <c r="AN292" s="42" t="n">
        <v>27</v>
      </c>
      <c r="AO292" s="44" t="n">
        <v>4</v>
      </c>
      <c r="AP292" s="42" t="n">
        <v>1986</v>
      </c>
      <c r="AQ292" s="42" t="n">
        <v>30</v>
      </c>
    </row>
    <row r="293" ht="14.45" customHeight="1">
      <c r="A293" s="42" t="n">
        <v>35075010</v>
      </c>
      <c r="B293" s="42" t="inlineStr">
        <is>
          <t>NUEVO COLON [35075010]</t>
        </is>
      </c>
      <c r="C293" s="42" t="n">
        <v>5.352694444</v>
      </c>
      <c r="D293" s="42" t="n">
        <v>-73.45377778</v>
      </c>
      <c r="E293" s="42" t="n">
        <v>2438</v>
      </c>
      <c r="F293" s="42" t="inlineStr">
        <is>
          <t>Nuevo Colón</t>
        </is>
      </c>
      <c r="G293" s="42" t="inlineStr">
        <is>
          <t>Boyacá</t>
        </is>
      </c>
      <c r="H293" s="44" t="n">
        <v>0.8</v>
      </c>
      <c r="I293" s="42" t="n">
        <v>1983</v>
      </c>
      <c r="J293" s="42" t="n">
        <v>22</v>
      </c>
      <c r="K293" s="44" t="n">
        <v>3</v>
      </c>
      <c r="L293" s="42" t="n">
        <v>2007</v>
      </c>
      <c r="M293" s="42" t="n">
        <v>4</v>
      </c>
      <c r="N293" s="44" t="n">
        <v>4</v>
      </c>
      <c r="O293" s="42" t="n">
        <v>2024</v>
      </c>
      <c r="P293" s="42" t="n">
        <v>29</v>
      </c>
      <c r="Q293" s="44" t="n">
        <v>2.5</v>
      </c>
      <c r="R293" s="42" t="n">
        <v>1998</v>
      </c>
      <c r="S293" s="42" t="n">
        <v>23</v>
      </c>
      <c r="T293" s="44" t="n">
        <v>6</v>
      </c>
      <c r="U293" s="42" t="n">
        <v>1999</v>
      </c>
      <c r="V293" s="42" t="n">
        <v>11</v>
      </c>
      <c r="W293" s="44" t="n">
        <v>5.8</v>
      </c>
      <c r="X293" s="42" t="n">
        <v>1989</v>
      </c>
      <c r="Y293" s="42" t="n">
        <v>16</v>
      </c>
      <c r="Z293" s="44" t="n">
        <v>4.2</v>
      </c>
      <c r="AA293" s="42" t="n">
        <v>2010</v>
      </c>
      <c r="AB293" s="42" t="n">
        <v>24</v>
      </c>
      <c r="AC293" s="44" t="n">
        <v>2</v>
      </c>
      <c r="AD293" s="42" t="n">
        <v>2005</v>
      </c>
      <c r="AE293" s="42" t="n">
        <v>27</v>
      </c>
      <c r="AF293" s="44" t="n">
        <v>3.8</v>
      </c>
      <c r="AG293" s="42" t="n">
        <v>2004</v>
      </c>
      <c r="AH293" s="42" t="n">
        <v>8</v>
      </c>
      <c r="AI293" s="44" t="n">
        <v>0.6</v>
      </c>
      <c r="AJ293" s="42" t="n">
        <v>2018</v>
      </c>
      <c r="AK293" s="42" t="n">
        <v>10</v>
      </c>
      <c r="AL293" s="44" t="n">
        <v>4.6</v>
      </c>
      <c r="AM293" s="42" t="n">
        <v>1983</v>
      </c>
      <c r="AN293" s="42" t="n">
        <v>6</v>
      </c>
      <c r="AO293" s="44" t="n">
        <v>3.4</v>
      </c>
      <c r="AP293" s="42" t="n">
        <v>1985</v>
      </c>
      <c r="AQ293" s="42" t="n">
        <v>18</v>
      </c>
    </row>
    <row r="294" ht="14.45" customHeight="1">
      <c r="A294" s="42" t="n">
        <v>52015010</v>
      </c>
      <c r="B294" s="42" t="inlineStr">
        <is>
          <t>PAISPAMBA [52015010]</t>
        </is>
      </c>
      <c r="C294" s="42" t="n">
        <v>2.249722222</v>
      </c>
      <c r="D294" s="42" t="n">
        <v>-76.61194444</v>
      </c>
      <c r="E294" s="42" t="n">
        <v>2450</v>
      </c>
      <c r="F294" s="42" t="inlineStr">
        <is>
          <t>Sotará (Paispamba)</t>
        </is>
      </c>
      <c r="G294" s="42" t="inlineStr">
        <is>
          <t>Cauca</t>
        </is>
      </c>
      <c r="H294" s="44" t="n">
        <v>5.4</v>
      </c>
      <c r="I294" s="42" t="n">
        <v>1999</v>
      </c>
      <c r="J294" s="42" t="n">
        <v>13</v>
      </c>
      <c r="K294" s="44" t="n">
        <v>6.4</v>
      </c>
      <c r="L294" s="42" t="n">
        <v>1999</v>
      </c>
      <c r="M294" s="42" t="n">
        <v>21</v>
      </c>
      <c r="N294" s="44" t="n">
        <v>4.5</v>
      </c>
      <c r="O294" s="42" t="n">
        <v>1998</v>
      </c>
      <c r="P294" s="42" t="n">
        <v>15</v>
      </c>
      <c r="Q294" s="44" t="n">
        <v>6.5</v>
      </c>
      <c r="R294" s="42" t="n">
        <v>1999</v>
      </c>
      <c r="S294" s="42" t="n">
        <v>5</v>
      </c>
      <c r="T294" s="44" t="n">
        <v>5.5</v>
      </c>
      <c r="U294" s="42" t="n">
        <v>1998</v>
      </c>
      <c r="V294" s="42" t="n">
        <v>4</v>
      </c>
      <c r="W294" s="44" t="n">
        <v>4.5</v>
      </c>
      <c r="X294" s="42" t="n">
        <v>1998</v>
      </c>
      <c r="Y294" s="42" t="n">
        <v>24</v>
      </c>
      <c r="Z294" s="44" t="n">
        <v>5.4</v>
      </c>
      <c r="AA294" s="42" t="n">
        <v>1998</v>
      </c>
      <c r="AB294" s="42" t="n">
        <v>7</v>
      </c>
      <c r="AC294" s="44" t="n">
        <v>4.2</v>
      </c>
      <c r="AD294" s="42" t="n">
        <v>2022</v>
      </c>
      <c r="AE294" s="42" t="n">
        <v>23</v>
      </c>
      <c r="AF294" s="44" t="n">
        <v>4.7</v>
      </c>
      <c r="AG294" s="42" t="n">
        <v>2022</v>
      </c>
      <c r="AH294" s="42" t="n">
        <v>1</v>
      </c>
      <c r="AI294" s="44" t="n">
        <v>5</v>
      </c>
      <c r="AJ294" s="42" t="n">
        <v>1997</v>
      </c>
      <c r="AK294" s="42" t="n">
        <v>1</v>
      </c>
      <c r="AL294" s="44" t="n">
        <v>5.2</v>
      </c>
      <c r="AM294" s="42" t="n">
        <v>1997</v>
      </c>
      <c r="AN294" s="42" t="n">
        <v>15</v>
      </c>
      <c r="AO294" s="44" t="n">
        <v>5.8</v>
      </c>
      <c r="AP294" s="42" t="n">
        <v>1998</v>
      </c>
      <c r="AQ294" s="42" t="n">
        <v>27</v>
      </c>
    </row>
    <row r="295" ht="14.45" customHeight="1">
      <c r="A295" s="42" t="n">
        <v>24035120</v>
      </c>
      <c r="B295" s="42" t="inlineStr">
        <is>
          <t>SURBATA BONZA [24035120]</t>
        </is>
      </c>
      <c r="C295" s="42" t="n">
        <v>5.802444444</v>
      </c>
      <c r="D295" s="42" t="n">
        <v>-73.07447222</v>
      </c>
      <c r="E295" s="42" t="n">
        <v>2485</v>
      </c>
      <c r="F295" s="42" t="inlineStr">
        <is>
          <t>Duitama</t>
        </is>
      </c>
      <c r="G295" s="42" t="inlineStr">
        <is>
          <t>Boyacá</t>
        </is>
      </c>
      <c r="H295" s="44" t="n">
        <v>-6.6</v>
      </c>
      <c r="I295" s="42" t="n">
        <v>2010</v>
      </c>
      <c r="J295" s="42" t="n">
        <v>4</v>
      </c>
      <c r="K295" s="44" t="n">
        <v>-8</v>
      </c>
      <c r="L295" s="42" t="n">
        <v>2007</v>
      </c>
      <c r="M295" s="42" t="n">
        <v>4</v>
      </c>
      <c r="N295" s="44" t="n">
        <v>-4.4</v>
      </c>
      <c r="O295" s="42" t="n">
        <v>2010</v>
      </c>
      <c r="P295" s="42" t="n">
        <v>25</v>
      </c>
      <c r="Q295" s="44" t="n">
        <v>-0.2</v>
      </c>
      <c r="R295" s="42" t="n">
        <v>2024</v>
      </c>
      <c r="S295" s="42" t="n">
        <v>10</v>
      </c>
      <c r="T295" s="44" t="n">
        <v>0</v>
      </c>
      <c r="U295" s="42" t="n">
        <v>1984</v>
      </c>
      <c r="V295" s="42" t="n">
        <v>6</v>
      </c>
      <c r="W295" s="44" t="n">
        <v>-5.8</v>
      </c>
      <c r="X295" s="42" t="n">
        <v>2015</v>
      </c>
      <c r="Y295" s="42" t="n">
        <v>30</v>
      </c>
      <c r="Z295" s="44" t="n">
        <v>-1.4</v>
      </c>
      <c r="AA295" s="42" t="n">
        <v>1985</v>
      </c>
      <c r="AB295" s="42" t="n">
        <v>1</v>
      </c>
      <c r="AC295" s="44" t="n">
        <v>-1.1</v>
      </c>
      <c r="AD295" s="42" t="n">
        <v>2014</v>
      </c>
      <c r="AE295" s="42" t="n">
        <v>30</v>
      </c>
      <c r="AF295" s="44" t="n">
        <v>-0.2</v>
      </c>
      <c r="AG295" s="42" t="n">
        <v>1986</v>
      </c>
      <c r="AH295" s="42" t="n">
        <v>16</v>
      </c>
      <c r="AI295" s="44" t="n">
        <v>-1.2</v>
      </c>
      <c r="AJ295" s="42" t="n">
        <v>1991</v>
      </c>
      <c r="AK295" s="42" t="n">
        <v>21</v>
      </c>
      <c r="AL295" s="44" t="n">
        <v>-0.3</v>
      </c>
      <c r="AM295" s="42" t="n">
        <v>1987</v>
      </c>
      <c r="AN295" s="42" t="n">
        <v>12</v>
      </c>
      <c r="AO295" s="44" t="n">
        <v>-4</v>
      </c>
      <c r="AP295" s="42" t="n">
        <v>1985</v>
      </c>
      <c r="AQ295" s="42" t="n">
        <v>18</v>
      </c>
    </row>
    <row r="296" ht="14.45" customHeight="1">
      <c r="A296" s="42" t="n">
        <v>24035340</v>
      </c>
      <c r="B296" s="42" t="inlineStr">
        <is>
          <t>AEROPUERTO A LLERAS C AUT [24035340]</t>
        </is>
      </c>
      <c r="C296" s="42" t="n">
        <v>5.676944444</v>
      </c>
      <c r="D296" s="42" t="n">
        <v>-72.96791666999999</v>
      </c>
      <c r="E296" s="42" t="n">
        <v>2500</v>
      </c>
      <c r="F296" s="42" t="inlineStr">
        <is>
          <t>Sogamoso</t>
        </is>
      </c>
      <c r="G296" s="42" t="inlineStr">
        <is>
          <t>Boyacá</t>
        </is>
      </c>
      <c r="H296" s="44" t="n">
        <v>-6.6</v>
      </c>
      <c r="I296" s="42" t="n">
        <v>2015</v>
      </c>
      <c r="J296" s="42" t="n">
        <v>6</v>
      </c>
      <c r="K296" s="44" t="n">
        <v>-8.800000000000001</v>
      </c>
      <c r="L296" s="42" t="n">
        <v>1995</v>
      </c>
      <c r="M296" s="42" t="n">
        <v>15</v>
      </c>
      <c r="N296" s="44" t="n">
        <v>-6.8</v>
      </c>
      <c r="O296" s="42" t="n">
        <v>1992</v>
      </c>
      <c r="P296" s="42" t="n">
        <v>24</v>
      </c>
      <c r="Q296" s="44" t="n">
        <v>-4</v>
      </c>
      <c r="R296" s="42" t="n">
        <v>1987</v>
      </c>
      <c r="S296" s="42" t="n">
        <v>15</v>
      </c>
      <c r="T296" s="44" t="n">
        <v>-0.8</v>
      </c>
      <c r="U296" s="42" t="n">
        <v>1999</v>
      </c>
      <c r="V296" s="42" t="n">
        <v>25</v>
      </c>
      <c r="W296" s="44" t="n">
        <v>-0.9</v>
      </c>
      <c r="X296" s="42" t="n">
        <v>2008</v>
      </c>
      <c r="Y296" s="42" t="n">
        <v>4</v>
      </c>
      <c r="Z296" s="44" t="n">
        <v>-1.8</v>
      </c>
      <c r="AA296" s="42" t="n">
        <v>2000</v>
      </c>
      <c r="AB296" s="42" t="n">
        <v>9</v>
      </c>
      <c r="AC296" s="44" t="n">
        <v>-3</v>
      </c>
      <c r="AD296" s="42" t="n">
        <v>2014</v>
      </c>
      <c r="AE296" s="42" t="n">
        <v>30</v>
      </c>
      <c r="AF296" s="44" t="n">
        <v>-2.4</v>
      </c>
      <c r="AG296" s="42" t="n">
        <v>2009</v>
      </c>
      <c r="AH296" s="42" t="n">
        <v>30</v>
      </c>
      <c r="AI296" s="44" t="n">
        <v>-2.6</v>
      </c>
      <c r="AJ296" s="42" t="n">
        <v>2009</v>
      </c>
      <c r="AK296" s="42" t="n">
        <v>9</v>
      </c>
      <c r="AL296" s="44" t="n">
        <v>-1.2</v>
      </c>
      <c r="AM296" s="42" t="n">
        <v>1987</v>
      </c>
      <c r="AN296" s="42" t="n">
        <v>12</v>
      </c>
      <c r="AO296" s="44" t="n">
        <v>-7</v>
      </c>
      <c r="AP296" s="42" t="n">
        <v>1985</v>
      </c>
      <c r="AQ296" s="42" t="n">
        <v>19</v>
      </c>
    </row>
    <row r="297" ht="14.45" customHeight="1">
      <c r="A297" s="42" t="n">
        <v>24035430</v>
      </c>
      <c r="B297" s="42" t="inlineStr">
        <is>
          <t>TUNGUAVITA - AUT [24035430]</t>
        </is>
      </c>
      <c r="C297" s="42" t="n">
        <v>5.74583</v>
      </c>
      <c r="D297" s="42" t="n">
        <v>-73.11636</v>
      </c>
      <c r="E297" s="42" t="n">
        <v>2521</v>
      </c>
      <c r="F297" s="42" t="inlineStr">
        <is>
          <t>Paipa</t>
        </is>
      </c>
      <c r="G297" s="42" t="inlineStr">
        <is>
          <t>Boyacá</t>
        </is>
      </c>
      <c r="H297" s="44" t="n">
        <v>-4</v>
      </c>
      <c r="I297" s="42" t="n">
        <v>2002</v>
      </c>
      <c r="J297" s="42" t="n">
        <v>27</v>
      </c>
      <c r="K297" s="44" t="n">
        <v>-8</v>
      </c>
      <c r="L297" s="42" t="n">
        <v>1985</v>
      </c>
      <c r="M297" s="42" t="n">
        <v>5</v>
      </c>
      <c r="N297" s="44" t="n">
        <v>-1.9</v>
      </c>
      <c r="O297" s="42" t="n">
        <v>1992</v>
      </c>
      <c r="P297" s="42" t="n">
        <v>24</v>
      </c>
      <c r="Q297" s="44" t="n">
        <v>-1.2</v>
      </c>
      <c r="R297" s="42" t="n">
        <v>2024</v>
      </c>
      <c r="S297" s="42" t="n">
        <v>10</v>
      </c>
      <c r="T297" s="44" t="n">
        <v>1</v>
      </c>
      <c r="U297" s="42" t="n">
        <v>1999</v>
      </c>
      <c r="V297" s="42" t="n">
        <v>25</v>
      </c>
      <c r="W297" s="44" t="n">
        <v>-0.2</v>
      </c>
      <c r="X297" s="42" t="n">
        <v>1989</v>
      </c>
      <c r="Y297" s="42" t="n">
        <v>16</v>
      </c>
      <c r="Z297" s="44" t="n">
        <v>-1.4</v>
      </c>
      <c r="AA297" s="42" t="n">
        <v>1986</v>
      </c>
      <c r="AB297" s="42" t="n">
        <v>13</v>
      </c>
      <c r="AC297" s="44" t="n">
        <v>-0.2</v>
      </c>
      <c r="AD297" s="42" t="n">
        <v>2024</v>
      </c>
      <c r="AE297" s="42" t="n">
        <v>18</v>
      </c>
      <c r="AF297" s="44" t="n">
        <v>-0.4</v>
      </c>
      <c r="AG297" s="42" t="n">
        <v>1986</v>
      </c>
      <c r="AH297" s="42" t="n">
        <v>15</v>
      </c>
      <c r="AI297" s="44" t="n">
        <v>-1.4</v>
      </c>
      <c r="AJ297" s="42" t="n">
        <v>2009</v>
      </c>
      <c r="AK297" s="42" t="n">
        <v>9</v>
      </c>
      <c r="AL297" s="44" t="n">
        <v>0.2</v>
      </c>
      <c r="AM297" s="42" t="n">
        <v>2012</v>
      </c>
      <c r="AN297" s="42" t="n">
        <v>7</v>
      </c>
      <c r="AO297" s="44" t="n">
        <v>-3.8</v>
      </c>
      <c r="AP297" s="42" t="n">
        <v>1987</v>
      </c>
      <c r="AQ297" s="42" t="n">
        <v>17</v>
      </c>
    </row>
    <row r="298" ht="14.45" customHeight="1">
      <c r="A298" s="42" t="n">
        <v>24035150</v>
      </c>
      <c r="B298" s="42" t="inlineStr">
        <is>
          <t>BELENCITO [24035150]</t>
        </is>
      </c>
      <c r="C298" s="42" t="n">
        <v>5.781583333</v>
      </c>
      <c r="D298" s="42" t="n">
        <v>-72.89430556000001</v>
      </c>
      <c r="E298" s="42" t="n">
        <v>2530</v>
      </c>
      <c r="F298" s="42" t="inlineStr">
        <is>
          <t>Nobsa</t>
        </is>
      </c>
      <c r="G298" s="42" t="inlineStr">
        <is>
          <t>Boyacá</t>
        </is>
      </c>
      <c r="H298" s="44" t="n">
        <v>0.1</v>
      </c>
      <c r="I298" s="42" t="n">
        <v>1991</v>
      </c>
      <c r="J298" s="42" t="n">
        <v>30</v>
      </c>
      <c r="K298" s="44" t="n">
        <v>0</v>
      </c>
      <c r="L298" s="42" t="n">
        <v>2020</v>
      </c>
      <c r="M298" s="42" t="n">
        <v>6</v>
      </c>
      <c r="N298" s="44" t="n">
        <v>1</v>
      </c>
      <c r="O298" s="42" t="n">
        <v>1997</v>
      </c>
      <c r="P298" s="42" t="n">
        <v>8</v>
      </c>
      <c r="Q298" s="44" t="n">
        <v>1.4</v>
      </c>
      <c r="R298" s="42" t="n">
        <v>1991</v>
      </c>
      <c r="S298" s="42" t="n">
        <v>25</v>
      </c>
      <c r="T298" s="44" t="n">
        <v>4</v>
      </c>
      <c r="U298" s="42" t="n">
        <v>1985</v>
      </c>
      <c r="V298" s="42" t="n">
        <v>5</v>
      </c>
      <c r="W298" s="44" t="n">
        <v>2.6</v>
      </c>
      <c r="X298" s="42" t="n">
        <v>1997</v>
      </c>
      <c r="Y298" s="42" t="n">
        <v>21</v>
      </c>
      <c r="Z298" s="44" t="n">
        <v>1.4</v>
      </c>
      <c r="AA298" s="42" t="n">
        <v>1986</v>
      </c>
      <c r="AB298" s="42" t="n">
        <v>19</v>
      </c>
      <c r="AC298" s="44" t="n">
        <v>0.5</v>
      </c>
      <c r="AD298" s="42" t="n">
        <v>1997</v>
      </c>
      <c r="AE298" s="42" t="n">
        <v>16</v>
      </c>
      <c r="AF298" s="44" t="n">
        <v>0.1</v>
      </c>
      <c r="AG298" s="42" t="n">
        <v>1997</v>
      </c>
      <c r="AH298" s="42" t="n">
        <v>30</v>
      </c>
      <c r="AI298" s="44" t="n">
        <v>0</v>
      </c>
      <c r="AJ298" s="42" t="n">
        <v>1997</v>
      </c>
      <c r="AK298" s="42" t="n">
        <v>8</v>
      </c>
      <c r="AL298" s="44" t="n">
        <v>0.2</v>
      </c>
      <c r="AM298" s="42" t="n">
        <v>1997</v>
      </c>
      <c r="AN298" s="42" t="n">
        <v>23</v>
      </c>
      <c r="AO298" s="44" t="n">
        <v>-3.2</v>
      </c>
      <c r="AP298" s="42" t="n">
        <v>1985</v>
      </c>
      <c r="AQ298" s="42" t="n">
        <v>18</v>
      </c>
    </row>
    <row r="299" ht="14.45" customHeight="1">
      <c r="A299" s="42" t="n">
        <v>21205420</v>
      </c>
      <c r="B299" s="42" t="inlineStr">
        <is>
          <t>TIBAITATA [21205420]</t>
        </is>
      </c>
      <c r="C299" s="42" t="n">
        <v>4.688662</v>
      </c>
      <c r="D299" s="42" t="n">
        <v>-74.205626</v>
      </c>
      <c r="E299" s="42" t="n">
        <v>2543</v>
      </c>
      <c r="F299" s="42" t="inlineStr">
        <is>
          <t>Mosquera</t>
        </is>
      </c>
      <c r="G299" s="42" t="inlineStr">
        <is>
          <t>Cundinamarca</t>
        </is>
      </c>
      <c r="H299" s="44" t="n">
        <v>-3.6</v>
      </c>
      <c r="I299" s="42" t="n">
        <v>1991</v>
      </c>
      <c r="J299" s="42" t="n">
        <v>26</v>
      </c>
      <c r="K299" s="44" t="n">
        <v>-5.1</v>
      </c>
      <c r="L299" s="42" t="n">
        <v>1995</v>
      </c>
      <c r="M299" s="42" t="n">
        <v>15</v>
      </c>
      <c r="N299" s="44" t="n">
        <v>-3.8</v>
      </c>
      <c r="O299" s="42" t="n">
        <v>1992</v>
      </c>
      <c r="P299" s="42" t="n">
        <v>24</v>
      </c>
      <c r="Q299" s="44" t="n">
        <v>-0.2</v>
      </c>
      <c r="R299" s="42" t="n">
        <v>1985</v>
      </c>
      <c r="S299" s="42" t="n">
        <v>13</v>
      </c>
      <c r="T299" s="44" t="n">
        <v>0</v>
      </c>
      <c r="U299" s="42" t="n">
        <v>1979</v>
      </c>
      <c r="V299" s="42" t="n">
        <v>10</v>
      </c>
      <c r="W299" s="44" t="n">
        <v>0.1</v>
      </c>
      <c r="X299" s="42" t="n">
        <v>1980</v>
      </c>
      <c r="Y299" s="42" t="n">
        <v>28</v>
      </c>
      <c r="Z299" s="44" t="n">
        <v>-1.8</v>
      </c>
      <c r="AA299" s="42" t="n">
        <v>1986</v>
      </c>
      <c r="AB299" s="42" t="n">
        <v>19</v>
      </c>
      <c r="AC299" s="44" t="n">
        <v>-1.5</v>
      </c>
      <c r="AD299" s="42" t="n">
        <v>1989</v>
      </c>
      <c r="AE299" s="42" t="n">
        <v>3</v>
      </c>
      <c r="AF299" s="44" t="n">
        <v>-1.8</v>
      </c>
      <c r="AG299" s="42" t="n">
        <v>1996</v>
      </c>
      <c r="AH299" s="42" t="n">
        <v>23</v>
      </c>
      <c r="AI299" s="44" t="n">
        <v>-0.7</v>
      </c>
      <c r="AJ299" s="42" t="n">
        <v>1991</v>
      </c>
      <c r="AK299" s="42" t="n">
        <v>25</v>
      </c>
      <c r="AL299" s="44" t="n">
        <v>0</v>
      </c>
      <c r="AM299" s="42" t="n">
        <v>1978</v>
      </c>
      <c r="AN299" s="42" t="n">
        <v>28</v>
      </c>
      <c r="AO299" s="44" t="n">
        <v>-4.6</v>
      </c>
      <c r="AP299" s="42" t="n">
        <v>1993</v>
      </c>
      <c r="AQ299" s="42" t="n">
        <v>31</v>
      </c>
    </row>
    <row r="300" ht="14.45" customHeight="1">
      <c r="A300" s="42" t="n">
        <v>21205791</v>
      </c>
      <c r="B300" s="42" t="inlineStr">
        <is>
          <t>EL DORADO CATAM [21205791]</t>
        </is>
      </c>
      <c r="C300" s="42" t="n">
        <v>4.705583</v>
      </c>
      <c r="D300" s="42" t="n">
        <v>-74.150667</v>
      </c>
      <c r="E300" s="42" t="n">
        <v>2547</v>
      </c>
      <c r="F300" s="42" t="inlineStr">
        <is>
          <t>Bogotá, D.C</t>
        </is>
      </c>
      <c r="G300" s="42" t="inlineStr">
        <is>
          <t>Bogotá</t>
        </is>
      </c>
      <c r="H300" s="44" t="n">
        <v>-2.4</v>
      </c>
      <c r="I300" s="42" t="n">
        <v>1995</v>
      </c>
      <c r="J300" s="42" t="n">
        <v>24</v>
      </c>
      <c r="K300" s="44" t="n">
        <v>-6.4</v>
      </c>
      <c r="L300" s="42" t="n">
        <v>1995</v>
      </c>
      <c r="M300" s="42" t="n">
        <v>15</v>
      </c>
      <c r="N300" s="44" t="n">
        <v>-1.9</v>
      </c>
      <c r="O300" s="42" t="n">
        <v>1992</v>
      </c>
      <c r="P300" s="42" t="n">
        <v>24</v>
      </c>
      <c r="Q300" s="44" t="n">
        <v>0.2</v>
      </c>
      <c r="R300" s="42" t="n">
        <v>1975</v>
      </c>
      <c r="S300" s="42" t="n">
        <v>13</v>
      </c>
      <c r="T300" s="44" t="n">
        <v>0.7</v>
      </c>
      <c r="U300" s="42" t="n">
        <v>1984</v>
      </c>
      <c r="V300" s="42" t="n">
        <v>6</v>
      </c>
      <c r="W300" s="44" t="n">
        <v>1</v>
      </c>
      <c r="X300" s="42" t="n">
        <v>1974</v>
      </c>
      <c r="Y300" s="42" t="n">
        <v>5</v>
      </c>
      <c r="Z300" s="44" t="n">
        <v>0.4</v>
      </c>
      <c r="AA300" s="42" t="n">
        <v>1986</v>
      </c>
      <c r="AB300" s="42" t="n">
        <v>19</v>
      </c>
      <c r="AC300" s="44" t="n">
        <v>-0.3</v>
      </c>
      <c r="AD300" s="42" t="n">
        <v>1989</v>
      </c>
      <c r="AE300" s="42" t="n">
        <v>3</v>
      </c>
      <c r="AF300" s="44" t="n">
        <v>-0.2</v>
      </c>
      <c r="AG300" s="42" t="n">
        <v>1992</v>
      </c>
      <c r="AH300" s="42" t="n">
        <v>17</v>
      </c>
      <c r="AI300" s="44" t="n">
        <v>0.5</v>
      </c>
      <c r="AJ300" s="42" t="n">
        <v>1991</v>
      </c>
      <c r="AK300" s="42" t="n">
        <v>25</v>
      </c>
      <c r="AL300" s="44" t="n">
        <v>0.6</v>
      </c>
      <c r="AM300" s="42" t="n">
        <v>1980</v>
      </c>
      <c r="AN300" s="42" t="n">
        <v>9</v>
      </c>
      <c r="AO300" s="44" t="n">
        <v>-2</v>
      </c>
      <c r="AP300" s="42" t="n">
        <v>1993</v>
      </c>
      <c r="AQ300" s="42" t="n">
        <v>31</v>
      </c>
    </row>
    <row r="301" ht="14.45" customHeight="1">
      <c r="A301" s="42" t="n">
        <v>2120500135</v>
      </c>
      <c r="B301" s="42" t="inlineStr">
        <is>
          <t>UNIVERSIDAD DE LA SABANA [2120500135]</t>
        </is>
      </c>
      <c r="C301" s="42" t="n">
        <v>4.85414</v>
      </c>
      <c r="D301" s="42" t="n">
        <v>-74.03269</v>
      </c>
      <c r="E301" s="42" t="n">
        <v>2548</v>
      </c>
      <c r="F301" s="42" t="inlineStr">
        <is>
          <t>Chía</t>
        </is>
      </c>
      <c r="G301" s="42" t="inlineStr">
        <is>
          <t>Cundinamarca</t>
        </is>
      </c>
      <c r="H301" s="44" t="n">
        <v>5.2</v>
      </c>
      <c r="I301" s="42" t="n">
        <v>2021</v>
      </c>
      <c r="J301" s="42" t="n">
        <v>8</v>
      </c>
      <c r="K301" s="44" t="n">
        <v>5.2</v>
      </c>
      <c r="L301" s="42" t="n">
        <v>2021</v>
      </c>
      <c r="M301" s="42" t="n">
        <v>11</v>
      </c>
      <c r="N301" s="44" t="n">
        <v>5.2</v>
      </c>
      <c r="O301" s="42" t="n">
        <v>2021</v>
      </c>
      <c r="P301" s="42" t="n">
        <v>20</v>
      </c>
      <c r="Q301" s="44" t="n">
        <v>5.2</v>
      </c>
      <c r="R301" s="42" t="n">
        <v>2021</v>
      </c>
      <c r="S301" s="42" t="n">
        <v>4</v>
      </c>
      <c r="T301" s="44" t="n">
        <v>5</v>
      </c>
      <c r="U301" s="42" t="n">
        <v>2021</v>
      </c>
      <c r="V301" s="42" t="n">
        <v>10</v>
      </c>
      <c r="W301" s="44" t="n">
        <v>5.2</v>
      </c>
      <c r="X301" s="42" t="n">
        <v>2021</v>
      </c>
      <c r="Y301" s="42" t="n">
        <v>2</v>
      </c>
      <c r="Z301" s="44" t="n">
        <v>5</v>
      </c>
      <c r="AA301" s="42" t="n">
        <v>2021</v>
      </c>
      <c r="AB301" s="42" t="n">
        <v>30</v>
      </c>
      <c r="AC301" s="44" t="n">
        <v>5.2</v>
      </c>
      <c r="AD301" s="42" t="n">
        <v>2021</v>
      </c>
      <c r="AE301" s="42" t="n">
        <v>9</v>
      </c>
      <c r="AF301" s="44" t="n">
        <v>7.2</v>
      </c>
      <c r="AG301" s="42" t="n">
        <v>2021</v>
      </c>
      <c r="AH301" s="42" t="n">
        <v>8</v>
      </c>
      <c r="AI301" s="44" t="n">
        <v>5.2</v>
      </c>
      <c r="AJ301" s="42" t="n">
        <v>2020</v>
      </c>
      <c r="AK301" s="42" t="n">
        <v>19</v>
      </c>
      <c r="AL301" s="44" t="n">
        <v>5.2</v>
      </c>
      <c r="AM301" s="42" t="n">
        <v>2020</v>
      </c>
      <c r="AN301" s="42" t="n">
        <v>3</v>
      </c>
      <c r="AO301" s="44" t="n">
        <v>5.2</v>
      </c>
      <c r="AP301" s="42" t="n">
        <v>2020</v>
      </c>
      <c r="AQ301" s="42" t="n">
        <v>7</v>
      </c>
    </row>
    <row r="302" ht="14.45" customHeight="1">
      <c r="A302" s="42" t="n">
        <v>21205770</v>
      </c>
      <c r="B302" s="42" t="inlineStr">
        <is>
          <t>BASE AEREA MADRID [21205770]</t>
        </is>
      </c>
      <c r="C302" s="42" t="n">
        <v>4.728805556</v>
      </c>
      <c r="D302" s="42" t="n">
        <v>-74.27249999999999</v>
      </c>
      <c r="E302" s="42" t="n">
        <v>2550</v>
      </c>
      <c r="F302" s="42" t="inlineStr">
        <is>
          <t>Madrid</t>
        </is>
      </c>
      <c r="G302" s="42" t="inlineStr">
        <is>
          <t>Cundinamarca</t>
        </is>
      </c>
      <c r="H302" s="44" t="n">
        <v>-3</v>
      </c>
      <c r="I302" s="42" t="n">
        <v>1991</v>
      </c>
      <c r="J302" s="42" t="n">
        <v>26</v>
      </c>
      <c r="K302" s="44" t="n">
        <v>-3.6</v>
      </c>
      <c r="L302" s="42" t="n">
        <v>2007</v>
      </c>
      <c r="M302" s="42" t="n">
        <v>4</v>
      </c>
      <c r="N302" s="44" t="n">
        <v>-2</v>
      </c>
      <c r="O302" s="42" t="n">
        <v>1986</v>
      </c>
      <c r="P302" s="42" t="n">
        <v>21</v>
      </c>
      <c r="Q302" s="44" t="n">
        <v>-3</v>
      </c>
      <c r="R302" s="42" t="n">
        <v>1990</v>
      </c>
      <c r="S302" s="42" t="n">
        <v>13</v>
      </c>
      <c r="T302" s="44" t="n">
        <v>-2.2</v>
      </c>
      <c r="U302" s="42" t="n">
        <v>1986</v>
      </c>
      <c r="V302" s="42" t="n">
        <v>3</v>
      </c>
      <c r="W302" s="44" t="n">
        <v>-2.3</v>
      </c>
      <c r="X302" s="42" t="n">
        <v>1983</v>
      </c>
      <c r="Y302" s="42" t="n">
        <v>9</v>
      </c>
      <c r="Z302" s="44" t="n">
        <v>0</v>
      </c>
      <c r="AA302" s="42" t="n">
        <v>1984</v>
      </c>
      <c r="AB302" s="42" t="n">
        <v>21</v>
      </c>
      <c r="AC302" s="44" t="n">
        <v>-2</v>
      </c>
      <c r="AD302" s="42" t="n">
        <v>1983</v>
      </c>
      <c r="AE302" s="42" t="n">
        <v>4</v>
      </c>
      <c r="AF302" s="44" t="n">
        <v>-0.5</v>
      </c>
      <c r="AG302" s="42" t="n">
        <v>2020</v>
      </c>
      <c r="AH302" s="42" t="n">
        <v>11</v>
      </c>
      <c r="AI302" s="44" t="n">
        <v>-1</v>
      </c>
      <c r="AJ302" s="42" t="n">
        <v>2021</v>
      </c>
      <c r="AK302" s="42" t="n">
        <v>21</v>
      </c>
      <c r="AL302" s="44" t="n">
        <v>0.6</v>
      </c>
      <c r="AM302" s="42" t="n">
        <v>1990</v>
      </c>
      <c r="AN302" s="42" t="n">
        <v>9</v>
      </c>
      <c r="AO302" s="44" t="n">
        <v>-2.2</v>
      </c>
      <c r="AP302" s="42" t="n">
        <v>1986</v>
      </c>
      <c r="AQ302" s="42" t="n">
        <v>26</v>
      </c>
    </row>
    <row r="303" ht="14.45" customHeight="1">
      <c r="A303" s="42" t="n">
        <v>21206010</v>
      </c>
      <c r="B303" s="42" t="inlineStr">
        <is>
          <t>HACIENDA LORETOKI [21206010]</t>
        </is>
      </c>
      <c r="C303" s="42" t="n">
        <v>5.089027778</v>
      </c>
      <c r="D303" s="42" t="n">
        <v>-73.80275</v>
      </c>
      <c r="E303" s="42" t="n">
        <v>2550</v>
      </c>
      <c r="F303" s="42" t="inlineStr">
        <is>
          <t>Suesca</t>
        </is>
      </c>
      <c r="G303" s="42" t="inlineStr">
        <is>
          <t>Cundinamarca</t>
        </is>
      </c>
      <c r="H303" s="44" t="n">
        <v>-4.8</v>
      </c>
      <c r="I303" s="42" t="n">
        <v>2010</v>
      </c>
      <c r="J303" s="42" t="n">
        <v>4</v>
      </c>
      <c r="K303" s="44" t="n">
        <v>-4.8</v>
      </c>
      <c r="L303" s="42" t="n">
        <v>2007</v>
      </c>
      <c r="M303" s="42" t="n">
        <v>4</v>
      </c>
      <c r="N303" s="44" t="n">
        <v>-0.2</v>
      </c>
      <c r="O303" s="42" t="n">
        <v>2007</v>
      </c>
      <c r="P303" s="42" t="n">
        <v>2</v>
      </c>
      <c r="Q303" s="44" t="n">
        <v>1</v>
      </c>
      <c r="R303" s="42" t="n">
        <v>2001</v>
      </c>
      <c r="S303" s="42" t="n">
        <v>22</v>
      </c>
      <c r="T303" s="44" t="n">
        <v>0.4</v>
      </c>
      <c r="U303" s="42" t="n">
        <v>2019</v>
      </c>
      <c r="V303" s="42" t="n">
        <v>1</v>
      </c>
      <c r="W303" s="44" t="n">
        <v>1</v>
      </c>
      <c r="X303" s="42" t="n">
        <v>1994</v>
      </c>
      <c r="Y303" s="42" t="n">
        <v>24</v>
      </c>
      <c r="Z303" s="44" t="n">
        <v>0.2</v>
      </c>
      <c r="AA303" s="42" t="n">
        <v>1985</v>
      </c>
      <c r="AB303" s="42" t="n">
        <v>1</v>
      </c>
      <c r="AC303" s="44" t="n">
        <v>0</v>
      </c>
      <c r="AD303" s="42" t="n">
        <v>1978</v>
      </c>
      <c r="AE303" s="42" t="n">
        <v>17</v>
      </c>
      <c r="AF303" s="44" t="n">
        <v>0.4</v>
      </c>
      <c r="AG303" s="42" t="n">
        <v>2015</v>
      </c>
      <c r="AH303" s="42" t="n">
        <v>14</v>
      </c>
      <c r="AI303" s="44" t="n">
        <v>0</v>
      </c>
      <c r="AJ303" s="42" t="n">
        <v>2002</v>
      </c>
      <c r="AK303" s="42" t="n">
        <v>14</v>
      </c>
      <c r="AL303" s="44" t="n">
        <v>0.2</v>
      </c>
      <c r="AM303" s="42" t="n">
        <v>1977</v>
      </c>
      <c r="AN303" s="42" t="n">
        <v>30</v>
      </c>
      <c r="AO303" s="44" t="n">
        <v>-0.6</v>
      </c>
      <c r="AP303" s="42" t="n">
        <v>2022</v>
      </c>
      <c r="AQ303" s="42" t="n">
        <v>27</v>
      </c>
    </row>
    <row r="304" ht="14.45" customHeight="1">
      <c r="A304" s="42" t="n">
        <v>24015360</v>
      </c>
      <c r="B304" s="42" t="inlineStr">
        <is>
          <t>SABOYA LA GRANJA [24015360]</t>
        </is>
      </c>
      <c r="C304" s="42" t="n">
        <v>5.696222222</v>
      </c>
      <c r="D304" s="42" t="n">
        <v>-73.759</v>
      </c>
      <c r="E304" s="42" t="n">
        <v>2550</v>
      </c>
      <c r="F304" s="42" t="inlineStr">
        <is>
          <t>Saboyá</t>
        </is>
      </c>
      <c r="G304" s="42" t="inlineStr">
        <is>
          <t>Boyacá</t>
        </is>
      </c>
      <c r="H304" s="44" t="n">
        <v>-1.6</v>
      </c>
      <c r="I304" s="42" t="n">
        <v>2016</v>
      </c>
      <c r="J304" s="42" t="n">
        <v>11</v>
      </c>
      <c r="K304" s="44" t="n">
        <v>-0.3</v>
      </c>
      <c r="L304" s="42" t="n">
        <v>2016</v>
      </c>
      <c r="M304" s="42" t="n">
        <v>2</v>
      </c>
      <c r="N304" s="44" t="n">
        <v>-1.3</v>
      </c>
      <c r="O304" s="42" t="n">
        <v>2020</v>
      </c>
      <c r="P304" s="42" t="n">
        <v>5</v>
      </c>
      <c r="Q304" s="44" t="n">
        <v>1</v>
      </c>
      <c r="R304" s="42" t="n">
        <v>2024</v>
      </c>
      <c r="S304" s="42" t="n">
        <v>10</v>
      </c>
      <c r="T304" s="44" t="n">
        <v>2</v>
      </c>
      <c r="U304" s="42" t="n">
        <v>2023</v>
      </c>
      <c r="V304" s="42" t="n">
        <v>3</v>
      </c>
      <c r="W304" s="44" t="n">
        <v>1.6</v>
      </c>
      <c r="X304" s="42" t="n">
        <v>2014</v>
      </c>
      <c r="Y304" s="42" t="n">
        <v>27</v>
      </c>
      <c r="Z304" s="44" t="n">
        <v>-0.6</v>
      </c>
      <c r="AA304" s="42" t="n">
        <v>2010</v>
      </c>
      <c r="AB304" s="42" t="n">
        <v>2</v>
      </c>
      <c r="AC304" s="44" t="n">
        <v>-0.8</v>
      </c>
      <c r="AD304" s="42" t="n">
        <v>2024</v>
      </c>
      <c r="AE304" s="42" t="n">
        <v>18</v>
      </c>
      <c r="AF304" s="44" t="n">
        <v>0</v>
      </c>
      <c r="AG304" s="42" t="n">
        <v>2023</v>
      </c>
      <c r="AH304" s="42" t="n">
        <v>21</v>
      </c>
      <c r="AI304" s="44" t="n">
        <v>0.2</v>
      </c>
      <c r="AJ304" s="42" t="n">
        <v>2013</v>
      </c>
      <c r="AK304" s="42" t="n">
        <v>9</v>
      </c>
      <c r="AL304" s="44" t="n">
        <v>0.4</v>
      </c>
      <c r="AM304" s="42" t="n">
        <v>2013</v>
      </c>
      <c r="AN304" s="42" t="n">
        <v>13</v>
      </c>
      <c r="AO304" s="44" t="n">
        <v>0</v>
      </c>
      <c r="AP304" s="42" t="n">
        <v>2018</v>
      </c>
      <c r="AQ304" s="42" t="n">
        <v>6</v>
      </c>
    </row>
    <row r="305" ht="14.45" customHeight="1">
      <c r="A305" s="42" t="n">
        <v>21205710</v>
      </c>
      <c r="B305" s="42" t="inlineStr">
        <is>
          <t>JARDIN BOTANICO [21205710]</t>
        </is>
      </c>
      <c r="C305" s="42" t="n">
        <v>4.667867</v>
      </c>
      <c r="D305" s="42" t="n">
        <v>-74.101034</v>
      </c>
      <c r="E305" s="42" t="n">
        <v>2552</v>
      </c>
      <c r="F305" s="42" t="inlineStr">
        <is>
          <t>Bogotá, D.C</t>
        </is>
      </c>
      <c r="G305" s="42" t="inlineStr">
        <is>
          <t>Bogotá</t>
        </is>
      </c>
      <c r="H305" s="44" t="n">
        <v>0.6</v>
      </c>
      <c r="I305" s="42" t="n">
        <v>1979</v>
      </c>
      <c r="J305" s="42" t="n">
        <v>17</v>
      </c>
      <c r="K305" s="44" t="n">
        <v>-0.4</v>
      </c>
      <c r="L305" s="42" t="n">
        <v>2007</v>
      </c>
      <c r="M305" s="42" t="n">
        <v>6</v>
      </c>
      <c r="N305" s="44" t="n">
        <v>2</v>
      </c>
      <c r="O305" s="42" t="n">
        <v>1982</v>
      </c>
      <c r="P305" s="42" t="n">
        <v>3</v>
      </c>
      <c r="Q305" s="44" t="n">
        <v>0.4</v>
      </c>
      <c r="R305" s="42" t="n">
        <v>1982</v>
      </c>
      <c r="S305" s="42" t="n">
        <v>18</v>
      </c>
      <c r="T305" s="44" t="n">
        <v>0.4</v>
      </c>
      <c r="U305" s="42" t="n">
        <v>1997</v>
      </c>
      <c r="V305" s="42" t="n">
        <v>2</v>
      </c>
      <c r="W305" s="44" t="n">
        <v>0.4</v>
      </c>
      <c r="X305" s="42" t="n">
        <v>1981</v>
      </c>
      <c r="Y305" s="42" t="n">
        <v>17</v>
      </c>
      <c r="Z305" s="44" t="n">
        <v>0.2</v>
      </c>
      <c r="AA305" s="42" t="n">
        <v>1981</v>
      </c>
      <c r="AB305" s="42" t="n">
        <v>8</v>
      </c>
      <c r="AC305" s="44" t="n">
        <v>1.6</v>
      </c>
      <c r="AD305" s="42" t="n">
        <v>1998</v>
      </c>
      <c r="AE305" s="42" t="n">
        <v>25</v>
      </c>
      <c r="AF305" s="44" t="n">
        <v>1.8</v>
      </c>
      <c r="AG305" s="42" t="n">
        <v>1997</v>
      </c>
      <c r="AH305" s="42" t="n">
        <v>25</v>
      </c>
      <c r="AI305" s="44" t="n">
        <v>1.1</v>
      </c>
      <c r="AJ305" s="42" t="n">
        <v>2005</v>
      </c>
      <c r="AK305" s="42" t="n">
        <v>17</v>
      </c>
      <c r="AL305" s="44" t="n">
        <v>0.1</v>
      </c>
      <c r="AM305" s="42" t="n">
        <v>1982</v>
      </c>
      <c r="AN305" s="42" t="n">
        <v>23</v>
      </c>
      <c r="AO305" s="44" t="n">
        <v>1</v>
      </c>
      <c r="AP305" s="42" t="n">
        <v>1986</v>
      </c>
      <c r="AQ305" s="42" t="n">
        <v>28</v>
      </c>
    </row>
    <row r="306" ht="14.45" customHeight="1">
      <c r="A306" s="42" t="n">
        <v>21205012</v>
      </c>
      <c r="B306" s="42" t="inlineStr">
        <is>
          <t>UNIVERSIDAD NACIONAL [21205012]</t>
        </is>
      </c>
      <c r="C306" s="42" t="n">
        <v>4.63723</v>
      </c>
      <c r="D306" s="42" t="n">
        <v>-74.08892</v>
      </c>
      <c r="E306" s="42" t="n">
        <v>2556</v>
      </c>
      <c r="F306" s="42" t="inlineStr">
        <is>
          <t>Bogotá, D.C</t>
        </is>
      </c>
      <c r="G306" s="42" t="inlineStr">
        <is>
          <t>Bogotá</t>
        </is>
      </c>
      <c r="H306" s="44" t="n">
        <v>0.8</v>
      </c>
      <c r="I306" s="42" t="n">
        <v>1996</v>
      </c>
      <c r="J306" s="42" t="n">
        <v>8</v>
      </c>
      <c r="K306" s="44" t="n">
        <v>-4</v>
      </c>
      <c r="L306" s="42" t="n">
        <v>1995</v>
      </c>
      <c r="M306" s="42" t="n">
        <v>12</v>
      </c>
      <c r="N306" s="44" t="n">
        <v>1.6</v>
      </c>
      <c r="O306" s="42" t="n">
        <v>1992</v>
      </c>
      <c r="P306" s="42" t="n">
        <v>24</v>
      </c>
      <c r="Q306" s="44" t="n">
        <v>0</v>
      </c>
      <c r="R306" s="42" t="n">
        <v>2003</v>
      </c>
      <c r="S306" s="42" t="n">
        <v>9</v>
      </c>
      <c r="T306" s="44" t="n">
        <v>0</v>
      </c>
      <c r="U306" s="42" t="n">
        <v>2018</v>
      </c>
      <c r="V306" s="42" t="n">
        <v>18</v>
      </c>
      <c r="W306" s="44" t="n">
        <v>0.9</v>
      </c>
      <c r="X306" s="42" t="n">
        <v>1990</v>
      </c>
      <c r="Y306" s="42" t="n">
        <v>25</v>
      </c>
      <c r="Z306" s="44" t="n">
        <v>0</v>
      </c>
      <c r="AA306" s="42" t="n">
        <v>1988</v>
      </c>
      <c r="AB306" s="42" t="n">
        <v>27</v>
      </c>
      <c r="AC306" s="44" t="n">
        <v>0</v>
      </c>
      <c r="AD306" s="42" t="n">
        <v>1988</v>
      </c>
      <c r="AE306" s="42" t="n">
        <v>3</v>
      </c>
      <c r="AF306" s="44" t="n">
        <v>1.4</v>
      </c>
      <c r="AG306" s="42" t="n">
        <v>1988</v>
      </c>
      <c r="AH306" s="42" t="n">
        <v>18</v>
      </c>
      <c r="AI306" s="44" t="n">
        <v>0.8</v>
      </c>
      <c r="AJ306" s="42" t="n">
        <v>1988</v>
      </c>
      <c r="AK306" s="42" t="n">
        <v>23</v>
      </c>
      <c r="AL306" s="44" t="n">
        <v>1</v>
      </c>
      <c r="AM306" s="42" t="n">
        <v>1994</v>
      </c>
      <c r="AN306" s="42" t="n">
        <v>18</v>
      </c>
      <c r="AO306" s="44" t="n">
        <v>1.4</v>
      </c>
      <c r="AP306" s="42" t="n">
        <v>1993</v>
      </c>
      <c r="AQ306" s="42" t="n">
        <v>31</v>
      </c>
    </row>
    <row r="307" ht="14.45" customHeight="1">
      <c r="A307" s="42" t="n">
        <v>21206560</v>
      </c>
      <c r="B307" s="42" t="inlineStr">
        <is>
          <t>INEM KENNEDY [21206560]</t>
        </is>
      </c>
      <c r="C307" s="42" t="n">
        <v>4.62547</v>
      </c>
      <c r="D307" s="42" t="n">
        <v>-74.156066</v>
      </c>
      <c r="E307" s="42" t="n">
        <v>2557</v>
      </c>
      <c r="F307" s="42" t="inlineStr">
        <is>
          <t>Bogotá, D.C</t>
        </is>
      </c>
      <c r="G307" s="42" t="inlineStr">
        <is>
          <t>Bogotá</t>
        </is>
      </c>
      <c r="H307" s="44" t="n">
        <v>1.3</v>
      </c>
      <c r="I307" s="42" t="n">
        <v>2008</v>
      </c>
      <c r="J307" s="42" t="n">
        <v>20</v>
      </c>
      <c r="K307" s="44" t="n">
        <v>-2.8</v>
      </c>
      <c r="L307" s="42" t="n">
        <v>2007</v>
      </c>
      <c r="M307" s="42" t="n">
        <v>17</v>
      </c>
      <c r="N307" s="44" t="n">
        <v>2.2</v>
      </c>
      <c r="O307" s="42" t="n">
        <v>2002</v>
      </c>
      <c r="P307" s="42" t="n">
        <v>17</v>
      </c>
      <c r="Q307" s="44" t="n">
        <v>3.5</v>
      </c>
      <c r="R307" s="42" t="n">
        <v>2000</v>
      </c>
      <c r="S307" s="42" t="n">
        <v>22</v>
      </c>
      <c r="T307" s="44" t="n">
        <v>1</v>
      </c>
      <c r="U307" s="42" t="n">
        <v>2004</v>
      </c>
      <c r="V307" s="42" t="n">
        <v>21</v>
      </c>
      <c r="W307" s="44" t="n">
        <v>1</v>
      </c>
      <c r="X307" s="42" t="n">
        <v>2008</v>
      </c>
      <c r="Y307" s="42" t="n">
        <v>7</v>
      </c>
      <c r="Z307" s="44" t="n">
        <v>1</v>
      </c>
      <c r="AA307" s="42" t="n">
        <v>2001</v>
      </c>
      <c r="AB307" s="42" t="n">
        <v>29</v>
      </c>
      <c r="AC307" s="44" t="n">
        <v>4</v>
      </c>
      <c r="AD307" s="42" t="n">
        <v>2003</v>
      </c>
      <c r="AE307" s="42" t="n">
        <v>10</v>
      </c>
      <c r="AF307" s="44" t="n">
        <v>4.3</v>
      </c>
      <c r="AG307" s="42" t="n">
        <v>2006</v>
      </c>
      <c r="AH307" s="42" t="n">
        <v>26</v>
      </c>
      <c r="AI307" s="44" t="n">
        <v>1</v>
      </c>
      <c r="AJ307" s="42" t="n">
        <v>1998</v>
      </c>
      <c r="AK307" s="42" t="n">
        <v>22</v>
      </c>
      <c r="AL307" s="44" t="n">
        <v>1.7</v>
      </c>
      <c r="AM307" s="42" t="n">
        <v>2001</v>
      </c>
      <c r="AN307" s="42" t="n">
        <v>11</v>
      </c>
      <c r="AO307" s="44" t="n">
        <v>-1</v>
      </c>
      <c r="AP307" s="42" t="n">
        <v>1998</v>
      </c>
      <c r="AQ307" s="42" t="n">
        <v>27</v>
      </c>
    </row>
    <row r="308" ht="14.45" customHeight="1">
      <c r="A308" s="42" t="n">
        <v>21205980</v>
      </c>
      <c r="B308" s="42" t="inlineStr">
        <is>
          <t>GRANJA PROVIDENCIA [21205980]</t>
        </is>
      </c>
      <c r="C308" s="42" t="n">
        <v>4.792388889</v>
      </c>
      <c r="D308" s="42" t="n">
        <v>-74.20091667</v>
      </c>
      <c r="E308" s="42" t="n">
        <v>2560</v>
      </c>
      <c r="F308" s="42" t="inlineStr">
        <is>
          <t>Tenjo</t>
        </is>
      </c>
      <c r="G308" s="42" t="inlineStr">
        <is>
          <t>Cundinamarca</t>
        </is>
      </c>
      <c r="H308" s="44" t="n">
        <v>-5.5</v>
      </c>
      <c r="I308" s="42" t="n">
        <v>1991</v>
      </c>
      <c r="J308" s="42" t="n">
        <v>26</v>
      </c>
      <c r="K308" s="44" t="n">
        <v>-8.800000000000001</v>
      </c>
      <c r="L308" s="42" t="n">
        <v>2007</v>
      </c>
      <c r="M308" s="42" t="n">
        <v>4</v>
      </c>
      <c r="N308" s="44" t="n">
        <v>-5</v>
      </c>
      <c r="O308" s="42" t="n">
        <v>1992</v>
      </c>
      <c r="P308" s="42" t="n">
        <v>24</v>
      </c>
      <c r="Q308" s="44" t="n">
        <v>-0.4</v>
      </c>
      <c r="R308" s="42" t="n">
        <v>1987</v>
      </c>
      <c r="S308" s="42" t="n">
        <v>15</v>
      </c>
      <c r="T308" s="44" t="n">
        <v>0.1</v>
      </c>
      <c r="U308" s="42" t="n">
        <v>1985</v>
      </c>
      <c r="V308" s="42" t="n">
        <v>14</v>
      </c>
      <c r="W308" s="44" t="n">
        <v>0.4</v>
      </c>
      <c r="X308" s="42" t="n">
        <v>1980</v>
      </c>
      <c r="Y308" s="42" t="n">
        <v>28</v>
      </c>
      <c r="Z308" s="44" t="n">
        <v>-1</v>
      </c>
      <c r="AA308" s="42" t="n">
        <v>1993</v>
      </c>
      <c r="AB308" s="42" t="n">
        <v>17</v>
      </c>
      <c r="AC308" s="44" t="n">
        <v>-3</v>
      </c>
      <c r="AD308" s="42" t="n">
        <v>1997</v>
      </c>
      <c r="AE308" s="42" t="n">
        <v>30</v>
      </c>
      <c r="AF308" s="44" t="n">
        <v>-1.8</v>
      </c>
      <c r="AG308" s="42" t="n">
        <v>1992</v>
      </c>
      <c r="AH308" s="42" t="n">
        <v>20</v>
      </c>
      <c r="AI308" s="44" t="n">
        <v>-2.6</v>
      </c>
      <c r="AJ308" s="42" t="n">
        <v>2002</v>
      </c>
      <c r="AK308" s="42" t="n">
        <v>14</v>
      </c>
      <c r="AL308" s="44" t="n">
        <v>-0.2</v>
      </c>
      <c r="AM308" s="42" t="n">
        <v>1990</v>
      </c>
      <c r="AN308" s="42" t="n">
        <v>29</v>
      </c>
      <c r="AO308" s="44" t="n">
        <v>-4.2</v>
      </c>
      <c r="AP308" s="42" t="n">
        <v>1993</v>
      </c>
      <c r="AQ308" s="42" t="n">
        <v>31</v>
      </c>
    </row>
    <row r="309" ht="14.45" customHeight="1">
      <c r="A309" s="42" t="n">
        <v>21205990</v>
      </c>
      <c r="B309" s="42" t="inlineStr">
        <is>
          <t>EL LLANO [21205990]</t>
        </is>
      </c>
      <c r="C309" s="42" t="n">
        <v>4.927777778</v>
      </c>
      <c r="D309" s="42" t="n">
        <v>-73.95</v>
      </c>
      <c r="E309" s="42" t="n">
        <v>2560</v>
      </c>
      <c r="F309" s="42" t="inlineStr">
        <is>
          <t>Sopó</t>
        </is>
      </c>
      <c r="G309" s="42" t="inlineStr">
        <is>
          <t>Cundinamarca</t>
        </is>
      </c>
      <c r="H309" s="44" t="n">
        <v>-4.3</v>
      </c>
      <c r="I309" s="42" t="n">
        <v>2010</v>
      </c>
      <c r="J309" s="42" t="n">
        <v>4</v>
      </c>
      <c r="K309" s="44" t="n">
        <v>-3.7</v>
      </c>
      <c r="L309" s="42" t="n">
        <v>2004</v>
      </c>
      <c r="M309" s="42" t="n">
        <v>5</v>
      </c>
      <c r="N309" s="44" t="n">
        <v>-1</v>
      </c>
      <c r="O309" s="42" t="n">
        <v>2003</v>
      </c>
      <c r="P309" s="42" t="n">
        <v>7</v>
      </c>
      <c r="Q309" s="44" t="n">
        <v>0.3</v>
      </c>
      <c r="R309" s="42" t="n">
        <v>2003</v>
      </c>
      <c r="S309" s="42" t="n">
        <v>2</v>
      </c>
      <c r="T309" s="44" t="n">
        <v>0</v>
      </c>
      <c r="U309" s="42" t="n">
        <v>1987</v>
      </c>
      <c r="V309" s="42" t="n">
        <v>19</v>
      </c>
      <c r="W309" s="44" t="n">
        <v>0</v>
      </c>
      <c r="X309" s="42" t="n">
        <v>1983</v>
      </c>
      <c r="Y309" s="42" t="n">
        <v>6</v>
      </c>
      <c r="Z309" s="44" t="n">
        <v>0.2</v>
      </c>
      <c r="AA309" s="42" t="n">
        <v>1978</v>
      </c>
      <c r="AB309" s="42" t="n">
        <v>25</v>
      </c>
      <c r="AC309" s="44" t="n">
        <v>-0.3</v>
      </c>
      <c r="AD309" s="42" t="n">
        <v>1997</v>
      </c>
      <c r="AE309" s="42" t="n">
        <v>29</v>
      </c>
      <c r="AF309" s="44" t="n">
        <v>0</v>
      </c>
      <c r="AG309" s="42" t="n">
        <v>1987</v>
      </c>
      <c r="AH309" s="42" t="n">
        <v>11</v>
      </c>
      <c r="AI309" s="44" t="n">
        <v>-0.2</v>
      </c>
      <c r="AJ309" s="42" t="n">
        <v>2002</v>
      </c>
      <c r="AK309" s="42" t="n">
        <v>2</v>
      </c>
      <c r="AL309" s="44" t="n">
        <v>0</v>
      </c>
      <c r="AM309" s="42" t="n">
        <v>1987</v>
      </c>
      <c r="AN309" s="42" t="n">
        <v>8</v>
      </c>
      <c r="AO309" s="44" t="n">
        <v>0</v>
      </c>
      <c r="AP309" s="42" t="n">
        <v>1985</v>
      </c>
      <c r="AQ309" s="42" t="n">
        <v>8</v>
      </c>
    </row>
    <row r="310" ht="14.45" customHeight="1">
      <c r="A310" s="42" t="n">
        <v>21205910</v>
      </c>
      <c r="B310" s="42" t="inlineStr">
        <is>
          <t>LA COSECHA [21205910]</t>
        </is>
      </c>
      <c r="C310" s="42" t="n">
        <v>4.98922</v>
      </c>
      <c r="D310" s="42" t="n">
        <v>-74.00118999999999</v>
      </c>
      <c r="E310" s="42" t="n">
        <v>2570</v>
      </c>
      <c r="F310" s="42" t="inlineStr">
        <is>
          <t>Zipaquirá</t>
        </is>
      </c>
      <c r="G310" s="42" t="inlineStr">
        <is>
          <t>Cundinamarca</t>
        </is>
      </c>
      <c r="H310" s="44" t="n">
        <v>-5</v>
      </c>
      <c r="I310" s="42" t="n">
        <v>2002</v>
      </c>
      <c r="J310" s="42" t="n">
        <v>2</v>
      </c>
      <c r="K310" s="44" t="n">
        <v>-6</v>
      </c>
      <c r="L310" s="42" t="n">
        <v>2002</v>
      </c>
      <c r="M310" s="42" t="n">
        <v>21</v>
      </c>
      <c r="N310" s="44" t="n">
        <v>-5</v>
      </c>
      <c r="O310" s="42" t="n">
        <v>2002</v>
      </c>
      <c r="P310" s="42" t="n">
        <v>10</v>
      </c>
      <c r="Q310" s="44" t="n">
        <v>-0.4</v>
      </c>
      <c r="R310" s="42" t="n">
        <v>2001</v>
      </c>
      <c r="S310" s="42" t="n">
        <v>1</v>
      </c>
      <c r="T310" s="44" t="n">
        <v>0.3</v>
      </c>
      <c r="U310" s="42" t="n">
        <v>1999</v>
      </c>
      <c r="V310" s="42" t="n">
        <v>17</v>
      </c>
      <c r="W310" s="44" t="n">
        <v>0.4</v>
      </c>
      <c r="X310" s="42" t="n">
        <v>1988</v>
      </c>
      <c r="Y310" s="42" t="n">
        <v>7</v>
      </c>
      <c r="Z310" s="44" t="n">
        <v>-2</v>
      </c>
      <c r="AA310" s="42" t="n">
        <v>2001</v>
      </c>
      <c r="AB310" s="42" t="n">
        <v>17</v>
      </c>
      <c r="AC310" s="44" t="n">
        <v>-0.4</v>
      </c>
      <c r="AD310" s="42" t="n">
        <v>2000</v>
      </c>
      <c r="AE310" s="42" t="n">
        <v>19</v>
      </c>
      <c r="AF310" s="44" t="n">
        <v>-3</v>
      </c>
      <c r="AG310" s="42" t="n">
        <v>1997</v>
      </c>
      <c r="AH310" s="42" t="n">
        <v>5</v>
      </c>
      <c r="AI310" s="44" t="n">
        <v>-4</v>
      </c>
      <c r="AJ310" s="42" t="n">
        <v>2001</v>
      </c>
      <c r="AK310" s="42" t="n">
        <v>1</v>
      </c>
      <c r="AL310" s="44" t="n">
        <v>-5</v>
      </c>
      <c r="AM310" s="42" t="n">
        <v>2001</v>
      </c>
      <c r="AN310" s="42" t="n">
        <v>24</v>
      </c>
      <c r="AO310" s="44" t="n">
        <v>-3</v>
      </c>
      <c r="AP310" s="42" t="n">
        <v>2001</v>
      </c>
      <c r="AQ310" s="42" t="n">
        <v>4</v>
      </c>
    </row>
    <row r="311" ht="14.45" customHeight="1">
      <c r="A311" s="42" t="n">
        <v>21206260</v>
      </c>
      <c r="B311" s="42" t="inlineStr">
        <is>
          <t>C.UNIV.AGROP-UDCA [21206260]</t>
        </is>
      </c>
      <c r="C311" s="42" t="n">
        <v>4.798638889</v>
      </c>
      <c r="D311" s="42" t="n">
        <v>-74.04972222000001</v>
      </c>
      <c r="E311" s="42" t="n">
        <v>2570</v>
      </c>
      <c r="F311" s="42" t="inlineStr">
        <is>
          <t>Bogotá, D.C</t>
        </is>
      </c>
      <c r="G311" s="42" t="inlineStr">
        <is>
          <t>Bogotá</t>
        </is>
      </c>
      <c r="H311" s="44" t="n">
        <v>-0.4</v>
      </c>
      <c r="I311" s="42" t="n">
        <v>2010</v>
      </c>
      <c r="J311" s="42" t="n">
        <v>4</v>
      </c>
      <c r="K311" s="44" t="n">
        <v>-0.7</v>
      </c>
      <c r="L311" s="42" t="n">
        <v>2007</v>
      </c>
      <c r="M311" s="42" t="n">
        <v>12</v>
      </c>
      <c r="N311" s="44" t="n">
        <v>0.2</v>
      </c>
      <c r="O311" s="42" t="n">
        <v>1993</v>
      </c>
      <c r="P311" s="42" t="n">
        <v>2</v>
      </c>
      <c r="Q311" s="44" t="n">
        <v>0.2</v>
      </c>
      <c r="R311" s="42" t="n">
        <v>2003</v>
      </c>
      <c r="S311" s="42" t="n">
        <v>2</v>
      </c>
      <c r="T311" s="44" t="n">
        <v>0.3</v>
      </c>
      <c r="U311" s="42" t="n">
        <v>2003</v>
      </c>
      <c r="V311" s="42" t="n">
        <v>4</v>
      </c>
      <c r="W311" s="44" t="n">
        <v>-2</v>
      </c>
      <c r="X311" s="42" t="n">
        <v>1994</v>
      </c>
      <c r="Y311" s="42" t="n">
        <v>24</v>
      </c>
      <c r="Z311" s="44" t="n">
        <v>0.1</v>
      </c>
      <c r="AA311" s="42" t="n">
        <v>1993</v>
      </c>
      <c r="AB311" s="42" t="n">
        <v>7</v>
      </c>
      <c r="AC311" s="44" t="n">
        <v>0.2</v>
      </c>
      <c r="AD311" s="42" t="n">
        <v>1991</v>
      </c>
      <c r="AE311" s="42" t="n">
        <v>25</v>
      </c>
      <c r="AF311" s="44" t="n">
        <v>0.2</v>
      </c>
      <c r="AG311" s="42" t="n">
        <v>1992</v>
      </c>
      <c r="AH311" s="42" t="n">
        <v>2</v>
      </c>
      <c r="AI311" s="44" t="n">
        <v>0</v>
      </c>
      <c r="AJ311" s="42" t="n">
        <v>2002</v>
      </c>
      <c r="AK311" s="42" t="n">
        <v>13</v>
      </c>
      <c r="AL311" s="44" t="n">
        <v>0.2</v>
      </c>
      <c r="AM311" s="42" t="n">
        <v>1993</v>
      </c>
      <c r="AN311" s="42" t="n">
        <v>23</v>
      </c>
      <c r="AO311" s="44" t="n">
        <v>-0.1</v>
      </c>
      <c r="AP311" s="42" t="n">
        <v>2003</v>
      </c>
      <c r="AQ311" s="42" t="n">
        <v>16</v>
      </c>
    </row>
    <row r="312" ht="14.45" customHeight="1">
      <c r="A312" s="42" t="n">
        <v>21205970</v>
      </c>
      <c r="B312" s="42" t="inlineStr">
        <is>
          <t>HACIENDA SANTA ANA [21205970]</t>
        </is>
      </c>
      <c r="C312" s="42" t="n">
        <v>5.09046</v>
      </c>
      <c r="D312" s="42" t="n">
        <v>-73.88124999999999</v>
      </c>
      <c r="E312" s="42" t="n">
        <v>2572</v>
      </c>
      <c r="F312" s="42" t="inlineStr">
        <is>
          <t>Nemocón</t>
        </is>
      </c>
      <c r="G312" s="42" t="inlineStr">
        <is>
          <t>Cundinamarca</t>
        </is>
      </c>
      <c r="H312" s="44" t="n">
        <v>-8.199999999999999</v>
      </c>
      <c r="I312" s="42" t="n">
        <v>2010</v>
      </c>
      <c r="J312" s="42" t="n">
        <v>12</v>
      </c>
      <c r="K312" s="44" t="n">
        <v>-5.4</v>
      </c>
      <c r="L312" s="42" t="n">
        <v>2004</v>
      </c>
      <c r="M312" s="42" t="n">
        <v>5</v>
      </c>
      <c r="N312" s="44" t="n">
        <v>-2</v>
      </c>
      <c r="O312" s="42" t="n">
        <v>2010</v>
      </c>
      <c r="P312" s="42" t="n">
        <v>25</v>
      </c>
      <c r="Q312" s="44" t="n">
        <v>-1.4</v>
      </c>
      <c r="R312" s="42" t="n">
        <v>2001</v>
      </c>
      <c r="S312" s="42" t="n">
        <v>22</v>
      </c>
      <c r="T312" s="44" t="n">
        <v>0.6</v>
      </c>
      <c r="U312" s="42" t="n">
        <v>1986</v>
      </c>
      <c r="V312" s="42" t="n">
        <v>2</v>
      </c>
      <c r="W312" s="44" t="n">
        <v>0</v>
      </c>
      <c r="X312" s="42" t="n">
        <v>1989</v>
      </c>
      <c r="Y312" s="42" t="n">
        <v>16</v>
      </c>
      <c r="Z312" s="44" t="n">
        <v>0.2</v>
      </c>
      <c r="AA312" s="42" t="n">
        <v>2001</v>
      </c>
      <c r="AB312" s="42" t="n">
        <v>24</v>
      </c>
      <c r="AC312" s="44" t="n">
        <v>-0.7</v>
      </c>
      <c r="AD312" s="42" t="n">
        <v>1997</v>
      </c>
      <c r="AE312" s="42" t="n">
        <v>30</v>
      </c>
      <c r="AF312" s="44" t="n">
        <v>-1.3</v>
      </c>
      <c r="AG312" s="42" t="n">
        <v>2002</v>
      </c>
      <c r="AH312" s="42" t="n">
        <v>22</v>
      </c>
      <c r="AI312" s="44" t="n">
        <v>-1.2</v>
      </c>
      <c r="AJ312" s="42" t="n">
        <v>2002</v>
      </c>
      <c r="AK312" s="42" t="n">
        <v>14</v>
      </c>
      <c r="AL312" s="44" t="n">
        <v>0</v>
      </c>
      <c r="AM312" s="42" t="n">
        <v>1985</v>
      </c>
      <c r="AN312" s="42" t="n">
        <v>26</v>
      </c>
      <c r="AO312" s="44" t="n">
        <v>-3.6</v>
      </c>
      <c r="AP312" s="42" t="n">
        <v>2018</v>
      </c>
      <c r="AQ312" s="42" t="n">
        <v>20</v>
      </c>
    </row>
    <row r="313" ht="14.45" customHeight="1">
      <c r="A313" s="42" t="n">
        <v>21206020</v>
      </c>
      <c r="B313" s="42" t="inlineStr">
        <is>
          <t>SANTILLANA [21206020]</t>
        </is>
      </c>
      <c r="C313" s="42" t="n">
        <v>4.898527778</v>
      </c>
      <c r="D313" s="42" t="n">
        <v>-74.10483333000001</v>
      </c>
      <c r="E313" s="42" t="n">
        <v>2575</v>
      </c>
      <c r="F313" s="42" t="inlineStr">
        <is>
          <t>Tabio</t>
        </is>
      </c>
      <c r="G313" s="42" t="inlineStr">
        <is>
          <t>Cundinamarca</t>
        </is>
      </c>
      <c r="H313" s="44" t="n">
        <v>0</v>
      </c>
      <c r="I313" s="42" t="n">
        <v>1978</v>
      </c>
      <c r="J313" s="42" t="n">
        <v>13</v>
      </c>
      <c r="K313" s="44" t="n">
        <v>0</v>
      </c>
      <c r="L313" s="42" t="n">
        <v>1980</v>
      </c>
      <c r="M313" s="42" t="n">
        <v>14</v>
      </c>
      <c r="N313" s="44" t="n">
        <v>0</v>
      </c>
      <c r="O313" s="42" t="n">
        <v>1978</v>
      </c>
      <c r="P313" s="42" t="n">
        <v>14</v>
      </c>
      <c r="Q313" s="44" t="n">
        <v>0</v>
      </c>
      <c r="R313" s="42" t="n">
        <v>1985</v>
      </c>
      <c r="S313" s="42" t="n">
        <v>13</v>
      </c>
      <c r="T313" s="44" t="n">
        <v>1</v>
      </c>
      <c r="U313" s="42" t="n">
        <v>1985</v>
      </c>
      <c r="V313" s="42" t="n">
        <v>21</v>
      </c>
      <c r="W313" s="44" t="n">
        <v>0</v>
      </c>
      <c r="X313" s="42" t="n">
        <v>1985</v>
      </c>
      <c r="Y313" s="42" t="n">
        <v>29</v>
      </c>
      <c r="Z313" s="44" t="n">
        <v>0.5</v>
      </c>
      <c r="AA313" s="42" t="n">
        <v>2000</v>
      </c>
      <c r="AB313" s="42" t="n">
        <v>17</v>
      </c>
      <c r="AC313" s="44" t="n">
        <v>-2.4</v>
      </c>
      <c r="AD313" s="42" t="n">
        <v>1997</v>
      </c>
      <c r="AE313" s="42" t="n">
        <v>30</v>
      </c>
      <c r="AF313" s="44" t="n">
        <v>-3.4</v>
      </c>
      <c r="AG313" s="42" t="n">
        <v>1997</v>
      </c>
      <c r="AH313" s="42" t="n">
        <v>17</v>
      </c>
      <c r="AI313" s="44" t="n">
        <v>0</v>
      </c>
      <c r="AJ313" s="42" t="n">
        <v>2020</v>
      </c>
      <c r="AK313" s="42" t="n">
        <v>31</v>
      </c>
      <c r="AL313" s="44" t="n">
        <v>0.2</v>
      </c>
      <c r="AM313" s="42" t="n">
        <v>1993</v>
      </c>
      <c r="AN313" s="42" t="n">
        <v>18</v>
      </c>
      <c r="AO313" s="44" t="n">
        <v>0</v>
      </c>
      <c r="AP313" s="42" t="n">
        <v>1984</v>
      </c>
      <c r="AQ313" s="42" t="n">
        <v>7</v>
      </c>
    </row>
    <row r="314" ht="14.45" customHeight="1">
      <c r="A314" s="42" t="n">
        <v>21206060</v>
      </c>
      <c r="B314" s="42" t="inlineStr">
        <is>
          <t>CASABLANCA [21206060]</t>
        </is>
      </c>
      <c r="C314" s="42" t="n">
        <v>4.717111111</v>
      </c>
      <c r="D314" s="42" t="n">
        <v>-74.25333333</v>
      </c>
      <c r="E314" s="42" t="n">
        <v>2575</v>
      </c>
      <c r="F314" s="42" t="inlineStr">
        <is>
          <t>Madrid</t>
        </is>
      </c>
      <c r="G314" s="42" t="inlineStr">
        <is>
          <t>Cundinamarca</t>
        </is>
      </c>
      <c r="H314" s="44" t="n">
        <v>-3.5</v>
      </c>
      <c r="I314" s="42" t="n">
        <v>2015</v>
      </c>
      <c r="J314" s="42" t="n">
        <v>6</v>
      </c>
      <c r="K314" s="44" t="n">
        <v>-5</v>
      </c>
      <c r="L314" s="42" t="n">
        <v>2007</v>
      </c>
      <c r="M314" s="42" t="n">
        <v>3</v>
      </c>
      <c r="N314" s="44" t="n">
        <v>0</v>
      </c>
      <c r="O314" s="42" t="n">
        <v>1988</v>
      </c>
      <c r="P314" s="42" t="n">
        <v>25</v>
      </c>
      <c r="Q314" s="44" t="n">
        <v>0</v>
      </c>
      <c r="R314" s="42" t="n">
        <v>2002</v>
      </c>
      <c r="S314" s="42" t="n">
        <v>12</v>
      </c>
      <c r="T314" s="44" t="n">
        <v>0</v>
      </c>
      <c r="U314" s="42" t="n">
        <v>1994</v>
      </c>
      <c r="V314" s="42" t="n">
        <v>30</v>
      </c>
      <c r="W314" s="44" t="n">
        <v>0</v>
      </c>
      <c r="X314" s="42" t="n">
        <v>1994</v>
      </c>
      <c r="Y314" s="42" t="n">
        <v>15</v>
      </c>
      <c r="Z314" s="44" t="n">
        <v>0</v>
      </c>
      <c r="AA314" s="42" t="n">
        <v>1978</v>
      </c>
      <c r="AB314" s="42" t="n">
        <v>19</v>
      </c>
      <c r="AC314" s="44" t="n">
        <v>-0.7</v>
      </c>
      <c r="AD314" s="42" t="n">
        <v>1997</v>
      </c>
      <c r="AE314" s="42" t="n">
        <v>29</v>
      </c>
      <c r="AF314" s="44" t="n">
        <v>-0.6</v>
      </c>
      <c r="AG314" s="42" t="n">
        <v>1997</v>
      </c>
      <c r="AH314" s="42" t="n">
        <v>17</v>
      </c>
      <c r="AI314" s="44" t="n">
        <v>-0.6</v>
      </c>
      <c r="AJ314" s="42" t="n">
        <v>2013</v>
      </c>
      <c r="AK314" s="42" t="n">
        <v>6</v>
      </c>
      <c r="AL314" s="44" t="n">
        <v>0</v>
      </c>
      <c r="AM314" s="42" t="n">
        <v>1991</v>
      </c>
      <c r="AN314" s="42" t="n">
        <v>3</v>
      </c>
      <c r="AO314" s="44" t="n">
        <v>-2</v>
      </c>
      <c r="AP314" s="42" t="n">
        <v>2012</v>
      </c>
      <c r="AQ314" s="42" t="n">
        <v>31</v>
      </c>
    </row>
    <row r="315" ht="14.45" customHeight="1">
      <c r="A315" s="42" t="n">
        <v>24035020</v>
      </c>
      <c r="B315" s="42" t="inlineStr">
        <is>
          <t>BETEITIVA [24035020]</t>
        </is>
      </c>
      <c r="C315" s="42" t="n">
        <v>5.907277778</v>
      </c>
      <c r="D315" s="42" t="n">
        <v>-72.81061111</v>
      </c>
      <c r="E315" s="42" t="n">
        <v>2575</v>
      </c>
      <c r="F315" s="42" t="inlineStr">
        <is>
          <t>Betéitiva</t>
        </is>
      </c>
      <c r="G315" s="42" t="inlineStr">
        <is>
          <t>Boyacá</t>
        </is>
      </c>
      <c r="H315" s="44" t="n">
        <v>0.6</v>
      </c>
      <c r="I315" s="42" t="n">
        <v>1994</v>
      </c>
      <c r="J315" s="42" t="n">
        <v>24</v>
      </c>
      <c r="K315" s="44" t="n">
        <v>2</v>
      </c>
      <c r="L315" s="42" t="n">
        <v>1994</v>
      </c>
      <c r="M315" s="42" t="n">
        <v>12</v>
      </c>
      <c r="N315" s="44" t="n">
        <v>2</v>
      </c>
      <c r="O315" s="42" t="n">
        <v>1994</v>
      </c>
      <c r="P315" s="42" t="n">
        <v>8</v>
      </c>
      <c r="Q315" s="44" t="n">
        <v>2.8</v>
      </c>
      <c r="R315" s="42" t="n">
        <v>2010</v>
      </c>
      <c r="S315" s="42" t="n">
        <v>2</v>
      </c>
      <c r="T315" s="44" t="n">
        <v>2.8</v>
      </c>
      <c r="U315" s="42" t="n">
        <v>1994</v>
      </c>
      <c r="V315" s="42" t="n">
        <v>19</v>
      </c>
      <c r="W315" s="44" t="n">
        <v>3</v>
      </c>
      <c r="X315" s="42" t="n">
        <v>1994</v>
      </c>
      <c r="Y315" s="42" t="n">
        <v>1</v>
      </c>
      <c r="Z315" s="44" t="n">
        <v>4</v>
      </c>
      <c r="AA315" s="42" t="n">
        <v>1994</v>
      </c>
      <c r="AB315" s="42" t="n">
        <v>22</v>
      </c>
      <c r="AC315" s="44" t="n">
        <v>3.6</v>
      </c>
      <c r="AD315" s="42" t="n">
        <v>1994</v>
      </c>
      <c r="AE315" s="42" t="n">
        <v>1</v>
      </c>
      <c r="AF315" s="44" t="n">
        <v>4.2</v>
      </c>
      <c r="AG315" s="42" t="n">
        <v>1991</v>
      </c>
      <c r="AH315" s="42" t="n">
        <v>3</v>
      </c>
      <c r="AI315" s="44" t="n">
        <v>5</v>
      </c>
      <c r="AJ315" s="42" t="n">
        <v>1993</v>
      </c>
      <c r="AK315" s="42" t="n">
        <v>5</v>
      </c>
      <c r="AL315" s="44" t="n">
        <v>5</v>
      </c>
      <c r="AM315" s="42" t="n">
        <v>1993</v>
      </c>
      <c r="AN315" s="42" t="n">
        <v>25</v>
      </c>
      <c r="AO315" s="44" t="n">
        <v>2.2</v>
      </c>
      <c r="AP315" s="42" t="n">
        <v>2011</v>
      </c>
      <c r="AQ315" s="42" t="n">
        <v>22</v>
      </c>
    </row>
    <row r="316" ht="14.45" customHeight="1">
      <c r="A316" s="42" t="n">
        <v>24015120</v>
      </c>
      <c r="B316" s="42" t="inlineStr">
        <is>
          <t>ISLA DEL SANTUARIO [24015120]</t>
        </is>
      </c>
      <c r="C316" s="42" t="n">
        <v>5.467277778</v>
      </c>
      <c r="D316" s="42" t="n">
        <v>-73.73480556</v>
      </c>
      <c r="E316" s="42" t="n">
        <v>2580</v>
      </c>
      <c r="F316" s="42" t="inlineStr">
        <is>
          <t>Fúquene</t>
        </is>
      </c>
      <c r="G316" s="42" t="inlineStr">
        <is>
          <t>Cundinamarca</t>
        </is>
      </c>
      <c r="H316" s="44" t="n">
        <v>1.5</v>
      </c>
      <c r="I316" s="42" t="n">
        <v>1986</v>
      </c>
      <c r="J316" s="42" t="n">
        <v>7</v>
      </c>
      <c r="K316" s="44" t="n">
        <v>1.4</v>
      </c>
      <c r="L316" s="42" t="n">
        <v>2020</v>
      </c>
      <c r="M316" s="42" t="n">
        <v>7</v>
      </c>
      <c r="N316" s="44" t="n">
        <v>2.8</v>
      </c>
      <c r="O316" s="42" t="n">
        <v>2020</v>
      </c>
      <c r="P316" s="42" t="n">
        <v>5</v>
      </c>
      <c r="Q316" s="44" t="n">
        <v>4.4</v>
      </c>
      <c r="R316" s="42" t="n">
        <v>2024</v>
      </c>
      <c r="S316" s="42" t="n">
        <v>10</v>
      </c>
      <c r="T316" s="44" t="n">
        <v>3.4</v>
      </c>
      <c r="U316" s="42" t="n">
        <v>1978</v>
      </c>
      <c r="V316" s="42" t="n">
        <v>4</v>
      </c>
      <c r="W316" s="44" t="n">
        <v>2.6</v>
      </c>
      <c r="X316" s="42" t="n">
        <v>1979</v>
      </c>
      <c r="Y316" s="42" t="n">
        <v>18</v>
      </c>
      <c r="Z316" s="44" t="n">
        <v>2</v>
      </c>
      <c r="AA316" s="42" t="n">
        <v>1979</v>
      </c>
      <c r="AB316" s="42" t="n">
        <v>16</v>
      </c>
      <c r="AC316" s="44" t="n">
        <v>1.2</v>
      </c>
      <c r="AD316" s="42" t="n">
        <v>2018</v>
      </c>
      <c r="AE316" s="42" t="n">
        <v>16</v>
      </c>
      <c r="AF316" s="44" t="n">
        <v>1.1</v>
      </c>
      <c r="AG316" s="42" t="n">
        <v>2009</v>
      </c>
      <c r="AH316" s="42" t="n">
        <v>29</v>
      </c>
      <c r="AI316" s="44" t="n">
        <v>1.2</v>
      </c>
      <c r="AJ316" s="42" t="n">
        <v>1990</v>
      </c>
      <c r="AK316" s="42" t="n">
        <v>29</v>
      </c>
      <c r="AL316" s="44" t="n">
        <v>4</v>
      </c>
      <c r="AM316" s="42" t="n">
        <v>2012</v>
      </c>
      <c r="AN316" s="42" t="n">
        <v>7</v>
      </c>
      <c r="AO316" s="44" t="n">
        <v>1.6</v>
      </c>
      <c r="AP316" s="42" t="n">
        <v>1979</v>
      </c>
      <c r="AQ316" s="42" t="n">
        <v>21</v>
      </c>
    </row>
    <row r="317" ht="14.45" customHeight="1">
      <c r="A317" s="42" t="n">
        <v>21205940</v>
      </c>
      <c r="B317" s="42" t="inlineStr">
        <is>
          <t>VILLA INES [21205940]</t>
        </is>
      </c>
      <c r="C317" s="42" t="n">
        <v>4.83211</v>
      </c>
      <c r="D317" s="42" t="n">
        <v>-74.38056</v>
      </c>
      <c r="E317" s="42" t="n">
        <v>2590</v>
      </c>
      <c r="F317" s="42" t="inlineStr">
        <is>
          <t>Facatativá</t>
        </is>
      </c>
      <c r="G317" s="42" t="inlineStr">
        <is>
          <t>Cundinamarca</t>
        </is>
      </c>
      <c r="H317" s="44" t="n">
        <v>-3.2</v>
      </c>
      <c r="I317" s="42" t="n">
        <v>2001</v>
      </c>
      <c r="J317" s="42" t="n">
        <v>3</v>
      </c>
      <c r="K317" s="44" t="n">
        <v>-2.4</v>
      </c>
      <c r="L317" s="42" t="n">
        <v>2020</v>
      </c>
      <c r="M317" s="42" t="n">
        <v>6</v>
      </c>
      <c r="N317" s="44" t="n">
        <v>-0.9</v>
      </c>
      <c r="O317" s="42" t="n">
        <v>2003</v>
      </c>
      <c r="P317" s="42" t="n">
        <v>7</v>
      </c>
      <c r="Q317" s="44" t="n">
        <v>0.2</v>
      </c>
      <c r="R317" s="42" t="n">
        <v>1980</v>
      </c>
      <c r="S317" s="42" t="n">
        <v>1</v>
      </c>
      <c r="T317" s="44" t="n">
        <v>0</v>
      </c>
      <c r="U317" s="42" t="n">
        <v>1989</v>
      </c>
      <c r="V317" s="42" t="n">
        <v>16</v>
      </c>
      <c r="W317" s="44" t="n">
        <v>0</v>
      </c>
      <c r="X317" s="42" t="n">
        <v>1980</v>
      </c>
      <c r="Y317" s="42" t="n">
        <v>28</v>
      </c>
      <c r="Z317" s="44" t="n">
        <v>-0.4</v>
      </c>
      <c r="AA317" s="42" t="n">
        <v>1999</v>
      </c>
      <c r="AB317" s="42" t="n">
        <v>5</v>
      </c>
      <c r="AC317" s="44" t="n">
        <v>-0.4</v>
      </c>
      <c r="AD317" s="42" t="n">
        <v>2000</v>
      </c>
      <c r="AE317" s="42" t="n">
        <v>19</v>
      </c>
      <c r="AF317" s="44" t="n">
        <v>-1.6</v>
      </c>
      <c r="AG317" s="42" t="n">
        <v>2002</v>
      </c>
      <c r="AH317" s="42" t="n">
        <v>22</v>
      </c>
      <c r="AI317" s="44" t="n">
        <v>0</v>
      </c>
      <c r="AJ317" s="42" t="n">
        <v>1991</v>
      </c>
      <c r="AK317" s="42" t="n">
        <v>5</v>
      </c>
      <c r="AL317" s="44" t="n">
        <v>0</v>
      </c>
      <c r="AM317" s="42" t="n">
        <v>1995</v>
      </c>
      <c r="AN317" s="42" t="n">
        <v>3</v>
      </c>
      <c r="AO317" s="44" t="n">
        <v>-1</v>
      </c>
      <c r="AP317" s="42" t="n">
        <v>2015</v>
      </c>
      <c r="AQ317" s="42" t="n">
        <v>27</v>
      </c>
    </row>
    <row r="318" ht="14.45" customHeight="1">
      <c r="A318" s="42" t="n">
        <v>21206600</v>
      </c>
      <c r="B318" s="42" t="inlineStr">
        <is>
          <t>NUEVA GENERACION [21206600]</t>
        </is>
      </c>
      <c r="C318" s="42" t="n">
        <v>4.786594</v>
      </c>
      <c r="D318" s="42" t="n">
        <v>-74.10224700000001</v>
      </c>
      <c r="E318" s="42" t="n">
        <v>2590</v>
      </c>
      <c r="F318" s="42" t="inlineStr">
        <is>
          <t>Bogotá, D.C</t>
        </is>
      </c>
      <c r="G318" s="42" t="inlineStr">
        <is>
          <t>Bogotá</t>
        </is>
      </c>
      <c r="H318" s="44" t="n">
        <v>-2.2</v>
      </c>
      <c r="I318" s="42" t="n">
        <v>2010</v>
      </c>
      <c r="J318" s="42" t="n">
        <v>4</v>
      </c>
      <c r="K318" s="44" t="n">
        <v>-2.6</v>
      </c>
      <c r="L318" s="42" t="n">
        <v>2012</v>
      </c>
      <c r="M318" s="42" t="n">
        <v>21</v>
      </c>
      <c r="N318" s="44" t="n">
        <v>2.8</v>
      </c>
      <c r="O318" s="42" t="n">
        <v>2008</v>
      </c>
      <c r="P318" s="42" t="n">
        <v>19</v>
      </c>
      <c r="Q318" s="44" t="n">
        <v>2.2</v>
      </c>
      <c r="R318" s="42" t="n">
        <v>2012</v>
      </c>
      <c r="S318" s="42" t="n">
        <v>3</v>
      </c>
      <c r="T318" s="44" t="n">
        <v>2.8</v>
      </c>
      <c r="U318" s="42" t="n">
        <v>2009</v>
      </c>
      <c r="V318" s="42" t="n">
        <v>30</v>
      </c>
      <c r="W318" s="44" t="n">
        <v>2.4</v>
      </c>
      <c r="X318" s="42" t="n">
        <v>2012</v>
      </c>
      <c r="Y318" s="42" t="n">
        <v>22</v>
      </c>
      <c r="Z318" s="44" t="n">
        <v>-0.4</v>
      </c>
      <c r="AA318" s="42" t="n">
        <v>2004</v>
      </c>
      <c r="AB318" s="42" t="n">
        <v>16</v>
      </c>
      <c r="AC318" s="44" t="n">
        <v>0.9</v>
      </c>
      <c r="AD318" s="42" t="n">
        <v>2004</v>
      </c>
      <c r="AE318" s="42" t="n">
        <v>31</v>
      </c>
      <c r="AF318" s="44" t="n">
        <v>1.2</v>
      </c>
      <c r="AG318" s="42" t="n">
        <v>2011</v>
      </c>
      <c r="AH318" s="42" t="n">
        <v>14</v>
      </c>
      <c r="AI318" s="44" t="n">
        <v>1</v>
      </c>
      <c r="AJ318" s="42" t="n">
        <v>2002</v>
      </c>
      <c r="AK318" s="42" t="n">
        <v>29</v>
      </c>
      <c r="AL318" s="44" t="n">
        <v>2.6</v>
      </c>
      <c r="AM318" s="42" t="n">
        <v>2007</v>
      </c>
      <c r="AN318" s="42" t="n">
        <v>20</v>
      </c>
      <c r="AO318" s="44" t="n">
        <v>2</v>
      </c>
      <c r="AP318" s="42" t="n">
        <v>2008</v>
      </c>
      <c r="AQ318" s="42" t="n">
        <v>17</v>
      </c>
    </row>
    <row r="319" ht="14.45" customHeight="1">
      <c r="A319" s="42" t="n">
        <v>24035320</v>
      </c>
      <c r="B319" s="42" t="inlineStr">
        <is>
          <t>SATIVANORTE [24035320]</t>
        </is>
      </c>
      <c r="C319" s="42" t="n">
        <v>6.116861111</v>
      </c>
      <c r="D319" s="42" t="n">
        <v>-72.70483333</v>
      </c>
      <c r="E319" s="42" t="n">
        <v>2594</v>
      </c>
      <c r="F319" s="42" t="inlineStr">
        <is>
          <t>Sativanorte</t>
        </is>
      </c>
      <c r="G319" s="42" t="inlineStr">
        <is>
          <t>Boyacá</t>
        </is>
      </c>
      <c r="H319" s="44" t="n">
        <v>2.8</v>
      </c>
      <c r="I319" s="42" t="n">
        <v>2023</v>
      </c>
      <c r="J319" s="42" t="n">
        <v>29</v>
      </c>
      <c r="K319" s="44" t="n">
        <v>3.6</v>
      </c>
      <c r="L319" s="42" t="n">
        <v>2020</v>
      </c>
      <c r="M319" s="42" t="n">
        <v>6</v>
      </c>
      <c r="N319" s="44" t="n">
        <v>4.4</v>
      </c>
      <c r="O319" s="42" t="n">
        <v>1988</v>
      </c>
      <c r="P319" s="42" t="n">
        <v>5</v>
      </c>
      <c r="Q319" s="44" t="n">
        <v>4.6</v>
      </c>
      <c r="R319" s="42" t="n">
        <v>2017</v>
      </c>
      <c r="S319" s="42" t="n">
        <v>6</v>
      </c>
      <c r="T319" s="44" t="n">
        <v>6</v>
      </c>
      <c r="U319" s="42" t="n">
        <v>2015</v>
      </c>
      <c r="V319" s="42" t="n">
        <v>30</v>
      </c>
      <c r="W319" s="44" t="n">
        <v>5.6</v>
      </c>
      <c r="X319" s="42" t="n">
        <v>2022</v>
      </c>
      <c r="Y319" s="42" t="n">
        <v>2</v>
      </c>
      <c r="Z319" s="44" t="n">
        <v>5.8</v>
      </c>
      <c r="AA319" s="42" t="n">
        <v>2019</v>
      </c>
      <c r="AB319" s="42" t="n">
        <v>26</v>
      </c>
      <c r="AC319" s="44" t="n">
        <v>4.2</v>
      </c>
      <c r="AD319" s="42" t="n">
        <v>1999</v>
      </c>
      <c r="AE319" s="42" t="n">
        <v>10</v>
      </c>
      <c r="AF319" s="44" t="n">
        <v>5.4</v>
      </c>
      <c r="AG319" s="42" t="n">
        <v>2021</v>
      </c>
      <c r="AH319" s="42" t="n">
        <v>14</v>
      </c>
      <c r="AI319" s="44" t="n">
        <v>6.2</v>
      </c>
      <c r="AJ319" s="42" t="n">
        <v>2019</v>
      </c>
      <c r="AK319" s="42" t="n">
        <v>15</v>
      </c>
      <c r="AL319" s="44" t="n">
        <v>4.4</v>
      </c>
      <c r="AM319" s="42" t="n">
        <v>1998</v>
      </c>
      <c r="AN319" s="42" t="n">
        <v>6</v>
      </c>
      <c r="AO319" s="44" t="n">
        <v>4.8</v>
      </c>
      <c r="AP319" s="42" t="n">
        <v>2017</v>
      </c>
      <c r="AQ319" s="42" t="n">
        <v>19</v>
      </c>
    </row>
    <row r="320" ht="14.45" customHeight="1">
      <c r="A320" s="42" t="n">
        <v>24015220</v>
      </c>
      <c r="B320" s="42" t="inlineStr">
        <is>
          <t>VILLA CARMEN [24015220]</t>
        </is>
      </c>
      <c r="C320" s="42" t="n">
        <v>5.509388889</v>
      </c>
      <c r="D320" s="42" t="n">
        <v>-73.49577778</v>
      </c>
      <c r="E320" s="42" t="n">
        <v>2600</v>
      </c>
      <c r="F320" s="42" t="inlineStr">
        <is>
          <t>Samacá</t>
        </is>
      </c>
      <c r="G320" s="42" t="inlineStr">
        <is>
          <t>Boyacá</t>
        </is>
      </c>
      <c r="H320" s="44" t="n">
        <v>-2</v>
      </c>
      <c r="I320" s="42" t="n">
        <v>2010</v>
      </c>
      <c r="J320" s="42" t="n">
        <v>3</v>
      </c>
      <c r="K320" s="44" t="n">
        <v>-2.9</v>
      </c>
      <c r="L320" s="42" t="n">
        <v>1985</v>
      </c>
      <c r="M320" s="42" t="n">
        <v>4</v>
      </c>
      <c r="N320" s="44" t="n">
        <v>1.2</v>
      </c>
      <c r="O320" s="42" t="n">
        <v>2001</v>
      </c>
      <c r="P320" s="42" t="n">
        <v>13</v>
      </c>
      <c r="Q320" s="44" t="n">
        <v>1</v>
      </c>
      <c r="R320" s="42" t="n">
        <v>1984</v>
      </c>
      <c r="S320" s="42" t="n">
        <v>30</v>
      </c>
      <c r="T320" s="44" t="n">
        <v>1.2</v>
      </c>
      <c r="U320" s="42" t="n">
        <v>1984</v>
      </c>
      <c r="V320" s="42" t="n">
        <v>8</v>
      </c>
      <c r="W320" s="44" t="n">
        <v>1.2</v>
      </c>
      <c r="X320" s="42" t="n">
        <v>1989</v>
      </c>
      <c r="Y320" s="42" t="n">
        <v>29</v>
      </c>
      <c r="Z320" s="44" t="n">
        <v>-1.4</v>
      </c>
      <c r="AA320" s="42" t="n">
        <v>1985</v>
      </c>
      <c r="AB320" s="42" t="n">
        <v>1</v>
      </c>
      <c r="AC320" s="44" t="n">
        <v>0.4</v>
      </c>
      <c r="AD320" s="42" t="n">
        <v>1997</v>
      </c>
      <c r="AE320" s="42" t="n">
        <v>29</v>
      </c>
      <c r="AF320" s="44" t="n">
        <v>1</v>
      </c>
      <c r="AG320" s="42" t="n">
        <v>1992</v>
      </c>
      <c r="AH320" s="42" t="n">
        <v>17</v>
      </c>
      <c r="AI320" s="44" t="n">
        <v>1.2</v>
      </c>
      <c r="AJ320" s="42" t="n">
        <v>1988</v>
      </c>
      <c r="AK320" s="42" t="n">
        <v>24</v>
      </c>
      <c r="AL320" s="44" t="n">
        <v>1</v>
      </c>
      <c r="AM320" s="42" t="n">
        <v>2012</v>
      </c>
      <c r="AN320" s="42" t="n">
        <v>7</v>
      </c>
      <c r="AO320" s="44" t="n">
        <v>-4.2</v>
      </c>
      <c r="AP320" s="42" t="n">
        <v>1993</v>
      </c>
      <c r="AQ320" s="42" t="n">
        <v>30</v>
      </c>
    </row>
    <row r="321" ht="14.45" customHeight="1">
      <c r="A321" s="42" t="n">
        <v>26095080</v>
      </c>
      <c r="B321" s="42" t="inlineStr">
        <is>
          <t>TENERIFE [26095080]</t>
        </is>
      </c>
      <c r="C321" s="42" t="n">
        <v>3.729972222</v>
      </c>
      <c r="D321" s="42" t="n">
        <v>-76.07477778000001</v>
      </c>
      <c r="E321" s="42" t="n">
        <v>2628</v>
      </c>
      <c r="F321" s="42" t="inlineStr">
        <is>
          <t>El Cerrito</t>
        </is>
      </c>
      <c r="G321" s="42" t="inlineStr">
        <is>
          <t>Valle Del Cauca</t>
        </is>
      </c>
      <c r="H321" s="44" t="n">
        <v>2.2</v>
      </c>
      <c r="I321" s="42" t="n">
        <v>1984</v>
      </c>
      <c r="J321" s="42" t="n">
        <v>11</v>
      </c>
      <c r="K321" s="44" t="n">
        <v>2.6</v>
      </c>
      <c r="L321" s="42" t="n">
        <v>1983</v>
      </c>
      <c r="M321" s="42" t="n">
        <v>22</v>
      </c>
      <c r="N321" s="44" t="n">
        <v>2</v>
      </c>
      <c r="O321" s="42" t="n">
        <v>1981</v>
      </c>
      <c r="P321" s="42" t="n">
        <v>3</v>
      </c>
      <c r="Q321" s="44" t="n">
        <v>3</v>
      </c>
      <c r="R321" s="42" t="n">
        <v>1983</v>
      </c>
      <c r="S321" s="42" t="n">
        <v>29</v>
      </c>
      <c r="T321" s="44" t="n">
        <v>2.3</v>
      </c>
      <c r="U321" s="42" t="n">
        <v>1984</v>
      </c>
      <c r="V321" s="42" t="n">
        <v>29</v>
      </c>
      <c r="W321" s="44" t="n">
        <v>3.6</v>
      </c>
      <c r="X321" s="42" t="n">
        <v>1984</v>
      </c>
      <c r="Y321" s="42" t="n">
        <v>14</v>
      </c>
      <c r="Z321" s="44" t="n">
        <v>2.2</v>
      </c>
      <c r="AA321" s="42" t="n">
        <v>1982</v>
      </c>
      <c r="AB321" s="42" t="n">
        <v>6</v>
      </c>
      <c r="AC321" s="44" t="n">
        <v>2</v>
      </c>
      <c r="AD321" s="42" t="n">
        <v>1982</v>
      </c>
      <c r="AE321" s="42" t="n">
        <v>4</v>
      </c>
      <c r="AF321" s="44" t="n">
        <v>3.6</v>
      </c>
      <c r="AG321" s="42" t="n">
        <v>1982</v>
      </c>
      <c r="AH321" s="42" t="n">
        <v>4</v>
      </c>
      <c r="AI321" s="44" t="n">
        <v>2.2</v>
      </c>
      <c r="AJ321" s="42" t="n">
        <v>1979</v>
      </c>
      <c r="AK321" s="42" t="n">
        <v>10</v>
      </c>
      <c r="AL321" s="44" t="n">
        <v>2.4</v>
      </c>
      <c r="AM321" s="42" t="n">
        <v>1982</v>
      </c>
      <c r="AN321" s="42" t="n">
        <v>3</v>
      </c>
      <c r="AO321" s="44" t="n">
        <v>2</v>
      </c>
      <c r="AP321" s="42" t="n">
        <v>2008</v>
      </c>
      <c r="AQ321" s="42" t="n">
        <v>22</v>
      </c>
    </row>
    <row r="322" ht="14.45" customHeight="1">
      <c r="A322" s="42" t="n">
        <v>24035420</v>
      </c>
      <c r="B322" s="42" t="inlineStr">
        <is>
          <t>CERINZA [240354200]</t>
        </is>
      </c>
      <c r="C322" s="42" t="n">
        <v>5.96225</v>
      </c>
      <c r="D322" s="42" t="n">
        <v>-72.9385</v>
      </c>
      <c r="E322" s="42" t="n">
        <v>2643</v>
      </c>
      <c r="F322" s="42" t="inlineStr">
        <is>
          <t>Cerinza</t>
        </is>
      </c>
      <c r="G322" s="42" t="inlineStr">
        <is>
          <t>Boyacá</t>
        </is>
      </c>
      <c r="H322" s="44" t="n">
        <v>-5.6</v>
      </c>
      <c r="I322" s="42" t="n">
        <v>2015</v>
      </c>
      <c r="J322" s="42" t="n">
        <v>7</v>
      </c>
      <c r="K322" s="44" t="n">
        <v>-5.8</v>
      </c>
      <c r="L322" s="42" t="n">
        <v>2020</v>
      </c>
      <c r="M322" s="42" t="n">
        <v>6</v>
      </c>
      <c r="N322" s="44" t="n">
        <v>-2.4</v>
      </c>
      <c r="O322" s="42" t="n">
        <v>2020</v>
      </c>
      <c r="P322" s="42" t="n">
        <v>5</v>
      </c>
      <c r="Q322" s="44" t="n">
        <v>0.1</v>
      </c>
      <c r="R322" s="42" t="n">
        <v>2017</v>
      </c>
      <c r="S322" s="42" t="n">
        <v>4</v>
      </c>
      <c r="T322" s="44" t="n">
        <v>0.2</v>
      </c>
      <c r="U322" s="42" t="n">
        <v>2014</v>
      </c>
      <c r="V322" s="42" t="n">
        <v>25</v>
      </c>
      <c r="W322" s="44" t="n">
        <v>-5.2</v>
      </c>
      <c r="X322" s="42" t="n">
        <v>2015</v>
      </c>
      <c r="Y322" s="42" t="n">
        <v>30</v>
      </c>
      <c r="Z322" s="44" t="n">
        <v>-1</v>
      </c>
      <c r="AA322" s="42" t="n">
        <v>2013</v>
      </c>
      <c r="AB322" s="42" t="n">
        <v>12</v>
      </c>
      <c r="AC322" s="44" t="n">
        <v>-3</v>
      </c>
      <c r="AD322" s="42" t="n">
        <v>2014</v>
      </c>
      <c r="AE322" s="42" t="n">
        <v>30</v>
      </c>
      <c r="AF322" s="44" t="n">
        <v>0</v>
      </c>
      <c r="AG322" s="42" t="n">
        <v>2009</v>
      </c>
      <c r="AH322" s="42" t="n">
        <v>6</v>
      </c>
      <c r="AI322" s="44" t="n">
        <v>0.2</v>
      </c>
      <c r="AJ322" s="42" t="n">
        <v>2009</v>
      </c>
      <c r="AK322" s="42" t="n">
        <v>11</v>
      </c>
      <c r="AL322" s="44" t="n">
        <v>-0.5</v>
      </c>
      <c r="AM322" s="42" t="n">
        <v>2012</v>
      </c>
      <c r="AN322" s="42" t="n">
        <v>8</v>
      </c>
      <c r="AO322" s="44" t="n">
        <v>-1</v>
      </c>
      <c r="AP322" s="42" t="n">
        <v>2013</v>
      </c>
      <c r="AQ322" s="42" t="n">
        <v>31</v>
      </c>
    </row>
    <row r="323" ht="14.45" customHeight="1">
      <c r="A323" s="42" t="n">
        <v>21205920</v>
      </c>
      <c r="B323" s="42" t="inlineStr">
        <is>
          <t>SUASUQUE [21205920]</t>
        </is>
      </c>
      <c r="C323" s="42" t="n">
        <v>4.820833333</v>
      </c>
      <c r="D323" s="42" t="n">
        <v>-73.96388889000001</v>
      </c>
      <c r="E323" s="42" t="n">
        <v>2650</v>
      </c>
      <c r="F323" s="42" t="inlineStr">
        <is>
          <t>Sopó</t>
        </is>
      </c>
      <c r="G323" s="42" t="inlineStr">
        <is>
          <t>Cundinamarca</t>
        </is>
      </c>
      <c r="H323" s="44" t="n">
        <v>-5</v>
      </c>
      <c r="I323" s="42" t="n">
        <v>2001</v>
      </c>
      <c r="J323" s="42" t="n">
        <v>30</v>
      </c>
      <c r="K323" s="44" t="n">
        <v>-7.4</v>
      </c>
      <c r="L323" s="42" t="n">
        <v>2007</v>
      </c>
      <c r="M323" s="42" t="n">
        <v>4</v>
      </c>
      <c r="N323" s="44" t="n">
        <v>-1.6</v>
      </c>
      <c r="O323" s="42" t="n">
        <v>2002</v>
      </c>
      <c r="P323" s="42" t="n">
        <v>10</v>
      </c>
      <c r="Q323" s="44" t="n">
        <v>-1.2</v>
      </c>
      <c r="R323" s="42" t="n">
        <v>2024</v>
      </c>
      <c r="S323" s="42" t="n">
        <v>10</v>
      </c>
      <c r="T323" s="44" t="n">
        <v>0</v>
      </c>
      <c r="U323" s="42" t="n">
        <v>2006</v>
      </c>
      <c r="V323" s="42" t="n">
        <v>23</v>
      </c>
      <c r="W323" s="44" t="n">
        <v>0</v>
      </c>
      <c r="X323" s="42" t="n">
        <v>1997</v>
      </c>
      <c r="Y323" s="42" t="n">
        <v>21</v>
      </c>
      <c r="Z323" s="44" t="n">
        <v>0</v>
      </c>
      <c r="AA323" s="42" t="n">
        <v>1984</v>
      </c>
      <c r="AB323" s="42" t="n">
        <v>31</v>
      </c>
      <c r="AC323" s="44" t="n">
        <v>-0.8</v>
      </c>
      <c r="AD323" s="42" t="n">
        <v>1997</v>
      </c>
      <c r="AE323" s="42" t="n">
        <v>29</v>
      </c>
      <c r="AF323" s="44" t="n">
        <v>-1.6</v>
      </c>
      <c r="AG323" s="42" t="n">
        <v>2002</v>
      </c>
      <c r="AH323" s="42" t="n">
        <v>22</v>
      </c>
      <c r="AI323" s="44" t="n">
        <v>-0.6</v>
      </c>
      <c r="AJ323" s="42" t="n">
        <v>2002</v>
      </c>
      <c r="AK323" s="42" t="n">
        <v>14</v>
      </c>
      <c r="AL323" s="44" t="n">
        <v>-0.2</v>
      </c>
      <c r="AM323" s="42" t="n">
        <v>2012</v>
      </c>
      <c r="AN323" s="42" t="n">
        <v>25</v>
      </c>
      <c r="AO323" s="44" t="n">
        <v>-4.2</v>
      </c>
      <c r="AP323" s="42" t="n">
        <v>2009</v>
      </c>
      <c r="AQ323" s="42" t="n">
        <v>31</v>
      </c>
    </row>
    <row r="324" ht="14.45" customHeight="1">
      <c r="A324" s="42" t="n">
        <v>21205960</v>
      </c>
      <c r="B324" s="42" t="inlineStr">
        <is>
          <t>TACHI [21205960]</t>
        </is>
      </c>
      <c r="C324" s="42" t="n">
        <v>4.939055556</v>
      </c>
      <c r="D324" s="42" t="n">
        <v>-74.15258333</v>
      </c>
      <c r="E324" s="42" t="n">
        <v>2650</v>
      </c>
      <c r="F324" s="42" t="inlineStr">
        <is>
          <t>Subachoque</t>
        </is>
      </c>
      <c r="G324" s="42" t="inlineStr">
        <is>
          <t>Cundinamarca</t>
        </is>
      </c>
      <c r="H324" s="44" t="n">
        <v>-3.6</v>
      </c>
      <c r="I324" s="42" t="n">
        <v>2004</v>
      </c>
      <c r="J324" s="42" t="n">
        <v>26</v>
      </c>
      <c r="K324" s="44" t="n">
        <v>-6.6</v>
      </c>
      <c r="L324" s="42" t="n">
        <v>1997</v>
      </c>
      <c r="M324" s="42" t="n">
        <v>19</v>
      </c>
      <c r="N324" s="44" t="n">
        <v>0</v>
      </c>
      <c r="O324" s="42" t="n">
        <v>1978</v>
      </c>
      <c r="P324" s="42" t="n">
        <v>16</v>
      </c>
      <c r="Q324" s="44" t="n">
        <v>0.2</v>
      </c>
      <c r="R324" s="42" t="n">
        <v>1987</v>
      </c>
      <c r="S324" s="42" t="n">
        <v>15</v>
      </c>
      <c r="T324" s="44" t="n">
        <v>0.4</v>
      </c>
      <c r="U324" s="42" t="n">
        <v>1984</v>
      </c>
      <c r="V324" s="42" t="n">
        <v>6</v>
      </c>
      <c r="W324" s="44" t="n">
        <v>0</v>
      </c>
      <c r="X324" s="42" t="n">
        <v>1994</v>
      </c>
      <c r="Y324" s="42" t="n">
        <v>1</v>
      </c>
      <c r="Z324" s="44" t="n">
        <v>0</v>
      </c>
      <c r="AA324" s="42" t="n">
        <v>1979</v>
      </c>
      <c r="AB324" s="42" t="n">
        <v>26</v>
      </c>
      <c r="AC324" s="44" t="n">
        <v>-0.4</v>
      </c>
      <c r="AD324" s="42" t="n">
        <v>1997</v>
      </c>
      <c r="AE324" s="42" t="n">
        <v>30</v>
      </c>
      <c r="AF324" s="44" t="n">
        <v>0.2</v>
      </c>
      <c r="AG324" s="42" t="n">
        <v>2002</v>
      </c>
      <c r="AH324" s="42" t="n">
        <v>22</v>
      </c>
      <c r="AI324" s="44" t="n">
        <v>0.4</v>
      </c>
      <c r="AJ324" s="42" t="n">
        <v>1990</v>
      </c>
      <c r="AK324" s="42" t="n">
        <v>30</v>
      </c>
      <c r="AL324" s="44" t="n">
        <v>0.2</v>
      </c>
      <c r="AM324" s="42" t="n">
        <v>1981</v>
      </c>
      <c r="AN324" s="42" t="n">
        <v>4</v>
      </c>
      <c r="AO324" s="44" t="n">
        <v>-1.8</v>
      </c>
      <c r="AP324" s="42" t="n">
        <v>2009</v>
      </c>
      <c r="AQ324" s="42" t="n">
        <v>31</v>
      </c>
    </row>
    <row r="325" ht="14.45" customHeight="1">
      <c r="A325" s="42" t="n">
        <v>21206030</v>
      </c>
      <c r="B325" s="42" t="inlineStr">
        <is>
          <t>SAN CAYETANO [21206030]</t>
        </is>
      </c>
      <c r="C325" s="42" t="n">
        <v>4.916833333</v>
      </c>
      <c r="D325" s="42" t="n">
        <v>-74.18166667</v>
      </c>
      <c r="E325" s="42" t="n">
        <v>2650</v>
      </c>
      <c r="F325" s="42" t="inlineStr">
        <is>
          <t>Subachoque</t>
        </is>
      </c>
      <c r="G325" s="42" t="inlineStr">
        <is>
          <t>Cundinamarca</t>
        </is>
      </c>
      <c r="H325" s="44" t="n">
        <v>-0.2</v>
      </c>
      <c r="I325" s="42" t="n">
        <v>2013</v>
      </c>
      <c r="J325" s="42" t="n">
        <v>7</v>
      </c>
      <c r="K325" s="44" t="n">
        <v>-3</v>
      </c>
      <c r="L325" s="42" t="n">
        <v>2020</v>
      </c>
      <c r="M325" s="42" t="n">
        <v>6</v>
      </c>
      <c r="N325" s="44" t="n">
        <v>0</v>
      </c>
      <c r="O325" s="42" t="n">
        <v>1978</v>
      </c>
      <c r="P325" s="42" t="n">
        <v>16</v>
      </c>
      <c r="Q325" s="44" t="n">
        <v>1.8</v>
      </c>
      <c r="R325" s="42" t="n">
        <v>2008</v>
      </c>
      <c r="S325" s="42" t="n">
        <v>12</v>
      </c>
      <c r="T325" s="44" t="n">
        <v>1.6</v>
      </c>
      <c r="U325" s="42" t="n">
        <v>1984</v>
      </c>
      <c r="V325" s="42" t="n">
        <v>6</v>
      </c>
      <c r="W325" s="44" t="n">
        <v>1.4</v>
      </c>
      <c r="X325" s="42" t="n">
        <v>1997</v>
      </c>
      <c r="Y325" s="42" t="n">
        <v>21</v>
      </c>
      <c r="Z325" s="44" t="n">
        <v>0.4</v>
      </c>
      <c r="AA325" s="42" t="n">
        <v>1978</v>
      </c>
      <c r="AB325" s="42" t="n">
        <v>25</v>
      </c>
      <c r="AC325" s="44" t="n">
        <v>-8.6</v>
      </c>
      <c r="AD325" s="42" t="n">
        <v>2000</v>
      </c>
      <c r="AE325" s="42" t="n">
        <v>23</v>
      </c>
      <c r="AF325" s="44" t="n">
        <v>0.4</v>
      </c>
      <c r="AG325" s="42" t="n">
        <v>1979</v>
      </c>
      <c r="AH325" s="42" t="n">
        <v>5</v>
      </c>
      <c r="AI325" s="44" t="n">
        <v>0</v>
      </c>
      <c r="AJ325" s="42" t="n">
        <v>1984</v>
      </c>
      <c r="AK325" s="42" t="n">
        <v>29</v>
      </c>
      <c r="AL325" s="44" t="n">
        <v>1</v>
      </c>
      <c r="AM325" s="42" t="n">
        <v>1996</v>
      </c>
      <c r="AN325" s="42" t="n">
        <v>4</v>
      </c>
      <c r="AO325" s="44" t="n">
        <v>-3.4</v>
      </c>
      <c r="AP325" s="42" t="n">
        <v>2000</v>
      </c>
      <c r="AQ325" s="42" t="n">
        <v>26</v>
      </c>
    </row>
    <row r="326" ht="14.45" customHeight="1">
      <c r="A326" s="42" t="n">
        <v>21240110</v>
      </c>
      <c r="B326" s="42" t="inlineStr">
        <is>
          <t>BODEGA LA [21240110]</t>
        </is>
      </c>
      <c r="C326" s="42" t="n">
        <v>4.735611111</v>
      </c>
      <c r="D326" s="42" t="n">
        <v>-75.13891667</v>
      </c>
      <c r="E326" s="42" t="n">
        <v>2670</v>
      </c>
      <c r="F326" s="42" t="inlineStr">
        <is>
          <t>Santa Isabel</t>
        </is>
      </c>
      <c r="G326" s="42" t="inlineStr">
        <is>
          <t>Tolima</t>
        </is>
      </c>
      <c r="H326" s="44" t="n">
        <v>7.4</v>
      </c>
      <c r="I326" s="42" t="n">
        <v>1995</v>
      </c>
      <c r="J326" s="42" t="n">
        <v>9</v>
      </c>
      <c r="K326" s="44" t="n">
        <v>7.6</v>
      </c>
      <c r="L326" s="42" t="n">
        <v>1985</v>
      </c>
      <c r="M326" s="42" t="n">
        <v>26</v>
      </c>
      <c r="N326" s="44" t="n">
        <v>6</v>
      </c>
      <c r="O326" s="42" t="n">
        <v>1992</v>
      </c>
      <c r="P326" s="42" t="n">
        <v>30</v>
      </c>
      <c r="Q326" s="44" t="n">
        <v>3.1</v>
      </c>
      <c r="R326" s="42" t="n">
        <v>1992</v>
      </c>
      <c r="S326" s="42" t="n">
        <v>20</v>
      </c>
      <c r="T326" s="44" t="n">
        <v>3.1</v>
      </c>
      <c r="U326" s="42" t="n">
        <v>1992</v>
      </c>
      <c r="V326" s="42" t="n">
        <v>6</v>
      </c>
      <c r="W326" s="44" t="n">
        <v>1</v>
      </c>
      <c r="X326" s="42" t="n">
        <v>2000</v>
      </c>
      <c r="Y326" s="42" t="n">
        <v>11</v>
      </c>
      <c r="Z326" s="44" t="n">
        <v>8.199999999999999</v>
      </c>
      <c r="AA326" s="42" t="n">
        <v>1985</v>
      </c>
      <c r="AB326" s="42" t="n">
        <v>3</v>
      </c>
      <c r="AC326" s="44" t="n">
        <v>8.199999999999999</v>
      </c>
      <c r="AD326" s="42" t="n">
        <v>2004</v>
      </c>
      <c r="AE326" s="42" t="n">
        <v>4</v>
      </c>
      <c r="AF326" s="44" t="n">
        <v>8.6</v>
      </c>
      <c r="AG326" s="42" t="n">
        <v>1986</v>
      </c>
      <c r="AH326" s="42" t="n">
        <v>2</v>
      </c>
      <c r="AI326" s="44" t="n">
        <v>7.6</v>
      </c>
      <c r="AJ326" s="42" t="n">
        <v>1991</v>
      </c>
      <c r="AK326" s="42" t="n">
        <v>13</v>
      </c>
      <c r="AL326" s="44" t="n">
        <v>7.2</v>
      </c>
      <c r="AM326" s="42" t="n">
        <v>1991</v>
      </c>
      <c r="AN326" s="42" t="n">
        <v>15</v>
      </c>
      <c r="AO326" s="44" t="n">
        <v>8</v>
      </c>
      <c r="AP326" s="42" t="n">
        <v>1999</v>
      </c>
      <c r="AQ326" s="42" t="n">
        <v>28</v>
      </c>
    </row>
    <row r="327" ht="14.45" customHeight="1">
      <c r="A327" s="42" t="n">
        <v>21206280</v>
      </c>
      <c r="B327" s="42" t="inlineStr">
        <is>
          <t>ACAPULCO [21206280]</t>
        </is>
      </c>
      <c r="C327" s="42" t="n">
        <v>4.64823</v>
      </c>
      <c r="D327" s="42" t="n">
        <v>-74.32035</v>
      </c>
      <c r="E327" s="42" t="n">
        <v>2680</v>
      </c>
      <c r="F327" s="42" t="inlineStr">
        <is>
          <t>Bojacá</t>
        </is>
      </c>
      <c r="G327" s="42" t="inlineStr">
        <is>
          <t>Cundinamarca</t>
        </is>
      </c>
      <c r="H327" s="44" t="n">
        <v>1.6</v>
      </c>
      <c r="I327" s="42" t="n">
        <v>1997</v>
      </c>
      <c r="J327" s="42" t="n">
        <v>19</v>
      </c>
      <c r="K327" s="44" t="n">
        <v>1.6</v>
      </c>
      <c r="L327" s="42" t="n">
        <v>2007</v>
      </c>
      <c r="M327" s="42" t="n">
        <v>4</v>
      </c>
      <c r="N327" s="44" t="n">
        <v>0.8</v>
      </c>
      <c r="O327" s="42" t="n">
        <v>1997</v>
      </c>
      <c r="P327" s="42" t="n">
        <v>8</v>
      </c>
      <c r="Q327" s="44" t="n">
        <v>3</v>
      </c>
      <c r="R327" s="42" t="n">
        <v>1997</v>
      </c>
      <c r="S327" s="42" t="n">
        <v>27</v>
      </c>
      <c r="T327" s="44" t="n">
        <v>4.6</v>
      </c>
      <c r="U327" s="42" t="n">
        <v>1995</v>
      </c>
      <c r="V327" s="42" t="n">
        <v>20</v>
      </c>
      <c r="W327" s="44" t="n">
        <v>5</v>
      </c>
      <c r="X327" s="42" t="n">
        <v>1996</v>
      </c>
      <c r="Y327" s="42" t="n">
        <v>15</v>
      </c>
      <c r="Z327" s="44" t="n">
        <v>1</v>
      </c>
      <c r="AA327" s="42" t="n">
        <v>1999</v>
      </c>
      <c r="AB327" s="42" t="n">
        <v>30</v>
      </c>
      <c r="AC327" s="44" t="n">
        <v>4.8</v>
      </c>
      <c r="AD327" s="42" t="n">
        <v>1996</v>
      </c>
      <c r="AE327" s="42" t="n">
        <v>16</v>
      </c>
      <c r="AF327" s="44" t="n">
        <v>0.5</v>
      </c>
      <c r="AG327" s="42" t="n">
        <v>1997</v>
      </c>
      <c r="AH327" s="42" t="n">
        <v>24</v>
      </c>
      <c r="AI327" s="44" t="n">
        <v>1</v>
      </c>
      <c r="AJ327" s="42" t="n">
        <v>1997</v>
      </c>
      <c r="AK327" s="42" t="n">
        <v>13</v>
      </c>
      <c r="AL327" s="44" t="n">
        <v>1</v>
      </c>
      <c r="AM327" s="42" t="n">
        <v>1990</v>
      </c>
      <c r="AN327" s="42" t="n">
        <v>9</v>
      </c>
      <c r="AO327" s="44" t="n">
        <v>1.6</v>
      </c>
      <c r="AP327" s="42" t="n">
        <v>1997</v>
      </c>
      <c r="AQ327" s="42" t="n">
        <v>14</v>
      </c>
    </row>
    <row r="328" ht="14.45" customHeight="1">
      <c r="A328" s="42" t="n">
        <v>24035130</v>
      </c>
      <c r="B328" s="42" t="inlineStr">
        <is>
          <t>U P T C [24035130]</t>
        </is>
      </c>
      <c r="C328" s="42" t="n">
        <v>5.5430775</v>
      </c>
      <c r="D328" s="42" t="n">
        <v>-73.36081306</v>
      </c>
      <c r="E328" s="42" t="n">
        <v>2690</v>
      </c>
      <c r="F328" s="42" t="inlineStr">
        <is>
          <t>Tunja</t>
        </is>
      </c>
      <c r="G328" s="42" t="inlineStr">
        <is>
          <t>Boyacá</t>
        </is>
      </c>
      <c r="H328" s="44" t="n">
        <v>-0.6</v>
      </c>
      <c r="I328" s="42" t="n">
        <v>2010</v>
      </c>
      <c r="J328" s="42" t="n">
        <v>3</v>
      </c>
      <c r="K328" s="44" t="n">
        <v>-1.1</v>
      </c>
      <c r="L328" s="42" t="n">
        <v>1985</v>
      </c>
      <c r="M328" s="42" t="n">
        <v>5</v>
      </c>
      <c r="N328" s="44" t="n">
        <v>-0.2</v>
      </c>
      <c r="O328" s="42" t="n">
        <v>2008</v>
      </c>
      <c r="P328" s="42" t="n">
        <v>7</v>
      </c>
      <c r="Q328" s="44" t="n">
        <v>3.8</v>
      </c>
      <c r="R328" s="42" t="n">
        <v>2008</v>
      </c>
      <c r="S328" s="42" t="n">
        <v>3</v>
      </c>
      <c r="T328" s="44" t="n">
        <v>1</v>
      </c>
      <c r="U328" s="42" t="n">
        <v>2019</v>
      </c>
      <c r="V328" s="42" t="n">
        <v>13</v>
      </c>
      <c r="W328" s="44" t="n">
        <v>2.2</v>
      </c>
      <c r="X328" s="42" t="n">
        <v>1994</v>
      </c>
      <c r="Y328" s="42" t="n">
        <v>24</v>
      </c>
      <c r="Z328" s="44" t="n">
        <v>1.8</v>
      </c>
      <c r="AA328" s="42" t="n">
        <v>1985</v>
      </c>
      <c r="AB328" s="42" t="n">
        <v>1</v>
      </c>
      <c r="AC328" s="44" t="n">
        <v>1</v>
      </c>
      <c r="AD328" s="42" t="n">
        <v>2014</v>
      </c>
      <c r="AE328" s="42" t="n">
        <v>30</v>
      </c>
      <c r="AF328" s="44" t="n">
        <v>2.9</v>
      </c>
      <c r="AG328" s="42" t="n">
        <v>2020</v>
      </c>
      <c r="AH328" s="42" t="n">
        <v>22</v>
      </c>
      <c r="AI328" s="44" t="n">
        <v>3.2</v>
      </c>
      <c r="AJ328" s="42" t="n">
        <v>1988</v>
      </c>
      <c r="AK328" s="42" t="n">
        <v>10</v>
      </c>
      <c r="AL328" s="44" t="n">
        <v>2</v>
      </c>
      <c r="AM328" s="42" t="n">
        <v>2012</v>
      </c>
      <c r="AN328" s="42" t="n">
        <v>7</v>
      </c>
      <c r="AO328" s="44" t="n">
        <v>0.4</v>
      </c>
      <c r="AP328" s="42" t="n">
        <v>1985</v>
      </c>
      <c r="AQ328" s="42" t="n">
        <v>19</v>
      </c>
    </row>
    <row r="329" ht="14.45" customHeight="1">
      <c r="A329" s="42" t="n">
        <v>24035040</v>
      </c>
      <c r="B329" s="42" t="inlineStr">
        <is>
          <t>LA COPA [24035040]</t>
        </is>
      </c>
      <c r="C329" s="42" t="n">
        <v>5.579194444</v>
      </c>
      <c r="D329" s="42" t="n">
        <v>-73.208777778</v>
      </c>
      <c r="E329" s="42" t="n">
        <v>2700</v>
      </c>
      <c r="F329" s="42" t="inlineStr">
        <is>
          <t>Toca</t>
        </is>
      </c>
      <c r="G329" s="42" t="inlineStr">
        <is>
          <t>Boyacá</t>
        </is>
      </c>
      <c r="H329" s="44" t="n">
        <v>-4.8</v>
      </c>
      <c r="I329" s="42" t="n">
        <v>2010</v>
      </c>
      <c r="J329" s="42" t="n">
        <v>4</v>
      </c>
      <c r="K329" s="44" t="n">
        <v>-9.800000000000001</v>
      </c>
      <c r="L329" s="42" t="n">
        <v>2007</v>
      </c>
      <c r="M329" s="42" t="n">
        <v>2</v>
      </c>
      <c r="N329" s="44" t="n">
        <v>-2</v>
      </c>
      <c r="O329" s="42" t="n">
        <v>2020</v>
      </c>
      <c r="P329" s="42" t="n">
        <v>5</v>
      </c>
      <c r="Q329" s="44" t="n">
        <v>-0.6</v>
      </c>
      <c r="R329" s="42" t="n">
        <v>2024</v>
      </c>
      <c r="S329" s="42" t="n">
        <v>10</v>
      </c>
      <c r="T329" s="44" t="n">
        <v>1.8</v>
      </c>
      <c r="U329" s="42" t="n">
        <v>2019</v>
      </c>
      <c r="V329" s="42" t="n">
        <v>1</v>
      </c>
      <c r="W329" s="44" t="n">
        <v>2</v>
      </c>
      <c r="X329" s="42" t="n">
        <v>2012</v>
      </c>
      <c r="Y329" s="42" t="n">
        <v>22</v>
      </c>
      <c r="Z329" s="44" t="n">
        <v>1.2</v>
      </c>
      <c r="AA329" s="42" t="n">
        <v>2003</v>
      </c>
      <c r="AB329" s="42" t="n">
        <v>6</v>
      </c>
      <c r="AC329" s="44" t="n">
        <v>-1.6</v>
      </c>
      <c r="AD329" s="42" t="n">
        <v>2014</v>
      </c>
      <c r="AE329" s="42" t="n">
        <v>30</v>
      </c>
      <c r="AF329" s="44" t="n">
        <v>0.4</v>
      </c>
      <c r="AG329" s="42" t="n">
        <v>1999</v>
      </c>
      <c r="AH329" s="42" t="n">
        <v>21</v>
      </c>
      <c r="AI329" s="44" t="n">
        <v>1.2</v>
      </c>
      <c r="AJ329" s="42" t="n">
        <v>2008</v>
      </c>
      <c r="AK329" s="42" t="n">
        <v>24</v>
      </c>
      <c r="AL329" s="44" t="n">
        <v>1</v>
      </c>
      <c r="AM329" s="42" t="n">
        <v>2012</v>
      </c>
      <c r="AN329" s="42" t="n">
        <v>7</v>
      </c>
      <c r="AO329" s="44" t="n">
        <v>-2.4</v>
      </c>
      <c r="AP329" s="42" t="n">
        <v>2009</v>
      </c>
      <c r="AQ329" s="42" t="n">
        <v>31</v>
      </c>
    </row>
    <row r="330" ht="14.45" customHeight="1">
      <c r="A330" s="42" t="n">
        <v>21205740</v>
      </c>
      <c r="B330" s="42" t="inlineStr">
        <is>
          <t>SILOS [21205740]</t>
        </is>
      </c>
      <c r="C330" s="42" t="n">
        <v>5.117722222</v>
      </c>
      <c r="D330" s="42" t="n">
        <v>-73.70141667</v>
      </c>
      <c r="E330" s="42" t="n">
        <v>2709</v>
      </c>
      <c r="F330" s="42" t="inlineStr">
        <is>
          <t>Chocontá</t>
        </is>
      </c>
      <c r="G330" s="42" t="inlineStr">
        <is>
          <t>Cundinamarca</t>
        </is>
      </c>
      <c r="H330" s="44" t="n">
        <v>-0.4</v>
      </c>
      <c r="I330" s="42" t="n">
        <v>2011</v>
      </c>
      <c r="J330" s="42" t="n">
        <v>25</v>
      </c>
      <c r="K330" s="44" t="n">
        <v>-2.8</v>
      </c>
      <c r="L330" s="42" t="n">
        <v>2020</v>
      </c>
      <c r="M330" s="42" t="n">
        <v>18</v>
      </c>
      <c r="N330" s="44" t="n">
        <v>-2.4</v>
      </c>
      <c r="O330" s="42" t="n">
        <v>2002</v>
      </c>
      <c r="P330" s="42" t="n">
        <v>10</v>
      </c>
      <c r="Q330" s="44" t="n">
        <v>1</v>
      </c>
      <c r="R330" s="42" t="n">
        <v>2002</v>
      </c>
      <c r="S330" s="42" t="n">
        <v>14</v>
      </c>
      <c r="T330" s="44" t="n">
        <v>0.2</v>
      </c>
      <c r="U330" s="42" t="n">
        <v>2002</v>
      </c>
      <c r="V330" s="42" t="n">
        <v>14</v>
      </c>
      <c r="W330" s="44" t="n">
        <v>-3.8</v>
      </c>
      <c r="X330" s="42" t="n">
        <v>2001</v>
      </c>
      <c r="Y330" s="42" t="n">
        <v>24</v>
      </c>
      <c r="Z330" s="44" t="n">
        <v>0</v>
      </c>
      <c r="AA330" s="42" t="n">
        <v>1976</v>
      </c>
      <c r="AB330" s="42" t="n">
        <v>17</v>
      </c>
      <c r="AC330" s="44" t="n">
        <v>1</v>
      </c>
      <c r="AD330" s="42" t="n">
        <v>1999</v>
      </c>
      <c r="AE330" s="42" t="n">
        <v>25</v>
      </c>
      <c r="AF330" s="44" t="n">
        <v>0.4</v>
      </c>
      <c r="AG330" s="42" t="n">
        <v>2002</v>
      </c>
      <c r="AH330" s="42" t="n">
        <v>22</v>
      </c>
      <c r="AI330" s="44" t="n">
        <v>0.4</v>
      </c>
      <c r="AJ330" s="42" t="n">
        <v>2002</v>
      </c>
      <c r="AK330" s="42" t="n">
        <v>14</v>
      </c>
      <c r="AL330" s="44" t="n">
        <v>0.2</v>
      </c>
      <c r="AM330" s="42" t="n">
        <v>1995</v>
      </c>
      <c r="AN330" s="42" t="n">
        <v>30</v>
      </c>
      <c r="AO330" s="44" t="n">
        <v>-2</v>
      </c>
      <c r="AP330" s="42" t="n">
        <v>2002</v>
      </c>
      <c r="AQ330" s="42" t="n">
        <v>12</v>
      </c>
    </row>
    <row r="331" ht="14.45" customHeight="1">
      <c r="A331" s="42" t="n">
        <v>52045010</v>
      </c>
      <c r="B331" s="42" t="inlineStr">
        <is>
          <t>OBONUCO [52045010]</t>
        </is>
      </c>
      <c r="C331" s="42" t="n">
        <v>1.198222222</v>
      </c>
      <c r="D331" s="42" t="n">
        <v>-77.30308333000001</v>
      </c>
      <c r="E331" s="42" t="n">
        <v>2710</v>
      </c>
      <c r="F331" s="42" t="inlineStr">
        <is>
          <t>Pasto</t>
        </is>
      </c>
      <c r="G331" s="42" t="inlineStr">
        <is>
          <t>Nariño</t>
        </is>
      </c>
      <c r="H331" s="44" t="n">
        <v>4.8</v>
      </c>
      <c r="I331" s="42" t="n">
        <v>2004</v>
      </c>
      <c r="J331" s="42" t="n">
        <v>28</v>
      </c>
      <c r="K331" s="44" t="n">
        <v>4.2</v>
      </c>
      <c r="L331" s="42" t="n">
        <v>2023</v>
      </c>
      <c r="M331" s="42" t="n">
        <v>3</v>
      </c>
      <c r="N331" s="44" t="n">
        <v>4.6</v>
      </c>
      <c r="O331" s="42" t="n">
        <v>2020</v>
      </c>
      <c r="P331" s="42" t="n">
        <v>22</v>
      </c>
      <c r="Q331" s="44" t="n">
        <v>5.7</v>
      </c>
      <c r="R331" s="42" t="n">
        <v>2010</v>
      </c>
      <c r="S331" s="42" t="n">
        <v>7</v>
      </c>
      <c r="T331" s="44" t="n">
        <v>5</v>
      </c>
      <c r="U331" s="42" t="n">
        <v>1985</v>
      </c>
      <c r="V331" s="42" t="n">
        <v>3</v>
      </c>
      <c r="W331" s="44" t="n">
        <v>4.9</v>
      </c>
      <c r="X331" s="42" t="n">
        <v>1985</v>
      </c>
      <c r="Y331" s="42" t="n">
        <v>10</v>
      </c>
      <c r="Z331" s="44" t="n">
        <v>4.6</v>
      </c>
      <c r="AA331" s="42" t="n">
        <v>1996</v>
      </c>
      <c r="AB331" s="42" t="n">
        <v>14</v>
      </c>
      <c r="AC331" s="44" t="n">
        <v>4.2</v>
      </c>
      <c r="AD331" s="42" t="n">
        <v>2022</v>
      </c>
      <c r="AE331" s="42" t="n">
        <v>13</v>
      </c>
      <c r="AF331" s="44" t="n">
        <v>4</v>
      </c>
      <c r="AG331" s="42" t="n">
        <v>2021</v>
      </c>
      <c r="AH331" s="42" t="n">
        <v>14</v>
      </c>
      <c r="AI331" s="44" t="n">
        <v>4.6</v>
      </c>
      <c r="AJ331" s="42" t="n">
        <v>2003</v>
      </c>
      <c r="AK331" s="42" t="n">
        <v>3</v>
      </c>
      <c r="AL331" s="44" t="n">
        <v>3.8</v>
      </c>
      <c r="AM331" s="42" t="n">
        <v>2020</v>
      </c>
      <c r="AN331" s="42" t="n">
        <v>4</v>
      </c>
      <c r="AO331" s="44" t="n">
        <v>3</v>
      </c>
      <c r="AP331" s="42" t="n">
        <v>2025</v>
      </c>
      <c r="AQ331" s="42" t="n">
        <v>8</v>
      </c>
    </row>
    <row r="332" ht="14.45" customHeight="1">
      <c r="A332" s="42" t="n">
        <v>21205700</v>
      </c>
      <c r="B332" s="42" t="inlineStr">
        <is>
          <t>GUASCA [21205700]</t>
        </is>
      </c>
      <c r="C332" s="42" t="n">
        <v>4.877953</v>
      </c>
      <c r="D332" s="42" t="n">
        <v>-73.864453</v>
      </c>
      <c r="E332" s="42" t="n">
        <v>2750</v>
      </c>
      <c r="F332" s="42" t="inlineStr">
        <is>
          <t>Guasca</t>
        </is>
      </c>
      <c r="G332" s="42" t="inlineStr">
        <is>
          <t>Cundinamarca</t>
        </is>
      </c>
      <c r="H332" s="44" t="n">
        <v>-0.8</v>
      </c>
      <c r="I332" s="42" t="n">
        <v>2020</v>
      </c>
      <c r="J332" s="42" t="n">
        <v>8</v>
      </c>
      <c r="K332" s="44" t="n">
        <v>-1.4</v>
      </c>
      <c r="L332" s="42" t="n">
        <v>2020</v>
      </c>
      <c r="M332" s="42" t="n">
        <v>5</v>
      </c>
      <c r="N332" s="44" t="n">
        <v>0.6</v>
      </c>
      <c r="O332" s="42" t="n">
        <v>1997</v>
      </c>
      <c r="P332" s="42" t="n">
        <v>12</v>
      </c>
      <c r="Q332" s="44" t="n">
        <v>1.4</v>
      </c>
      <c r="R332" s="42" t="n">
        <v>2007</v>
      </c>
      <c r="S332" s="42" t="n">
        <v>13</v>
      </c>
      <c r="T332" s="44" t="n">
        <v>1</v>
      </c>
      <c r="U332" s="42" t="n">
        <v>2006</v>
      </c>
      <c r="V332" s="42" t="n">
        <v>27</v>
      </c>
      <c r="W332" s="44" t="n">
        <v>1</v>
      </c>
      <c r="X332" s="42" t="n">
        <v>1993</v>
      </c>
      <c r="Y332" s="42" t="n">
        <v>5</v>
      </c>
      <c r="Z332" s="44" t="n">
        <v>2.4</v>
      </c>
      <c r="AA332" s="42" t="n">
        <v>1994</v>
      </c>
      <c r="AB332" s="42" t="n">
        <v>10</v>
      </c>
      <c r="AC332" s="44" t="n">
        <v>2.2</v>
      </c>
      <c r="AD332" s="42" t="n">
        <v>1990</v>
      </c>
      <c r="AE332" s="42" t="n">
        <v>21</v>
      </c>
      <c r="AF332" s="44" t="n">
        <v>2</v>
      </c>
      <c r="AG332" s="42" t="n">
        <v>2020</v>
      </c>
      <c r="AH332" s="42" t="n">
        <v>22</v>
      </c>
      <c r="AI332" s="44" t="n">
        <v>1.5</v>
      </c>
      <c r="AJ332" s="42" t="n">
        <v>2002</v>
      </c>
      <c r="AK332" s="42" t="n">
        <v>14</v>
      </c>
      <c r="AL332" s="44" t="n">
        <v>1.8</v>
      </c>
      <c r="AM332" s="42" t="n">
        <v>2009</v>
      </c>
      <c r="AN332" s="42" t="n">
        <v>23</v>
      </c>
      <c r="AO332" s="44" t="n">
        <v>-1.8</v>
      </c>
      <c r="AP332" s="42" t="n">
        <v>2022</v>
      </c>
      <c r="AQ332" s="42" t="n">
        <v>27</v>
      </c>
    </row>
    <row r="333" ht="14.45" customHeight="1">
      <c r="A333" s="42" t="n">
        <v>52055090</v>
      </c>
      <c r="B333" s="42" t="inlineStr">
        <is>
          <t>SINDAGUA [52055090]</t>
        </is>
      </c>
      <c r="C333" s="42" t="n">
        <v>1.107583333</v>
      </c>
      <c r="D333" s="42" t="n">
        <v>-77.38936111</v>
      </c>
      <c r="E333" s="42" t="n">
        <v>2800</v>
      </c>
      <c r="F333" s="42" t="inlineStr">
        <is>
          <t>Tangua</t>
        </is>
      </c>
      <c r="G333" s="42" t="inlineStr">
        <is>
          <t>Nariño</t>
        </is>
      </c>
      <c r="H333" s="44" t="n">
        <v>5</v>
      </c>
      <c r="I333" s="42" t="n">
        <v>1999</v>
      </c>
      <c r="J333" s="42" t="n">
        <v>27</v>
      </c>
      <c r="K333" s="44" t="n">
        <v>5</v>
      </c>
      <c r="L333" s="42" t="n">
        <v>1999</v>
      </c>
      <c r="M333" s="42" t="n">
        <v>1</v>
      </c>
      <c r="N333" s="44" t="n">
        <v>6.5</v>
      </c>
      <c r="O333" s="42" t="n">
        <v>1988</v>
      </c>
      <c r="P333" s="42" t="n">
        <v>6</v>
      </c>
      <c r="Q333" s="44" t="n">
        <v>5.2</v>
      </c>
      <c r="R333" s="42" t="n">
        <v>2001</v>
      </c>
      <c r="S333" s="42" t="n">
        <v>4</v>
      </c>
      <c r="T333" s="44" t="n">
        <v>6.2</v>
      </c>
      <c r="U333" s="42" t="n">
        <v>2001</v>
      </c>
      <c r="V333" s="42" t="n">
        <v>25</v>
      </c>
      <c r="W333" s="44" t="n">
        <v>4.5</v>
      </c>
      <c r="X333" s="42" t="n">
        <v>1988</v>
      </c>
      <c r="Y333" s="42" t="n">
        <v>11</v>
      </c>
      <c r="Z333" s="44" t="n">
        <v>5</v>
      </c>
      <c r="AA333" s="42" t="n">
        <v>1988</v>
      </c>
      <c r="AB333" s="42" t="n">
        <v>13</v>
      </c>
      <c r="AC333" s="44" t="n">
        <v>4.9</v>
      </c>
      <c r="AD333" s="42" t="n">
        <v>1999</v>
      </c>
      <c r="AE333" s="42" t="n">
        <v>2</v>
      </c>
      <c r="AF333" s="44" t="n">
        <v>5</v>
      </c>
      <c r="AG333" s="42" t="n">
        <v>1998</v>
      </c>
      <c r="AH333" s="42" t="n">
        <v>1</v>
      </c>
      <c r="AI333" s="44" t="n">
        <v>5.2</v>
      </c>
      <c r="AJ333" s="42" t="n">
        <v>1999</v>
      </c>
      <c r="AK333" s="42" t="n">
        <v>17</v>
      </c>
      <c r="AL333" s="44" t="n">
        <v>1</v>
      </c>
      <c r="AM333" s="42" t="n">
        <v>2017</v>
      </c>
      <c r="AN333" s="42" t="n">
        <v>17</v>
      </c>
      <c r="AO333" s="44" t="n">
        <v>5</v>
      </c>
      <c r="AP333" s="42" t="n">
        <v>2000</v>
      </c>
      <c r="AQ333" s="42" t="n">
        <v>3</v>
      </c>
    </row>
    <row r="334" ht="14.45" customHeight="1">
      <c r="A334" s="42" t="n">
        <v>21255110</v>
      </c>
      <c r="B334" s="42" t="inlineStr">
        <is>
          <t>SANTA ISABEL [21255110]</t>
        </is>
      </c>
      <c r="C334" s="42" t="n">
        <v>4.70175</v>
      </c>
      <c r="D334" s="42" t="n">
        <v>-75.13183333000001</v>
      </c>
      <c r="E334" s="42" t="n">
        <v>2817</v>
      </c>
      <c r="F334" s="42" t="inlineStr">
        <is>
          <t>Santa Isabel</t>
        </is>
      </c>
      <c r="G334" s="42" t="inlineStr">
        <is>
          <t>Tolima</t>
        </is>
      </c>
      <c r="H334" s="44" t="n">
        <v>4.4</v>
      </c>
      <c r="I334" s="42" t="n">
        <v>1985</v>
      </c>
      <c r="J334" s="42" t="n">
        <v>22</v>
      </c>
      <c r="K334" s="44" t="n">
        <v>4</v>
      </c>
      <c r="L334" s="42" t="n">
        <v>1994</v>
      </c>
      <c r="M334" s="42" t="n">
        <v>10</v>
      </c>
      <c r="N334" s="44" t="n">
        <v>4.6</v>
      </c>
      <c r="O334" s="42" t="n">
        <v>1994</v>
      </c>
      <c r="P334" s="42" t="n">
        <v>6</v>
      </c>
      <c r="Q334" s="44" t="n">
        <v>5.8</v>
      </c>
      <c r="R334" s="42" t="n">
        <v>1986</v>
      </c>
      <c r="S334" s="42" t="n">
        <v>26</v>
      </c>
      <c r="T334" s="44" t="n">
        <v>5</v>
      </c>
      <c r="U334" s="42" t="n">
        <v>1986</v>
      </c>
      <c r="V334" s="42" t="n">
        <v>23</v>
      </c>
      <c r="W334" s="44" t="n">
        <v>4.8</v>
      </c>
      <c r="X334" s="42" t="n">
        <v>1988</v>
      </c>
      <c r="Y334" s="42" t="n">
        <v>28</v>
      </c>
      <c r="Z334" s="44" t="n">
        <v>4.5</v>
      </c>
      <c r="AA334" s="42" t="n">
        <v>2018</v>
      </c>
      <c r="AB334" s="42" t="n">
        <v>3</v>
      </c>
      <c r="AC334" s="44" t="n">
        <v>5</v>
      </c>
      <c r="AD334" s="42" t="n">
        <v>2018</v>
      </c>
      <c r="AE334" s="42" t="n">
        <v>16</v>
      </c>
      <c r="AF334" s="44" t="n">
        <v>5</v>
      </c>
      <c r="AG334" s="42" t="n">
        <v>2017</v>
      </c>
      <c r="AH334" s="42" t="n">
        <v>18</v>
      </c>
      <c r="AI334" s="44" t="n">
        <v>4.8</v>
      </c>
      <c r="AJ334" s="42" t="n">
        <v>2018</v>
      </c>
      <c r="AK334" s="42" t="n">
        <v>15</v>
      </c>
      <c r="AL334" s="44" t="n">
        <v>5</v>
      </c>
      <c r="AM334" s="42" t="n">
        <v>1978</v>
      </c>
      <c r="AN334" s="42" t="n">
        <v>15</v>
      </c>
      <c r="AO334" s="44" t="n">
        <v>4.6</v>
      </c>
      <c r="AP334" s="42" t="n">
        <v>2018</v>
      </c>
      <c r="AQ334" s="42" t="n">
        <v>27</v>
      </c>
    </row>
    <row r="335" ht="14.45" customHeight="1">
      <c r="A335" s="42" t="n">
        <v>52055210</v>
      </c>
      <c r="B335" s="42" t="inlineStr">
        <is>
          <t>BOTANA - AUT [52055210]</t>
        </is>
      </c>
      <c r="C335" s="42" t="n">
        <v>1.16</v>
      </c>
      <c r="D335" s="42" t="n">
        <v>-77.27880556</v>
      </c>
      <c r="E335" s="42" t="n">
        <v>2820</v>
      </c>
      <c r="F335" s="42" t="inlineStr">
        <is>
          <t>Pasto</t>
        </is>
      </c>
      <c r="G335" s="42" t="inlineStr">
        <is>
          <t>Nariño</t>
        </is>
      </c>
      <c r="H335" s="44" t="n">
        <v>0.6</v>
      </c>
      <c r="I335" s="42" t="n">
        <v>2017</v>
      </c>
      <c r="J335" s="42" t="n">
        <v>23</v>
      </c>
      <c r="K335" s="44" t="n">
        <v>2.4</v>
      </c>
      <c r="L335" s="42" t="n">
        <v>2007</v>
      </c>
      <c r="M335" s="42" t="n">
        <v>5</v>
      </c>
      <c r="N335" s="44" t="n">
        <v>3.8</v>
      </c>
      <c r="O335" s="42" t="n">
        <v>1985</v>
      </c>
      <c r="P335" s="42" t="n">
        <v>23</v>
      </c>
      <c r="Q335" s="44" t="n">
        <v>3</v>
      </c>
      <c r="R335" s="42" t="n">
        <v>2013</v>
      </c>
      <c r="S335" s="42" t="n">
        <v>25</v>
      </c>
      <c r="T335" s="44" t="n">
        <v>3.2</v>
      </c>
      <c r="U335" s="42" t="n">
        <v>1986</v>
      </c>
      <c r="V335" s="42" t="n">
        <v>31</v>
      </c>
      <c r="W335" s="44" t="n">
        <v>4.6</v>
      </c>
      <c r="X335" s="42" t="n">
        <v>2022</v>
      </c>
      <c r="Y335" s="42" t="n">
        <v>28</v>
      </c>
      <c r="Z335" s="44" t="n">
        <v>3.1</v>
      </c>
      <c r="AA335" s="42" t="n">
        <v>1996</v>
      </c>
      <c r="AB335" s="42" t="n">
        <v>13</v>
      </c>
      <c r="AC335" s="44" t="n">
        <v>2.4</v>
      </c>
      <c r="AD335" s="42" t="n">
        <v>2016</v>
      </c>
      <c r="AE335" s="42" t="n">
        <v>24</v>
      </c>
      <c r="AF335" s="44" t="n">
        <v>2.8</v>
      </c>
      <c r="AG335" s="42" t="n">
        <v>2021</v>
      </c>
      <c r="AH335" s="42" t="n">
        <v>14</v>
      </c>
      <c r="AI335" s="44" t="n">
        <v>3.2</v>
      </c>
      <c r="AJ335" s="42" t="n">
        <v>2018</v>
      </c>
      <c r="AK335" s="42" t="n">
        <v>13</v>
      </c>
      <c r="AL335" s="44" t="n">
        <v>1.8</v>
      </c>
      <c r="AM335" s="42" t="n">
        <v>1985</v>
      </c>
      <c r="AN335" s="42" t="n">
        <v>2</v>
      </c>
      <c r="AO335" s="44" t="n">
        <v>1.8</v>
      </c>
      <c r="AP335" s="42" t="n">
        <v>2025</v>
      </c>
      <c r="AQ335" s="42" t="n">
        <v>9</v>
      </c>
    </row>
    <row r="336" ht="14.45" customHeight="1">
      <c r="A336" s="42" t="n">
        <v>47015100</v>
      </c>
      <c r="B336" s="42" t="inlineStr">
        <is>
          <t>EL ENCANO - AUT [47015100]</t>
        </is>
      </c>
      <c r="C336" s="42" t="n">
        <v>1.159944444</v>
      </c>
      <c r="D336" s="42" t="n">
        <v>-77.16147221999999</v>
      </c>
      <c r="E336" s="42" t="n">
        <v>2830</v>
      </c>
      <c r="F336" s="42" t="inlineStr">
        <is>
          <t>Pasto</t>
        </is>
      </c>
      <c r="G336" s="42" t="inlineStr">
        <is>
          <t>Nariño</t>
        </is>
      </c>
      <c r="H336" s="44" t="n">
        <v>0.2</v>
      </c>
      <c r="I336" s="42" t="n">
        <v>2017</v>
      </c>
      <c r="J336" s="42" t="n">
        <v>23</v>
      </c>
      <c r="K336" s="44" t="n">
        <v>1.3</v>
      </c>
      <c r="L336" s="42" t="n">
        <v>2007</v>
      </c>
      <c r="M336" s="42" t="n">
        <v>5</v>
      </c>
      <c r="N336" s="44" t="n">
        <v>1.5</v>
      </c>
      <c r="O336" s="42" t="n">
        <v>1992</v>
      </c>
      <c r="P336" s="42" t="n">
        <v>25</v>
      </c>
      <c r="Q336" s="44" t="n">
        <v>1.4</v>
      </c>
      <c r="R336" s="42" t="n">
        <v>2013</v>
      </c>
      <c r="S336" s="42" t="n">
        <v>26</v>
      </c>
      <c r="T336" s="44" t="n">
        <v>1.8</v>
      </c>
      <c r="U336" s="42" t="n">
        <v>1986</v>
      </c>
      <c r="V336" s="42" t="n">
        <v>31</v>
      </c>
      <c r="W336" s="44" t="n">
        <v>3</v>
      </c>
      <c r="X336" s="42" t="n">
        <v>1985</v>
      </c>
      <c r="Y336" s="42" t="n">
        <v>24</v>
      </c>
      <c r="Z336" s="44" t="n">
        <v>0.8</v>
      </c>
      <c r="AA336" s="42" t="n">
        <v>2003</v>
      </c>
      <c r="AB336" s="42" t="n">
        <v>14</v>
      </c>
      <c r="AC336" s="44" t="n">
        <v>1.2</v>
      </c>
      <c r="AD336" s="42" t="n">
        <v>2022</v>
      </c>
      <c r="AE336" s="42" t="n">
        <v>13</v>
      </c>
      <c r="AF336" s="44" t="n">
        <v>1.2</v>
      </c>
      <c r="AG336" s="42" t="n">
        <v>1991</v>
      </c>
      <c r="AH336" s="42" t="n">
        <v>3</v>
      </c>
      <c r="AI336" s="44" t="n">
        <v>1.9</v>
      </c>
      <c r="AJ336" s="42" t="n">
        <v>1991</v>
      </c>
      <c r="AK336" s="42" t="n">
        <v>15</v>
      </c>
      <c r="AL336" s="44" t="n">
        <v>1.5</v>
      </c>
      <c r="AM336" s="42" t="n">
        <v>1992</v>
      </c>
      <c r="AN336" s="42" t="n">
        <v>22</v>
      </c>
      <c r="AO336" s="44" t="n">
        <v>0.2</v>
      </c>
      <c r="AP336" s="42" t="n">
        <v>2025</v>
      </c>
      <c r="AQ336" s="42" t="n">
        <v>9</v>
      </c>
    </row>
    <row r="337" ht="14.45" customHeight="1">
      <c r="A337" s="42" t="n">
        <v>24035400</v>
      </c>
      <c r="B337" s="42" t="inlineStr">
        <is>
          <t>VOLCAN EL [24035400]</t>
        </is>
      </c>
      <c r="C337" s="42" t="n">
        <v>6.845277778</v>
      </c>
      <c r="D337" s="42" t="n">
        <v>-72.67777778</v>
      </c>
      <c r="E337" s="42" t="n">
        <v>2841</v>
      </c>
      <c r="F337" s="42" t="inlineStr">
        <is>
          <t>Cerrito</t>
        </is>
      </c>
      <c r="G337" s="42" t="inlineStr">
        <is>
          <t>Santander</t>
        </is>
      </c>
      <c r="H337" s="44" t="n">
        <v>3.6</v>
      </c>
      <c r="I337" s="42" t="n">
        <v>2021</v>
      </c>
      <c r="J337" s="42" t="n">
        <v>6</v>
      </c>
      <c r="K337" s="44" t="n">
        <v>3.6</v>
      </c>
      <c r="L337" s="42" t="n">
        <v>2012</v>
      </c>
      <c r="M337" s="42" t="n">
        <v>16</v>
      </c>
      <c r="N337" s="44" t="n">
        <v>4</v>
      </c>
      <c r="O337" s="42" t="n">
        <v>2011</v>
      </c>
      <c r="P337" s="42" t="n">
        <v>14</v>
      </c>
      <c r="Q337" s="44" t="n">
        <v>5</v>
      </c>
      <c r="R337" s="42" t="n">
        <v>2018</v>
      </c>
      <c r="S337" s="42" t="n">
        <v>2</v>
      </c>
      <c r="T337" s="44" t="n">
        <v>5</v>
      </c>
      <c r="U337" s="42" t="n">
        <v>2016</v>
      </c>
      <c r="V337" s="42" t="n">
        <v>30</v>
      </c>
      <c r="W337" s="44" t="n">
        <v>5</v>
      </c>
      <c r="X337" s="42" t="n">
        <v>2013</v>
      </c>
      <c r="Y337" s="42" t="n">
        <v>27</v>
      </c>
      <c r="Z337" s="44" t="n">
        <v>6.2</v>
      </c>
      <c r="AA337" s="42" t="n">
        <v>2007</v>
      </c>
      <c r="AB337" s="42" t="n">
        <v>26</v>
      </c>
      <c r="AC337" s="44" t="n">
        <v>6</v>
      </c>
      <c r="AD337" s="42" t="n">
        <v>2020</v>
      </c>
      <c r="AE337" s="42" t="n">
        <v>30</v>
      </c>
      <c r="AF337" s="44" t="n">
        <v>5.4</v>
      </c>
      <c r="AG337" s="42" t="n">
        <v>2014</v>
      </c>
      <c r="AH337" s="42" t="n">
        <v>20</v>
      </c>
      <c r="AI337" s="44" t="n">
        <v>5</v>
      </c>
      <c r="AJ337" s="42" t="n">
        <v>2022</v>
      </c>
      <c r="AK337" s="42" t="n">
        <v>31</v>
      </c>
      <c r="AL337" s="44" t="n">
        <v>5</v>
      </c>
      <c r="AM337" s="42" t="n">
        <v>2016</v>
      </c>
      <c r="AN337" s="42" t="n">
        <v>21</v>
      </c>
      <c r="AO337" s="44" t="n">
        <v>3.4</v>
      </c>
      <c r="AP337" s="42" t="n">
        <v>2010</v>
      </c>
      <c r="AQ337" s="42" t="n">
        <v>31</v>
      </c>
    </row>
    <row r="338" ht="14.45" customHeight="1">
      <c r="A338" s="42" t="n">
        <v>26185040</v>
      </c>
      <c r="B338" s="42" t="inlineStr">
        <is>
          <t>SAN FELIX [26185040]</t>
        </is>
      </c>
      <c r="C338" s="42" t="n">
        <v>5.372944444</v>
      </c>
      <c r="D338" s="42" t="n">
        <v>-75.37533333</v>
      </c>
      <c r="E338" s="42" t="n">
        <v>2855</v>
      </c>
      <c r="F338" s="42" t="inlineStr">
        <is>
          <t>Salamina</t>
        </is>
      </c>
      <c r="G338" s="42" t="inlineStr">
        <is>
          <t>Caldas</t>
        </is>
      </c>
      <c r="H338" s="44" t="n">
        <v>-1.8</v>
      </c>
      <c r="I338" s="42" t="n">
        <v>2012</v>
      </c>
      <c r="J338" s="42" t="n">
        <v>28</v>
      </c>
      <c r="K338" s="44" t="n">
        <v>-7.8</v>
      </c>
      <c r="L338" s="42" t="n">
        <v>1985</v>
      </c>
      <c r="M338" s="42" t="n">
        <v>5</v>
      </c>
      <c r="N338" s="44" t="n">
        <v>-1</v>
      </c>
      <c r="O338" s="42" t="n">
        <v>2012</v>
      </c>
      <c r="P338" s="42" t="n">
        <v>7</v>
      </c>
      <c r="Q338" s="44" t="n">
        <v>1.1</v>
      </c>
      <c r="R338" s="42" t="n">
        <v>1986</v>
      </c>
      <c r="S338" s="42" t="n">
        <v>27</v>
      </c>
      <c r="T338" s="44" t="n">
        <v>1</v>
      </c>
      <c r="U338" s="42" t="n">
        <v>2006</v>
      </c>
      <c r="V338" s="42" t="n">
        <v>7</v>
      </c>
      <c r="W338" s="44" t="n">
        <v>1</v>
      </c>
      <c r="X338" s="42" t="n">
        <v>1997</v>
      </c>
      <c r="Y338" s="42" t="n">
        <v>21</v>
      </c>
      <c r="Z338" s="44" t="n">
        <v>-5.8</v>
      </c>
      <c r="AA338" s="42" t="n">
        <v>1986</v>
      </c>
      <c r="AB338" s="42" t="n">
        <v>19</v>
      </c>
      <c r="AC338" s="44" t="n">
        <v>1</v>
      </c>
      <c r="AD338" s="42" t="n">
        <v>1983</v>
      </c>
      <c r="AE338" s="42" t="n">
        <v>27</v>
      </c>
      <c r="AF338" s="44" t="n">
        <v>1</v>
      </c>
      <c r="AG338" s="42" t="n">
        <v>1984</v>
      </c>
      <c r="AH338" s="42" t="n">
        <v>2</v>
      </c>
      <c r="AI338" s="44" t="n">
        <v>1</v>
      </c>
      <c r="AJ338" s="42" t="n">
        <v>2005</v>
      </c>
      <c r="AK338" s="42" t="n">
        <v>4</v>
      </c>
      <c r="AL338" s="44" t="n">
        <v>0</v>
      </c>
      <c r="AM338" s="42" t="n">
        <v>2012</v>
      </c>
      <c r="AN338" s="42" t="n">
        <v>7</v>
      </c>
      <c r="AO338" s="44" t="n">
        <v>-2.2</v>
      </c>
      <c r="AP338" s="42" t="n">
        <v>2011</v>
      </c>
      <c r="AQ338" s="42" t="n">
        <v>2</v>
      </c>
    </row>
    <row r="339" ht="14.45" customHeight="1">
      <c r="A339" s="42" t="n">
        <v>21205720</v>
      </c>
      <c r="B339" s="42" t="inlineStr">
        <is>
          <t>GRANJA SAN JORGE [21205720]</t>
        </is>
      </c>
      <c r="C339" s="42" t="n">
        <v>4.50575</v>
      </c>
      <c r="D339" s="42" t="n">
        <v>-74.18927778</v>
      </c>
      <c r="E339" s="42" t="n">
        <v>2900</v>
      </c>
      <c r="F339" s="42" t="inlineStr">
        <is>
          <t>Soacha</t>
        </is>
      </c>
      <c r="G339" s="42" t="inlineStr">
        <is>
          <t>Cundinamarca</t>
        </is>
      </c>
      <c r="H339" s="44" t="n">
        <v>1</v>
      </c>
      <c r="I339" s="42" t="n">
        <v>1987</v>
      </c>
      <c r="J339" s="42" t="n">
        <v>4</v>
      </c>
      <c r="K339" s="44" t="n">
        <v>0</v>
      </c>
      <c r="L339" s="42" t="n">
        <v>2020</v>
      </c>
      <c r="M339" s="42" t="n">
        <v>6</v>
      </c>
      <c r="N339" s="44" t="n">
        <v>1.4</v>
      </c>
      <c r="O339" s="42" t="n">
        <v>1989</v>
      </c>
      <c r="P339" s="42" t="n">
        <v>30</v>
      </c>
      <c r="Q339" s="44" t="n">
        <v>2</v>
      </c>
      <c r="R339" s="42" t="n">
        <v>1989</v>
      </c>
      <c r="S339" s="42" t="n">
        <v>2</v>
      </c>
      <c r="T339" s="44" t="n">
        <v>1.4</v>
      </c>
      <c r="U339" s="42" t="n">
        <v>1989</v>
      </c>
      <c r="V339" s="42" t="n">
        <v>31</v>
      </c>
      <c r="W339" s="44" t="n">
        <v>0.5</v>
      </c>
      <c r="X339" s="42" t="n">
        <v>1981</v>
      </c>
      <c r="Y339" s="42" t="n">
        <v>14</v>
      </c>
      <c r="Z339" s="44" t="n">
        <v>1.2</v>
      </c>
      <c r="AA339" s="42" t="n">
        <v>1995</v>
      </c>
      <c r="AB339" s="42" t="n">
        <v>8</v>
      </c>
      <c r="AC339" s="44" t="n">
        <v>2.4</v>
      </c>
      <c r="AD339" s="42" t="n">
        <v>2011</v>
      </c>
      <c r="AE339" s="42" t="n">
        <v>18</v>
      </c>
      <c r="AF339" s="44" t="n">
        <v>2</v>
      </c>
      <c r="AG339" s="42" t="n">
        <v>2015</v>
      </c>
      <c r="AH339" s="42" t="n">
        <v>13</v>
      </c>
      <c r="AI339" s="44" t="n">
        <v>1.2</v>
      </c>
      <c r="AJ339" s="42" t="n">
        <v>1981</v>
      </c>
      <c r="AK339" s="42" t="n">
        <v>12</v>
      </c>
      <c r="AL339" s="44" t="n">
        <v>3.6</v>
      </c>
      <c r="AM339" s="42" t="n">
        <v>2005</v>
      </c>
      <c r="AN339" s="42" t="n">
        <v>29</v>
      </c>
      <c r="AO339" s="44" t="n">
        <v>2.2</v>
      </c>
      <c r="AP339" s="42" t="n">
        <v>1985</v>
      </c>
      <c r="AQ339" s="42" t="n">
        <v>20</v>
      </c>
    </row>
    <row r="340" ht="14.45" customHeight="1">
      <c r="A340" s="42" t="n">
        <v>26015020</v>
      </c>
      <c r="B340" s="42" t="inlineStr">
        <is>
          <t>PALETARA [26015020]</t>
        </is>
      </c>
      <c r="C340" s="42" t="n">
        <v>2.191722</v>
      </c>
      <c r="D340" s="42" t="n">
        <v>-76.482028</v>
      </c>
      <c r="E340" s="42" t="n">
        <v>2900</v>
      </c>
      <c r="F340" s="42" t="inlineStr">
        <is>
          <t>Puracé (Coconuco)</t>
        </is>
      </c>
      <c r="G340" s="42" t="inlineStr">
        <is>
          <t>Cauca</t>
        </is>
      </c>
      <c r="H340" s="44" t="n">
        <v>-3</v>
      </c>
      <c r="I340" s="42" t="n">
        <v>1998</v>
      </c>
      <c r="J340" s="42" t="n">
        <v>24</v>
      </c>
      <c r="K340" s="44" t="n">
        <v>-1.6</v>
      </c>
      <c r="L340" s="42" t="n">
        <v>2000</v>
      </c>
      <c r="M340" s="42" t="n">
        <v>9</v>
      </c>
      <c r="N340" s="44" t="n">
        <v>0</v>
      </c>
      <c r="O340" s="42" t="n">
        <v>1989</v>
      </c>
      <c r="P340" s="42" t="n">
        <v>29</v>
      </c>
      <c r="Q340" s="44" t="n">
        <v>1</v>
      </c>
      <c r="R340" s="42" t="n">
        <v>1987</v>
      </c>
      <c r="S340" s="42" t="n">
        <v>10</v>
      </c>
      <c r="T340" s="44" t="n">
        <v>0.5</v>
      </c>
      <c r="U340" s="42" t="n">
        <v>1993</v>
      </c>
      <c r="V340" s="42" t="n">
        <v>11</v>
      </c>
      <c r="W340" s="44" t="n">
        <v>1.6</v>
      </c>
      <c r="X340" s="42" t="n">
        <v>1999</v>
      </c>
      <c r="Y340" s="42" t="n">
        <v>12</v>
      </c>
      <c r="Z340" s="44" t="n">
        <v>1.2</v>
      </c>
      <c r="AA340" s="42" t="n">
        <v>1987</v>
      </c>
      <c r="AB340" s="42" t="n">
        <v>27</v>
      </c>
      <c r="AC340" s="44" t="n">
        <v>-1.6</v>
      </c>
      <c r="AD340" s="42" t="n">
        <v>1998</v>
      </c>
      <c r="AE340" s="42" t="n">
        <v>8</v>
      </c>
      <c r="AF340" s="44" t="n">
        <v>0</v>
      </c>
      <c r="AG340" s="42" t="n">
        <v>1998</v>
      </c>
      <c r="AH340" s="42" t="n">
        <v>2</v>
      </c>
      <c r="AI340" s="44" t="n">
        <v>-4.8</v>
      </c>
      <c r="AJ340" s="42" t="n">
        <v>1991</v>
      </c>
      <c r="AK340" s="42" t="n">
        <v>15</v>
      </c>
      <c r="AL340" s="44" t="n">
        <v>-2.8</v>
      </c>
      <c r="AM340" s="42" t="n">
        <v>1997</v>
      </c>
      <c r="AN340" s="42" t="n">
        <v>28</v>
      </c>
      <c r="AO340" s="44" t="n">
        <v>-2.6</v>
      </c>
      <c r="AP340" s="42" t="n">
        <v>1999</v>
      </c>
      <c r="AQ340" s="42" t="n">
        <v>31</v>
      </c>
    </row>
    <row r="341" ht="14.45" customHeight="1">
      <c r="A341" s="42" t="n">
        <v>44015030</v>
      </c>
      <c r="B341" s="42" t="inlineStr">
        <is>
          <t>VALENCIA [44015030]</t>
        </is>
      </c>
      <c r="C341" s="42" t="n">
        <v>1.900416667</v>
      </c>
      <c r="D341" s="42" t="n">
        <v>-76.66875</v>
      </c>
      <c r="E341" s="42" t="n">
        <v>2900</v>
      </c>
      <c r="F341" s="42" t="inlineStr">
        <is>
          <t>San Sebastián</t>
        </is>
      </c>
      <c r="G341" s="42" t="inlineStr">
        <is>
          <t>Cauca</t>
        </is>
      </c>
      <c r="H341" s="44" t="n">
        <v>-2.6</v>
      </c>
      <c r="I341" s="42" t="n">
        <v>2017</v>
      </c>
      <c r="J341" s="42" t="n">
        <v>23</v>
      </c>
      <c r="K341" s="44" t="n">
        <v>-1.8</v>
      </c>
      <c r="L341" s="42" t="n">
        <v>2007</v>
      </c>
      <c r="M341" s="42" t="n">
        <v>4</v>
      </c>
      <c r="N341" s="44" t="n">
        <v>-4</v>
      </c>
      <c r="O341" s="42" t="n">
        <v>2009</v>
      </c>
      <c r="P341" s="42" t="n">
        <v>9</v>
      </c>
      <c r="Q341" s="44" t="n">
        <v>-0.6</v>
      </c>
      <c r="R341" s="42" t="n">
        <v>1991</v>
      </c>
      <c r="S341" s="42" t="n">
        <v>18</v>
      </c>
      <c r="T341" s="44" t="n">
        <v>-1</v>
      </c>
      <c r="U341" s="42" t="n">
        <v>2009</v>
      </c>
      <c r="V341" s="42" t="n">
        <v>26</v>
      </c>
      <c r="W341" s="44" t="n">
        <v>-1.2</v>
      </c>
      <c r="X341" s="42" t="n">
        <v>2013</v>
      </c>
      <c r="Y341" s="42" t="n">
        <v>29</v>
      </c>
      <c r="Z341" s="44" t="n">
        <v>-1.8</v>
      </c>
      <c r="AA341" s="42" t="n">
        <v>1996</v>
      </c>
      <c r="AB341" s="42" t="n">
        <v>24</v>
      </c>
      <c r="AC341" s="44" t="n">
        <v>-2.4</v>
      </c>
      <c r="AD341" s="42" t="n">
        <v>2012</v>
      </c>
      <c r="AE341" s="42" t="n">
        <v>7</v>
      </c>
      <c r="AF341" s="44" t="n">
        <v>-1.6</v>
      </c>
      <c r="AG341" s="42" t="n">
        <v>2013</v>
      </c>
      <c r="AH341" s="42" t="n">
        <v>12</v>
      </c>
      <c r="AI341" s="44" t="n">
        <v>-2.6</v>
      </c>
      <c r="AJ341" s="42" t="n">
        <v>1991</v>
      </c>
      <c r="AK341" s="42" t="n">
        <v>15</v>
      </c>
      <c r="AL341" s="44" t="n">
        <v>-2.4</v>
      </c>
      <c r="AM341" s="42" t="n">
        <v>2016</v>
      </c>
      <c r="AN341" s="42" t="n">
        <v>22</v>
      </c>
      <c r="AO341" s="44" t="n">
        <v>-1.6</v>
      </c>
      <c r="AP341" s="42" t="n">
        <v>1989</v>
      </c>
      <c r="AQ341" s="42" t="n">
        <v>16</v>
      </c>
    </row>
    <row r="342" ht="14.45" customHeight="1">
      <c r="A342" s="42" t="n">
        <v>26105140</v>
      </c>
      <c r="B342" s="42" t="inlineStr">
        <is>
          <t>BARRAGAN [26105140]</t>
        </is>
      </c>
      <c r="C342" s="42" t="n">
        <v>4.033055556</v>
      </c>
      <c r="D342" s="42" t="n">
        <v>-75.88802777799999</v>
      </c>
      <c r="E342" s="42" t="n">
        <v>2902</v>
      </c>
      <c r="F342" s="42" t="inlineStr">
        <is>
          <t>Tuluá</t>
        </is>
      </c>
      <c r="G342" s="42" t="inlineStr">
        <is>
          <t>Valle Del Cauca</t>
        </is>
      </c>
      <c r="H342" s="44" t="n">
        <v>2</v>
      </c>
      <c r="I342" s="42" t="n">
        <v>1984</v>
      </c>
      <c r="J342" s="42" t="n">
        <v>1</v>
      </c>
      <c r="K342" s="44" t="n">
        <v>2</v>
      </c>
      <c r="L342" s="42" t="n">
        <v>1992</v>
      </c>
      <c r="M342" s="42" t="n">
        <v>15</v>
      </c>
      <c r="N342" s="44" t="n">
        <v>2.1</v>
      </c>
      <c r="O342" s="42" t="n">
        <v>1983</v>
      </c>
      <c r="P342" s="42" t="n">
        <v>19</v>
      </c>
      <c r="Q342" s="44" t="n">
        <v>2</v>
      </c>
      <c r="R342" s="42" t="n">
        <v>1983</v>
      </c>
      <c r="S342" s="42" t="n">
        <v>19</v>
      </c>
      <c r="T342" s="44" t="n">
        <v>3.1</v>
      </c>
      <c r="U342" s="42" t="n">
        <v>1983</v>
      </c>
      <c r="V342" s="42" t="n">
        <v>3</v>
      </c>
      <c r="W342" s="44" t="n">
        <v>3</v>
      </c>
      <c r="X342" s="42" t="n">
        <v>1986</v>
      </c>
      <c r="Y342" s="42" t="n">
        <v>22</v>
      </c>
      <c r="Z342" s="44" t="n">
        <v>2</v>
      </c>
      <c r="AA342" s="42" t="n">
        <v>2014</v>
      </c>
      <c r="AB342" s="42" t="n">
        <v>20</v>
      </c>
      <c r="AC342" s="44" t="n">
        <v>1.6</v>
      </c>
      <c r="AD342" s="42" t="n">
        <v>2016</v>
      </c>
      <c r="AE342" s="42" t="n">
        <v>27</v>
      </c>
      <c r="AF342" s="44" t="n">
        <v>3</v>
      </c>
      <c r="AG342" s="42" t="n">
        <v>1986</v>
      </c>
      <c r="AH342" s="42" t="n">
        <v>17</v>
      </c>
      <c r="AI342" s="44" t="n">
        <v>2.4</v>
      </c>
      <c r="AJ342" s="42" t="n">
        <v>1992</v>
      </c>
      <c r="AK342" s="42" t="n">
        <v>4</v>
      </c>
      <c r="AL342" s="44" t="n">
        <v>3</v>
      </c>
      <c r="AM342" s="42" t="n">
        <v>1984</v>
      </c>
      <c r="AN342" s="42" t="n">
        <v>9</v>
      </c>
      <c r="AO342" s="44" t="n">
        <v>4</v>
      </c>
      <c r="AP342" s="42" t="n">
        <v>1980</v>
      </c>
      <c r="AQ342" s="42" t="n">
        <v>31</v>
      </c>
    </row>
    <row r="343" ht="14.45" customHeight="1">
      <c r="A343" s="42" t="n">
        <v>24035010</v>
      </c>
      <c r="B343" s="42" t="inlineStr">
        <is>
          <t>CUSAGUI [24035010]</t>
        </is>
      </c>
      <c r="C343" s="42" t="n">
        <v>6.248111111</v>
      </c>
      <c r="D343" s="42" t="n">
        <v>-72.54888889</v>
      </c>
      <c r="E343" s="42" t="n">
        <v>2950</v>
      </c>
      <c r="F343" s="42" t="inlineStr">
        <is>
          <t>La Uvita</t>
        </is>
      </c>
      <c r="G343" s="42" t="inlineStr">
        <is>
          <t>Boyacá</t>
        </is>
      </c>
      <c r="H343" s="44" t="n">
        <v>4</v>
      </c>
      <c r="I343" s="42" t="n">
        <v>1995</v>
      </c>
      <c r="J343" s="42" t="n">
        <v>29</v>
      </c>
      <c r="K343" s="44" t="n">
        <v>4.2</v>
      </c>
      <c r="L343" s="42" t="n">
        <v>1992</v>
      </c>
      <c r="M343" s="42" t="n">
        <v>18</v>
      </c>
      <c r="N343" s="44" t="n">
        <v>4</v>
      </c>
      <c r="O343" s="42" t="n">
        <v>1991</v>
      </c>
      <c r="P343" s="42" t="n">
        <v>19</v>
      </c>
      <c r="Q343" s="44" t="n">
        <v>5</v>
      </c>
      <c r="R343" s="42" t="n">
        <v>1991</v>
      </c>
      <c r="S343" s="42" t="n">
        <v>2</v>
      </c>
      <c r="T343" s="44" t="n">
        <v>4</v>
      </c>
      <c r="U343" s="42" t="n">
        <v>1994</v>
      </c>
      <c r="V343" s="42" t="n">
        <v>26</v>
      </c>
      <c r="W343" s="44" t="n">
        <v>4</v>
      </c>
      <c r="X343" s="42" t="n">
        <v>1995</v>
      </c>
      <c r="Y343" s="42" t="n">
        <v>14</v>
      </c>
      <c r="Z343" s="44" t="n">
        <v>4.8</v>
      </c>
      <c r="AA343" s="42" t="n">
        <v>2006</v>
      </c>
      <c r="AB343" s="42" t="n">
        <v>29</v>
      </c>
      <c r="AC343" s="44" t="n">
        <v>4.8</v>
      </c>
      <c r="AD343" s="42" t="n">
        <v>2006</v>
      </c>
      <c r="AE343" s="42" t="n">
        <v>3</v>
      </c>
      <c r="AF343" s="44" t="n">
        <v>4.4</v>
      </c>
      <c r="AG343" s="42" t="n">
        <v>2003</v>
      </c>
      <c r="AH343" s="42" t="n">
        <v>12</v>
      </c>
      <c r="AI343" s="44" t="n">
        <v>4</v>
      </c>
      <c r="AJ343" s="42" t="n">
        <v>2015</v>
      </c>
      <c r="AK343" s="42" t="n">
        <v>29</v>
      </c>
      <c r="AL343" s="44" t="n">
        <v>4</v>
      </c>
      <c r="AM343" s="42" t="n">
        <v>1994</v>
      </c>
      <c r="AN343" s="42" t="n">
        <v>16</v>
      </c>
      <c r="AO343" s="44" t="n">
        <v>4</v>
      </c>
      <c r="AP343" s="42" t="n">
        <v>1986</v>
      </c>
      <c r="AQ343" s="42" t="n">
        <v>28</v>
      </c>
    </row>
    <row r="344" ht="14.45" customHeight="1">
      <c r="A344" s="42" t="n">
        <v>24015380</v>
      </c>
      <c r="B344" s="42" t="inlineStr">
        <is>
          <t>CARMEN DE CARUPA [24015380]</t>
        </is>
      </c>
      <c r="C344" s="42" t="n">
        <v>5.34819</v>
      </c>
      <c r="D344" s="42" t="n">
        <v>-73.89816999999999</v>
      </c>
      <c r="E344" s="42" t="n">
        <v>2960</v>
      </c>
      <c r="F344" s="42" t="inlineStr">
        <is>
          <t>Carmen De Carupa</t>
        </is>
      </c>
      <c r="G344" s="42" t="inlineStr">
        <is>
          <t>Cundinamarca</t>
        </is>
      </c>
      <c r="H344" s="44" t="n">
        <v>-1.6</v>
      </c>
      <c r="I344" s="42" t="n">
        <v>2016</v>
      </c>
      <c r="J344" s="42" t="n">
        <v>19</v>
      </c>
      <c r="K344" s="44" t="n">
        <v>0.2</v>
      </c>
      <c r="L344" s="42" t="n">
        <v>2020</v>
      </c>
      <c r="M344" s="42" t="n">
        <v>5</v>
      </c>
      <c r="N344" s="44" t="n">
        <v>-0.3</v>
      </c>
      <c r="O344" s="42" t="n">
        <v>2016</v>
      </c>
      <c r="P344" s="42" t="n">
        <v>27</v>
      </c>
      <c r="Q344" s="44" t="n">
        <v>1.4</v>
      </c>
      <c r="R344" s="42" t="n">
        <v>2014</v>
      </c>
      <c r="S344" s="42" t="n">
        <v>1</v>
      </c>
      <c r="T344" s="44" t="n">
        <v>2.4</v>
      </c>
      <c r="U344" s="42" t="n">
        <v>2016</v>
      </c>
      <c r="V344" s="42" t="n">
        <v>9</v>
      </c>
      <c r="W344" s="44" t="n">
        <v>3</v>
      </c>
      <c r="X344" s="42" t="n">
        <v>2014</v>
      </c>
      <c r="Y344" s="42" t="n">
        <v>27</v>
      </c>
      <c r="Z344" s="44" t="n">
        <v>2.4</v>
      </c>
      <c r="AA344" s="42" t="n">
        <v>2017</v>
      </c>
      <c r="AB344" s="42" t="n">
        <v>5</v>
      </c>
      <c r="AC344" s="44" t="n">
        <v>1.8</v>
      </c>
      <c r="AD344" s="42" t="n">
        <v>2019</v>
      </c>
      <c r="AE344" s="42" t="n">
        <v>30</v>
      </c>
      <c r="AF344" s="44" t="n">
        <v>2.2</v>
      </c>
      <c r="AG344" s="42" t="n">
        <v>2021</v>
      </c>
      <c r="AH344" s="42" t="n">
        <v>27</v>
      </c>
      <c r="AI344" s="44" t="n">
        <v>2.4</v>
      </c>
      <c r="AJ344" s="42" t="n">
        <v>2022</v>
      </c>
      <c r="AK344" s="42" t="n">
        <v>31</v>
      </c>
      <c r="AL344" s="44" t="n">
        <v>0.4</v>
      </c>
      <c r="AM344" s="42" t="n">
        <v>2021</v>
      </c>
      <c r="AN344" s="42" t="n">
        <v>19</v>
      </c>
      <c r="AO344" s="44" t="n">
        <v>-0.6</v>
      </c>
      <c r="AP344" s="42" t="n">
        <v>2015</v>
      </c>
      <c r="AQ344" s="42" t="n">
        <v>24</v>
      </c>
    </row>
    <row r="345" ht="14.45" customHeight="1">
      <c r="A345" s="42" t="n">
        <v>52055230</v>
      </c>
      <c r="B345" s="42" t="inlineStr">
        <is>
          <t>AEROPUERTO SAN LUIS - AUT [52055230]</t>
        </is>
      </c>
      <c r="C345" s="42" t="n">
        <v>0.8570833329999999</v>
      </c>
      <c r="D345" s="42" t="n">
        <v>-77.67775</v>
      </c>
      <c r="E345" s="42" t="n">
        <v>2961</v>
      </c>
      <c r="F345" s="42" t="inlineStr">
        <is>
          <t>Aldana</t>
        </is>
      </c>
      <c r="G345" s="42" t="inlineStr">
        <is>
          <t>Nariño</t>
        </is>
      </c>
      <c r="H345" s="44" t="n">
        <v>-0.4</v>
      </c>
      <c r="I345" s="42" t="n">
        <v>2017</v>
      </c>
      <c r="J345" s="42" t="n">
        <v>23</v>
      </c>
      <c r="K345" s="44" t="n">
        <v>-0.8</v>
      </c>
      <c r="L345" s="42" t="n">
        <v>2007</v>
      </c>
      <c r="M345" s="42" t="n">
        <v>5</v>
      </c>
      <c r="N345" s="44" t="n">
        <v>-0.5</v>
      </c>
      <c r="O345" s="42" t="n">
        <v>1989</v>
      </c>
      <c r="P345" s="42" t="n">
        <v>26</v>
      </c>
      <c r="Q345" s="44" t="n">
        <v>-0.8</v>
      </c>
      <c r="R345" s="42" t="n">
        <v>2013</v>
      </c>
      <c r="S345" s="42" t="n">
        <v>25</v>
      </c>
      <c r="T345" s="44" t="n">
        <v>1.2</v>
      </c>
      <c r="U345" s="42" t="n">
        <v>2006</v>
      </c>
      <c r="V345" s="42" t="n">
        <v>18</v>
      </c>
      <c r="W345" s="44" t="n">
        <v>-0.8</v>
      </c>
      <c r="X345" s="42" t="n">
        <v>1997</v>
      </c>
      <c r="Y345" s="42" t="n">
        <v>22</v>
      </c>
      <c r="Z345" s="44" t="n">
        <v>-1</v>
      </c>
      <c r="AA345" s="42" t="n">
        <v>1996</v>
      </c>
      <c r="AB345" s="42" t="n">
        <v>13</v>
      </c>
      <c r="AC345" s="44" t="n">
        <v>-1</v>
      </c>
      <c r="AD345" s="42" t="n">
        <v>1997</v>
      </c>
      <c r="AE345" s="42" t="n">
        <v>30</v>
      </c>
      <c r="AF345" s="44" t="n">
        <v>-1.4</v>
      </c>
      <c r="AG345" s="42" t="n">
        <v>2012</v>
      </c>
      <c r="AH345" s="42" t="n">
        <v>16</v>
      </c>
      <c r="AI345" s="44" t="n">
        <v>-0.8</v>
      </c>
      <c r="AJ345" s="42" t="n">
        <v>2006</v>
      </c>
      <c r="AK345" s="42" t="n">
        <v>18</v>
      </c>
      <c r="AL345" s="44" t="n">
        <v>-2.4</v>
      </c>
      <c r="AM345" s="42" t="n">
        <v>1985</v>
      </c>
      <c r="AN345" s="42" t="n">
        <v>3</v>
      </c>
      <c r="AO345" s="44" t="n">
        <v>-0.4</v>
      </c>
      <c r="AP345" s="42" t="n">
        <v>2007</v>
      </c>
      <c r="AQ345" s="42" t="n">
        <v>5</v>
      </c>
    </row>
    <row r="346" ht="14.45" customHeight="1">
      <c r="A346" s="42" t="n">
        <v>24035070</v>
      </c>
      <c r="B346" s="42" t="inlineStr">
        <is>
          <t>GUICAN [24035070]</t>
        </is>
      </c>
      <c r="C346" s="42" t="n">
        <v>6.463472222</v>
      </c>
      <c r="D346" s="42" t="n">
        <v>-72.40919443999999</v>
      </c>
      <c r="E346" s="42" t="n">
        <v>2963</v>
      </c>
      <c r="F346" s="42" t="inlineStr">
        <is>
          <t>Guicán</t>
        </is>
      </c>
      <c r="G346" s="42" t="inlineStr">
        <is>
          <t>Boyacá</t>
        </is>
      </c>
      <c r="H346" s="44" t="n">
        <v>2.4</v>
      </c>
      <c r="I346" s="42" t="n">
        <v>2008</v>
      </c>
      <c r="J346" s="42" t="n">
        <v>3</v>
      </c>
      <c r="K346" s="44" t="n">
        <v>2.4</v>
      </c>
      <c r="L346" s="42" t="n">
        <v>2007</v>
      </c>
      <c r="M346" s="42" t="n">
        <v>21</v>
      </c>
      <c r="N346" s="44" t="n">
        <v>2.6</v>
      </c>
      <c r="O346" s="42" t="n">
        <v>2008</v>
      </c>
      <c r="P346" s="42" t="n">
        <v>11</v>
      </c>
      <c r="Q346" s="44" t="n">
        <v>3.2</v>
      </c>
      <c r="R346" s="42" t="n">
        <v>2008</v>
      </c>
      <c r="S346" s="42" t="n">
        <v>3</v>
      </c>
      <c r="T346" s="44" t="n">
        <v>4.2</v>
      </c>
      <c r="U346" s="42" t="n">
        <v>2007</v>
      </c>
      <c r="V346" s="42" t="n">
        <v>6</v>
      </c>
      <c r="W346" s="44" t="n">
        <v>4</v>
      </c>
      <c r="X346" s="42" t="n">
        <v>2007</v>
      </c>
      <c r="Y346" s="42" t="n">
        <v>13</v>
      </c>
      <c r="Z346" s="44" t="n">
        <v>3.6</v>
      </c>
      <c r="AA346" s="42" t="n">
        <v>2007</v>
      </c>
      <c r="AB346" s="42" t="n">
        <v>26</v>
      </c>
      <c r="AC346" s="44" t="n">
        <v>3.2</v>
      </c>
      <c r="AD346" s="42" t="n">
        <v>1991</v>
      </c>
      <c r="AE346" s="42" t="n">
        <v>21</v>
      </c>
      <c r="AF346" s="44" t="n">
        <v>3.6</v>
      </c>
      <c r="AG346" s="42" t="n">
        <v>2007</v>
      </c>
      <c r="AH346" s="42" t="n">
        <v>7</v>
      </c>
      <c r="AI346" s="44" t="n">
        <v>3.6</v>
      </c>
      <c r="AJ346" s="42" t="n">
        <v>2008</v>
      </c>
      <c r="AK346" s="42" t="n">
        <v>13</v>
      </c>
      <c r="AL346" s="44" t="n">
        <v>4.2</v>
      </c>
      <c r="AM346" s="42" t="n">
        <v>2007</v>
      </c>
      <c r="AN346" s="42" t="n">
        <v>14</v>
      </c>
      <c r="AO346" s="44" t="n">
        <v>2.4</v>
      </c>
      <c r="AP346" s="42" t="n">
        <v>2007</v>
      </c>
      <c r="AQ346" s="42" t="n">
        <v>3</v>
      </c>
    </row>
    <row r="347" ht="14.45" customHeight="1">
      <c r="A347" s="42" t="n">
        <v>35095030</v>
      </c>
      <c r="B347" s="42" t="inlineStr">
        <is>
          <t>TUNEL EL [35095030]</t>
        </is>
      </c>
      <c r="C347" s="42" t="n">
        <v>5.574913889</v>
      </c>
      <c r="D347" s="42" t="n">
        <v>-72.94769444000001</v>
      </c>
      <c r="E347" s="42" t="n">
        <v>3000</v>
      </c>
      <c r="F347" s="42" t="inlineStr">
        <is>
          <t>Cuítiva</t>
        </is>
      </c>
      <c r="G347" s="42" t="inlineStr">
        <is>
          <t>Boyacá</t>
        </is>
      </c>
      <c r="H347" s="44" t="n">
        <v>0.4</v>
      </c>
      <c r="I347" s="42" t="n">
        <v>2010</v>
      </c>
      <c r="J347" s="42" t="n">
        <v>4</v>
      </c>
      <c r="K347" s="44" t="n">
        <v>-1.2</v>
      </c>
      <c r="L347" s="42" t="n">
        <v>2004</v>
      </c>
      <c r="M347" s="42" t="n">
        <v>5</v>
      </c>
      <c r="N347" s="44" t="n">
        <v>2</v>
      </c>
      <c r="O347" s="42" t="n">
        <v>2003</v>
      </c>
      <c r="P347" s="42" t="n">
        <v>16</v>
      </c>
      <c r="Q347" s="44" t="n">
        <v>2.2</v>
      </c>
      <c r="R347" s="42" t="n">
        <v>2004</v>
      </c>
      <c r="S347" s="42" t="n">
        <v>30</v>
      </c>
      <c r="T347" s="44" t="n">
        <v>2.4</v>
      </c>
      <c r="U347" s="42" t="n">
        <v>2002</v>
      </c>
      <c r="V347" s="42" t="n">
        <v>31</v>
      </c>
      <c r="W347" s="44" t="n">
        <v>1.4</v>
      </c>
      <c r="X347" s="42" t="n">
        <v>2004</v>
      </c>
      <c r="Y347" s="42" t="n">
        <v>28</v>
      </c>
      <c r="Z347" s="44" t="n">
        <v>2</v>
      </c>
      <c r="AA347" s="42" t="n">
        <v>1983</v>
      </c>
      <c r="AB347" s="42" t="n">
        <v>31</v>
      </c>
      <c r="AC347" s="44" t="n">
        <v>2.4</v>
      </c>
      <c r="AD347" s="42" t="n">
        <v>2002</v>
      </c>
      <c r="AE347" s="42" t="n">
        <v>7</v>
      </c>
      <c r="AF347" s="44" t="n">
        <v>2.2</v>
      </c>
      <c r="AG347" s="42" t="n">
        <v>2002</v>
      </c>
      <c r="AH347" s="42" t="n">
        <v>25</v>
      </c>
      <c r="AI347" s="44" t="n">
        <v>2.4</v>
      </c>
      <c r="AJ347" s="42" t="n">
        <v>2002</v>
      </c>
      <c r="AK347" s="42" t="n">
        <v>30</v>
      </c>
      <c r="AL347" s="44" t="n">
        <v>2</v>
      </c>
      <c r="AM347" s="42" t="n">
        <v>2002</v>
      </c>
      <c r="AN347" s="42" t="n">
        <v>10</v>
      </c>
      <c r="AO347" s="44" t="n">
        <v>1.2</v>
      </c>
      <c r="AP347" s="42" t="n">
        <v>2010</v>
      </c>
      <c r="AQ347" s="42" t="n">
        <v>5</v>
      </c>
    </row>
    <row r="348" ht="14.45" customHeight="1">
      <c r="A348" s="42" t="n">
        <v>52055220</v>
      </c>
      <c r="B348" s="42" t="inlineStr">
        <is>
          <t>EL PARAISO - AUT [52055220]</t>
        </is>
      </c>
      <c r="C348" s="42" t="n">
        <v>1.070707855</v>
      </c>
      <c r="D348" s="42" t="n">
        <v>-77.636935689</v>
      </c>
      <c r="E348" s="42" t="n">
        <v>3033</v>
      </c>
      <c r="F348" s="42" t="inlineStr">
        <is>
          <t>Túquerres</t>
        </is>
      </c>
      <c r="G348" s="42" t="inlineStr">
        <is>
          <t>Nariño</t>
        </is>
      </c>
      <c r="H348" s="44" t="n">
        <v>1.6</v>
      </c>
      <c r="I348" s="42" t="n">
        <v>2017</v>
      </c>
      <c r="J348" s="42" t="n">
        <v>24</v>
      </c>
      <c r="K348" s="44" t="n">
        <v>2.8</v>
      </c>
      <c r="L348" s="42" t="n">
        <v>2007</v>
      </c>
      <c r="M348" s="42" t="n">
        <v>5</v>
      </c>
      <c r="N348" s="44" t="n">
        <v>1.2</v>
      </c>
      <c r="O348" s="42" t="n">
        <v>1985</v>
      </c>
      <c r="P348" s="42" t="n">
        <v>22</v>
      </c>
      <c r="Q348" s="44" t="n">
        <v>2.8</v>
      </c>
      <c r="R348" s="42" t="n">
        <v>2002</v>
      </c>
      <c r="S348" s="42" t="n">
        <v>13</v>
      </c>
      <c r="T348" s="44" t="n">
        <v>3</v>
      </c>
      <c r="U348" s="42" t="n">
        <v>2006</v>
      </c>
      <c r="V348" s="42" t="n">
        <v>20</v>
      </c>
      <c r="W348" s="44" t="n">
        <v>3.4</v>
      </c>
      <c r="X348" s="42" t="n">
        <v>2012</v>
      </c>
      <c r="Y348" s="42" t="n">
        <v>23</v>
      </c>
      <c r="Z348" s="44" t="n">
        <v>1.6</v>
      </c>
      <c r="AA348" s="42" t="n">
        <v>1990</v>
      </c>
      <c r="AB348" s="42" t="n">
        <v>26</v>
      </c>
      <c r="AC348" s="44" t="n">
        <v>2</v>
      </c>
      <c r="AD348" s="42" t="n">
        <v>2008</v>
      </c>
      <c r="AE348" s="42" t="n">
        <v>17</v>
      </c>
      <c r="AF348" s="44" t="n">
        <v>2.2</v>
      </c>
      <c r="AG348" s="42" t="n">
        <v>2008</v>
      </c>
      <c r="AH348" s="42" t="n">
        <v>24</v>
      </c>
      <c r="AI348" s="44" t="n">
        <v>2</v>
      </c>
      <c r="AJ348" s="42" t="n">
        <v>1979</v>
      </c>
      <c r="AK348" s="42" t="n">
        <v>30</v>
      </c>
      <c r="AL348" s="44" t="n">
        <v>0.4</v>
      </c>
      <c r="AM348" s="42" t="n">
        <v>2020</v>
      </c>
      <c r="AN348" s="42" t="n">
        <v>3</v>
      </c>
      <c r="AO348" s="44" t="n">
        <v>1.8</v>
      </c>
      <c r="AP348" s="42" t="n">
        <v>1999</v>
      </c>
      <c r="AQ348" s="42" t="n">
        <v>29</v>
      </c>
    </row>
    <row r="349" ht="14.45" customHeight="1">
      <c r="A349" s="42" t="n">
        <v>26025070</v>
      </c>
      <c r="B349" s="42" t="inlineStr">
        <is>
          <t>GABRIEL LOPEZ [26025070]</t>
        </is>
      </c>
      <c r="C349" s="42" t="n">
        <v>2.50975</v>
      </c>
      <c r="D349" s="42" t="n">
        <v>-76.28905555599999</v>
      </c>
      <c r="E349" s="42" t="n">
        <v>3071</v>
      </c>
      <c r="F349" s="42" t="inlineStr">
        <is>
          <t>Totoró</t>
        </is>
      </c>
      <c r="G349" s="42" t="inlineStr">
        <is>
          <t>Cauca</t>
        </is>
      </c>
      <c r="H349" s="44" t="n">
        <v>-4.4</v>
      </c>
      <c r="I349" s="42" t="n">
        <v>1992</v>
      </c>
      <c r="J349" s="42" t="n">
        <v>19</v>
      </c>
      <c r="K349" s="44" t="n">
        <v>-4.4</v>
      </c>
      <c r="L349" s="42" t="n">
        <v>2007</v>
      </c>
      <c r="M349" s="42" t="n">
        <v>5</v>
      </c>
      <c r="N349" s="44" t="n">
        <v>-4.8</v>
      </c>
      <c r="O349" s="42" t="n">
        <v>1987</v>
      </c>
      <c r="P349" s="42" t="n">
        <v>26</v>
      </c>
      <c r="Q349" s="44" t="n">
        <v>-1</v>
      </c>
      <c r="R349" s="42" t="n">
        <v>2008</v>
      </c>
      <c r="S349" s="42" t="n">
        <v>4</v>
      </c>
      <c r="T349" s="44" t="n">
        <v>0.2</v>
      </c>
      <c r="U349" s="42" t="n">
        <v>1985</v>
      </c>
      <c r="V349" s="42" t="n">
        <v>4</v>
      </c>
      <c r="W349" s="44" t="n">
        <v>0.4</v>
      </c>
      <c r="X349" s="42" t="n">
        <v>1986</v>
      </c>
      <c r="Y349" s="42" t="n">
        <v>3</v>
      </c>
      <c r="Z349" s="44" t="n">
        <v>0</v>
      </c>
      <c r="AA349" s="42" t="n">
        <v>1984</v>
      </c>
      <c r="AB349" s="42" t="n">
        <v>6</v>
      </c>
      <c r="AC349" s="44" t="n">
        <v>0.1</v>
      </c>
      <c r="AD349" s="42" t="n">
        <v>1987</v>
      </c>
      <c r="AE349" s="42" t="n">
        <v>5</v>
      </c>
      <c r="AF349" s="44" t="n">
        <v>-1</v>
      </c>
      <c r="AG349" s="42" t="n">
        <v>2008</v>
      </c>
      <c r="AH349" s="42" t="n">
        <v>24</v>
      </c>
      <c r="AI349" s="44" t="n">
        <v>-4.4</v>
      </c>
      <c r="AJ349" s="42" t="n">
        <v>2011</v>
      </c>
      <c r="AK349" s="42" t="n">
        <v>19</v>
      </c>
      <c r="AL349" s="44" t="n">
        <v>-4.6</v>
      </c>
      <c r="AM349" s="42" t="n">
        <v>2015</v>
      </c>
      <c r="AN349" s="42" t="n">
        <v>28</v>
      </c>
      <c r="AO349" s="44" t="n">
        <v>-4.8</v>
      </c>
      <c r="AP349" s="42" t="n">
        <v>1988</v>
      </c>
      <c r="AQ349" s="42" t="n">
        <v>21</v>
      </c>
    </row>
    <row r="350" ht="14.45" customHeight="1">
      <c r="A350" s="42" t="n">
        <v>21206650</v>
      </c>
      <c r="B350" s="42" t="inlineStr">
        <is>
          <t>COLEGIO SAN CAYETANO [21206650]</t>
        </is>
      </c>
      <c r="C350" s="42" t="n">
        <v>4.516752778</v>
      </c>
      <c r="D350" s="42" t="n">
        <v>-74.088222222</v>
      </c>
      <c r="E350" s="42" t="n">
        <v>3100</v>
      </c>
      <c r="F350" s="42" t="inlineStr">
        <is>
          <t>Bogotá, D.C</t>
        </is>
      </c>
      <c r="G350" s="42" t="inlineStr">
        <is>
          <t>Bogotá</t>
        </is>
      </c>
      <c r="H350" s="44" t="n">
        <v>3</v>
      </c>
      <c r="I350" s="42" t="n">
        <v>2004</v>
      </c>
      <c r="J350" s="42" t="n">
        <v>28</v>
      </c>
      <c r="K350" s="44" t="n">
        <v>3.4</v>
      </c>
      <c r="L350" s="42" t="n">
        <v>2022</v>
      </c>
      <c r="M350" s="42" t="n">
        <v>26</v>
      </c>
      <c r="N350" s="44" t="n">
        <v>2</v>
      </c>
      <c r="O350" s="42" t="n">
        <v>2007</v>
      </c>
      <c r="P350" s="42" t="n">
        <v>15</v>
      </c>
      <c r="Q350" s="44" t="n">
        <v>1.8</v>
      </c>
      <c r="R350" s="42" t="n">
        <v>2004</v>
      </c>
      <c r="S350" s="42" t="n">
        <v>12</v>
      </c>
      <c r="T350" s="44" t="n">
        <v>3</v>
      </c>
      <c r="U350" s="42" t="n">
        <v>2020</v>
      </c>
      <c r="V350" s="42" t="n">
        <v>8</v>
      </c>
      <c r="W350" s="44" t="n">
        <v>3</v>
      </c>
      <c r="X350" s="42" t="n">
        <v>2009</v>
      </c>
      <c r="Y350" s="42" t="n">
        <v>2</v>
      </c>
      <c r="Z350" s="44" t="n">
        <v>2</v>
      </c>
      <c r="AA350" s="42" t="n">
        <v>2009</v>
      </c>
      <c r="AB350" s="42" t="n">
        <v>25</v>
      </c>
      <c r="AC350" s="44" t="n">
        <v>2</v>
      </c>
      <c r="AD350" s="42" t="n">
        <v>2009</v>
      </c>
      <c r="AE350" s="42" t="n">
        <v>10</v>
      </c>
      <c r="AF350" s="44" t="n">
        <v>3</v>
      </c>
      <c r="AG350" s="42" t="n">
        <v>2020</v>
      </c>
      <c r="AH350" s="42" t="n">
        <v>30</v>
      </c>
      <c r="AI350" s="44" t="n">
        <v>0.2</v>
      </c>
      <c r="AJ350" s="42" t="n">
        <v>2004</v>
      </c>
      <c r="AK350" s="42" t="n">
        <v>6</v>
      </c>
      <c r="AL350" s="44" t="n">
        <v>3.4</v>
      </c>
      <c r="AM350" s="42" t="n">
        <v>2020</v>
      </c>
      <c r="AN350" s="42" t="n">
        <v>18</v>
      </c>
      <c r="AO350" s="44" t="n">
        <v>3.8</v>
      </c>
      <c r="AP350" s="42" t="n">
        <v>2019</v>
      </c>
      <c r="AQ350" s="42" t="n">
        <v>25</v>
      </c>
    </row>
    <row r="351" ht="14.45" customHeight="1">
      <c r="A351" s="42" t="n">
        <v>52045090</v>
      </c>
      <c r="B351" s="42" t="inlineStr">
        <is>
          <t>EL COMUN [52045090]</t>
        </is>
      </c>
      <c r="C351" s="42" t="n">
        <v>0.932638889</v>
      </c>
      <c r="D351" s="42" t="n">
        <v>-77.62958333</v>
      </c>
      <c r="E351" s="42" t="n">
        <v>3141</v>
      </c>
      <c r="F351" s="42" t="inlineStr">
        <is>
          <t>Pupiales</t>
        </is>
      </c>
      <c r="G351" s="42" t="inlineStr">
        <is>
          <t>Nariño</t>
        </is>
      </c>
      <c r="H351" s="44" t="n">
        <v>0.4</v>
      </c>
      <c r="I351" s="42" t="n">
        <v>2008</v>
      </c>
      <c r="J351" s="42" t="n">
        <v>9</v>
      </c>
      <c r="K351" s="44" t="n">
        <v>1.3</v>
      </c>
      <c r="L351" s="42" t="n">
        <v>2008</v>
      </c>
      <c r="M351" s="42" t="n">
        <v>7</v>
      </c>
      <c r="N351" s="44" t="n">
        <v>1.2</v>
      </c>
      <c r="O351" s="42" t="n">
        <v>2008</v>
      </c>
      <c r="P351" s="42" t="n">
        <v>19</v>
      </c>
      <c r="Q351" s="44" t="n">
        <v>1.6</v>
      </c>
      <c r="R351" s="42" t="n">
        <v>2008</v>
      </c>
      <c r="S351" s="42" t="n">
        <v>24</v>
      </c>
      <c r="T351" s="44" t="n">
        <v>1</v>
      </c>
      <c r="U351" s="42" t="n">
        <v>2008</v>
      </c>
      <c r="V351" s="42" t="n">
        <v>27</v>
      </c>
      <c r="W351" s="44" t="n">
        <v>1.2</v>
      </c>
      <c r="X351" s="42" t="n">
        <v>2008</v>
      </c>
      <c r="Y351" s="42" t="n">
        <v>6</v>
      </c>
      <c r="Z351" s="44" t="n">
        <v>0.1</v>
      </c>
      <c r="AA351" s="42" t="n">
        <v>2007</v>
      </c>
      <c r="AB351" s="42" t="n">
        <v>28</v>
      </c>
      <c r="AC351" s="44" t="n">
        <v>1.2</v>
      </c>
      <c r="AD351" s="42" t="n">
        <v>2007</v>
      </c>
      <c r="AE351" s="42" t="n">
        <v>16</v>
      </c>
      <c r="AF351" s="44" t="n">
        <v>1.2</v>
      </c>
      <c r="AG351" s="42" t="n">
        <v>2009</v>
      </c>
      <c r="AH351" s="42" t="n">
        <v>13</v>
      </c>
      <c r="AI351" s="44" t="n">
        <v>1</v>
      </c>
      <c r="AJ351" s="42" t="n">
        <v>2007</v>
      </c>
      <c r="AK351" s="42" t="n">
        <v>27</v>
      </c>
      <c r="AL351" s="44" t="n">
        <v>2.1</v>
      </c>
      <c r="AM351" s="42" t="n">
        <v>2007</v>
      </c>
      <c r="AN351" s="42" t="n">
        <v>21</v>
      </c>
      <c r="AO351" s="44" t="n">
        <v>0.3</v>
      </c>
      <c r="AP351" s="42" t="n">
        <v>2007</v>
      </c>
      <c r="AQ351" s="42" t="n">
        <v>30</v>
      </c>
    </row>
    <row r="352" ht="14.45" customHeight="1">
      <c r="A352" s="42" t="n">
        <v>35025070</v>
      </c>
      <c r="B352" s="42" t="inlineStr">
        <is>
          <t>LOS TAQUES [35025070]</t>
        </is>
      </c>
      <c r="C352" s="42" t="n">
        <v>4.196666667</v>
      </c>
      <c r="D352" s="42" t="n">
        <v>-74.19094444</v>
      </c>
      <c r="E352" s="42" t="n">
        <v>3150</v>
      </c>
      <c r="F352" s="42" t="inlineStr">
        <is>
          <t>Bogotá, D.C</t>
        </is>
      </c>
      <c r="G352" s="42" t="inlineStr">
        <is>
          <t>Bogotá</t>
        </is>
      </c>
      <c r="H352" s="44" t="n">
        <v>-4</v>
      </c>
      <c r="I352" s="42" t="n">
        <v>1994</v>
      </c>
      <c r="J352" s="42" t="n">
        <v>24</v>
      </c>
      <c r="K352" s="44" t="n">
        <v>-4</v>
      </c>
      <c r="L352" s="42" t="n">
        <v>2007</v>
      </c>
      <c r="M352" s="42" t="n">
        <v>3</v>
      </c>
      <c r="N352" s="44" t="n">
        <v>0</v>
      </c>
      <c r="O352" s="42" t="n">
        <v>1999</v>
      </c>
      <c r="P352" s="42" t="n">
        <v>3</v>
      </c>
      <c r="Q352" s="44" t="n">
        <v>0.5</v>
      </c>
      <c r="R352" s="42" t="n">
        <v>2009</v>
      </c>
      <c r="S352" s="42" t="n">
        <v>6</v>
      </c>
      <c r="T352" s="44" t="n">
        <v>0.1</v>
      </c>
      <c r="U352" s="42" t="n">
        <v>2004</v>
      </c>
      <c r="V352" s="42" t="n">
        <v>5</v>
      </c>
      <c r="W352" s="44" t="n">
        <v>1.2</v>
      </c>
      <c r="X352" s="42" t="n">
        <v>1994</v>
      </c>
      <c r="Y352" s="42" t="n">
        <v>24</v>
      </c>
      <c r="Z352" s="44" t="n">
        <v>1.2</v>
      </c>
      <c r="AA352" s="42" t="n">
        <v>1993</v>
      </c>
      <c r="AB352" s="42" t="n">
        <v>21</v>
      </c>
      <c r="AC352" s="44" t="n">
        <v>1</v>
      </c>
      <c r="AD352" s="42" t="n">
        <v>1998</v>
      </c>
      <c r="AE352" s="42" t="n">
        <v>9</v>
      </c>
      <c r="AF352" s="44" t="n">
        <v>1</v>
      </c>
      <c r="AG352" s="42" t="n">
        <v>2002</v>
      </c>
      <c r="AH352" s="42" t="n">
        <v>7</v>
      </c>
      <c r="AI352" s="44" t="n">
        <v>0.6</v>
      </c>
      <c r="AJ352" s="42" t="n">
        <v>1997</v>
      </c>
      <c r="AK352" s="42" t="n">
        <v>8</v>
      </c>
      <c r="AL352" s="44" t="n">
        <v>1</v>
      </c>
      <c r="AM352" s="42" t="n">
        <v>1997</v>
      </c>
      <c r="AN352" s="42" t="n">
        <v>11</v>
      </c>
      <c r="AO352" s="44" t="n">
        <v>0.3</v>
      </c>
      <c r="AP352" s="42" t="n">
        <v>1993</v>
      </c>
      <c r="AQ352" s="42" t="n">
        <v>28</v>
      </c>
    </row>
    <row r="353" ht="14.45" customHeight="1">
      <c r="A353" s="42" t="n">
        <v>35025060</v>
      </c>
      <c r="B353" s="42" t="inlineStr">
        <is>
          <t>LA BOLSA [35025060]</t>
        </is>
      </c>
      <c r="C353" s="42" t="n">
        <v>4.587059</v>
      </c>
      <c r="D353" s="42" t="n">
        <v>-73.995885</v>
      </c>
      <c r="E353" s="42" t="n">
        <v>3195</v>
      </c>
      <c r="F353" s="42" t="inlineStr">
        <is>
          <t>Choachí</t>
        </is>
      </c>
      <c r="G353" s="42" t="inlineStr">
        <is>
          <t>Cundinamarca</t>
        </is>
      </c>
      <c r="H353" s="44" t="n">
        <v>-4</v>
      </c>
      <c r="I353" s="42" t="n">
        <v>2001</v>
      </c>
      <c r="J353" s="42" t="n">
        <v>1</v>
      </c>
      <c r="K353" s="44" t="n">
        <v>-3</v>
      </c>
      <c r="L353" s="42" t="n">
        <v>2012</v>
      </c>
      <c r="M353" s="42" t="n">
        <v>22</v>
      </c>
      <c r="N353" s="44" t="n">
        <v>-3</v>
      </c>
      <c r="O353" s="42" t="n">
        <v>1992</v>
      </c>
      <c r="P353" s="42" t="n">
        <v>23</v>
      </c>
      <c r="Q353" s="44" t="n">
        <v>1</v>
      </c>
      <c r="R353" s="42" t="n">
        <v>2001</v>
      </c>
      <c r="S353" s="42" t="n">
        <v>4</v>
      </c>
      <c r="T353" s="44" t="n">
        <v>0.3</v>
      </c>
      <c r="U353" s="42" t="n">
        <v>1989</v>
      </c>
      <c r="V353" s="42" t="n">
        <v>28</v>
      </c>
      <c r="W353" s="44" t="n">
        <v>1.2</v>
      </c>
      <c r="X353" s="42" t="n">
        <v>1996</v>
      </c>
      <c r="Y353" s="42" t="n">
        <v>30</v>
      </c>
      <c r="Z353" s="44" t="n">
        <v>1.2</v>
      </c>
      <c r="AA353" s="42" t="n">
        <v>1999</v>
      </c>
      <c r="AB353" s="42" t="n">
        <v>10</v>
      </c>
      <c r="AC353" s="44" t="n">
        <v>0.1</v>
      </c>
      <c r="AD353" s="42" t="n">
        <v>1998</v>
      </c>
      <c r="AE353" s="42" t="n">
        <v>18</v>
      </c>
      <c r="AF353" s="44" t="n">
        <v>0.2</v>
      </c>
      <c r="AG353" s="42" t="n">
        <v>1998</v>
      </c>
      <c r="AH353" s="42" t="n">
        <v>7</v>
      </c>
      <c r="AI353" s="44" t="n">
        <v>0.1</v>
      </c>
      <c r="AJ353" s="42" t="n">
        <v>2002</v>
      </c>
      <c r="AK353" s="42" t="n">
        <v>2</v>
      </c>
      <c r="AL353" s="44" t="n">
        <v>-2</v>
      </c>
      <c r="AM353" s="42" t="n">
        <v>2019</v>
      </c>
      <c r="AN353" s="42" t="n">
        <v>6</v>
      </c>
      <c r="AO353" s="44" t="n">
        <v>-1.6</v>
      </c>
      <c r="AP353" s="42" t="n">
        <v>2002</v>
      </c>
      <c r="AQ353" s="42" t="n">
        <v>27</v>
      </c>
    </row>
    <row r="354" ht="14.45" customHeight="1">
      <c r="A354" s="42" t="n">
        <v>37015020</v>
      </c>
      <c r="B354" s="42" t="inlineStr">
        <is>
          <t>BERLIN [37015020]</t>
        </is>
      </c>
      <c r="C354" s="42" t="n">
        <v>7.186944444</v>
      </c>
      <c r="D354" s="42" t="n">
        <v>-72.86861111</v>
      </c>
      <c r="E354" s="42" t="n">
        <v>3214</v>
      </c>
      <c r="F354" s="42" t="inlineStr">
        <is>
          <t>Tona</t>
        </is>
      </c>
      <c r="G354" s="42" t="inlineStr">
        <is>
          <t>Santander</t>
        </is>
      </c>
      <c r="H354" s="44" t="n">
        <v>-9.800000000000001</v>
      </c>
      <c r="I354" s="42" t="n">
        <v>2000</v>
      </c>
      <c r="J354" s="42" t="n">
        <v>4</v>
      </c>
      <c r="K354" s="44" t="n">
        <v>-9.800000000000001</v>
      </c>
      <c r="L354" s="42" t="n">
        <v>2002</v>
      </c>
      <c r="M354" s="42" t="n">
        <v>10</v>
      </c>
      <c r="N354" s="44" t="n">
        <v>-9.800000000000001</v>
      </c>
      <c r="O354" s="42" t="n">
        <v>2000</v>
      </c>
      <c r="P354" s="42" t="n">
        <v>18</v>
      </c>
      <c r="Q354" s="44" t="n">
        <v>-7.2</v>
      </c>
      <c r="R354" s="42" t="n">
        <v>2001</v>
      </c>
      <c r="S354" s="42" t="n">
        <v>22</v>
      </c>
      <c r="T354" s="44" t="n">
        <v>-3.4</v>
      </c>
      <c r="U354" s="42" t="n">
        <v>2005</v>
      </c>
      <c r="V354" s="42" t="n">
        <v>28</v>
      </c>
      <c r="W354" s="44" t="n">
        <v>0.2</v>
      </c>
      <c r="X354" s="42" t="n">
        <v>2022</v>
      </c>
      <c r="Y354" s="42" t="n">
        <v>2</v>
      </c>
      <c r="Z354" s="44" t="n">
        <v>-3</v>
      </c>
      <c r="AA354" s="42" t="n">
        <v>1986</v>
      </c>
      <c r="AB354" s="42" t="n">
        <v>12</v>
      </c>
      <c r="AC354" s="44" t="n">
        <v>-2.6</v>
      </c>
      <c r="AD354" s="42" t="n">
        <v>1986</v>
      </c>
      <c r="AE354" s="42" t="n">
        <v>25</v>
      </c>
      <c r="AF354" s="44" t="n">
        <v>-4.4</v>
      </c>
      <c r="AG354" s="42" t="n">
        <v>1986</v>
      </c>
      <c r="AH354" s="42" t="n">
        <v>26</v>
      </c>
      <c r="AI354" s="44" t="n">
        <v>-2</v>
      </c>
      <c r="AJ354" s="42" t="n">
        <v>1983</v>
      </c>
      <c r="AK354" s="42" t="n">
        <v>18</v>
      </c>
      <c r="AL354" s="44" t="n">
        <v>-9.6</v>
      </c>
      <c r="AM354" s="42" t="n">
        <v>2001</v>
      </c>
      <c r="AN354" s="42" t="n">
        <v>30</v>
      </c>
      <c r="AO354" s="44" t="n">
        <v>-9.800000000000001</v>
      </c>
      <c r="AP354" s="42" t="n">
        <v>2001</v>
      </c>
      <c r="AQ354" s="42" t="n">
        <v>1</v>
      </c>
    </row>
    <row r="355" ht="14.45" customHeight="1">
      <c r="A355" s="42" t="n">
        <v>24035350</v>
      </c>
      <c r="B355" s="42" t="inlineStr">
        <is>
          <t>ANDALUCIA [24035350]</t>
        </is>
      </c>
      <c r="C355" s="42" t="n">
        <v>5.901138889</v>
      </c>
      <c r="D355" s="42" t="n">
        <v>-73.05833333</v>
      </c>
      <c r="E355" s="42" t="n">
        <v>3265</v>
      </c>
      <c r="F355" s="42" t="inlineStr">
        <is>
          <t>Duitama</t>
        </is>
      </c>
      <c r="G355" s="42" t="inlineStr">
        <is>
          <t>Boyacá</t>
        </is>
      </c>
      <c r="H355" s="44" t="n">
        <v>0.4</v>
      </c>
      <c r="I355" s="42" t="n">
        <v>2006</v>
      </c>
      <c r="J355" s="42" t="n">
        <v>2</v>
      </c>
      <c r="K355" s="44" t="n">
        <v>1.2</v>
      </c>
      <c r="L355" s="42" t="n">
        <v>2005</v>
      </c>
      <c r="M355" s="42" t="n">
        <v>23</v>
      </c>
      <c r="N355" s="44" t="n">
        <v>0.6</v>
      </c>
      <c r="O355" s="42" t="n">
        <v>2007</v>
      </c>
      <c r="P355" s="42" t="n">
        <v>11</v>
      </c>
      <c r="Q355" s="44" t="n">
        <v>0.8</v>
      </c>
      <c r="R355" s="42" t="n">
        <v>2007</v>
      </c>
      <c r="S355" s="42" t="n">
        <v>28</v>
      </c>
      <c r="T355" s="44" t="n">
        <v>2.2</v>
      </c>
      <c r="U355" s="42" t="n">
        <v>2001</v>
      </c>
      <c r="V355" s="42" t="n">
        <v>11</v>
      </c>
      <c r="W355" s="44" t="n">
        <v>0.8</v>
      </c>
      <c r="X355" s="42" t="n">
        <v>2007</v>
      </c>
      <c r="Y355" s="42" t="n">
        <v>13</v>
      </c>
      <c r="Z355" s="44" t="n">
        <v>0.4</v>
      </c>
      <c r="AA355" s="42" t="n">
        <v>2007</v>
      </c>
      <c r="AB355" s="42" t="n">
        <v>26</v>
      </c>
      <c r="AC355" s="44" t="n">
        <v>0.8</v>
      </c>
      <c r="AD355" s="42" t="n">
        <v>2007</v>
      </c>
      <c r="AE355" s="42" t="n">
        <v>6</v>
      </c>
      <c r="AF355" s="44" t="n">
        <v>0.4</v>
      </c>
      <c r="AG355" s="42" t="n">
        <v>2007</v>
      </c>
      <c r="AH355" s="42" t="n">
        <v>28</v>
      </c>
      <c r="AI355" s="44" t="n">
        <v>0.6</v>
      </c>
      <c r="AJ355" s="42" t="n">
        <v>2007</v>
      </c>
      <c r="AK355" s="42" t="n">
        <v>10</v>
      </c>
      <c r="AL355" s="44" t="n">
        <v>0.4</v>
      </c>
      <c r="AM355" s="42" t="n">
        <v>2007</v>
      </c>
      <c r="AN355" s="42" t="n">
        <v>11</v>
      </c>
      <c r="AO355" s="44" t="n">
        <v>1.7</v>
      </c>
      <c r="AP355" s="42" t="n">
        <v>1997</v>
      </c>
      <c r="AQ355" s="42" t="n">
        <v>16</v>
      </c>
    </row>
    <row r="356" ht="14.45" customHeight="1">
      <c r="A356" s="42" t="n">
        <v>35235010</v>
      </c>
      <c r="B356" s="42" t="inlineStr">
        <is>
          <t>CARDON EL AUT [35235010]</t>
        </is>
      </c>
      <c r="C356" s="42" t="n">
        <v>6.011666667</v>
      </c>
      <c r="D356" s="42" t="n">
        <v>-72.52927778</v>
      </c>
      <c r="E356" s="42" t="n">
        <v>3590</v>
      </c>
      <c r="F356" s="42" t="inlineStr">
        <is>
          <t>Socotá</t>
        </is>
      </c>
      <c r="G356" s="42" t="inlineStr">
        <is>
          <t>Boyacá</t>
        </is>
      </c>
      <c r="H356" s="44" t="n">
        <v>0</v>
      </c>
      <c r="I356" s="42" t="n">
        <v>1979</v>
      </c>
      <c r="J356" s="42" t="n">
        <v>30</v>
      </c>
      <c r="K356" s="44" t="n">
        <v>-1.8</v>
      </c>
      <c r="L356" s="42" t="n">
        <v>1985</v>
      </c>
      <c r="M356" s="42" t="n">
        <v>4</v>
      </c>
      <c r="N356" s="44" t="n">
        <v>0</v>
      </c>
      <c r="O356" s="42" t="n">
        <v>1994</v>
      </c>
      <c r="P356" s="42" t="n">
        <v>2</v>
      </c>
      <c r="Q356" s="44" t="n">
        <v>0</v>
      </c>
      <c r="R356" s="42" t="n">
        <v>1994</v>
      </c>
      <c r="S356" s="42" t="n">
        <v>1</v>
      </c>
      <c r="T356" s="44" t="n">
        <v>0.4</v>
      </c>
      <c r="U356" s="42" t="n">
        <v>1994</v>
      </c>
      <c r="V356" s="42" t="n">
        <v>7</v>
      </c>
      <c r="W356" s="44" t="n">
        <v>-1.2</v>
      </c>
      <c r="X356" s="42" t="n">
        <v>1983</v>
      </c>
      <c r="Y356" s="42" t="n">
        <v>15</v>
      </c>
      <c r="Z356" s="44" t="n">
        <v>0</v>
      </c>
      <c r="AA356" s="42" t="n">
        <v>2008</v>
      </c>
      <c r="AB356" s="42" t="n">
        <v>1</v>
      </c>
      <c r="AC356" s="44" t="n">
        <v>0</v>
      </c>
      <c r="AD356" s="42" t="n">
        <v>1991</v>
      </c>
      <c r="AE356" s="42" t="n">
        <v>8</v>
      </c>
      <c r="AF356" s="44" t="n">
        <v>0.2</v>
      </c>
      <c r="AG356" s="42" t="n">
        <v>1981</v>
      </c>
      <c r="AH356" s="42" t="n">
        <v>20</v>
      </c>
      <c r="AI356" s="44" t="n">
        <v>0</v>
      </c>
      <c r="AJ356" s="42" t="n">
        <v>2008</v>
      </c>
      <c r="AK356" s="42" t="n">
        <v>23</v>
      </c>
      <c r="AL356" s="44" t="n">
        <v>0.4</v>
      </c>
      <c r="AM356" s="42" t="n">
        <v>2002</v>
      </c>
      <c r="AN356" s="42" t="n">
        <v>22</v>
      </c>
      <c r="AO356" s="44" t="n">
        <v>0</v>
      </c>
      <c r="AP356" s="42" t="n">
        <v>1987</v>
      </c>
      <c r="AQ356" s="42" t="n">
        <v>17</v>
      </c>
    </row>
    <row r="357">
      <c r="A357" s="42" t="n">
        <v>24035240</v>
      </c>
      <c r="B357" s="42" t="inlineStr">
        <is>
          <t>SIERRA NEVAD COCUY [24035240]</t>
        </is>
      </c>
      <c r="C357" s="42" t="n">
        <v>6.410083333</v>
      </c>
      <c r="D357" s="42" t="n">
        <v>-72.37519444</v>
      </c>
      <c r="E357" s="42" t="n">
        <v>3716</v>
      </c>
      <c r="F357" s="42" t="inlineStr">
        <is>
          <t>Guicán</t>
        </is>
      </c>
      <c r="G357" s="42" t="inlineStr">
        <is>
          <t>Boyacá</t>
        </is>
      </c>
      <c r="H357" s="44" t="n">
        <v>-8.4</v>
      </c>
      <c r="I357" s="42" t="n">
        <v>2004</v>
      </c>
      <c r="J357" s="42" t="n">
        <v>31</v>
      </c>
      <c r="K357" s="44" t="n">
        <v>-8.199999999999999</v>
      </c>
      <c r="L357" s="42" t="n">
        <v>2008</v>
      </c>
      <c r="M357" s="42" t="n">
        <v>2</v>
      </c>
      <c r="N357" s="44" t="n">
        <v>-4.8</v>
      </c>
      <c r="O357" s="42" t="n">
        <v>1992</v>
      </c>
      <c r="P357" s="42" t="n">
        <v>25</v>
      </c>
      <c r="Q357" s="44" t="n">
        <v>-2.8</v>
      </c>
      <c r="R357" s="42" t="n">
        <v>2003</v>
      </c>
      <c r="S357" s="42" t="n">
        <v>2</v>
      </c>
      <c r="T357" s="44" t="n">
        <v>-2.8</v>
      </c>
      <c r="U357" s="42" t="n">
        <v>2019</v>
      </c>
      <c r="V357" s="42" t="n">
        <v>12</v>
      </c>
      <c r="W357" s="44" t="n">
        <v>-2.2</v>
      </c>
      <c r="X357" s="42" t="n">
        <v>2009</v>
      </c>
      <c r="Y357" s="42" t="n">
        <v>6</v>
      </c>
      <c r="Z357" s="44" t="n">
        <v>-2.4</v>
      </c>
      <c r="AA357" s="42" t="n">
        <v>2021</v>
      </c>
      <c r="AB357" s="42" t="n">
        <v>17</v>
      </c>
      <c r="AC357" s="44" t="n">
        <v>-2.8</v>
      </c>
      <c r="AD357" s="42" t="n">
        <v>1993</v>
      </c>
      <c r="AE357" s="42" t="n">
        <v>28</v>
      </c>
      <c r="AF357" s="44" t="n">
        <v>-3.2</v>
      </c>
      <c r="AG357" s="42" t="n">
        <v>2009</v>
      </c>
      <c r="AH357" s="42" t="n">
        <v>8</v>
      </c>
      <c r="AI357" s="44" t="n">
        <v>-2.8</v>
      </c>
      <c r="AJ357" s="42" t="n">
        <v>1990</v>
      </c>
      <c r="AK357" s="42" t="n">
        <v>28</v>
      </c>
      <c r="AL357" s="44" t="n">
        <v>-2.8</v>
      </c>
      <c r="AM357" s="42" t="n">
        <v>2000</v>
      </c>
      <c r="AN357" s="42" t="n">
        <v>22</v>
      </c>
      <c r="AO357" s="44" t="n">
        <v>-5</v>
      </c>
      <c r="AP357" s="42" t="n">
        <v>1999</v>
      </c>
      <c r="AQ357" s="42" t="n">
        <v>25</v>
      </c>
    </row>
    <row r="358">
      <c r="A358" s="42" t="n">
        <v>26135140</v>
      </c>
      <c r="B358" s="42" t="inlineStr">
        <is>
          <t>LAGUNA LA [26135140]</t>
        </is>
      </c>
      <c r="C358" s="42" t="n">
        <v>4.776416667</v>
      </c>
      <c r="D358" s="42" t="n">
        <v>-75.41249999999999</v>
      </c>
      <c r="E358" s="42" t="n">
        <v>3950</v>
      </c>
      <c r="F358" s="42" t="inlineStr">
        <is>
          <t>Pereira</t>
        </is>
      </c>
      <c r="G358" s="42" t="inlineStr">
        <is>
          <t>Risaralda</t>
        </is>
      </c>
      <c r="H358" s="44" t="n">
        <v>-5</v>
      </c>
      <c r="I358" s="42" t="n">
        <v>2002</v>
      </c>
      <c r="J358" s="42" t="n">
        <v>11</v>
      </c>
      <c r="K358" s="44" t="n">
        <v>-8</v>
      </c>
      <c r="L358" s="42" t="n">
        <v>2002</v>
      </c>
      <c r="M358" s="42" t="n">
        <v>11</v>
      </c>
      <c r="N358" s="44" t="n">
        <v>-4</v>
      </c>
      <c r="O358" s="42" t="n">
        <v>2000</v>
      </c>
      <c r="P358" s="42" t="n">
        <v>10</v>
      </c>
      <c r="Q358" s="44" t="n">
        <v>-3</v>
      </c>
      <c r="R358" s="42" t="n">
        <v>1996</v>
      </c>
      <c r="S358" s="42" t="n">
        <v>17</v>
      </c>
      <c r="T358" s="44" t="n">
        <v>-2.2</v>
      </c>
      <c r="U358" s="42" t="n">
        <v>1996</v>
      </c>
      <c r="V358" s="42" t="n">
        <v>15</v>
      </c>
      <c r="W358" s="44" t="n">
        <v>-2.6</v>
      </c>
      <c r="X358" s="42" t="n">
        <v>2002</v>
      </c>
      <c r="Y358" s="42" t="n">
        <v>7</v>
      </c>
      <c r="Z358" s="44" t="n">
        <v>-2.8</v>
      </c>
      <c r="AA358" s="42" t="n">
        <v>1997</v>
      </c>
      <c r="AB358" s="42" t="n">
        <v>21</v>
      </c>
      <c r="AC358" s="44" t="n">
        <v>-2</v>
      </c>
      <c r="AD358" s="42" t="n">
        <v>1997</v>
      </c>
      <c r="AE358" s="42" t="n">
        <v>14</v>
      </c>
      <c r="AF358" s="44" t="n">
        <v>-3</v>
      </c>
      <c r="AG358" s="42" t="n">
        <v>2001</v>
      </c>
      <c r="AH358" s="42" t="n">
        <v>7</v>
      </c>
      <c r="AI358" s="44" t="n">
        <v>-2.8</v>
      </c>
      <c r="AJ358" s="42" t="n">
        <v>2001</v>
      </c>
      <c r="AK358" s="42" t="n">
        <v>1</v>
      </c>
      <c r="AL358" s="44" t="n">
        <v>-3</v>
      </c>
      <c r="AM358" s="42" t="n">
        <v>2000</v>
      </c>
      <c r="AN358" s="42" t="n">
        <v>21</v>
      </c>
      <c r="AO358" s="44" t="n">
        <v>-2.8</v>
      </c>
      <c r="AP358" s="42" t="n">
        <v>1997</v>
      </c>
      <c r="AQ358" s="42" t="n">
        <v>14</v>
      </c>
    </row>
  </sheetData>
  <autoFilter ref="A1:AQ356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5" sqref="D5"/>
    </sheetView>
  </sheetViews>
  <sheetFormatPr baseColWidth="10" defaultRowHeight="12.75"/>
  <cols>
    <col width="73.140625" customWidth="1" min="3" max="3"/>
  </cols>
  <sheetData>
    <row r="1">
      <c r="A1" s="45" t="inlineStr">
        <is>
          <t>Fecha</t>
        </is>
      </c>
      <c r="B1" s="45" t="inlineStr">
        <is>
          <t>Hoja</t>
        </is>
      </c>
      <c r="C1" s="45" t="inlineStr">
        <is>
          <t>Descripción</t>
        </is>
      </c>
      <c r="D1" s="45" t="inlineStr">
        <is>
          <t>Responsale</t>
        </is>
      </c>
    </row>
    <row r="2" ht="38.25" customHeight="1">
      <c r="A2" s="34" t="n">
        <v>46071</v>
      </c>
      <c r="B2" s="33" t="inlineStr">
        <is>
          <t>Temperatura</t>
        </is>
      </c>
      <c r="C2" s="32" t="inlineStr">
        <is>
          <t>Se ajusto formula de MIN_MES, agregando condicionante para las estaciones que no presentan datos en el periodo de tiempo evaluado, se ajusta formula de RECORD_DIA con el fin de definir que se evalue el ultimo dato evaluado.</t>
        </is>
      </c>
      <c r="D2" s="33" t="inlineStr">
        <is>
          <t>ntoussaint</t>
        </is>
      </c>
    </row>
    <row r="3" ht="51" customHeight="1">
      <c r="A3" s="60" t="n">
        <v>46076</v>
      </c>
      <c r="B3" s="61" t="inlineStr">
        <is>
          <t>Temperatura</t>
        </is>
      </c>
      <c r="C3" s="62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      </is>
      </c>
      <c r="D3" s="61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2026-09-20T14:21:26Z</dcterms:modified>
  <cp:lastModifiedBy>Araminta Vega Burgos</cp:lastModifiedBy>
  <cp:lastPrinted>2017-06-11T12:02:38Z</cp:lastPrinted>
</cp:coreProperties>
</file>