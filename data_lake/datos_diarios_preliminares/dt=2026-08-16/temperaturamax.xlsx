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29CA823-8BFB-4AC8-B6E2-8F88F7B6E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Temperatura!$Y$1:$Y$288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S239" i="1" s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S235" i="1" s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S232" i="1" s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S224" i="1" s="1"/>
  <c r="AP224" i="1"/>
  <c r="AQ224" i="1" s="1"/>
  <c r="AV223" i="1" a="1"/>
  <c r="AV223" i="1" s="1"/>
  <c r="AU223" i="1" a="1"/>
  <c r="AU223" i="1" s="1"/>
  <c r="AT223" i="1"/>
  <c r="AR223" i="1"/>
  <c r="AS223" i="1" s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S204" i="1" s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Q22" i="1"/>
  <c r="AP22" i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W20" i="1" s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94" i="1" l="1"/>
  <c r="AS238" i="1"/>
  <c r="AS254" i="1"/>
  <c r="AS43" i="1"/>
  <c r="AW278" i="1"/>
  <c r="AS93" i="1"/>
  <c r="AS237" i="1"/>
  <c r="AW44" i="1"/>
  <c r="AS258" i="1"/>
  <c r="AS64" i="1"/>
  <c r="AS45" i="1"/>
  <c r="AS247" i="1"/>
  <c r="AS140" i="1"/>
  <c r="AS176" i="1"/>
  <c r="AS264" i="1"/>
  <c r="AS268" i="1"/>
  <c r="AS272" i="1"/>
  <c r="AS276" i="1"/>
  <c r="AS27" i="1"/>
  <c r="AS31" i="1"/>
  <c r="AS101" i="1"/>
  <c r="AS205" i="1"/>
  <c r="AS28" i="1"/>
  <c r="AS36" i="1"/>
  <c r="AS55" i="1"/>
  <c r="AW201" i="1"/>
  <c r="AW209" i="1"/>
  <c r="AS182" i="1"/>
  <c r="AS46" i="1"/>
  <c r="AS111" i="1"/>
  <c r="AS115" i="1"/>
  <c r="AS198" i="1"/>
  <c r="AW158" i="1"/>
  <c r="AW178" i="1"/>
  <c r="AW186" i="1"/>
  <c r="AW202" i="1"/>
  <c r="AS62" i="1"/>
  <c r="AS112" i="1"/>
  <c r="AS207" i="1"/>
  <c r="AS215" i="1"/>
  <c r="AW282" i="1"/>
  <c r="AW32" i="1"/>
  <c r="AS120" i="1"/>
  <c r="AS32" i="1"/>
  <c r="AW51" i="1"/>
  <c r="AW279" i="1"/>
  <c r="AS7" i="1"/>
  <c r="AS25" i="1"/>
  <c r="AS82" i="1"/>
  <c r="AS41" i="1"/>
  <c r="AS52" i="1"/>
  <c r="AS161" i="1"/>
  <c r="AS75" i="1"/>
  <c r="AS87" i="1"/>
  <c r="AS110" i="1"/>
  <c r="AS114" i="1"/>
  <c r="AS91" i="1"/>
  <c r="AS95" i="1"/>
  <c r="AS130" i="1"/>
  <c r="AS53" i="1"/>
  <c r="AW64" i="1"/>
  <c r="AS142" i="1"/>
  <c r="AS162" i="1"/>
  <c r="AW261" i="1"/>
  <c r="AS56" i="1"/>
  <c r="AW143" i="1"/>
  <c r="AW147" i="1"/>
  <c r="AW167" i="1"/>
  <c r="AW254" i="1"/>
  <c r="AW258" i="1"/>
  <c r="AW187" i="1"/>
  <c r="AW195" i="1"/>
  <c r="AW203" i="1"/>
  <c r="AS219" i="1"/>
  <c r="AW270" i="1"/>
  <c r="AS132" i="1"/>
  <c r="AS152" i="1"/>
  <c r="AW243" i="1"/>
  <c r="AW144" i="1"/>
  <c r="AW148" i="1"/>
  <c r="AW160" i="1"/>
  <c r="AW172" i="1"/>
  <c r="AS188" i="1"/>
  <c r="AS196" i="1"/>
  <c r="AW271" i="1"/>
  <c r="AW196" i="1"/>
  <c r="AW208" i="1"/>
  <c r="AW133" i="1"/>
  <c r="AW220" i="1"/>
  <c r="AW236" i="1"/>
  <c r="AS11" i="1"/>
  <c r="AS40" i="1"/>
  <c r="AW153" i="1"/>
  <c r="AW260" i="1"/>
  <c r="AW18" i="1"/>
  <c r="AS33" i="1"/>
  <c r="AS37" i="1"/>
  <c r="AS80" i="1"/>
  <c r="AS103" i="1"/>
  <c r="AS225" i="1"/>
  <c r="AS233" i="1"/>
  <c r="AW280" i="1"/>
  <c r="AS174" i="1"/>
  <c r="AW217" i="1"/>
  <c r="AS257" i="1"/>
  <c r="AS128" i="1"/>
  <c r="AS123" i="1"/>
  <c r="AW166" i="1"/>
  <c r="AW170" i="1"/>
  <c r="AW174" i="1"/>
  <c r="AS107" i="1"/>
  <c r="AS5" i="1"/>
  <c r="AW29" i="1"/>
  <c r="AS281" i="1"/>
  <c r="AW48" i="1"/>
  <c r="AW12" i="1"/>
  <c r="AS73" i="1"/>
  <c r="AS85" i="1"/>
  <c r="AS100" i="1"/>
  <c r="AW119" i="1"/>
  <c r="AS127" i="1"/>
  <c r="AS163" i="1"/>
  <c r="AS242" i="1"/>
  <c r="AS250" i="1"/>
  <c r="AS262" i="1"/>
  <c r="AW285" i="1"/>
  <c r="AW10" i="1"/>
  <c r="AS13" i="1"/>
  <c r="AW16" i="1"/>
  <c r="AS19" i="1"/>
  <c r="AW25" i="1"/>
  <c r="AS29" i="1"/>
  <c r="AS47" i="1"/>
  <c r="AS60" i="1"/>
  <c r="AW77" i="1"/>
  <c r="AW84" i="1"/>
  <c r="AS102" i="1"/>
  <c r="AS131" i="1"/>
  <c r="AW138" i="1"/>
  <c r="AS154" i="1"/>
  <c r="AS158" i="1"/>
  <c r="AS181" i="1"/>
  <c r="AW223" i="1"/>
  <c r="AS243" i="1"/>
  <c r="AW262" i="1"/>
  <c r="AW266" i="1"/>
  <c r="AW274" i="1"/>
  <c r="AS286" i="1"/>
  <c r="AS88" i="1"/>
  <c r="AS113" i="1"/>
  <c r="AS124" i="1"/>
  <c r="AS259" i="1"/>
  <c r="AS26" i="1"/>
  <c r="AS74" i="1"/>
  <c r="AS81" i="1"/>
  <c r="AW102" i="1"/>
  <c r="AW131" i="1"/>
  <c r="AW142" i="1"/>
  <c r="AW150" i="1"/>
  <c r="AW154" i="1"/>
  <c r="AS166" i="1"/>
  <c r="AS170" i="1"/>
  <c r="AS185" i="1"/>
  <c r="AS216" i="1"/>
  <c r="AW286" i="1"/>
  <c r="AS44" i="1"/>
  <c r="AS57" i="1"/>
  <c r="AS92" i="1"/>
  <c r="AS99" i="1"/>
  <c r="AS135" i="1"/>
  <c r="AS139" i="1"/>
  <c r="AS197" i="1"/>
  <c r="AW212" i="1"/>
  <c r="AW216" i="1"/>
  <c r="AS236" i="1"/>
  <c r="AS263" i="1"/>
  <c r="AS267" i="1"/>
  <c r="AS54" i="1"/>
  <c r="AS271" i="1"/>
  <c r="AS275" i="1"/>
  <c r="AW135" i="1"/>
  <c r="AW139" i="1"/>
  <c r="AS159" i="1"/>
  <c r="AS178" i="1"/>
  <c r="AS61" i="1"/>
  <c r="AS209" i="1"/>
  <c r="AS240" i="1"/>
  <c r="AS244" i="1"/>
  <c r="AS248" i="1"/>
  <c r="AS283" i="1"/>
  <c r="AS287" i="1"/>
  <c r="AW151" i="1"/>
  <c r="AW8" i="1"/>
  <c r="AW23" i="1"/>
  <c r="AW30" i="1"/>
  <c r="AS68" i="1"/>
  <c r="AS171" i="1"/>
  <c r="AS217" i="1"/>
  <c r="AW132" i="1"/>
  <c r="AS136" i="1"/>
  <c r="AS39" i="1"/>
  <c r="AW81" i="1"/>
  <c r="AW26" i="1"/>
  <c r="AS30" i="1"/>
  <c r="AS118" i="1"/>
  <c r="AW136" i="1"/>
  <c r="AS148" i="1"/>
  <c r="AS160" i="1"/>
  <c r="AS175" i="1"/>
  <c r="AS179" i="1"/>
  <c r="AS202" i="1"/>
  <c r="AS206" i="1"/>
  <c r="AS253" i="1"/>
  <c r="AS280" i="1"/>
  <c r="AS284" i="1"/>
  <c r="AS15" i="1"/>
  <c r="AW27" i="1"/>
  <c r="AS42" i="1"/>
  <c r="AW55" i="1"/>
  <c r="AS72" i="1"/>
  <c r="AS97" i="1"/>
  <c r="AS164" i="1"/>
  <c r="AS172" i="1"/>
  <c r="AW288" i="1"/>
  <c r="AS9" i="1"/>
  <c r="AS18" i="1"/>
  <c r="AS21" i="1"/>
  <c r="AW24" i="1"/>
  <c r="AS49" i="1"/>
  <c r="AS59" i="1"/>
  <c r="AS76" i="1"/>
  <c r="AS83" i="1"/>
  <c r="AS104" i="1"/>
  <c r="AW122" i="1"/>
  <c r="AW206" i="1"/>
  <c r="AW214" i="1"/>
  <c r="AS218" i="1"/>
  <c r="AW164" i="1"/>
  <c r="AS226" i="1"/>
  <c r="AS234" i="1"/>
  <c r="AS273" i="1"/>
  <c r="AW141" i="1"/>
  <c r="AS149" i="1"/>
  <c r="AS199" i="1"/>
  <c r="AW218" i="1"/>
  <c r="AW222" i="1"/>
  <c r="AS246" i="1"/>
  <c r="AS184" i="1"/>
  <c r="AW28" i="1"/>
  <c r="AW66" i="1"/>
  <c r="AS77" i="1"/>
  <c r="AS84" i="1"/>
  <c r="AS98" i="1"/>
  <c r="AS105" i="1"/>
  <c r="AW123" i="1"/>
  <c r="AS134" i="1"/>
  <c r="AS138" i="1"/>
  <c r="AW161" i="1"/>
  <c r="AS173" i="1"/>
  <c r="AW180" i="1"/>
  <c r="AW184" i="1"/>
  <c r="AS192" i="1"/>
  <c r="AS227" i="1"/>
  <c r="AW238" i="1"/>
  <c r="AW242" i="1"/>
  <c r="AW246" i="1"/>
  <c r="AW250" i="1"/>
  <c r="AS266" i="1"/>
  <c r="AS270" i="1"/>
  <c r="AS278" i="1"/>
  <c r="AW14" i="1"/>
  <c r="AW6" i="1"/>
  <c r="AS48" i="1"/>
  <c r="AS51" i="1"/>
  <c r="AS66" i="1"/>
  <c r="AS79" i="1"/>
  <c r="AW126" i="1"/>
  <c r="AW137" i="1"/>
  <c r="AS16" i="1"/>
  <c r="AW21" i="1"/>
  <c r="AW176" i="1"/>
  <c r="AS180" i="1"/>
  <c r="AS191" i="1"/>
  <c r="AS220" i="1"/>
  <c r="AS231" i="1"/>
  <c r="AS265" i="1"/>
  <c r="AS269" i="1"/>
  <c r="AW272" i="1"/>
  <c r="AS117" i="1"/>
  <c r="AW130" i="1"/>
  <c r="AW159" i="1"/>
  <c r="AW162" i="1"/>
  <c r="AW173" i="1"/>
  <c r="AW191" i="1"/>
  <c r="AS195" i="1"/>
  <c r="AW198" i="1"/>
  <c r="AW227" i="1"/>
  <c r="AW231" i="1"/>
  <c r="AW107" i="1"/>
  <c r="AS63" i="1"/>
  <c r="AS12" i="1"/>
  <c r="AW235" i="1"/>
  <c r="AW269" i="1"/>
  <c r="AW9" i="1"/>
  <c r="AW17" i="1"/>
  <c r="AW88" i="1"/>
  <c r="AW95" i="1"/>
  <c r="AW117" i="1"/>
  <c r="AW120" i="1"/>
  <c r="AW127" i="1"/>
  <c r="AW152" i="1"/>
  <c r="AS156" i="1"/>
  <c r="AS177" i="1"/>
  <c r="AS210" i="1"/>
  <c r="AS214" i="1"/>
  <c r="AS20" i="1"/>
  <c r="AW57" i="1"/>
  <c r="AW85" i="1"/>
  <c r="AW82" i="1"/>
  <c r="AW114" i="1"/>
  <c r="AS67" i="1"/>
  <c r="AS108" i="1"/>
  <c r="AW134" i="1"/>
  <c r="AW156" i="1"/>
  <c r="AW177" i="1"/>
  <c r="AW199" i="1"/>
  <c r="AS203" i="1"/>
  <c r="AW210" i="1"/>
  <c r="AS221" i="1"/>
  <c r="AW224" i="1"/>
  <c r="AS228" i="1"/>
  <c r="AW239" i="1"/>
  <c r="AS251" i="1"/>
  <c r="AW273" i="1"/>
  <c r="AS277" i="1"/>
  <c r="AW287" i="1"/>
  <c r="AS58" i="1"/>
  <c r="AW67" i="1"/>
  <c r="AS86" i="1"/>
  <c r="AS89" i="1"/>
  <c r="AW124" i="1"/>
  <c r="AS146" i="1"/>
  <c r="AS157" i="1"/>
  <c r="AS167" i="1"/>
  <c r="AW188" i="1"/>
  <c r="AW192" i="1"/>
  <c r="AS211" i="1"/>
  <c r="AW221" i="1"/>
  <c r="AW228" i="1"/>
  <c r="AW232" i="1"/>
  <c r="AW247" i="1"/>
  <c r="AS255" i="1"/>
  <c r="AW277" i="1"/>
  <c r="AS70" i="1"/>
  <c r="AS10" i="1"/>
  <c r="AW15" i="1"/>
  <c r="AS96" i="1"/>
  <c r="AW255" i="1"/>
  <c r="AS274" i="1"/>
  <c r="AW92" i="1"/>
  <c r="AW7" i="1"/>
  <c r="AW58" i="1"/>
  <c r="AW146" i="1"/>
  <c r="AW157" i="1"/>
  <c r="AS189" i="1"/>
  <c r="AS200" i="1"/>
  <c r="AS229" i="1"/>
  <c r="AW284" i="1"/>
  <c r="AS288" i="1"/>
  <c r="AS34" i="1"/>
  <c r="AW37" i="1"/>
  <c r="AS71" i="1"/>
  <c r="AW74" i="1"/>
  <c r="AW99" i="1"/>
  <c r="AS109" i="1"/>
  <c r="AW128" i="1"/>
  <c r="AS150" i="1"/>
  <c r="AW185" i="1"/>
  <c r="AS193" i="1"/>
  <c r="AW200" i="1"/>
  <c r="AW240" i="1"/>
  <c r="AW263" i="1"/>
  <c r="AW189" i="1"/>
  <c r="AS222" i="1"/>
  <c r="AW225" i="1"/>
  <c r="AW229" i="1"/>
  <c r="AS252" i="1"/>
  <c r="AW281" i="1"/>
  <c r="AS285" i="1"/>
  <c r="AW31" i="1"/>
  <c r="AS106" i="1"/>
  <c r="AS122" i="1"/>
  <c r="AS143" i="1"/>
  <c r="AS147" i="1"/>
  <c r="AS208" i="1"/>
  <c r="AW244" i="1"/>
  <c r="AS256" i="1"/>
  <c r="AS8" i="1"/>
  <c r="AW5" i="1"/>
  <c r="AS90" i="1"/>
  <c r="AS168" i="1"/>
  <c r="AW182" i="1"/>
  <c r="AW204" i="1"/>
  <c r="AS212" i="1"/>
  <c r="AW248" i="1"/>
  <c r="AW252" i="1"/>
  <c r="AS260" i="1"/>
  <c r="AW168" i="1"/>
  <c r="AS186" i="1"/>
  <c r="AS190" i="1"/>
  <c r="AS201" i="1"/>
  <c r="AS230" i="1"/>
  <c r="AW237" i="1"/>
  <c r="AS241" i="1"/>
  <c r="AS245" i="1"/>
  <c r="AW256" i="1"/>
  <c r="AS282" i="1"/>
  <c r="AW106" i="1"/>
  <c r="AS35" i="1"/>
  <c r="AS38" i="1"/>
  <c r="AW41" i="1"/>
  <c r="AW62" i="1"/>
  <c r="AS78" i="1"/>
  <c r="AS116" i="1"/>
  <c r="AS119" i="1"/>
  <c r="AW241" i="1"/>
  <c r="AW13" i="1"/>
  <c r="AS126" i="1"/>
  <c r="AS151" i="1"/>
  <c r="AW165" i="1"/>
  <c r="AS183" i="1"/>
  <c r="AS194" i="1"/>
  <c r="AW219" i="1"/>
  <c r="AW226" i="1"/>
  <c r="AS249" i="1"/>
  <c r="AW140" i="1"/>
  <c r="AS144" i="1"/>
  <c r="AS155" i="1"/>
  <c r="AS169" i="1"/>
  <c r="AW183" i="1"/>
  <c r="AW190" i="1"/>
  <c r="AW194" i="1"/>
  <c r="AW230" i="1"/>
  <c r="AW234" i="1"/>
  <c r="AW253" i="1"/>
  <c r="AS261" i="1"/>
  <c r="AS6" i="1"/>
  <c r="AS14" i="1"/>
  <c r="AS22" i="1"/>
  <c r="AS69" i="1"/>
  <c r="AP2" i="1"/>
  <c r="AW11" i="1"/>
  <c r="AW19" i="1"/>
  <c r="AS187" i="1"/>
  <c r="AW257" i="1"/>
  <c r="AS279" i="1"/>
  <c r="AW83" i="1"/>
  <c r="AW90" i="1"/>
  <c r="AW36" i="1"/>
  <c r="AW69" i="1"/>
  <c r="AW76" i="1"/>
  <c r="AW109" i="1"/>
  <c r="AW116" i="1"/>
  <c r="AW121" i="1"/>
  <c r="AS133" i="1"/>
  <c r="AW43" i="1"/>
  <c r="AW50" i="1"/>
  <c r="AW171" i="1"/>
  <c r="AW251" i="1"/>
  <c r="AW267" i="1"/>
  <c r="AS145" i="1"/>
  <c r="AW245" i="1"/>
  <c r="AW53" i="1"/>
  <c r="AW60" i="1"/>
  <c r="AW93" i="1"/>
  <c r="AW100" i="1"/>
  <c r="AW79" i="1"/>
  <c r="AW86" i="1"/>
  <c r="AS125" i="1"/>
  <c r="AW145" i="1"/>
  <c r="AW205" i="1"/>
  <c r="AW211" i="1"/>
  <c r="AW39" i="1"/>
  <c r="AW46" i="1"/>
  <c r="AW65" i="1"/>
  <c r="AW72" i="1"/>
  <c r="AW105" i="1"/>
  <c r="AW112" i="1"/>
  <c r="AW91" i="1"/>
  <c r="AW98" i="1"/>
  <c r="AW125" i="1"/>
  <c r="AW163" i="1"/>
  <c r="AW35" i="1"/>
  <c r="AW42" i="1"/>
  <c r="AW75" i="1"/>
  <c r="AW115" i="1"/>
  <c r="AW45" i="1"/>
  <c r="AW52" i="1"/>
  <c r="AS137" i="1"/>
  <c r="AW169" i="1"/>
  <c r="AW175" i="1"/>
  <c r="AW181" i="1"/>
  <c r="AW193" i="1"/>
  <c r="AW233" i="1"/>
  <c r="AW34" i="1"/>
  <c r="AW63" i="1"/>
  <c r="AW70" i="1"/>
  <c r="AW103" i="1"/>
  <c r="AW110" i="1"/>
  <c r="AW49" i="1"/>
  <c r="AW56" i="1"/>
  <c r="AW89" i="1"/>
  <c r="AW96" i="1"/>
  <c r="AW215" i="1"/>
  <c r="AW249" i="1"/>
  <c r="AW265" i="1"/>
  <c r="AW61" i="1"/>
  <c r="AW68" i="1"/>
  <c r="AW101" i="1"/>
  <c r="AW108" i="1"/>
  <c r="AW149" i="1"/>
  <c r="AW259" i="1"/>
  <c r="AW87" i="1"/>
  <c r="AW94" i="1"/>
  <c r="AS129" i="1"/>
  <c r="AW155" i="1"/>
  <c r="AW197" i="1"/>
  <c r="AW47" i="1"/>
  <c r="AW54" i="1"/>
  <c r="AW33" i="1"/>
  <c r="AW40" i="1"/>
  <c r="AW73" i="1"/>
  <c r="AW80" i="1"/>
  <c r="AW113" i="1"/>
  <c r="AW59" i="1"/>
  <c r="AW129" i="1"/>
  <c r="AS141" i="1"/>
  <c r="AW179" i="1"/>
  <c r="AS213" i="1"/>
  <c r="AW38" i="1"/>
  <c r="AW71" i="1"/>
  <c r="AW78" i="1"/>
  <c r="AW111" i="1"/>
  <c r="AW118" i="1"/>
  <c r="AW213" i="1"/>
  <c r="AW97" i="1"/>
  <c r="AW104" i="1"/>
  <c r="AS121" i="1"/>
  <c r="AS153" i="1"/>
  <c r="AS165" i="1"/>
  <c r="AW207" i="1"/>
  <c r="AW275" i="1"/>
  <c r="AW28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<sst xmlns="http://schemas.openxmlformats.org/spreadsheetml/2006/main" count="3701" uniqueCount="1289">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</sst>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D1" zoomScale="70" zoomScaleNormal="70" workbookViewId="0">
      <selection activeCell="Z5" sqref="Z5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67" width="32.42578125" style="51" customWidth="1"/>
    <col min="16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15</v>
      </c>
      <c r="AQ5" s="68">
        <f t="shared" ref="AQ5:AQ68" si="2">IF(AP5&gt;14,AVERAGE(K5:AO5),"")</f>
        <v>31.74666666666667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1.2307231972424795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15</v>
      </c>
      <c r="AQ6" s="68">
        <f t="shared" si="2"/>
        <v>31.86</v>
      </c>
      <c r="AR6" s="68">
        <f>IFERROR(VLOOKUP(A6,Climatologia_TMAX!A:U,9+$E$2,FALSE),"")</f>
        <v>31.046424304488809</v>
      </c>
      <c r="AS6" s="68">
        <f t="shared" si="3"/>
        <v>0.81357569551119013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113">
        <v>36.4</v>
      </c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15</v>
      </c>
      <c r="AQ7" s="68">
        <f t="shared" si="2"/>
        <v>35.68</v>
      </c>
      <c r="AR7" s="68">
        <f>IFERROR(VLOOKUP(A7,Climatologia_TMAX!A:U,9+$E$2,FALSE),"")</f>
        <v>33.115285708400279</v>
      </c>
      <c r="AS7" s="68">
        <f t="shared" si="3"/>
        <v>2.5647142915997208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15</v>
      </c>
      <c r="AQ8" s="68">
        <f t="shared" si="2"/>
        <v>33.653333333333336</v>
      </c>
      <c r="AR8" s="68">
        <f>IFERROR(VLOOKUP(A8,Climatologia_TMAX!A:U,9+$E$2,FALSE),"")</f>
        <v>32.243805889046577</v>
      </c>
      <c r="AS8" s="68">
        <f t="shared" si="3"/>
        <v>1.4095274442867591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-2.2999999999999972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15</v>
      </c>
      <c r="AQ9" s="68">
        <f t="shared" si="2"/>
        <v>34.926666666666662</v>
      </c>
      <c r="AR9" s="68">
        <f>IFERROR(VLOOKUP(A9,Climatologia_TMAX!A:U,9+$E$2,FALSE),"")</f>
        <v>33.507160697070823</v>
      </c>
      <c r="AS9" s="68">
        <f t="shared" si="3"/>
        <v>1.4195059695958392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15</v>
      </c>
      <c r="AQ10" s="68">
        <f t="shared" si="2"/>
        <v>36.826666666666668</v>
      </c>
      <c r="AR10" s="68">
        <f>IFERROR(VLOOKUP(A10,Climatologia_TMAX!A:U,9+$E$2,FALSE),"")</f>
        <v>35.037947033054557</v>
      </c>
      <c r="AS10" s="68">
        <f t="shared" si="3"/>
        <v>1.7887196336121107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15</v>
      </c>
      <c r="AQ11" s="68">
        <f t="shared" si="2"/>
        <v>39.54</v>
      </c>
      <c r="AR11" s="68">
        <f>IFERROR(VLOOKUP(A11,Climatologia_TMAX!A:U,9+$E$2,FALSE),"")</f>
        <v>35.179462365591398</v>
      </c>
      <c r="AS11" s="68">
        <f t="shared" si="3"/>
        <v>4.3605376344086011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15</v>
      </c>
      <c r="AQ12" s="68">
        <f t="shared" si="2"/>
        <v>34.92</v>
      </c>
      <c r="AR12" s="68">
        <f>IFERROR(VLOOKUP(A12,Climatologia_TMAX!A:U,9+$E$2,FALSE),"")</f>
        <v>33.065084280874721</v>
      </c>
      <c r="AS12" s="68">
        <f t="shared" si="3"/>
        <v>1.8549157191252803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15</v>
      </c>
      <c r="AQ13" s="68">
        <f t="shared" si="2"/>
        <v>36.013333333333335</v>
      </c>
      <c r="AR13" s="68">
        <f>IFERROR(VLOOKUP(A13,Climatologia_TMAX!A:U,9+$E$2,FALSE),"")</f>
        <v>32.703385242862417</v>
      </c>
      <c r="AS13" s="68">
        <f t="shared" si="3"/>
        <v>3.3099480904709182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15</v>
      </c>
      <c r="AQ14" s="68">
        <f t="shared" si="2"/>
        <v>29.58</v>
      </c>
      <c r="AR14" s="68">
        <f>IFERROR(VLOOKUP(A14,Climatologia_TMAX!A:U,9+$E$2,FALSE),"")</f>
        <v>26.343645559538029</v>
      </c>
      <c r="AS14" s="68">
        <f t="shared" si="3"/>
        <v>3.2363544404619695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15</v>
      </c>
      <c r="AQ15" s="68">
        <f t="shared" si="2"/>
        <v>35.64</v>
      </c>
      <c r="AR15" s="68">
        <f>IFERROR(VLOOKUP(A15,Climatologia_TMAX!A:U,9+$E$2,FALSE),"")</f>
        <v>34.207406451612897</v>
      </c>
      <c r="AS15" s="68">
        <f t="shared" si="3"/>
        <v>1.4325935483871035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15</v>
      </c>
      <c r="AQ16" s="68">
        <f t="shared" si="2"/>
        <v>32.086666666666666</v>
      </c>
      <c r="AR16" s="68">
        <f>IFERROR(VLOOKUP(A16,Climatologia_TMAX!A:U,9+$E$2,FALSE),"")</f>
        <v>31.919167946748601</v>
      </c>
      <c r="AS16" s="68">
        <f t="shared" si="3"/>
        <v>0.16749871991806486</v>
      </c>
      <c r="AT16" s="74">
        <f t="shared" si="4"/>
        <v>34.299999999999997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-0.70000000000000284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15</v>
      </c>
      <c r="AQ17" s="68">
        <f t="shared" si="2"/>
        <v>31.333333333333332</v>
      </c>
      <c r="AR17" s="68">
        <f>IFERROR(VLOOKUP(A17,Climatologia_TMAX!A:U,9+$E$2,FALSE),"")</f>
        <v>28.699699180747569</v>
      </c>
      <c r="AS17" s="68">
        <f t="shared" si="3"/>
        <v>2.6336341525857634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15</v>
      </c>
      <c r="AQ18" s="68">
        <f t="shared" si="2"/>
        <v>24.68</v>
      </c>
      <c r="AR18" s="68">
        <f>IFERROR(VLOOKUP(A18,Climatologia_TMAX!A:U,9+$E$2,FALSE),"")</f>
        <v>22.70234743584826</v>
      </c>
      <c r="AS18" s="68">
        <f t="shared" si="3"/>
        <v>1.9776525641517395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15</v>
      </c>
      <c r="AQ19" s="68">
        <f t="shared" si="2"/>
        <v>30.3</v>
      </c>
      <c r="AR19" s="68">
        <f>IFERROR(VLOOKUP(A19,Climatologia_TMAX!A:U,9+$E$2,FALSE),"")</f>
        <v>27.308103225806452</v>
      </c>
      <c r="AS19" s="68">
        <f t="shared" si="3"/>
        <v>2.9918967741935489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15</v>
      </c>
      <c r="AQ20" s="68">
        <f t="shared" si="2"/>
        <v>31.393333333333331</v>
      </c>
      <c r="AR20" s="68">
        <f>IFERROR(VLOOKUP(A20,Climatologia_TMAX!A:U,9+$E$2,FALSE),"")</f>
        <v>28.821983273596171</v>
      </c>
      <c r="AS20" s="68">
        <f t="shared" si="3"/>
        <v>2.5713500597371599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15</v>
      </c>
      <c r="AQ21" s="68">
        <f t="shared" si="2"/>
        <v>35.026666666666664</v>
      </c>
      <c r="AR21" s="68">
        <f>IFERROR(VLOOKUP(A21,Climatologia_TMAX!A:U,9+$E$2,FALSE),"")</f>
        <v>31.558535251017972</v>
      </c>
      <c r="AS21" s="68">
        <f t="shared" si="3"/>
        <v>3.468131415648692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15</v>
      </c>
      <c r="AQ22" s="68">
        <f t="shared" si="2"/>
        <v>20.006666666666664</v>
      </c>
      <c r="AR22" s="68">
        <f>IFERROR(VLOOKUP(A22,Climatologia_TMAX!A:U,9+$E$2,FALSE),"")</f>
        <v>18.772940161432931</v>
      </c>
      <c r="AS22" s="68">
        <f t="shared" si="3"/>
        <v>1.233726505233733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15</v>
      </c>
      <c r="AQ23" s="68">
        <f t="shared" si="2"/>
        <v>32.966666666666669</v>
      </c>
      <c r="AR23" s="68">
        <f>IFERROR(VLOOKUP(A23,Climatologia_TMAX!A:U,9+$E$2,FALSE),"")</f>
        <v>31.11792011972717</v>
      </c>
      <c r="AS23" s="68">
        <f t="shared" si="3"/>
        <v>1.8487465469394984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15</v>
      </c>
      <c r="AQ24" s="68">
        <f t="shared" si="2"/>
        <v>36.213333333333338</v>
      </c>
      <c r="AR24" s="68">
        <f>IFERROR(VLOOKUP(A24,Climatologia_TMAX!A:U,9+$E$2,FALSE),"")</f>
        <v>34.619032258064507</v>
      </c>
      <c r="AS24" s="68">
        <f t="shared" si="3"/>
        <v>1.5943010752688309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15</v>
      </c>
      <c r="AQ25" s="68">
        <f t="shared" si="2"/>
        <v>27.24666666666667</v>
      </c>
      <c r="AR25" s="68">
        <f>IFERROR(VLOOKUP(A25,Climatologia_TMAX!A:U,9+$E$2,FALSE),"")</f>
        <v>26.14732965766952</v>
      </c>
      <c r="AS25" s="68">
        <f t="shared" si="3"/>
        <v>1.0993370089971499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15</v>
      </c>
      <c r="AQ26" s="68">
        <f t="shared" si="2"/>
        <v>15.28</v>
      </c>
      <c r="AR26" s="68">
        <f>IFERROR(VLOOKUP(A26,Climatologia_TMAX!A:U,9+$E$2,FALSE),"")</f>
        <v>14.98521690767519</v>
      </c>
      <c r="AS26" s="68">
        <f t="shared" si="3"/>
        <v>0.29478309232480981</v>
      </c>
      <c r="AT26" s="74">
        <f t="shared" si="4"/>
        <v>17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-3.6000000000000014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15</v>
      </c>
      <c r="AQ27" s="68">
        <f t="shared" si="2"/>
        <v>32.513333333333335</v>
      </c>
      <c r="AR27" s="68">
        <f>IFERROR(VLOOKUP(A27,Climatologia_TMAX!A:U,9+$E$2,FALSE),"")</f>
        <v>31.229699666295879</v>
      </c>
      <c r="AS27" s="68">
        <f t="shared" si="3"/>
        <v>1.2836336670374564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15</v>
      </c>
      <c r="AQ28" s="68">
        <f t="shared" si="2"/>
        <v>32.499999999999993</v>
      </c>
      <c r="AR28" s="68">
        <f>IFERROR(VLOOKUP(A28,Climatologia_TMAX!A:U,9+$E$2,FALSE),"")</f>
        <v>30.80035842293907</v>
      </c>
      <c r="AS28" s="68">
        <f t="shared" si="3"/>
        <v>1.6996415770609232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15</v>
      </c>
      <c r="AQ29" s="68">
        <f t="shared" si="2"/>
        <v>32.366666666666667</v>
      </c>
      <c r="AR29" s="68">
        <f>IFERROR(VLOOKUP(A29,Climatologia_TMAX!A:U,9+$E$2,FALSE),"")</f>
        <v>31.513637374860959</v>
      </c>
      <c r="AS29" s="68">
        <f t="shared" si="3"/>
        <v>0.85302929180570786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15</v>
      </c>
      <c r="AQ30" s="68">
        <f t="shared" si="2"/>
        <v>30.786666666666658</v>
      </c>
      <c r="AR30" s="68">
        <f>IFERROR(VLOOKUP(A30,Climatologia_TMAX!A:U,9+$E$2,FALSE),"")</f>
        <v>29.807563959955498</v>
      </c>
      <c r="AS30" s="68">
        <f t="shared" si="3"/>
        <v>0.97910270671115995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15</v>
      </c>
      <c r="AQ31" s="68">
        <f t="shared" si="2"/>
        <v>31.986666666666672</v>
      </c>
      <c r="AR31" s="68">
        <f>IFERROR(VLOOKUP(A31,Climatologia_TMAX!A:U,9+$E$2,FALSE),"")</f>
        <v>31.390004135649299</v>
      </c>
      <c r="AS31" s="68">
        <f t="shared" si="3"/>
        <v>0.59666253101737254</v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15</v>
      </c>
      <c r="AQ33" s="68">
        <f t="shared" si="2"/>
        <v>26.439999999999998</v>
      </c>
      <c r="AR33" s="68">
        <f>IFERROR(VLOOKUP(A33,Climatologia_TMAX!A:U,9+$E$2,FALSE),"")</f>
        <v>24.65905872628246</v>
      </c>
      <c r="AS33" s="68">
        <f t="shared" si="3"/>
        <v>1.7809412737175379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15</v>
      </c>
      <c r="AQ36" s="68">
        <f t="shared" si="2"/>
        <v>38.426666666666662</v>
      </c>
      <c r="AR36" s="68">
        <f>IFERROR(VLOOKUP(A36,Climatologia_TMAX!A:U,9+$E$2,FALSE),"")</f>
        <v>34.16273657398132</v>
      </c>
      <c r="AS36" s="68">
        <f t="shared" si="3"/>
        <v>4.2639300926853423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15</v>
      </c>
      <c r="AQ38" s="68">
        <f t="shared" si="2"/>
        <v>29.133333333333333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15</v>
      </c>
      <c r="AQ39" s="68">
        <f t="shared" si="2"/>
        <v>27.526666666666664</v>
      </c>
      <c r="AR39" s="68">
        <f>IFERROR(VLOOKUP(A39,Climatologia_TMAX!A:U,9+$E$2,FALSE),"")</f>
        <v>23.769828120099859</v>
      </c>
      <c r="AS39" s="68">
        <f t="shared" si="3"/>
        <v>3.7568385465668044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15</v>
      </c>
      <c r="AQ40" s="68">
        <f t="shared" si="2"/>
        <v>22.186666666666667</v>
      </c>
      <c r="AR40" s="68">
        <f>IFERROR(VLOOKUP(A40,Climatologia_TMAX!A:U,9+$E$2,FALSE),"")</f>
        <v>20.644739340007408</v>
      </c>
      <c r="AS40" s="68">
        <f t="shared" si="3"/>
        <v>1.541927326659259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15</v>
      </c>
      <c r="AQ42" s="68">
        <f t="shared" si="2"/>
        <v>33.226666666666667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15</v>
      </c>
      <c r="AQ43" s="68">
        <f t="shared" si="2"/>
        <v>32.81333333333334</v>
      </c>
      <c r="AR43" s="68">
        <f>IFERROR(VLOOKUP(A43,Climatologia_TMAX!A:U,9+$E$2,FALSE),"")</f>
        <v>31.773456872106181</v>
      </c>
      <c r="AS43" s="68">
        <f t="shared" si="3"/>
        <v>1.0398764612271592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14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15</v>
      </c>
      <c r="AQ45" s="68">
        <f t="shared" si="2"/>
        <v>35.613333333333337</v>
      </c>
      <c r="AR45" s="68">
        <f>IFERROR(VLOOKUP(A45,Climatologia_TMAX!A:U,9+$E$2,FALSE),"")</f>
        <v>32.923758320532507</v>
      </c>
      <c r="AS45" s="68">
        <f t="shared" si="3"/>
        <v>2.6895750128008302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15</v>
      </c>
      <c r="AQ46" s="68">
        <f t="shared" si="2"/>
        <v>31.759999999999998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15</v>
      </c>
      <c r="AQ49" s="68">
        <f t="shared" si="2"/>
        <v>34.846666666666671</v>
      </c>
      <c r="AR49" s="68">
        <f>IFERROR(VLOOKUP(A49,Climatologia_TMAX!A:U,9+$E$2,FALSE),"")</f>
        <v>32.535336464610658</v>
      </c>
      <c r="AS49" s="68">
        <f t="shared" si="3"/>
        <v>2.3113302020560127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14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15</v>
      </c>
      <c r="AQ53" s="68">
        <f t="shared" si="2"/>
        <v>34.213333333333338</v>
      </c>
      <c r="AR53" s="68">
        <f>IFERROR(VLOOKUP(A53,Climatologia_TMAX!A:U,9+$E$2,FALSE),"")</f>
        <v>32.397587365591413</v>
      </c>
      <c r="AS53" s="68">
        <f t="shared" si="3"/>
        <v>1.8157459677419254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15</v>
      </c>
      <c r="AQ54" s="68">
        <f t="shared" si="2"/>
        <v>37.906666666666659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14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15</v>
      </c>
      <c r="AQ67" s="68">
        <f t="shared" si="2"/>
        <v>33.586666666666666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13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15</v>
      </c>
      <c r="AQ76" s="68">
        <f t="shared" si="7"/>
        <v>35.013333333333335</v>
      </c>
      <c r="AR76" s="68">
        <f>IFERROR(VLOOKUP(A76,Climatologia_TMAX!A:U,9+$E$2,FALSE),"")</f>
        <v>32.131914371977928</v>
      </c>
      <c r="AS76" s="68">
        <f t="shared" si="8"/>
        <v>2.8814189613554078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15</v>
      </c>
      <c r="AQ77" s="68">
        <f t="shared" si="7"/>
        <v>31.560000000000002</v>
      </c>
      <c r="AR77" s="68">
        <f>IFERROR(VLOOKUP(A77,Climatologia_TMAX!A:U,9+$E$2,FALSE),"")</f>
        <v>30.717419354838722</v>
      </c>
      <c r="AS77" s="68">
        <f t="shared" si="8"/>
        <v>0.84258064516128073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15</v>
      </c>
      <c r="AQ81" s="68">
        <f t="shared" si="7"/>
        <v>30.980000000000004</v>
      </c>
      <c r="AR81" s="68">
        <f>IFERROR(VLOOKUP(A81,Climatologia_TMAX!A:U,9+$E$2,FALSE),"")</f>
        <v>30.066096038514271</v>
      </c>
      <c r="AS81" s="68">
        <f t="shared" si="8"/>
        <v>0.91390396148573316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15</v>
      </c>
      <c r="AQ83" s="68">
        <f t="shared" si="7"/>
        <v>32.493333333333332</v>
      </c>
      <c r="AR83" s="68">
        <f>IFERROR(VLOOKUP(A83,Climatologia_TMAX!A:U,9+$E$2,FALSE),"")</f>
        <v>30.100740998164522</v>
      </c>
      <c r="AS83" s="68">
        <f t="shared" si="8"/>
        <v>2.3925923351688105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/>
      <c r="X85" s="66">
        <v>25.6</v>
      </c>
      <c r="Y85" s="66">
        <v>29.8</v>
      </c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14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14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15</v>
      </c>
      <c r="AQ87" s="68">
        <f t="shared" si="7"/>
        <v>31.759999999999991</v>
      </c>
      <c r="AR87" s="68">
        <f>IFERROR(VLOOKUP(A87,Climatologia_TMAX!A:U,9+$E$2,FALSE),"")</f>
        <v>30.420577139515899</v>
      </c>
      <c r="AS87" s="68">
        <f t="shared" si="8"/>
        <v>1.3394228604840919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15</v>
      </c>
      <c r="AQ90" s="68">
        <f t="shared" si="7"/>
        <v>31.333333333333329</v>
      </c>
      <c r="AR90" s="68">
        <f>IFERROR(VLOOKUP(A90,Climatologia_TMAX!A:U,9+$E$2,FALSE),"")</f>
        <v>30.14398006331821</v>
      </c>
      <c r="AS90" s="68">
        <f t="shared" si="8"/>
        <v>1.1893532700151184</v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15</v>
      </c>
      <c r="AQ91" s="68">
        <f t="shared" si="7"/>
        <v>31.520000000000003</v>
      </c>
      <c r="AR91" s="68">
        <f>IFERROR(VLOOKUP(A91,Climatologia_TMAX!A:U,9+$E$2,FALSE),"")</f>
        <v>30.948480459796951</v>
      </c>
      <c r="AS91" s="68">
        <f t="shared" si="8"/>
        <v>0.5715195402030524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7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15</v>
      </c>
      <c r="AQ94" s="68">
        <f t="shared" si="7"/>
        <v>32.053333333333327</v>
      </c>
      <c r="AR94" s="68">
        <f>IFERROR(VLOOKUP(A94,Climatologia_TMAX!A:U,9+$E$2,FALSE),"")</f>
        <v>31.022074370307589</v>
      </c>
      <c r="AS94" s="68">
        <f t="shared" si="8"/>
        <v>1.0312589630257385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13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15</v>
      </c>
      <c r="AQ100" s="68">
        <f t="shared" si="7"/>
        <v>39.279999999999994</v>
      </c>
      <c r="AR100" s="68">
        <f>IFERROR(VLOOKUP(A100,Climatologia_TMAX!A:U,9+$E$2,FALSE),"")</f>
        <v>37.075361698510143</v>
      </c>
      <c r="AS100" s="68">
        <f t="shared" si="8"/>
        <v>2.204638301489851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14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15</v>
      </c>
      <c r="AQ104" s="68">
        <f t="shared" si="7"/>
        <v>37.453333333333333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15</v>
      </c>
      <c r="AQ105" s="68">
        <f t="shared" si="7"/>
        <v>30.173333333333336</v>
      </c>
      <c r="AR105" s="68">
        <f>IFERROR(VLOOKUP(A105,Climatologia_TMAX!A:U,9+$E$2,FALSE),"")</f>
        <v>30.030668369518938</v>
      </c>
      <c r="AS105" s="68">
        <f t="shared" si="8"/>
        <v>0.14266496381439708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14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15</v>
      </c>
      <c r="AQ108" s="68">
        <f t="shared" si="7"/>
        <v>31.346666666666671</v>
      </c>
      <c r="AR108" s="68">
        <f>IFERROR(VLOOKUP(A108,Climatologia_TMAX!A:U,9+$E$2,FALSE),"")</f>
        <v>30.571207119021128</v>
      </c>
      <c r="AS108" s="68">
        <f t="shared" si="8"/>
        <v>0.77545954764554281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15</v>
      </c>
      <c r="AQ109" s="68">
        <f t="shared" si="7"/>
        <v>26.813333333333336</v>
      </c>
      <c r="AR109" s="68">
        <f>IFERROR(VLOOKUP(A109,Climatologia_TMAX!A:U,9+$E$2,FALSE),"")</f>
        <v>25.742317801672641</v>
      </c>
      <c r="AS109" s="68">
        <f t="shared" si="8"/>
        <v>1.0710155316606951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15</v>
      </c>
      <c r="AQ111" s="68">
        <f t="shared" si="7"/>
        <v>39.546666666666667</v>
      </c>
      <c r="AR111" s="68">
        <f>IFERROR(VLOOKUP(A111,Climatologia_TMAX!A:U,9+$E$2,FALSE),"")</f>
        <v>35.400483796811272</v>
      </c>
      <c r="AS111" s="68">
        <f t="shared" si="8"/>
        <v>4.1461828698553944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15</v>
      </c>
      <c r="AQ112" s="68">
        <f t="shared" si="7"/>
        <v>36.72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-2.3999999999999986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15</v>
      </c>
      <c r="AQ114" s="68">
        <f t="shared" si="7"/>
        <v>38.04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15</v>
      </c>
      <c r="AQ115" s="68">
        <f t="shared" si="7"/>
        <v>38.166666666666664</v>
      </c>
      <c r="AR115" s="68">
        <f>IFERROR(VLOOKUP(A115,Climatologia_TMAX!A:U,9+$E$2,FALSE),"")</f>
        <v>35.599806409679189</v>
      </c>
      <c r="AS115" s="68">
        <f t="shared" si="8"/>
        <v>2.566860256987475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15</v>
      </c>
      <c r="AQ118" s="68">
        <f t="shared" si="7"/>
        <v>38.213333333333338</v>
      </c>
      <c r="AR118" s="68">
        <f>IFERROR(VLOOKUP(A118,Climatologia_TMAX!A:U,9+$E$2,FALSE),"")</f>
        <v>34.447006277967013</v>
      </c>
      <c r="AS118" s="68">
        <f t="shared" si="8"/>
        <v>3.7663270553663253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15</v>
      </c>
      <c r="AQ119" s="68">
        <f t="shared" si="7"/>
        <v>39.666666666666664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14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15</v>
      </c>
      <c r="AQ122" s="68">
        <f t="shared" si="7"/>
        <v>30.866666666666667</v>
      </c>
      <c r="AR122" s="68">
        <f>IFERROR(VLOOKUP(A122,Climatologia_TMAX!A:U,9+$E$2,FALSE),"")</f>
        <v>28.13354838709677</v>
      </c>
      <c r="AS122" s="68">
        <f t="shared" si="8"/>
        <v>2.7331182795698972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15</v>
      </c>
      <c r="AQ123" s="68">
        <f t="shared" si="7"/>
        <v>32.093333333333334</v>
      </c>
      <c r="AR123" s="68">
        <f>IFERROR(VLOOKUP(A123,Climatologia_TMAX!A:U,9+$E$2,FALSE),"")</f>
        <v>29.851373954599769</v>
      </c>
      <c r="AS123" s="68">
        <f t="shared" si="8"/>
        <v>2.241959378733565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15</v>
      </c>
      <c r="AQ124" s="68">
        <f t="shared" si="7"/>
        <v>32.346666666666657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12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-1.6000000000000014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15</v>
      </c>
      <c r="AQ128" s="68">
        <f t="shared" si="7"/>
        <v>23.466666666666661</v>
      </c>
      <c r="AR128" s="68">
        <f>IFERROR(VLOOKUP(A128,Climatologia_TMAX!A:U,9+$E$2,FALSE),"")</f>
        <v>19.945241107257019</v>
      </c>
      <c r="AS128" s="68">
        <f t="shared" si="8"/>
        <v>3.5214255594096429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15</v>
      </c>
      <c r="AQ129" s="68">
        <f t="shared" si="7"/>
        <v>26.813333333333333</v>
      </c>
      <c r="AR129" s="68">
        <f>IFERROR(VLOOKUP(A129,Climatologia_TMAX!A:U,9+$E$2,FALSE),"")</f>
        <v>24.697992831541221</v>
      </c>
      <c r="AS129" s="68">
        <f t="shared" si="8"/>
        <v>2.1153405017921116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12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13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15</v>
      </c>
      <c r="AQ135" s="68">
        <f t="shared" si="12"/>
        <v>23.68</v>
      </c>
      <c r="AR135" s="68">
        <f>IFERROR(VLOOKUP(A135,Climatologia_TMAX!A:U,9+$E$2,FALSE),"")</f>
        <v>23.503001430160491</v>
      </c>
      <c r="AS135" s="68">
        <f t="shared" si="13"/>
        <v>0.17699856983950824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15</v>
      </c>
      <c r="AQ138" s="68">
        <f t="shared" si="12"/>
        <v>21.933333333333334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15</v>
      </c>
      <c r="AQ139" s="68">
        <f t="shared" si="12"/>
        <v>21.699999999999996</v>
      </c>
      <c r="AR139" s="68">
        <f>IFERROR(VLOOKUP(A139,Climatologia_TMAX!A:U,9+$E$2,FALSE),"")</f>
        <v>20.714326639736161</v>
      </c>
      <c r="AS139" s="68">
        <f t="shared" si="13"/>
        <v>0.98567336026383501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14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25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15</v>
      </c>
      <c r="AQ141" s="68">
        <f t="shared" si="12"/>
        <v>19.466666666666665</v>
      </c>
      <c r="AR141" s="68">
        <f>IFERROR(VLOOKUP(A141,Climatologia_TMAX!A:U,9+$E$2,FALSE),"")</f>
        <v>18.072580645161288</v>
      </c>
      <c r="AS141" s="68">
        <f t="shared" si="13"/>
        <v>1.3940860215053767</v>
      </c>
      <c r="AT141" s="74">
        <f t="shared" si="14"/>
        <v>20.8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-3.5999999999999979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15</v>
      </c>
      <c r="AQ142" s="68">
        <f t="shared" si="12"/>
        <v>18.506666666666668</v>
      </c>
      <c r="AR142" s="68">
        <f>IFERROR(VLOOKUP(A142,Climatologia_TMAX!A:U,9+$E$2,FALSE),"")</f>
        <v>17.502950587315588</v>
      </c>
      <c r="AS142" s="68">
        <f t="shared" si="13"/>
        <v>1.0037160793510793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15</v>
      </c>
      <c r="AQ146" s="68">
        <f t="shared" si="12"/>
        <v>21.44</v>
      </c>
      <c r="AR146" s="68">
        <f>IFERROR(VLOOKUP(A146,Climatologia_TMAX!A:U,9+$E$2,FALSE),"")</f>
        <v>21.065636230144019</v>
      </c>
      <c r="AS146" s="68">
        <f t="shared" si="13"/>
        <v>0.3743637698559823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-3.2000000000000028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13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14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27.6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15</v>
      </c>
      <c r="AQ153" s="68">
        <f t="shared" si="12"/>
        <v>20.506666666666664</v>
      </c>
      <c r="AR153" s="68">
        <f>IFERROR(VLOOKUP(A153,Climatologia_TMAX!A:U,9+$E$2,FALSE),"")</f>
        <v>17.087318670151451</v>
      </c>
      <c r="AS153" s="68">
        <f t="shared" si="13"/>
        <v>3.4193479965152136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-0.59999999999999787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15</v>
      </c>
      <c r="AQ154" s="68">
        <f t="shared" si="12"/>
        <v>19.026666666666664</v>
      </c>
      <c r="AR154" s="68">
        <f>IFERROR(VLOOKUP(A154,Climatologia_TMAX!A:U,9+$E$2,FALSE),"")</f>
        <v>17.894822708653351</v>
      </c>
      <c r="AS154" s="68">
        <f t="shared" si="13"/>
        <v>1.1318439580133131</v>
      </c>
      <c r="AT154" s="74">
        <f t="shared" si="14"/>
        <v>20.399999999999999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15</v>
      </c>
      <c r="AQ156" s="68">
        <f t="shared" si="12"/>
        <v>21.38666666666667</v>
      </c>
      <c r="AR156" s="68">
        <f>IFERROR(VLOOKUP(A156,Climatologia_TMAX!A:U,9+$E$2,FALSE),"")</f>
        <v>19.9787274899533</v>
      </c>
      <c r="AS156" s="68">
        <f t="shared" si="13"/>
        <v>1.40793917671337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15</v>
      </c>
      <c r="AQ158" s="68">
        <f t="shared" si="12"/>
        <v>23.813333333333336</v>
      </c>
      <c r="AR158" s="68">
        <f>IFERROR(VLOOKUP(A158,Climatologia_TMAX!A:U,9+$E$2,FALSE),"")</f>
        <v>22.279202508960569</v>
      </c>
      <c r="AS158" s="68">
        <f t="shared" si="13"/>
        <v>1.5341308243727667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15</v>
      </c>
      <c r="AQ160" s="68">
        <f t="shared" si="12"/>
        <v>31.266666666666669</v>
      </c>
      <c r="AR160" s="68">
        <f>IFERROR(VLOOKUP(A160,Climatologia_TMAX!A:U,9+$E$2,FALSE),"")</f>
        <v>29.899582174638489</v>
      </c>
      <c r="AS160" s="68">
        <f t="shared" si="13"/>
        <v>1.3670844920281802</v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15</v>
      </c>
      <c r="AQ164" s="68">
        <f t="shared" si="12"/>
        <v>16.986666666666665</v>
      </c>
      <c r="AR164" s="68">
        <f>IFERROR(VLOOKUP(A164,Climatologia_TMAX!A:U,9+$E$2,FALSE),"")</f>
        <v>16.438135408145051</v>
      </c>
      <c r="AS164" s="68">
        <f t="shared" si="13"/>
        <v>0.54853125852161355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14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15</v>
      </c>
      <c r="AQ166" s="68">
        <f t="shared" si="12"/>
        <v>14.413333333333332</v>
      </c>
      <c r="AR166" s="68">
        <f>IFERROR(VLOOKUP(A166,Climatologia_TMAX!A:U,9+$E$2,FALSE),"")</f>
        <v>14.28566120241295</v>
      </c>
      <c r="AS166" s="68">
        <f t="shared" si="13"/>
        <v>0.12767213092038254</v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15</v>
      </c>
      <c r="AQ167" s="68">
        <f t="shared" si="12"/>
        <v>16.819999999999997</v>
      </c>
      <c r="AR167" s="68">
        <f>IFERROR(VLOOKUP(A167,Climatologia_TMAX!A:U,9+$E$2,FALSE),"")</f>
        <v>15.33697398819201</v>
      </c>
      <c r="AS167" s="68">
        <f t="shared" si="13"/>
        <v>1.4830260118079863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15</v>
      </c>
      <c r="AQ168" s="68">
        <f t="shared" si="12"/>
        <v>22.240000000000002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23.8</v>
      </c>
      <c r="T172" s="66"/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14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14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15</v>
      </c>
      <c r="AQ175" s="68">
        <f t="shared" si="12"/>
        <v>17.2</v>
      </c>
      <c r="AR175" s="68">
        <f>IFERROR(VLOOKUP(A175,Climatologia_TMAX!A:U,9+$E$2,FALSE),"")</f>
        <v>16.77337009846331</v>
      </c>
      <c r="AS175" s="68">
        <f t="shared" si="13"/>
        <v>0.426629901536689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9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15</v>
      </c>
      <c r="AQ180" s="68">
        <f t="shared" si="12"/>
        <v>24.159999999999993</v>
      </c>
      <c r="AR180" s="68">
        <f>IFERROR(VLOOKUP(A180,Climatologia_TMAX!A:U,9+$E$2,FALSE),"")</f>
        <v>22.045425414753339</v>
      </c>
      <c r="AS180" s="68">
        <f t="shared" si="13"/>
        <v>2.114574585246654</v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15</v>
      </c>
      <c r="AQ181" s="68">
        <f t="shared" si="12"/>
        <v>18.40666666666667</v>
      </c>
      <c r="AR181" s="68">
        <f>IFERROR(VLOOKUP(A181,Climatologia_TMAX!A:U,9+$E$2,FALSE),"")</f>
        <v>17.645817781073621</v>
      </c>
      <c r="AS181" s="68">
        <f t="shared" si="13"/>
        <v>0.76084888559304886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14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15</v>
      </c>
      <c r="AQ183" s="68">
        <f t="shared" si="12"/>
        <v>30.279999999999998</v>
      </c>
      <c r="AR183" s="68">
        <f>IFERROR(VLOOKUP(A183,Climatologia_TMAX!A:U,9+$E$2,FALSE),"")</f>
        <v>27.239077646938501</v>
      </c>
      <c r="AS183" s="68">
        <f t="shared" si="13"/>
        <v>3.0409223530614966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15</v>
      </c>
      <c r="AQ184" s="68">
        <f t="shared" si="12"/>
        <v>16.239999999999998</v>
      </c>
      <c r="AR184" s="68">
        <f>IFERROR(VLOOKUP(A184,Climatologia_TMAX!A:U,9+$E$2,FALSE),"")</f>
        <v>14.56273340748981</v>
      </c>
      <c r="AS184" s="68">
        <f t="shared" si="13"/>
        <v>1.6772665925101879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14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15</v>
      </c>
      <c r="AQ186" s="68">
        <f t="shared" si="12"/>
        <v>30.666666666666671</v>
      </c>
      <c r="AR186" s="68">
        <f>IFERROR(VLOOKUP(A186,Climatologia_TMAX!A:U,9+$E$2,FALSE),"")</f>
        <v>28.080800691244239</v>
      </c>
      <c r="AS186" s="68">
        <f t="shared" si="13"/>
        <v>2.5858659754224327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13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15</v>
      </c>
      <c r="AQ188" s="68">
        <f t="shared" si="12"/>
        <v>13.293333333333331</v>
      </c>
      <c r="AR188" s="68">
        <f>IFERROR(VLOOKUP(A188,Climatologia_TMAX!A:U,9+$E$2,FALSE),"")</f>
        <v>13.20223385477499</v>
      </c>
      <c r="AS188" s="68">
        <f t="shared" si="13"/>
        <v>9.1099478558341218E-2</v>
      </c>
      <c r="AT188" s="74">
        <f t="shared" si="14"/>
        <v>14.6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-2.2000000000000011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15</v>
      </c>
      <c r="AQ191" s="68">
        <f t="shared" si="12"/>
        <v>36.92</v>
      </c>
      <c r="AR191" s="68">
        <f>IFERROR(VLOOKUP(A191,Climatologia_TMAX!A:U,9+$E$2,FALSE),"")</f>
        <v>34.386602574288887</v>
      </c>
      <c r="AS191" s="68">
        <f t="shared" si="13"/>
        <v>2.5333974257111151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15</v>
      </c>
      <c r="AQ192" s="68">
        <f t="shared" si="12"/>
        <v>32.013333333333335</v>
      </c>
      <c r="AR192" s="68">
        <f>IFERROR(VLOOKUP(A192,Climatologia_TMAX!A:U,9+$E$2,FALSE),"")</f>
        <v>30.53754007980649</v>
      </c>
      <c r="AS192" s="68">
        <f t="shared" si="13"/>
        <v>1.4757932535268452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15</v>
      </c>
      <c r="AQ193" s="68">
        <f t="shared" si="12"/>
        <v>35.533333333333331</v>
      </c>
      <c r="AR193" s="68">
        <f>IFERROR(VLOOKUP(A193,Climatologia_TMAX!A:U,9+$E$2,FALSE),"")</f>
        <v>32.604882188186302</v>
      </c>
      <c r="AS193" s="68">
        <f t="shared" si="13"/>
        <v>2.9284511451470294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15</v>
      </c>
      <c r="AQ194" s="68">
        <f t="shared" si="12"/>
        <v>36.86666666666666</v>
      </c>
      <c r="AR194" s="68">
        <f>IFERROR(VLOOKUP(A194,Climatologia_TMAX!A:U,9+$E$2,FALSE),"")</f>
        <v>33.982628113224877</v>
      </c>
      <c r="AS194" s="68">
        <f t="shared" si="13"/>
        <v>2.8840385534417834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15</v>
      </c>
      <c r="AQ199" s="68">
        <f t="shared" si="17"/>
        <v>36.333333333333336</v>
      </c>
      <c r="AR199" s="68">
        <f>IFERROR(VLOOKUP(A199,Climatologia_TMAX!A:U,9+$E$2,FALSE),"")</f>
        <v>32.492888905936347</v>
      </c>
      <c r="AS199" s="68">
        <f t="shared" si="18"/>
        <v>3.8404444273969887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15</v>
      </c>
      <c r="AQ200" s="68">
        <f t="shared" si="17"/>
        <v>18.933333333333334</v>
      </c>
      <c r="AR200" s="68">
        <f>IFERROR(VLOOKUP(A200,Climatologia_TMAX!A:U,9+$E$2,FALSE),"")</f>
        <v>17.735029868578259</v>
      </c>
      <c r="AS200" s="68">
        <f t="shared" si="18"/>
        <v>1.1983034647550745</v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-1.8000000000000007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15</v>
      </c>
      <c r="AQ201" s="68">
        <f t="shared" si="17"/>
        <v>25.386666666666663</v>
      </c>
      <c r="AR201" s="68">
        <f>IFERROR(VLOOKUP(A201,Climatologia_TMAX!A:U,9+$E$2,FALSE),"")</f>
        <v>22.75197498391692</v>
      </c>
      <c r="AS201" s="68">
        <f t="shared" si="18"/>
        <v>2.6346916827497431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15</v>
      </c>
      <c r="AQ203" s="68">
        <f t="shared" si="17"/>
        <v>20.786666666666669</v>
      </c>
      <c r="AR203" s="68">
        <f>IFERROR(VLOOKUP(A203,Climatologia_TMAX!A:U,9+$E$2,FALSE),"")</f>
        <v>19.985882256004611</v>
      </c>
      <c r="AS203" s="68">
        <f t="shared" si="18"/>
        <v>0.80078441066205741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15</v>
      </c>
      <c r="AQ205" s="68">
        <f t="shared" si="17"/>
        <v>28.813333333333333</v>
      </c>
      <c r="AR205" s="68">
        <f>IFERROR(VLOOKUP(A205,Climatologia_TMAX!A:U,9+$E$2,FALSE),"")</f>
        <v>26.486742471058381</v>
      </c>
      <c r="AS205" s="68">
        <f t="shared" si="18"/>
        <v>2.3265908622749514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14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15</v>
      </c>
      <c r="AQ209" s="68">
        <f t="shared" si="17"/>
        <v>24.986666666666668</v>
      </c>
      <c r="AR209" s="68">
        <f>IFERROR(VLOOKUP(A209,Climatologia_TMAX!A:U,9+$E$2,FALSE),"")</f>
        <v>24.015476455320719</v>
      </c>
      <c r="AS209" s="68">
        <f t="shared" si="18"/>
        <v>0.97119021134594874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15</v>
      </c>
      <c r="AQ210" s="68">
        <f t="shared" si="17"/>
        <v>31.706666666666667</v>
      </c>
      <c r="AR210" s="68">
        <f>IFERROR(VLOOKUP(A210,Climatologia_TMAX!A:U,9+$E$2,FALSE),"")</f>
        <v>29.654423963133631</v>
      </c>
      <c r="AS210" s="68">
        <f t="shared" si="18"/>
        <v>2.052242703533036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15</v>
      </c>
      <c r="AQ214" s="68">
        <f t="shared" si="17"/>
        <v>30.893333333333331</v>
      </c>
      <c r="AR214" s="68">
        <f>IFERROR(VLOOKUP(A214,Climatologia_TMAX!A:U,9+$E$2,FALSE),"")</f>
        <v>29.107319792911181</v>
      </c>
      <c r="AS214" s="68">
        <f t="shared" si="18"/>
        <v>1.7860135404221502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15</v>
      </c>
      <c r="AQ216" s="68">
        <f t="shared" si="17"/>
        <v>28.186666666666664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15</v>
      </c>
      <c r="AQ217" s="68">
        <f t="shared" si="17"/>
        <v>26.599999999999998</v>
      </c>
      <c r="AR217" s="68">
        <f>IFERROR(VLOOKUP(A217,Climatologia_TMAX!A:U,9+$E$2,FALSE),"")</f>
        <v>23.98799853208218</v>
      </c>
      <c r="AS217" s="68">
        <f t="shared" si="18"/>
        <v>2.6120014679178176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13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15</v>
      </c>
      <c r="AQ222" s="68">
        <f t="shared" si="17"/>
        <v>24.999999999999996</v>
      </c>
      <c r="AR222" s="68">
        <f>IFERROR(VLOOKUP(A222,Climatologia_TMAX!A:U,9+$E$2,FALSE),"")</f>
        <v>22.71125914315569</v>
      </c>
      <c r="AS222" s="68">
        <f t="shared" si="18"/>
        <v>2.2887408568443064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15</v>
      </c>
      <c r="AQ231" s="68">
        <f t="shared" si="17"/>
        <v>32.373333333333328</v>
      </c>
      <c r="AR231" s="68">
        <f>IFERROR(VLOOKUP(A231,Climatologia_TMAX!A:U,9+$E$2,FALSE),"")</f>
        <v>30.333152235427281</v>
      </c>
      <c r="AS231" s="68">
        <f t="shared" si="18"/>
        <v>2.0401810979060464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15</v>
      </c>
      <c r="AQ235" s="68">
        <f t="shared" si="17"/>
        <v>32.893333333333331</v>
      </c>
      <c r="AR235" s="68">
        <f>IFERROR(VLOOKUP(A235,Climatologia_TMAX!A:U,9+$E$2,FALSE),"")</f>
        <v>30.387096774193552</v>
      </c>
      <c r="AS235" s="68">
        <f t="shared" si="18"/>
        <v>2.5062365591397793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14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15</v>
      </c>
      <c r="AQ246" s="68">
        <f t="shared" si="17"/>
        <v>33.786666666666669</v>
      </c>
      <c r="AR246" s="68">
        <f>IFERROR(VLOOKUP(A246,Climatologia_TMAX!A:U,9+$E$2,FALSE),"")</f>
        <v>30.365280795815501</v>
      </c>
      <c r="AS246" s="68">
        <f t="shared" si="18"/>
        <v>3.421385870851168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15</v>
      </c>
      <c r="AQ247" s="68">
        <f t="shared" si="17"/>
        <v>37.706666666666671</v>
      </c>
      <c r="AR247" s="68">
        <f>IFERROR(VLOOKUP(A247,Climatologia_TMAX!A:U,9+$E$2,FALSE),"")</f>
        <v>35.840573622107357</v>
      </c>
      <c r="AS247" s="68">
        <f t="shared" si="18"/>
        <v>1.8660930445593138</v>
      </c>
      <c r="AT247" s="74">
        <f t="shared" si="19"/>
        <v>40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-1.2000000000000028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15</v>
      </c>
      <c r="AQ248" s="68">
        <f t="shared" si="17"/>
        <v>37.200000000000003</v>
      </c>
      <c r="AR248" s="68">
        <f>IFERROR(VLOOKUP(A248,Climatologia_TMAX!A:U,9+$E$2,FALSE),"")</f>
        <v>34.327826313407613</v>
      </c>
      <c r="AS248" s="68">
        <f t="shared" si="18"/>
        <v>2.8721736865923901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15</v>
      </c>
      <c r="AQ249" s="68">
        <f t="shared" si="17"/>
        <v>31.760000000000005</v>
      </c>
      <c r="AR249" s="68">
        <f>IFERROR(VLOOKUP(A249,Climatologia_TMAX!A:U,9+$E$2,FALSE),"")</f>
        <v>31.369964157706089</v>
      </c>
      <c r="AS249" s="68">
        <f t="shared" si="18"/>
        <v>0.39003584229391564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14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15</v>
      </c>
      <c r="AQ252" s="68">
        <f t="shared" si="17"/>
        <v>39.026666666666664</v>
      </c>
      <c r="AR252" s="68">
        <f>IFERROR(VLOOKUP(A252,Climatologia_TMAX!A:U,9+$E$2,FALSE),"")</f>
        <v>35.220558268183389</v>
      </c>
      <c r="AS252" s="68">
        <f t="shared" si="18"/>
        <v>3.8061083984832749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15</v>
      </c>
      <c r="AQ255" s="68">
        <f t="shared" si="17"/>
        <v>35.906666666666666</v>
      </c>
      <c r="AR255" s="68">
        <f>IFERROR(VLOOKUP(A255,Climatologia_TMAX!A:U,9+$E$2,FALSE),"")</f>
        <v>33.060314020206199</v>
      </c>
      <c r="AS255" s="68">
        <f t="shared" si="18"/>
        <v>2.8463526464604669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15</v>
      </c>
      <c r="AQ258" s="68">
        <f t="shared" si="17"/>
        <v>26.373333333333331</v>
      </c>
      <c r="AR258" s="68">
        <f>IFERROR(VLOOKUP(A258,Climatologia_TMAX!A:U,9+$E$2,FALSE),"")</f>
        <v>23.450636822409319</v>
      </c>
      <c r="AS258" s="68">
        <f t="shared" si="18"/>
        <v>2.9226965109240126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15</v>
      </c>
      <c r="AQ259" s="68">
        <f t="shared" si="17"/>
        <v>27.326666666666668</v>
      </c>
      <c r="AR259" s="68">
        <f>IFERROR(VLOOKUP(A259,Climatologia_TMAX!A:U,9+$E$2,FALSE),"")</f>
        <v>26.859267723583631</v>
      </c>
      <c r="AS259" s="68">
        <f t="shared" si="18"/>
        <v>0.46739894308303676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15</v>
      </c>
      <c r="AQ260" s="68">
        <f t="shared" si="17"/>
        <v>22.266666666666666</v>
      </c>
      <c r="AR260" s="68">
        <f>IFERROR(VLOOKUP(A260,Climatologia_TMAX!A:U,9+$E$2,FALSE),"")</f>
        <v>18.882112739608111</v>
      </c>
      <c r="AS260" s="68">
        <f t="shared" si="18"/>
        <v>3.3845539270585547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15</v>
      </c>
      <c r="AQ261" s="68">
        <f t="shared" ref="AQ261:AQ324" si="22">IF(AP261&gt;14,AVERAGE(K261:AO261),"")</f>
        <v>36.306666666666658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15</v>
      </c>
      <c r="AQ262" s="68">
        <f t="shared" si="22"/>
        <v>23.333333333333329</v>
      </c>
      <c r="AR262" s="68">
        <f>IFERROR(VLOOKUP(A262,Climatologia_TMAX!A:U,9+$E$2,FALSE),"")</f>
        <v>21.05350412968302</v>
      </c>
      <c r="AS262" s="68">
        <f t="shared" si="23"/>
        <v>2.2798292036503085</v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15</v>
      </c>
      <c r="AQ268" s="68">
        <f t="shared" si="22"/>
        <v>15.373333333333335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15</v>
      </c>
      <c r="AQ269" s="68">
        <f t="shared" si="22"/>
        <v>20.346666666666668</v>
      </c>
      <c r="AR269" s="68">
        <f>IFERROR(VLOOKUP(A269,Climatologia_TMAX!A:U,9+$E$2,FALSE),"")</f>
        <v>19.143200050320459</v>
      </c>
      <c r="AS269" s="68">
        <f t="shared" si="23"/>
        <v>1.2034666163462084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14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15</v>
      </c>
      <c r="AQ271" s="68">
        <f t="shared" si="22"/>
        <v>16.920000000000002</v>
      </c>
      <c r="AR271" s="68">
        <f>IFERROR(VLOOKUP(A271,Climatologia_TMAX!A:U,9+$E$2,FALSE),"")</f>
        <v>17.371682824188088</v>
      </c>
      <c r="AS271" s="68">
        <f t="shared" si="23"/>
        <v>-0.45168282418808658</v>
      </c>
      <c r="AT271" s="74">
        <f t="shared" si="24"/>
        <v>18.2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-4.4000000000000021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14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15</v>
      </c>
      <c r="AQ273" s="68">
        <f t="shared" si="22"/>
        <v>27.48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14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15</v>
      </c>
      <c r="AQ278" s="68">
        <f t="shared" si="22"/>
        <v>33.786666666666662</v>
      </c>
      <c r="AR278" s="68">
        <f>IFERROR(VLOOKUP(A278,Climatologia_TMAX!A:U,9+$E$2,FALSE),"")</f>
        <v>31.62928722448812</v>
      </c>
      <c r="AS278" s="68">
        <f t="shared" si="23"/>
        <v>2.1573794421785415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15</v>
      </c>
      <c r="AQ279" s="68">
        <f t="shared" si="22"/>
        <v>20.973333333333333</v>
      </c>
      <c r="AR279" s="68">
        <f>IFERROR(VLOOKUP(A279,Climatologia_TMAX!A:U,9+$E$2,FALSE),"")</f>
        <v>20.492876344086021</v>
      </c>
      <c r="AS279" s="68">
        <f t="shared" si="23"/>
        <v>0.48045698924731184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15</v>
      </c>
      <c r="AQ280" s="68">
        <f t="shared" si="22"/>
        <v>33.226666666666674</v>
      </c>
      <c r="AR280" s="68">
        <f>IFERROR(VLOOKUP(A280,Climatologia_TMAX!A:U,9+$E$2,FALSE),"")</f>
        <v>29.755468215712931</v>
      </c>
      <c r="AS280" s="68">
        <f t="shared" si="23"/>
        <v>3.471198450953743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15</v>
      </c>
      <c r="AQ281" s="68">
        <f t="shared" si="22"/>
        <v>22.44</v>
      </c>
      <c r="AR281" s="68">
        <f>IFERROR(VLOOKUP(A281,Climatologia_TMAX!A:U,9+$E$2,FALSE),"")</f>
        <v>19.62978110599078</v>
      </c>
      <c r="AS281" s="68">
        <f t="shared" si="23"/>
        <v>2.8102188940092212</v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12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15</v>
      </c>
      <c r="AQ284" s="68">
        <f t="shared" si="22"/>
        <v>19.146666666666665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15</v>
      </c>
      <c r="AQ285" s="68">
        <f t="shared" si="22"/>
        <v>20.706666666666667</v>
      </c>
      <c r="AR285" s="68">
        <f>IFERROR(VLOOKUP(A285,Climatologia_TMAX!A:U,9+$E$2,FALSE),"")</f>
        <v>19.309961016360539</v>
      </c>
      <c r="AS285" s="68">
        <f t="shared" si="23"/>
        <v>1.3967056503061279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15</v>
      </c>
      <c r="AQ287" s="68">
        <f t="shared" si="22"/>
        <v>19.586666666666666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2" t="s">
        <v>869</v>
      </c>
      <c r="B1" s="122" t="s">
        <v>7</v>
      </c>
      <c r="C1" s="122" t="s">
        <v>10</v>
      </c>
      <c r="D1" s="122" t="s">
        <v>9</v>
      </c>
      <c r="E1" s="122" t="s">
        <v>11</v>
      </c>
      <c r="F1" s="122" t="s">
        <v>15</v>
      </c>
      <c r="G1" s="122" t="s">
        <v>870</v>
      </c>
      <c r="H1" s="124" t="s">
        <v>871</v>
      </c>
      <c r="I1" s="125"/>
      <c r="J1" s="126"/>
      <c r="K1" s="124" t="s">
        <v>872</v>
      </c>
      <c r="L1" s="125"/>
      <c r="M1" s="126"/>
      <c r="N1" s="124" t="s">
        <v>873</v>
      </c>
      <c r="O1" s="125"/>
      <c r="P1" s="126"/>
      <c r="Q1" s="124" t="s">
        <v>874</v>
      </c>
      <c r="R1" s="125"/>
      <c r="S1" s="126"/>
      <c r="T1" s="124" t="s">
        <v>875</v>
      </c>
      <c r="U1" s="125"/>
      <c r="V1" s="126"/>
      <c r="W1" s="124" t="s">
        <v>876</v>
      </c>
      <c r="X1" s="125"/>
      <c r="Y1" s="126"/>
      <c r="Z1" s="124" t="s">
        <v>877</v>
      </c>
      <c r="AA1" s="125"/>
      <c r="AB1" s="126"/>
      <c r="AC1" s="124" t="s">
        <v>878</v>
      </c>
      <c r="AD1" s="125"/>
      <c r="AE1" s="126"/>
      <c r="AF1" s="124" t="s">
        <v>879</v>
      </c>
      <c r="AG1" s="125"/>
      <c r="AH1" s="126"/>
      <c r="AI1" s="124" t="s">
        <v>880</v>
      </c>
      <c r="AJ1" s="125"/>
      <c r="AK1" s="126"/>
      <c r="AL1" s="124" t="s">
        <v>881</v>
      </c>
      <c r="AM1" s="125"/>
      <c r="AN1" s="126"/>
      <c r="AO1" s="124" t="s">
        <v>882</v>
      </c>
      <c r="AP1" s="125"/>
      <c r="AQ1" s="126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5" width="11.42578125" style="42" customWidth="1"/>
    <col min="116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2026-08-16T16:06:16Z</dcterms:modified>
</cp:coreProperties>
</file>