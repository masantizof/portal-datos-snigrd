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EA4C11C-DBD9-4E69-AE72-A19B4720207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Temperatura!$Y$1:$Y$212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S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S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R170" i="1"/>
  <c r="AP170" i="1"/>
  <c r="AQ170" i="1" s="1"/>
  <c r="AR169" i="1"/>
  <c r="AP169" i="1"/>
  <c r="AQ169" i="1" s="1"/>
  <c r="AS169" i="1" s="1"/>
  <c r="AR168" i="1"/>
  <c r="AP168" i="1"/>
  <c r="AQ168" i="1" s="1"/>
  <c r="AR167" i="1"/>
  <c r="AP167" i="1"/>
  <c r="AQ167" i="1" s="1"/>
  <c r="AS167" i="1" s="1"/>
  <c r="AR166" i="1"/>
  <c r="AP166" i="1"/>
  <c r="AQ166" i="1" s="1"/>
  <c r="AR165" i="1"/>
  <c r="AP165" i="1"/>
  <c r="AQ165" i="1" s="1"/>
  <c r="AR164" i="1"/>
  <c r="AP164" i="1"/>
  <c r="AQ164" i="1" s="1"/>
  <c r="AS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R153" i="1"/>
  <c r="AP153" i="1"/>
  <c r="AQ153" i="1" s="1"/>
  <c r="AR152" i="1"/>
  <c r="AP152" i="1"/>
  <c r="AQ152" i="1" s="1"/>
  <c r="AS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R143" i="1"/>
  <c r="AP143" i="1"/>
  <c r="AQ143" i="1" s="1"/>
  <c r="AR142" i="1"/>
  <c r="AP142" i="1"/>
  <c r="AQ142" i="1" s="1"/>
  <c r="AS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R133" i="1"/>
  <c r="AP133" i="1"/>
  <c r="AQ133" i="1" s="1"/>
  <c r="AR132" i="1"/>
  <c r="AP132" i="1"/>
  <c r="AQ132" i="1" s="1"/>
  <c r="AS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S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S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S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S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S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S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S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S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S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S6" i="1" s="1"/>
  <c r="AR5" i="1"/>
  <c r="AP5" i="1"/>
  <c r="AQ5" i="1" s="1"/>
  <c r="I2" i="1"/>
  <c r="D2" i="1"/>
  <c r="AS125" i="1" l="1"/>
  <c r="AS47" i="1"/>
  <c r="AS77" i="1"/>
  <c r="AS87" i="1"/>
  <c r="AS170" i="1"/>
  <c r="AS101" i="1"/>
  <c r="AS121" i="1"/>
  <c r="AS131" i="1"/>
  <c r="AS141" i="1"/>
  <c r="AS151" i="1"/>
  <c r="AS161" i="1"/>
  <c r="AS201" i="1"/>
  <c r="AS42" i="1"/>
  <c r="AS73" i="1"/>
  <c r="AS83" i="1"/>
  <c r="AS165" i="1"/>
  <c r="AS16" i="1"/>
  <c r="AS28" i="1"/>
  <c r="AS38" i="1"/>
  <c r="AS48" i="1"/>
  <c r="AS58" i="1"/>
  <c r="AS68" i="1"/>
  <c r="AS97" i="1"/>
  <c r="AS137" i="1"/>
  <c r="AS147" i="1"/>
  <c r="AS157" i="1"/>
  <c r="AS19" i="1"/>
  <c r="AS39" i="1"/>
  <c r="AS49" i="1"/>
  <c r="AS59" i="1"/>
  <c r="AS128" i="1"/>
  <c r="AS148" i="1"/>
  <c r="AS187" i="1"/>
  <c r="AS197" i="1"/>
  <c r="AS207" i="1"/>
  <c r="AS50" i="1"/>
  <c r="AS178" i="1"/>
  <c r="AS188" i="1"/>
  <c r="AS11" i="1"/>
  <c r="AS21" i="1"/>
  <c r="AS31" i="1"/>
  <c r="AS41" i="1"/>
  <c r="AS110" i="1"/>
  <c r="AS130" i="1"/>
  <c r="AS150" i="1"/>
  <c r="AS160" i="1"/>
  <c r="AS179" i="1"/>
  <c r="AS12" i="1"/>
  <c r="AS22" i="1"/>
  <c r="AS32" i="1"/>
  <c r="AS210" i="1"/>
  <c r="AS82" i="1"/>
  <c r="AS44" i="1"/>
  <c r="AS54" i="1"/>
  <c r="AS93" i="1"/>
  <c r="AS153" i="1"/>
  <c r="AS182" i="1"/>
  <c r="AS202" i="1"/>
  <c r="AS163" i="1"/>
  <c r="AS173" i="1"/>
  <c r="AS122" i="1"/>
  <c r="AS25" i="1"/>
  <c r="AS35" i="1"/>
  <c r="AS45" i="1"/>
  <c r="AS55" i="1"/>
  <c r="AS65" i="1"/>
  <c r="AS134" i="1"/>
  <c r="AS144" i="1"/>
  <c r="AS154" i="1"/>
  <c r="AS183" i="1"/>
  <c r="AS33" i="1"/>
  <c r="AS158" i="1"/>
  <c r="AS43" i="1"/>
  <c r="AS53" i="1"/>
  <c r="AS119" i="1"/>
  <c r="AS139" i="1"/>
  <c r="AS149" i="1"/>
  <c r="AS34" i="1"/>
  <c r="AS63" i="1"/>
  <c r="AS72" i="1"/>
  <c r="AS159" i="1"/>
  <c r="AS168" i="1"/>
  <c r="AS177" i="1"/>
  <c r="AS140" i="1"/>
  <c r="AS64" i="1"/>
  <c r="AS143" i="1"/>
  <c r="AS7" i="1"/>
  <c r="AS17" i="1"/>
  <c r="AS27" i="1"/>
  <c r="AS37" i="1"/>
  <c r="AS66" i="1"/>
  <c r="AS75" i="1"/>
  <c r="AS84" i="1"/>
  <c r="AS10" i="1"/>
  <c r="AS20" i="1"/>
  <c r="AS30" i="1"/>
  <c r="AS40" i="1"/>
  <c r="AS192" i="1"/>
  <c r="AS193" i="1"/>
  <c r="AS212" i="1"/>
  <c r="AS61" i="1"/>
  <c r="AS70" i="1"/>
  <c r="AS79" i="1"/>
  <c r="AS88" i="1"/>
  <c r="AS107" i="1"/>
  <c r="AS117" i="1"/>
  <c r="AS127" i="1"/>
  <c r="AS57" i="1"/>
  <c r="AS5" i="1"/>
  <c r="AS14" i="1"/>
  <c r="AS23" i="1"/>
  <c r="AS96" i="1"/>
  <c r="AS105" i="1"/>
  <c r="AS114" i="1"/>
  <c r="AS123" i="1"/>
  <c r="AS196" i="1"/>
  <c r="AS205" i="1"/>
  <c r="AS51" i="1"/>
  <c r="AS60" i="1"/>
  <c r="AS69" i="1"/>
  <c r="AS78" i="1"/>
  <c r="AS15" i="1"/>
  <c r="AS106" i="1"/>
  <c r="AS115" i="1"/>
  <c r="AS124" i="1"/>
  <c r="AS133" i="1"/>
  <c r="AS206" i="1"/>
  <c r="AS71" i="1"/>
  <c r="AS80" i="1"/>
  <c r="AS89" i="1"/>
  <c r="AS98" i="1"/>
  <c r="AS171" i="1"/>
  <c r="AS180" i="1"/>
  <c r="AS189" i="1"/>
  <c r="AS198" i="1"/>
  <c r="AS24" i="1"/>
  <c r="AS8" i="1"/>
  <c r="AS81" i="1"/>
  <c r="AS90" i="1"/>
  <c r="AS99" i="1"/>
  <c r="AS108" i="1"/>
  <c r="AS181" i="1"/>
  <c r="AS190" i="1"/>
  <c r="AS199" i="1"/>
  <c r="AS208" i="1"/>
  <c r="AS9" i="1"/>
  <c r="AS18" i="1"/>
  <c r="AS91" i="1"/>
  <c r="AS100" i="1"/>
  <c r="AS109" i="1"/>
  <c r="AS118" i="1"/>
  <c r="AS191" i="1"/>
  <c r="AS200" i="1"/>
  <c r="AS209" i="1"/>
  <c r="AS111" i="1"/>
  <c r="AS120" i="1"/>
  <c r="AS129" i="1"/>
  <c r="AS138" i="1"/>
  <c r="AS211" i="1"/>
  <c r="AS166" i="1"/>
  <c r="AS175" i="1"/>
  <c r="AS76" i="1"/>
  <c r="AS85" i="1"/>
  <c r="AS94" i="1"/>
  <c r="AS103" i="1"/>
  <c r="AS176" i="1"/>
  <c r="AS185" i="1"/>
  <c r="AS194" i="1"/>
  <c r="AS203" i="1"/>
  <c r="AS29" i="1"/>
  <c r="AS13" i="1"/>
  <c r="AS86" i="1"/>
  <c r="AS95" i="1"/>
  <c r="AS104" i="1"/>
  <c r="AS113" i="1"/>
  <c r="AS186" i="1"/>
  <c r="AS195" i="1"/>
  <c r="AS204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<sst xmlns="http://schemas.openxmlformats.org/spreadsheetml/2006/main" count="3690" uniqueCount="1514">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</sst>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38" zoomScale="80" zoomScaleNormal="80" workbookViewId="0">
      <selection activeCell="X1" sqref="X1:Y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4" width="32.42578125" style="50" customWidth="1"/>
    <col min="13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15</v>
      </c>
      <c r="AQ5" s="71">
        <f t="shared" ref="AQ5:AQ68" si="1">IF(AP5&gt;14,AVERAGE(K5:AO5),"")</f>
        <v>29.673333333333328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1.3811282809220273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15</v>
      </c>
      <c r="AQ6" s="71">
        <f t="shared" si="1"/>
        <v>29.486666666666668</v>
      </c>
      <c r="AR6" s="71">
        <f>IFERROR(VLOOKUP(A6,Climatologia_TMED!A:U,9+$E$2,FALSE),"")</f>
        <v>28.542323510282561</v>
      </c>
      <c r="AS6" s="71">
        <f t="shared" si="2"/>
        <v>0.94434315638410737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15</v>
      </c>
      <c r="AQ7" s="71">
        <f t="shared" si="1"/>
        <v>31.486666666666665</v>
      </c>
      <c r="AR7" s="71">
        <f>IFERROR(VLOOKUP(A7,Climatologia_TMED!A:U,9+$E$2,FALSE),"")</f>
        <v>28.878924731182799</v>
      </c>
      <c r="AS7" s="71">
        <f t="shared" si="2"/>
        <v>2.6077419354838653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15</v>
      </c>
      <c r="AQ8" s="71">
        <f t="shared" si="1"/>
        <v>30.213333333333331</v>
      </c>
      <c r="AR8" s="71">
        <f>IFERROR(VLOOKUP(A8,Climatologia_TMED!A:U,9+$E$2,FALSE),"")</f>
        <v>28.663204007006499</v>
      </c>
      <c r="AS8" s="71">
        <f t="shared" si="2"/>
        <v>1.5501293263268323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15</v>
      </c>
      <c r="AQ9" s="71">
        <f t="shared" si="1"/>
        <v>30.046666666666667</v>
      </c>
      <c r="AR9" s="71">
        <f>IFERROR(VLOOKUP(A9,Climatologia_TMED!A:U,9+$E$2,FALSE),"")</f>
        <v>29.925161290322539</v>
      </c>
      <c r="AS9" s="71">
        <f t="shared" si="2"/>
        <v>0.12150537634412828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15</v>
      </c>
      <c r="AQ10" s="71">
        <f t="shared" si="1"/>
        <v>32.093333333333334</v>
      </c>
      <c r="AR10" s="71">
        <f>IFERROR(VLOOKUP(A10,Climatologia_TMED!A:U,9+$E$2,FALSE),"")</f>
        <v>29.55639347861802</v>
      </c>
      <c r="AS10" s="71">
        <f t="shared" si="2"/>
        <v>2.5369398547153139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15</v>
      </c>
      <c r="AQ11" s="71">
        <f t="shared" si="1"/>
        <v>33.373333333333328</v>
      </c>
      <c r="AR11" s="71">
        <f>IFERROR(VLOOKUP(A11,Climatologia_TMED!A:U,9+$E$2,FALSE),"")</f>
        <v>29.275519036173971</v>
      </c>
      <c r="AS11" s="71">
        <f t="shared" si="2"/>
        <v>4.0978142971593563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15</v>
      </c>
      <c r="AQ12" s="71">
        <f t="shared" si="1"/>
        <v>30.266666666666662</v>
      </c>
      <c r="AR12" s="71">
        <f>IFERROR(VLOOKUP(A12,Climatologia_TMED!A:U,9+$E$2,FALSE),"")</f>
        <v>28.08210560234475</v>
      </c>
      <c r="AS12" s="71">
        <f t="shared" si="2"/>
        <v>2.1845610643219118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15</v>
      </c>
      <c r="AQ13" s="71">
        <f t="shared" si="1"/>
        <v>31.386666666666663</v>
      </c>
      <c r="AR13" s="71">
        <f>IFERROR(VLOOKUP(A13,Climatologia_TMED!A:U,9+$E$2,FALSE),"")</f>
        <v>28.275630329996261</v>
      </c>
      <c r="AS13" s="71">
        <f t="shared" si="2"/>
        <v>3.1110363366704021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15</v>
      </c>
      <c r="AQ14" s="71">
        <f t="shared" si="1"/>
        <v>25</v>
      </c>
      <c r="AR14" s="71">
        <f>IFERROR(VLOOKUP(A14,Climatologia_TMED!A:U,9+$E$2,FALSE),"")</f>
        <v>21.814997932175341</v>
      </c>
      <c r="AS14" s="71">
        <f t="shared" si="2"/>
        <v>3.1850020678246587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15</v>
      </c>
      <c r="AQ15" s="71">
        <f t="shared" si="1"/>
        <v>31.220000000000002</v>
      </c>
      <c r="AR15" s="71">
        <f>IFERROR(VLOOKUP(A15,Climatologia_TMED!A:U,9+$E$2,FALSE),"")</f>
        <v>28.742611827956981</v>
      </c>
      <c r="AS15" s="71">
        <f t="shared" si="2"/>
        <v>2.4773881720430211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15</v>
      </c>
      <c r="AQ16" s="71">
        <f t="shared" si="1"/>
        <v>28.553333333333331</v>
      </c>
      <c r="AR16" s="71">
        <f>IFERROR(VLOOKUP(A16,Climatologia_TMED!A:U,9+$E$2,FALSE),"")</f>
        <v>27.745849035404088</v>
      </c>
      <c r="AS16" s="71">
        <f t="shared" si="2"/>
        <v>0.8074842979292427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15</v>
      </c>
      <c r="AQ17" s="71">
        <f t="shared" si="1"/>
        <v>26.246666666666663</v>
      </c>
      <c r="AR17" s="71">
        <f>IFERROR(VLOOKUP(A17,Climatologia_TMED!A:U,9+$E$2,FALSE),"")</f>
        <v>23.942684331797231</v>
      </c>
      <c r="AS17" s="71">
        <f t="shared" si="2"/>
        <v>2.3039823348694313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15</v>
      </c>
      <c r="AQ18" s="71">
        <f t="shared" si="1"/>
        <v>19.340000000000007</v>
      </c>
      <c r="AR18" s="71">
        <f>IFERROR(VLOOKUP(A18,Climatologia_TMED!A:U,9+$E$2,FALSE),"")</f>
        <v>17.429768704357489</v>
      </c>
      <c r="AS18" s="71">
        <f t="shared" si="2"/>
        <v>1.910231295642518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15</v>
      </c>
      <c r="AQ19" s="71">
        <f t="shared" si="1"/>
        <v>25.086666666666666</v>
      </c>
      <c r="AR19" s="71">
        <f>IFERROR(VLOOKUP(A19,Climatologia_TMED!A:U,9+$E$2,FALSE),"")</f>
        <v>22.368290322580641</v>
      </c>
      <c r="AS19" s="71">
        <f t="shared" si="2"/>
        <v>2.7183763440860247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14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15</v>
      </c>
      <c r="AQ21" s="71">
        <f t="shared" si="1"/>
        <v>28.853333333333339</v>
      </c>
      <c r="AR21" s="71">
        <f>IFERROR(VLOOKUP(A21,Climatologia_TMED!A:U,9+$E$2,FALSE),"")</f>
        <v>25.445872233516159</v>
      </c>
      <c r="AS21" s="71">
        <f t="shared" si="2"/>
        <v>3.4074610998171799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15</v>
      </c>
      <c r="AQ22" s="71">
        <f t="shared" si="1"/>
        <v>15.72</v>
      </c>
      <c r="AR22" s="71">
        <f>IFERROR(VLOOKUP(A22,Climatologia_TMED!A:U,9+$E$2,FALSE),"")</f>
        <v>13.827819728473219</v>
      </c>
      <c r="AS22" s="71">
        <f t="shared" si="2"/>
        <v>1.8921802715267813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14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15</v>
      </c>
      <c r="AQ24" s="71">
        <f t="shared" si="1"/>
        <v>30.88666666666667</v>
      </c>
      <c r="AR24" s="71">
        <f>IFERROR(VLOOKUP(A24,Climatologia_TMED!A:U,9+$E$2,FALSE),"")</f>
        <v>29.117078853046579</v>
      </c>
      <c r="AS24" s="71">
        <f t="shared" si="2"/>
        <v>1.7695878136200918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15</v>
      </c>
      <c r="AQ25" s="71">
        <f t="shared" si="1"/>
        <v>22.833333333333332</v>
      </c>
      <c r="AR25" s="71">
        <f>IFERROR(VLOOKUP(A25,Climatologia_TMED!A:U,9+$E$2,FALSE),"")</f>
        <v>20.318073144829391</v>
      </c>
      <c r="AS25" s="71">
        <f t="shared" si="2"/>
        <v>2.515260188503941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15</v>
      </c>
      <c r="AQ26" s="71">
        <f t="shared" si="1"/>
        <v>11.359999999999998</v>
      </c>
      <c r="AR26" s="71">
        <f>IFERROR(VLOOKUP(A26,Climatologia_TMED!A:U,9+$E$2,FALSE),"")</f>
        <v>10.2499147200593</v>
      </c>
      <c r="AS26" s="71">
        <f t="shared" si="2"/>
        <v>1.1100852799406979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15</v>
      </c>
      <c r="AQ27" s="71">
        <f t="shared" si="1"/>
        <v>28.413333333333334</v>
      </c>
      <c r="AR27" s="71">
        <f>IFERROR(VLOOKUP(A27,Climatologia_TMED!A:U,9+$E$2,FALSE),"")</f>
        <v>26.978227598566299</v>
      </c>
      <c r="AS27" s="71">
        <f t="shared" si="2"/>
        <v>1.4351057347670348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15</v>
      </c>
      <c r="AQ28" s="71">
        <f t="shared" si="1"/>
        <v>27.946666666666665</v>
      </c>
      <c r="AR28" s="71">
        <f>IFERROR(VLOOKUP(A28,Climatologia_TMED!A:U,9+$E$2,FALSE),"")</f>
        <v>26.165451660622249</v>
      </c>
      <c r="AS28" s="71">
        <f t="shared" si="2"/>
        <v>1.7812150060444161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15</v>
      </c>
      <c r="AQ29" s="71">
        <f t="shared" si="1"/>
        <v>27.826666666666668</v>
      </c>
      <c r="AR29" s="71">
        <f>IFERROR(VLOOKUP(A29,Climatologia_TMED!A:U,9+$E$2,FALSE),"")</f>
        <v>27.268435099846361</v>
      </c>
      <c r="AS29" s="71">
        <f t="shared" si="2"/>
        <v>0.55823156682030728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15</v>
      </c>
      <c r="AQ30" s="71">
        <f t="shared" si="1"/>
        <v>26.073333333333338</v>
      </c>
      <c r="AR30" s="71">
        <f>IFERROR(VLOOKUP(A30,Climatologia_TMED!A:U,9+$E$2,FALSE),"")</f>
        <v>25.205756395995511</v>
      </c>
      <c r="AS30" s="71">
        <f t="shared" si="2"/>
        <v>0.86757693733782659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15</v>
      </c>
      <c r="AQ31" s="71">
        <f t="shared" si="1"/>
        <v>27.666666666666668</v>
      </c>
      <c r="AR31" s="71">
        <f>IFERROR(VLOOKUP(A31,Climatologia_TMED!A:U,9+$E$2,FALSE),"")</f>
        <v>25.960296951277201</v>
      </c>
      <c r="AS31" s="71">
        <f t="shared" si="2"/>
        <v>1.7063697153894672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15</v>
      </c>
      <c r="AQ32" s="71">
        <f t="shared" si="1"/>
        <v>20.102222222222224</v>
      </c>
      <c r="AR32" s="71">
        <f>IFERROR(VLOOKUP(A32,Climatologia_TMED!A:U,9+$E$2,FALSE),"")</f>
        <v>17.69892835396929</v>
      </c>
      <c r="AS32" s="71">
        <f t="shared" si="2"/>
        <v>2.4032938682529341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15</v>
      </c>
      <c r="AQ33" s="71">
        <f t="shared" si="1"/>
        <v>28.106666666666666</v>
      </c>
      <c r="AR33" s="71">
        <f>IFERROR(VLOOKUP(A33,Climatologia_TMED!A:U,9+$E$2,FALSE),"")</f>
        <v>26.885476337530289</v>
      </c>
      <c r="AS33" s="71">
        <f t="shared" si="2"/>
        <v>1.2211903291363768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15</v>
      </c>
      <c r="AQ34" s="71">
        <f t="shared" si="1"/>
        <v>21.742222222222221</v>
      </c>
      <c r="AR34" s="71">
        <f>IFERROR(VLOOKUP(A34,Climatologia_TMED!A:U,9+$E$2,FALSE),"")</f>
        <v>19.861806556333011</v>
      </c>
      <c r="AS34" s="71">
        <f t="shared" si="2"/>
        <v>1.8804156658892097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15</v>
      </c>
      <c r="AQ35" s="71">
        <f t="shared" si="1"/>
        <v>25.251666666666665</v>
      </c>
      <c r="AR35" s="71">
        <f>IFERROR(VLOOKUP(A35,Climatologia_TMED!A:U,9+$E$2,FALSE),"")</f>
        <v>24.163939937062029</v>
      </c>
      <c r="AS35" s="71">
        <f t="shared" si="2"/>
        <v>1.0877267296046362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15</v>
      </c>
      <c r="AQ36" s="71">
        <f t="shared" si="1"/>
        <v>20.209999999999997</v>
      </c>
      <c r="AR36" s="71">
        <f>IFERROR(VLOOKUP(A36,Climatologia_TMED!A:U,9+$E$2,FALSE),"")</f>
        <v>18.948390779307498</v>
      </c>
      <c r="AS36" s="71">
        <f t="shared" si="2"/>
        <v>1.2616092206924989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15</v>
      </c>
      <c r="AQ37" s="71">
        <f t="shared" si="1"/>
        <v>28.053333333333335</v>
      </c>
      <c r="AR37" s="71">
        <f>IFERROR(VLOOKUP(A37,Climatologia_TMED!A:U,9+$E$2,FALSE),"")</f>
        <v>26.09341273397051</v>
      </c>
      <c r="AS37" s="71">
        <f t="shared" si="2"/>
        <v>1.9599205993628246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15</v>
      </c>
      <c r="AQ38" s="71">
        <f t="shared" si="1"/>
        <v>16.156666666666666</v>
      </c>
      <c r="AR38" s="71">
        <f>IFERROR(VLOOKUP(A38,Climatologia_TMED!A:U,9+$E$2,FALSE),"")</f>
        <v>15.0852109133605</v>
      </c>
      <c r="AS38" s="71">
        <f t="shared" si="2"/>
        <v>1.0714557533061662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15</v>
      </c>
      <c r="AQ39" s="71">
        <f t="shared" si="1"/>
        <v>23.533333333333328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11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14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15</v>
      </c>
      <c r="AQ42" s="71">
        <f t="shared" si="1"/>
        <v>28.23</v>
      </c>
      <c r="AR42" s="71">
        <f>IFERROR(VLOOKUP(A42,Climatologia_TMED!A:U,9+$E$2,FALSE),"")</f>
        <v>27.517114695340499</v>
      </c>
      <c r="AS42" s="71">
        <f t="shared" si="2"/>
        <v>0.71288530465950117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14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15</v>
      </c>
      <c r="AQ44" s="71">
        <f t="shared" si="1"/>
        <v>28.755000000000003</v>
      </c>
      <c r="AR44" s="71">
        <f>IFERROR(VLOOKUP(A44,Climatologia_TMED!A:U,9+$E$2,FALSE),"")</f>
        <v>27.22851750737534</v>
      </c>
      <c r="AS44" s="71">
        <f t="shared" si="2"/>
        <v>1.5264824926246625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15</v>
      </c>
      <c r="AQ45" s="71">
        <f t="shared" si="1"/>
        <v>29.366666666666664</v>
      </c>
      <c r="AR45" s="71">
        <f>IFERROR(VLOOKUP(A45,Climatologia_TMED!A:U,9+$E$2,FALSE),"")</f>
        <v>27.597106102685618</v>
      </c>
      <c r="AS45" s="71">
        <f t="shared" si="2"/>
        <v>1.7695605639810452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15</v>
      </c>
      <c r="AQ46" s="71">
        <f t="shared" si="1"/>
        <v>29.064999999999998</v>
      </c>
      <c r="AR46" s="71">
        <f>IFERROR(VLOOKUP(A46,Climatologia_TMED!A:U,9+$E$2,FALSE),"")</f>
        <v>27.738976943755159</v>
      </c>
      <c r="AS46" s="71">
        <f t="shared" si="2"/>
        <v>1.3260230562448392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13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15</v>
      </c>
      <c r="AQ50" s="71">
        <f t="shared" si="1"/>
        <v>29.380000000000006</v>
      </c>
      <c r="AR50" s="71">
        <f>IFERROR(VLOOKUP(A50,Climatologia_TMED!A:U,9+$E$2,FALSE),"")</f>
        <v>27.21920614995987</v>
      </c>
      <c r="AS50" s="71">
        <f t="shared" si="2"/>
        <v>2.160793850040136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15</v>
      </c>
      <c r="AQ53" s="71">
        <f t="shared" si="1"/>
        <v>29.156666666666663</v>
      </c>
      <c r="AR53" s="71">
        <f>IFERROR(VLOOKUP(A53,Climatologia_TMED!A:U,9+$E$2,FALSE),"")</f>
        <v>27.2190910764708</v>
      </c>
      <c r="AS53" s="71">
        <f t="shared" si="2"/>
        <v>1.9375755901958627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15</v>
      </c>
      <c r="AQ54" s="71">
        <f t="shared" si="1"/>
        <v>30.323333333333331</v>
      </c>
      <c r="AR54" s="71">
        <f>IFERROR(VLOOKUP(A54,Climatologia_TMED!A:U,9+$E$2,FALSE),"")</f>
        <v>28.41139216335926</v>
      </c>
      <c r="AS54" s="71">
        <f t="shared" si="2"/>
        <v>1.9119411699740709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14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13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15</v>
      </c>
      <c r="AQ59" s="71">
        <f t="shared" si="1"/>
        <v>28.889999999999997</v>
      </c>
      <c r="AR59" s="71">
        <f>IFERROR(VLOOKUP(A59,Climatologia_TMED!A:U,9+$E$2,FALSE),"")</f>
        <v>27.95576397141701</v>
      </c>
      <c r="AS59" s="71">
        <f t="shared" si="2"/>
        <v>0.93423602858298693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15</v>
      </c>
      <c r="AQ61" s="71">
        <f t="shared" si="1"/>
        <v>27.25</v>
      </c>
      <c r="AR61" s="71">
        <f>IFERROR(VLOOKUP(A61,Climatologia_TMED!A:U,9+$E$2,FALSE),"")</f>
        <v>26.14540821795481</v>
      </c>
      <c r="AS61" s="71">
        <f t="shared" si="2"/>
        <v>1.1045917820451905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14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15</v>
      </c>
      <c r="AQ65" s="71">
        <f t="shared" si="1"/>
        <v>26.056666666666668</v>
      </c>
      <c r="AR65" s="71">
        <f>IFERROR(VLOOKUP(A65,Climatologia_TMED!A:U,9+$E$2,FALSE),"")</f>
        <v>25.359269039673709</v>
      </c>
      <c r="AS65" s="71">
        <f t="shared" si="2"/>
        <v>0.69739762699295937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15</v>
      </c>
      <c r="AQ66" s="71">
        <f t="shared" si="1"/>
        <v>25.776666666666664</v>
      </c>
      <c r="AR66" s="71">
        <f>IFERROR(VLOOKUP(A66,Climatologia_TMED!A:U,9+$E$2,FALSE),"")</f>
        <v>25.449219842417062</v>
      </c>
      <c r="AS66" s="71">
        <f t="shared" si="2"/>
        <v>0.32744682424960203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>
        <v>25.6</v>
      </c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12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15</v>
      </c>
      <c r="AQ68" s="71">
        <f t="shared" si="1"/>
        <v>25.61333333333333</v>
      </c>
      <c r="AR68" s="71">
        <f>IFERROR(VLOOKUP(A68,Climatologia_TMED!A:U,9+$E$2,FALSE),"")</f>
        <v>25.105050309426691</v>
      </c>
      <c r="AS68" s="71">
        <f t="shared" si="2"/>
        <v>0.50828302390663893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15</v>
      </c>
      <c r="AQ69" s="71">
        <f t="shared" ref="AQ69:AQ132" si="4">IF(AP69&gt;14,AVERAGE(K69:AO69),"")</f>
        <v>25.589999999999996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0.73026586578169628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13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15</v>
      </c>
      <c r="AQ71" s="71">
        <f t="shared" si="4"/>
        <v>26.477777777777778</v>
      </c>
      <c r="AR71" s="71">
        <f>IFERROR(VLOOKUP(A71,Climatologia_TMED!A:U,9+$E$2,FALSE),"")</f>
        <v>26.117252164977831</v>
      </c>
      <c r="AS71" s="71">
        <f t="shared" si="5"/>
        <v>0.36052561279994677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14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13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14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15</v>
      </c>
      <c r="AQ76" s="71">
        <f t="shared" si="4"/>
        <v>20.716666666666661</v>
      </c>
      <c r="AR76" s="71">
        <f>IFERROR(VLOOKUP(A76,Climatologia_TMED!A:U,9+$E$2,FALSE),"")</f>
        <v>19.97314578052206</v>
      </c>
      <c r="AS76" s="71">
        <f t="shared" si="5"/>
        <v>0.74352088614460143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15</v>
      </c>
      <c r="AQ77" s="71">
        <f t="shared" si="4"/>
        <v>24.955555555555552</v>
      </c>
      <c r="AR77" s="71">
        <f>IFERROR(VLOOKUP(A77,Climatologia_TMED!A:U,9+$E$2,FALSE),"")</f>
        <v>23.041557017477079</v>
      </c>
      <c r="AS77" s="71">
        <f t="shared" si="5"/>
        <v>1.9139985380784736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15</v>
      </c>
      <c r="AQ78" s="71">
        <f t="shared" si="4"/>
        <v>32.39</v>
      </c>
      <c r="AR78" s="71">
        <f>IFERROR(VLOOKUP(A78,Climatologia_TMED!A:U,9+$E$2,FALSE),"")</f>
        <v>30.200545349460899</v>
      </c>
      <c r="AS78" s="71">
        <f t="shared" si="5"/>
        <v>2.1894546505391013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32.25</v>
      </c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15</v>
      </c>
      <c r="AQ79" s="71">
        <f t="shared" si="4"/>
        <v>31.767777777777784</v>
      </c>
      <c r="AR79" s="71">
        <f>IFERROR(VLOOKUP(A79,Climatologia_TMED!A:U,9+$E$2,FALSE),"")</f>
        <v>30.2833215669562</v>
      </c>
      <c r="AS79" s="71">
        <f t="shared" si="5"/>
        <v>1.484456210821584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14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25.666666666666671</v>
      </c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15</v>
      </c>
      <c r="AQ81" s="71">
        <f t="shared" si="4"/>
        <v>25.191111111111116</v>
      </c>
      <c r="AR81" s="71">
        <f>IFERROR(VLOOKUP(A81,Climatologia_TMED!A:U,9+$E$2,FALSE),"")</f>
        <v>24.759854360077661</v>
      </c>
      <c r="AS81" s="71">
        <f t="shared" si="5"/>
        <v>0.43125675103345529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14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15</v>
      </c>
      <c r="AQ85" s="71">
        <f t="shared" si="4"/>
        <v>32.160000000000004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15</v>
      </c>
      <c r="AQ86" s="71">
        <f t="shared" si="4"/>
        <v>30.2</v>
      </c>
      <c r="AR86" s="71">
        <f>IFERROR(VLOOKUP(A86,Climatologia_TMED!A:U,9+$E$2,FALSE),"")</f>
        <v>28.83382033964488</v>
      </c>
      <c r="AS86" s="71">
        <f t="shared" si="5"/>
        <v>1.3661796603551188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15</v>
      </c>
      <c r="AQ87" s="71">
        <f t="shared" si="4"/>
        <v>31.084999999999997</v>
      </c>
      <c r="AR87" s="71">
        <f>IFERROR(VLOOKUP(A87,Climatologia_TMED!A:U,9+$E$2,FALSE),"")</f>
        <v>28.894325312819621</v>
      </c>
      <c r="AS87" s="71">
        <f t="shared" si="5"/>
        <v>2.1906746871803762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15</v>
      </c>
      <c r="AQ88" s="71">
        <f t="shared" si="4"/>
        <v>30.100000000000005</v>
      </c>
      <c r="AR88" s="71">
        <f>IFERROR(VLOOKUP(A88,Climatologia_TMED!A:U,9+$E$2,FALSE),"")</f>
        <v>28.344159946236552</v>
      </c>
      <c r="AS88" s="71">
        <f t="shared" si="5"/>
        <v>1.7558400537634533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12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15</v>
      </c>
      <c r="AQ90" s="71">
        <f t="shared" si="4"/>
        <v>32.9</v>
      </c>
      <c r="AR90" s="71">
        <f>IFERROR(VLOOKUP(A90,Climatologia_TMED!A:U,9+$E$2,FALSE),"")</f>
        <v>28.656630487957131</v>
      </c>
      <c r="AS90" s="71">
        <f t="shared" si="5"/>
        <v>4.2433695120428681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12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15</v>
      </c>
      <c r="AQ92" s="71">
        <f t="shared" si="4"/>
        <v>17.996666666666666</v>
      </c>
      <c r="AR92" s="71">
        <f>IFERROR(VLOOKUP(A92,Climatologia_TMED!A:U,9+$E$2,FALSE),"")</f>
        <v>16.21673046594978</v>
      </c>
      <c r="AS92" s="71">
        <f t="shared" si="5"/>
        <v>1.779936200716886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15</v>
      </c>
      <c r="AQ93" s="71">
        <f t="shared" si="4"/>
        <v>24.857777777777777</v>
      </c>
      <c r="AR93" s="71">
        <f>IFERROR(VLOOKUP(A93,Climatologia_TMED!A:U,9+$E$2,FALSE),"")</f>
        <v>22.373011505376319</v>
      </c>
      <c r="AS93" s="71">
        <f t="shared" si="5"/>
        <v>2.4847662724014583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15</v>
      </c>
      <c r="AQ94" s="71">
        <f t="shared" si="4"/>
        <v>17.673333333333336</v>
      </c>
      <c r="AR94" s="71">
        <f>IFERROR(VLOOKUP(A94,Climatologia_TMED!A:U,9+$E$2,FALSE),"")</f>
        <v>16.186325847907689</v>
      </c>
      <c r="AS94" s="71">
        <f t="shared" si="5"/>
        <v>1.4870074854256465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15</v>
      </c>
      <c r="AQ95" s="71">
        <f t="shared" si="4"/>
        <v>15.163333333333334</v>
      </c>
      <c r="AR95" s="71">
        <f>IFERROR(VLOOKUP(A95,Climatologia_TMED!A:U,9+$E$2,FALSE),"")</f>
        <v>13.65433628672837</v>
      </c>
      <c r="AS95" s="71">
        <f t="shared" si="5"/>
        <v>1.5089970466049643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15</v>
      </c>
      <c r="AQ98" s="71">
        <f t="shared" si="4"/>
        <v>12.84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15</v>
      </c>
      <c r="AQ99" s="71">
        <f t="shared" si="4"/>
        <v>15.237777777777779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15</v>
      </c>
      <c r="AQ100" s="71">
        <f t="shared" si="4"/>
        <v>15.822222222222223</v>
      </c>
      <c r="AR100" s="71">
        <f>IFERROR(VLOOKUP(A100,Climatologia_TMED!A:U,9+$E$2,FALSE),"")</f>
        <v>14.335275908930971</v>
      </c>
      <c r="AS100" s="71">
        <f t="shared" si="5"/>
        <v>1.4869463132912522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15</v>
      </c>
      <c r="AQ101" s="71">
        <f t="shared" si="4"/>
        <v>13.406666666666663</v>
      </c>
      <c r="AR101" s="71">
        <f>IFERROR(VLOOKUP(A101,Climatologia_TMED!A:U,9+$E$2,FALSE),"")</f>
        <v>12.395793750638649</v>
      </c>
      <c r="AS101" s="71">
        <f t="shared" si="5"/>
        <v>1.0108729160280134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12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12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15</v>
      </c>
      <c r="AQ108" s="71">
        <f t="shared" si="4"/>
        <v>14.19</v>
      </c>
      <c r="AR108" s="71">
        <f>IFERROR(VLOOKUP(A108,Climatologia_TMED!A:U,9+$E$2,FALSE),"")</f>
        <v>14.24758963832916</v>
      </c>
      <c r="AS108" s="71">
        <f t="shared" si="5"/>
        <v>-5.7589638329160309E-2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15</v>
      </c>
      <c r="AQ109" s="71">
        <f t="shared" si="4"/>
        <v>14.92</v>
      </c>
      <c r="AR109" s="71">
        <f>IFERROR(VLOOKUP(A109,Climatologia_TMED!A:U,9+$E$2,FALSE),"")</f>
        <v>13.718935791090621</v>
      </c>
      <c r="AS109" s="71">
        <f t="shared" si="5"/>
        <v>1.2010642089093793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11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15</v>
      </c>
      <c r="AQ111" s="71">
        <f t="shared" si="4"/>
        <v>16.013333333333332</v>
      </c>
      <c r="AR111" s="71">
        <f>IFERROR(VLOOKUP(A111,Climatologia_TMED!A:U,9+$E$2,FALSE),"")</f>
        <v>15.45884618025514</v>
      </c>
      <c r="AS111" s="71">
        <f t="shared" si="5"/>
        <v>0.55448715307819185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15</v>
      </c>
      <c r="AQ112" s="71">
        <f t="shared" si="4"/>
        <v>18.293333333333337</v>
      </c>
      <c r="AR112" s="71">
        <f>IFERROR(VLOOKUP(A112,Climatologia_TMED!A:U,9+$E$2,FALSE),"")</f>
        <v>16.69989368729069</v>
      </c>
      <c r="AS112" s="71">
        <f t="shared" si="5"/>
        <v>1.593439646042647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14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14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15</v>
      </c>
      <c r="AQ115" s="71">
        <f t="shared" si="4"/>
        <v>27.136666666666667</v>
      </c>
      <c r="AR115" s="71">
        <f>IFERROR(VLOOKUP(A115,Climatologia_TMED!A:U,9+$E$2,FALSE),"")</f>
        <v>26.548363201911549</v>
      </c>
      <c r="AS115" s="71">
        <f t="shared" si="5"/>
        <v>0.58830346475511774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15</v>
      </c>
      <c r="AQ116" s="71">
        <f t="shared" si="4"/>
        <v>19.551111111111108</v>
      </c>
      <c r="AR116" s="71">
        <f>IFERROR(VLOOKUP(A116,Climatologia_TMED!A:U,9+$E$2,FALSE),"")</f>
        <v>18.451479726130369</v>
      </c>
      <c r="AS116" s="71">
        <f t="shared" si="5"/>
        <v>1.0996313849807393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15</v>
      </c>
      <c r="AQ117" s="71">
        <f t="shared" si="4"/>
        <v>27.173333333333336</v>
      </c>
      <c r="AR117" s="71">
        <f>IFERROR(VLOOKUP(A117,Climatologia_TMED!A:U,9+$E$2,FALSE),"")</f>
        <v>25.726306451612881</v>
      </c>
      <c r="AS117" s="71">
        <f t="shared" si="5"/>
        <v>1.4470268817204541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14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13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15</v>
      </c>
      <c r="AQ122" s="71">
        <f t="shared" si="4"/>
        <v>12.595555555555556</v>
      </c>
      <c r="AR122" s="71">
        <f>IFERROR(VLOOKUP(A122,Climatologia_TMED!A:U,9+$E$2,FALSE),"")</f>
        <v>10.160420312062531</v>
      </c>
      <c r="AS122" s="71">
        <f t="shared" si="5"/>
        <v>2.4351352434930256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14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9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18.95</v>
      </c>
      <c r="T131" s="56"/>
      <c r="U131" s="56"/>
      <c r="V131" s="56">
        <v>17.5</v>
      </c>
      <c r="W131" s="56">
        <v>17.55</v>
      </c>
      <c r="X131" s="56">
        <v>18.75</v>
      </c>
      <c r="Y131" s="56">
        <v>19.2</v>
      </c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13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15</v>
      </c>
      <c r="AQ133" s="71">
        <f t="shared" ref="AQ133:AQ196" si="7">IF(AP133&gt;14,AVERAGE(K133:AO133),"")</f>
        <v>13.584444444444445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0.95237999340418433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15</v>
      </c>
      <c r="AQ134" s="71">
        <f t="shared" si="7"/>
        <v>17.62222222222222</v>
      </c>
      <c r="AR134" s="71">
        <f>IFERROR(VLOOKUP(A134,Climatologia_TMED!A:U,9+$E$2,FALSE),"")</f>
        <v>15.77617103004156</v>
      </c>
      <c r="AS134" s="71">
        <f t="shared" si="8"/>
        <v>1.8460511921806599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14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14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14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15</v>
      </c>
      <c r="AQ139" s="71">
        <f t="shared" si="7"/>
        <v>13.67</v>
      </c>
      <c r="AR139" s="71">
        <f>IFERROR(VLOOKUP(A139,Climatologia_TMED!A:U,9+$E$2,FALSE),"")</f>
        <v>12.97471752858849</v>
      </c>
      <c r="AS139" s="71">
        <f t="shared" si="8"/>
        <v>0.69528247141150956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15</v>
      </c>
      <c r="AQ140" s="71">
        <f t="shared" si="7"/>
        <v>16.536666666666665</v>
      </c>
      <c r="AR140" s="71">
        <f>IFERROR(VLOOKUP(A140,Climatologia_TMED!A:U,9+$E$2,FALSE),"")</f>
        <v>15.718876344086</v>
      </c>
      <c r="AS140" s="71">
        <f t="shared" si="8"/>
        <v>0.81779032258066486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15</v>
      </c>
      <c r="AQ141" s="71">
        <f t="shared" si="7"/>
        <v>13.066666666666666</v>
      </c>
      <c r="AR141" s="71">
        <f>IFERROR(VLOOKUP(A141,Climatologia_TMED!A:U,9+$E$2,FALSE),"")</f>
        <v>11.969387238873461</v>
      </c>
      <c r="AS141" s="71">
        <f t="shared" si="8"/>
        <v>1.0972794277932056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15</v>
      </c>
      <c r="AQ142" s="71">
        <f t="shared" si="7"/>
        <v>11.131666666666664</v>
      </c>
      <c r="AR142" s="71">
        <f>IFERROR(VLOOKUP(A142,Climatologia_TMED!A:U,9+$E$2,FALSE),"")</f>
        <v>10.49248004916649</v>
      </c>
      <c r="AS142" s="71">
        <f t="shared" si="8"/>
        <v>0.63918661750017414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15</v>
      </c>
      <c r="AQ143" s="71">
        <f t="shared" si="7"/>
        <v>27.91555555555556</v>
      </c>
      <c r="AR143" s="71">
        <f>IFERROR(VLOOKUP(A143,Climatologia_TMED!A:U,9+$E$2,FALSE),"")</f>
        <v>25.992543202764971</v>
      </c>
      <c r="AS143" s="71">
        <f t="shared" si="8"/>
        <v>1.9230123527905896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15</v>
      </c>
      <c r="AQ144" s="71">
        <f t="shared" si="7"/>
        <v>16.231111111111112</v>
      </c>
      <c r="AR144" s="71">
        <f>IFERROR(VLOOKUP(A144,Climatologia_TMED!A:U,9+$E$2,FALSE),"")</f>
        <v>15.9826099414474</v>
      </c>
      <c r="AS144" s="71">
        <f t="shared" si="8"/>
        <v>0.24850116966371161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15</v>
      </c>
      <c r="AQ145" s="71">
        <f t="shared" si="7"/>
        <v>20.462222222222227</v>
      </c>
      <c r="AR145" s="71">
        <f>IFERROR(VLOOKUP(A145,Climatologia_TMED!A:U,9+$E$2,FALSE),"")</f>
        <v>19.40683329936412</v>
      </c>
      <c r="AS145" s="71">
        <f t="shared" si="8"/>
        <v>1.055388922858107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15</v>
      </c>
      <c r="AQ146" s="71">
        <f t="shared" si="7"/>
        <v>31.293333333333333</v>
      </c>
      <c r="AR146" s="71">
        <f>IFERROR(VLOOKUP(A146,Climatologia_TMED!A:U,9+$E$2,FALSE),"")</f>
        <v>29.306317625921391</v>
      </c>
      <c r="AS146" s="71">
        <f t="shared" si="8"/>
        <v>1.9870157074119419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15</v>
      </c>
      <c r="AQ147" s="71">
        <f t="shared" si="7"/>
        <v>26.47111111111111</v>
      </c>
      <c r="AR147" s="71">
        <f>IFERROR(VLOOKUP(A147,Climatologia_TMED!A:U,9+$E$2,FALSE),"")</f>
        <v>24.061574212155389</v>
      </c>
      <c r="AS147" s="71">
        <f t="shared" si="8"/>
        <v>2.4095368989557215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14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15</v>
      </c>
      <c r="AQ149" s="71">
        <f t="shared" si="7"/>
        <v>24.533333333333339</v>
      </c>
      <c r="AR149" s="71">
        <f>IFERROR(VLOOKUP(A149,Climatologia_TMED!A:U,9+$E$2,FALSE),"")</f>
        <v>21.98128955804011</v>
      </c>
      <c r="AS149" s="71">
        <f t="shared" si="8"/>
        <v>2.5520437752932281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14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20.733333333333331</v>
      </c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15</v>
      </c>
      <c r="AQ154" s="71">
        <f t="shared" si="7"/>
        <v>21.328888888888891</v>
      </c>
      <c r="AR154" s="71">
        <f>IFERROR(VLOOKUP(A154,Climatologia_TMED!A:U,9+$E$2,FALSE),"")</f>
        <v>19.603370199692769</v>
      </c>
      <c r="AS154" s="71">
        <f t="shared" si="8"/>
        <v>1.7255186891961216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14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12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15</v>
      </c>
      <c r="AQ158" s="71">
        <f t="shared" si="7"/>
        <v>31.05777777777778</v>
      </c>
      <c r="AR158" s="71">
        <f>IFERROR(VLOOKUP(A158,Climatologia_TMED!A:U,9+$E$2,FALSE),"")</f>
        <v>28.018688345149439</v>
      </c>
      <c r="AS158" s="71">
        <f t="shared" si="8"/>
        <v>3.0390894326283409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15</v>
      </c>
      <c r="AQ159" s="71">
        <f t="shared" si="7"/>
        <v>21.355555555555554</v>
      </c>
      <c r="AR159" s="71">
        <f>IFERROR(VLOOKUP(A159,Climatologia_TMED!A:U,9+$E$2,FALSE),"")</f>
        <v>19.083052786798319</v>
      </c>
      <c r="AS159" s="71">
        <f t="shared" si="8"/>
        <v>2.272502768757235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13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/>
      <c r="Y161" s="56">
        <v>20.13333333333334</v>
      </c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12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15</v>
      </c>
      <c r="AQ162" s="71">
        <f t="shared" si="7"/>
        <v>29.10444444444445</v>
      </c>
      <c r="AR162" s="71">
        <f>IFERROR(VLOOKUP(A162,Climatologia_TMED!A:U,9+$E$2,FALSE),"")</f>
        <v>28.49681537062899</v>
      </c>
      <c r="AS162" s="71">
        <f t="shared" si="8"/>
        <v>0.60762907381545972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15</v>
      </c>
      <c r="AQ163" s="71">
        <f t="shared" si="7"/>
        <v>21.911111111111111</v>
      </c>
      <c r="AR163" s="71">
        <f>IFERROR(VLOOKUP(A163,Climatologia_TMED!A:U,9+$E$2,FALSE),"")</f>
        <v>21.304846458288491</v>
      </c>
      <c r="AS163" s="71">
        <f t="shared" si="8"/>
        <v>0.60626465282262032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15</v>
      </c>
      <c r="AQ164" s="71">
        <f t="shared" si="7"/>
        <v>25.953333333333333</v>
      </c>
      <c r="AR164" s="71">
        <f>IFERROR(VLOOKUP(A164,Climatologia_TMED!A:U,9+$E$2,FALSE),"")</f>
        <v>23.886011584659681</v>
      </c>
      <c r="AS164" s="71">
        <f t="shared" si="8"/>
        <v>2.0673217486736526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15</v>
      </c>
      <c r="AQ166" s="71">
        <f t="shared" si="7"/>
        <v>15.022222222222222</v>
      </c>
      <c r="AR166" s="71">
        <f>IFERROR(VLOOKUP(A166,Climatologia_TMED!A:U,9+$E$2,FALSE),"")</f>
        <v>13.59731182795695</v>
      </c>
      <c r="AS166" s="71">
        <f t="shared" si="8"/>
        <v>1.4249103942652717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15</v>
      </c>
      <c r="AQ167" s="71">
        <f t="shared" si="7"/>
        <v>21.235555555555557</v>
      </c>
      <c r="AR167" s="71">
        <f>IFERROR(VLOOKUP(A167,Climatologia_TMED!A:U,9+$E$2,FALSE),"")</f>
        <v>19.132762427527378</v>
      </c>
      <c r="AS167" s="71">
        <f t="shared" si="8"/>
        <v>2.1027931280281784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15</v>
      </c>
      <c r="AQ168" s="71">
        <f t="shared" si="7"/>
        <v>29.15333333333334</v>
      </c>
      <c r="AR168" s="71">
        <f>IFERROR(VLOOKUP(A168,Climatologia_TMED!A:U,9+$E$2,FALSE),"")</f>
        <v>26.11906044753972</v>
      </c>
      <c r="AS168" s="71">
        <f t="shared" si="8"/>
        <v>3.0342728857936194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15</v>
      </c>
      <c r="AQ169" s="71">
        <f t="shared" si="7"/>
        <v>9.3566666666666656</v>
      </c>
      <c r="AR169" s="71">
        <f>IFERROR(VLOOKUP(A169,Climatologia_TMED!A:U,9+$E$2,FALSE),"")</f>
        <v>8.9418110731500597</v>
      </c>
      <c r="AS169" s="71">
        <f t="shared" si="8"/>
        <v>0.41485559351660584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15</v>
      </c>
      <c r="AQ170" s="71">
        <f t="shared" si="7"/>
        <v>25.94222222222222</v>
      </c>
      <c r="AR170" s="71">
        <f>IFERROR(VLOOKUP(A170,Climatologia_TMED!A:U,9+$E$2,FALSE),"")</f>
        <v>24.395609944791921</v>
      </c>
      <c r="AS170" s="71">
        <f t="shared" si="8"/>
        <v>1.5466122774302988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14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13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15</v>
      </c>
      <c r="AQ173" s="71">
        <f t="shared" si="7"/>
        <v>25.56</v>
      </c>
      <c r="AR173" s="71">
        <f>IFERROR(VLOOKUP(A173,Climatologia_TMED!A:U,9+$E$2,FALSE),"")</f>
        <v>24.24334341397849</v>
      </c>
      <c r="AS173" s="71">
        <f t="shared" si="8"/>
        <v>1.3166565860215087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15</v>
      </c>
      <c r="AQ174" s="71">
        <f t="shared" si="7"/>
        <v>13.497777777777779</v>
      </c>
      <c r="AR174" s="71">
        <f>IFERROR(VLOOKUP(A174,Climatologia_TMED!A:U,9+$E$2,FALSE),"")</f>
        <v>12.130348155415341</v>
      </c>
      <c r="AS174" s="71">
        <f t="shared" si="8"/>
        <v>1.3674296223624385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15</v>
      </c>
      <c r="AQ178" s="71">
        <f t="shared" si="7"/>
        <v>26.088888888888885</v>
      </c>
      <c r="AR178" s="71">
        <f>IFERROR(VLOOKUP(A178,Climatologia_TMED!A:U,9+$E$2,FALSE),"")</f>
        <v>24.764281496732401</v>
      </c>
      <c r="AS178" s="71">
        <f t="shared" si="8"/>
        <v>1.3246073921564836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14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15</v>
      </c>
      <c r="AQ181" s="71">
        <f t="shared" si="7"/>
        <v>32.32</v>
      </c>
      <c r="AR181" s="71">
        <f>IFERROR(VLOOKUP(A181,Climatologia_TMED!A:U,9+$E$2,FALSE),"")</f>
        <v>29.494520657328639</v>
      </c>
      <c r="AS181" s="71">
        <f t="shared" si="8"/>
        <v>2.8254793426713611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12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14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10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14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15</v>
      </c>
      <c r="AQ191" s="71">
        <f t="shared" si="7"/>
        <v>19.386666666666667</v>
      </c>
      <c r="AR191" s="71">
        <f>IFERROR(VLOOKUP(A191,Climatologia_TMED!A:U,9+$E$2,FALSE),"")</f>
        <v>17.464112079265011</v>
      </c>
      <c r="AS191" s="71">
        <f t="shared" si="8"/>
        <v>1.9225545874016561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15</v>
      </c>
      <c r="AQ192" s="71">
        <f t="shared" si="7"/>
        <v>26.564444444444447</v>
      </c>
      <c r="AR192" s="71">
        <f>IFERROR(VLOOKUP(A192,Climatologia_TMED!A:U,9+$E$2,FALSE),"")</f>
        <v>25.598921067303831</v>
      </c>
      <c r="AS192" s="71">
        <f t="shared" si="8"/>
        <v>0.96552337714061665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15</v>
      </c>
      <c r="AQ193" s="71">
        <f t="shared" si="7"/>
        <v>29.013333333333335</v>
      </c>
      <c r="AR193" s="71">
        <f>IFERROR(VLOOKUP(A193,Climatologia_TMED!A:U,9+$E$2,FALSE),"")</f>
        <v>26.876419518290088</v>
      </c>
      <c r="AS193" s="71">
        <f t="shared" si="8"/>
        <v>2.136913815043247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14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14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15</v>
      </c>
      <c r="AQ196" s="71">
        <f t="shared" si="7"/>
        <v>23.164444444444442</v>
      </c>
      <c r="AR196" s="71">
        <f>IFERROR(VLOOKUP(A196,Climatologia_TMED!A:U,9+$E$2,FALSE),"")</f>
        <v>20.501275507765811</v>
      </c>
      <c r="AS196" s="71">
        <f t="shared" si="8"/>
        <v>2.6631689366786304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15</v>
      </c>
      <c r="AQ197" s="71">
        <f t="shared" ref="AQ197:AQ260" si="10">IF(AP197&gt;14,AVERAGE(K197:AO197),"")</f>
        <v>27.788888888888891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3.1192687304067306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15</v>
      </c>
      <c r="AQ198" s="71">
        <f t="shared" si="10"/>
        <v>22.44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13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14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15</v>
      </c>
      <c r="AQ201" s="71">
        <f t="shared" si="10"/>
        <v>28.646666666666661</v>
      </c>
      <c r="AR201" s="71">
        <f>IFERROR(VLOOKUP(A201,Climatologia_TMED!A:U,9+$E$2,FALSE),"")</f>
        <v>26.42009640850436</v>
      </c>
      <c r="AS201" s="71">
        <f t="shared" si="11"/>
        <v>2.226570258162301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15</v>
      </c>
      <c r="AQ202" s="71">
        <f t="shared" si="10"/>
        <v>12.853333333333332</v>
      </c>
      <c r="AR202" s="71">
        <f>IFERROR(VLOOKUP(A202,Climatologia_TMED!A:U,9+$E$2,FALSE),"")</f>
        <v>12.92387825817962</v>
      </c>
      <c r="AS202" s="71">
        <f t="shared" si="11"/>
        <v>-7.0544924846288382E-2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14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13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15</v>
      </c>
      <c r="AQ206" s="71">
        <f t="shared" si="10"/>
        <v>13.576666666666664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7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15</v>
      </c>
      <c r="AQ208" s="71">
        <f t="shared" si="10"/>
        <v>13.726666666666667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15</v>
      </c>
      <c r="AQ209" s="71">
        <f t="shared" si="10"/>
        <v>11.036666666666667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14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14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14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2026-08-16T16:07:28Z</dcterms:modified>
</cp:coreProperties>
</file>