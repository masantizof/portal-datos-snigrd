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3737B433-1231-46F3-B03E-C40606D520E8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Temperatura!$Z$1:$Z$209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W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Q90" i="1"/>
  <c r="AP90" i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W70" i="1" s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Q31" i="1"/>
  <c r="AS31" i="1" s="1"/>
  <c r="AP31" i="1"/>
  <c r="AV30" i="1" a="1"/>
  <c r="AV30" i="1" s="1"/>
  <c r="AU30" i="1" a="1"/>
  <c r="AU30" i="1"/>
  <c r="AT30" i="1"/>
  <c r="AW30" i="1" s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W17" i="1" s="1"/>
  <c r="AT17" i="1"/>
  <c r="AR17" i="1"/>
  <c r="AQ17" i="1"/>
  <c r="AP17" i="1"/>
  <c r="AV16" i="1" a="1"/>
  <c r="AV16" i="1" s="1"/>
  <c r="AU16" i="1" a="1"/>
  <c r="AU16" i="1"/>
  <c r="AT16" i="1"/>
  <c r="AW16" i="1" s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V10" i="1" a="1"/>
  <c r="AV10" i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76" i="1" l="1"/>
  <c r="AS80" i="1"/>
  <c r="AW19" i="1"/>
  <c r="AS77" i="1"/>
  <c r="AW108" i="1"/>
  <c r="AS124" i="1"/>
  <c r="AS140" i="1"/>
  <c r="AS187" i="1"/>
  <c r="AS13" i="1"/>
  <c r="AS82" i="1"/>
  <c r="AS36" i="1"/>
  <c r="AW82" i="1"/>
  <c r="AS14" i="1"/>
  <c r="AW25" i="1"/>
  <c r="AW106" i="1"/>
  <c r="AS118" i="1"/>
  <c r="AS145" i="1"/>
  <c r="AS157" i="1"/>
  <c r="AS75" i="1"/>
  <c r="AS87" i="1"/>
  <c r="AS126" i="1"/>
  <c r="AS111" i="1"/>
  <c r="AS115" i="1"/>
  <c r="AS7" i="1"/>
  <c r="AS21" i="1"/>
  <c r="AW42" i="1"/>
  <c r="AS83" i="1"/>
  <c r="AS54" i="1"/>
  <c r="AS72" i="1"/>
  <c r="AS103" i="1"/>
  <c r="AS122" i="1"/>
  <c r="AS156" i="1"/>
  <c r="AW51" i="1"/>
  <c r="AS92" i="1"/>
  <c r="AS18" i="1"/>
  <c r="AS26" i="1"/>
  <c r="AW36" i="1"/>
  <c r="AS40" i="1"/>
  <c r="AS59" i="1"/>
  <c r="AS66" i="1"/>
  <c r="AS73" i="1"/>
  <c r="AW92" i="1"/>
  <c r="AW26" i="1"/>
  <c r="AW5" i="1"/>
  <c r="AS16" i="1"/>
  <c r="AS19" i="1"/>
  <c r="AS52" i="1"/>
  <c r="AS70" i="1"/>
  <c r="AS165" i="1"/>
  <c r="AS93" i="1"/>
  <c r="AS24" i="1"/>
  <c r="AW34" i="1"/>
  <c r="AS86" i="1"/>
  <c r="AS109" i="1"/>
  <c r="AS113" i="1"/>
  <c r="AS192" i="1"/>
  <c r="AS200" i="1"/>
  <c r="AS204" i="1"/>
  <c r="AS94" i="1"/>
  <c r="AS10" i="1"/>
  <c r="AW13" i="1"/>
  <c r="AW24" i="1"/>
  <c r="AS42" i="1"/>
  <c r="AW21" i="1"/>
  <c r="AS17" i="1"/>
  <c r="AS28" i="1"/>
  <c r="AW31" i="1"/>
  <c r="AS148" i="1"/>
  <c r="AS8" i="1"/>
  <c r="AS11" i="1"/>
  <c r="AS33" i="1"/>
  <c r="AS43" i="1"/>
  <c r="AS67" i="1"/>
  <c r="AS74" i="1"/>
  <c r="AW121" i="1"/>
  <c r="AS125" i="1"/>
  <c r="AS143" i="1"/>
  <c r="AS154" i="1"/>
  <c r="AS190" i="1"/>
  <c r="AW60" i="1"/>
  <c r="AS96" i="1"/>
  <c r="AS168" i="1"/>
  <c r="AW161" i="1"/>
  <c r="AS89" i="1"/>
  <c r="AW96" i="1"/>
  <c r="AS71" i="1"/>
  <c r="AW11" i="1"/>
  <c r="AW33" i="1"/>
  <c r="AW15" i="1"/>
  <c r="AS37" i="1"/>
  <c r="AS58" i="1"/>
  <c r="AW86" i="1"/>
  <c r="AS137" i="1"/>
  <c r="AS79" i="1"/>
  <c r="AW100" i="1"/>
  <c r="AW137" i="1"/>
  <c r="AS90" i="1"/>
  <c r="AS180" i="1"/>
  <c r="AS199" i="1"/>
  <c r="AS203" i="1"/>
  <c r="AW12" i="1"/>
  <c r="AS41" i="1"/>
  <c r="AS101" i="1"/>
  <c r="AS112" i="1"/>
  <c r="AS152" i="1"/>
  <c r="AS207" i="1"/>
  <c r="AS22" i="1"/>
  <c r="AW48" i="1"/>
  <c r="AS55" i="1"/>
  <c r="AW90" i="1"/>
  <c r="AS138" i="1"/>
  <c r="AW145" i="1"/>
  <c r="AW23" i="1"/>
  <c r="AW9" i="1"/>
  <c r="AS29" i="1"/>
  <c r="AS49" i="1"/>
  <c r="AW76" i="1"/>
  <c r="AS84" i="1"/>
  <c r="AS149" i="1"/>
  <c r="AW29" i="1"/>
  <c r="AW35" i="1"/>
  <c r="AW49" i="1"/>
  <c r="AW98" i="1"/>
  <c r="AS146" i="1"/>
  <c r="AS153" i="1"/>
  <c r="AS189" i="1"/>
  <c r="AW10" i="1"/>
  <c r="AW7" i="1"/>
  <c r="AS20" i="1"/>
  <c r="AS23" i="1"/>
  <c r="AS56" i="1"/>
  <c r="AW66" i="1"/>
  <c r="AS117" i="1"/>
  <c r="AS128" i="1"/>
  <c r="AS164" i="1"/>
  <c r="AS193" i="1"/>
  <c r="AS38" i="1"/>
  <c r="AS39" i="1"/>
  <c r="AW88" i="1"/>
  <c r="AS99" i="1"/>
  <c r="AS121" i="1"/>
  <c r="AS132" i="1"/>
  <c r="AW164" i="1"/>
  <c r="AS182" i="1"/>
  <c r="AW27" i="1"/>
  <c r="AW37" i="1"/>
  <c r="AW22" i="1"/>
  <c r="AW68" i="1"/>
  <c r="AW166" i="1"/>
  <c r="AS69" i="1"/>
  <c r="AS91" i="1"/>
  <c r="AS120" i="1"/>
  <c r="AW163" i="1"/>
  <c r="AS191" i="1"/>
  <c r="AS202" i="1"/>
  <c r="AW94" i="1"/>
  <c r="AW153" i="1"/>
  <c r="AW180" i="1"/>
  <c r="AW32" i="1"/>
  <c r="AW65" i="1"/>
  <c r="AW56" i="1"/>
  <c r="AW28" i="1"/>
  <c r="AW38" i="1"/>
  <c r="AS44" i="1"/>
  <c r="AW8" i="1"/>
  <c r="AW18" i="1"/>
  <c r="AS57" i="1"/>
  <c r="AS63" i="1"/>
  <c r="AS85" i="1"/>
  <c r="AW91" i="1"/>
  <c r="AS104" i="1"/>
  <c r="AS107" i="1"/>
  <c r="AS127" i="1"/>
  <c r="AS144" i="1"/>
  <c r="AS147" i="1"/>
  <c r="AS160" i="1"/>
  <c r="AS184" i="1"/>
  <c r="AS206" i="1"/>
  <c r="AS167" i="1"/>
  <c r="AS170" i="1"/>
  <c r="AW104" i="1"/>
  <c r="AW177" i="1"/>
  <c r="AS114" i="1"/>
  <c r="AS131" i="1"/>
  <c r="AS141" i="1"/>
  <c r="AP2" i="1"/>
  <c r="AW6" i="1"/>
  <c r="AW101" i="1"/>
  <c r="AS95" i="1"/>
  <c r="AW114" i="1"/>
  <c r="AW81" i="1"/>
  <c r="AS9" i="1"/>
  <c r="AW45" i="1"/>
  <c r="AS64" i="1"/>
  <c r="AS151" i="1"/>
  <c r="AS185" i="1"/>
  <c r="AS196" i="1"/>
  <c r="AW111" i="1"/>
  <c r="AS178" i="1"/>
  <c r="AW207" i="1"/>
  <c r="AW64" i="1"/>
  <c r="AS102" i="1"/>
  <c r="AS105" i="1"/>
  <c r="AS135" i="1"/>
  <c r="AW14" i="1"/>
  <c r="AW52" i="1"/>
  <c r="AS175" i="1"/>
  <c r="AW58" i="1"/>
  <c r="AW67" i="1"/>
  <c r="AW102" i="1"/>
  <c r="AS139" i="1"/>
  <c r="AS155" i="1"/>
  <c r="AS65" i="1"/>
  <c r="AS68" i="1"/>
  <c r="AW74" i="1"/>
  <c r="AW80" i="1"/>
  <c r="AS136" i="1"/>
  <c r="AS172" i="1"/>
  <c r="AW40" i="1"/>
  <c r="AW43" i="1"/>
  <c r="AW46" i="1"/>
  <c r="AW59" i="1"/>
  <c r="AW71" i="1"/>
  <c r="AW129" i="1"/>
  <c r="AW208" i="1"/>
  <c r="AW112" i="1"/>
  <c r="AS119" i="1"/>
  <c r="AS183" i="1"/>
  <c r="AS205" i="1"/>
  <c r="AS53" i="1"/>
  <c r="AS81" i="1"/>
  <c r="AW84" i="1"/>
  <c r="AS133" i="1"/>
  <c r="AS159" i="1"/>
  <c r="AS166" i="1"/>
  <c r="AS116" i="1"/>
  <c r="AS123" i="1"/>
  <c r="AS163" i="1"/>
  <c r="AS194" i="1"/>
  <c r="AW72" i="1"/>
  <c r="AW78" i="1"/>
  <c r="AW44" i="1"/>
  <c r="AW54" i="1"/>
  <c r="AW20" i="1"/>
  <c r="AW50" i="1"/>
  <c r="AW62" i="1"/>
  <c r="AW119" i="1"/>
  <c r="AW127" i="1"/>
  <c r="AW135" i="1"/>
  <c r="AW143" i="1"/>
  <c r="AW151" i="1"/>
  <c r="AW187" i="1"/>
  <c r="AW190" i="1"/>
  <c r="AW47" i="1"/>
  <c r="AW61" i="1"/>
  <c r="AW57" i="1"/>
  <c r="AS46" i="1"/>
  <c r="AW69" i="1"/>
  <c r="AS169" i="1"/>
  <c r="AW181" i="1"/>
  <c r="AW184" i="1"/>
  <c r="AW55" i="1"/>
  <c r="AS60" i="1"/>
  <c r="AW79" i="1"/>
  <c r="AW89" i="1"/>
  <c r="AW99" i="1"/>
  <c r="AW109" i="1"/>
  <c r="AW122" i="1"/>
  <c r="AW130" i="1"/>
  <c r="AW138" i="1"/>
  <c r="AW146" i="1"/>
  <c r="AW154" i="1"/>
  <c r="AW175" i="1"/>
  <c r="AW178" i="1"/>
  <c r="AW169" i="1"/>
  <c r="AW172" i="1"/>
  <c r="AS197" i="1"/>
  <c r="AW203" i="1"/>
  <c r="AW206" i="1"/>
  <c r="AW53" i="1"/>
  <c r="AW117" i="1"/>
  <c r="AW125" i="1"/>
  <c r="AW133" i="1"/>
  <c r="AW141" i="1"/>
  <c r="AW149" i="1"/>
  <c r="AW157" i="1"/>
  <c r="AW160" i="1"/>
  <c r="AW197" i="1"/>
  <c r="AW200" i="1"/>
  <c r="AW77" i="1"/>
  <c r="AW87" i="1"/>
  <c r="AW97" i="1"/>
  <c r="AW107" i="1"/>
  <c r="AS179" i="1"/>
  <c r="AW191" i="1"/>
  <c r="AW194" i="1"/>
  <c r="AS100" i="1"/>
  <c r="AS110" i="1"/>
  <c r="AW120" i="1"/>
  <c r="AW128" i="1"/>
  <c r="AW136" i="1"/>
  <c r="AW144" i="1"/>
  <c r="AW152" i="1"/>
  <c r="AS173" i="1"/>
  <c r="AS176" i="1"/>
  <c r="AW185" i="1"/>
  <c r="AW188" i="1"/>
  <c r="AW179" i="1"/>
  <c r="AW182" i="1"/>
  <c r="AS161" i="1"/>
  <c r="AW173" i="1"/>
  <c r="AW176" i="1"/>
  <c r="AS201" i="1"/>
  <c r="AW63" i="1"/>
  <c r="AW75" i="1"/>
  <c r="AW85" i="1"/>
  <c r="AW95" i="1"/>
  <c r="AW105" i="1"/>
  <c r="AW115" i="1"/>
  <c r="AW123" i="1"/>
  <c r="AW131" i="1"/>
  <c r="AS134" i="1"/>
  <c r="AW139" i="1"/>
  <c r="AS142" i="1"/>
  <c r="AW147" i="1"/>
  <c r="AS150" i="1"/>
  <c r="AW155" i="1"/>
  <c r="AS158" i="1"/>
  <c r="AW167" i="1"/>
  <c r="AW170" i="1"/>
  <c r="AS195" i="1"/>
  <c r="AS198" i="1"/>
  <c r="AS78" i="1"/>
  <c r="AS88" i="1"/>
  <c r="AS98" i="1"/>
  <c r="AS108" i="1"/>
  <c r="AW201" i="1"/>
  <c r="AW204" i="1"/>
  <c r="AW118" i="1"/>
  <c r="AW126" i="1"/>
  <c r="AW134" i="1"/>
  <c r="AW142" i="1"/>
  <c r="AW150" i="1"/>
  <c r="AW158" i="1"/>
  <c r="AW195" i="1"/>
  <c r="AW198" i="1"/>
  <c r="AS177" i="1"/>
  <c r="AW189" i="1"/>
  <c r="AW192" i="1"/>
  <c r="AW73" i="1"/>
  <c r="AW83" i="1"/>
  <c r="AW93" i="1"/>
  <c r="AW103" i="1"/>
  <c r="AW113" i="1"/>
  <c r="AS171" i="1"/>
  <c r="AS174" i="1"/>
  <c r="AW183" i="1"/>
  <c r="AW186" i="1"/>
  <c r="AS208" i="1"/>
  <c r="AW171" i="1"/>
  <c r="AW174" i="1"/>
  <c r="AW116" i="1"/>
  <c r="AW124" i="1"/>
  <c r="AW132" i="1"/>
  <c r="AW140" i="1"/>
  <c r="AW148" i="1"/>
  <c r="AW156" i="1"/>
  <c r="AW165" i="1"/>
  <c r="AW168" i="1"/>
  <c r="AW205" i="1"/>
  <c r="AW41" i="1"/>
  <c r="AW39" i="1"/>
  <c r="AW159" i="1"/>
  <c r="AW162" i="1"/>
  <c r="AW199" i="1"/>
  <c r="AW202" i="1"/>
  <c r="AS181" i="1"/>
  <c r="AW193" i="1"/>
  <c r="AW196" i="1"/>
</calcChain>
</file>

<file path=xl/sharedStrings.xml><?xml version="1.0" encoding="utf-8"?>
<sst xmlns="http://schemas.openxmlformats.org/spreadsheetml/2006/main" count="3544" uniqueCount="1272">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</sst>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I1" zoomScale="80" zoomScaleNormal="80" workbookViewId="0">
      <selection activeCell="AD11" sqref="AD11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55" width="32.42578125" style="74" customWidth="1"/>
    <col min="156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AGOSTO</v>
      </c>
      <c r="E2" s="82">
        <v>8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2.4</v>
      </c>
      <c r="S2" s="89">
        <f t="shared" si="0"/>
        <v>4.2</v>
      </c>
      <c r="T2" s="89">
        <f t="shared" si="0"/>
        <v>0.2</v>
      </c>
      <c r="U2" s="89">
        <f t="shared" si="0"/>
        <v>2.6</v>
      </c>
      <c r="V2" s="89">
        <f t="shared" si="0"/>
        <v>-0.2</v>
      </c>
      <c r="W2" s="89">
        <f t="shared" si="0"/>
        <v>2.6</v>
      </c>
      <c r="X2" s="89">
        <f t="shared" si="0"/>
        <v>3.4</v>
      </c>
      <c r="Y2" s="89">
        <f t="shared" si="0"/>
        <v>4</v>
      </c>
      <c r="Z2" s="89">
        <f t="shared" si="0"/>
        <v>4.5999999999999996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-0.2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>
        <v>27.9</v>
      </c>
      <c r="T5" s="51">
        <v>26.7</v>
      </c>
      <c r="U5" s="51">
        <v>27</v>
      </c>
      <c r="V5" s="51">
        <v>27.6</v>
      </c>
      <c r="W5" s="51">
        <v>28.2</v>
      </c>
      <c r="X5" s="51">
        <v>27.2</v>
      </c>
      <c r="Y5" s="51">
        <v>27.8</v>
      </c>
      <c r="Z5" s="111">
        <v>28.2</v>
      </c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16</v>
      </c>
      <c r="AQ5" s="89">
        <f t="shared" ref="AQ5:AQ68" si="2">IF(AP5&gt;14,AVERAGE(K5:AO5),"")</f>
        <v>27.006250000000001</v>
      </c>
      <c r="AR5" s="89">
        <f>IFERROR(VLOOKUP(A5,Climatologia!A:U,9+$E$2,FALSE),"")</f>
        <v>26.259288578530331</v>
      </c>
      <c r="AS5" s="89">
        <f t="shared" ref="AS5:AS68" si="3">IF(OR(AQ5="",AR5=""),"",IFERROR(AQ5-AR5,""))</f>
        <v>0.74696142146967048</v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>
        <v>27.4</v>
      </c>
      <c r="T6" s="51">
        <v>28.4</v>
      </c>
      <c r="U6" s="51">
        <v>27.8</v>
      </c>
      <c r="V6" s="51">
        <v>28.1</v>
      </c>
      <c r="W6" s="51">
        <v>27.8</v>
      </c>
      <c r="X6" s="51">
        <v>27.7</v>
      </c>
      <c r="Y6" s="51">
        <v>26</v>
      </c>
      <c r="Z6" s="111">
        <v>27.7</v>
      </c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16</v>
      </c>
      <c r="AQ6" s="89">
        <f t="shared" si="2"/>
        <v>27.21875</v>
      </c>
      <c r="AR6" s="89">
        <f>IFERROR(VLOOKUP(A6,Climatologia!A:U,9+$E$2,FALSE),"")</f>
        <v>26.228813072776621</v>
      </c>
      <c r="AS6" s="89">
        <f t="shared" si="3"/>
        <v>0.98993692722337912</v>
      </c>
      <c r="AT6" s="90">
        <f t="shared" si="4"/>
        <v>26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5.6000000000000014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>
        <v>25.9</v>
      </c>
      <c r="T7" s="51">
        <v>27.4</v>
      </c>
      <c r="U7" s="51">
        <v>27.2</v>
      </c>
      <c r="V7" s="51">
        <v>27.2</v>
      </c>
      <c r="W7" s="51">
        <v>26.6</v>
      </c>
      <c r="X7" s="51">
        <v>26.2</v>
      </c>
      <c r="Y7" s="51">
        <v>26.8</v>
      </c>
      <c r="Z7" s="111">
        <v>27</v>
      </c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16</v>
      </c>
      <c r="AQ7" s="89">
        <f t="shared" si="2"/>
        <v>26.6875</v>
      </c>
      <c r="AR7" s="89">
        <f>IFERROR(VLOOKUP(A7,Climatologia!A:U,9+$E$2,FALSE),"")</f>
        <v>24.806006674082301</v>
      </c>
      <c r="AS7" s="89">
        <f t="shared" si="3"/>
        <v>1.8814933259176989</v>
      </c>
      <c r="AT7" s="90">
        <f t="shared" si="4"/>
        <v>25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4.3999999999999986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>
        <v>25.6</v>
      </c>
      <c r="T8" s="51">
        <v>25.4</v>
      </c>
      <c r="U8" s="51">
        <v>27</v>
      </c>
      <c r="V8" s="51">
        <v>26.6</v>
      </c>
      <c r="W8" s="51">
        <v>26.9</v>
      </c>
      <c r="X8" s="51">
        <v>27.4</v>
      </c>
      <c r="Y8" s="51">
        <v>27.2</v>
      </c>
      <c r="Z8" s="111">
        <v>27.4</v>
      </c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16</v>
      </c>
      <c r="AQ8" s="89">
        <f t="shared" si="2"/>
        <v>26.687499999999996</v>
      </c>
      <c r="AR8" s="89">
        <f>IFERROR(VLOOKUP(A8,Climatologia!A:U,9+$E$2,FALSE),"")</f>
        <v>25.86230323116423</v>
      </c>
      <c r="AS8" s="89">
        <f t="shared" si="3"/>
        <v>0.82519676883576665</v>
      </c>
      <c r="AT8" s="90">
        <f t="shared" si="4"/>
        <v>25.4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5.1999999999999993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>
        <v>26.4</v>
      </c>
      <c r="T9" s="51">
        <v>26.2</v>
      </c>
      <c r="U9" s="51">
        <v>26</v>
      </c>
      <c r="V9" s="51">
        <v>27</v>
      </c>
      <c r="W9" s="51">
        <v>25.5</v>
      </c>
      <c r="X9" s="51">
        <v>25.6</v>
      </c>
      <c r="Y9" s="51">
        <v>27.2</v>
      </c>
      <c r="Z9" s="111">
        <v>27.1</v>
      </c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16</v>
      </c>
      <c r="AQ9" s="89">
        <f t="shared" si="2"/>
        <v>26.075000000000003</v>
      </c>
      <c r="AR9" s="89">
        <f>IFERROR(VLOOKUP(A9,Climatologia!A:U,9+$E$2,FALSE),"")</f>
        <v>24.75295901904628</v>
      </c>
      <c r="AS9" s="89">
        <f t="shared" si="3"/>
        <v>1.322040980953723</v>
      </c>
      <c r="AT9" s="90">
        <f t="shared" si="4"/>
        <v>25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>
        <v>28.1</v>
      </c>
      <c r="T10" s="51">
        <v>27.9</v>
      </c>
      <c r="U10" s="51">
        <v>28</v>
      </c>
      <c r="V10" s="51">
        <v>28.2</v>
      </c>
      <c r="W10" s="51">
        <v>28.4</v>
      </c>
      <c r="X10" s="51">
        <v>28.6</v>
      </c>
      <c r="Y10" s="51">
        <v>28</v>
      </c>
      <c r="Z10" s="111">
        <v>27.1</v>
      </c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16</v>
      </c>
      <c r="AQ10" s="89">
        <f t="shared" si="2"/>
        <v>27.912499999999998</v>
      </c>
      <c r="AR10" s="89">
        <f>IFERROR(VLOOKUP(A10,Climatologia!A:U,9+$E$2,FALSE),"")</f>
        <v>25.518421261719372</v>
      </c>
      <c r="AS10" s="89">
        <f t="shared" si="3"/>
        <v>2.3940787382806263</v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>
        <v>27.9</v>
      </c>
      <c r="T11" s="51">
        <v>26.4</v>
      </c>
      <c r="U11" s="51">
        <v>27.6</v>
      </c>
      <c r="V11" s="51">
        <v>27.4</v>
      </c>
      <c r="W11" s="51">
        <v>27.2</v>
      </c>
      <c r="X11" s="51">
        <v>27.8</v>
      </c>
      <c r="Y11" s="51">
        <v>29</v>
      </c>
      <c r="Z11" s="111">
        <v>26.8</v>
      </c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16</v>
      </c>
      <c r="AQ11" s="89">
        <f t="shared" si="2"/>
        <v>27</v>
      </c>
      <c r="AR11" s="89">
        <f>IFERROR(VLOOKUP(A11,Climatologia!A:U,9+$E$2,FALSE),"")</f>
        <v>24.333982334869429</v>
      </c>
      <c r="AS11" s="89">
        <f t="shared" si="3"/>
        <v>2.6660176651305711</v>
      </c>
      <c r="AT11" s="90">
        <f t="shared" si="4"/>
        <v>24.6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4.6000000000000014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>
        <v>26.8</v>
      </c>
      <c r="T12" s="51">
        <v>26.5</v>
      </c>
      <c r="U12" s="51">
        <v>26.5</v>
      </c>
      <c r="V12" s="51">
        <v>27.3</v>
      </c>
      <c r="W12" s="51">
        <v>27.2</v>
      </c>
      <c r="X12" s="51">
        <v>24.9</v>
      </c>
      <c r="Y12" s="51">
        <v>27</v>
      </c>
      <c r="Z12" s="111">
        <v>27.4</v>
      </c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16</v>
      </c>
      <c r="AQ12" s="89">
        <f t="shared" si="2"/>
        <v>26.106249999999996</v>
      </c>
      <c r="AR12" s="89">
        <f>IFERROR(VLOOKUP(A12,Climatologia!A:U,9+$E$2,FALSE),"")</f>
        <v>23.252867103531361</v>
      </c>
      <c r="AS12" s="89">
        <f t="shared" si="3"/>
        <v>2.8533828964686343</v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>
        <v>24</v>
      </c>
      <c r="T13" s="51">
        <v>25</v>
      </c>
      <c r="U13" s="51">
        <v>27</v>
      </c>
      <c r="V13" s="51">
        <v>27</v>
      </c>
      <c r="W13" s="51">
        <v>26.4</v>
      </c>
      <c r="X13" s="51">
        <v>24.1</v>
      </c>
      <c r="Y13" s="51">
        <v>24.8</v>
      </c>
      <c r="Z13" s="111">
        <v>24</v>
      </c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16</v>
      </c>
      <c r="AQ13" s="89">
        <f t="shared" si="2"/>
        <v>25.256250000000001</v>
      </c>
      <c r="AR13" s="89">
        <f>IFERROR(VLOOKUP(A13,Climatologia!A:U,9+$E$2,FALSE),"")</f>
        <v>23.256381449473771</v>
      </c>
      <c r="AS13" s="89">
        <f t="shared" si="3"/>
        <v>1.9998685505262301</v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>
        <v>19.899999999999999</v>
      </c>
      <c r="T14" s="51">
        <v>20.399999999999999</v>
      </c>
      <c r="U14" s="51">
        <v>20.8</v>
      </c>
      <c r="V14" s="51">
        <v>22.3</v>
      </c>
      <c r="W14" s="51">
        <v>19.7</v>
      </c>
      <c r="X14" s="51">
        <v>20.8</v>
      </c>
      <c r="Y14" s="51">
        <v>20.399999999999999</v>
      </c>
      <c r="Z14" s="111">
        <v>20.3</v>
      </c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16</v>
      </c>
      <c r="AQ14" s="89">
        <f t="shared" si="2"/>
        <v>20.281250000000004</v>
      </c>
      <c r="AR14" s="89">
        <f>IFERROR(VLOOKUP(A14,Climatologia!A:U,9+$E$2,FALSE),"")</f>
        <v>18.604610712863401</v>
      </c>
      <c r="AS14" s="89">
        <f t="shared" si="3"/>
        <v>1.6766392871366023</v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>
        <v>26</v>
      </c>
      <c r="T15" s="51">
        <v>26.6</v>
      </c>
      <c r="U15" s="51">
        <v>28.2</v>
      </c>
      <c r="V15" s="51">
        <v>28</v>
      </c>
      <c r="W15" s="51">
        <v>28.2</v>
      </c>
      <c r="X15" s="51">
        <v>25</v>
      </c>
      <c r="Y15" s="51">
        <v>23.5</v>
      </c>
      <c r="Z15" s="111">
        <v>24.5</v>
      </c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16</v>
      </c>
      <c r="AQ15" s="89">
        <f t="shared" si="2"/>
        <v>25.8</v>
      </c>
      <c r="AR15" s="89">
        <f>IFERROR(VLOOKUP(A15,Climatologia!A:U,9+$E$2,FALSE),"")</f>
        <v>23.891303077493511</v>
      </c>
      <c r="AS15" s="89">
        <f t="shared" si="3"/>
        <v>1.9086969225064898</v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>
        <v>23.1</v>
      </c>
      <c r="T16" s="51">
        <v>24.5</v>
      </c>
      <c r="U16" s="51">
        <v>26.7</v>
      </c>
      <c r="V16" s="51">
        <v>26.3</v>
      </c>
      <c r="W16" s="51">
        <v>25.7</v>
      </c>
      <c r="X16" s="51">
        <v>26.7</v>
      </c>
      <c r="Y16" s="51">
        <v>25.9</v>
      </c>
      <c r="Z16" s="111">
        <v>25.4</v>
      </c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16</v>
      </c>
      <c r="AQ16" s="89">
        <f t="shared" si="2"/>
        <v>25.074999999999996</v>
      </c>
      <c r="AR16" s="89">
        <f>IFERROR(VLOOKUP(A16,Climatologia!A:U,9+$E$2,FALSE),"")</f>
        <v>23.404404619673439</v>
      </c>
      <c r="AS16" s="89">
        <f t="shared" si="3"/>
        <v>1.6705953803265565</v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>
        <v>19.2</v>
      </c>
      <c r="T17" s="51">
        <v>20.399999999999999</v>
      </c>
      <c r="U17" s="51">
        <v>19</v>
      </c>
      <c r="V17" s="51">
        <v>19.2</v>
      </c>
      <c r="W17" s="51">
        <v>19.5</v>
      </c>
      <c r="X17" s="51">
        <v>19.7</v>
      </c>
      <c r="Y17" s="51">
        <v>21.6</v>
      </c>
      <c r="Z17" s="111">
        <v>19.2</v>
      </c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16</v>
      </c>
      <c r="AQ17" s="89">
        <f t="shared" si="2"/>
        <v>19.612500000000001</v>
      </c>
      <c r="AR17" s="89">
        <f>IFERROR(VLOOKUP(A17,Climatologia!A:U,9+$E$2,FALSE),"")</f>
        <v>17.58853046594982</v>
      </c>
      <c r="AS17" s="89">
        <f t="shared" si="3"/>
        <v>2.0239695340501811</v>
      </c>
      <c r="AT17" s="90">
        <f t="shared" si="4"/>
        <v>18.399999999999999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6.9999999999999982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>
        <v>13.8</v>
      </c>
      <c r="T18" s="51">
        <v>11.7</v>
      </c>
      <c r="U18" s="51">
        <v>9.6</v>
      </c>
      <c r="V18" s="51">
        <v>10.8</v>
      </c>
      <c r="W18" s="51">
        <v>12.8</v>
      </c>
      <c r="X18" s="51">
        <v>13.9</v>
      </c>
      <c r="Y18" s="51">
        <v>13.8</v>
      </c>
      <c r="Z18" s="111">
        <v>14.8</v>
      </c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16</v>
      </c>
      <c r="AQ18" s="89">
        <f t="shared" si="2"/>
        <v>12.706250000000004</v>
      </c>
      <c r="AR18" s="89">
        <f>IFERROR(VLOOKUP(A18,Climatologia!A:U,9+$E$2,FALSE),"")</f>
        <v>12.112884686688909</v>
      </c>
      <c r="AS18" s="89">
        <f t="shared" si="3"/>
        <v>0.59336531331109477</v>
      </c>
      <c r="AT18" s="90">
        <f t="shared" si="4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>
        <v>19.600000000000001</v>
      </c>
      <c r="T19" s="51">
        <v>18.2</v>
      </c>
      <c r="U19" s="51">
        <v>18.8</v>
      </c>
      <c r="V19" s="51">
        <v>18</v>
      </c>
      <c r="W19" s="51">
        <v>18.100000000000001</v>
      </c>
      <c r="X19" s="51">
        <v>18.399999999999999</v>
      </c>
      <c r="Y19" s="51">
        <v>19.600000000000001</v>
      </c>
      <c r="Z19" s="111">
        <v>19.899999999999999</v>
      </c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16</v>
      </c>
      <c r="AQ19" s="89">
        <f t="shared" si="2"/>
        <v>18.749999999999996</v>
      </c>
      <c r="AR19" s="89">
        <f>IFERROR(VLOOKUP(A19,Climatologia!A:U,9+$E$2,FALSE),"")</f>
        <v>17.60198511166254</v>
      </c>
      <c r="AS19" s="89">
        <f t="shared" si="3"/>
        <v>1.1480148883374568</v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>
        <v>18.899999999999999</v>
      </c>
      <c r="T20" s="51">
        <v>15.7</v>
      </c>
      <c r="U20" s="51">
        <v>16.399999999999999</v>
      </c>
      <c r="V20" s="51">
        <v>18.3</v>
      </c>
      <c r="W20" s="51">
        <v>16.3</v>
      </c>
      <c r="X20" s="51">
        <v>17.100000000000001</v>
      </c>
      <c r="Y20" s="51">
        <v>17.3</v>
      </c>
      <c r="Z20" s="111">
        <v>18.399999999999999</v>
      </c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16</v>
      </c>
      <c r="AQ20" s="89">
        <f t="shared" si="2"/>
        <v>17.45</v>
      </c>
      <c r="AR20" s="89">
        <f>IFERROR(VLOOKUP(A20,Climatologia!A:U,9+$E$2,FALSE),"")</f>
        <v>16.759506289039098</v>
      </c>
      <c r="AS20" s="89">
        <f t="shared" si="3"/>
        <v>0.69049371096090084</v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>
        <v>21.7</v>
      </c>
      <c r="T21" s="51">
        <v>21.7</v>
      </c>
      <c r="U21" s="51">
        <v>22.6</v>
      </c>
      <c r="V21" s="51">
        <v>24</v>
      </c>
      <c r="W21" s="51">
        <v>20.399999999999999</v>
      </c>
      <c r="X21" s="51">
        <v>22.4</v>
      </c>
      <c r="Y21" s="51">
        <v>21</v>
      </c>
      <c r="Z21" s="111">
        <v>22.8</v>
      </c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16</v>
      </c>
      <c r="AQ21" s="89">
        <f t="shared" si="2"/>
        <v>21.612499999999997</v>
      </c>
      <c r="AR21" s="89">
        <f>IFERROR(VLOOKUP(A21,Climatologia!A:U,9+$E$2,FALSE),"")</f>
        <v>19.456815855631209</v>
      </c>
      <c r="AS21" s="89">
        <f t="shared" si="3"/>
        <v>2.155684144368788</v>
      </c>
      <c r="AT21" s="90">
        <f t="shared" si="4"/>
        <v>20.2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4.3999999999999986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>
        <v>11.5</v>
      </c>
      <c r="T22" s="51">
        <v>6.3</v>
      </c>
      <c r="U22" s="51">
        <v>9</v>
      </c>
      <c r="V22" s="51">
        <v>12</v>
      </c>
      <c r="W22" s="51">
        <v>9.3000000000000007</v>
      </c>
      <c r="X22" s="51">
        <v>9</v>
      </c>
      <c r="Y22" s="51">
        <v>10.1</v>
      </c>
      <c r="Z22" s="111">
        <v>10.4</v>
      </c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16</v>
      </c>
      <c r="AQ22" s="89">
        <f t="shared" si="2"/>
        <v>9.35</v>
      </c>
      <c r="AR22" s="89">
        <f>IFERROR(VLOOKUP(A22,Climatologia!A:U,9+$E$2,FALSE),"")</f>
        <v>8.3796136733122264</v>
      </c>
      <c r="AS22" s="89">
        <f t="shared" si="3"/>
        <v>0.97038632668777325</v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>
        <v>19.2</v>
      </c>
      <c r="T23" s="51">
        <v>17.100000000000001</v>
      </c>
      <c r="U23" s="51">
        <v>16.899999999999999</v>
      </c>
      <c r="V23" s="51">
        <v>18</v>
      </c>
      <c r="W23" s="51">
        <v>18.2</v>
      </c>
      <c r="X23" s="51">
        <v>19</v>
      </c>
      <c r="Y23" s="51">
        <v>17.899999999999999</v>
      </c>
      <c r="Z23" s="111">
        <v>21.7</v>
      </c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16</v>
      </c>
      <c r="AQ23" s="89">
        <f t="shared" si="2"/>
        <v>18.906249999999996</v>
      </c>
      <c r="AR23" s="89">
        <f>IFERROR(VLOOKUP(A23,Climatologia!A:U,9+$E$2,FALSE),"")</f>
        <v>18.46166778427882</v>
      </c>
      <c r="AS23" s="89">
        <f t="shared" si="3"/>
        <v>0.44458221572117651</v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>
        <v>25.2</v>
      </c>
      <c r="T24" s="51">
        <v>25.3</v>
      </c>
      <c r="U24" s="51">
        <v>25.3</v>
      </c>
      <c r="V24" s="51">
        <v>25.2</v>
      </c>
      <c r="W24" s="51">
        <v>25.4</v>
      </c>
      <c r="X24" s="51">
        <v>26</v>
      </c>
      <c r="Y24" s="51">
        <v>26.4</v>
      </c>
      <c r="Z24" s="111">
        <v>26.4</v>
      </c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16</v>
      </c>
      <c r="AQ24" s="89">
        <f t="shared" si="2"/>
        <v>25.274999999999995</v>
      </c>
      <c r="AR24" s="89">
        <f>IFERROR(VLOOKUP(A24,Climatologia!A:U,9+$E$2,FALSE),"")</f>
        <v>23.298802867383511</v>
      </c>
      <c r="AS24" s="89">
        <f t="shared" si="3"/>
        <v>1.976197132616484</v>
      </c>
      <c r="AT24" s="90">
        <f t="shared" si="4"/>
        <v>23.8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5.3000000000000007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>
        <v>16.2</v>
      </c>
      <c r="T25" s="51">
        <v>17.8</v>
      </c>
      <c r="U25" s="51">
        <v>18.2</v>
      </c>
      <c r="V25" s="51">
        <v>15.8</v>
      </c>
      <c r="W25" s="51">
        <v>13.4</v>
      </c>
      <c r="X25" s="51">
        <v>15.2</v>
      </c>
      <c r="Y25" s="51">
        <v>14.4</v>
      </c>
      <c r="Z25" s="111">
        <v>14.6</v>
      </c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16</v>
      </c>
      <c r="AQ25" s="89">
        <f t="shared" si="2"/>
        <v>15.824999999999999</v>
      </c>
      <c r="AR25" s="89">
        <f>IFERROR(VLOOKUP(A25,Climatologia!A:U,9+$E$2,FALSE),"")</f>
        <v>14.619937099422639</v>
      </c>
      <c r="AS25" s="89">
        <f t="shared" si="3"/>
        <v>1.2050629005773601</v>
      </c>
      <c r="AT25" s="90">
        <f t="shared" si="4"/>
        <v>13.4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2.2000000000000011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>
        <v>8.8000000000000007</v>
      </c>
      <c r="T26" s="51">
        <v>8</v>
      </c>
      <c r="U26" s="51">
        <v>8.4</v>
      </c>
      <c r="V26" s="51">
        <v>7.4</v>
      </c>
      <c r="W26" s="51">
        <v>3</v>
      </c>
      <c r="X26" s="51">
        <v>4</v>
      </c>
      <c r="Y26" s="51">
        <v>7</v>
      </c>
      <c r="Z26" s="111">
        <v>4.8</v>
      </c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16</v>
      </c>
      <c r="AQ26" s="89">
        <f t="shared" si="2"/>
        <v>6.95</v>
      </c>
      <c r="AR26" s="89">
        <f>IFERROR(VLOOKUP(A26,Climatologia!A:U,9+$E$2,FALSE),"")</f>
        <v>4.8923173896922503</v>
      </c>
      <c r="AS26" s="89">
        <f t="shared" si="3"/>
        <v>2.0576826103077499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>
        <v>24.2</v>
      </c>
      <c r="T27" s="51">
        <v>24.4</v>
      </c>
      <c r="U27" s="51">
        <v>25.6</v>
      </c>
      <c r="V27" s="51">
        <v>25.4</v>
      </c>
      <c r="W27" s="51">
        <v>25.4</v>
      </c>
      <c r="X27" s="51">
        <v>23.9</v>
      </c>
      <c r="Y27" s="51">
        <v>24.6</v>
      </c>
      <c r="Z27" s="111">
        <v>24</v>
      </c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16</v>
      </c>
      <c r="AQ27" s="89">
        <f t="shared" si="2"/>
        <v>24.368749999999999</v>
      </c>
      <c r="AR27" s="89">
        <f>IFERROR(VLOOKUP(A27,Climatologia!A:U,9+$E$2,FALSE),"")</f>
        <v>23.179136204978711</v>
      </c>
      <c r="AS27" s="89">
        <f t="shared" si="3"/>
        <v>1.1896137950212875</v>
      </c>
      <c r="AT27" s="90">
        <f t="shared" si="4"/>
        <v>23.4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>
        <v>23.2</v>
      </c>
      <c r="T28" s="51">
        <v>24</v>
      </c>
      <c r="U28" s="51">
        <v>24.7</v>
      </c>
      <c r="V28" s="51">
        <v>23.9</v>
      </c>
      <c r="W28" s="51">
        <v>23.6</v>
      </c>
      <c r="X28" s="51">
        <v>24.9</v>
      </c>
      <c r="Y28" s="51">
        <v>24.5</v>
      </c>
      <c r="Z28" s="111">
        <v>24.3</v>
      </c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16</v>
      </c>
      <c r="AQ28" s="89">
        <f t="shared" si="2"/>
        <v>23.718749999999996</v>
      </c>
      <c r="AR28" s="89">
        <f>IFERROR(VLOOKUP(A28,Climatologia!A:U,9+$E$2,FALSE),"")</f>
        <v>22.746845081640782</v>
      </c>
      <c r="AS28" s="89">
        <f t="shared" si="3"/>
        <v>0.97190491835921478</v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>
        <v>25</v>
      </c>
      <c r="T29" s="51">
        <v>26</v>
      </c>
      <c r="U29" s="51">
        <v>25.6</v>
      </c>
      <c r="V29" s="51">
        <v>25.8</v>
      </c>
      <c r="W29" s="51">
        <v>26</v>
      </c>
      <c r="X29" s="51">
        <v>25</v>
      </c>
      <c r="Y29" s="51">
        <v>25.6</v>
      </c>
      <c r="Z29" s="111">
        <v>23.8</v>
      </c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16</v>
      </c>
      <c r="AQ29" s="89">
        <f t="shared" si="2"/>
        <v>25.1</v>
      </c>
      <c r="AR29" s="89">
        <f>IFERROR(VLOOKUP(A29,Climatologia!A:U,9+$E$2,FALSE),"")</f>
        <v>23.54566184649611</v>
      </c>
      <c r="AS29" s="89">
        <f t="shared" si="3"/>
        <v>1.5543381535038918</v>
      </c>
      <c r="AT29" s="90">
        <f t="shared" si="4"/>
        <v>23.8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3.8000000000000007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>
        <v>21.6</v>
      </c>
      <c r="T30" s="51">
        <v>21.8</v>
      </c>
      <c r="U30" s="51">
        <v>21.4</v>
      </c>
      <c r="V30" s="51">
        <v>21.7</v>
      </c>
      <c r="W30" s="51">
        <v>21</v>
      </c>
      <c r="X30" s="51">
        <v>21.3</v>
      </c>
      <c r="Y30" s="51">
        <v>22.4</v>
      </c>
      <c r="Z30" s="111">
        <v>22.5</v>
      </c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16</v>
      </c>
      <c r="AQ30" s="89">
        <f t="shared" si="2"/>
        <v>21.612500000000001</v>
      </c>
      <c r="AR30" s="89">
        <f>IFERROR(VLOOKUP(A30,Climatologia!A:U,9+$E$2,FALSE),"")</f>
        <v>20.53698553948831</v>
      </c>
      <c r="AS30" s="89">
        <f t="shared" si="3"/>
        <v>1.0755144605116911</v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>
        <v>22.8</v>
      </c>
      <c r="T31" s="108">
        <v>22.8</v>
      </c>
      <c r="U31" s="108">
        <v>23.2</v>
      </c>
      <c r="V31" s="108">
        <v>23.6</v>
      </c>
      <c r="W31" s="108">
        <v>23.2</v>
      </c>
      <c r="X31" s="108">
        <v>23.3</v>
      </c>
      <c r="Y31" s="108">
        <v>24.2</v>
      </c>
      <c r="Z31" s="115">
        <v>23.2</v>
      </c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16</v>
      </c>
      <c r="AQ31" s="89">
        <f t="shared" si="2"/>
        <v>23.15</v>
      </c>
      <c r="AR31" s="89">
        <f>IFERROR(VLOOKUP(A31,Climatologia!A:U,9+$E$2,FALSE),"")</f>
        <v>21.82882961124896</v>
      </c>
      <c r="AS31" s="89">
        <f t="shared" si="3"/>
        <v>1.3211703887510389</v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>
        <v>13.6</v>
      </c>
      <c r="T32" s="51">
        <v>14</v>
      </c>
      <c r="U32" s="51">
        <v>11.6</v>
      </c>
      <c r="V32" s="51">
        <v>11.2</v>
      </c>
      <c r="W32" s="51">
        <v>12</v>
      </c>
      <c r="X32" s="51">
        <v>13.2</v>
      </c>
      <c r="Y32" s="51">
        <v>16</v>
      </c>
      <c r="Z32" s="111">
        <v>12.2</v>
      </c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16</v>
      </c>
      <c r="AQ32" s="89">
        <f t="shared" si="2"/>
        <v>13.374999999999998</v>
      </c>
      <c r="AR32" s="89">
        <f>IFERROR(VLOOKUP(A32,Climatologia!A:U,9+$E$2,FALSE),"")</f>
        <v>13.384747431302269</v>
      </c>
      <c r="AS32" s="89">
        <f t="shared" si="3"/>
        <v>-9.7474313022711812E-3</v>
      </c>
      <c r="AT32" s="90">
        <f t="shared" si="4"/>
        <v>11.2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14.8</v>
      </c>
      <c r="M34" s="51">
        <v>15</v>
      </c>
      <c r="N34" s="51">
        <v>15.8</v>
      </c>
      <c r="O34" s="51">
        <v>15.4</v>
      </c>
      <c r="P34" s="51">
        <v>15.6</v>
      </c>
      <c r="Q34" s="51">
        <v>15.2</v>
      </c>
      <c r="R34" s="51">
        <v>17.2</v>
      </c>
      <c r="S34" s="51">
        <v>16.600000000000001</v>
      </c>
      <c r="T34" s="51">
        <v>16.399999999999999</v>
      </c>
      <c r="U34" s="51">
        <v>14.2</v>
      </c>
      <c r="V34" s="51">
        <v>16</v>
      </c>
      <c r="W34" s="51">
        <v>15</v>
      </c>
      <c r="X34" s="51">
        <v>16.600000000000001</v>
      </c>
      <c r="Y34" s="51">
        <v>16.8</v>
      </c>
      <c r="Z34" s="111">
        <v>17</v>
      </c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16</v>
      </c>
      <c r="AQ34" s="89">
        <f t="shared" si="2"/>
        <v>15.8</v>
      </c>
      <c r="AR34" s="89">
        <f>IFERROR(VLOOKUP(A34,Climatologia!A:U,9+$E$2,FALSE),"")</f>
        <v>14.78540372493654</v>
      </c>
      <c r="AS34" s="89">
        <f t="shared" si="3"/>
        <v>1.014596275063461</v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4.1999999999999993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>
        <v>14.4</v>
      </c>
      <c r="T35" s="51">
        <v>15</v>
      </c>
      <c r="U35" s="51">
        <v>14.8</v>
      </c>
      <c r="V35" s="51">
        <v>14.2</v>
      </c>
      <c r="W35" s="51">
        <v>15.4</v>
      </c>
      <c r="X35" s="51">
        <v>15.8</v>
      </c>
      <c r="Y35" s="51">
        <v>15.4</v>
      </c>
      <c r="Z35" s="111">
        <v>16</v>
      </c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16</v>
      </c>
      <c r="AQ35" s="89">
        <f t="shared" si="2"/>
        <v>14.862500000000002</v>
      </c>
      <c r="AR35" s="89">
        <f>IFERROR(VLOOKUP(A35,Climatologia!A:U,9+$E$2,FALSE),"")</f>
        <v>13.2928973207542</v>
      </c>
      <c r="AS35" s="89">
        <f t="shared" si="3"/>
        <v>1.5696026792458024</v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>
        <v>19.399999999999999</v>
      </c>
      <c r="T36" s="51">
        <v>17.2</v>
      </c>
      <c r="U36" s="51">
        <v>15.8</v>
      </c>
      <c r="V36" s="51">
        <v>15.8</v>
      </c>
      <c r="W36" s="51">
        <v>17.8</v>
      </c>
      <c r="X36" s="51">
        <v>19</v>
      </c>
      <c r="Y36" s="51">
        <v>20.399999999999999</v>
      </c>
      <c r="Z36" s="111">
        <v>22</v>
      </c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16</v>
      </c>
      <c r="AQ36" s="89">
        <f t="shared" si="2"/>
        <v>18.337500000000002</v>
      </c>
      <c r="AR36" s="89">
        <f>IFERROR(VLOOKUP(A36,Climatologia!A:U,9+$E$2,FALSE),"")</f>
        <v>19.435919418842811</v>
      </c>
      <c r="AS36" s="89">
        <f t="shared" si="3"/>
        <v>-1.0984194188428091</v>
      </c>
      <c r="AT36" s="90">
        <f t="shared" si="4"/>
        <v>15.8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0.80000000000000071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>
        <v>9.8000000000000007</v>
      </c>
      <c r="T37" s="51">
        <v>10.199999999999999</v>
      </c>
      <c r="U37" s="51">
        <v>9.6</v>
      </c>
      <c r="V37" s="51">
        <v>9.4</v>
      </c>
      <c r="W37" s="51">
        <v>7.6</v>
      </c>
      <c r="X37" s="51">
        <v>8.6</v>
      </c>
      <c r="Y37" s="51">
        <v>7.8</v>
      </c>
      <c r="Z37" s="111">
        <v>10.4</v>
      </c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16</v>
      </c>
      <c r="AQ37" s="89">
        <f t="shared" si="2"/>
        <v>9.1750000000000007</v>
      </c>
      <c r="AR37" s="89">
        <f>IFERROR(VLOOKUP(A37,Climatologia!A:U,9+$E$2,FALSE),"")</f>
        <v>9.4603029050299927</v>
      </c>
      <c r="AS37" s="89">
        <f t="shared" si="3"/>
        <v>-0.285302905029992</v>
      </c>
      <c r="AT37" s="90">
        <f t="shared" si="4"/>
        <v>7.6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>
        <v>17.399999999999999</v>
      </c>
      <c r="T38" s="51">
        <v>17.399999999999999</v>
      </c>
      <c r="U38" s="51">
        <v>18.399999999999999</v>
      </c>
      <c r="V38" s="51"/>
      <c r="W38" s="51">
        <v>18.399999999999999</v>
      </c>
      <c r="X38" s="51"/>
      <c r="Y38" s="51"/>
      <c r="Z38" s="111">
        <v>17.8</v>
      </c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13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>
        <v>19.600000000000001</v>
      </c>
      <c r="T39" s="51">
        <v>19.399999999999999</v>
      </c>
      <c r="U39" s="51">
        <v>18.399999999999999</v>
      </c>
      <c r="V39" s="51">
        <v>19.399999999999999</v>
      </c>
      <c r="W39" s="51">
        <v>20.8</v>
      </c>
      <c r="X39" s="51">
        <v>21.2</v>
      </c>
      <c r="Y39" s="51">
        <v>21.6</v>
      </c>
      <c r="Z39" s="111">
        <v>19</v>
      </c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16</v>
      </c>
      <c r="AQ39" s="89">
        <f t="shared" si="2"/>
        <v>19.862500000000004</v>
      </c>
      <c r="AR39" s="89">
        <f>IFERROR(VLOOKUP(A39,Climatologia!A:U,9+$E$2,FALSE),"")</f>
        <v>17.324090157154679</v>
      </c>
      <c r="AS39" s="89">
        <f t="shared" si="3"/>
        <v>2.5384098428453257</v>
      </c>
      <c r="AT39" s="90">
        <f t="shared" si="4"/>
        <v>18.399999999999999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6.1999999999999993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>
        <v>15.4</v>
      </c>
      <c r="T40" s="51">
        <v>14.2</v>
      </c>
      <c r="U40" s="51">
        <v>14</v>
      </c>
      <c r="V40" s="51">
        <v>12.8</v>
      </c>
      <c r="W40" s="51">
        <v>14.6</v>
      </c>
      <c r="X40" s="51">
        <v>15.8</v>
      </c>
      <c r="Y40" s="51">
        <v>15.8</v>
      </c>
      <c r="Z40" s="111">
        <v>16.399999999999999</v>
      </c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16</v>
      </c>
      <c r="AQ40" s="89">
        <f t="shared" si="2"/>
        <v>14.6</v>
      </c>
      <c r="AR40" s="89">
        <f>IFERROR(VLOOKUP(A40,Climatologia!A:U,9+$E$2,FALSE),"")</f>
        <v>13.024959037378389</v>
      </c>
      <c r="AS40" s="89">
        <f t="shared" si="3"/>
        <v>1.5750409626216104</v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>
        <v>26</v>
      </c>
      <c r="T41" s="51">
        <v>26.8</v>
      </c>
      <c r="U41" s="51">
        <v>26</v>
      </c>
      <c r="V41" s="51">
        <v>26.8</v>
      </c>
      <c r="W41" s="51">
        <v>27</v>
      </c>
      <c r="X41" s="51">
        <v>24</v>
      </c>
      <c r="Y41" s="51">
        <v>26.8</v>
      </c>
      <c r="Z41" s="111">
        <v>26</v>
      </c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16</v>
      </c>
      <c r="AQ41" s="89">
        <f t="shared" si="2"/>
        <v>25.150000000000002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>
        <v>26.6</v>
      </c>
      <c r="T42" s="51">
        <v>26.4</v>
      </c>
      <c r="U42" s="51">
        <v>27</v>
      </c>
      <c r="V42" s="51">
        <v>27.4</v>
      </c>
      <c r="W42" s="51">
        <v>27.2</v>
      </c>
      <c r="X42" s="51">
        <v>25.8</v>
      </c>
      <c r="Y42" s="51">
        <v>26.8</v>
      </c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15</v>
      </c>
      <c r="AQ42" s="89">
        <f t="shared" si="2"/>
        <v>26.186666666666664</v>
      </c>
      <c r="AR42" s="89">
        <f>IFERROR(VLOOKUP(A42,Climatologia!A:U,9+$E$2,FALSE),"")</f>
        <v>24.242887721454171</v>
      </c>
      <c r="AS42" s="89">
        <f t="shared" si="3"/>
        <v>1.9437789452124932</v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23.5</v>
      </c>
      <c r="L43" s="51">
        <v>21.4</v>
      </c>
      <c r="M43" s="51">
        <v>27.4</v>
      </c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>
        <v>24.8</v>
      </c>
      <c r="T43" s="51">
        <v>25.4</v>
      </c>
      <c r="U43" s="51">
        <v>26</v>
      </c>
      <c r="V43" s="51">
        <v>27.4</v>
      </c>
      <c r="W43" s="51">
        <v>25.4</v>
      </c>
      <c r="X43" s="51">
        <v>26.6</v>
      </c>
      <c r="Y43" s="51">
        <v>27.1</v>
      </c>
      <c r="Z43" s="111">
        <v>26.5</v>
      </c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16</v>
      </c>
      <c r="AQ43" s="89">
        <f t="shared" si="2"/>
        <v>25.337500000000002</v>
      </c>
      <c r="AR43" s="89">
        <f>IFERROR(VLOOKUP(A43,Climatologia!A:U,9+$E$2,FALSE),"")</f>
        <v>23.780114118567958</v>
      </c>
      <c r="AS43" s="89">
        <f t="shared" si="3"/>
        <v>1.5573858814320438</v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>
        <v>23.8</v>
      </c>
      <c r="T44" s="51">
        <v>24.2</v>
      </c>
      <c r="U44" s="51">
        <v>25.6</v>
      </c>
      <c r="V44" s="51">
        <v>25.4</v>
      </c>
      <c r="W44" s="51">
        <v>25.4</v>
      </c>
      <c r="X44" s="51">
        <v>24.6</v>
      </c>
      <c r="Y44" s="51">
        <v>25.4</v>
      </c>
      <c r="Z44" s="111">
        <v>24.8</v>
      </c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16</v>
      </c>
      <c r="AQ44" s="89">
        <f t="shared" si="2"/>
        <v>24.774999999999999</v>
      </c>
      <c r="AR44" s="89">
        <f>IFERROR(VLOOKUP(A44,Climatologia!A:U,9+$E$2,FALSE),"")</f>
        <v>23.0554149406661</v>
      </c>
      <c r="AS44" s="89">
        <f t="shared" si="3"/>
        <v>1.7195850593338982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>
        <v>25.8</v>
      </c>
      <c r="T47" s="51">
        <v>24.2</v>
      </c>
      <c r="U47" s="51">
        <v>24.6</v>
      </c>
      <c r="V47" s="51">
        <v>26.8</v>
      </c>
      <c r="W47" s="51">
        <v>26.6</v>
      </c>
      <c r="X47" s="51">
        <v>24.6</v>
      </c>
      <c r="Y47" s="51">
        <v>25.2</v>
      </c>
      <c r="Z47" s="111">
        <v>25.4</v>
      </c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16</v>
      </c>
      <c r="AQ47" s="89">
        <f t="shared" si="2"/>
        <v>25.312500000000004</v>
      </c>
      <c r="AR47" s="89">
        <f>IFERROR(VLOOKUP(A47,Climatologia!A:U,9+$E$2,FALSE),"")</f>
        <v>22.672444338506629</v>
      </c>
      <c r="AS47" s="89">
        <f t="shared" si="3"/>
        <v>2.6400556614933741</v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>
        <v>25.8</v>
      </c>
      <c r="T51" s="51">
        <v>24</v>
      </c>
      <c r="U51" s="51">
        <v>25.2</v>
      </c>
      <c r="V51" s="51">
        <v>27</v>
      </c>
      <c r="W51" s="51">
        <v>27.2</v>
      </c>
      <c r="X51" s="51">
        <v>24.8</v>
      </c>
      <c r="Y51" s="51">
        <v>25.4</v>
      </c>
      <c r="Z51" s="111">
        <v>25.8</v>
      </c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16</v>
      </c>
      <c r="AQ51" s="89">
        <f t="shared" si="2"/>
        <v>25.349999999999998</v>
      </c>
      <c r="AR51" s="89">
        <f>IFERROR(VLOOKUP(A51,Climatologia!A:U,9+$E$2,FALSE),"")</f>
        <v>23.046735261401551</v>
      </c>
      <c r="AS51" s="89">
        <f t="shared" si="3"/>
        <v>2.3032647385984468</v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>
        <v>26.4</v>
      </c>
      <c r="T52" s="51">
        <v>25.8</v>
      </c>
      <c r="U52" s="51">
        <v>26.4</v>
      </c>
      <c r="V52" s="51">
        <v>25.2</v>
      </c>
      <c r="W52" s="51">
        <v>25</v>
      </c>
      <c r="X52" s="51">
        <v>25.4</v>
      </c>
      <c r="Y52" s="51">
        <v>24.6</v>
      </c>
      <c r="Z52" s="111">
        <v>26.4</v>
      </c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16</v>
      </c>
      <c r="AQ52" s="89">
        <f t="shared" si="2"/>
        <v>24.8125</v>
      </c>
      <c r="AR52" s="89">
        <f>IFERROR(VLOOKUP(A52,Climatologia!A:U,9+$E$2,FALSE),"")</f>
        <v>22.42011697979439</v>
      </c>
      <c r="AS52" s="89">
        <f t="shared" si="3"/>
        <v>2.3923830202056102</v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>
        <v>24.8</v>
      </c>
      <c r="T53" s="51">
        <v>25.8</v>
      </c>
      <c r="U53" s="51">
        <v>25.6</v>
      </c>
      <c r="V53" s="51"/>
      <c r="W53" s="51">
        <v>25.6</v>
      </c>
      <c r="X53" s="51">
        <v>26</v>
      </c>
      <c r="Y53" s="51">
        <v>24.8</v>
      </c>
      <c r="Z53" s="111">
        <v>25.4</v>
      </c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15</v>
      </c>
      <c r="AQ53" s="89">
        <f t="shared" si="2"/>
        <v>25.146666666666668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>
        <v>22</v>
      </c>
      <c r="T54" s="51">
        <v>22.2</v>
      </c>
      <c r="U54" s="51">
        <v>22.6</v>
      </c>
      <c r="V54" s="51">
        <v>23.4</v>
      </c>
      <c r="W54" s="51">
        <v>22.8</v>
      </c>
      <c r="X54" s="51">
        <v>23.2</v>
      </c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14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>
        <v>25</v>
      </c>
      <c r="T57" s="51">
        <v>25.2</v>
      </c>
      <c r="U57" s="51">
        <v>25.4</v>
      </c>
      <c r="V57" s="51">
        <v>25.4</v>
      </c>
      <c r="W57" s="51">
        <v>25.2</v>
      </c>
      <c r="X57" s="51">
        <v>25.8</v>
      </c>
      <c r="Y57" s="51">
        <v>24.8</v>
      </c>
      <c r="Z57" s="111">
        <v>25.2</v>
      </c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16</v>
      </c>
      <c r="AQ57" s="89">
        <f t="shared" si="2"/>
        <v>25.124999999999996</v>
      </c>
      <c r="AR57" s="89">
        <f>IFERROR(VLOOKUP(A57,Climatologia!A:U,9+$E$2,FALSE),"")</f>
        <v>23.979265352535649</v>
      </c>
      <c r="AS57" s="89">
        <f t="shared" si="3"/>
        <v>1.1457346474643479</v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20.6</v>
      </c>
      <c r="L58" s="51">
        <v>20.2</v>
      </c>
      <c r="M58" s="51">
        <v>22.2</v>
      </c>
      <c r="N58" s="51">
        <v>22.2</v>
      </c>
      <c r="O58" s="51">
        <v>23</v>
      </c>
      <c r="P58" s="51"/>
      <c r="Q58" s="51"/>
      <c r="R58" s="51">
        <v>23.6</v>
      </c>
      <c r="S58" s="51">
        <v>23.2</v>
      </c>
      <c r="T58" s="51">
        <v>22.8</v>
      </c>
      <c r="U58" s="51">
        <v>22.6</v>
      </c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9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4.1999999999999993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>
        <v>22.2</v>
      </c>
      <c r="S60" s="51">
        <v>22.4</v>
      </c>
      <c r="T60" s="51">
        <v>22.4</v>
      </c>
      <c r="U60" s="51">
        <v>21.2</v>
      </c>
      <c r="V60" s="51">
        <v>21.6</v>
      </c>
      <c r="W60" s="51">
        <v>22</v>
      </c>
      <c r="X60" s="51">
        <v>22.6</v>
      </c>
      <c r="Y60" s="51">
        <v>22.8</v>
      </c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15</v>
      </c>
      <c r="AQ60" s="89">
        <f t="shared" si="2"/>
        <v>22.160000000000004</v>
      </c>
      <c r="AR60" s="89">
        <f>IFERROR(VLOOKUP(A60,Climatologia!A:U,9+$E$2,FALSE),"")</f>
        <v>21.421723438405142</v>
      </c>
      <c r="AS60" s="89">
        <f t="shared" si="3"/>
        <v>0.7382765615948621</v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4.1999999999999993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20.2</v>
      </c>
      <c r="L63" s="51">
        <v>21.2</v>
      </c>
      <c r="M63" s="51">
        <v>21.4</v>
      </c>
      <c r="N63" s="51">
        <v>21.2</v>
      </c>
      <c r="O63" s="51">
        <v>23</v>
      </c>
      <c r="P63" s="51">
        <v>22.6</v>
      </c>
      <c r="Q63" s="51">
        <v>21.6</v>
      </c>
      <c r="R63" s="51">
        <v>22</v>
      </c>
      <c r="S63" s="51">
        <v>23</v>
      </c>
      <c r="T63" s="51">
        <v>22.8</v>
      </c>
      <c r="U63" s="51">
        <v>22.6</v>
      </c>
      <c r="V63" s="51">
        <v>23</v>
      </c>
      <c r="W63" s="51">
        <v>20.8</v>
      </c>
      <c r="X63" s="51">
        <v>23.2</v>
      </c>
      <c r="Y63" s="51">
        <v>22.6</v>
      </c>
      <c r="Z63" s="111">
        <v>23.2</v>
      </c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16</v>
      </c>
      <c r="AQ63" s="89">
        <f t="shared" si="2"/>
        <v>22.150000000000002</v>
      </c>
      <c r="AR63" s="89">
        <f>IFERROR(VLOOKUP(A63,Climatologia!A:U,9+$E$2,FALSE),"")</f>
        <v>22.115021493152749</v>
      </c>
      <c r="AS63" s="89">
        <f t="shared" si="3"/>
        <v>3.4978506847252788E-2</v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>
        <v>22.4</v>
      </c>
      <c r="T64" s="51">
        <v>22.2</v>
      </c>
      <c r="U64" s="51">
        <v>23</v>
      </c>
      <c r="V64" s="51">
        <v>21.6</v>
      </c>
      <c r="W64" s="51">
        <v>21</v>
      </c>
      <c r="X64" s="51">
        <v>23.2</v>
      </c>
      <c r="Y64" s="51">
        <v>23.4</v>
      </c>
      <c r="Z64" s="111">
        <v>23.4</v>
      </c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16</v>
      </c>
      <c r="AQ64" s="89">
        <f t="shared" si="2"/>
        <v>22.174999999999997</v>
      </c>
      <c r="AR64" s="89">
        <f>IFERROR(VLOOKUP(A64,Climatologia!A:U,9+$E$2,FALSE),"")</f>
        <v>21.829845625062539</v>
      </c>
      <c r="AS64" s="89">
        <f t="shared" si="3"/>
        <v>0.34515437493745793</v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>
        <v>22.8</v>
      </c>
      <c r="T65" s="51">
        <v>22.4</v>
      </c>
      <c r="U65" s="51">
        <v>23.2</v>
      </c>
      <c r="V65" s="51">
        <v>22.4</v>
      </c>
      <c r="W65" s="51">
        <v>21.8</v>
      </c>
      <c r="X65" s="51"/>
      <c r="Y65" s="51">
        <v>23</v>
      </c>
      <c r="Z65" s="111">
        <v>23</v>
      </c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15</v>
      </c>
      <c r="AQ65" s="89">
        <f t="shared" si="2"/>
        <v>22.506666666666668</v>
      </c>
      <c r="AR65" s="89">
        <f>IFERROR(VLOOKUP(A65,Climatologia!A:U,9+$E$2,FALSE),"")</f>
        <v>21.51595325788206</v>
      </c>
      <c r="AS65" s="89">
        <f t="shared" si="3"/>
        <v>0.99071340878460745</v>
      </c>
      <c r="AT65" s="90">
        <f t="shared" si="4"/>
        <v>21.6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>
        <v>20.2</v>
      </c>
      <c r="T67" s="51">
        <v>19.8</v>
      </c>
      <c r="U67" s="51">
        <v>20.399999999999999</v>
      </c>
      <c r="V67" s="51">
        <v>20.399999999999999</v>
      </c>
      <c r="W67" s="51">
        <v>19.600000000000001</v>
      </c>
      <c r="X67" s="51">
        <v>20.6</v>
      </c>
      <c r="Y67" s="51">
        <v>20.8</v>
      </c>
      <c r="Z67" s="111">
        <v>22.6</v>
      </c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16</v>
      </c>
      <c r="AQ67" s="89">
        <f t="shared" si="2"/>
        <v>20.362500000000008</v>
      </c>
      <c r="AR67" s="89">
        <f>IFERROR(VLOOKUP(A67,Climatologia!A:U,9+$E$2,FALSE),"")</f>
        <v>21.155438855480959</v>
      </c>
      <c r="AS67" s="89">
        <f t="shared" si="3"/>
        <v>-0.79293885548095133</v>
      </c>
      <c r="AT67" s="90">
        <f t="shared" si="4"/>
        <v>19.600000000000001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1.6000000000000014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>
        <v>21.6</v>
      </c>
      <c r="T68" s="51">
        <v>20.399999999999999</v>
      </c>
      <c r="U68" s="51">
        <v>21.8</v>
      </c>
      <c r="V68" s="51">
        <v>20.8</v>
      </c>
      <c r="W68" s="51">
        <v>20</v>
      </c>
      <c r="X68" s="51">
        <v>21.6</v>
      </c>
      <c r="Y68" s="51">
        <v>22.2</v>
      </c>
      <c r="Z68" s="111">
        <v>22.6</v>
      </c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16</v>
      </c>
      <c r="AQ68" s="89">
        <f t="shared" si="2"/>
        <v>21.293750000000006</v>
      </c>
      <c r="AR68" s="89">
        <f>IFERROR(VLOOKUP(A68,Climatologia!A:U,9+$E$2,FALSE),"")</f>
        <v>21.17954086440843</v>
      </c>
      <c r="AS68" s="89">
        <f t="shared" si="3"/>
        <v>0.11420913559157597</v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</v>
      </c>
      <c r="L69" s="51">
        <v>22.4</v>
      </c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>
        <v>22.4</v>
      </c>
      <c r="T69" s="51">
        <v>22</v>
      </c>
      <c r="U69" s="51">
        <v>23.6</v>
      </c>
      <c r="V69" s="51">
        <v>22.8</v>
      </c>
      <c r="W69" s="51">
        <v>21.8</v>
      </c>
      <c r="X69" s="51">
        <v>22.2</v>
      </c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14</v>
      </c>
      <c r="AQ69" s="89" t="str">
        <f t="shared" ref="AQ69:AQ132" si="7">IF(AP69&gt;14,AVERAGE(K69:AO69),"")</f>
        <v/>
      </c>
      <c r="AR69" s="89">
        <f>IFERROR(VLOOKUP(A69,Climatologia!A:U,9+$E$2,FALSE),"")</f>
        <v>20.95822964669739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21.8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3.8000000000000007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>
        <v>23.3</v>
      </c>
      <c r="T70" s="51">
        <v>24</v>
      </c>
      <c r="U70" s="51">
        <v>23</v>
      </c>
      <c r="V70" s="51">
        <v>23.1</v>
      </c>
      <c r="W70" s="51">
        <v>22</v>
      </c>
      <c r="X70" s="51">
        <v>23.1</v>
      </c>
      <c r="Y70" s="51">
        <v>23.2</v>
      </c>
      <c r="Z70" s="111">
        <v>23.4</v>
      </c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16</v>
      </c>
      <c r="AQ70" s="89">
        <f t="shared" si="7"/>
        <v>23.012499999999999</v>
      </c>
      <c r="AR70" s="89">
        <f>IFERROR(VLOOKUP(A70,Climatologia!A:U,9+$E$2,FALSE),"")</f>
        <v>22.49395085458767</v>
      </c>
      <c r="AS70" s="89">
        <f t="shared" si="8"/>
        <v>0.51854914541232944</v>
      </c>
      <c r="AT70" s="90">
        <f t="shared" si="9"/>
        <v>22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>
        <v>23</v>
      </c>
      <c r="T71" s="51">
        <v>23.1</v>
      </c>
      <c r="U71" s="51">
        <v>21.4</v>
      </c>
      <c r="V71" s="51">
        <v>21.2</v>
      </c>
      <c r="W71" s="51">
        <v>22.3</v>
      </c>
      <c r="X71" s="51">
        <v>22.3</v>
      </c>
      <c r="Y71" s="51">
        <v>23.2</v>
      </c>
      <c r="Z71" s="111">
        <v>23</v>
      </c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16</v>
      </c>
      <c r="AQ71" s="89">
        <f t="shared" si="7"/>
        <v>22.356249999999999</v>
      </c>
      <c r="AR71" s="89">
        <f>IFERROR(VLOOKUP(A71,Climatologia!A:U,9+$E$2,FALSE),"")</f>
        <v>21.499102150537631</v>
      </c>
      <c r="AS71" s="89">
        <f t="shared" si="8"/>
        <v>0.85714784946236833</v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21.4</v>
      </c>
      <c r="L72" s="51">
        <v>21.3</v>
      </c>
      <c r="M72" s="51">
        <v>21.2</v>
      </c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>
        <v>20.6</v>
      </c>
      <c r="V72" s="51">
        <v>21.4</v>
      </c>
      <c r="W72" s="51">
        <v>20.6</v>
      </c>
      <c r="X72" s="51">
        <v>20.8</v>
      </c>
      <c r="Y72" s="51">
        <v>20.8</v>
      </c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13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>
        <v>18.399999999999999</v>
      </c>
      <c r="T73" s="51">
        <v>18.2</v>
      </c>
      <c r="U73" s="51">
        <v>18.2</v>
      </c>
      <c r="V73" s="51">
        <v>16.399999999999999</v>
      </c>
      <c r="W73" s="51">
        <v>17</v>
      </c>
      <c r="X73" s="51">
        <v>18.2</v>
      </c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14</v>
      </c>
      <c r="AQ73" s="89" t="str">
        <f t="shared" si="7"/>
        <v/>
      </c>
      <c r="AR73" s="89">
        <f>IFERROR(VLOOKUP(A73,Climatologia!A:U,9+$E$2,FALSE),"")</f>
        <v>16.339759362254359</v>
      </c>
      <c r="AS73" s="89" t="str">
        <f t="shared" si="8"/>
        <v/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>
        <v>12.8</v>
      </c>
      <c r="T74" s="51">
        <v>11.2</v>
      </c>
      <c r="U74" s="51">
        <v>12.2</v>
      </c>
      <c r="V74" s="51">
        <v>11.4</v>
      </c>
      <c r="W74" s="51">
        <v>10.8</v>
      </c>
      <c r="X74" s="51">
        <v>11</v>
      </c>
      <c r="Y74" s="51">
        <v>13</v>
      </c>
      <c r="Z74" s="111">
        <v>12.8</v>
      </c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15</v>
      </c>
      <c r="AQ74" s="89">
        <f t="shared" si="7"/>
        <v>11.866666666666669</v>
      </c>
      <c r="AR74" s="89">
        <f>IFERROR(VLOOKUP(A74,Climatologia!A:U,9+$E$2,FALSE),"")</f>
        <v>11.60078927362504</v>
      </c>
      <c r="AS74" s="89">
        <f t="shared" si="8"/>
        <v>0.26587739304162916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16</v>
      </c>
      <c r="L75" s="51">
        <v>13.8</v>
      </c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>
        <v>16</v>
      </c>
      <c r="T75" s="51">
        <v>13.8</v>
      </c>
      <c r="U75" s="51">
        <v>17</v>
      </c>
      <c r="V75" s="51">
        <v>15.8</v>
      </c>
      <c r="W75" s="51">
        <v>14</v>
      </c>
      <c r="X75" s="51">
        <v>15.2</v>
      </c>
      <c r="Y75" s="51">
        <v>17</v>
      </c>
      <c r="Z75" s="111">
        <v>17.2</v>
      </c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16</v>
      </c>
      <c r="AQ75" s="89">
        <f t="shared" si="7"/>
        <v>15.862500000000001</v>
      </c>
      <c r="AR75" s="89">
        <f>IFERROR(VLOOKUP(A75,Climatologia!A:U,9+$E$2,FALSE),"")</f>
        <v>15.418794564997761</v>
      </c>
      <c r="AS75" s="89">
        <f t="shared" si="8"/>
        <v>0.44370543500224002</v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>
        <v>18</v>
      </c>
      <c r="T76" s="51">
        <v>17.8</v>
      </c>
      <c r="U76" s="51">
        <v>18.8</v>
      </c>
      <c r="V76" s="51">
        <v>16.8</v>
      </c>
      <c r="W76" s="51">
        <v>16.600000000000001</v>
      </c>
      <c r="X76" s="51">
        <v>18</v>
      </c>
      <c r="Y76" s="51">
        <v>17.399999999999999</v>
      </c>
      <c r="Z76" s="111">
        <v>18.399999999999999</v>
      </c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16</v>
      </c>
      <c r="AQ76" s="89">
        <f t="shared" si="7"/>
        <v>17.462499999999999</v>
      </c>
      <c r="AR76" s="89">
        <f>IFERROR(VLOOKUP(A76,Climatologia!A:U,9+$E$2,FALSE),"")</f>
        <v>18.47633867500863</v>
      </c>
      <c r="AS76" s="89">
        <f t="shared" si="8"/>
        <v>-1.0138386750086319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>
        <v>28.8</v>
      </c>
      <c r="T77" s="51">
        <v>27.6</v>
      </c>
      <c r="U77" s="51">
        <v>28.4</v>
      </c>
      <c r="V77" s="51">
        <v>27.6</v>
      </c>
      <c r="W77" s="51">
        <v>27</v>
      </c>
      <c r="X77" s="51">
        <v>28.4</v>
      </c>
      <c r="Y77" s="51">
        <v>28</v>
      </c>
      <c r="Z77" s="111">
        <v>26</v>
      </c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16</v>
      </c>
      <c r="AQ77" s="89">
        <f t="shared" si="7"/>
        <v>27.112500000000001</v>
      </c>
      <c r="AR77" s="89">
        <f>IFERROR(VLOOKUP(A77,Climatologia!A:U,9+$E$2,FALSE),"")</f>
        <v>24.545433207708651</v>
      </c>
      <c r="AS77" s="89">
        <f t="shared" si="8"/>
        <v>2.5670667922913495</v>
      </c>
      <c r="AT77" s="90">
        <f t="shared" si="9"/>
        <v>24.4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6.5999999999999979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>
        <v>26.4</v>
      </c>
      <c r="T78" s="51">
        <v>24.2</v>
      </c>
      <c r="U78" s="51">
        <v>27</v>
      </c>
      <c r="V78" s="51">
        <v>25.6</v>
      </c>
      <c r="W78" s="51">
        <v>24.6</v>
      </c>
      <c r="X78" s="51">
        <v>25.2</v>
      </c>
      <c r="Y78" s="51">
        <v>25.4</v>
      </c>
      <c r="Z78" s="111">
        <v>27.8</v>
      </c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16</v>
      </c>
      <c r="AQ78" s="89">
        <f t="shared" si="7"/>
        <v>25.4</v>
      </c>
      <c r="AR78" s="89">
        <f>IFERROR(VLOOKUP(A78,Climatologia!A:U,9+$E$2,FALSE),"")</f>
        <v>23.46580771270726</v>
      </c>
      <c r="AS78" s="89">
        <f t="shared" si="8"/>
        <v>1.9341922872927384</v>
      </c>
      <c r="AT78" s="90">
        <f t="shared" si="9"/>
        <v>23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4.8000000000000007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>
        <v>15.2</v>
      </c>
      <c r="S79" s="51">
        <v>15</v>
      </c>
      <c r="T79" s="51">
        <v>13.4</v>
      </c>
      <c r="U79" s="51">
        <v>15.2</v>
      </c>
      <c r="V79" s="51">
        <v>16.2</v>
      </c>
      <c r="W79" s="51">
        <v>13.6</v>
      </c>
      <c r="X79" s="51">
        <v>14.6</v>
      </c>
      <c r="Y79" s="51">
        <v>14.6</v>
      </c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15</v>
      </c>
      <c r="AQ79" s="89">
        <f t="shared" si="7"/>
        <v>14.799999999999999</v>
      </c>
      <c r="AR79" s="89">
        <f>IFERROR(VLOOKUP(A79,Climatologia!A:U,9+$E$2,FALSE),"")</f>
        <v>15.28784620132488</v>
      </c>
      <c r="AS79" s="89">
        <f t="shared" si="8"/>
        <v>-0.48784620132488143</v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>
        <v>23.4</v>
      </c>
      <c r="T81" s="51">
        <v>23.2</v>
      </c>
      <c r="U81" s="51">
        <v>22.8</v>
      </c>
      <c r="V81" s="51">
        <v>23.2</v>
      </c>
      <c r="W81" s="51">
        <v>23</v>
      </c>
      <c r="X81" s="51">
        <v>23</v>
      </c>
      <c r="Y81" s="51">
        <v>22.2</v>
      </c>
      <c r="Z81" s="111">
        <v>22.6</v>
      </c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16</v>
      </c>
      <c r="AQ81" s="89">
        <f t="shared" si="7"/>
        <v>23.075000000000003</v>
      </c>
      <c r="AR81" s="89">
        <f>IFERROR(VLOOKUP(A81,Climatologia!A:U,9+$E$2,FALSE),"")</f>
        <v>21.715420961210111</v>
      </c>
      <c r="AS81" s="89">
        <f t="shared" si="8"/>
        <v>1.3595790387898923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5.3999999999999986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>
        <v>27.8</v>
      </c>
      <c r="T83" s="51">
        <v>28</v>
      </c>
      <c r="U83" s="51">
        <v>28.2</v>
      </c>
      <c r="V83" s="51">
        <v>28.8</v>
      </c>
      <c r="W83" s="51">
        <v>29</v>
      </c>
      <c r="X83" s="51">
        <v>29.2</v>
      </c>
      <c r="Y83" s="51">
        <v>28.6</v>
      </c>
      <c r="Z83" s="111">
        <v>27.2</v>
      </c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16</v>
      </c>
      <c r="AQ83" s="89">
        <f t="shared" si="7"/>
        <v>28.05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26.6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8.2000000000000028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>
        <v>26.2</v>
      </c>
      <c r="T84" s="51">
        <v>26.4</v>
      </c>
      <c r="U84" s="51">
        <v>27.4</v>
      </c>
      <c r="V84" s="51">
        <v>27.6</v>
      </c>
      <c r="W84" s="51">
        <v>27.2</v>
      </c>
      <c r="X84" s="51">
        <v>27.6</v>
      </c>
      <c r="Y84" s="51">
        <v>27</v>
      </c>
      <c r="Z84" s="111">
        <v>27.4</v>
      </c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16</v>
      </c>
      <c r="AQ84" s="89">
        <f t="shared" si="7"/>
        <v>26.874999999999996</v>
      </c>
      <c r="AR84" s="89">
        <f>IFERROR(VLOOKUP(A84,Climatologia!A:U,9+$E$2,FALSE),"")</f>
        <v>23.659247311827961</v>
      </c>
      <c r="AS84" s="89">
        <f t="shared" si="8"/>
        <v>3.2157526881720351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>
        <v>24.8</v>
      </c>
      <c r="T85" s="51">
        <v>23.4</v>
      </c>
      <c r="U85" s="51">
        <v>26.2</v>
      </c>
      <c r="V85" s="51">
        <v>26.4</v>
      </c>
      <c r="W85" s="51">
        <v>26.4</v>
      </c>
      <c r="X85" s="51">
        <v>24</v>
      </c>
      <c r="Y85" s="51">
        <v>26.4</v>
      </c>
      <c r="Z85" s="111">
        <v>26</v>
      </c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16</v>
      </c>
      <c r="AQ85" s="89">
        <f t="shared" si="7"/>
        <v>25.087499999999999</v>
      </c>
      <c r="AR85" s="89">
        <f>IFERROR(VLOOKUP(A85,Climatologia!A:U,9+$E$2,FALSE),"")</f>
        <v>23.235308274059729</v>
      </c>
      <c r="AS85" s="89">
        <f t="shared" si="8"/>
        <v>1.8521917259402692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>
        <v>21.4</v>
      </c>
      <c r="T86" s="51">
        <v>21</v>
      </c>
      <c r="U86" s="51">
        <v>21.4</v>
      </c>
      <c r="V86" s="51">
        <v>22.6</v>
      </c>
      <c r="W86" s="51">
        <v>21.6</v>
      </c>
      <c r="X86" s="51">
        <v>21.4</v>
      </c>
      <c r="Y86" s="51">
        <v>22.8</v>
      </c>
      <c r="Z86" s="111">
        <v>21.8</v>
      </c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16</v>
      </c>
      <c r="AQ86" s="89">
        <f t="shared" si="7"/>
        <v>21.750000000000004</v>
      </c>
      <c r="AR86" s="89">
        <f>IFERROR(VLOOKUP(A86,Climatologia!A:U,9+$E$2,FALSE),"")</f>
        <v>22.828530465949822</v>
      </c>
      <c r="AS86" s="89">
        <f t="shared" si="8"/>
        <v>-1.0785304659498181</v>
      </c>
      <c r="AT86" s="90">
        <f t="shared" si="9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2.5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>
        <v>28.4</v>
      </c>
      <c r="T87" s="51">
        <v>26.2</v>
      </c>
      <c r="U87" s="51">
        <v>26.4</v>
      </c>
      <c r="V87" s="51">
        <v>28.4</v>
      </c>
      <c r="W87" s="51">
        <v>26.6</v>
      </c>
      <c r="X87" s="51">
        <v>26.6</v>
      </c>
      <c r="Y87" s="51">
        <v>29</v>
      </c>
      <c r="Z87" s="111">
        <v>28.2</v>
      </c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16</v>
      </c>
      <c r="AQ87" s="89">
        <f t="shared" si="7"/>
        <v>26.574999999999999</v>
      </c>
      <c r="AR87" s="89">
        <f>IFERROR(VLOOKUP(A87,Climatologia!A:U,9+$E$2,FALSE),"")</f>
        <v>23.725363919312059</v>
      </c>
      <c r="AS87" s="89">
        <f t="shared" si="8"/>
        <v>2.8496360806879402</v>
      </c>
      <c r="AT87" s="90">
        <f t="shared" si="9"/>
        <v>24.6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6.6000000000000014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>
        <v>27.4</v>
      </c>
      <c r="T88" s="51">
        <v>27</v>
      </c>
      <c r="U88" s="51">
        <v>27.8</v>
      </c>
      <c r="V88" s="51">
        <v>27.8</v>
      </c>
      <c r="W88" s="51">
        <v>27</v>
      </c>
      <c r="X88" s="51">
        <v>28</v>
      </c>
      <c r="Y88" s="51">
        <v>27.4</v>
      </c>
      <c r="Z88" s="111">
        <v>26.6</v>
      </c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16</v>
      </c>
      <c r="AQ88" s="89">
        <f t="shared" si="7"/>
        <v>26.512500000000003</v>
      </c>
      <c r="AR88" s="89">
        <f>IFERROR(VLOOKUP(A88,Climatologia!A:U,9+$E$2,FALSE),"")</f>
        <v>23.148531221247211</v>
      </c>
      <c r="AS88" s="89">
        <f t="shared" si="8"/>
        <v>3.3639687787527919</v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>
        <v>27.4</v>
      </c>
      <c r="T89" s="116">
        <v>25.2</v>
      </c>
      <c r="U89" s="116">
        <v>26.6</v>
      </c>
      <c r="V89" s="116">
        <v>28</v>
      </c>
      <c r="W89" s="116">
        <v>28.2</v>
      </c>
      <c r="X89" s="116">
        <v>25.6</v>
      </c>
      <c r="Y89" s="116">
        <v>26.8</v>
      </c>
      <c r="Z89" s="117">
        <v>28.6</v>
      </c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16</v>
      </c>
      <c r="AQ89" s="89">
        <f t="shared" si="7"/>
        <v>26.725000000000005</v>
      </c>
      <c r="AR89" s="89">
        <f>IFERROR(VLOOKUP(A89,Climatologia!A:U,9+$E$2,FALSE),"")</f>
        <v>22.80687536416124</v>
      </c>
      <c r="AS89" s="89">
        <f t="shared" si="8"/>
        <v>3.9181246358387654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9.3999999999999986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>
        <v>13.2</v>
      </c>
      <c r="T90" s="51">
        <v>11</v>
      </c>
      <c r="U90" s="51">
        <v>15</v>
      </c>
      <c r="V90" s="51">
        <v>15</v>
      </c>
      <c r="W90" s="51">
        <v>13.6</v>
      </c>
      <c r="X90" s="51">
        <v>12.6</v>
      </c>
      <c r="Y90" s="51">
        <v>11.6</v>
      </c>
      <c r="Z90" s="111">
        <v>11</v>
      </c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16</v>
      </c>
      <c r="AQ90" s="89">
        <f t="shared" si="7"/>
        <v>12.65</v>
      </c>
      <c r="AR90" s="89">
        <f>IFERROR(VLOOKUP(A90,Climatologia!A:U,9+$E$2,FALSE),"")</f>
        <v>11.03161290322581</v>
      </c>
      <c r="AS90" s="89">
        <f t="shared" si="8"/>
        <v>1.6183870967741907</v>
      </c>
      <c r="AT90" s="90">
        <f t="shared" si="9"/>
        <v>10.8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6.6000000000000005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>
        <v>18.2</v>
      </c>
      <c r="T91" s="51">
        <v>17.399999999999999</v>
      </c>
      <c r="U91" s="51">
        <v>18</v>
      </c>
      <c r="V91" s="51">
        <v>17.600000000000001</v>
      </c>
      <c r="W91" s="51">
        <v>18.600000000000001</v>
      </c>
      <c r="X91" s="51">
        <v>19</v>
      </c>
      <c r="Y91" s="51">
        <v>19.2</v>
      </c>
      <c r="Z91" s="111">
        <v>19</v>
      </c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16</v>
      </c>
      <c r="AQ91" s="89">
        <f t="shared" si="7"/>
        <v>18.162499999999998</v>
      </c>
      <c r="AR91" s="89">
        <f>IFERROR(VLOOKUP(A91,Climatologia!A:U,9+$E$2,FALSE),"")</f>
        <v>17.610862560172901</v>
      </c>
      <c r="AS91" s="89">
        <f t="shared" si="8"/>
        <v>0.5516374398270969</v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>
        <v>11</v>
      </c>
      <c r="T92" s="51">
        <v>10.6</v>
      </c>
      <c r="U92" s="51">
        <v>10.8</v>
      </c>
      <c r="V92" s="51">
        <v>10.8</v>
      </c>
      <c r="W92" s="51">
        <v>10.8</v>
      </c>
      <c r="X92" s="51">
        <v>12.6</v>
      </c>
      <c r="Y92" s="51">
        <v>12.2</v>
      </c>
      <c r="Z92" s="111">
        <v>11.8</v>
      </c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15</v>
      </c>
      <c r="AQ92" s="89">
        <f t="shared" si="7"/>
        <v>11.053333333333333</v>
      </c>
      <c r="AR92" s="89">
        <f>IFERROR(VLOOKUP(A92,Climatologia!A:U,9+$E$2,FALSE),"")</f>
        <v>11.399375551378929</v>
      </c>
      <c r="AS92" s="89">
        <f t="shared" si="8"/>
        <v>-0.34604221804559643</v>
      </c>
      <c r="AT92" s="90">
        <f t="shared" si="9"/>
        <v>9.8000000000000007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3.8000000000000007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>
        <v>11.4</v>
      </c>
      <c r="T93" s="51">
        <v>8.8000000000000007</v>
      </c>
      <c r="U93" s="51">
        <v>10.4</v>
      </c>
      <c r="V93" s="51">
        <v>10.6</v>
      </c>
      <c r="W93" s="51">
        <v>10</v>
      </c>
      <c r="X93" s="51">
        <v>10.8</v>
      </c>
      <c r="Y93" s="51">
        <v>10.4</v>
      </c>
      <c r="Z93" s="111">
        <v>10</v>
      </c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16</v>
      </c>
      <c r="AQ93" s="89">
        <f t="shared" si="7"/>
        <v>9.9875000000000025</v>
      </c>
      <c r="AR93" s="89">
        <f>IFERROR(VLOOKUP(A93,Climatologia!A:U,9+$E$2,FALSE),"")</f>
        <v>8.6931200495597167</v>
      </c>
      <c r="AS93" s="89">
        <f t="shared" si="8"/>
        <v>1.2943799504402858</v>
      </c>
      <c r="AT93" s="90">
        <f t="shared" si="9"/>
        <v>8.1999999999999993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7.7999999999999989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>
        <v>7</v>
      </c>
      <c r="T96" s="51">
        <v>3.2</v>
      </c>
      <c r="U96" s="51">
        <v>10.199999999999999</v>
      </c>
      <c r="V96" s="51">
        <v>7.6</v>
      </c>
      <c r="W96" s="51">
        <v>8.1999999999999993</v>
      </c>
      <c r="X96" s="51">
        <v>7.4</v>
      </c>
      <c r="Y96" s="51">
        <v>9</v>
      </c>
      <c r="Z96" s="111">
        <v>7.4</v>
      </c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16</v>
      </c>
      <c r="AQ96" s="89">
        <f t="shared" si="7"/>
        <v>7.2500000000000009</v>
      </c>
      <c r="AR96" s="89">
        <f>IFERROR(VLOOKUP(A96,Climatologia!A:U,9+$E$2,FALSE),"")</f>
        <v>7.1833471822125867</v>
      </c>
      <c r="AS96" s="89">
        <f t="shared" si="8"/>
        <v>6.6652817787414165E-2</v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4.8000000000000007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>
        <v>10</v>
      </c>
      <c r="T97" s="51">
        <v>7.1</v>
      </c>
      <c r="U97" s="51">
        <v>8</v>
      </c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11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>
        <v>8.1999999999999993</v>
      </c>
      <c r="T98" s="51">
        <v>1.2</v>
      </c>
      <c r="U98" s="51">
        <v>5.6</v>
      </c>
      <c r="V98" s="51">
        <v>2</v>
      </c>
      <c r="W98" s="51">
        <v>7</v>
      </c>
      <c r="X98" s="51">
        <v>5</v>
      </c>
      <c r="Y98" s="51">
        <v>6.4</v>
      </c>
      <c r="Z98" s="111">
        <v>8</v>
      </c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16</v>
      </c>
      <c r="AQ98" s="89">
        <f t="shared" si="7"/>
        <v>5.8625000000000007</v>
      </c>
      <c r="AR98" s="89">
        <f>IFERROR(VLOOKUP(A98,Climatologia!A:U,9+$E$2,FALSE),"")</f>
        <v>6.5568614692818183</v>
      </c>
      <c r="AS98" s="89">
        <f t="shared" si="8"/>
        <v>-0.69436146928181763</v>
      </c>
      <c r="AT98" s="90">
        <f t="shared" si="9"/>
        <v>1.2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2.2999999999999998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>
        <v>10.8</v>
      </c>
      <c r="T99" s="51">
        <v>6.8</v>
      </c>
      <c r="U99" s="51">
        <v>7.6</v>
      </c>
      <c r="V99" s="51">
        <v>7.8</v>
      </c>
      <c r="W99" s="51">
        <v>9.6</v>
      </c>
      <c r="X99" s="51">
        <v>11</v>
      </c>
      <c r="Y99" s="51">
        <v>7.6</v>
      </c>
      <c r="Z99" s="111">
        <v>11</v>
      </c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16</v>
      </c>
      <c r="AQ99" s="89">
        <f t="shared" si="7"/>
        <v>8.9499999999999993</v>
      </c>
      <c r="AR99" s="89">
        <f>IFERROR(VLOOKUP(A99,Climatologia!A:U,9+$E$2,FALSE),"")</f>
        <v>8.4968567690188941</v>
      </c>
      <c r="AS99" s="89">
        <f t="shared" si="8"/>
        <v>0.45314323098110521</v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>
        <v>7.4</v>
      </c>
      <c r="T100" s="51">
        <v>7.5</v>
      </c>
      <c r="U100" s="51">
        <v>7.2</v>
      </c>
      <c r="V100" s="51">
        <v>6.8</v>
      </c>
      <c r="W100" s="51"/>
      <c r="X100" s="51">
        <v>6.4</v>
      </c>
      <c r="Y100" s="51">
        <v>9.6</v>
      </c>
      <c r="Z100" s="111">
        <v>8.4</v>
      </c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15</v>
      </c>
      <c r="AQ100" s="89">
        <f t="shared" si="7"/>
        <v>7.6066666666666674</v>
      </c>
      <c r="AR100" s="89">
        <f>IFERROR(VLOOKUP(A100,Climatologia!A:U,9+$E$2,FALSE),"")</f>
        <v>7.0594081215067499</v>
      </c>
      <c r="AS100" s="89">
        <f t="shared" si="8"/>
        <v>0.54725854515991745</v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>
        <v>12.6</v>
      </c>
      <c r="T103" s="51">
        <v>10</v>
      </c>
      <c r="U103" s="51">
        <v>12</v>
      </c>
      <c r="V103" s="51">
        <v>10</v>
      </c>
      <c r="W103" s="51"/>
      <c r="X103" s="51"/>
      <c r="Y103" s="51"/>
      <c r="Z103" s="111">
        <v>11.8</v>
      </c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13</v>
      </c>
      <c r="AQ103" s="89" t="str">
        <f t="shared" si="7"/>
        <v/>
      </c>
      <c r="AR103" s="89">
        <f>IFERROR(VLOOKUP(A103,Climatologia!A:U,9+$E$2,FALSE),"")</f>
        <v>11.333242057563099</v>
      </c>
      <c r="AS103" s="89" t="str">
        <f t="shared" si="8"/>
        <v/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>
        <v>2.4</v>
      </c>
      <c r="S104" s="51">
        <v>6.4</v>
      </c>
      <c r="T104" s="51">
        <v>1.6</v>
      </c>
      <c r="U104" s="51">
        <v>2.6</v>
      </c>
      <c r="V104" s="51">
        <v>-0.2</v>
      </c>
      <c r="W104" s="51">
        <v>2.6</v>
      </c>
      <c r="X104" s="51">
        <v>3.4</v>
      </c>
      <c r="Y104" s="51">
        <v>4</v>
      </c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13</v>
      </c>
      <c r="AQ104" s="89" t="str">
        <f t="shared" si="7"/>
        <v/>
      </c>
      <c r="AR104" s="89">
        <f>IFERROR(VLOOKUP(A104,Climatologia!A:U,9+$E$2,FALSE),"")</f>
        <v>6.0789725209080059</v>
      </c>
      <c r="AS104" s="89" t="str">
        <f t="shared" si="8"/>
        <v/>
      </c>
      <c r="AT104" s="90">
        <f t="shared" si="9"/>
        <v>-0.2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2.8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>
        <v>4.2</v>
      </c>
      <c r="T105" s="51">
        <v>0.2</v>
      </c>
      <c r="U105" s="51">
        <v>7.2</v>
      </c>
      <c r="V105" s="51">
        <v>0.6</v>
      </c>
      <c r="W105" s="51">
        <v>5.4</v>
      </c>
      <c r="X105" s="51">
        <v>5.2</v>
      </c>
      <c r="Y105" s="51">
        <v>4.8</v>
      </c>
      <c r="Z105" s="111">
        <v>4.5999999999999996</v>
      </c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16</v>
      </c>
      <c r="AQ105" s="89">
        <f t="shared" si="7"/>
        <v>5.2250000000000005</v>
      </c>
      <c r="AR105" s="89">
        <f>IFERROR(VLOOKUP(A105,Climatologia!A:U,9+$E$2,FALSE),"")</f>
        <v>6.6867982257377889</v>
      </c>
      <c r="AS105" s="89">
        <f t="shared" si="8"/>
        <v>-1.4617982257377884</v>
      </c>
      <c r="AT105" s="90">
        <f t="shared" si="9"/>
        <v>0.2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0.4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>
        <v>12.6</v>
      </c>
      <c r="T106" s="51">
        <v>8.8000000000000007</v>
      </c>
      <c r="U106" s="51">
        <v>9.6</v>
      </c>
      <c r="V106" s="51">
        <v>11.4</v>
      </c>
      <c r="W106" s="51">
        <v>11.2</v>
      </c>
      <c r="X106" s="51">
        <v>11</v>
      </c>
      <c r="Y106" s="51">
        <v>11.2</v>
      </c>
      <c r="Z106" s="111">
        <v>12.2</v>
      </c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16</v>
      </c>
      <c r="AQ106" s="89">
        <f t="shared" si="7"/>
        <v>10.687499999999998</v>
      </c>
      <c r="AR106" s="89">
        <f>IFERROR(VLOOKUP(A106,Climatologia!A:U,9+$E$2,FALSE),"")</f>
        <v>9.9225433842748103</v>
      </c>
      <c r="AS106" s="89">
        <f t="shared" si="8"/>
        <v>0.76495661572518792</v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>
        <v>14.4</v>
      </c>
      <c r="T107" s="51"/>
      <c r="U107" s="51">
        <v>14</v>
      </c>
      <c r="V107" s="51">
        <v>14.2</v>
      </c>
      <c r="W107" s="51">
        <v>13.4</v>
      </c>
      <c r="X107" s="51">
        <v>14.8</v>
      </c>
      <c r="Y107" s="51">
        <v>14.2</v>
      </c>
      <c r="Z107" s="111">
        <v>15</v>
      </c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14</v>
      </c>
      <c r="AQ107" s="89" t="str">
        <f t="shared" si="7"/>
        <v/>
      </c>
      <c r="AR107" s="89">
        <f>IFERROR(VLOOKUP(A107,Climatologia!A:U,9+$E$2,FALSE),"")</f>
        <v>13.650700267218999</v>
      </c>
      <c r="AS107" s="89" t="str">
        <f t="shared" si="8"/>
        <v/>
      </c>
      <c r="AT107" s="90">
        <f t="shared" si="9"/>
        <v>13.4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6.4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>
        <v>14.2</v>
      </c>
      <c r="T108" s="51">
        <v>8.1999999999999993</v>
      </c>
      <c r="U108" s="51">
        <v>9.4</v>
      </c>
      <c r="V108" s="51">
        <v>10</v>
      </c>
      <c r="W108" s="51">
        <v>10.4</v>
      </c>
      <c r="X108" s="51">
        <v>13</v>
      </c>
      <c r="Y108" s="51">
        <v>13.6</v>
      </c>
      <c r="Z108" s="111">
        <v>13.4</v>
      </c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16</v>
      </c>
      <c r="AQ108" s="89">
        <f t="shared" si="7"/>
        <v>11.675000000000001</v>
      </c>
      <c r="AR108" s="89">
        <f>IFERROR(VLOOKUP(A108,Climatologia!A:U,9+$E$2,FALSE),"")</f>
        <v>11.71482091212458</v>
      </c>
      <c r="AS108" s="89">
        <f t="shared" si="8"/>
        <v>-3.9820912124579166E-2</v>
      </c>
      <c r="AT108" s="90">
        <f t="shared" si="9"/>
        <v>8.1999999999999993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5.1999999999999993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>
        <v>15.2</v>
      </c>
      <c r="T109" s="51">
        <v>12.2</v>
      </c>
      <c r="U109" s="51">
        <v>14.2</v>
      </c>
      <c r="V109" s="51">
        <v>15</v>
      </c>
      <c r="W109" s="51">
        <v>13.4</v>
      </c>
      <c r="X109" s="51">
        <v>15.6</v>
      </c>
      <c r="Y109" s="51">
        <v>14.4</v>
      </c>
      <c r="Z109" s="111">
        <v>15.2</v>
      </c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16</v>
      </c>
      <c r="AQ109" s="89">
        <f t="shared" si="7"/>
        <v>14.462499999999999</v>
      </c>
      <c r="AR109" s="89">
        <f>IFERROR(VLOOKUP(A109,Climatologia!A:U,9+$E$2,FALSE),"")</f>
        <v>13.486598754951901</v>
      </c>
      <c r="AS109" s="89">
        <f t="shared" si="8"/>
        <v>0.97590124504809772</v>
      </c>
      <c r="AT109" s="90">
        <f t="shared" si="9"/>
        <v>12.2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3.7999999999999989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>
        <v>16.2</v>
      </c>
      <c r="T110" s="51">
        <v>13.6</v>
      </c>
      <c r="U110" s="51">
        <v>14.6</v>
      </c>
      <c r="V110" s="51">
        <v>14.4</v>
      </c>
      <c r="W110" s="51">
        <v>14</v>
      </c>
      <c r="X110" s="51">
        <v>16</v>
      </c>
      <c r="Y110" s="51">
        <v>15.6</v>
      </c>
      <c r="Z110" s="111">
        <v>16.2</v>
      </c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16</v>
      </c>
      <c r="AQ110" s="89">
        <f t="shared" si="7"/>
        <v>15.124999999999998</v>
      </c>
      <c r="AR110" s="89">
        <f>IFERROR(VLOOKUP(A110,Climatologia!A:U,9+$E$2,FALSE),"")</f>
        <v>13.526900330851941</v>
      </c>
      <c r="AS110" s="89">
        <f t="shared" si="8"/>
        <v>1.5980996691480573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5.0999999999999996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>
        <v>19.600000000000001</v>
      </c>
      <c r="S111" s="51">
        <v>19.399999999999999</v>
      </c>
      <c r="T111" s="51">
        <v>16</v>
      </c>
      <c r="U111" s="51">
        <v>17.600000000000001</v>
      </c>
      <c r="V111" s="51">
        <v>18.2</v>
      </c>
      <c r="W111" s="51">
        <v>17</v>
      </c>
      <c r="X111" s="51">
        <v>18.600000000000001</v>
      </c>
      <c r="Y111" s="51">
        <v>18.8</v>
      </c>
      <c r="Z111" s="111">
        <v>19</v>
      </c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16</v>
      </c>
      <c r="AQ111" s="89">
        <f t="shared" si="7"/>
        <v>18.1875</v>
      </c>
      <c r="AR111" s="89">
        <f>IFERROR(VLOOKUP(A111,Climatologia!A:U,9+$E$2,FALSE),"")</f>
        <v>16.8655441109516</v>
      </c>
      <c r="AS111" s="89">
        <f t="shared" si="8"/>
        <v>1.3219558890484002</v>
      </c>
      <c r="AT111" s="90">
        <f t="shared" si="9"/>
        <v>16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4.5999999999999996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>
        <v>23.2</v>
      </c>
      <c r="T112" s="51">
        <v>23.4</v>
      </c>
      <c r="U112" s="51">
        <v>23.2</v>
      </c>
      <c r="V112" s="51">
        <v>23.4</v>
      </c>
      <c r="W112" s="51">
        <v>22.2</v>
      </c>
      <c r="X112" s="51">
        <v>22.8</v>
      </c>
      <c r="Y112" s="51">
        <v>23.2</v>
      </c>
      <c r="Z112" s="111">
        <v>22.8</v>
      </c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16</v>
      </c>
      <c r="AQ112" s="89">
        <f t="shared" si="7"/>
        <v>23.237500000000001</v>
      </c>
      <c r="AR112" s="89">
        <f>IFERROR(VLOOKUP(A112,Climatologia!A:U,9+$E$2,FALSE),"")</f>
        <v>22.5308162078518</v>
      </c>
      <c r="AS112" s="89">
        <f t="shared" si="8"/>
        <v>0.70668379214820121</v>
      </c>
      <c r="AT112" s="90">
        <f t="shared" si="9"/>
        <v>22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>
        <v>14.4</v>
      </c>
      <c r="T113" s="51">
        <v>16.5</v>
      </c>
      <c r="U113" s="51">
        <v>13.8</v>
      </c>
      <c r="V113" s="51">
        <v>16.8</v>
      </c>
      <c r="W113" s="51">
        <v>14.2</v>
      </c>
      <c r="X113" s="51">
        <v>14.6</v>
      </c>
      <c r="Y113" s="51">
        <v>16.5</v>
      </c>
      <c r="Z113" s="111">
        <v>14.4</v>
      </c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16</v>
      </c>
      <c r="AQ113" s="89">
        <f t="shared" si="7"/>
        <v>15.031250000000002</v>
      </c>
      <c r="AR113" s="89">
        <f>IFERROR(VLOOKUP(A113,Climatologia!A:U,9+$E$2,FALSE),"")</f>
        <v>15.24686243974787</v>
      </c>
      <c r="AS113" s="89">
        <f t="shared" si="8"/>
        <v>-0.21561243974786848</v>
      </c>
      <c r="AT113" s="90">
        <f t="shared" si="9"/>
        <v>13.8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3.8000000000000007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>
        <v>19.8</v>
      </c>
      <c r="T114" s="51">
        <v>21</v>
      </c>
      <c r="U114" s="51">
        <v>19</v>
      </c>
      <c r="V114" s="51">
        <v>19.600000000000001</v>
      </c>
      <c r="W114" s="51">
        <v>18.600000000000001</v>
      </c>
      <c r="X114" s="51">
        <v>18.8</v>
      </c>
      <c r="Y114" s="51">
        <v>19.399999999999999</v>
      </c>
      <c r="Z114" s="111">
        <v>19.8</v>
      </c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16</v>
      </c>
      <c r="AQ114" s="89">
        <f t="shared" si="7"/>
        <v>19.712500000000002</v>
      </c>
      <c r="AR114" s="89">
        <f>IFERROR(VLOOKUP(A114,Climatologia!A:U,9+$E$2,FALSE),"")</f>
        <v>22.117682198327358</v>
      </c>
      <c r="AS114" s="89">
        <f t="shared" si="8"/>
        <v>-2.4051821983273562</v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>
        <v>22.6</v>
      </c>
      <c r="T115" s="51">
        <v>23.6</v>
      </c>
      <c r="U115" s="51">
        <v>22</v>
      </c>
      <c r="V115" s="51">
        <v>22.2</v>
      </c>
      <c r="W115" s="51">
        <v>21.4</v>
      </c>
      <c r="X115" s="51">
        <v>23</v>
      </c>
      <c r="Y115" s="51">
        <v>23.4</v>
      </c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15</v>
      </c>
      <c r="AQ115" s="89">
        <f t="shared" si="7"/>
        <v>22.506666666666661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>
        <v>21.4</v>
      </c>
      <c r="U116" s="51">
        <v>20.2</v>
      </c>
      <c r="V116" s="51">
        <v>22.4</v>
      </c>
      <c r="W116" s="51">
        <v>20.399999999999999</v>
      </c>
      <c r="X116" s="51">
        <v>19.600000000000001</v>
      </c>
      <c r="Y116" s="51">
        <v>21.2</v>
      </c>
      <c r="Z116" s="111">
        <v>22.4</v>
      </c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15</v>
      </c>
      <c r="AQ116" s="89">
        <f t="shared" si="7"/>
        <v>20.919999999999998</v>
      </c>
      <c r="AR116" s="89">
        <f>IFERROR(VLOOKUP(A116,Climatologia!A:U,9+$E$2,FALSE),"")</f>
        <v>18.405984169653529</v>
      </c>
      <c r="AS116" s="89">
        <f t="shared" si="8"/>
        <v>2.5140158303464695</v>
      </c>
      <c r="AT116" s="90">
        <f t="shared" si="9"/>
        <v>19.600000000000001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4.3000000000000007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>
        <v>23.4</v>
      </c>
      <c r="S117" s="51">
        <v>22</v>
      </c>
      <c r="T117" s="51">
        <v>24</v>
      </c>
      <c r="U117" s="51">
        <v>22.2</v>
      </c>
      <c r="V117" s="51">
        <v>22</v>
      </c>
      <c r="W117" s="51">
        <v>22.4</v>
      </c>
      <c r="X117" s="51">
        <v>22.8</v>
      </c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14</v>
      </c>
      <c r="AQ117" s="89" t="str">
        <f t="shared" si="7"/>
        <v/>
      </c>
      <c r="AR117" s="89">
        <f>IFERROR(VLOOKUP(A117,Climatologia!A:U,9+$E$2,FALSE),"")</f>
        <v>22.179111790878761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>
        <v>8</v>
      </c>
      <c r="T119" s="51">
        <v>9.1999999999999993</v>
      </c>
      <c r="U119" s="51">
        <v>10</v>
      </c>
      <c r="V119" s="51">
        <v>9.4</v>
      </c>
      <c r="W119" s="51">
        <v>3.8</v>
      </c>
      <c r="X119" s="51">
        <v>8.8000000000000007</v>
      </c>
      <c r="Y119" s="51">
        <v>8.1999999999999993</v>
      </c>
      <c r="Z119" s="111">
        <v>9.4</v>
      </c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16</v>
      </c>
      <c r="AQ119" s="89">
        <f t="shared" si="7"/>
        <v>8.4875000000000007</v>
      </c>
      <c r="AR119" s="89">
        <f>IFERROR(VLOOKUP(A119,Climatologia!A:U,9+$E$2,FALSE),"")</f>
        <v>5.9386052057570407</v>
      </c>
      <c r="AS119" s="89">
        <f t="shared" si="8"/>
        <v>2.5488947942429601</v>
      </c>
      <c r="AT119" s="90">
        <f t="shared" si="9"/>
        <v>3.8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>
        <v>11.9</v>
      </c>
      <c r="R121" s="51">
        <v>12.6</v>
      </c>
      <c r="S121" s="51">
        <v>11.3</v>
      </c>
      <c r="T121" s="51">
        <v>10.7</v>
      </c>
      <c r="U121" s="51">
        <v>9.5</v>
      </c>
      <c r="V121" s="51">
        <v>10.3</v>
      </c>
      <c r="W121" s="51">
        <v>8.3000000000000007</v>
      </c>
      <c r="X121" s="51">
        <v>10.1</v>
      </c>
      <c r="Y121" s="51">
        <v>7.5</v>
      </c>
      <c r="Z121" s="111">
        <v>11.7</v>
      </c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15</v>
      </c>
      <c r="AQ121" s="89">
        <f t="shared" si="7"/>
        <v>10.693333333333332</v>
      </c>
      <c r="AR121" s="89">
        <f>IFERROR(VLOOKUP(A121,Climatologia!A:U,9+$E$2,FALSE),"")</f>
        <v>10.81260585836114</v>
      </c>
      <c r="AS121" s="89">
        <f t="shared" si="8"/>
        <v>-0.11927252502780838</v>
      </c>
      <c r="AT121" s="90">
        <f t="shared" si="9"/>
        <v>7.5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5.7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>
        <v>9.8000000000000007</v>
      </c>
      <c r="T123" s="51">
        <v>8.6</v>
      </c>
      <c r="U123" s="51">
        <v>8.8000000000000007</v>
      </c>
      <c r="V123" s="51">
        <v>9</v>
      </c>
      <c r="W123" s="51">
        <v>3.2</v>
      </c>
      <c r="X123" s="51">
        <v>6.8</v>
      </c>
      <c r="Y123" s="51">
        <v>9</v>
      </c>
      <c r="Z123" s="111">
        <v>7.2</v>
      </c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16</v>
      </c>
      <c r="AQ123" s="89">
        <f t="shared" si="7"/>
        <v>8.4624999999999986</v>
      </c>
      <c r="AR123" s="89">
        <f>IFERROR(VLOOKUP(A123,Climatologia!A:U,9+$E$2,FALSE),"")</f>
        <v>7.6782114198549483</v>
      </c>
      <c r="AS123" s="89">
        <f t="shared" si="8"/>
        <v>0.78428858014505032</v>
      </c>
      <c r="AT123" s="90">
        <f t="shared" si="9"/>
        <v>3.2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2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>
        <v>13.6</v>
      </c>
      <c r="T126" s="51">
        <v>13.7</v>
      </c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8</v>
      </c>
      <c r="AQ126" s="89" t="str">
        <f t="shared" si="7"/>
        <v/>
      </c>
      <c r="AR126" s="89">
        <f>IFERROR(VLOOKUP(A126,Climatologia!A:U,9+$E$2,FALSE),"")</f>
        <v>11.41155222734255</v>
      </c>
      <c r="AS126" s="89" t="str">
        <f t="shared" si="8"/>
        <v/>
      </c>
      <c r="AT126" s="90">
        <f t="shared" si="9"/>
        <v>12.2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7.9999999999999991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>
        <v>16.2</v>
      </c>
      <c r="T127" s="51">
        <v>16.8</v>
      </c>
      <c r="U127" s="51"/>
      <c r="V127" s="51">
        <v>14.6</v>
      </c>
      <c r="W127" s="51">
        <v>13.2</v>
      </c>
      <c r="X127" s="51">
        <v>14.4</v>
      </c>
      <c r="Y127" s="51">
        <v>14.6</v>
      </c>
      <c r="Z127" s="111">
        <v>15.2</v>
      </c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15</v>
      </c>
      <c r="AQ127" s="89">
        <f t="shared" si="7"/>
        <v>14.946666666666664</v>
      </c>
      <c r="AR127" s="89">
        <f>IFERROR(VLOOKUP(A127,Climatologia!A:U,9+$E$2,FALSE),"")</f>
        <v>13.308933276833161</v>
      </c>
      <c r="AS127" s="89">
        <f t="shared" si="8"/>
        <v>1.6377333898335031</v>
      </c>
      <c r="AT127" s="90">
        <f t="shared" si="9"/>
        <v>13.2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5.1999999999999993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>
        <v>11.2</v>
      </c>
      <c r="T129" s="51">
        <v>11.3</v>
      </c>
      <c r="U129" s="51">
        <v>10.4</v>
      </c>
      <c r="V129" s="51">
        <v>11</v>
      </c>
      <c r="W129" s="51">
        <v>7.6</v>
      </c>
      <c r="X129" s="51">
        <v>10.4</v>
      </c>
      <c r="Y129" s="51">
        <v>10.6</v>
      </c>
      <c r="Z129" s="111">
        <v>9.6</v>
      </c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16</v>
      </c>
      <c r="AQ129" s="89">
        <f t="shared" si="7"/>
        <v>10.38125</v>
      </c>
      <c r="AR129" s="89">
        <f>IFERROR(VLOOKUP(A129,Climatologia!A:U,9+$E$2,FALSE),"")</f>
        <v>9.236293266429529</v>
      </c>
      <c r="AS129" s="89">
        <f t="shared" si="8"/>
        <v>1.1449567335704707</v>
      </c>
      <c r="AT129" s="90">
        <f t="shared" si="9"/>
        <v>7.6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3.3999999999999995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>
        <v>11.2</v>
      </c>
      <c r="T130" s="51">
        <v>10.8</v>
      </c>
      <c r="U130" s="51">
        <v>10.4</v>
      </c>
      <c r="V130" s="51">
        <v>11.8</v>
      </c>
      <c r="W130" s="51">
        <v>8.6</v>
      </c>
      <c r="X130" s="51">
        <v>11.8</v>
      </c>
      <c r="Y130" s="51">
        <v>11.2</v>
      </c>
      <c r="Z130" s="111">
        <v>12</v>
      </c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16</v>
      </c>
      <c r="AQ130" s="89">
        <f t="shared" si="7"/>
        <v>11.0375</v>
      </c>
      <c r="AR130" s="89">
        <f>IFERROR(VLOOKUP(A130,Climatologia!A:U,9+$E$2,FALSE),"")</f>
        <v>10.41098422703651</v>
      </c>
      <c r="AS130" s="89">
        <f t="shared" si="8"/>
        <v>0.62651577296349004</v>
      </c>
      <c r="AT130" s="90">
        <f t="shared" si="9"/>
        <v>8.6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2.1999999999999993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>
        <v>16</v>
      </c>
      <c r="T131" s="51">
        <v>18</v>
      </c>
      <c r="U131" s="51">
        <v>18.3</v>
      </c>
      <c r="V131" s="51">
        <v>18</v>
      </c>
      <c r="W131" s="51">
        <v>16.8</v>
      </c>
      <c r="X131" s="51">
        <v>17</v>
      </c>
      <c r="Y131" s="51">
        <v>16</v>
      </c>
      <c r="Z131" s="111">
        <v>16</v>
      </c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16</v>
      </c>
      <c r="AQ131" s="89">
        <f t="shared" si="7"/>
        <v>16.775000000000002</v>
      </c>
      <c r="AR131" s="89">
        <f>IFERROR(VLOOKUP(A131,Climatologia!A:U,9+$E$2,FALSE),"")</f>
        <v>14.78700374480772</v>
      </c>
      <c r="AS131" s="89">
        <f t="shared" si="8"/>
        <v>1.9879962551922823</v>
      </c>
      <c r="AT131" s="90">
        <f t="shared" si="9"/>
        <v>15.4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4.4000000000000004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>
        <v>5.8</v>
      </c>
      <c r="T132" s="51">
        <v>6</v>
      </c>
      <c r="U132" s="51">
        <v>6.3</v>
      </c>
      <c r="V132" s="51">
        <v>5.2</v>
      </c>
      <c r="W132" s="51">
        <v>4</v>
      </c>
      <c r="X132" s="51">
        <v>4.4000000000000004</v>
      </c>
      <c r="Y132" s="51">
        <v>5</v>
      </c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15</v>
      </c>
      <c r="AQ132" s="89">
        <f t="shared" si="7"/>
        <v>5.4733333333333327</v>
      </c>
      <c r="AR132" s="89">
        <f>IFERROR(VLOOKUP(A132,Climatologia!A:U,9+$E$2,FALSE),"")</f>
        <v>5.8955999815287932</v>
      </c>
      <c r="AS132" s="89">
        <f t="shared" si="8"/>
        <v>-0.42226664819546045</v>
      </c>
      <c r="AT132" s="90">
        <f t="shared" si="9"/>
        <v>4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2.8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>
        <v>14.8</v>
      </c>
      <c r="T134" s="51"/>
      <c r="U134" s="51"/>
      <c r="V134" s="51">
        <v>15.8</v>
      </c>
      <c r="W134" s="51">
        <v>14.2</v>
      </c>
      <c r="X134" s="51">
        <v>15</v>
      </c>
      <c r="Y134" s="51">
        <v>15.6</v>
      </c>
      <c r="Z134" s="111">
        <v>14.8</v>
      </c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14</v>
      </c>
      <c r="AQ134" s="89" t="str">
        <f t="shared" si="12"/>
        <v/>
      </c>
      <c r="AR134" s="89">
        <f>IFERROR(VLOOKUP(A134,Climatologia!A:U,9+$E$2,FALSE),"")</f>
        <v>13.620393029291799</v>
      </c>
      <c r="AS134" s="89" t="str">
        <f t="shared" si="13"/>
        <v/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6.1999999999999993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>
        <v>11.8</v>
      </c>
      <c r="T135" s="51">
        <v>12</v>
      </c>
      <c r="U135" s="51">
        <v>11.2</v>
      </c>
      <c r="V135" s="51">
        <v>10.1</v>
      </c>
      <c r="W135" s="51">
        <v>9</v>
      </c>
      <c r="X135" s="51">
        <v>10.7</v>
      </c>
      <c r="Y135" s="51">
        <v>11</v>
      </c>
      <c r="Z135" s="111">
        <v>9</v>
      </c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16</v>
      </c>
      <c r="AQ135" s="89">
        <f t="shared" si="12"/>
        <v>10.799999999999999</v>
      </c>
      <c r="AR135" s="89">
        <f>IFERROR(VLOOKUP(A135,Climatologia!A:U,9+$E$2,FALSE),"")</f>
        <v>9.1065439288804146</v>
      </c>
      <c r="AS135" s="89">
        <f t="shared" si="13"/>
        <v>1.6934560711195843</v>
      </c>
      <c r="AT135" s="90">
        <f t="shared" si="14"/>
        <v>9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4.0999999999999996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>
        <v>14.8</v>
      </c>
      <c r="T136" s="51">
        <v>12.2</v>
      </c>
      <c r="U136" s="51">
        <v>16</v>
      </c>
      <c r="V136" s="51">
        <v>15</v>
      </c>
      <c r="W136" s="51">
        <v>13.8</v>
      </c>
      <c r="X136" s="51">
        <v>12.4</v>
      </c>
      <c r="Y136" s="51">
        <v>14.2</v>
      </c>
      <c r="Z136" s="111">
        <v>13.2</v>
      </c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16</v>
      </c>
      <c r="AQ136" s="89">
        <f t="shared" si="12"/>
        <v>13.95</v>
      </c>
      <c r="AR136" s="89">
        <f>IFERROR(VLOOKUP(A136,Climatologia!A:U,9+$E$2,FALSE),"")</f>
        <v>12.59594623655914</v>
      </c>
      <c r="AS136" s="89">
        <f t="shared" si="13"/>
        <v>1.3540537634408594</v>
      </c>
      <c r="AT136" s="90">
        <f t="shared" si="14"/>
        <v>12.2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4.3999999999999995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>
        <v>11.2</v>
      </c>
      <c r="T137" s="51">
        <v>10.8</v>
      </c>
      <c r="U137" s="51">
        <v>10.4</v>
      </c>
      <c r="V137" s="51">
        <v>10.6</v>
      </c>
      <c r="W137" s="51">
        <v>5</v>
      </c>
      <c r="X137" s="51">
        <v>8.4</v>
      </c>
      <c r="Y137" s="51">
        <v>10.4</v>
      </c>
      <c r="Z137" s="111">
        <v>8.1999999999999993</v>
      </c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16</v>
      </c>
      <c r="AQ137" s="89">
        <f t="shared" si="12"/>
        <v>9.6999999999999993</v>
      </c>
      <c r="AR137" s="89">
        <f>IFERROR(VLOOKUP(A137,Climatologia!A:U,9+$E$2,FALSE),"")</f>
        <v>8.5766227213911144</v>
      </c>
      <c r="AS137" s="89">
        <f t="shared" si="13"/>
        <v>1.1233772786088849</v>
      </c>
      <c r="AT137" s="90">
        <f t="shared" si="14"/>
        <v>5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2.6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>
        <v>8.6</v>
      </c>
      <c r="T138" s="51">
        <v>7</v>
      </c>
      <c r="U138" s="51">
        <v>7.4</v>
      </c>
      <c r="V138" s="51">
        <v>7.6</v>
      </c>
      <c r="W138" s="51">
        <v>5.8</v>
      </c>
      <c r="X138" s="51">
        <v>6.4</v>
      </c>
      <c r="Y138" s="51">
        <v>7.8</v>
      </c>
      <c r="Z138" s="111">
        <v>8</v>
      </c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16</v>
      </c>
      <c r="AQ138" s="89">
        <f t="shared" si="12"/>
        <v>7.4749999999999996</v>
      </c>
      <c r="AR138" s="89">
        <f>IFERROR(VLOOKUP(A138,Climatologia!A:U,9+$E$2,FALSE),"")</f>
        <v>6.6337893956247704</v>
      </c>
      <c r="AS138" s="89">
        <f t="shared" si="13"/>
        <v>0.84121060437522921</v>
      </c>
      <c r="AT138" s="90">
        <f t="shared" si="14"/>
        <v>5.8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>
        <v>24.6</v>
      </c>
      <c r="T139" s="51">
        <v>24.6</v>
      </c>
      <c r="U139" s="51">
        <v>25</v>
      </c>
      <c r="V139" s="51">
        <v>25.4</v>
      </c>
      <c r="W139" s="51">
        <v>24.8</v>
      </c>
      <c r="X139" s="51">
        <v>25.2</v>
      </c>
      <c r="Y139" s="51">
        <v>25.4</v>
      </c>
      <c r="Z139" s="111">
        <v>24.4</v>
      </c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16</v>
      </c>
      <c r="AQ139" s="89">
        <f t="shared" si="12"/>
        <v>24.749999999999993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>
        <v>11</v>
      </c>
      <c r="T140" s="51">
        <v>10.6</v>
      </c>
      <c r="U140" s="51">
        <v>13.2</v>
      </c>
      <c r="V140" s="51">
        <v>10.4</v>
      </c>
      <c r="W140" s="51">
        <v>11.8</v>
      </c>
      <c r="X140" s="51">
        <v>11.6</v>
      </c>
      <c r="Y140" s="51">
        <v>12.2</v>
      </c>
      <c r="Z140" s="111">
        <v>13.2</v>
      </c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16</v>
      </c>
      <c r="AQ140" s="89">
        <f t="shared" si="12"/>
        <v>11.299999999999997</v>
      </c>
      <c r="AR140" s="89">
        <f>IFERROR(VLOOKUP(A140,Climatologia!A:U,9+$E$2,FALSE),"")</f>
        <v>11.08632974910395</v>
      </c>
      <c r="AS140" s="89">
        <f t="shared" si="13"/>
        <v>0.21367025089604752</v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>
        <v>16.600000000000001</v>
      </c>
      <c r="T141" s="51">
        <v>13.8</v>
      </c>
      <c r="U141" s="51">
        <v>15.2</v>
      </c>
      <c r="V141" s="51">
        <v>14</v>
      </c>
      <c r="W141" s="51">
        <v>15.8</v>
      </c>
      <c r="X141" s="51">
        <v>15.4</v>
      </c>
      <c r="Y141" s="51">
        <v>15.8</v>
      </c>
      <c r="Z141" s="111">
        <v>15</v>
      </c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16</v>
      </c>
      <c r="AQ141" s="89">
        <f t="shared" si="12"/>
        <v>14.825000000000001</v>
      </c>
      <c r="AR141" s="89">
        <f>IFERROR(VLOOKUP(A141,Climatologia!A:U,9+$E$2,FALSE),"")</f>
        <v>14.39065028161802</v>
      </c>
      <c r="AS141" s="89">
        <f t="shared" si="13"/>
        <v>0.43434971838198067</v>
      </c>
      <c r="AT141" s="90">
        <f t="shared" si="14"/>
        <v>13.8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1.6000000000000014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>
        <v>24.6</v>
      </c>
      <c r="T142" s="51">
        <v>23</v>
      </c>
      <c r="U142" s="51">
        <v>27.8</v>
      </c>
      <c r="V142" s="51">
        <v>22.8</v>
      </c>
      <c r="W142" s="51">
        <v>28</v>
      </c>
      <c r="X142" s="51">
        <v>24.4</v>
      </c>
      <c r="Y142" s="51">
        <v>23</v>
      </c>
      <c r="Z142" s="111">
        <v>23.2</v>
      </c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16</v>
      </c>
      <c r="AQ142" s="89">
        <f t="shared" si="12"/>
        <v>23.887499999999999</v>
      </c>
      <c r="AR142" s="89">
        <f>IFERROR(VLOOKUP(A142,Climatologia!A:U,9+$E$2,FALSE),"")</f>
        <v>22.55356989247311</v>
      </c>
      <c r="AS142" s="89">
        <f t="shared" si="13"/>
        <v>1.3339301075268892</v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>
        <v>21</v>
      </c>
      <c r="T143" s="51">
        <v>19.8</v>
      </c>
      <c r="U143" s="51">
        <v>20.399999999999999</v>
      </c>
      <c r="V143" s="51">
        <v>20</v>
      </c>
      <c r="W143" s="51">
        <v>21.6</v>
      </c>
      <c r="X143" s="51">
        <v>21.2</v>
      </c>
      <c r="Y143" s="51">
        <v>21</v>
      </c>
      <c r="Z143" s="111">
        <v>20.2</v>
      </c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16</v>
      </c>
      <c r="AQ143" s="89">
        <f t="shared" si="12"/>
        <v>20.287500000000001</v>
      </c>
      <c r="AR143" s="89">
        <f>IFERROR(VLOOKUP(A143,Climatologia!A:U,9+$E$2,FALSE),"")</f>
        <v>19.318198924731181</v>
      </c>
      <c r="AS143" s="89">
        <f t="shared" si="13"/>
        <v>0.96930107526882026</v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>
        <v>24.2</v>
      </c>
      <c r="T144" s="51">
        <v>24</v>
      </c>
      <c r="U144" s="51">
        <v>24.4</v>
      </c>
      <c r="V144" s="51">
        <v>25.6</v>
      </c>
      <c r="W144" s="51">
        <v>26</v>
      </c>
      <c r="X144" s="51">
        <v>24.6</v>
      </c>
      <c r="Y144" s="51">
        <v>24.4</v>
      </c>
      <c r="Z144" s="111">
        <v>24.2</v>
      </c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16</v>
      </c>
      <c r="AQ144" s="89">
        <f t="shared" si="12"/>
        <v>24.462500000000002</v>
      </c>
      <c r="AR144" s="89">
        <f>IFERROR(VLOOKUP(A144,Climatologia!A:U,9+$E$2,FALSE),"")</f>
        <v>23.19416875486397</v>
      </c>
      <c r="AS144" s="89">
        <f t="shared" si="13"/>
        <v>1.2683312451360322</v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>
        <v>20.399999999999999</v>
      </c>
      <c r="T145" s="51">
        <v>15.4</v>
      </c>
      <c r="U145" s="51">
        <v>16</v>
      </c>
      <c r="V145" s="51">
        <v>16</v>
      </c>
      <c r="W145" s="51">
        <v>18</v>
      </c>
      <c r="X145" s="51">
        <v>18</v>
      </c>
      <c r="Y145" s="51">
        <v>18</v>
      </c>
      <c r="Z145" s="111">
        <v>19</v>
      </c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16</v>
      </c>
      <c r="AQ145" s="89">
        <f t="shared" si="12"/>
        <v>17.225000000000001</v>
      </c>
      <c r="AR145" s="89">
        <f>IFERROR(VLOOKUP(A145,Climatologia!A:U,9+$E$2,FALSE),"")</f>
        <v>15.79466943151284</v>
      </c>
      <c r="AS145" s="89">
        <f t="shared" si="13"/>
        <v>1.430330568487161</v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>
        <v>13.8</v>
      </c>
      <c r="R146" s="51">
        <v>11.8</v>
      </c>
      <c r="S146" s="51">
        <v>12</v>
      </c>
      <c r="T146" s="51">
        <v>12.8</v>
      </c>
      <c r="U146" s="51">
        <v>12</v>
      </c>
      <c r="V146" s="51">
        <v>13</v>
      </c>
      <c r="W146" s="51">
        <v>14</v>
      </c>
      <c r="X146" s="51">
        <v>15.4</v>
      </c>
      <c r="Y146" s="51">
        <v>13</v>
      </c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15</v>
      </c>
      <c r="AQ146" s="89">
        <f t="shared" si="12"/>
        <v>13.293333333333333</v>
      </c>
      <c r="AR146" s="89">
        <f>IFERROR(VLOOKUP(A146,Climatologia!A:U,9+$E$2,FALSE),"")</f>
        <v>13.67439615180003</v>
      </c>
      <c r="AS146" s="89">
        <f t="shared" si="13"/>
        <v>-0.3810628184666971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>
        <v>17.399999999999999</v>
      </c>
      <c r="T147" s="51">
        <v>16</v>
      </c>
      <c r="U147" s="51">
        <v>16.2</v>
      </c>
      <c r="V147" s="51">
        <v>17.2</v>
      </c>
      <c r="W147" s="51">
        <v>18.2</v>
      </c>
      <c r="X147" s="51">
        <v>17.399999999999999</v>
      </c>
      <c r="Y147" s="51">
        <v>16.399999999999999</v>
      </c>
      <c r="Z147" s="111">
        <v>16.600000000000001</v>
      </c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16</v>
      </c>
      <c r="AQ147" s="89">
        <f t="shared" si="12"/>
        <v>16.725000000000001</v>
      </c>
      <c r="AR147" s="89">
        <f>IFERROR(VLOOKUP(A147,Climatologia!A:U,9+$E$2,FALSE),"")</f>
        <v>14.54256377143717</v>
      </c>
      <c r="AS147" s="89">
        <f t="shared" si="13"/>
        <v>2.1824362285628318</v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>
        <v>24.4</v>
      </c>
      <c r="S150" s="51">
        <v>24.2</v>
      </c>
      <c r="T150" s="51">
        <v>24.2</v>
      </c>
      <c r="U150" s="51">
        <v>25.6</v>
      </c>
      <c r="V150" s="51">
        <v>26.2</v>
      </c>
      <c r="W150" s="51">
        <v>26.2</v>
      </c>
      <c r="X150" s="51">
        <v>26</v>
      </c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14</v>
      </c>
      <c r="AQ150" s="89" t="str">
        <f t="shared" si="12"/>
        <v/>
      </c>
      <c r="AR150" s="89">
        <f>IFERROR(VLOOKUP(A150,Climatologia!A:U,9+$E$2,FALSE),"")</f>
        <v>22.358974539611911</v>
      </c>
      <c r="AS150" s="89" t="str">
        <f t="shared" si="13"/>
        <v/>
      </c>
      <c r="AT150" s="90">
        <f t="shared" si="14"/>
        <v>24.2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5.1999999999999993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>
        <v>23.4</v>
      </c>
      <c r="T151" s="51">
        <v>24.2</v>
      </c>
      <c r="U151" s="51">
        <v>23.6</v>
      </c>
      <c r="V151" s="51">
        <v>25.6</v>
      </c>
      <c r="W151" s="51">
        <v>25.4</v>
      </c>
      <c r="X151" s="51">
        <v>24.2</v>
      </c>
      <c r="Y151" s="51">
        <v>25</v>
      </c>
      <c r="Z151" s="111">
        <v>25.4</v>
      </c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16</v>
      </c>
      <c r="AQ151" s="89">
        <f t="shared" si="12"/>
        <v>24.549999999999997</v>
      </c>
      <c r="AR151" s="89">
        <f>IFERROR(VLOOKUP(A151,Climatologia!A:U,9+$E$2,FALSE),"")</f>
        <v>23.435096179938832</v>
      </c>
      <c r="AS151" s="89">
        <f t="shared" si="13"/>
        <v>1.1149038200611656</v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6.3999999999999986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>
        <v>15.4</v>
      </c>
      <c r="T152" s="51">
        <v>14.4</v>
      </c>
      <c r="U152" s="51">
        <v>14.4</v>
      </c>
      <c r="V152" s="51">
        <v>15.6</v>
      </c>
      <c r="W152" s="51">
        <v>15.4</v>
      </c>
      <c r="X152" s="51">
        <v>16.8</v>
      </c>
      <c r="Y152" s="51">
        <v>15.2</v>
      </c>
      <c r="Z152" s="111">
        <v>15</v>
      </c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16</v>
      </c>
      <c r="AQ152" s="89">
        <f t="shared" si="12"/>
        <v>14.950000000000001</v>
      </c>
      <c r="AR152" s="89">
        <f>IFERROR(VLOOKUP(A152,Climatologia!A:U,9+$E$2,FALSE),"")</f>
        <v>14.28172753446659</v>
      </c>
      <c r="AS152" s="89">
        <f t="shared" si="13"/>
        <v>0.66827246553341091</v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>
        <v>19</v>
      </c>
      <c r="T153" s="51">
        <v>19.8</v>
      </c>
      <c r="U153" s="51">
        <v>19.8</v>
      </c>
      <c r="V153" s="51">
        <v>21.2</v>
      </c>
      <c r="W153" s="51">
        <v>20.6</v>
      </c>
      <c r="X153" s="51">
        <v>22.2</v>
      </c>
      <c r="Y153" s="51">
        <v>21.4</v>
      </c>
      <c r="Z153" s="111">
        <v>22.6</v>
      </c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16</v>
      </c>
      <c r="AQ153" s="89">
        <f t="shared" si="12"/>
        <v>20.8</v>
      </c>
      <c r="AR153" s="89">
        <f>IFERROR(VLOOKUP(A153,Climatologia!A:U,9+$E$2,FALSE),"")</f>
        <v>19.33438505823419</v>
      </c>
      <c r="AS153" s="89">
        <f t="shared" si="13"/>
        <v>1.4656149417658106</v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>
        <v>16.2</v>
      </c>
      <c r="T154" s="51">
        <v>15</v>
      </c>
      <c r="U154" s="51">
        <v>16</v>
      </c>
      <c r="V154" s="51">
        <v>15</v>
      </c>
      <c r="W154" s="51">
        <v>16.399999999999999</v>
      </c>
      <c r="X154" s="51">
        <v>16</v>
      </c>
      <c r="Y154" s="51">
        <v>17</v>
      </c>
      <c r="Z154" s="111">
        <v>17</v>
      </c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16</v>
      </c>
      <c r="AQ154" s="89">
        <f t="shared" si="12"/>
        <v>16.074999999999999</v>
      </c>
      <c r="AR154" s="89">
        <f>IFERROR(VLOOKUP(A154,Climatologia!A:U,9+$E$2,FALSE),"")</f>
        <v>15.34016874367072</v>
      </c>
      <c r="AS154" s="89">
        <f t="shared" si="13"/>
        <v>0.73483125632927937</v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>
        <v>19.399999999999999</v>
      </c>
      <c r="T155" s="51">
        <v>18.600000000000001</v>
      </c>
      <c r="U155" s="51">
        <v>19.2</v>
      </c>
      <c r="V155" s="51">
        <v>19</v>
      </c>
      <c r="W155" s="51">
        <v>18.600000000000001</v>
      </c>
      <c r="X155" s="51">
        <v>19.399999999999999</v>
      </c>
      <c r="Y155" s="51">
        <v>19</v>
      </c>
      <c r="Z155" s="111">
        <v>18</v>
      </c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16</v>
      </c>
      <c r="AQ155" s="89">
        <f t="shared" si="12"/>
        <v>18.875</v>
      </c>
      <c r="AR155" s="89">
        <f>IFERROR(VLOOKUP(A155,Climatologia!A:U,9+$E$2,FALSE),"")</f>
        <v>17.753898511573709</v>
      </c>
      <c r="AS155" s="89">
        <f t="shared" si="13"/>
        <v>1.1211014884262909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>
        <v>11</v>
      </c>
      <c r="T157" s="51">
        <v>11</v>
      </c>
      <c r="U157" s="51">
        <v>10</v>
      </c>
      <c r="V157" s="51">
        <v>7</v>
      </c>
      <c r="W157" s="51">
        <v>9.1999999999999993</v>
      </c>
      <c r="X157" s="51">
        <v>11.6</v>
      </c>
      <c r="Y157" s="51">
        <v>12</v>
      </c>
      <c r="Z157" s="111">
        <v>9.8000000000000007</v>
      </c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16</v>
      </c>
      <c r="AQ157" s="89">
        <f t="shared" si="12"/>
        <v>10.2875</v>
      </c>
      <c r="AR157" s="89">
        <f>IFERROR(VLOOKUP(A157,Climatologia!A:U,9+$E$2,FALSE),"")</f>
        <v>9.0629738863287237</v>
      </c>
      <c r="AS157" s="89">
        <f t="shared" si="13"/>
        <v>1.224526113671276</v>
      </c>
      <c r="AT157" s="90">
        <f t="shared" si="14"/>
        <v>7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1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>
        <v>13.2</v>
      </c>
      <c r="T158" s="51">
        <v>13.6</v>
      </c>
      <c r="U158" s="51">
        <v>13.2</v>
      </c>
      <c r="V158" s="51">
        <v>12.8</v>
      </c>
      <c r="W158" s="51">
        <v>13.4</v>
      </c>
      <c r="X158" s="51">
        <v>15.4</v>
      </c>
      <c r="Y158" s="51">
        <v>15</v>
      </c>
      <c r="Z158" s="111">
        <v>15.8</v>
      </c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16</v>
      </c>
      <c r="AQ158" s="89">
        <f t="shared" si="12"/>
        <v>13.887500000000001</v>
      </c>
      <c r="AR158" s="89">
        <f>IFERROR(VLOOKUP(A158,Climatologia!A:U,9+$E$2,FALSE),"")</f>
        <v>13.99486833930705</v>
      </c>
      <c r="AS158" s="89">
        <f t="shared" si="13"/>
        <v>-0.10736833930704925</v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>
        <v>21</v>
      </c>
      <c r="T159" s="51">
        <v>19.600000000000001</v>
      </c>
      <c r="U159" s="51">
        <v>20.2</v>
      </c>
      <c r="V159" s="51">
        <v>19.2</v>
      </c>
      <c r="W159" s="51">
        <v>20</v>
      </c>
      <c r="X159" s="51">
        <v>21.6</v>
      </c>
      <c r="Y159" s="51">
        <v>21</v>
      </c>
      <c r="Z159" s="111">
        <v>21.4</v>
      </c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16</v>
      </c>
      <c r="AQ159" s="89">
        <f t="shared" si="12"/>
        <v>20.612499999999997</v>
      </c>
      <c r="AR159" s="89">
        <f>IFERROR(VLOOKUP(A159,Climatologia!A:U,9+$E$2,FALSE),"")</f>
        <v>19.80259102706712</v>
      </c>
      <c r="AS159" s="89">
        <f t="shared" si="13"/>
        <v>0.80990897293287745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2.1999999999999993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>
        <v>7.4</v>
      </c>
      <c r="T160" s="51">
        <v>5.8</v>
      </c>
      <c r="U160" s="51">
        <v>6.6</v>
      </c>
      <c r="V160" s="51">
        <v>3.2</v>
      </c>
      <c r="W160" s="51">
        <v>6</v>
      </c>
      <c r="X160" s="51">
        <v>7.2</v>
      </c>
      <c r="Y160" s="51">
        <v>6</v>
      </c>
      <c r="Z160" s="111">
        <v>6.6</v>
      </c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16</v>
      </c>
      <c r="AQ160" s="89">
        <f t="shared" si="12"/>
        <v>5.7874999999999996</v>
      </c>
      <c r="AR160" s="89">
        <f>IFERROR(VLOOKUP(A160,Climatologia!A:U,9+$E$2,FALSE),"")</f>
        <v>5.545852566091324</v>
      </c>
      <c r="AS160" s="89">
        <f t="shared" si="13"/>
        <v>0.2416474339086756</v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>
        <v>21</v>
      </c>
      <c r="T161" s="51">
        <v>20.399999999999999</v>
      </c>
      <c r="U161" s="51">
        <v>21</v>
      </c>
      <c r="V161" s="51">
        <v>22</v>
      </c>
      <c r="W161" s="51">
        <v>22.2</v>
      </c>
      <c r="X161" s="51">
        <v>22</v>
      </c>
      <c r="Y161" s="51">
        <v>22</v>
      </c>
      <c r="Z161" s="111">
        <v>22.2</v>
      </c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16</v>
      </c>
      <c r="AQ161" s="89">
        <f t="shared" si="12"/>
        <v>21.15</v>
      </c>
      <c r="AR161" s="89">
        <f>IFERROR(VLOOKUP(A161,Climatologia!A:U,9+$E$2,FALSE),"")</f>
        <v>20.699024154274429</v>
      </c>
      <c r="AS161" s="89">
        <f t="shared" si="13"/>
        <v>0.45097584572556926</v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>
        <v>15.2</v>
      </c>
      <c r="T162" s="51">
        <v>16</v>
      </c>
      <c r="U162" s="51">
        <v>16</v>
      </c>
      <c r="V162" s="51">
        <v>16.2</v>
      </c>
      <c r="W162" s="51">
        <v>14.8</v>
      </c>
      <c r="X162" s="51">
        <v>14.4</v>
      </c>
      <c r="Y162" s="51">
        <v>15.6</v>
      </c>
      <c r="Z162" s="111">
        <v>16</v>
      </c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16</v>
      </c>
      <c r="AQ162" s="89">
        <f t="shared" si="12"/>
        <v>15.3375</v>
      </c>
      <c r="AR162" s="89">
        <f>IFERROR(VLOOKUP(A162,Climatologia!A:U,9+$E$2,FALSE),"")</f>
        <v>13.81981919292388</v>
      </c>
      <c r="AS162" s="89">
        <f t="shared" si="13"/>
        <v>1.5176808070761201</v>
      </c>
      <c r="AT162" s="90">
        <f t="shared" si="14"/>
        <v>14.4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5.2000000000000011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>
        <v>19.600000000000001</v>
      </c>
      <c r="T163" s="51">
        <v>18.600000000000001</v>
      </c>
      <c r="U163" s="51">
        <v>20.399999999999999</v>
      </c>
      <c r="V163" s="51">
        <v>18.399999999999999</v>
      </c>
      <c r="W163" s="51">
        <v>19</v>
      </c>
      <c r="X163" s="51">
        <v>18</v>
      </c>
      <c r="Y163" s="51">
        <v>19.600000000000001</v>
      </c>
      <c r="Z163" s="111">
        <v>18.2</v>
      </c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16</v>
      </c>
      <c r="AQ163" s="89">
        <f t="shared" si="12"/>
        <v>18.675000000000001</v>
      </c>
      <c r="AR163" s="89">
        <f>IFERROR(VLOOKUP(A163,Climatologia!A:U,9+$E$2,FALSE),"")</f>
        <v>17.92353706847765</v>
      </c>
      <c r="AS163" s="89">
        <f t="shared" si="13"/>
        <v>0.75146293152235089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>
        <v>20.3</v>
      </c>
      <c r="T164" s="51">
        <v>17.8</v>
      </c>
      <c r="U164" s="51">
        <v>17.600000000000001</v>
      </c>
      <c r="V164" s="51">
        <v>17.5</v>
      </c>
      <c r="W164" s="51">
        <v>19.399999999999999</v>
      </c>
      <c r="X164" s="51">
        <v>19.600000000000001</v>
      </c>
      <c r="Y164" s="51">
        <v>19.600000000000001</v>
      </c>
      <c r="Z164" s="111">
        <v>19.600000000000001</v>
      </c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16</v>
      </c>
      <c r="AQ164" s="89">
        <f t="shared" si="12"/>
        <v>19.225000000000005</v>
      </c>
      <c r="AR164" s="89">
        <f>IFERROR(VLOOKUP(A164,Climatologia!A:U,9+$E$2,FALSE),"")</f>
        <v>19.04428975316489</v>
      </c>
      <c r="AS164" s="89">
        <f t="shared" si="13"/>
        <v>0.18071024683511538</v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>
        <v>10.4</v>
      </c>
      <c r="T165" s="51"/>
      <c r="U165" s="51">
        <v>8.6</v>
      </c>
      <c r="V165" s="51">
        <v>6</v>
      </c>
      <c r="W165" s="51">
        <v>7.6</v>
      </c>
      <c r="X165" s="51">
        <v>10.8</v>
      </c>
      <c r="Y165" s="51">
        <v>9</v>
      </c>
      <c r="Z165" s="111">
        <v>9.8000000000000007</v>
      </c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13</v>
      </c>
      <c r="AQ165" s="89" t="str">
        <f t="shared" si="12"/>
        <v/>
      </c>
      <c r="AR165" s="89">
        <f>IFERROR(VLOOKUP(A165,Climatologia!A:U,9+$E$2,FALSE),"")</f>
        <v>8.2009357976098798</v>
      </c>
      <c r="AS165" s="89" t="str">
        <f t="shared" si="13"/>
        <v/>
      </c>
      <c r="AT165" s="90">
        <f t="shared" si="14"/>
        <v>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4.4000000000000004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>
        <v>18</v>
      </c>
      <c r="Q166" s="51">
        <v>20.6</v>
      </c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5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>
        <v>20.2</v>
      </c>
      <c r="T169" s="51">
        <v>17.8</v>
      </c>
      <c r="U169" s="51">
        <v>18.600000000000001</v>
      </c>
      <c r="V169" s="51">
        <v>19.399999999999999</v>
      </c>
      <c r="W169" s="51">
        <v>19.2</v>
      </c>
      <c r="X169" s="51">
        <v>18.600000000000001</v>
      </c>
      <c r="Y169" s="51">
        <v>20.399999999999999</v>
      </c>
      <c r="Z169" s="111">
        <v>20.6</v>
      </c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16</v>
      </c>
      <c r="AQ169" s="89">
        <f t="shared" si="12"/>
        <v>19.581249999999997</v>
      </c>
      <c r="AR169" s="89">
        <f>IFERROR(VLOOKUP(A169,Climatologia!A:U,9+$E$2,FALSE),"")</f>
        <v>18.98804930581305</v>
      </c>
      <c r="AS169" s="89">
        <f t="shared" si="13"/>
        <v>0.59320069418694743</v>
      </c>
      <c r="AT169" s="90">
        <f t="shared" si="14"/>
        <v>17.8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2.8000000000000007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>
        <v>15</v>
      </c>
      <c r="T170" s="51">
        <v>14.8</v>
      </c>
      <c r="U170" s="51">
        <v>12</v>
      </c>
      <c r="V170" s="51">
        <v>13</v>
      </c>
      <c r="W170" s="51">
        <v>13.2</v>
      </c>
      <c r="X170" s="51">
        <v>13.4</v>
      </c>
      <c r="Y170" s="51">
        <v>15.2</v>
      </c>
      <c r="Z170" s="111">
        <v>16.2</v>
      </c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16</v>
      </c>
      <c r="AQ170" s="89">
        <f t="shared" si="12"/>
        <v>14.2125</v>
      </c>
      <c r="AR170" s="89">
        <f>IFERROR(VLOOKUP(A170,Climatologia!A:U,9+$E$2,FALSE),"")</f>
        <v>13.515835523098669</v>
      </c>
      <c r="AS170" s="89">
        <f t="shared" si="13"/>
        <v>0.69666447690133104</v>
      </c>
      <c r="AT170" s="90">
        <f t="shared" si="14"/>
        <v>12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3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25.8</v>
      </c>
      <c r="R172" s="51">
        <v>25.8</v>
      </c>
      <c r="S172" s="51"/>
      <c r="T172" s="51"/>
      <c r="U172" s="51">
        <v>25.6</v>
      </c>
      <c r="V172" s="51">
        <v>26.2</v>
      </c>
      <c r="W172" s="51">
        <v>24.4</v>
      </c>
      <c r="X172" s="51">
        <v>25.4</v>
      </c>
      <c r="Y172" s="51">
        <v>26.2</v>
      </c>
      <c r="Z172" s="111">
        <v>26.8</v>
      </c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14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5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>
        <v>22.8</v>
      </c>
      <c r="T175" s="51"/>
      <c r="U175" s="51"/>
      <c r="V175" s="51">
        <v>25</v>
      </c>
      <c r="W175" s="51">
        <v>20.2</v>
      </c>
      <c r="X175" s="51"/>
      <c r="Y175" s="51">
        <v>19.8</v>
      </c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12</v>
      </c>
      <c r="AQ175" s="89" t="str">
        <f t="shared" si="12"/>
        <v/>
      </c>
      <c r="AR175" s="89">
        <f>IFERROR(VLOOKUP(A175,Climatologia!A:U,9+$E$2,FALSE),"")</f>
        <v>20.369629293079871</v>
      </c>
      <c r="AS175" s="89" t="str">
        <f t="shared" si="13"/>
        <v/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>
        <v>23.2</v>
      </c>
      <c r="T176" s="51">
        <v>22.8</v>
      </c>
      <c r="U176" s="51">
        <v>25</v>
      </c>
      <c r="V176" s="51">
        <v>24.6</v>
      </c>
      <c r="W176" s="51">
        <v>21.6</v>
      </c>
      <c r="X176" s="51"/>
      <c r="Y176" s="51">
        <v>22.2</v>
      </c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14</v>
      </c>
      <c r="AQ176" s="89" t="str">
        <f t="shared" si="12"/>
        <v/>
      </c>
      <c r="AR176" s="89">
        <f>IFERROR(VLOOKUP(A176,Climatologia!A:U,9+$E$2,FALSE),"")</f>
        <v>21.653737839221709</v>
      </c>
      <c r="AS176" s="89" t="str">
        <f t="shared" si="13"/>
        <v/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>
        <v>13.8</v>
      </c>
      <c r="T179" s="51">
        <v>13.4</v>
      </c>
      <c r="U179" s="51">
        <v>15</v>
      </c>
      <c r="V179" s="51">
        <v>13.4</v>
      </c>
      <c r="W179" s="51">
        <v>13.8</v>
      </c>
      <c r="X179" s="51">
        <v>14.4</v>
      </c>
      <c r="Y179" s="51">
        <v>14.6</v>
      </c>
      <c r="Z179" s="111">
        <v>13.2</v>
      </c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16</v>
      </c>
      <c r="AQ179" s="89">
        <f t="shared" si="12"/>
        <v>13.674999999999999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>
        <v>25.2</v>
      </c>
      <c r="U180" s="51">
        <v>25.4</v>
      </c>
      <c r="V180" s="51"/>
      <c r="W180" s="51"/>
      <c r="X180" s="51"/>
      <c r="Y180" s="51">
        <v>25.8</v>
      </c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10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>
        <v>24.6</v>
      </c>
      <c r="T181" s="51">
        <v>23.6</v>
      </c>
      <c r="U181" s="51">
        <v>22</v>
      </c>
      <c r="V181" s="51"/>
      <c r="W181" s="51">
        <v>26.6</v>
      </c>
      <c r="X181" s="51">
        <v>24.2</v>
      </c>
      <c r="Y181" s="51">
        <v>22.2</v>
      </c>
      <c r="Z181" s="111">
        <v>25.4</v>
      </c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15</v>
      </c>
      <c r="AQ181" s="89">
        <f t="shared" si="12"/>
        <v>23.199999999999996</v>
      </c>
      <c r="AR181" s="89">
        <f>IFERROR(VLOOKUP(A181,Climatologia!A:U,9+$E$2,FALSE),"")</f>
        <v>21.70483579702303</v>
      </c>
      <c r="AS181" s="89">
        <f t="shared" si="13"/>
        <v>1.4951642029769658</v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>
        <v>14</v>
      </c>
      <c r="T182" s="51">
        <v>13.6</v>
      </c>
      <c r="U182" s="51">
        <v>12.6</v>
      </c>
      <c r="V182" s="51">
        <v>13.4</v>
      </c>
      <c r="W182" s="51">
        <v>14.8</v>
      </c>
      <c r="X182" s="51">
        <v>14</v>
      </c>
      <c r="Y182" s="51">
        <v>14</v>
      </c>
      <c r="Z182" s="111">
        <v>14.6</v>
      </c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16</v>
      </c>
      <c r="AQ182" s="89">
        <f t="shared" si="12"/>
        <v>13.625</v>
      </c>
      <c r="AR182" s="89">
        <f>IFERROR(VLOOKUP(A182,Climatologia!A:U,9+$E$2,FALSE),"")</f>
        <v>14.173503840245781</v>
      </c>
      <c r="AS182" s="89">
        <f t="shared" si="13"/>
        <v>-0.54850384024578069</v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>
        <v>19.2</v>
      </c>
      <c r="T183" s="51">
        <v>19.600000000000001</v>
      </c>
      <c r="U183" s="51">
        <v>18.600000000000001</v>
      </c>
      <c r="V183" s="51">
        <v>19.2</v>
      </c>
      <c r="W183" s="51">
        <v>18</v>
      </c>
      <c r="X183" s="51">
        <v>19.2</v>
      </c>
      <c r="Y183" s="51">
        <v>18.2</v>
      </c>
      <c r="Z183" s="111">
        <v>19</v>
      </c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16</v>
      </c>
      <c r="AQ183" s="89">
        <f t="shared" si="12"/>
        <v>18.687499999999996</v>
      </c>
      <c r="AR183" s="89">
        <f>IFERROR(VLOOKUP(A183,Climatologia!A:U,9+$E$2,FALSE),"")</f>
        <v>20.070986681091949</v>
      </c>
      <c r="AS183" s="89">
        <f t="shared" si="13"/>
        <v>-1.3834866810919522</v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>
        <v>22.4</v>
      </c>
      <c r="T184" s="51">
        <v>19.8</v>
      </c>
      <c r="U184" s="51">
        <v>23.2</v>
      </c>
      <c r="V184" s="51">
        <v>22</v>
      </c>
      <c r="W184" s="51">
        <v>21.2</v>
      </c>
      <c r="X184" s="51">
        <v>22</v>
      </c>
      <c r="Y184" s="51">
        <v>23</v>
      </c>
      <c r="Z184" s="111">
        <v>23.4</v>
      </c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16</v>
      </c>
      <c r="AQ184" s="89">
        <f t="shared" si="12"/>
        <v>21.524999999999999</v>
      </c>
      <c r="AR184" s="89">
        <f>IFERROR(VLOOKUP(A184,Climatologia!A:U,9+$E$2,FALSE),"")</f>
        <v>20.076368634370251</v>
      </c>
      <c r="AS184" s="89">
        <f t="shared" si="13"/>
        <v>1.4486313656297476</v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>
        <v>17</v>
      </c>
      <c r="T185" s="51">
        <v>15.8</v>
      </c>
      <c r="U185" s="51">
        <v>15.6</v>
      </c>
      <c r="V185" s="51">
        <v>16</v>
      </c>
      <c r="W185" s="51">
        <v>15</v>
      </c>
      <c r="X185" s="51">
        <v>16.2</v>
      </c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14</v>
      </c>
      <c r="AQ185" s="89" t="str">
        <f t="shared" si="12"/>
        <v/>
      </c>
      <c r="AR185" s="89">
        <f>IFERROR(VLOOKUP(A185,Climatologia!A:U,9+$E$2,FALSE),"")</f>
        <v>17.074088213241051</v>
      </c>
      <c r="AS185" s="89" t="str">
        <f t="shared" si="13"/>
        <v/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>
        <v>22</v>
      </c>
      <c r="T186" s="51">
        <v>22.6</v>
      </c>
      <c r="U186" s="51">
        <v>25</v>
      </c>
      <c r="V186" s="51"/>
      <c r="W186" s="51">
        <v>24.4</v>
      </c>
      <c r="X186" s="51">
        <v>23.6</v>
      </c>
      <c r="Y186" s="51">
        <v>22</v>
      </c>
      <c r="Z186" s="111">
        <v>22.6</v>
      </c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15</v>
      </c>
      <c r="AQ186" s="89">
        <f t="shared" si="12"/>
        <v>22.306666666666668</v>
      </c>
      <c r="AR186" s="89">
        <f>IFERROR(VLOOKUP(A186,Climatologia!A:U,9+$E$2,FALSE),"")</f>
        <v>20.422025791399172</v>
      </c>
      <c r="AS186" s="89">
        <f t="shared" si="13"/>
        <v>1.8846408752674968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>
        <v>17.2</v>
      </c>
      <c r="T187" s="51">
        <v>17.399999999999999</v>
      </c>
      <c r="U187" s="51"/>
      <c r="V187" s="51"/>
      <c r="W187" s="51"/>
      <c r="X187" s="51">
        <v>18.399999999999999</v>
      </c>
      <c r="Y187" s="51">
        <v>19.2</v>
      </c>
      <c r="Z187" s="111">
        <v>19</v>
      </c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13</v>
      </c>
      <c r="AQ187" s="89" t="str">
        <f t="shared" si="12"/>
        <v/>
      </c>
      <c r="AR187" s="89">
        <f>IFERROR(VLOOKUP(A187,Climatologia!A:U,9+$E$2,FALSE),"")</f>
        <v>16.993025163915739</v>
      </c>
      <c r="AS187" s="89" t="str">
        <f t="shared" si="13"/>
        <v/>
      </c>
      <c r="AT187" s="90">
        <f t="shared" si="14"/>
        <v>17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3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>
        <v>23.2</v>
      </c>
      <c r="T188" s="51">
        <v>21.8</v>
      </c>
      <c r="U188" s="51">
        <v>22.8</v>
      </c>
      <c r="V188" s="51">
        <v>22.2</v>
      </c>
      <c r="W188" s="51">
        <v>21.2</v>
      </c>
      <c r="X188" s="51">
        <v>22.8</v>
      </c>
      <c r="Y188" s="51">
        <v>23.2</v>
      </c>
      <c r="Z188" s="111">
        <v>21.8</v>
      </c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16</v>
      </c>
      <c r="AQ188" s="89">
        <f t="shared" si="12"/>
        <v>22.250000000000004</v>
      </c>
      <c r="AR188" s="89">
        <f>IFERROR(VLOOKUP(A188,Climatologia!A:U,9+$E$2,FALSE),"")</f>
        <v>20.28174546114397</v>
      </c>
      <c r="AS188" s="89">
        <f t="shared" si="13"/>
        <v>1.9682545388560335</v>
      </c>
      <c r="AT188" s="90">
        <f t="shared" si="14"/>
        <v>21.2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5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>
        <v>18.8</v>
      </c>
      <c r="T189" s="51">
        <v>17.399999999999999</v>
      </c>
      <c r="U189" s="51">
        <v>18.2</v>
      </c>
      <c r="V189" s="51">
        <v>18.600000000000001</v>
      </c>
      <c r="W189" s="51">
        <v>17.8</v>
      </c>
      <c r="X189" s="51">
        <v>19.399999999999999</v>
      </c>
      <c r="Y189" s="51">
        <v>19.600000000000001</v>
      </c>
      <c r="Z189" s="111">
        <v>19.399999999999999</v>
      </c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16</v>
      </c>
      <c r="AQ189" s="89">
        <f t="shared" si="12"/>
        <v>18.5625</v>
      </c>
      <c r="AR189" s="89">
        <f>IFERROR(VLOOKUP(A189,Climatologia!A:U,9+$E$2,FALSE),"")</f>
        <v>15.63081985682097</v>
      </c>
      <c r="AS189" s="89">
        <f t="shared" si="13"/>
        <v>2.9316801431790296</v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>
        <v>13.8</v>
      </c>
      <c r="T190" s="51">
        <v>11</v>
      </c>
      <c r="U190" s="51">
        <v>14.4</v>
      </c>
      <c r="V190" s="51">
        <v>13.6</v>
      </c>
      <c r="W190" s="51">
        <v>11.4</v>
      </c>
      <c r="X190" s="51">
        <v>15.2</v>
      </c>
      <c r="Y190" s="51">
        <v>15</v>
      </c>
      <c r="Z190" s="111">
        <v>14.8</v>
      </c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16</v>
      </c>
      <c r="AQ190" s="89">
        <f t="shared" si="12"/>
        <v>13.625</v>
      </c>
      <c r="AR190" s="89">
        <f>IFERROR(VLOOKUP(A190,Climatologia!A:U,9+$E$2,FALSE),"")</f>
        <v>11.261282597948339</v>
      </c>
      <c r="AS190" s="89">
        <f t="shared" si="13"/>
        <v>2.3637174020516607</v>
      </c>
      <c r="AT190" s="90">
        <f t="shared" si="14"/>
        <v>11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>
        <v>12</v>
      </c>
      <c r="T191" s="51">
        <v>2.8</v>
      </c>
      <c r="U191" s="51">
        <v>4</v>
      </c>
      <c r="V191" s="51">
        <v>8.8000000000000007</v>
      </c>
      <c r="W191" s="51">
        <v>10</v>
      </c>
      <c r="X191" s="51">
        <v>8</v>
      </c>
      <c r="Y191" s="51">
        <v>9</v>
      </c>
      <c r="Z191" s="111">
        <v>8</v>
      </c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16</v>
      </c>
      <c r="AQ191" s="89">
        <f t="shared" si="12"/>
        <v>7.8624999999999998</v>
      </c>
      <c r="AR191" s="89">
        <f>IFERROR(VLOOKUP(A191,Climatologia!A:U,9+$E$2,FALSE),"")</f>
        <v>6.994628239761723</v>
      </c>
      <c r="AS191" s="89">
        <f t="shared" si="13"/>
        <v>0.86787176023827683</v>
      </c>
      <c r="AT191" s="90">
        <f t="shared" si="14"/>
        <v>2.8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4.3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>
        <v>23.8</v>
      </c>
      <c r="T192" s="51">
        <v>22</v>
      </c>
      <c r="U192" s="51">
        <v>22.8</v>
      </c>
      <c r="V192" s="51">
        <v>23.6</v>
      </c>
      <c r="W192" s="51">
        <v>21.8</v>
      </c>
      <c r="X192" s="51">
        <v>23.2</v>
      </c>
      <c r="Y192" s="51">
        <v>21.6</v>
      </c>
      <c r="Z192" s="111">
        <v>23.6</v>
      </c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16</v>
      </c>
      <c r="AQ192" s="89">
        <f t="shared" si="12"/>
        <v>22.562500000000004</v>
      </c>
      <c r="AR192" s="89">
        <f>IFERROR(VLOOKUP(A192,Climatologia!A:U,9+$E$2,FALSE),"")</f>
        <v>19.908691930571798</v>
      </c>
      <c r="AS192" s="89">
        <f t="shared" si="13"/>
        <v>2.6538080694282051</v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>
        <v>10.6</v>
      </c>
      <c r="T193" s="51">
        <v>9.1999999999999993</v>
      </c>
      <c r="U193" s="51">
        <v>11.6</v>
      </c>
      <c r="V193" s="51">
        <v>10.8</v>
      </c>
      <c r="W193" s="51">
        <v>9.1999999999999993</v>
      </c>
      <c r="X193" s="51">
        <v>10.4</v>
      </c>
      <c r="Y193" s="51">
        <v>10.199999999999999</v>
      </c>
      <c r="Z193" s="111">
        <v>10.199999999999999</v>
      </c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16</v>
      </c>
      <c r="AQ193" s="89">
        <f t="shared" si="12"/>
        <v>9.4999999999999982</v>
      </c>
      <c r="AR193" s="89">
        <f>IFERROR(VLOOKUP(A193,Climatologia!A:U,9+$E$2,FALSE),"")</f>
        <v>8.0869853706863069</v>
      </c>
      <c r="AS193" s="89">
        <f t="shared" si="13"/>
        <v>1.4130146293136914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>
        <v>10.199999999999999</v>
      </c>
      <c r="T194" s="51">
        <v>8.6</v>
      </c>
      <c r="U194" s="51">
        <v>10.4</v>
      </c>
      <c r="V194" s="51">
        <v>9.8000000000000007</v>
      </c>
      <c r="W194" s="51">
        <v>8.4</v>
      </c>
      <c r="X194" s="51">
        <v>9.6</v>
      </c>
      <c r="Y194" s="51">
        <v>10.4</v>
      </c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15</v>
      </c>
      <c r="AQ194" s="89">
        <f t="shared" si="12"/>
        <v>9.1333333333333329</v>
      </c>
      <c r="AR194" s="89">
        <f>IFERROR(VLOOKUP(A194,Climatologia!A:U,9+$E$2,FALSE),"")</f>
        <v>7.6640343615186746</v>
      </c>
      <c r="AS194" s="89">
        <f t="shared" si="13"/>
        <v>1.4692989718146583</v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>
        <v>11</v>
      </c>
      <c r="T196" s="51">
        <v>2.8</v>
      </c>
      <c r="U196" s="51">
        <v>7.8</v>
      </c>
      <c r="V196" s="51">
        <v>8</v>
      </c>
      <c r="W196" s="51">
        <v>7.2</v>
      </c>
      <c r="X196" s="51">
        <v>8.4</v>
      </c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14</v>
      </c>
      <c r="AQ196" s="89" t="str">
        <f t="shared" si="12"/>
        <v/>
      </c>
      <c r="AR196" s="89">
        <f>IFERROR(VLOOKUP(A196,Climatologia!A:U,9+$E$2,FALSE),"")</f>
        <v>7.3820830111058147</v>
      </c>
      <c r="AS196" s="89" t="str">
        <f t="shared" si="13"/>
        <v/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>
        <v>10.4</v>
      </c>
      <c r="S197" s="51">
        <v>10.8</v>
      </c>
      <c r="T197" s="51">
        <v>3.8</v>
      </c>
      <c r="U197" s="51">
        <v>8.8000000000000007</v>
      </c>
      <c r="V197" s="51">
        <v>9.6</v>
      </c>
      <c r="W197" s="51">
        <v>9.1999999999999993</v>
      </c>
      <c r="X197" s="51">
        <v>9</v>
      </c>
      <c r="Y197" s="51">
        <v>9.8000000000000007</v>
      </c>
      <c r="Z197" s="111">
        <v>6</v>
      </c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16</v>
      </c>
      <c r="AQ197" s="89">
        <f t="shared" ref="AQ197:AQ260" si="17">IF(AP197&gt;14,AVERAGE(K197:AO197),"")</f>
        <v>8.3249999999999993</v>
      </c>
      <c r="AR197" s="89">
        <f>IFERROR(VLOOKUP(A197,Climatologia!A:U,9+$E$2,FALSE),"")</f>
        <v>6.382935282589119</v>
      </c>
      <c r="AS197" s="89">
        <f t="shared" ref="AS197:AS260" si="18">IF(OR(AQ197="",AR197=""),"",IFERROR(AQ197-AR197,""))</f>
        <v>1.9420647174108803</v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>
        <v>9.3000000000000007</v>
      </c>
      <c r="T198" s="51">
        <v>6.2</v>
      </c>
      <c r="U198" s="51">
        <v>8.4</v>
      </c>
      <c r="V198" s="51">
        <v>9.6</v>
      </c>
      <c r="W198" s="51">
        <v>8.4</v>
      </c>
      <c r="X198" s="51">
        <v>10.199999999999999</v>
      </c>
      <c r="Y198" s="51">
        <v>10.8</v>
      </c>
      <c r="Z198" s="111">
        <v>8.4</v>
      </c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16</v>
      </c>
      <c r="AQ198" s="89">
        <f t="shared" si="17"/>
        <v>8.7937500000000011</v>
      </c>
      <c r="AR198" s="89">
        <f>IFERROR(VLOOKUP(A198,Climatologia!A:U,9+$E$2,FALSE),"")</f>
        <v>7.491938037728997</v>
      </c>
      <c r="AS198" s="89">
        <f t="shared" si="18"/>
        <v>1.301811962271004</v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>
        <v>12</v>
      </c>
      <c r="T199" s="51">
        <v>5.6</v>
      </c>
      <c r="U199" s="51">
        <v>9</v>
      </c>
      <c r="V199" s="51">
        <v>11</v>
      </c>
      <c r="W199" s="51">
        <v>10.199999999999999</v>
      </c>
      <c r="X199" s="51">
        <v>9</v>
      </c>
      <c r="Y199" s="51">
        <v>11</v>
      </c>
      <c r="Z199" s="111">
        <v>9.4</v>
      </c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16</v>
      </c>
      <c r="AQ199" s="89">
        <f t="shared" si="17"/>
        <v>9.5625</v>
      </c>
      <c r="AR199" s="89">
        <f>IFERROR(VLOOKUP(A199,Climatologia!A:U,9+$E$2,FALSE),"")</f>
        <v>7.4487940592962838</v>
      </c>
      <c r="AS199" s="89">
        <f t="shared" si="18"/>
        <v>2.1137059407037162</v>
      </c>
      <c r="AT199" s="90">
        <f t="shared" si="19"/>
        <v>5.6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8.6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>
        <v>9</v>
      </c>
      <c r="S200" s="51">
        <v>11.4</v>
      </c>
      <c r="T200" s="51"/>
      <c r="U200" s="51">
        <v>6</v>
      </c>
      <c r="V200" s="51">
        <v>9.8000000000000007</v>
      </c>
      <c r="W200" s="51">
        <v>9</v>
      </c>
      <c r="X200" s="51">
        <v>11</v>
      </c>
      <c r="Y200" s="51">
        <v>11.6</v>
      </c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13</v>
      </c>
      <c r="AQ200" s="89" t="str">
        <f t="shared" si="17"/>
        <v/>
      </c>
      <c r="AR200" s="89">
        <f>IFERROR(VLOOKUP(A200,Climatologia!A:U,9+$E$2,FALSE),"")</f>
        <v>7.107223600771988</v>
      </c>
      <c r="AS200" s="89" t="str">
        <f t="shared" si="18"/>
        <v/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>
        <v>9.4</v>
      </c>
      <c r="T201" s="51">
        <v>4</v>
      </c>
      <c r="U201" s="51">
        <v>7.6</v>
      </c>
      <c r="V201" s="51">
        <v>10</v>
      </c>
      <c r="W201" s="51">
        <v>10.199999999999999</v>
      </c>
      <c r="X201" s="51">
        <v>9</v>
      </c>
      <c r="Y201" s="51">
        <v>10.8</v>
      </c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15</v>
      </c>
      <c r="AQ201" s="89">
        <f t="shared" si="17"/>
        <v>8.4400000000000013</v>
      </c>
      <c r="AR201" s="89">
        <f>IFERROR(VLOOKUP(A201,Climatologia!A:U,9+$E$2,FALSE),"")</f>
        <v>6.8025057736192744</v>
      </c>
      <c r="AS201" s="89">
        <f t="shared" si="18"/>
        <v>1.6374942263807268</v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4.7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>
        <v>6.2</v>
      </c>
      <c r="U202" s="51">
        <v>5.4</v>
      </c>
      <c r="V202" s="51">
        <v>11</v>
      </c>
      <c r="W202" s="51">
        <v>10</v>
      </c>
      <c r="X202" s="51">
        <v>10.199999999999999</v>
      </c>
      <c r="Y202" s="51">
        <v>10.6</v>
      </c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11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5.4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5.2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>
        <v>11.6</v>
      </c>
      <c r="T203" s="51">
        <v>6</v>
      </c>
      <c r="U203" s="51">
        <v>6.8</v>
      </c>
      <c r="V203" s="51">
        <v>8.6</v>
      </c>
      <c r="W203" s="51">
        <v>9.1999999999999993</v>
      </c>
      <c r="X203" s="51">
        <v>9.1999999999999993</v>
      </c>
      <c r="Y203" s="51">
        <v>9.8000000000000007</v>
      </c>
      <c r="Z203" s="111">
        <v>10.199999999999999</v>
      </c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16</v>
      </c>
      <c r="AQ203" s="89">
        <f t="shared" si="17"/>
        <v>8.6624999999999996</v>
      </c>
      <c r="AR203" s="89">
        <f>IFERROR(VLOOKUP(A203,Climatologia!A:U,9+$E$2,FALSE),"")</f>
        <v>7.9932587877038674</v>
      </c>
      <c r="AS203" s="89">
        <f t="shared" si="18"/>
        <v>0.6692412122961322</v>
      </c>
      <c r="AT203" s="90">
        <f t="shared" si="19"/>
        <v>6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5.0999999999999996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>
        <v>4.5999999999999996</v>
      </c>
      <c r="T204" s="51">
        <v>5</v>
      </c>
      <c r="U204" s="51">
        <v>4.5999999999999996</v>
      </c>
      <c r="V204" s="51">
        <v>4.4000000000000004</v>
      </c>
      <c r="W204" s="51">
        <v>4</v>
      </c>
      <c r="X204" s="51">
        <v>4.8</v>
      </c>
      <c r="Y204" s="51">
        <v>4.4000000000000004</v>
      </c>
      <c r="Z204" s="111">
        <v>5.2</v>
      </c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16</v>
      </c>
      <c r="AQ204" s="89">
        <f t="shared" si="17"/>
        <v>4.9312500000000004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>
        <v>12</v>
      </c>
      <c r="T206" s="51">
        <v>10</v>
      </c>
      <c r="U206" s="51">
        <v>11.4</v>
      </c>
      <c r="V206" s="51">
        <v>9.8000000000000007</v>
      </c>
      <c r="W206" s="51">
        <v>10.6</v>
      </c>
      <c r="X206" s="51">
        <v>10.8</v>
      </c>
      <c r="Y206" s="51">
        <v>11.6</v>
      </c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15</v>
      </c>
      <c r="AQ206" s="89">
        <f t="shared" si="17"/>
        <v>10.76</v>
      </c>
      <c r="AR206" s="89">
        <f>IFERROR(VLOOKUP(A206,Climatologia!A:U,9+$E$2,FALSE),"")</f>
        <v>9.3415228944019546</v>
      </c>
      <c r="AS206" s="89">
        <f t="shared" si="18"/>
        <v>1.4184771055980452</v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>
        <v>5.8</v>
      </c>
      <c r="T207" s="51">
        <v>4.5999999999999996</v>
      </c>
      <c r="U207" s="51">
        <v>5</v>
      </c>
      <c r="V207" s="51">
        <v>6</v>
      </c>
      <c r="W207" s="51">
        <v>6.2</v>
      </c>
      <c r="X207" s="51">
        <v>6.6</v>
      </c>
      <c r="Y207" s="51">
        <v>7.2</v>
      </c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15</v>
      </c>
      <c r="AQ207" s="89">
        <f t="shared" si="17"/>
        <v>5.879999999999999</v>
      </c>
      <c r="AR207" s="89">
        <f>IFERROR(VLOOKUP(A207,Climatologia!A:U,9+$E$2,FALSE),"")</f>
        <v>5.0408940752175297</v>
      </c>
      <c r="AS207" s="89">
        <f t="shared" si="18"/>
        <v>0.83910592478246926</v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>
        <v>23.6</v>
      </c>
      <c r="T208" s="51">
        <v>22.8</v>
      </c>
      <c r="U208" s="51">
        <v>23.2</v>
      </c>
      <c r="V208" s="51">
        <v>23.8</v>
      </c>
      <c r="W208" s="51">
        <v>24</v>
      </c>
      <c r="X208" s="51">
        <v>23</v>
      </c>
      <c r="Y208" s="51">
        <v>23.2</v>
      </c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15</v>
      </c>
      <c r="AQ208" s="89">
        <f t="shared" si="17"/>
        <v>22.946666666666665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23" t="s">
        <v>850</v>
      </c>
      <c r="I1" s="124"/>
      <c r="J1" s="125"/>
      <c r="K1" s="123" t="s">
        <v>851</v>
      </c>
      <c r="L1" s="124"/>
      <c r="M1" s="125"/>
      <c r="N1" s="123" t="s">
        <v>852</v>
      </c>
      <c r="O1" s="124"/>
      <c r="P1" s="125"/>
      <c r="Q1" s="123" t="s">
        <v>853</v>
      </c>
      <c r="R1" s="124"/>
      <c r="S1" s="125"/>
      <c r="T1" s="123" t="s">
        <v>854</v>
      </c>
      <c r="U1" s="124"/>
      <c r="V1" s="125"/>
      <c r="W1" s="123" t="s">
        <v>855</v>
      </c>
      <c r="X1" s="124"/>
      <c r="Y1" s="125"/>
      <c r="Z1" s="123" t="s">
        <v>856</v>
      </c>
      <c r="AA1" s="124"/>
      <c r="AB1" s="125"/>
      <c r="AC1" s="123" t="s">
        <v>857</v>
      </c>
      <c r="AD1" s="124"/>
      <c r="AE1" s="125"/>
      <c r="AF1" s="123" t="s">
        <v>858</v>
      </c>
      <c r="AG1" s="124"/>
      <c r="AH1" s="125"/>
      <c r="AI1" s="123" t="s">
        <v>859</v>
      </c>
      <c r="AJ1" s="124"/>
      <c r="AK1" s="125"/>
      <c r="AL1" s="123" t="s">
        <v>860</v>
      </c>
      <c r="AM1" s="124"/>
      <c r="AN1" s="125"/>
      <c r="AO1" s="123" t="s">
        <v>861</v>
      </c>
      <c r="AP1" s="124"/>
      <c r="AQ1" s="125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2026-08-16T16:08:44Z</dcterms:modified>
</cp:coreProperties>
</file>