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BD815C6-CCAE-4FBC-823C-CF23C34FB8A0}" xr6:coauthVersionLast="47" xr6:coauthVersionMax="47" xr10:uidLastSave="{00000000-0000-0000-0000-000000000000}"/>
  <bookViews>
    <workbookView xWindow="2868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W207" i="1" s="1"/>
  <c r="AR207" i="1"/>
  <c r="AP207" i="1"/>
  <c r="AQ207" i="1" s="1"/>
  <c r="AS207" i="1" s="1"/>
  <c r="AV206" i="1" a="1"/>
  <c r="AV206" i="1"/>
  <c r="AU206" i="1" a="1"/>
  <c r="AU206" i="1"/>
  <c r="AT206" i="1"/>
  <c r="AW206" i="1" s="1"/>
  <c r="AR206" i="1"/>
  <c r="AP206" i="1"/>
  <c r="AQ206" i="1" s="1"/>
  <c r="AS206" i="1" s="1"/>
  <c r="AV205" i="1" a="1"/>
  <c r="AV205" i="1" s="1"/>
  <c r="AU205" i="1" a="1"/>
  <c r="AU205" i="1" s="1"/>
  <c r="AT205" i="1"/>
  <c r="AW205" i="1" s="1"/>
  <c r="AR205" i="1"/>
  <c r="AP205" i="1"/>
  <c r="AQ205" i="1" s="1"/>
  <c r="AS205" i="1" s="1"/>
  <c r="AV204" i="1" a="1"/>
  <c r="AV204" i="1" s="1"/>
  <c r="AU204" i="1" a="1"/>
  <c r="AU204" i="1"/>
  <c r="AT204" i="1"/>
  <c r="AW204" i="1" s="1"/>
  <c r="AR204" i="1"/>
  <c r="AP204" i="1"/>
  <c r="AQ204" i="1" s="1"/>
  <c r="AS204" i="1" s="1"/>
  <c r="AV203" i="1" a="1"/>
  <c r="AV203" i="1"/>
  <c r="AU203" i="1" a="1"/>
  <c r="AU203" i="1"/>
  <c r="AT203" i="1"/>
  <c r="AW203" i="1" s="1"/>
  <c r="AR203" i="1"/>
  <c r="AP203" i="1"/>
  <c r="AQ203" i="1" s="1"/>
  <c r="AS203" i="1" s="1"/>
  <c r="AV202" i="1" a="1"/>
  <c r="AV202" i="1" s="1"/>
  <c r="AU202" i="1" a="1"/>
  <c r="AU202" i="1" s="1"/>
  <c r="AT202" i="1"/>
  <c r="AW202" i="1" s="1"/>
  <c r="AR202" i="1"/>
  <c r="AQ202" i="1"/>
  <c r="AS202" i="1" s="1"/>
  <c r="AP202" i="1"/>
  <c r="AV201" i="1" a="1"/>
  <c r="AV201" i="1"/>
  <c r="AU201" i="1" a="1"/>
  <c r="AU201" i="1" s="1"/>
  <c r="AW201" i="1" s="1"/>
  <c r="AT201" i="1"/>
  <c r="AR201" i="1"/>
  <c r="AP201" i="1"/>
  <c r="AQ201" i="1" s="1"/>
  <c r="AS201" i="1" s="1"/>
  <c r="AV200" i="1" a="1"/>
  <c r="AV200" i="1"/>
  <c r="AU200" i="1" a="1"/>
  <c r="AU200" i="1"/>
  <c r="AW200" i="1" s="1"/>
  <c r="AT200" i="1"/>
  <c r="AR200" i="1"/>
  <c r="AP200" i="1"/>
  <c r="AQ200" i="1" s="1"/>
  <c r="AS200" i="1" s="1"/>
  <c r="AV199" i="1" a="1"/>
  <c r="AV199" i="1" s="1"/>
  <c r="AU199" i="1" a="1"/>
  <c r="AU199" i="1" s="1"/>
  <c r="AT199" i="1"/>
  <c r="AW199" i="1" s="1"/>
  <c r="AR199" i="1"/>
  <c r="AP199" i="1"/>
  <c r="AQ199" i="1" s="1"/>
  <c r="AS199" i="1" s="1"/>
  <c r="AV198" i="1" a="1"/>
  <c r="AV198" i="1" s="1"/>
  <c r="AU198" i="1" a="1"/>
  <c r="AU198" i="1" s="1"/>
  <c r="AW198" i="1" s="1"/>
  <c r="AT198" i="1"/>
  <c r="AR198" i="1"/>
  <c r="AP198" i="1"/>
  <c r="AQ198" i="1" s="1"/>
  <c r="AS198" i="1" s="1"/>
  <c r="AV197" i="1" a="1"/>
  <c r="AV197" i="1"/>
  <c r="AU197" i="1" a="1"/>
  <c r="AU197" i="1" s="1"/>
  <c r="AW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W196" i="1" s="1"/>
  <c r="AR196" i="1"/>
  <c r="AP196" i="1"/>
  <c r="AQ196" i="1" s="1"/>
  <c r="AS196" i="1" s="1"/>
  <c r="AW195" i="1"/>
  <c r="AV195" i="1" a="1"/>
  <c r="AV195" i="1" s="1"/>
  <c r="AU195" i="1" a="1"/>
  <c r="AU195" i="1"/>
  <c r="AT195" i="1"/>
  <c r="AR195" i="1"/>
  <c r="AP195" i="1"/>
  <c r="AQ195" i="1" s="1"/>
  <c r="AS195" i="1" s="1"/>
  <c r="AV194" i="1" a="1"/>
  <c r="AV194" i="1" s="1"/>
  <c r="AU194" i="1" a="1"/>
  <c r="AU194" i="1"/>
  <c r="AT194" i="1"/>
  <c r="AW194" i="1" s="1"/>
  <c r="AR194" i="1"/>
  <c r="AQ194" i="1"/>
  <c r="AS194" i="1" s="1"/>
  <c r="AP194" i="1"/>
  <c r="AV193" i="1" a="1"/>
  <c r="AV193" i="1"/>
  <c r="AU193" i="1" a="1"/>
  <c r="AU193" i="1"/>
  <c r="AT193" i="1"/>
  <c r="AW193" i="1" s="1"/>
  <c r="AR193" i="1"/>
  <c r="AP193" i="1"/>
  <c r="AQ193" i="1" s="1"/>
  <c r="AS193" i="1" s="1"/>
  <c r="AV192" i="1" a="1"/>
  <c r="AV192" i="1" s="1"/>
  <c r="AU192" i="1" a="1"/>
  <c r="AU192" i="1" s="1"/>
  <c r="AW192" i="1" s="1"/>
  <c r="AT192" i="1"/>
  <c r="AR192" i="1"/>
  <c r="AP192" i="1"/>
  <c r="AQ192" i="1" s="1"/>
  <c r="AS192" i="1" s="1"/>
  <c r="AV191" i="1" a="1"/>
  <c r="AV191" i="1"/>
  <c r="AU191" i="1" a="1"/>
  <c r="AU191" i="1"/>
  <c r="AT191" i="1"/>
  <c r="AW191" i="1" s="1"/>
  <c r="AR191" i="1"/>
  <c r="AP191" i="1"/>
  <c r="AQ191" i="1" s="1"/>
  <c r="AS191" i="1" s="1"/>
  <c r="AV190" i="1" a="1"/>
  <c r="AV190" i="1"/>
  <c r="AU190" i="1" a="1"/>
  <c r="AU190" i="1"/>
  <c r="AT190" i="1"/>
  <c r="AW190" i="1" s="1"/>
  <c r="AR190" i="1"/>
  <c r="AP190" i="1"/>
  <c r="AQ190" i="1" s="1"/>
  <c r="AS190" i="1" s="1"/>
  <c r="AV189" i="1" a="1"/>
  <c r="AV189" i="1" s="1"/>
  <c r="AU189" i="1" a="1"/>
  <c r="AU189" i="1" s="1"/>
  <c r="AT189" i="1"/>
  <c r="AW189" i="1" s="1"/>
  <c r="AR189" i="1"/>
  <c r="AP189" i="1"/>
  <c r="AQ189" i="1" s="1"/>
  <c r="AS189" i="1" s="1"/>
  <c r="AV188" i="1" a="1"/>
  <c r="AV188" i="1" s="1"/>
  <c r="AU188" i="1" a="1"/>
  <c r="AU188" i="1" s="1"/>
  <c r="AW188" i="1" s="1"/>
  <c r="AT188" i="1"/>
  <c r="AR188" i="1"/>
  <c r="AP188" i="1"/>
  <c r="AQ188" i="1" s="1"/>
  <c r="AS188" i="1" s="1"/>
  <c r="AV187" i="1" a="1"/>
  <c r="AV187" i="1"/>
  <c r="AU187" i="1" a="1"/>
  <c r="AU187" i="1"/>
  <c r="AT187" i="1"/>
  <c r="AW187" i="1" s="1"/>
  <c r="AR187" i="1"/>
  <c r="AP187" i="1"/>
  <c r="AQ187" i="1" s="1"/>
  <c r="AS187" i="1" s="1"/>
  <c r="AV186" i="1" a="1"/>
  <c r="AV186" i="1" s="1"/>
  <c r="AU186" i="1" a="1"/>
  <c r="AU186" i="1" s="1"/>
  <c r="AT186" i="1"/>
  <c r="AR186" i="1"/>
  <c r="AQ186" i="1"/>
  <c r="AS186" i="1" s="1"/>
  <c r="AP186" i="1"/>
  <c r="AV185" i="1" a="1"/>
  <c r="AV185" i="1" s="1"/>
  <c r="AU185" i="1" a="1"/>
  <c r="AU185" i="1" s="1"/>
  <c r="AT185" i="1"/>
  <c r="AR185" i="1"/>
  <c r="AP185" i="1"/>
  <c r="AQ185" i="1" s="1"/>
  <c r="AS185" i="1" s="1"/>
  <c r="AV184" i="1" a="1"/>
  <c r="AV184" i="1" s="1"/>
  <c r="AU184" i="1" a="1"/>
  <c r="AU184" i="1"/>
  <c r="AT184" i="1"/>
  <c r="AW184" i="1" s="1"/>
  <c r="AR184" i="1"/>
  <c r="AP184" i="1"/>
  <c r="AQ184" i="1" s="1"/>
  <c r="AS184" i="1" s="1"/>
  <c r="AV183" i="1" a="1"/>
  <c r="AV183" i="1" s="1"/>
  <c r="AU183" i="1" a="1"/>
  <c r="AU183" i="1" s="1"/>
  <c r="AT183" i="1"/>
  <c r="AW183" i="1" s="1"/>
  <c r="AR183" i="1"/>
  <c r="AP183" i="1"/>
  <c r="AQ183" i="1" s="1"/>
  <c r="AS183" i="1" s="1"/>
  <c r="AV182" i="1" a="1"/>
  <c r="AV182" i="1"/>
  <c r="AU182" i="1" a="1"/>
  <c r="AU182" i="1"/>
  <c r="AT182" i="1"/>
  <c r="AW182" i="1" s="1"/>
  <c r="AR182" i="1"/>
  <c r="AP182" i="1"/>
  <c r="AQ182" i="1" s="1"/>
  <c r="AS182" i="1" s="1"/>
  <c r="AV181" i="1" a="1"/>
  <c r="AV181" i="1"/>
  <c r="AU181" i="1" a="1"/>
  <c r="AU181" i="1"/>
  <c r="AT181" i="1"/>
  <c r="AW181" i="1" s="1"/>
  <c r="AR181" i="1"/>
  <c r="AP181" i="1"/>
  <c r="AQ181" i="1" s="1"/>
  <c r="AS181" i="1" s="1"/>
  <c r="AV180" i="1" a="1"/>
  <c r="AV180" i="1"/>
  <c r="AU180" i="1" a="1"/>
  <c r="AU180" i="1" s="1"/>
  <c r="AT180" i="1"/>
  <c r="AW180" i="1" s="1"/>
  <c r="AR180" i="1"/>
  <c r="AP180" i="1"/>
  <c r="AQ180" i="1" s="1"/>
  <c r="AS180" i="1" s="1"/>
  <c r="AV179" i="1" a="1"/>
  <c r="AV179" i="1" s="1"/>
  <c r="AU179" i="1" a="1"/>
  <c r="AU179" i="1" s="1"/>
  <c r="AW179" i="1" s="1"/>
  <c r="AT179" i="1"/>
  <c r="AR179" i="1"/>
  <c r="AP179" i="1"/>
  <c r="AQ179" i="1" s="1"/>
  <c r="AS179" i="1" s="1"/>
  <c r="AV178" i="1" a="1"/>
  <c r="AV178" i="1"/>
  <c r="AU178" i="1" a="1"/>
  <c r="AU178" i="1"/>
  <c r="AT178" i="1"/>
  <c r="AW178" i="1" s="1"/>
  <c r="AR178" i="1"/>
  <c r="AP178" i="1"/>
  <c r="AQ178" i="1" s="1"/>
  <c r="AS178" i="1" s="1"/>
  <c r="AV177" i="1" a="1"/>
  <c r="AV177" i="1" s="1"/>
  <c r="AU177" i="1" a="1"/>
  <c r="AU177" i="1" s="1"/>
  <c r="AT177" i="1"/>
  <c r="AW177" i="1" s="1"/>
  <c r="AR177" i="1"/>
  <c r="AP177" i="1"/>
  <c r="AQ177" i="1" s="1"/>
  <c r="AS177" i="1" s="1"/>
  <c r="AV176" i="1" a="1"/>
  <c r="AV176" i="1" s="1"/>
  <c r="AU176" i="1" a="1"/>
  <c r="AU176" i="1" s="1"/>
  <c r="AW176" i="1" s="1"/>
  <c r="AT176" i="1"/>
  <c r="AR176" i="1"/>
  <c r="AP176" i="1"/>
  <c r="AQ176" i="1" s="1"/>
  <c r="AS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/>
  <c r="AU174" i="1" a="1"/>
  <c r="AU174" i="1" s="1"/>
  <c r="AT174" i="1"/>
  <c r="AR174" i="1"/>
  <c r="AP174" i="1"/>
  <c r="AQ174" i="1" s="1"/>
  <c r="AS174" i="1" s="1"/>
  <c r="AV173" i="1" a="1"/>
  <c r="AV173" i="1" s="1"/>
  <c r="AU173" i="1" a="1"/>
  <c r="AU173" i="1" s="1"/>
  <c r="AT173" i="1"/>
  <c r="AW173" i="1" s="1"/>
  <c r="AR173" i="1"/>
  <c r="AP173" i="1"/>
  <c r="AQ173" i="1" s="1"/>
  <c r="AS173" i="1" s="1"/>
  <c r="AV172" i="1" a="1"/>
  <c r="AV172" i="1" s="1"/>
  <c r="AU172" i="1" a="1"/>
  <c r="AU172" i="1"/>
  <c r="AT172" i="1"/>
  <c r="AW172" i="1" s="1"/>
  <c r="AR172" i="1"/>
  <c r="AP172" i="1"/>
  <c r="AQ172" i="1" s="1"/>
  <c r="AS172" i="1" s="1"/>
  <c r="AV171" i="1" a="1"/>
  <c r="AV171" i="1"/>
  <c r="AU171" i="1" a="1"/>
  <c r="AU171" i="1"/>
  <c r="AT171" i="1"/>
  <c r="AW171" i="1" s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Q170" i="1"/>
  <c r="AS170" i="1" s="1"/>
  <c r="AP170" i="1"/>
  <c r="AV169" i="1" a="1"/>
  <c r="AV169" i="1"/>
  <c r="AU169" i="1" a="1"/>
  <c r="AU169" i="1" s="1"/>
  <c r="AW169" i="1" s="1"/>
  <c r="AT169" i="1"/>
  <c r="AR169" i="1"/>
  <c r="AP169" i="1"/>
  <c r="AQ169" i="1" s="1"/>
  <c r="AS169" i="1" s="1"/>
  <c r="AV168" i="1" a="1"/>
  <c r="AV168" i="1"/>
  <c r="AU168" i="1" a="1"/>
  <c r="AU168" i="1" s="1"/>
  <c r="AT168" i="1"/>
  <c r="AW168" i="1" s="1"/>
  <c r="AR168" i="1"/>
  <c r="AP168" i="1"/>
  <c r="AQ168" i="1" s="1"/>
  <c r="AS168" i="1" s="1"/>
  <c r="AV167" i="1" a="1"/>
  <c r="AV167" i="1" s="1"/>
  <c r="AU167" i="1" a="1"/>
  <c r="AU167" i="1" s="1"/>
  <c r="AT167" i="1"/>
  <c r="AW167" i="1" s="1"/>
  <c r="AR167" i="1"/>
  <c r="AP167" i="1"/>
  <c r="AQ167" i="1" s="1"/>
  <c r="AS167" i="1" s="1"/>
  <c r="AV166" i="1" a="1"/>
  <c r="AV166" i="1" s="1"/>
  <c r="AU166" i="1" a="1"/>
  <c r="AU166" i="1" s="1"/>
  <c r="AW166" i="1" s="1"/>
  <c r="AT166" i="1"/>
  <c r="AR166" i="1"/>
  <c r="AP166" i="1"/>
  <c r="AQ166" i="1" s="1"/>
  <c r="AS166" i="1" s="1"/>
  <c r="AV165" i="1" a="1"/>
  <c r="AV165" i="1"/>
  <c r="AU165" i="1" a="1"/>
  <c r="AU165" i="1" s="1"/>
  <c r="AT165" i="1"/>
  <c r="AW165" i="1" s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S164" i="1" s="1"/>
  <c r="AW163" i="1"/>
  <c r="AV163" i="1" a="1"/>
  <c r="AV163" i="1" s="1"/>
  <c r="AU163" i="1" a="1"/>
  <c r="AU163" i="1"/>
  <c r="AT163" i="1"/>
  <c r="AR163" i="1"/>
  <c r="AP163" i="1"/>
  <c r="AQ163" i="1" s="1"/>
  <c r="AS163" i="1" s="1"/>
  <c r="AV162" i="1" a="1"/>
  <c r="AV162" i="1" s="1"/>
  <c r="AU162" i="1" a="1"/>
  <c r="AU162" i="1"/>
  <c r="AT162" i="1"/>
  <c r="AW162" i="1" s="1"/>
  <c r="AR162" i="1"/>
  <c r="AQ162" i="1"/>
  <c r="AS162" i="1" s="1"/>
  <c r="AP162" i="1"/>
  <c r="AV161" i="1" a="1"/>
  <c r="AV161" i="1"/>
  <c r="AU161" i="1" a="1"/>
  <c r="AU161" i="1"/>
  <c r="AT161" i="1"/>
  <c r="AW161" i="1" s="1"/>
  <c r="AR161" i="1"/>
  <c r="AP161" i="1"/>
  <c r="AQ161" i="1" s="1"/>
  <c r="AS161" i="1" s="1"/>
  <c r="AV160" i="1" a="1"/>
  <c r="AV160" i="1" s="1"/>
  <c r="AU160" i="1" a="1"/>
  <c r="AU160" i="1" s="1"/>
  <c r="AW160" i="1" s="1"/>
  <c r="AT160" i="1"/>
  <c r="AR160" i="1"/>
  <c r="AP160" i="1"/>
  <c r="AQ160" i="1" s="1"/>
  <c r="AS160" i="1" s="1"/>
  <c r="AV159" i="1" a="1"/>
  <c r="AV159" i="1"/>
  <c r="AU159" i="1" a="1"/>
  <c r="AU159" i="1"/>
  <c r="AT159" i="1"/>
  <c r="AW159" i="1" s="1"/>
  <c r="AR159" i="1"/>
  <c r="AP159" i="1"/>
  <c r="AQ159" i="1" s="1"/>
  <c r="AS159" i="1" s="1"/>
  <c r="AV158" i="1" a="1"/>
  <c r="AV158" i="1"/>
  <c r="AU158" i="1" a="1"/>
  <c r="AU158" i="1"/>
  <c r="AT158" i="1"/>
  <c r="AW158" i="1" s="1"/>
  <c r="AR158" i="1"/>
  <c r="AP158" i="1"/>
  <c r="AQ158" i="1" s="1"/>
  <c r="AS158" i="1" s="1"/>
  <c r="AV157" i="1" a="1"/>
  <c r="AV157" i="1" s="1"/>
  <c r="AU157" i="1" a="1"/>
  <c r="AU157" i="1" s="1"/>
  <c r="AT157" i="1"/>
  <c r="AW157" i="1" s="1"/>
  <c r="AR157" i="1"/>
  <c r="AP157" i="1"/>
  <c r="AQ157" i="1" s="1"/>
  <c r="AS157" i="1" s="1"/>
  <c r="AV156" i="1" a="1"/>
  <c r="AV156" i="1" s="1"/>
  <c r="AU156" i="1" a="1"/>
  <c r="AU156" i="1" s="1"/>
  <c r="AW156" i="1" s="1"/>
  <c r="AT156" i="1"/>
  <c r="AR156" i="1"/>
  <c r="AP156" i="1"/>
  <c r="AQ156" i="1" s="1"/>
  <c r="AS156" i="1" s="1"/>
  <c r="AV155" i="1" a="1"/>
  <c r="AV155" i="1"/>
  <c r="AU155" i="1" a="1"/>
  <c r="AU155" i="1"/>
  <c r="AT155" i="1"/>
  <c r="AW155" i="1" s="1"/>
  <c r="AR155" i="1"/>
  <c r="AP155" i="1"/>
  <c r="AQ155" i="1" s="1"/>
  <c r="AS155" i="1" s="1"/>
  <c r="AV154" i="1" a="1"/>
  <c r="AV154" i="1" s="1"/>
  <c r="AU154" i="1" a="1"/>
  <c r="AU154" i="1" s="1"/>
  <c r="AT154" i="1"/>
  <c r="AW154" i="1" s="1"/>
  <c r="AR154" i="1"/>
  <c r="AQ154" i="1"/>
  <c r="AS154" i="1" s="1"/>
  <c r="AP154" i="1"/>
  <c r="AV153" i="1" a="1"/>
  <c r="AV153" i="1" s="1"/>
  <c r="AU153" i="1" a="1"/>
  <c r="AU153" i="1" s="1"/>
  <c r="AT153" i="1"/>
  <c r="AW153" i="1" s="1"/>
  <c r="AR153" i="1"/>
  <c r="AP153" i="1"/>
  <c r="AQ153" i="1" s="1"/>
  <c r="AS153" i="1" s="1"/>
  <c r="AV152" i="1" a="1"/>
  <c r="AV152" i="1" s="1"/>
  <c r="AU152" i="1" a="1"/>
  <c r="AU152" i="1"/>
  <c r="AT152" i="1"/>
  <c r="AW152" i="1" s="1"/>
  <c r="AR152" i="1"/>
  <c r="AP152" i="1"/>
  <c r="AQ152" i="1" s="1"/>
  <c r="AS152" i="1" s="1"/>
  <c r="AV151" i="1" a="1"/>
  <c r="AV151" i="1" s="1"/>
  <c r="AU151" i="1" a="1"/>
  <c r="AU151" i="1" s="1"/>
  <c r="AT151" i="1"/>
  <c r="AW151" i="1" s="1"/>
  <c r="AR151" i="1"/>
  <c r="AP151" i="1"/>
  <c r="AQ151" i="1" s="1"/>
  <c r="AS151" i="1" s="1"/>
  <c r="AV150" i="1" a="1"/>
  <c r="AV150" i="1"/>
  <c r="AU150" i="1" a="1"/>
  <c r="AU150" i="1" s="1"/>
  <c r="AT150" i="1"/>
  <c r="AW150" i="1" s="1"/>
  <c r="AR150" i="1"/>
  <c r="AP150" i="1"/>
  <c r="AQ150" i="1" s="1"/>
  <c r="AS150" i="1" s="1"/>
  <c r="AV149" i="1" a="1"/>
  <c r="AV149" i="1"/>
  <c r="AU149" i="1" a="1"/>
  <c r="AU149" i="1"/>
  <c r="AT149" i="1"/>
  <c r="AW149" i="1" s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W147" i="1" s="1"/>
  <c r="AT147" i="1"/>
  <c r="AR147" i="1"/>
  <c r="AP147" i="1"/>
  <c r="AQ147" i="1" s="1"/>
  <c r="AS147" i="1" s="1"/>
  <c r="AV146" i="1" a="1"/>
  <c r="AV146" i="1"/>
  <c r="AU146" i="1" a="1"/>
  <c r="AU146" i="1"/>
  <c r="AT146" i="1"/>
  <c r="AW146" i="1" s="1"/>
  <c r="AR146" i="1"/>
  <c r="AP146" i="1"/>
  <c r="AQ146" i="1" s="1"/>
  <c r="AS146" i="1" s="1"/>
  <c r="AV145" i="1" a="1"/>
  <c r="AV145" i="1"/>
  <c r="AU145" i="1" a="1"/>
  <c r="AU145" i="1"/>
  <c r="AT145" i="1"/>
  <c r="AW145" i="1" s="1"/>
  <c r="AR145" i="1"/>
  <c r="AP145" i="1"/>
  <c r="AQ145" i="1" s="1"/>
  <c r="AS145" i="1" s="1"/>
  <c r="AV144" i="1" a="1"/>
  <c r="AV144" i="1" s="1"/>
  <c r="AU144" i="1" a="1"/>
  <c r="AU144" i="1" s="1"/>
  <c r="AW144" i="1" s="1"/>
  <c r="AT144" i="1"/>
  <c r="AR144" i="1"/>
  <c r="AP144" i="1"/>
  <c r="AQ144" i="1" s="1"/>
  <c r="AS144" i="1" s="1"/>
  <c r="AV143" i="1" a="1"/>
  <c r="AV143" i="1" s="1"/>
  <c r="AU143" i="1" a="1"/>
  <c r="AU143" i="1" s="1"/>
  <c r="AT143" i="1"/>
  <c r="AW143" i="1" s="1"/>
  <c r="AR143" i="1"/>
  <c r="AP143" i="1"/>
  <c r="AQ143" i="1" s="1"/>
  <c r="AS143" i="1" s="1"/>
  <c r="AV142" i="1" a="1"/>
  <c r="AV142" i="1"/>
  <c r="AU142" i="1" a="1"/>
  <c r="AU142" i="1"/>
  <c r="AT142" i="1"/>
  <c r="AW142" i="1" s="1"/>
  <c r="AR142" i="1"/>
  <c r="AP142" i="1"/>
  <c r="AQ142" i="1" s="1"/>
  <c r="AS142" i="1" s="1"/>
  <c r="AV141" i="1" a="1"/>
  <c r="AV141" i="1" s="1"/>
  <c r="AU141" i="1" a="1"/>
  <c r="AU141" i="1" s="1"/>
  <c r="AT141" i="1"/>
  <c r="AW141" i="1" s="1"/>
  <c r="AR141" i="1"/>
  <c r="AP141" i="1"/>
  <c r="AQ141" i="1" s="1"/>
  <c r="AS141" i="1" s="1"/>
  <c r="AV140" i="1" a="1"/>
  <c r="AV140" i="1" s="1"/>
  <c r="AU140" i="1" a="1"/>
  <c r="AU140" i="1"/>
  <c r="AT140" i="1"/>
  <c r="AW140" i="1" s="1"/>
  <c r="AR140" i="1"/>
  <c r="AP140" i="1"/>
  <c r="AQ140" i="1" s="1"/>
  <c r="AS140" i="1" s="1"/>
  <c r="AV139" i="1" a="1"/>
  <c r="AV139" i="1"/>
  <c r="AU139" i="1" a="1"/>
  <c r="AU139" i="1"/>
  <c r="AT139" i="1"/>
  <c r="AW139" i="1" s="1"/>
  <c r="AR139" i="1"/>
  <c r="AP139" i="1"/>
  <c r="AQ139" i="1" s="1"/>
  <c r="AS139" i="1" s="1"/>
  <c r="AV138" i="1" a="1"/>
  <c r="AV138" i="1" s="1"/>
  <c r="AU138" i="1" a="1"/>
  <c r="AU138" i="1" s="1"/>
  <c r="AT138" i="1"/>
  <c r="AW138" i="1" s="1"/>
  <c r="AR138" i="1"/>
  <c r="AQ138" i="1"/>
  <c r="AS138" i="1" s="1"/>
  <c r="AP138" i="1"/>
  <c r="AV137" i="1" a="1"/>
  <c r="AV137" i="1"/>
  <c r="AU137" i="1" a="1"/>
  <c r="AU137" i="1" s="1"/>
  <c r="AW137" i="1" s="1"/>
  <c r="AT137" i="1"/>
  <c r="AR137" i="1"/>
  <c r="AP137" i="1"/>
  <c r="AQ137" i="1" s="1"/>
  <c r="AS137" i="1" s="1"/>
  <c r="AV136" i="1" a="1"/>
  <c r="AV136" i="1"/>
  <c r="AU136" i="1" a="1"/>
  <c r="AU136" i="1"/>
  <c r="AT136" i="1"/>
  <c r="AW136" i="1" s="1"/>
  <c r="AR136" i="1"/>
  <c r="AP136" i="1"/>
  <c r="AQ136" i="1" s="1"/>
  <c r="AS136" i="1" s="1"/>
  <c r="AV135" i="1" a="1"/>
  <c r="AV135" i="1" s="1"/>
  <c r="AU135" i="1" a="1"/>
  <c r="AU135" i="1" s="1"/>
  <c r="AT135" i="1"/>
  <c r="AW135" i="1" s="1"/>
  <c r="AR135" i="1"/>
  <c r="AP135" i="1"/>
  <c r="AQ135" i="1" s="1"/>
  <c r="AS135" i="1" s="1"/>
  <c r="AV134" i="1" a="1"/>
  <c r="AV134" i="1" s="1"/>
  <c r="AU134" i="1" a="1"/>
  <c r="AU134" i="1" s="1"/>
  <c r="AW134" i="1" s="1"/>
  <c r="AT134" i="1"/>
  <c r="AR134" i="1"/>
  <c r="AP134" i="1"/>
  <c r="AQ134" i="1" s="1"/>
  <c r="AS134" i="1" s="1"/>
  <c r="AV133" i="1" a="1"/>
  <c r="AV133" i="1"/>
  <c r="AU133" i="1" a="1"/>
  <c r="AU133" i="1" s="1"/>
  <c r="AT133" i="1"/>
  <c r="AW133" i="1" s="1"/>
  <c r="AR133" i="1"/>
  <c r="AP133" i="1"/>
  <c r="AQ133" i="1" s="1"/>
  <c r="AS133" i="1" s="1"/>
  <c r="AV132" i="1" a="1"/>
  <c r="AV132" i="1" s="1"/>
  <c r="AU132" i="1" a="1"/>
  <c r="AU132" i="1" s="1"/>
  <c r="AT132" i="1"/>
  <c r="AW132" i="1" s="1"/>
  <c r="AR132" i="1"/>
  <c r="AP132" i="1"/>
  <c r="AQ132" i="1" s="1"/>
  <c r="AS132" i="1" s="1"/>
  <c r="AW131" i="1"/>
  <c r="AV131" i="1" a="1"/>
  <c r="AV131" i="1" s="1"/>
  <c r="AU131" i="1" a="1"/>
  <c r="AU131" i="1"/>
  <c r="AT131" i="1"/>
  <c r="AR131" i="1"/>
  <c r="AP131" i="1"/>
  <c r="AQ131" i="1" s="1"/>
  <c r="AS131" i="1" s="1"/>
  <c r="AV130" i="1" a="1"/>
  <c r="AV130" i="1" s="1"/>
  <c r="AU130" i="1" a="1"/>
  <c r="AU130" i="1"/>
  <c r="AT130" i="1"/>
  <c r="AW130" i="1" s="1"/>
  <c r="AR130" i="1"/>
  <c r="AQ130" i="1"/>
  <c r="AS130" i="1" s="1"/>
  <c r="AP130" i="1"/>
  <c r="AV129" i="1" a="1"/>
  <c r="AV129" i="1"/>
  <c r="AU129" i="1" a="1"/>
  <c r="AU129" i="1" s="1"/>
  <c r="AT129" i="1"/>
  <c r="AW129" i="1" s="1"/>
  <c r="AR129" i="1"/>
  <c r="AP129" i="1"/>
  <c r="AQ129" i="1" s="1"/>
  <c r="AS129" i="1" s="1"/>
  <c r="AV128" i="1" a="1"/>
  <c r="AV128" i="1" s="1"/>
  <c r="AU128" i="1" a="1"/>
  <c r="AU128" i="1" s="1"/>
  <c r="AW128" i="1" s="1"/>
  <c r="AT128" i="1"/>
  <c r="AR128" i="1"/>
  <c r="AP128" i="1"/>
  <c r="AQ128" i="1" s="1"/>
  <c r="AS128" i="1" s="1"/>
  <c r="AV127" i="1" a="1"/>
  <c r="AV127" i="1"/>
  <c r="AU127" i="1" a="1"/>
  <c r="AU127" i="1"/>
  <c r="AT127" i="1"/>
  <c r="AW127" i="1" s="1"/>
  <c r="AR127" i="1"/>
  <c r="AP127" i="1"/>
  <c r="AQ127" i="1" s="1"/>
  <c r="AS127" i="1" s="1"/>
  <c r="AV126" i="1" a="1"/>
  <c r="AV126" i="1"/>
  <c r="AU126" i="1" a="1"/>
  <c r="AU126" i="1"/>
  <c r="AT126" i="1"/>
  <c r="AW126" i="1" s="1"/>
  <c r="AR126" i="1"/>
  <c r="AP126" i="1"/>
  <c r="AQ126" i="1" s="1"/>
  <c r="AS126" i="1" s="1"/>
  <c r="AV125" i="1" a="1"/>
  <c r="AV125" i="1" s="1"/>
  <c r="AU125" i="1" a="1"/>
  <c r="AU125" i="1" s="1"/>
  <c r="AT125" i="1"/>
  <c r="AW125" i="1" s="1"/>
  <c r="AR125" i="1"/>
  <c r="AP125" i="1"/>
  <c r="AQ125" i="1" s="1"/>
  <c r="AS125" i="1" s="1"/>
  <c r="AV124" i="1" a="1"/>
  <c r="AV124" i="1" s="1"/>
  <c r="AU124" i="1" a="1"/>
  <c r="AU124" i="1" s="1"/>
  <c r="AW124" i="1" s="1"/>
  <c r="AT124" i="1"/>
  <c r="AR124" i="1"/>
  <c r="AP124" i="1"/>
  <c r="AQ124" i="1" s="1"/>
  <c r="AS124" i="1" s="1"/>
  <c r="AV123" i="1" a="1"/>
  <c r="AV123" i="1"/>
  <c r="AU123" i="1" a="1"/>
  <c r="AU123" i="1"/>
  <c r="AT123" i="1"/>
  <c r="AW123" i="1" s="1"/>
  <c r="AR123" i="1"/>
  <c r="AP123" i="1"/>
  <c r="AQ123" i="1" s="1"/>
  <c r="AS123" i="1" s="1"/>
  <c r="AV122" i="1" a="1"/>
  <c r="AV122" i="1" s="1"/>
  <c r="AU122" i="1" a="1"/>
  <c r="AU122" i="1" s="1"/>
  <c r="AT122" i="1"/>
  <c r="AW122" i="1" s="1"/>
  <c r="AR122" i="1"/>
  <c r="AQ122" i="1"/>
  <c r="AS122" i="1" s="1"/>
  <c r="AP122" i="1"/>
  <c r="AV121" i="1" a="1"/>
  <c r="AV121" i="1" s="1"/>
  <c r="AU121" i="1" a="1"/>
  <c r="AU121" i="1" s="1"/>
  <c r="AT121" i="1"/>
  <c r="AW121" i="1" s="1"/>
  <c r="AR121" i="1"/>
  <c r="AP121" i="1"/>
  <c r="AQ121" i="1" s="1"/>
  <c r="AS121" i="1" s="1"/>
  <c r="AV120" i="1" a="1"/>
  <c r="AV120" i="1" s="1"/>
  <c r="AU120" i="1" a="1"/>
  <c r="AU120" i="1"/>
  <c r="AT120" i="1"/>
  <c r="AW120" i="1" s="1"/>
  <c r="AR120" i="1"/>
  <c r="AP120" i="1"/>
  <c r="AQ120" i="1" s="1"/>
  <c r="AS120" i="1" s="1"/>
  <c r="AV119" i="1" a="1"/>
  <c r="AV119" i="1" s="1"/>
  <c r="AU119" i="1" a="1"/>
  <c r="AU119" i="1" s="1"/>
  <c r="AT119" i="1"/>
  <c r="AW119" i="1" s="1"/>
  <c r="AR119" i="1"/>
  <c r="AP119" i="1"/>
  <c r="AQ119" i="1" s="1"/>
  <c r="AS119" i="1" s="1"/>
  <c r="AV118" i="1" a="1"/>
  <c r="AV118" i="1"/>
  <c r="AU118" i="1" a="1"/>
  <c r="AU118" i="1"/>
  <c r="AT118" i="1"/>
  <c r="AW118" i="1" s="1"/>
  <c r="AR118" i="1"/>
  <c r="AP118" i="1"/>
  <c r="AQ118" i="1" s="1"/>
  <c r="AS118" i="1" s="1"/>
  <c r="AV117" i="1" a="1"/>
  <c r="AV117" i="1"/>
  <c r="AU117" i="1" a="1"/>
  <c r="AU117" i="1"/>
  <c r="AT117" i="1"/>
  <c r="AW117" i="1" s="1"/>
  <c r="AR117" i="1"/>
  <c r="AP117" i="1"/>
  <c r="AQ117" i="1" s="1"/>
  <c r="AS117" i="1" s="1"/>
  <c r="AV116" i="1" a="1"/>
  <c r="AV116" i="1"/>
  <c r="AU116" i="1" a="1"/>
  <c r="AU116" i="1" s="1"/>
  <c r="AT116" i="1"/>
  <c r="AW116" i="1" s="1"/>
  <c r="AR116" i="1"/>
  <c r="AP116" i="1"/>
  <c r="AQ116" i="1" s="1"/>
  <c r="AS116" i="1" s="1"/>
  <c r="AV115" i="1" a="1"/>
  <c r="AV115" i="1" s="1"/>
  <c r="AU115" i="1" a="1"/>
  <c r="AU115" i="1" s="1"/>
  <c r="AW115" i="1" s="1"/>
  <c r="AT115" i="1"/>
  <c r="AR115" i="1"/>
  <c r="AP115" i="1"/>
  <c r="AQ115" i="1" s="1"/>
  <c r="AS115" i="1" s="1"/>
  <c r="AV114" i="1" a="1"/>
  <c r="AV114" i="1"/>
  <c r="AU114" i="1" a="1"/>
  <c r="AU114" i="1"/>
  <c r="AT114" i="1"/>
  <c r="AW114" i="1" s="1"/>
  <c r="AR114" i="1"/>
  <c r="AP114" i="1"/>
  <c r="AQ114" i="1" s="1"/>
  <c r="AS114" i="1" s="1"/>
  <c r="AV113" i="1" a="1"/>
  <c r="AV113" i="1"/>
  <c r="AU113" i="1" a="1"/>
  <c r="AU113" i="1" s="1"/>
  <c r="AT113" i="1"/>
  <c r="AW113" i="1" s="1"/>
  <c r="AR113" i="1"/>
  <c r="AP113" i="1"/>
  <c r="AQ113" i="1" s="1"/>
  <c r="AS113" i="1" s="1"/>
  <c r="AV112" i="1" a="1"/>
  <c r="AV112" i="1" s="1"/>
  <c r="AU112" i="1" a="1"/>
  <c r="AU112" i="1" s="1"/>
  <c r="AW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W111" i="1" s="1"/>
  <c r="AR111" i="1"/>
  <c r="AP111" i="1"/>
  <c r="AQ111" i="1" s="1"/>
  <c r="AS111" i="1" s="1"/>
  <c r="AV110" i="1" a="1"/>
  <c r="AV110" i="1"/>
  <c r="AU110" i="1" a="1"/>
  <c r="AU110" i="1"/>
  <c r="AT110" i="1"/>
  <c r="AW110" i="1" s="1"/>
  <c r="AR110" i="1"/>
  <c r="AP110" i="1"/>
  <c r="AQ110" i="1" s="1"/>
  <c r="AS110" i="1" s="1"/>
  <c r="AV109" i="1" a="1"/>
  <c r="AV109" i="1" s="1"/>
  <c r="AU109" i="1" a="1"/>
  <c r="AU109" i="1" s="1"/>
  <c r="AT109" i="1"/>
  <c r="AR109" i="1"/>
  <c r="AP109" i="1"/>
  <c r="AQ109" i="1" s="1"/>
  <c r="AS109" i="1" s="1"/>
  <c r="AV108" i="1" a="1"/>
  <c r="AV108" i="1" s="1"/>
  <c r="AU108" i="1" a="1"/>
  <c r="AU108" i="1"/>
  <c r="AT108" i="1"/>
  <c r="AW108" i="1" s="1"/>
  <c r="AR108" i="1"/>
  <c r="AP108" i="1"/>
  <c r="AQ108" i="1" s="1"/>
  <c r="AS108" i="1" s="1"/>
  <c r="AV107" i="1" a="1"/>
  <c r="AV107" i="1"/>
  <c r="AU107" i="1" a="1"/>
  <c r="AU107" i="1"/>
  <c r="AT107" i="1"/>
  <c r="AW107" i="1" s="1"/>
  <c r="AR107" i="1"/>
  <c r="AP107" i="1"/>
  <c r="AQ107" i="1" s="1"/>
  <c r="AS107" i="1" s="1"/>
  <c r="AV106" i="1" a="1"/>
  <c r="AV106" i="1" s="1"/>
  <c r="AU106" i="1" a="1"/>
  <c r="AU106" i="1" s="1"/>
  <c r="AT106" i="1"/>
  <c r="AW106" i="1" s="1"/>
  <c r="AR106" i="1"/>
  <c r="AQ106" i="1"/>
  <c r="AS106" i="1" s="1"/>
  <c r="AP106" i="1"/>
  <c r="AV105" i="1" a="1"/>
  <c r="AV105" i="1"/>
  <c r="AU105" i="1" a="1"/>
  <c r="AU105" i="1" s="1"/>
  <c r="AW105" i="1" s="1"/>
  <c r="AT105" i="1"/>
  <c r="AR105" i="1"/>
  <c r="AP105" i="1"/>
  <c r="AQ105" i="1" s="1"/>
  <c r="AS105" i="1" s="1"/>
  <c r="AV104" i="1" a="1"/>
  <c r="AV104" i="1"/>
  <c r="AU104" i="1" a="1"/>
  <c r="AU104" i="1"/>
  <c r="AT104" i="1"/>
  <c r="AW104" i="1" s="1"/>
  <c r="AR104" i="1"/>
  <c r="AP104" i="1"/>
  <c r="AQ104" i="1" s="1"/>
  <c r="AS104" i="1" s="1"/>
  <c r="AV103" i="1" a="1"/>
  <c r="AV103" i="1" s="1"/>
  <c r="AU103" i="1" a="1"/>
  <c r="AU103" i="1" s="1"/>
  <c r="AT103" i="1"/>
  <c r="AW103" i="1" s="1"/>
  <c r="AR103" i="1"/>
  <c r="AP103" i="1"/>
  <c r="AQ103" i="1" s="1"/>
  <c r="AS103" i="1" s="1"/>
  <c r="AV102" i="1" a="1"/>
  <c r="AV102" i="1" s="1"/>
  <c r="AU102" i="1" a="1"/>
  <c r="AU102" i="1" s="1"/>
  <c r="AW102" i="1" s="1"/>
  <c r="AT102" i="1"/>
  <c r="AR102" i="1"/>
  <c r="AP102" i="1"/>
  <c r="AQ102" i="1" s="1"/>
  <c r="AS102" i="1" s="1"/>
  <c r="AV101" i="1" a="1"/>
  <c r="AV101" i="1"/>
  <c r="AU101" i="1" a="1"/>
  <c r="AU101" i="1" s="1"/>
  <c r="AT101" i="1"/>
  <c r="AW101" i="1" s="1"/>
  <c r="AR101" i="1"/>
  <c r="AP101" i="1"/>
  <c r="AQ101" i="1" s="1"/>
  <c r="AS101" i="1" s="1"/>
  <c r="AV100" i="1" a="1"/>
  <c r="AV100" i="1"/>
  <c r="AU100" i="1" a="1"/>
  <c r="AU100" i="1" s="1"/>
  <c r="AT100" i="1"/>
  <c r="AW100" i="1" s="1"/>
  <c r="AR100" i="1"/>
  <c r="AP100" i="1"/>
  <c r="AQ100" i="1" s="1"/>
  <c r="AS100" i="1" s="1"/>
  <c r="AW99" i="1"/>
  <c r="AV99" i="1" a="1"/>
  <c r="AV99" i="1" s="1"/>
  <c r="AU99" i="1" a="1"/>
  <c r="AU99" i="1"/>
  <c r="AT99" i="1"/>
  <c r="AR99" i="1"/>
  <c r="AP99" i="1"/>
  <c r="AQ99" i="1" s="1"/>
  <c r="AS99" i="1" s="1"/>
  <c r="AV98" i="1" a="1"/>
  <c r="AV98" i="1" s="1"/>
  <c r="AU98" i="1" a="1"/>
  <c r="AU98" i="1"/>
  <c r="AT98" i="1"/>
  <c r="AW98" i="1" s="1"/>
  <c r="AR98" i="1"/>
  <c r="AQ98" i="1"/>
  <c r="AS98" i="1" s="1"/>
  <c r="AP98" i="1"/>
  <c r="AV97" i="1" a="1"/>
  <c r="AV97" i="1"/>
  <c r="AU97" i="1" a="1"/>
  <c r="AU97" i="1"/>
  <c r="AT97" i="1"/>
  <c r="AW97" i="1" s="1"/>
  <c r="AR97" i="1"/>
  <c r="AP97" i="1"/>
  <c r="AQ97" i="1" s="1"/>
  <c r="AS97" i="1" s="1"/>
  <c r="AV96" i="1" a="1"/>
  <c r="AV96" i="1" s="1"/>
  <c r="AU96" i="1" a="1"/>
  <c r="AU96" i="1" s="1"/>
  <c r="AW96" i="1" s="1"/>
  <c r="AT96" i="1"/>
  <c r="AR96" i="1"/>
  <c r="AP96" i="1"/>
  <c r="AQ96" i="1" s="1"/>
  <c r="AS96" i="1" s="1"/>
  <c r="AV95" i="1" a="1"/>
  <c r="AV95" i="1"/>
  <c r="AU95" i="1" a="1"/>
  <c r="AU95" i="1"/>
  <c r="AT95" i="1"/>
  <c r="AW95" i="1" s="1"/>
  <c r="AR95" i="1"/>
  <c r="AP95" i="1"/>
  <c r="AQ95" i="1" s="1"/>
  <c r="AS95" i="1" s="1"/>
  <c r="AV94" i="1" a="1"/>
  <c r="AV94" i="1"/>
  <c r="AU94" i="1" a="1"/>
  <c r="AU94" i="1" s="1"/>
  <c r="AT94" i="1"/>
  <c r="AW94" i="1" s="1"/>
  <c r="AR94" i="1"/>
  <c r="AP94" i="1"/>
  <c r="AQ94" i="1" s="1"/>
  <c r="AS94" i="1" s="1"/>
  <c r="AV93" i="1" a="1"/>
  <c r="AV93" i="1" s="1"/>
  <c r="AU93" i="1" a="1"/>
  <c r="AU93" i="1" s="1"/>
  <c r="AT93" i="1"/>
  <c r="AW93" i="1" s="1"/>
  <c r="AR93" i="1"/>
  <c r="AP93" i="1"/>
  <c r="AQ93" i="1" s="1"/>
  <c r="AS93" i="1" s="1"/>
  <c r="AV92" i="1" a="1"/>
  <c r="AV92" i="1" s="1"/>
  <c r="AU92" i="1" a="1"/>
  <c r="AU92" i="1" s="1"/>
  <c r="AW92" i="1" s="1"/>
  <c r="AT92" i="1"/>
  <c r="AR92" i="1"/>
  <c r="AP92" i="1"/>
  <c r="AQ92" i="1" s="1"/>
  <c r="AS92" i="1" s="1"/>
  <c r="AV91" i="1" a="1"/>
  <c r="AV91" i="1"/>
  <c r="AU91" i="1" a="1"/>
  <c r="AU91" i="1"/>
  <c r="AT91" i="1"/>
  <c r="AW91" i="1" s="1"/>
  <c r="AR91" i="1"/>
  <c r="AP91" i="1"/>
  <c r="AQ91" i="1" s="1"/>
  <c r="AS91" i="1" s="1"/>
  <c r="AV90" i="1" a="1"/>
  <c r="AV90" i="1" s="1"/>
  <c r="AU90" i="1" a="1"/>
  <c r="AU90" i="1" s="1"/>
  <c r="AT90" i="1"/>
  <c r="AW90" i="1" s="1"/>
  <c r="AR90" i="1"/>
  <c r="AQ90" i="1"/>
  <c r="AS90" i="1" s="1"/>
  <c r="AP90" i="1"/>
  <c r="AV89" i="1" a="1"/>
  <c r="AV89" i="1" s="1"/>
  <c r="AU89" i="1" a="1"/>
  <c r="AU89" i="1" s="1"/>
  <c r="AT89" i="1"/>
  <c r="AW89" i="1" s="1"/>
  <c r="AR89" i="1"/>
  <c r="AP89" i="1"/>
  <c r="AQ89" i="1" s="1"/>
  <c r="AS89" i="1" s="1"/>
  <c r="AV88" i="1" a="1"/>
  <c r="AV88" i="1" s="1"/>
  <c r="AU88" i="1" a="1"/>
  <c r="AU88" i="1"/>
  <c r="AT88" i="1"/>
  <c r="AW88" i="1" s="1"/>
  <c r="AR88" i="1"/>
  <c r="AP88" i="1"/>
  <c r="AQ88" i="1" s="1"/>
  <c r="AS88" i="1" s="1"/>
  <c r="AV87" i="1" a="1"/>
  <c r="AV87" i="1" s="1"/>
  <c r="AU87" i="1" a="1"/>
  <c r="AU87" i="1" s="1"/>
  <c r="AT87" i="1"/>
  <c r="AW87" i="1" s="1"/>
  <c r="AR87" i="1"/>
  <c r="AP87" i="1"/>
  <c r="AQ87" i="1" s="1"/>
  <c r="AS87" i="1" s="1"/>
  <c r="AV86" i="1" a="1"/>
  <c r="AV86" i="1"/>
  <c r="AU86" i="1" a="1"/>
  <c r="AU86" i="1" s="1"/>
  <c r="AT86" i="1"/>
  <c r="AW86" i="1" s="1"/>
  <c r="AR86" i="1"/>
  <c r="AP86" i="1"/>
  <c r="AQ86" i="1" s="1"/>
  <c r="AS86" i="1" s="1"/>
  <c r="AV85" i="1" a="1"/>
  <c r="AV85" i="1"/>
  <c r="AU85" i="1" a="1"/>
  <c r="AU85" i="1"/>
  <c r="AT85" i="1"/>
  <c r="AW85" i="1" s="1"/>
  <c r="AR85" i="1"/>
  <c r="AP85" i="1"/>
  <c r="AQ85" i="1" s="1"/>
  <c r="AS85" i="1" s="1"/>
  <c r="AV84" i="1" a="1"/>
  <c r="AV84" i="1"/>
  <c r="AU84" i="1" a="1"/>
  <c r="AU84" i="1" s="1"/>
  <c r="AT84" i="1"/>
  <c r="AW84" i="1" s="1"/>
  <c r="AR84" i="1"/>
  <c r="AP84" i="1"/>
  <c r="AQ84" i="1" s="1"/>
  <c r="AS84" i="1" s="1"/>
  <c r="AV83" i="1" a="1"/>
  <c r="AV83" i="1" s="1"/>
  <c r="AU83" i="1" a="1"/>
  <c r="AU83" i="1" s="1"/>
  <c r="AW83" i="1" s="1"/>
  <c r="AT83" i="1"/>
  <c r="AR83" i="1"/>
  <c r="AP83" i="1"/>
  <c r="AQ83" i="1" s="1"/>
  <c r="AS83" i="1" s="1"/>
  <c r="AV82" i="1" a="1"/>
  <c r="AV82" i="1"/>
  <c r="AU82" i="1" a="1"/>
  <c r="AU82" i="1"/>
  <c r="AT82" i="1"/>
  <c r="AW82" i="1" s="1"/>
  <c r="AR82" i="1"/>
  <c r="AP82" i="1"/>
  <c r="AQ82" i="1" s="1"/>
  <c r="AS82" i="1" s="1"/>
  <c r="AV81" i="1" a="1"/>
  <c r="AV81" i="1" s="1"/>
  <c r="AU81" i="1" a="1"/>
  <c r="AU81" i="1"/>
  <c r="AT81" i="1"/>
  <c r="AW81" i="1" s="1"/>
  <c r="AR81" i="1"/>
  <c r="AP81" i="1"/>
  <c r="AQ81" i="1" s="1"/>
  <c r="AS81" i="1" s="1"/>
  <c r="AV80" i="1" a="1"/>
  <c r="AV80" i="1" s="1"/>
  <c r="AU80" i="1" a="1"/>
  <c r="AU80" i="1" s="1"/>
  <c r="AW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W79" i="1" s="1"/>
  <c r="AR79" i="1"/>
  <c r="AP79" i="1"/>
  <c r="AQ79" i="1" s="1"/>
  <c r="AS79" i="1" s="1"/>
  <c r="AV78" i="1" a="1"/>
  <c r="AV78" i="1"/>
  <c r="AU78" i="1" a="1"/>
  <c r="AU78" i="1"/>
  <c r="AT78" i="1"/>
  <c r="AW78" i="1" s="1"/>
  <c r="AR78" i="1"/>
  <c r="AP78" i="1"/>
  <c r="AQ78" i="1" s="1"/>
  <c r="AS78" i="1" s="1"/>
  <c r="AV77" i="1" a="1"/>
  <c r="AV77" i="1" s="1"/>
  <c r="AU77" i="1" a="1"/>
  <c r="AU77" i="1" s="1"/>
  <c r="AT77" i="1"/>
  <c r="AW77" i="1" s="1"/>
  <c r="AR77" i="1"/>
  <c r="AP77" i="1"/>
  <c r="AQ77" i="1" s="1"/>
  <c r="AS77" i="1" s="1"/>
  <c r="AV76" i="1" a="1"/>
  <c r="AV76" i="1" s="1"/>
  <c r="AU76" i="1" a="1"/>
  <c r="AU76" i="1"/>
  <c r="AT76" i="1"/>
  <c r="AW76" i="1" s="1"/>
  <c r="AR76" i="1"/>
  <c r="AP76" i="1"/>
  <c r="AQ76" i="1" s="1"/>
  <c r="AS76" i="1" s="1"/>
  <c r="AV75" i="1" a="1"/>
  <c r="AV75" i="1"/>
  <c r="AU75" i="1" a="1"/>
  <c r="AU75" i="1"/>
  <c r="AT75" i="1"/>
  <c r="AW75" i="1" s="1"/>
  <c r="AR75" i="1"/>
  <c r="AP75" i="1"/>
  <c r="AQ75" i="1" s="1"/>
  <c r="AS75" i="1" s="1"/>
  <c r="AV74" i="1" a="1"/>
  <c r="AV74" i="1" s="1"/>
  <c r="AU74" i="1" a="1"/>
  <c r="AU74" i="1" s="1"/>
  <c r="AT74" i="1"/>
  <c r="AW74" i="1" s="1"/>
  <c r="AR74" i="1"/>
  <c r="AS74" i="1" s="1"/>
  <c r="AQ74" i="1"/>
  <c r="AP74" i="1"/>
  <c r="AV73" i="1" a="1"/>
  <c r="AV73" i="1" s="1"/>
  <c r="AU73" i="1" a="1"/>
  <c r="AU73" i="1" s="1"/>
  <c r="AW73" i="1" s="1"/>
  <c r="AT73" i="1"/>
  <c r="AR73" i="1"/>
  <c r="AP73" i="1"/>
  <c r="AQ73" i="1" s="1"/>
  <c r="AS73" i="1" s="1"/>
  <c r="AV72" i="1" a="1"/>
  <c r="AV72" i="1"/>
  <c r="AU72" i="1" a="1"/>
  <c r="AU72" i="1"/>
  <c r="AT72" i="1"/>
  <c r="AW72" i="1" s="1"/>
  <c r="AR72" i="1"/>
  <c r="AP72" i="1"/>
  <c r="AQ72" i="1" s="1"/>
  <c r="AS72" i="1" s="1"/>
  <c r="AV71" i="1" a="1"/>
  <c r="AV71" i="1" s="1"/>
  <c r="AU71" i="1" a="1"/>
  <c r="AU71" i="1" s="1"/>
  <c r="AT71" i="1"/>
  <c r="AW71" i="1" s="1"/>
  <c r="AR71" i="1"/>
  <c r="AP71" i="1"/>
  <c r="AQ71" i="1" s="1"/>
  <c r="AS71" i="1" s="1"/>
  <c r="AV70" i="1" a="1"/>
  <c r="AV70" i="1" s="1"/>
  <c r="AU70" i="1" a="1"/>
  <c r="AU70" i="1" s="1"/>
  <c r="AW70" i="1" s="1"/>
  <c r="AT70" i="1"/>
  <c r="AR70" i="1"/>
  <c r="AP70" i="1"/>
  <c r="AQ70" i="1" s="1"/>
  <c r="AS70" i="1" s="1"/>
  <c r="AV69" i="1" a="1"/>
  <c r="AV69" i="1"/>
  <c r="AU69" i="1" a="1"/>
  <c r="AU69" i="1" s="1"/>
  <c r="AT69" i="1"/>
  <c r="AW69" i="1" s="1"/>
  <c r="AR69" i="1"/>
  <c r="AP69" i="1"/>
  <c r="AQ69" i="1" s="1"/>
  <c r="AS69" i="1" s="1"/>
  <c r="AV68" i="1" a="1"/>
  <c r="AV68" i="1"/>
  <c r="AU68" i="1" a="1"/>
  <c r="AU68" i="1" s="1"/>
  <c r="AT68" i="1"/>
  <c r="AW68" i="1" s="1"/>
  <c r="AR68" i="1"/>
  <c r="AP68" i="1"/>
  <c r="AQ68" i="1" s="1"/>
  <c r="AS68" i="1" s="1"/>
  <c r="AW67" i="1"/>
  <c r="AV67" i="1" a="1"/>
  <c r="AV67" i="1" s="1"/>
  <c r="AU67" i="1" a="1"/>
  <c r="AU67" i="1"/>
  <c r="AT67" i="1"/>
  <c r="AR67" i="1"/>
  <c r="AP67" i="1"/>
  <c r="AQ67" i="1" s="1"/>
  <c r="AS67" i="1" s="1"/>
  <c r="AV66" i="1" a="1"/>
  <c r="AV66" i="1" s="1"/>
  <c r="AU66" i="1" a="1"/>
  <c r="AU66" i="1"/>
  <c r="AT66" i="1"/>
  <c r="AW66" i="1" s="1"/>
  <c r="AR66" i="1"/>
  <c r="AQ66" i="1"/>
  <c r="AS66" i="1" s="1"/>
  <c r="AP66" i="1"/>
  <c r="AV65" i="1" a="1"/>
  <c r="AV65" i="1" s="1"/>
  <c r="AU65" i="1" a="1"/>
  <c r="AU65" i="1"/>
  <c r="AT65" i="1"/>
  <c r="AW65" i="1" s="1"/>
  <c r="AR65" i="1"/>
  <c r="AP65" i="1"/>
  <c r="AQ65" i="1" s="1"/>
  <c r="AS65" i="1" s="1"/>
  <c r="AV64" i="1" a="1"/>
  <c r="AV64" i="1" s="1"/>
  <c r="AU64" i="1" a="1"/>
  <c r="AU64" i="1" s="1"/>
  <c r="AW64" i="1" s="1"/>
  <c r="AT64" i="1"/>
  <c r="AR64" i="1"/>
  <c r="AP64" i="1"/>
  <c r="AQ64" i="1" s="1"/>
  <c r="AS64" i="1" s="1"/>
  <c r="AV63" i="1" a="1"/>
  <c r="AV63" i="1"/>
  <c r="AU63" i="1" a="1"/>
  <c r="AU63" i="1"/>
  <c r="AT63" i="1"/>
  <c r="AW63" i="1" s="1"/>
  <c r="AR63" i="1"/>
  <c r="AP63" i="1"/>
  <c r="AQ63" i="1" s="1"/>
  <c r="AS63" i="1" s="1"/>
  <c r="AV62" i="1" a="1"/>
  <c r="AV62" i="1"/>
  <c r="AU62" i="1" a="1"/>
  <c r="AU62" i="1" s="1"/>
  <c r="AT62" i="1"/>
  <c r="AW62" i="1" s="1"/>
  <c r="AR62" i="1"/>
  <c r="AP62" i="1"/>
  <c r="AQ62" i="1" s="1"/>
  <c r="AS62" i="1" s="1"/>
  <c r="AV61" i="1" a="1"/>
  <c r="AV61" i="1" s="1"/>
  <c r="AU61" i="1" a="1"/>
  <c r="AU61" i="1" s="1"/>
  <c r="AT61" i="1"/>
  <c r="AW61" i="1" s="1"/>
  <c r="AR61" i="1"/>
  <c r="AP61" i="1"/>
  <c r="AQ61" i="1" s="1"/>
  <c r="AS61" i="1" s="1"/>
  <c r="AV60" i="1" a="1"/>
  <c r="AV60" i="1" s="1"/>
  <c r="AU60" i="1" a="1"/>
  <c r="AU60" i="1" s="1"/>
  <c r="AW60" i="1" s="1"/>
  <c r="AT60" i="1"/>
  <c r="AR60" i="1"/>
  <c r="AP60" i="1"/>
  <c r="AQ60" i="1" s="1"/>
  <c r="AS60" i="1" s="1"/>
  <c r="AV59" i="1" a="1"/>
  <c r="AV59" i="1"/>
  <c r="AU59" i="1" a="1"/>
  <c r="AU59" i="1"/>
  <c r="AT59" i="1"/>
  <c r="AW59" i="1" s="1"/>
  <c r="AR59" i="1"/>
  <c r="AP59" i="1"/>
  <c r="AQ59" i="1" s="1"/>
  <c r="AS59" i="1" s="1"/>
  <c r="AV58" i="1" a="1"/>
  <c r="AV58" i="1" s="1"/>
  <c r="AU58" i="1" a="1"/>
  <c r="AU58" i="1" s="1"/>
  <c r="AT58" i="1"/>
  <c r="AW58" i="1" s="1"/>
  <c r="AR58" i="1"/>
  <c r="AQ58" i="1"/>
  <c r="AS58" i="1" s="1"/>
  <c r="AP58" i="1"/>
  <c r="AV57" i="1" a="1"/>
  <c r="AV57" i="1" s="1"/>
  <c r="AU57" i="1" a="1"/>
  <c r="AU57" i="1" s="1"/>
  <c r="AT57" i="1"/>
  <c r="AW57" i="1" s="1"/>
  <c r="AR57" i="1"/>
  <c r="AP57" i="1"/>
  <c r="AQ57" i="1" s="1"/>
  <c r="AS57" i="1" s="1"/>
  <c r="AV56" i="1" a="1"/>
  <c r="AV56" i="1" s="1"/>
  <c r="AU56" i="1" a="1"/>
  <c r="AU56" i="1"/>
  <c r="AT56" i="1"/>
  <c r="AW56" i="1" s="1"/>
  <c r="AR56" i="1"/>
  <c r="AP56" i="1"/>
  <c r="AQ56" i="1" s="1"/>
  <c r="AS56" i="1" s="1"/>
  <c r="AV55" i="1" a="1"/>
  <c r="AV55" i="1" s="1"/>
  <c r="AU55" i="1" a="1"/>
  <c r="AU55" i="1" s="1"/>
  <c r="AT55" i="1"/>
  <c r="AW55" i="1" s="1"/>
  <c r="AR55" i="1"/>
  <c r="AP55" i="1"/>
  <c r="AQ55" i="1" s="1"/>
  <c r="AS55" i="1" s="1"/>
  <c r="AV54" i="1" a="1"/>
  <c r="AV54" i="1"/>
  <c r="AU54" i="1" a="1"/>
  <c r="AU54" i="1" s="1"/>
  <c r="AT54" i="1"/>
  <c r="AW54" i="1" s="1"/>
  <c r="AR54" i="1"/>
  <c r="AP54" i="1"/>
  <c r="AQ54" i="1" s="1"/>
  <c r="AS54" i="1" s="1"/>
  <c r="AV53" i="1" a="1"/>
  <c r="AV53" i="1"/>
  <c r="AU53" i="1" a="1"/>
  <c r="AU53" i="1"/>
  <c r="AT53" i="1"/>
  <c r="AW53" i="1" s="1"/>
  <c r="AR53" i="1"/>
  <c r="AP53" i="1"/>
  <c r="AQ53" i="1" s="1"/>
  <c r="AS53" i="1" s="1"/>
  <c r="AV52" i="1" a="1"/>
  <c r="AV52" i="1"/>
  <c r="AU52" i="1" a="1"/>
  <c r="AU52" i="1"/>
  <c r="AT52" i="1"/>
  <c r="AW52" i="1" s="1"/>
  <c r="AR52" i="1"/>
  <c r="AP52" i="1"/>
  <c r="AQ52" i="1" s="1"/>
  <c r="AS52" i="1" s="1"/>
  <c r="AV51" i="1" a="1"/>
  <c r="AV51" i="1" s="1"/>
  <c r="AU51" i="1" a="1"/>
  <c r="AU51" i="1" s="1"/>
  <c r="AW51" i="1" s="1"/>
  <c r="AT51" i="1"/>
  <c r="AR51" i="1"/>
  <c r="AP51" i="1"/>
  <c r="AQ51" i="1" s="1"/>
  <c r="AS51" i="1" s="1"/>
  <c r="AV50" i="1" a="1"/>
  <c r="AV50" i="1"/>
  <c r="AU50" i="1" a="1"/>
  <c r="AU50" i="1"/>
  <c r="AT50" i="1"/>
  <c r="AW50" i="1" s="1"/>
  <c r="AR50" i="1"/>
  <c r="AP50" i="1"/>
  <c r="AQ50" i="1" s="1"/>
  <c r="AS50" i="1" s="1"/>
  <c r="AV49" i="1" a="1"/>
  <c r="AV49" i="1"/>
  <c r="AU49" i="1" a="1"/>
  <c r="AU49" i="1"/>
  <c r="AT49" i="1"/>
  <c r="AW49" i="1" s="1"/>
  <c r="AR49" i="1"/>
  <c r="AP49" i="1"/>
  <c r="AQ49" i="1" s="1"/>
  <c r="AS49" i="1" s="1"/>
  <c r="AV48" i="1" a="1"/>
  <c r="AV48" i="1" s="1"/>
  <c r="AU48" i="1" a="1"/>
  <c r="AU48" i="1" s="1"/>
  <c r="AW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W47" i="1" s="1"/>
  <c r="AR47" i="1"/>
  <c r="AP47" i="1"/>
  <c r="AQ47" i="1" s="1"/>
  <c r="AS47" i="1" s="1"/>
  <c r="AV46" i="1" a="1"/>
  <c r="AV46" i="1"/>
  <c r="AU46" i="1" a="1"/>
  <c r="AU46" i="1"/>
  <c r="AT46" i="1"/>
  <c r="AW46" i="1" s="1"/>
  <c r="AR46" i="1"/>
  <c r="AP46" i="1"/>
  <c r="AQ46" i="1" s="1"/>
  <c r="AS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/>
  <c r="AT44" i="1"/>
  <c r="AW44" i="1" s="1"/>
  <c r="AR44" i="1"/>
  <c r="AP44" i="1"/>
  <c r="AQ44" i="1" s="1"/>
  <c r="AS44" i="1" s="1"/>
  <c r="AV43" i="1" a="1"/>
  <c r="AV43" i="1"/>
  <c r="AU43" i="1" a="1"/>
  <c r="AU43" i="1" s="1"/>
  <c r="AT43" i="1"/>
  <c r="AW43" i="1" s="1"/>
  <c r="AR43" i="1"/>
  <c r="AP43" i="1"/>
  <c r="AQ43" i="1" s="1"/>
  <c r="AS43" i="1" s="1"/>
  <c r="AV42" i="1" a="1"/>
  <c r="AV42" i="1" s="1"/>
  <c r="AU42" i="1" a="1"/>
  <c r="AU42" i="1" s="1"/>
  <c r="AT42" i="1"/>
  <c r="AW42" i="1" s="1"/>
  <c r="AR42" i="1"/>
  <c r="AS42" i="1" s="1"/>
  <c r="AQ42" i="1"/>
  <c r="AP42" i="1"/>
  <c r="AV41" i="1" a="1"/>
  <c r="AV41" i="1" s="1"/>
  <c r="AU41" i="1" a="1"/>
  <c r="AU41" i="1" s="1"/>
  <c r="AW41" i="1" s="1"/>
  <c r="AT41" i="1"/>
  <c r="AR41" i="1"/>
  <c r="AP41" i="1"/>
  <c r="AQ41" i="1" s="1"/>
  <c r="AS41" i="1" s="1"/>
  <c r="AV40" i="1" a="1"/>
  <c r="AV40" i="1"/>
  <c r="AU40" i="1" a="1"/>
  <c r="AU40" i="1"/>
  <c r="AT40" i="1"/>
  <c r="AW40" i="1" s="1"/>
  <c r="AR40" i="1"/>
  <c r="AP40" i="1"/>
  <c r="AQ40" i="1" s="1"/>
  <c r="AS40" i="1" s="1"/>
  <c r="AV39" i="1" a="1"/>
  <c r="AV39" i="1" s="1"/>
  <c r="AU39" i="1" a="1"/>
  <c r="AU39" i="1" s="1"/>
  <c r="AT39" i="1"/>
  <c r="AW39" i="1" s="1"/>
  <c r="AR39" i="1"/>
  <c r="AP39" i="1"/>
  <c r="AQ39" i="1" s="1"/>
  <c r="AS39" i="1" s="1"/>
  <c r="AV38" i="1" a="1"/>
  <c r="AV38" i="1" s="1"/>
  <c r="AU38" i="1" a="1"/>
  <c r="AU38" i="1" s="1"/>
  <c r="AW38" i="1" s="1"/>
  <c r="AT38" i="1"/>
  <c r="AR38" i="1"/>
  <c r="AP38" i="1"/>
  <c r="AQ38" i="1" s="1"/>
  <c r="AS38" i="1" s="1"/>
  <c r="AV37" i="1" a="1"/>
  <c r="AV37" i="1"/>
  <c r="AU37" i="1" a="1"/>
  <c r="AU37" i="1" s="1"/>
  <c r="AT37" i="1"/>
  <c r="AW37" i="1" s="1"/>
  <c r="AR37" i="1"/>
  <c r="AP37" i="1"/>
  <c r="AQ37" i="1" s="1"/>
  <c r="AS37" i="1" s="1"/>
  <c r="AV36" i="1" a="1"/>
  <c r="AV36" i="1" s="1"/>
  <c r="AU36" i="1" a="1"/>
  <c r="AU36" i="1" s="1"/>
  <c r="AT36" i="1"/>
  <c r="AW36" i="1" s="1"/>
  <c r="AR36" i="1"/>
  <c r="AP36" i="1"/>
  <c r="AQ36" i="1" s="1"/>
  <c r="AS36" i="1" s="1"/>
  <c r="AV35" i="1" a="1"/>
  <c r="AV35" i="1" s="1"/>
  <c r="AU35" i="1" a="1"/>
  <c r="AU35" i="1"/>
  <c r="AT35" i="1"/>
  <c r="AW35" i="1" s="1"/>
  <c r="AR35" i="1"/>
  <c r="AP35" i="1"/>
  <c r="AQ35" i="1" s="1"/>
  <c r="AS35" i="1" s="1"/>
  <c r="AV34" i="1" a="1"/>
  <c r="AV34" i="1" s="1"/>
  <c r="AU34" i="1" a="1"/>
  <c r="AU34" i="1"/>
  <c r="AT34" i="1"/>
  <c r="AW34" i="1" s="1"/>
  <c r="AR34" i="1"/>
  <c r="AQ34" i="1"/>
  <c r="AS34" i="1" s="1"/>
  <c r="AP34" i="1"/>
  <c r="AV33" i="1" a="1"/>
  <c r="AV33" i="1"/>
  <c r="AU33" i="1" a="1"/>
  <c r="AU33" i="1"/>
  <c r="AT33" i="1"/>
  <c r="AW33" i="1" s="1"/>
  <c r="AR33" i="1"/>
  <c r="AP33" i="1"/>
  <c r="AQ33" i="1" s="1"/>
  <c r="AS33" i="1" s="1"/>
  <c r="AV32" i="1" a="1"/>
  <c r="AV32" i="1" s="1"/>
  <c r="AU32" i="1" a="1"/>
  <c r="AU32" i="1" s="1"/>
  <c r="AW32" i="1" s="1"/>
  <c r="AT32" i="1"/>
  <c r="AR32" i="1"/>
  <c r="AP32" i="1"/>
  <c r="AQ32" i="1" s="1"/>
  <c r="AS32" i="1" s="1"/>
  <c r="AV31" i="1" a="1"/>
  <c r="AV31" i="1"/>
  <c r="AU31" i="1" a="1"/>
  <c r="AU31" i="1"/>
  <c r="AT31" i="1"/>
  <c r="AW31" i="1" s="1"/>
  <c r="AR31" i="1"/>
  <c r="AP31" i="1"/>
  <c r="AQ31" i="1" s="1"/>
  <c r="AS31" i="1" s="1"/>
  <c r="AV30" i="1" a="1"/>
  <c r="AV30" i="1" s="1"/>
  <c r="AU30" i="1" a="1"/>
  <c r="AU30" i="1"/>
  <c r="AT30" i="1"/>
  <c r="AW30" i="1" s="1"/>
  <c r="AR30" i="1"/>
  <c r="AP30" i="1"/>
  <c r="AQ30" i="1" s="1"/>
  <c r="AS30" i="1" s="1"/>
  <c r="AV29" i="1" a="1"/>
  <c r="AV29" i="1" s="1"/>
  <c r="AU29" i="1" a="1"/>
  <c r="AU29" i="1" s="1"/>
  <c r="AT29" i="1"/>
  <c r="AW29" i="1" s="1"/>
  <c r="AR29" i="1"/>
  <c r="AP29" i="1"/>
  <c r="AQ29" i="1" s="1"/>
  <c r="AS29" i="1" s="1"/>
  <c r="AV28" i="1" a="1"/>
  <c r="AV28" i="1" s="1"/>
  <c r="AU28" i="1" a="1"/>
  <c r="AU28" i="1" s="1"/>
  <c r="AW28" i="1" s="1"/>
  <c r="AT28" i="1"/>
  <c r="AR28" i="1"/>
  <c r="AP28" i="1"/>
  <c r="AQ28" i="1" s="1"/>
  <c r="AS28" i="1" s="1"/>
  <c r="AV27" i="1" a="1"/>
  <c r="AV27" i="1"/>
  <c r="AU27" i="1" a="1"/>
  <c r="AU27" i="1"/>
  <c r="AT27" i="1"/>
  <c r="AW27" i="1" s="1"/>
  <c r="AR27" i="1"/>
  <c r="AP27" i="1"/>
  <c r="AQ27" i="1" s="1"/>
  <c r="AS27" i="1" s="1"/>
  <c r="AV26" i="1" a="1"/>
  <c r="AV26" i="1" s="1"/>
  <c r="AU26" i="1" a="1"/>
  <c r="AU26" i="1" s="1"/>
  <c r="AT26" i="1"/>
  <c r="AW26" i="1" s="1"/>
  <c r="AR26" i="1"/>
  <c r="AP26" i="1"/>
  <c r="AQ26" i="1" s="1"/>
  <c r="AS26" i="1" s="1"/>
  <c r="AV25" i="1" a="1"/>
  <c r="AV25" i="1" s="1"/>
  <c r="AU25" i="1" a="1"/>
  <c r="AU25" i="1" s="1"/>
  <c r="AT25" i="1"/>
  <c r="AW25" i="1" s="1"/>
  <c r="AR25" i="1"/>
  <c r="AP25" i="1"/>
  <c r="AQ25" i="1" s="1"/>
  <c r="AS25" i="1" s="1"/>
  <c r="AV24" i="1" a="1"/>
  <c r="AV24" i="1" s="1"/>
  <c r="AU24" i="1" a="1"/>
  <c r="AU24" i="1"/>
  <c r="AT24" i="1"/>
  <c r="AW24" i="1" s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/>
  <c r="AU22" i="1" a="1"/>
  <c r="AU22" i="1" s="1"/>
  <c r="AT22" i="1"/>
  <c r="AW22" i="1" s="1"/>
  <c r="AR22" i="1"/>
  <c r="AP22" i="1"/>
  <c r="AQ22" i="1" s="1"/>
  <c r="AS22" i="1" s="1"/>
  <c r="AV21" i="1" a="1"/>
  <c r="AV21" i="1"/>
  <c r="AU21" i="1" a="1"/>
  <c r="AU21" i="1"/>
  <c r="AT21" i="1"/>
  <c r="AW21" i="1" s="1"/>
  <c r="AR21" i="1"/>
  <c r="AP21" i="1"/>
  <c r="AQ21" i="1" s="1"/>
  <c r="AS21" i="1" s="1"/>
  <c r="AV20" i="1" a="1"/>
  <c r="AV20" i="1" s="1"/>
  <c r="AU20" i="1" a="1"/>
  <c r="AU20" i="1" s="1"/>
  <c r="AT20" i="1"/>
  <c r="AW20" i="1" s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/>
  <c r="AU18" i="1" a="1"/>
  <c r="AU18" i="1"/>
  <c r="AT18" i="1"/>
  <c r="AW18" i="1" s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W15" i="1" s="1"/>
  <c r="AR15" i="1"/>
  <c r="AP15" i="1"/>
  <c r="AQ15" i="1" s="1"/>
  <c r="AS15" i="1" s="1"/>
  <c r="AV14" i="1" a="1"/>
  <c r="AV14" i="1"/>
  <c r="AU14" i="1" a="1"/>
  <c r="AU14" i="1"/>
  <c r="AT14" i="1"/>
  <c r="AW14" i="1" s="1"/>
  <c r="AR14" i="1"/>
  <c r="AP14" i="1"/>
  <c r="AQ14" i="1" s="1"/>
  <c r="AS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 s="1"/>
  <c r="AU12" i="1" a="1"/>
  <c r="AU12" i="1"/>
  <c r="AT12" i="1"/>
  <c r="AW12" i="1" s="1"/>
  <c r="AR12" i="1"/>
  <c r="AP12" i="1"/>
  <c r="AQ12" i="1" s="1"/>
  <c r="AS12" i="1" s="1"/>
  <c r="AV11" i="1" a="1"/>
  <c r="AV11" i="1"/>
  <c r="AU11" i="1" a="1"/>
  <c r="AU11" i="1"/>
  <c r="AT11" i="1"/>
  <c r="AW11" i="1" s="1"/>
  <c r="AR11" i="1"/>
  <c r="AP11" i="1"/>
  <c r="AQ11" i="1" s="1"/>
  <c r="AS11" i="1" s="1"/>
  <c r="AV10" i="1" a="1"/>
  <c r="AV10" i="1" s="1"/>
  <c r="AU10" i="1" a="1"/>
  <c r="AU10" i="1" s="1"/>
  <c r="AT10" i="1"/>
  <c r="AW10" i="1" s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/>
  <c r="AU8" i="1" a="1"/>
  <c r="AU8" i="1"/>
  <c r="AT8" i="1"/>
  <c r="AW8" i="1" s="1"/>
  <c r="AR8" i="1"/>
  <c r="AP8" i="1"/>
  <c r="AQ8" i="1" s="1"/>
  <c r="AS8" i="1" s="1"/>
  <c r="AV7" i="1" a="1"/>
  <c r="AV7" i="1" s="1"/>
  <c r="AU7" i="1" a="1"/>
  <c r="AU7" i="1" s="1"/>
  <c r="AT7" i="1"/>
  <c r="AW7" i="1" s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6" i="1" l="1"/>
  <c r="AW16" i="1"/>
  <c r="AW19" i="1"/>
  <c r="AS10" i="1"/>
  <c r="AW9" i="1"/>
  <c r="AP2" i="1"/>
  <c r="AW148" i="1"/>
  <c r="AW17" i="1"/>
  <c r="AW170" i="1"/>
  <c r="AW5" i="1"/>
  <c r="AW109" i="1"/>
  <c r="AW23" i="1"/>
  <c r="AW45" i="1"/>
  <c r="AW174" i="1"/>
  <c r="AW185" i="1"/>
  <c r="AW175" i="1"/>
  <c r="AW186" i="1"/>
  <c r="AW13" i="1"/>
  <c r="AW164" i="1"/>
</calcChain>
</file>

<file path=xl/sharedStrings.xml><?xml version="1.0" encoding="utf-8"?>
<sst xmlns="http://schemas.openxmlformats.org/spreadsheetml/2006/main" count="3539" uniqueCount="1271">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</sst>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8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66" fontId="50" fillId="0" borderId="12" xfId="0" applyNumberFormat="1" applyFont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X208"/>
  <sheetViews>
    <sheetView tabSelected="1" topLeftCell="O191" zoomScale="96" zoomScaleNormal="96" workbookViewId="0">
      <selection activeCell="Z15" sqref="Z1:AB1048576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2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58.7109375" style="74" bestFit="1" customWidth="1"/>
    <col min="10" max="10" width="31" style="74" bestFit="1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87" width="32.42578125" style="74" customWidth="1"/>
    <col min="188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SEPTIEMBRE</v>
      </c>
      <c r="E2" s="82">
        <v>9</v>
      </c>
      <c r="F2" s="82" t="s">
        <v>3</v>
      </c>
      <c r="G2" s="82">
        <v>2026</v>
      </c>
      <c r="H2" s="72" t="s">
        <v>4</v>
      </c>
      <c r="I2" s="72">
        <f>VLOOKUP(E2,Minimos!AS1:AU13,3,FALSE)</f>
        <v>30</v>
      </c>
      <c r="J2" s="72" t="s">
        <v>5</v>
      </c>
      <c r="K2" s="89">
        <f t="shared" ref="K2:AO2" si="0">MIN(K5:K207)</f>
        <v>2</v>
      </c>
      <c r="L2" s="89">
        <f t="shared" si="0"/>
        <v>3</v>
      </c>
      <c r="M2" s="89">
        <f t="shared" si="0"/>
        <v>3.4</v>
      </c>
      <c r="N2" s="89">
        <f t="shared" si="0"/>
        <v>3.8</v>
      </c>
      <c r="O2" s="89">
        <f t="shared" si="0"/>
        <v>2.6</v>
      </c>
      <c r="P2" s="89">
        <f t="shared" si="0"/>
        <v>2.4</v>
      </c>
      <c r="Q2" s="89">
        <f t="shared" si="0"/>
        <v>2.2000000000000002</v>
      </c>
      <c r="R2" s="89">
        <f t="shared" si="0"/>
        <v>3</v>
      </c>
      <c r="S2" s="89">
        <f t="shared" si="0"/>
        <v>3</v>
      </c>
      <c r="T2" s="89">
        <f t="shared" si="0"/>
        <v>2.4</v>
      </c>
      <c r="U2" s="89">
        <f t="shared" si="0"/>
        <v>3.2</v>
      </c>
      <c r="V2" s="89">
        <f t="shared" si="0"/>
        <v>4</v>
      </c>
      <c r="W2" s="89">
        <f t="shared" si="0"/>
        <v>5</v>
      </c>
      <c r="X2" s="89">
        <f t="shared" si="0"/>
        <v>4.2</v>
      </c>
      <c r="Y2" s="89">
        <f t="shared" si="0"/>
        <v>2.8</v>
      </c>
      <c r="Z2" s="89">
        <f t="shared" si="0"/>
        <v>3.6</v>
      </c>
      <c r="AA2" s="89">
        <f t="shared" si="0"/>
        <v>1.2</v>
      </c>
      <c r="AB2" s="89">
        <f t="shared" si="0"/>
        <v>4.8</v>
      </c>
      <c r="AC2" s="89">
        <f t="shared" si="0"/>
        <v>0</v>
      </c>
      <c r="AD2" s="89">
        <f t="shared" si="0"/>
        <v>0</v>
      </c>
      <c r="AE2" s="89">
        <f t="shared" si="0"/>
        <v>0</v>
      </c>
      <c r="AF2" s="89">
        <f t="shared" si="0"/>
        <v>0</v>
      </c>
      <c r="AG2" s="89">
        <f t="shared" si="0"/>
        <v>0</v>
      </c>
      <c r="AH2" s="89">
        <f t="shared" si="0"/>
        <v>0</v>
      </c>
      <c r="AI2" s="89">
        <f t="shared" si="0"/>
        <v>0</v>
      </c>
      <c r="AJ2" s="89">
        <f t="shared" si="0"/>
        <v>0</v>
      </c>
      <c r="AK2" s="89">
        <f t="shared" si="0"/>
        <v>0</v>
      </c>
      <c r="AL2" s="89">
        <f t="shared" si="0"/>
        <v>0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0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26.8</v>
      </c>
      <c r="L5" s="51">
        <v>26.5</v>
      </c>
      <c r="M5" s="51">
        <v>28</v>
      </c>
      <c r="N5" s="51">
        <v>27.6</v>
      </c>
      <c r="O5" s="51">
        <v>27.7</v>
      </c>
      <c r="P5" s="51">
        <v>27.4</v>
      </c>
      <c r="Q5" s="51">
        <v>27.4</v>
      </c>
      <c r="R5" s="51">
        <v>26.3</v>
      </c>
      <c r="S5" s="51">
        <v>28.2</v>
      </c>
      <c r="T5" s="51">
        <v>26.8</v>
      </c>
      <c r="U5" s="51">
        <v>28.2</v>
      </c>
      <c r="V5" s="51">
        <v>28.1</v>
      </c>
      <c r="W5" s="51">
        <v>27.6</v>
      </c>
      <c r="X5" s="51">
        <v>28.1</v>
      </c>
      <c r="Y5" s="51">
        <v>26</v>
      </c>
      <c r="Z5" s="111">
        <v>24.1</v>
      </c>
      <c r="AA5" s="111">
        <v>27.8</v>
      </c>
      <c r="AB5" s="51">
        <v>28.2</v>
      </c>
      <c r="AC5" s="116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88">
        <f t="shared" ref="AP5:AP68" si="1">COUNTIF(K5:AO5,"&gt;0")</f>
        <v>18</v>
      </c>
      <c r="AQ5" s="89">
        <f t="shared" ref="AQ5:AQ68" si="2">IF(AP5&gt;14,AVERAGE(K5:AO5),"")</f>
        <v>27.266666666666669</v>
      </c>
      <c r="AR5" s="89">
        <f>IFERROR(VLOOKUP(A5,Climatologia!A:U,9+$E$2,FALSE),"")</f>
        <v>26.01813723632689</v>
      </c>
      <c r="AS5" s="89">
        <f t="shared" ref="AS5:AS68" si="3">IF(OR(AQ5="",AR5=""),"",IFERROR(AQ5-AR5,""))</f>
        <v>1.2485294303397794</v>
      </c>
      <c r="AT5" s="90">
        <f t="shared" ref="AT5:AT68" si="4">IF(COUNT(K5:AO5)=0,"",MIN(K5:AO5))</f>
        <v>24.1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21.2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31677</v>
      </c>
      <c r="AW5" s="92">
        <f t="shared" ref="AW5:AW68" si="5">IF(OR(AT5="",AU5=""),"NA",IFERROR(AT5-AU5,"NA"))</f>
        <v>2.9000000000000021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26.1</v>
      </c>
      <c r="L6" s="51">
        <v>27.4</v>
      </c>
      <c r="M6" s="51">
        <v>28.1</v>
      </c>
      <c r="N6" s="51">
        <v>27.6</v>
      </c>
      <c r="O6" s="51">
        <v>28.1</v>
      </c>
      <c r="P6" s="51">
        <v>26.4</v>
      </c>
      <c r="Q6" s="51">
        <v>27.8</v>
      </c>
      <c r="R6" s="51">
        <v>28.4</v>
      </c>
      <c r="S6" s="51">
        <v>28.8</v>
      </c>
      <c r="T6" s="51">
        <v>28.6</v>
      </c>
      <c r="U6" s="51">
        <v>26.8</v>
      </c>
      <c r="V6" s="51">
        <v>27.6</v>
      </c>
      <c r="W6" s="51">
        <v>28.8</v>
      </c>
      <c r="X6" s="51">
        <v>27.6</v>
      </c>
      <c r="Y6" s="51">
        <v>28.5</v>
      </c>
      <c r="Z6" s="111">
        <v>26.8</v>
      </c>
      <c r="AA6" s="111">
        <v>28.1</v>
      </c>
      <c r="AB6" s="51">
        <v>27.6</v>
      </c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88">
        <f t="shared" si="1"/>
        <v>18</v>
      </c>
      <c r="AQ6" s="89">
        <f t="shared" si="2"/>
        <v>27.727777777777785</v>
      </c>
      <c r="AR6" s="89">
        <f>IFERROR(VLOOKUP(A6,Climatologia!A:U,9+$E$2,FALSE),"")</f>
        <v>25.709567576944131</v>
      </c>
      <c r="AS6" s="89">
        <f t="shared" si="3"/>
        <v>2.0182102008336535</v>
      </c>
      <c r="AT6" s="90">
        <f t="shared" si="4"/>
        <v>26.1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22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31680</v>
      </c>
      <c r="AW6" s="92">
        <f t="shared" si="5"/>
        <v>4.1000000000000014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27.6</v>
      </c>
      <c r="L7" s="51">
        <v>25.8</v>
      </c>
      <c r="M7" s="51">
        <v>26.4</v>
      </c>
      <c r="N7" s="51">
        <v>26.2</v>
      </c>
      <c r="O7" s="51">
        <v>27</v>
      </c>
      <c r="P7" s="51">
        <v>26.2</v>
      </c>
      <c r="Q7" s="51">
        <v>26.2</v>
      </c>
      <c r="R7" s="51">
        <v>26.9</v>
      </c>
      <c r="S7" s="51">
        <v>27</v>
      </c>
      <c r="T7" s="51">
        <v>27.8</v>
      </c>
      <c r="U7" s="51">
        <v>26.8</v>
      </c>
      <c r="V7" s="51">
        <v>26.4</v>
      </c>
      <c r="W7" s="51">
        <v>27.2</v>
      </c>
      <c r="X7" s="51">
        <v>26.4</v>
      </c>
      <c r="Y7" s="51">
        <v>27.8</v>
      </c>
      <c r="Z7" s="111">
        <v>27.6</v>
      </c>
      <c r="AA7" s="111">
        <v>26.8</v>
      </c>
      <c r="AB7" s="51">
        <v>27</v>
      </c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88">
        <f t="shared" si="1"/>
        <v>18</v>
      </c>
      <c r="AQ7" s="89">
        <f t="shared" si="2"/>
        <v>26.838888888888889</v>
      </c>
      <c r="AR7" s="89">
        <f>IFERROR(VLOOKUP(A7,Climatologia!A:U,9+$E$2,FALSE),"")</f>
        <v>24.686654351395731</v>
      </c>
      <c r="AS7" s="89">
        <f t="shared" si="3"/>
        <v>2.1522345374931575</v>
      </c>
      <c r="AT7" s="90">
        <f t="shared" si="4"/>
        <v>25.8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21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7" s="92">
        <f t="shared" si="5"/>
        <v>4.8000000000000007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26.9</v>
      </c>
      <c r="L8" s="51">
        <v>26.4</v>
      </c>
      <c r="M8" s="51">
        <v>26.3</v>
      </c>
      <c r="N8" s="51">
        <v>26.9</v>
      </c>
      <c r="O8" s="51">
        <v>27.5</v>
      </c>
      <c r="P8" s="51">
        <v>27.7</v>
      </c>
      <c r="Q8" s="51">
        <v>25.4</v>
      </c>
      <c r="R8" s="51">
        <v>28.3</v>
      </c>
      <c r="S8" s="51">
        <v>27.5</v>
      </c>
      <c r="T8" s="51">
        <v>28.1</v>
      </c>
      <c r="U8" s="51">
        <v>28.8</v>
      </c>
      <c r="V8" s="51">
        <v>27.5</v>
      </c>
      <c r="W8" s="51">
        <v>26.7</v>
      </c>
      <c r="X8" s="51">
        <v>27.5</v>
      </c>
      <c r="Y8" s="51">
        <v>28</v>
      </c>
      <c r="Z8" s="111">
        <v>26.6</v>
      </c>
      <c r="AA8" s="111">
        <v>26.9</v>
      </c>
      <c r="AB8" s="51">
        <v>27.9</v>
      </c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88">
        <f t="shared" si="1"/>
        <v>18</v>
      </c>
      <c r="AQ8" s="89">
        <f t="shared" si="2"/>
        <v>27.272222222222222</v>
      </c>
      <c r="AR8" s="89">
        <f>IFERROR(VLOOKUP(A8,Climatologia!A:U,9+$E$2,FALSE),"")</f>
        <v>25.822663111099491</v>
      </c>
      <c r="AS8" s="89">
        <f t="shared" si="3"/>
        <v>1.4495591111227313</v>
      </c>
      <c r="AT8" s="90">
        <f t="shared" si="4"/>
        <v>25.4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30955</v>
      </c>
      <c r="AW8" s="92">
        <f t="shared" si="5"/>
        <v>3.7999999999999972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24.9</v>
      </c>
      <c r="L9" s="51">
        <v>27.1</v>
      </c>
      <c r="M9" s="51">
        <v>25.3</v>
      </c>
      <c r="N9" s="51">
        <v>26</v>
      </c>
      <c r="O9" s="51">
        <v>26.9</v>
      </c>
      <c r="P9" s="51">
        <v>26.3</v>
      </c>
      <c r="Q9" s="51">
        <v>25.7</v>
      </c>
      <c r="R9" s="51">
        <v>26.7</v>
      </c>
      <c r="S9" s="51">
        <v>27.9</v>
      </c>
      <c r="T9" s="51">
        <v>26.6</v>
      </c>
      <c r="U9" s="51">
        <v>25.7</v>
      </c>
      <c r="V9" s="51">
        <v>25.5</v>
      </c>
      <c r="W9" s="51">
        <v>26.8</v>
      </c>
      <c r="X9" s="51">
        <v>25.5</v>
      </c>
      <c r="Y9" s="51">
        <v>26.2</v>
      </c>
      <c r="Z9" s="111">
        <v>25.6</v>
      </c>
      <c r="AA9" s="111">
        <v>27</v>
      </c>
      <c r="AB9" s="51">
        <v>27.3</v>
      </c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88">
        <f t="shared" si="1"/>
        <v>18</v>
      </c>
      <c r="AQ9" s="89">
        <f t="shared" si="2"/>
        <v>26.277777777777779</v>
      </c>
      <c r="AR9" s="89">
        <f>IFERROR(VLOOKUP(A9,Climatologia!A:U,9+$E$2,FALSE),"")</f>
        <v>24.328670251361899</v>
      </c>
      <c r="AS9" s="89">
        <f t="shared" si="3"/>
        <v>1.9491075264158795</v>
      </c>
      <c r="AT9" s="90">
        <f t="shared" si="4"/>
        <v>24.9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35333</v>
      </c>
      <c r="AW9" s="92">
        <f t="shared" si="5"/>
        <v>4.5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25.7</v>
      </c>
      <c r="L10" s="51">
        <v>26.7</v>
      </c>
      <c r="M10" s="51">
        <v>28.5</v>
      </c>
      <c r="N10" s="51">
        <v>27.5</v>
      </c>
      <c r="O10" s="51">
        <v>28.7</v>
      </c>
      <c r="P10" s="51">
        <v>28.9</v>
      </c>
      <c r="Q10" s="51">
        <v>29.3</v>
      </c>
      <c r="R10" s="51">
        <v>28.6</v>
      </c>
      <c r="S10" s="51">
        <v>28.4</v>
      </c>
      <c r="T10" s="51">
        <v>28.5</v>
      </c>
      <c r="U10" s="51">
        <v>28.7</v>
      </c>
      <c r="V10" s="51">
        <v>28.7</v>
      </c>
      <c r="W10" s="51">
        <v>28.4</v>
      </c>
      <c r="X10" s="51">
        <v>28.7</v>
      </c>
      <c r="Y10" s="51">
        <v>28.1</v>
      </c>
      <c r="Z10" s="111">
        <v>28.9</v>
      </c>
      <c r="AA10" s="111">
        <v>27.9</v>
      </c>
      <c r="AB10" s="51">
        <v>27.5</v>
      </c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88">
        <f t="shared" si="1"/>
        <v>18</v>
      </c>
      <c r="AQ10" s="89">
        <f t="shared" si="2"/>
        <v>28.205555555555552</v>
      </c>
      <c r="AR10" s="89">
        <f>IFERROR(VLOOKUP(A10,Climatologia!A:U,9+$E$2,FALSE),"")</f>
        <v>24.807709685406738</v>
      </c>
      <c r="AS10" s="89">
        <f t="shared" si="3"/>
        <v>3.3978458701488137</v>
      </c>
      <c r="AT10" s="90">
        <f t="shared" si="4"/>
        <v>25.7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19.2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34599</v>
      </c>
      <c r="AW10" s="92">
        <f t="shared" si="5"/>
        <v>6.5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23.4</v>
      </c>
      <c r="L11" s="51">
        <v>24.4</v>
      </c>
      <c r="M11" s="51">
        <v>24.8</v>
      </c>
      <c r="N11" s="51">
        <v>24.6</v>
      </c>
      <c r="O11" s="51">
        <v>26.8</v>
      </c>
      <c r="P11" s="51">
        <v>26.6</v>
      </c>
      <c r="Q11" s="51">
        <v>26.6</v>
      </c>
      <c r="R11" s="51">
        <v>26.8</v>
      </c>
      <c r="S11" s="51">
        <v>29.2</v>
      </c>
      <c r="T11" s="51">
        <v>27</v>
      </c>
      <c r="U11" s="51">
        <v>26</v>
      </c>
      <c r="V11" s="51">
        <v>26.4</v>
      </c>
      <c r="W11" s="51">
        <v>27.5</v>
      </c>
      <c r="X11" s="51">
        <v>26.4</v>
      </c>
      <c r="Y11" s="51">
        <v>27.4</v>
      </c>
      <c r="Z11" s="111">
        <v>26.6</v>
      </c>
      <c r="AA11" s="111">
        <v>26</v>
      </c>
      <c r="AB11" s="51">
        <v>26.2</v>
      </c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88">
        <f t="shared" si="1"/>
        <v>18</v>
      </c>
      <c r="AQ11" s="89">
        <f t="shared" si="2"/>
        <v>26.261111111111106</v>
      </c>
      <c r="AR11" s="89">
        <f>IFERROR(VLOOKUP(A11,Climatologia!A:U,9+$E$2,FALSE),"")</f>
        <v>23.800122349539521</v>
      </c>
      <c r="AS11" s="89">
        <f t="shared" si="3"/>
        <v>2.4609887615715849</v>
      </c>
      <c r="AT11" s="90">
        <f t="shared" si="4"/>
        <v>23.4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1" s="92">
        <f t="shared" si="5"/>
        <v>3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24.1</v>
      </c>
      <c r="L12" s="51">
        <v>26.3</v>
      </c>
      <c r="M12" s="51">
        <v>25.3</v>
      </c>
      <c r="N12" s="51">
        <v>25.4</v>
      </c>
      <c r="O12" s="51">
        <v>24.9</v>
      </c>
      <c r="P12" s="51">
        <v>26.3</v>
      </c>
      <c r="Q12" s="51">
        <v>24.4</v>
      </c>
      <c r="R12" s="51">
        <v>25.6</v>
      </c>
      <c r="S12" s="51">
        <v>26.8</v>
      </c>
      <c r="T12" s="51">
        <v>22.7</v>
      </c>
      <c r="U12" s="51">
        <v>23.3</v>
      </c>
      <c r="V12" s="51">
        <v>25.8</v>
      </c>
      <c r="W12" s="51">
        <v>27.6</v>
      </c>
      <c r="X12" s="51">
        <v>25.8</v>
      </c>
      <c r="Y12" s="51">
        <v>24.1</v>
      </c>
      <c r="Z12" s="111">
        <v>24.8</v>
      </c>
      <c r="AA12" s="111">
        <v>26.3</v>
      </c>
      <c r="AB12" s="51">
        <v>27.3</v>
      </c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88">
        <f t="shared" si="1"/>
        <v>18</v>
      </c>
      <c r="AQ12" s="89">
        <f t="shared" si="2"/>
        <v>25.377777777777784</v>
      </c>
      <c r="AR12" s="89">
        <f>IFERROR(VLOOKUP(A12,Climatologia!A:U,9+$E$2,FALSE),"")</f>
        <v>23.168302150308641</v>
      </c>
      <c r="AS12" s="89">
        <f t="shared" si="3"/>
        <v>2.2094756274691427</v>
      </c>
      <c r="AT12" s="90">
        <f t="shared" si="4"/>
        <v>22.7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12" s="92">
        <f t="shared" si="5"/>
        <v>2.8999999999999986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24.2</v>
      </c>
      <c r="L13" s="51">
        <v>24.2</v>
      </c>
      <c r="M13" s="51">
        <v>24.4</v>
      </c>
      <c r="N13" s="51">
        <v>25.2</v>
      </c>
      <c r="O13" s="51">
        <v>24.2</v>
      </c>
      <c r="P13" s="51">
        <v>26</v>
      </c>
      <c r="Q13" s="51">
        <v>26</v>
      </c>
      <c r="R13" s="51">
        <v>24.6</v>
      </c>
      <c r="S13" s="51">
        <v>25.8</v>
      </c>
      <c r="T13" s="51">
        <v>25.6</v>
      </c>
      <c r="U13" s="51">
        <v>23.4</v>
      </c>
      <c r="V13" s="51">
        <v>23.8</v>
      </c>
      <c r="W13" s="51">
        <v>26.8</v>
      </c>
      <c r="X13" s="51">
        <v>23.8</v>
      </c>
      <c r="Y13" s="51">
        <v>26.6</v>
      </c>
      <c r="Z13" s="111">
        <v>22.8</v>
      </c>
      <c r="AA13" s="111">
        <v>23.6</v>
      </c>
      <c r="AB13" s="51">
        <v>27.4</v>
      </c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88">
        <f t="shared" si="1"/>
        <v>18</v>
      </c>
      <c r="AQ13" s="89">
        <f t="shared" si="2"/>
        <v>24.911111111111111</v>
      </c>
      <c r="AR13" s="89">
        <f>IFERROR(VLOOKUP(A13,Climatologia!A:U,9+$E$2,FALSE),"")</f>
        <v>23.052718375560229</v>
      </c>
      <c r="AS13" s="89">
        <f t="shared" si="3"/>
        <v>1.8583927355508827</v>
      </c>
      <c r="AT13" s="90">
        <f t="shared" si="4"/>
        <v>22.8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34597</v>
      </c>
      <c r="AW13" s="92">
        <f t="shared" si="5"/>
        <v>2.8000000000000007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19.8</v>
      </c>
      <c r="L14" s="51">
        <v>18.8</v>
      </c>
      <c r="M14" s="51">
        <v>20.6</v>
      </c>
      <c r="N14" s="51">
        <v>19.399999999999999</v>
      </c>
      <c r="O14" s="51">
        <v>19.899999999999999</v>
      </c>
      <c r="P14" s="51">
        <v>20</v>
      </c>
      <c r="Q14" s="51">
        <v>20</v>
      </c>
      <c r="R14" s="51">
        <v>19.8</v>
      </c>
      <c r="S14" s="51">
        <v>20.5</v>
      </c>
      <c r="T14" s="51">
        <v>20.100000000000001</v>
      </c>
      <c r="U14" s="51">
        <v>17.600000000000001</v>
      </c>
      <c r="V14" s="51">
        <v>19.2</v>
      </c>
      <c r="W14" s="51">
        <v>20.100000000000001</v>
      </c>
      <c r="X14" s="51">
        <v>19.2</v>
      </c>
      <c r="Y14" s="51">
        <v>19.8</v>
      </c>
      <c r="Z14" s="111">
        <v>18.8</v>
      </c>
      <c r="AA14" s="111">
        <v>19.399999999999999</v>
      </c>
      <c r="AB14" s="51">
        <v>21.5</v>
      </c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88">
        <f t="shared" si="1"/>
        <v>18</v>
      </c>
      <c r="AQ14" s="89">
        <f t="shared" si="2"/>
        <v>19.694444444444443</v>
      </c>
      <c r="AR14" s="89">
        <f>IFERROR(VLOOKUP(A14,Climatologia!A:U,9+$E$2,FALSE),"")</f>
        <v>18.375069904788941</v>
      </c>
      <c r="AS14" s="89">
        <f t="shared" si="3"/>
        <v>1.3193745396555023</v>
      </c>
      <c r="AT14" s="90">
        <f t="shared" si="4"/>
        <v>17.600000000000001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15.6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30940</v>
      </c>
      <c r="AW14" s="92">
        <f t="shared" si="5"/>
        <v>2.0000000000000018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24.4</v>
      </c>
      <c r="L15" s="51">
        <v>25</v>
      </c>
      <c r="M15" s="51">
        <v>23.8</v>
      </c>
      <c r="N15" s="51">
        <v>24.4</v>
      </c>
      <c r="O15" s="51">
        <v>25.7</v>
      </c>
      <c r="P15" s="51">
        <v>27.8</v>
      </c>
      <c r="Q15" s="51">
        <v>24.6</v>
      </c>
      <c r="R15" s="51">
        <v>26.2</v>
      </c>
      <c r="S15" s="51">
        <v>27</v>
      </c>
      <c r="T15" s="51">
        <v>25.6</v>
      </c>
      <c r="U15" s="51">
        <v>23.2</v>
      </c>
      <c r="V15" s="51">
        <v>24.4</v>
      </c>
      <c r="W15" s="51">
        <v>25.3</v>
      </c>
      <c r="X15" s="51">
        <v>24.4</v>
      </c>
      <c r="Y15" s="51">
        <v>25.6</v>
      </c>
      <c r="Z15" s="111">
        <v>23.8</v>
      </c>
      <c r="AA15" s="51">
        <v>27.7</v>
      </c>
      <c r="AB15" s="51">
        <v>28</v>
      </c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88">
        <f t="shared" si="1"/>
        <v>18</v>
      </c>
      <c r="AQ15" s="89">
        <f t="shared" si="2"/>
        <v>25.383333333333333</v>
      </c>
      <c r="AR15" s="89">
        <f>IFERROR(VLOOKUP(A15,Climatologia!A:U,9+$E$2,FALSE),"")</f>
        <v>23.532452107279699</v>
      </c>
      <c r="AS15" s="89">
        <f t="shared" si="3"/>
        <v>1.8508812260536338</v>
      </c>
      <c r="AT15" s="90">
        <f t="shared" si="4"/>
        <v>23.2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18.600000000000001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" s="92">
        <f t="shared" si="5"/>
        <v>4.5999999999999979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23.1</v>
      </c>
      <c r="L16" s="51">
        <v>25</v>
      </c>
      <c r="M16" s="51">
        <v>25.5</v>
      </c>
      <c r="N16" s="51">
        <v>24.4</v>
      </c>
      <c r="O16" s="51">
        <v>26.2</v>
      </c>
      <c r="P16" s="51">
        <v>24.7</v>
      </c>
      <c r="Q16" s="51">
        <v>25.5</v>
      </c>
      <c r="R16" s="51">
        <v>25.4</v>
      </c>
      <c r="S16" s="51">
        <v>26.2</v>
      </c>
      <c r="T16" s="51">
        <v>24.2</v>
      </c>
      <c r="U16" s="51">
        <v>23.5</v>
      </c>
      <c r="V16" s="51">
        <v>23.5</v>
      </c>
      <c r="W16" s="51">
        <v>25.3</v>
      </c>
      <c r="X16" s="51">
        <v>23.5</v>
      </c>
      <c r="Y16" s="51">
        <v>24.9</v>
      </c>
      <c r="Z16" s="111">
        <v>25.1</v>
      </c>
      <c r="AA16" s="51">
        <v>26.5</v>
      </c>
      <c r="AB16" s="51">
        <v>26.9</v>
      </c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88">
        <f t="shared" si="1"/>
        <v>18</v>
      </c>
      <c r="AQ16" s="89">
        <f t="shared" si="2"/>
        <v>24.966666666666665</v>
      </c>
      <c r="AR16" s="89">
        <f>IFERROR(VLOOKUP(A16,Climatologia!A:U,9+$E$2,FALSE),"")</f>
        <v>23.20104269293925</v>
      </c>
      <c r="AS16" s="89">
        <f t="shared" si="3"/>
        <v>1.7656239737274149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34968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</v>
      </c>
      <c r="L17" s="51">
        <v>18.2</v>
      </c>
      <c r="M17" s="51">
        <v>19.600000000000001</v>
      </c>
      <c r="N17" s="51">
        <v>19.899999999999999</v>
      </c>
      <c r="O17" s="51">
        <v>18.7</v>
      </c>
      <c r="P17" s="51">
        <v>18.7</v>
      </c>
      <c r="Q17" s="51">
        <v>18.7</v>
      </c>
      <c r="R17" s="51">
        <v>18.3</v>
      </c>
      <c r="S17" s="51">
        <v>19.2</v>
      </c>
      <c r="T17" s="51">
        <v>18.399999999999999</v>
      </c>
      <c r="U17" s="51">
        <v>17.399999999999999</v>
      </c>
      <c r="V17" s="51">
        <v>19.600000000000001</v>
      </c>
      <c r="W17" s="51">
        <v>19.2</v>
      </c>
      <c r="X17" s="51">
        <v>19.600000000000001</v>
      </c>
      <c r="Y17" s="51">
        <v>19.100000000000001</v>
      </c>
      <c r="Z17" s="111">
        <v>19.3</v>
      </c>
      <c r="AA17" s="51">
        <v>17.899999999999999</v>
      </c>
      <c r="AB17" s="51">
        <v>18.7</v>
      </c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88">
        <f t="shared" si="1"/>
        <v>18</v>
      </c>
      <c r="AQ17" s="89">
        <f t="shared" si="2"/>
        <v>18.805555555555557</v>
      </c>
      <c r="AR17" s="89">
        <f>IFERROR(VLOOKUP(A17,Climatologia!A:U,9+$E$2,FALSE),"")</f>
        <v>17.481532567049811</v>
      </c>
      <c r="AS17" s="89">
        <f t="shared" si="3"/>
        <v>1.324022988505746</v>
      </c>
      <c r="AT17" s="90">
        <f t="shared" si="4"/>
        <v>17.399999999999999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17" s="92">
        <f t="shared" si="5"/>
        <v>5.3999999999999986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13.6</v>
      </c>
      <c r="L18" s="51">
        <v>14</v>
      </c>
      <c r="M18" s="51">
        <v>12</v>
      </c>
      <c r="N18" s="51">
        <v>13.4</v>
      </c>
      <c r="O18" s="51">
        <v>11.6</v>
      </c>
      <c r="P18" s="51">
        <v>10.6</v>
      </c>
      <c r="Q18" s="51">
        <v>10.3</v>
      </c>
      <c r="R18" s="51">
        <v>13</v>
      </c>
      <c r="S18" s="51">
        <v>10.8</v>
      </c>
      <c r="T18" s="51">
        <v>13.2</v>
      </c>
      <c r="U18" s="51">
        <v>13.3</v>
      </c>
      <c r="V18" s="51">
        <v>13.8</v>
      </c>
      <c r="W18" s="51">
        <v>12</v>
      </c>
      <c r="X18" s="51">
        <v>13.8</v>
      </c>
      <c r="Y18" s="51">
        <v>13.1</v>
      </c>
      <c r="Z18" s="111">
        <v>14.2</v>
      </c>
      <c r="AA18" s="51">
        <v>10.4</v>
      </c>
      <c r="AB18" s="51">
        <v>10</v>
      </c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88">
        <f t="shared" si="1"/>
        <v>18</v>
      </c>
      <c r="AQ18" s="89">
        <f t="shared" si="2"/>
        <v>12.394444444444444</v>
      </c>
      <c r="AR18" s="89">
        <f>IFERROR(VLOOKUP(A18,Climatologia!A:U,9+$E$2,FALSE),"")</f>
        <v>12.499881093935789</v>
      </c>
      <c r="AS18" s="89">
        <f t="shared" si="3"/>
        <v>-0.10543664949134524</v>
      </c>
      <c r="AT18" s="90">
        <f t="shared" si="4"/>
        <v>10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7.4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29852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19</v>
      </c>
      <c r="M19" s="51">
        <v>19</v>
      </c>
      <c r="N19" s="51">
        <v>19.100000000000001</v>
      </c>
      <c r="O19" s="51">
        <v>18.8</v>
      </c>
      <c r="P19" s="51">
        <v>19.2</v>
      </c>
      <c r="Q19" s="51">
        <v>18</v>
      </c>
      <c r="R19" s="51">
        <v>17.5</v>
      </c>
      <c r="S19" s="51">
        <v>18.399999999999999</v>
      </c>
      <c r="T19" s="51">
        <v>19.100000000000001</v>
      </c>
      <c r="U19" s="51">
        <v>19.600000000000001</v>
      </c>
      <c r="V19" s="51">
        <v>18.2</v>
      </c>
      <c r="W19" s="51">
        <v>18.399999999999999</v>
      </c>
      <c r="X19" s="51">
        <v>18.2</v>
      </c>
      <c r="Y19" s="51">
        <v>18.399999999999999</v>
      </c>
      <c r="Z19" s="111">
        <v>19.2</v>
      </c>
      <c r="AA19" s="51">
        <v>18.5</v>
      </c>
      <c r="AB19" s="51">
        <v>19.899999999999999</v>
      </c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88">
        <f t="shared" si="1"/>
        <v>18</v>
      </c>
      <c r="AQ19" s="89">
        <f t="shared" si="2"/>
        <v>18.749999999999996</v>
      </c>
      <c r="AR19" s="89">
        <f>IFERROR(VLOOKUP(A19,Climatologia!A:U,9+$E$2,FALSE),"")</f>
        <v>17.517363619777409</v>
      </c>
      <c r="AS19" s="89">
        <f t="shared" si="3"/>
        <v>1.232636380222587</v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34596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18.899999999999999</v>
      </c>
      <c r="L20" s="51">
        <v>19.2</v>
      </c>
      <c r="M20" s="51">
        <v>19</v>
      </c>
      <c r="N20" s="51">
        <v>17.7</v>
      </c>
      <c r="O20" s="51">
        <v>17.600000000000001</v>
      </c>
      <c r="P20" s="51">
        <v>18.7</v>
      </c>
      <c r="Q20" s="51">
        <v>16.7</v>
      </c>
      <c r="R20" s="51">
        <v>15.4</v>
      </c>
      <c r="S20" s="51">
        <v>16.600000000000001</v>
      </c>
      <c r="T20" s="51">
        <v>17.3</v>
      </c>
      <c r="U20" s="51">
        <v>18.600000000000001</v>
      </c>
      <c r="V20" s="51">
        <v>17.5</v>
      </c>
      <c r="W20" s="51">
        <v>18</v>
      </c>
      <c r="X20" s="51">
        <v>17.5</v>
      </c>
      <c r="Y20" s="51">
        <v>17.8</v>
      </c>
      <c r="Z20" s="111">
        <v>18.3</v>
      </c>
      <c r="AA20" s="51">
        <v>16.100000000000001</v>
      </c>
      <c r="AB20" s="51">
        <v>18.2</v>
      </c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88">
        <f t="shared" si="1"/>
        <v>18</v>
      </c>
      <c r="AQ20" s="89">
        <f t="shared" si="2"/>
        <v>17.727777777777778</v>
      </c>
      <c r="AR20" s="89">
        <f>IFERROR(VLOOKUP(A20,Climatologia!A:U,9+$E$2,FALSE),"")</f>
        <v>16.802106227106218</v>
      </c>
      <c r="AS20" s="89">
        <f t="shared" si="3"/>
        <v>0.92567155067155937</v>
      </c>
      <c r="AT20" s="90">
        <f t="shared" si="4"/>
        <v>15.4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12.6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31660</v>
      </c>
      <c r="AW20" s="92">
        <f t="shared" si="5"/>
        <v>2.8000000000000007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21.1</v>
      </c>
      <c r="L21" s="51">
        <v>19.600000000000001</v>
      </c>
      <c r="M21" s="51">
        <v>20.9</v>
      </c>
      <c r="N21" s="51">
        <v>21.6</v>
      </c>
      <c r="O21" s="51">
        <v>21.8</v>
      </c>
      <c r="P21" s="51">
        <v>21.9</v>
      </c>
      <c r="Q21" s="51">
        <v>20.8</v>
      </c>
      <c r="R21" s="51">
        <v>21.4</v>
      </c>
      <c r="S21" s="51">
        <v>22</v>
      </c>
      <c r="T21" s="51">
        <v>21.7</v>
      </c>
      <c r="U21" s="51">
        <v>21.4</v>
      </c>
      <c r="V21" s="51">
        <v>19.600000000000001</v>
      </c>
      <c r="W21" s="51">
        <v>21.8</v>
      </c>
      <c r="X21" s="51">
        <v>19.600000000000001</v>
      </c>
      <c r="Y21" s="51">
        <v>22.1</v>
      </c>
      <c r="Z21" s="111">
        <v>21.6</v>
      </c>
      <c r="AA21" s="51">
        <v>21.9</v>
      </c>
      <c r="AB21" s="51">
        <v>23.4</v>
      </c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88">
        <f t="shared" si="1"/>
        <v>18</v>
      </c>
      <c r="AQ21" s="89">
        <f t="shared" si="2"/>
        <v>21.344444444444449</v>
      </c>
      <c r="AR21" s="89">
        <f>IFERROR(VLOOKUP(A21,Climatologia!A:U,9+$E$2,FALSE),"")</f>
        <v>19.232081736909329</v>
      </c>
      <c r="AS21" s="89">
        <f t="shared" si="3"/>
        <v>2.1123627075351195</v>
      </c>
      <c r="AT21" s="90">
        <f t="shared" si="4"/>
        <v>19.600000000000001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15.4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32765</v>
      </c>
      <c r="AW21" s="92">
        <f t="shared" si="5"/>
        <v>4.2000000000000011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9.6</v>
      </c>
      <c r="L22" s="51">
        <v>9.6</v>
      </c>
      <c r="M22" s="51">
        <v>9.6</v>
      </c>
      <c r="N22" s="51">
        <v>9</v>
      </c>
      <c r="O22" s="51">
        <v>9.6</v>
      </c>
      <c r="P22" s="51">
        <v>7.6</v>
      </c>
      <c r="Q22" s="51">
        <v>7.7</v>
      </c>
      <c r="R22" s="51">
        <v>7.4</v>
      </c>
      <c r="S22" s="51">
        <v>12.1</v>
      </c>
      <c r="T22" s="51">
        <v>7.8</v>
      </c>
      <c r="U22" s="51">
        <v>9.8000000000000007</v>
      </c>
      <c r="V22" s="51">
        <v>8.3000000000000007</v>
      </c>
      <c r="W22" s="51">
        <v>8.1</v>
      </c>
      <c r="X22" s="51">
        <v>8.3000000000000007</v>
      </c>
      <c r="Y22" s="51">
        <v>8.6</v>
      </c>
      <c r="Z22" s="111">
        <v>11.2</v>
      </c>
      <c r="AA22" s="51">
        <v>8.8000000000000007</v>
      </c>
      <c r="AB22" s="51">
        <v>7.9</v>
      </c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88">
        <f t="shared" si="1"/>
        <v>18</v>
      </c>
      <c r="AQ22" s="89">
        <f t="shared" si="2"/>
        <v>8.9444444444444446</v>
      </c>
      <c r="AR22" s="89">
        <f>IFERROR(VLOOKUP(A22,Climatologia!A:U,9+$E$2,FALSE),"")</f>
        <v>7.7788019451812538</v>
      </c>
      <c r="AS22" s="89">
        <f t="shared" si="3"/>
        <v>1.1656424992631909</v>
      </c>
      <c r="AT22" s="90">
        <f t="shared" si="4"/>
        <v>7.4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-0.2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22" s="92">
        <f t="shared" si="5"/>
        <v>7.6000000000000005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19.399999999999999</v>
      </c>
      <c r="L23" s="51">
        <v>19.100000000000001</v>
      </c>
      <c r="M23" s="51">
        <v>20.6</v>
      </c>
      <c r="N23" s="51">
        <v>19.7</v>
      </c>
      <c r="O23" s="51">
        <v>18.899999999999999</v>
      </c>
      <c r="P23" s="51">
        <v>19.3</v>
      </c>
      <c r="Q23" s="51">
        <v>20.399999999999999</v>
      </c>
      <c r="R23" s="51">
        <v>17.399999999999999</v>
      </c>
      <c r="S23" s="51">
        <v>18.3</v>
      </c>
      <c r="T23" s="51">
        <v>18.399999999999999</v>
      </c>
      <c r="U23" s="51">
        <v>20.8</v>
      </c>
      <c r="V23" s="51">
        <v>19.3</v>
      </c>
      <c r="W23" s="51">
        <v>19.3</v>
      </c>
      <c r="X23" s="51">
        <v>19.3</v>
      </c>
      <c r="Y23" s="51">
        <v>20.100000000000001</v>
      </c>
      <c r="Z23" s="111">
        <v>19.7</v>
      </c>
      <c r="AA23" s="51">
        <v>17.7</v>
      </c>
      <c r="AB23" s="51">
        <v>19.5</v>
      </c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88">
        <f t="shared" si="1"/>
        <v>18</v>
      </c>
      <c r="AQ23" s="89">
        <f t="shared" si="2"/>
        <v>19.288888888888891</v>
      </c>
      <c r="AR23" s="89">
        <f>IFERROR(VLOOKUP(A23,Climatologia!A:U,9+$E$2,FALSE),"")</f>
        <v>18.648510848126229</v>
      </c>
      <c r="AS23" s="89">
        <f t="shared" si="3"/>
        <v>0.64037804076266269</v>
      </c>
      <c r="AT23" s="90">
        <f t="shared" si="4"/>
        <v>17.399999999999999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14.2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28033</v>
      </c>
      <c r="AW23" s="92">
        <f t="shared" si="5"/>
        <v>3.1999999999999993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23.8</v>
      </c>
      <c r="L24" s="51">
        <v>23.8</v>
      </c>
      <c r="M24" s="51">
        <v>22.6</v>
      </c>
      <c r="N24" s="51">
        <v>23</v>
      </c>
      <c r="O24" s="51">
        <v>25.8</v>
      </c>
      <c r="P24" s="51">
        <v>26.6</v>
      </c>
      <c r="Q24" s="51">
        <v>26.8</v>
      </c>
      <c r="R24" s="51">
        <v>23.2</v>
      </c>
      <c r="S24" s="51">
        <v>23</v>
      </c>
      <c r="T24" s="51">
        <v>25</v>
      </c>
      <c r="U24" s="51">
        <v>24.8</v>
      </c>
      <c r="V24" s="51">
        <v>23.7</v>
      </c>
      <c r="W24" s="51">
        <v>24.7</v>
      </c>
      <c r="X24" s="51">
        <v>23.7</v>
      </c>
      <c r="Y24" s="51">
        <v>26.3</v>
      </c>
      <c r="Z24" s="111">
        <v>24</v>
      </c>
      <c r="AA24" s="51">
        <v>25.1</v>
      </c>
      <c r="AB24" s="51">
        <v>26.4</v>
      </c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88">
        <f t="shared" si="1"/>
        <v>18</v>
      </c>
      <c r="AQ24" s="89">
        <f t="shared" si="2"/>
        <v>24.572222222222219</v>
      </c>
      <c r="AR24" s="89">
        <f>IFERROR(VLOOKUP(A24,Climatologia!A:U,9+$E$2,FALSE),"")</f>
        <v>23.155076628352489</v>
      </c>
      <c r="AS24" s="89">
        <f t="shared" si="3"/>
        <v>1.4171455938697299</v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17.600000000000001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34223</v>
      </c>
      <c r="AW24" s="92">
        <f t="shared" si="5"/>
        <v>5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12.6</v>
      </c>
      <c r="L25" s="51">
        <v>15.2</v>
      </c>
      <c r="M25" s="51">
        <v>17.2</v>
      </c>
      <c r="N25" s="51">
        <v>16</v>
      </c>
      <c r="O25" s="51">
        <v>16.8</v>
      </c>
      <c r="P25" s="51">
        <v>17</v>
      </c>
      <c r="Q25" s="51">
        <v>16.8</v>
      </c>
      <c r="R25" s="51">
        <v>16.5</v>
      </c>
      <c r="S25" s="51">
        <v>17.8</v>
      </c>
      <c r="T25" s="51">
        <v>14.4</v>
      </c>
      <c r="U25" s="51">
        <v>15.6</v>
      </c>
      <c r="V25" s="51">
        <v>15.4</v>
      </c>
      <c r="W25" s="51">
        <v>16</v>
      </c>
      <c r="X25" s="51">
        <v>15.4</v>
      </c>
      <c r="Y25" s="51">
        <v>16.2</v>
      </c>
      <c r="Z25" s="111">
        <v>16.2</v>
      </c>
      <c r="AA25" s="51">
        <v>16.899999999999999</v>
      </c>
      <c r="AB25" s="51">
        <v>16.600000000000001</v>
      </c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88">
        <f t="shared" si="1"/>
        <v>18</v>
      </c>
      <c r="AQ25" s="89">
        <f t="shared" si="2"/>
        <v>16.033333333333335</v>
      </c>
      <c r="AR25" s="89">
        <f>IFERROR(VLOOKUP(A25,Climatologia!A:U,9+$E$2,FALSE),"")</f>
        <v>14.47676179151804</v>
      </c>
      <c r="AS25" s="89">
        <f t="shared" si="3"/>
        <v>1.5565715418152948</v>
      </c>
      <c r="AT25" s="90">
        <f t="shared" si="4"/>
        <v>12.6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10.4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30937</v>
      </c>
      <c r="AW25" s="92">
        <f t="shared" si="5"/>
        <v>2.1999999999999993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2</v>
      </c>
      <c r="L26" s="51">
        <v>5.2</v>
      </c>
      <c r="M26" s="51">
        <v>6.4</v>
      </c>
      <c r="N26" s="51">
        <v>7.2</v>
      </c>
      <c r="O26" s="51">
        <v>7.6</v>
      </c>
      <c r="P26" s="51">
        <v>2.6</v>
      </c>
      <c r="Q26" s="51">
        <v>5</v>
      </c>
      <c r="R26" s="51">
        <v>4</v>
      </c>
      <c r="S26" s="51">
        <v>7.8</v>
      </c>
      <c r="T26" s="51">
        <v>7.2</v>
      </c>
      <c r="U26" s="51">
        <v>6.2</v>
      </c>
      <c r="V26" s="51">
        <v>4.2</v>
      </c>
      <c r="W26" s="51">
        <v>5.2</v>
      </c>
      <c r="X26" s="51">
        <v>4.2</v>
      </c>
      <c r="Y26" s="51">
        <v>9.4</v>
      </c>
      <c r="Z26" s="111">
        <v>6</v>
      </c>
      <c r="AA26" s="51">
        <v>8</v>
      </c>
      <c r="AB26" s="51">
        <v>7.4</v>
      </c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88">
        <f t="shared" si="1"/>
        <v>18</v>
      </c>
      <c r="AQ26" s="89">
        <f t="shared" si="2"/>
        <v>5.866666666666668</v>
      </c>
      <c r="AR26" s="89">
        <f>IFERROR(VLOOKUP(A26,Climatologia!A:U,9+$E$2,FALSE),"")</f>
        <v>4.5924256837098687</v>
      </c>
      <c r="AS26" s="89">
        <f t="shared" si="3"/>
        <v>1.2742409829567993</v>
      </c>
      <c r="AT26" s="90">
        <f t="shared" si="4"/>
        <v>2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-1.4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41168</v>
      </c>
      <c r="AW26" s="92">
        <f t="shared" si="5"/>
        <v>3.4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24.2</v>
      </c>
      <c r="L27" s="51">
        <v>24.4</v>
      </c>
      <c r="M27" s="51">
        <v>25.1</v>
      </c>
      <c r="N27" s="51">
        <v>24.3</v>
      </c>
      <c r="O27" s="51">
        <v>24.6</v>
      </c>
      <c r="P27" s="51">
        <v>23.6</v>
      </c>
      <c r="Q27" s="51">
        <v>24.1</v>
      </c>
      <c r="R27" s="51">
        <v>24.8</v>
      </c>
      <c r="S27" s="51">
        <v>25.7</v>
      </c>
      <c r="T27" s="51">
        <v>25.2</v>
      </c>
      <c r="U27" s="51">
        <v>23.9</v>
      </c>
      <c r="V27" s="51">
        <v>24.8</v>
      </c>
      <c r="W27" s="51">
        <v>25</v>
      </c>
      <c r="X27" s="51">
        <v>24.8</v>
      </c>
      <c r="Y27" s="51">
        <v>24.2</v>
      </c>
      <c r="Z27" s="111">
        <v>24.4</v>
      </c>
      <c r="AA27" s="51">
        <v>24.2</v>
      </c>
      <c r="AB27" s="51">
        <v>25.4</v>
      </c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88">
        <f t="shared" si="1"/>
        <v>18</v>
      </c>
      <c r="AQ27" s="89">
        <f t="shared" si="2"/>
        <v>24.594444444444441</v>
      </c>
      <c r="AR27" s="89">
        <f>IFERROR(VLOOKUP(A27,Climatologia!A:U,9+$E$2,FALSE),"")</f>
        <v>23.200678160919541</v>
      </c>
      <c r="AS27" s="89">
        <f t="shared" si="3"/>
        <v>1.3937662835249007</v>
      </c>
      <c r="AT27" s="90">
        <f t="shared" si="4"/>
        <v>23.6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20.2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30220</v>
      </c>
      <c r="AW27" s="92">
        <f t="shared" si="5"/>
        <v>3.4000000000000021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24.2</v>
      </c>
      <c r="L28" s="51">
        <v>24.3</v>
      </c>
      <c r="M28" s="51">
        <v>22.4</v>
      </c>
      <c r="N28" s="51">
        <v>23.2</v>
      </c>
      <c r="O28" s="51">
        <v>23.3</v>
      </c>
      <c r="P28" s="51">
        <v>24.3</v>
      </c>
      <c r="Q28" s="51">
        <v>21.4</v>
      </c>
      <c r="R28" s="51">
        <v>22.8</v>
      </c>
      <c r="S28" s="51">
        <v>23.7</v>
      </c>
      <c r="T28" s="51">
        <v>24.5</v>
      </c>
      <c r="U28" s="51">
        <v>22.8</v>
      </c>
      <c r="V28" s="51">
        <v>24.3</v>
      </c>
      <c r="W28" s="51">
        <v>22.9</v>
      </c>
      <c r="X28" s="51">
        <v>24.3</v>
      </c>
      <c r="Y28" s="51">
        <v>25.2</v>
      </c>
      <c r="Z28" s="111">
        <v>23.2</v>
      </c>
      <c r="AA28" s="51">
        <v>24.4</v>
      </c>
      <c r="AB28" s="51">
        <v>23.2</v>
      </c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88">
        <f t="shared" si="1"/>
        <v>18</v>
      </c>
      <c r="AQ28" s="89">
        <f t="shared" si="2"/>
        <v>23.577777777777776</v>
      </c>
      <c r="AR28" s="89">
        <f>IFERROR(VLOOKUP(A28,Climatologia!A:U,9+$E$2,FALSE),"")</f>
        <v>22.923426719914591</v>
      </c>
      <c r="AS28" s="89">
        <f t="shared" si="3"/>
        <v>0.65435105786318459</v>
      </c>
      <c r="AT28" s="90">
        <f t="shared" si="4"/>
        <v>21.4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19.399999999999999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39703</v>
      </c>
      <c r="AW28" s="92">
        <f t="shared" si="5"/>
        <v>2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25.8</v>
      </c>
      <c r="L29" s="51">
        <v>26</v>
      </c>
      <c r="M29" s="51">
        <v>25</v>
      </c>
      <c r="N29" s="51">
        <v>25.6</v>
      </c>
      <c r="O29" s="51">
        <v>25.2</v>
      </c>
      <c r="P29" s="51">
        <v>24.8</v>
      </c>
      <c r="Q29" s="51">
        <v>25</v>
      </c>
      <c r="R29" s="51">
        <v>25.4</v>
      </c>
      <c r="S29" s="51">
        <v>25.2</v>
      </c>
      <c r="T29" s="51">
        <v>25.6</v>
      </c>
      <c r="U29" s="51">
        <v>25.4</v>
      </c>
      <c r="V29" s="51">
        <v>25.8</v>
      </c>
      <c r="W29" s="51">
        <v>24.8</v>
      </c>
      <c r="X29" s="51">
        <v>25.8</v>
      </c>
      <c r="Y29" s="51">
        <v>25.8</v>
      </c>
      <c r="Z29" s="111">
        <v>24.6</v>
      </c>
      <c r="AA29" s="51">
        <v>25</v>
      </c>
      <c r="AB29" s="51">
        <v>26</v>
      </c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88">
        <f t="shared" si="1"/>
        <v>18</v>
      </c>
      <c r="AQ29" s="89">
        <f t="shared" si="2"/>
        <v>25.37777777777778</v>
      </c>
      <c r="AR29" s="89">
        <f>IFERROR(VLOOKUP(A29,Climatologia!A:U,9+$E$2,FALSE),"")</f>
        <v>23.916765755053511</v>
      </c>
      <c r="AS29" s="89">
        <f t="shared" si="3"/>
        <v>1.4610120227242689</v>
      </c>
      <c r="AT29" s="90">
        <f t="shared" si="4"/>
        <v>24.6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19.5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35320</v>
      </c>
      <c r="AW29" s="92">
        <f t="shared" si="5"/>
        <v>5.1000000000000014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22.4</v>
      </c>
      <c r="L30" s="51">
        <v>21.7</v>
      </c>
      <c r="M30" s="51">
        <v>21</v>
      </c>
      <c r="N30" s="51">
        <v>22.2</v>
      </c>
      <c r="O30" s="51">
        <v>20.8</v>
      </c>
      <c r="P30" s="51">
        <v>21.8</v>
      </c>
      <c r="Q30" s="51">
        <v>21.4</v>
      </c>
      <c r="R30" s="51">
        <v>21.3</v>
      </c>
      <c r="S30" s="51">
        <v>22.8</v>
      </c>
      <c r="T30" s="51">
        <v>21.3</v>
      </c>
      <c r="U30" s="51">
        <v>20.399999999999999</v>
      </c>
      <c r="V30" s="51">
        <v>21.5</v>
      </c>
      <c r="W30" s="51">
        <v>21.2</v>
      </c>
      <c r="X30" s="51">
        <v>21.5</v>
      </c>
      <c r="Y30" s="51">
        <v>22.4</v>
      </c>
      <c r="Z30" s="111">
        <v>21.9</v>
      </c>
      <c r="AA30" s="51">
        <v>22.2</v>
      </c>
      <c r="AB30" s="51">
        <v>23</v>
      </c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88">
        <f t="shared" si="1"/>
        <v>18</v>
      </c>
      <c r="AQ30" s="89">
        <f t="shared" si="2"/>
        <v>21.711111111111109</v>
      </c>
      <c r="AR30" s="89">
        <f>IFERROR(VLOOKUP(A30,Climatologia!A:U,9+$E$2,FALSE),"")</f>
        <v>20.68482758620689</v>
      </c>
      <c r="AS30" s="89">
        <f t="shared" si="3"/>
        <v>1.026283524904219</v>
      </c>
      <c r="AT30" s="90">
        <f t="shared" si="4"/>
        <v>20.399999999999999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17.8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30" s="92">
        <f t="shared" si="5"/>
        <v>2.5999999999999979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24</v>
      </c>
      <c r="L31" s="108">
        <v>23.4</v>
      </c>
      <c r="M31" s="108">
        <v>23.3</v>
      </c>
      <c r="N31" s="108">
        <v>24.2</v>
      </c>
      <c r="O31" s="108">
        <v>24.5</v>
      </c>
      <c r="P31" s="108">
        <v>22.5</v>
      </c>
      <c r="Q31" s="108">
        <v>24</v>
      </c>
      <c r="R31" s="108">
        <v>21.6</v>
      </c>
      <c r="S31" s="108">
        <v>22.4</v>
      </c>
      <c r="T31" s="108">
        <v>23.2</v>
      </c>
      <c r="U31" s="108">
        <v>24.8</v>
      </c>
      <c r="V31" s="108">
        <v>23.3</v>
      </c>
      <c r="W31" s="108">
        <v>23.9</v>
      </c>
      <c r="X31" s="108">
        <v>23.3</v>
      </c>
      <c r="Y31" s="108">
        <v>22.5</v>
      </c>
      <c r="Z31" s="115">
        <v>22.6</v>
      </c>
      <c r="AA31" s="108">
        <v>23.6</v>
      </c>
      <c r="AB31" s="108">
        <v>24.3</v>
      </c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88">
        <f t="shared" si="1"/>
        <v>18</v>
      </c>
      <c r="AQ31" s="89">
        <f t="shared" si="2"/>
        <v>23.411111111111111</v>
      </c>
      <c r="AR31" s="89">
        <f>IFERROR(VLOOKUP(A31,Climatologia!A:U,9+$E$2,FALSE),"")</f>
        <v>22.350396614879379</v>
      </c>
      <c r="AS31" s="89">
        <f t="shared" si="3"/>
        <v>1.0607144962317321</v>
      </c>
      <c r="AT31" s="90">
        <f t="shared" si="4"/>
        <v>21.6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16.399999999999999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29481</v>
      </c>
      <c r="AW31" s="92">
        <f t="shared" si="5"/>
        <v>5.2000000000000028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14.8</v>
      </c>
      <c r="L32" s="51">
        <v>15.2</v>
      </c>
      <c r="M32" s="51">
        <v>14.8</v>
      </c>
      <c r="N32" s="51">
        <v>15</v>
      </c>
      <c r="O32" s="51">
        <v>14.2</v>
      </c>
      <c r="P32" s="51">
        <v>13.8</v>
      </c>
      <c r="Q32" s="51">
        <v>14</v>
      </c>
      <c r="R32" s="51">
        <v>14.2</v>
      </c>
      <c r="S32" s="51">
        <v>13</v>
      </c>
      <c r="T32" s="51">
        <v>13.4</v>
      </c>
      <c r="U32" s="51">
        <v>15</v>
      </c>
      <c r="V32" s="51">
        <v>14</v>
      </c>
      <c r="W32" s="51">
        <v>14.2</v>
      </c>
      <c r="X32" s="51">
        <v>13.2</v>
      </c>
      <c r="Y32" s="51">
        <v>15</v>
      </c>
      <c r="Z32" s="111">
        <v>16.2</v>
      </c>
      <c r="AA32" s="51">
        <v>12</v>
      </c>
      <c r="AB32" s="51">
        <v>14.8</v>
      </c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88">
        <f t="shared" si="1"/>
        <v>18</v>
      </c>
      <c r="AQ32" s="89">
        <f t="shared" si="2"/>
        <v>14.266666666666664</v>
      </c>
      <c r="AR32" s="89">
        <f>IFERROR(VLOOKUP(A32,Climatologia!A:U,9+$E$2,FALSE),"")</f>
        <v>13.518105175598549</v>
      </c>
      <c r="AS32" s="89">
        <f t="shared" si="3"/>
        <v>0.74856149106811465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36067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23.367963593239459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29482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15.8</v>
      </c>
      <c r="M34" s="51">
        <v>16.8</v>
      </c>
      <c r="N34" s="51">
        <v>16.600000000000001</v>
      </c>
      <c r="O34" s="51">
        <v>16.8</v>
      </c>
      <c r="P34" s="51">
        <v>15</v>
      </c>
      <c r="Q34" s="51">
        <v>14.8</v>
      </c>
      <c r="R34" s="51">
        <v>15.8</v>
      </c>
      <c r="S34" s="51">
        <v>15.8</v>
      </c>
      <c r="T34" s="51">
        <v>15.6</v>
      </c>
      <c r="U34" s="51">
        <v>16</v>
      </c>
      <c r="V34" s="51">
        <v>17</v>
      </c>
      <c r="W34" s="51">
        <v>16.8</v>
      </c>
      <c r="X34" s="51">
        <v>16</v>
      </c>
      <c r="Y34" s="51">
        <v>16.2</v>
      </c>
      <c r="Z34" s="111">
        <v>15.8</v>
      </c>
      <c r="AA34" s="51">
        <v>16.399999999999999</v>
      </c>
      <c r="AB34" s="51">
        <v>16.600000000000001</v>
      </c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88">
        <f t="shared" si="1"/>
        <v>18</v>
      </c>
      <c r="AQ34" s="89">
        <f t="shared" si="2"/>
        <v>16.144444444444446</v>
      </c>
      <c r="AR34" s="89">
        <f>IFERROR(VLOOKUP(A34,Climatologia!A:U,9+$E$2,FALSE),"")</f>
        <v>15.0297619047619</v>
      </c>
      <c r="AS34" s="89">
        <f t="shared" si="3"/>
        <v>1.1146825396825459</v>
      </c>
      <c r="AT34" s="90">
        <f t="shared" si="4"/>
        <v>14.8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37888</v>
      </c>
      <c r="AW34" s="92">
        <f t="shared" si="5"/>
        <v>4.8000000000000007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14.4</v>
      </c>
      <c r="L35" s="51">
        <v>14.8</v>
      </c>
      <c r="M35" s="51">
        <v>15.2</v>
      </c>
      <c r="N35" s="51">
        <v>15.6</v>
      </c>
      <c r="O35" s="51">
        <v>15.4</v>
      </c>
      <c r="P35" s="51">
        <v>15.2</v>
      </c>
      <c r="Q35" s="51">
        <v>14.8</v>
      </c>
      <c r="R35" s="51">
        <v>15</v>
      </c>
      <c r="S35" s="51">
        <v>15.6</v>
      </c>
      <c r="T35" s="51">
        <v>14.8</v>
      </c>
      <c r="U35" s="51">
        <v>15</v>
      </c>
      <c r="V35" s="51">
        <v>15.2</v>
      </c>
      <c r="W35" s="51">
        <v>15.4</v>
      </c>
      <c r="X35" s="51">
        <v>15.6</v>
      </c>
      <c r="Y35" s="51">
        <v>14.2</v>
      </c>
      <c r="Z35" s="111">
        <v>15</v>
      </c>
      <c r="AA35" s="51">
        <v>14.8</v>
      </c>
      <c r="AB35" s="51">
        <v>15.8</v>
      </c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88">
        <f t="shared" si="1"/>
        <v>18</v>
      </c>
      <c r="AQ35" s="89">
        <f t="shared" si="2"/>
        <v>15.100000000000001</v>
      </c>
      <c r="AR35" s="89">
        <f>IFERROR(VLOOKUP(A35,Climatologia!A:U,9+$E$2,FALSE),"")</f>
        <v>13.05107074438971</v>
      </c>
      <c r="AS35" s="89">
        <f t="shared" si="3"/>
        <v>2.0489292556102914</v>
      </c>
      <c r="AT35" s="90">
        <f t="shared" si="4"/>
        <v>14.2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8.6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36797</v>
      </c>
      <c r="AW35" s="92">
        <f t="shared" si="5"/>
        <v>5.6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20.2</v>
      </c>
      <c r="L36" s="51">
        <v>20.399999999999999</v>
      </c>
      <c r="M36" s="51">
        <v>17</v>
      </c>
      <c r="N36" s="51">
        <v>19.399999999999999</v>
      </c>
      <c r="O36" s="51">
        <v>18.399999999999999</v>
      </c>
      <c r="P36" s="51">
        <v>17.399999999999999</v>
      </c>
      <c r="Q36" s="51">
        <v>17.399999999999999</v>
      </c>
      <c r="R36" s="120"/>
      <c r="S36" s="51">
        <v>17.2</v>
      </c>
      <c r="T36" s="51">
        <v>19.600000000000001</v>
      </c>
      <c r="U36" s="51">
        <v>20.399999999999999</v>
      </c>
      <c r="V36" s="51">
        <v>19.2</v>
      </c>
      <c r="W36" s="51">
        <v>19.600000000000001</v>
      </c>
      <c r="X36" s="51">
        <v>19.399999999999999</v>
      </c>
      <c r="Y36" s="51">
        <v>19.600000000000001</v>
      </c>
      <c r="Z36" s="111">
        <v>20</v>
      </c>
      <c r="AA36" s="51">
        <v>17.8</v>
      </c>
      <c r="AB36" s="51">
        <v>17.600000000000001</v>
      </c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88">
        <f t="shared" si="1"/>
        <v>17</v>
      </c>
      <c r="AQ36" s="89">
        <f t="shared" si="2"/>
        <v>18.858823529411765</v>
      </c>
      <c r="AR36" s="89">
        <f>IFERROR(VLOOKUP(A36,Climatologia!A:U,9+$E$2,FALSE),"")</f>
        <v>19.576900580794259</v>
      </c>
      <c r="AS36" s="89">
        <f t="shared" si="3"/>
        <v>-0.71807705138249389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40081</v>
      </c>
      <c r="AW36" s="92">
        <f t="shared" si="5"/>
        <v>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9</v>
      </c>
      <c r="M37" s="51">
        <v>8.4</v>
      </c>
      <c r="N37" s="51">
        <v>9.8000000000000007</v>
      </c>
      <c r="O37" s="51">
        <v>10.6</v>
      </c>
      <c r="P37" s="51">
        <v>10.199999999999999</v>
      </c>
      <c r="Q37" s="51">
        <v>8.4</v>
      </c>
      <c r="R37" s="51">
        <v>8.8000000000000007</v>
      </c>
      <c r="S37" s="51">
        <v>11.6</v>
      </c>
      <c r="T37" s="51">
        <v>8.4</v>
      </c>
      <c r="U37" s="51">
        <v>8.8000000000000007</v>
      </c>
      <c r="V37" s="51">
        <v>9.6</v>
      </c>
      <c r="W37" s="51">
        <v>8</v>
      </c>
      <c r="X37" s="51">
        <v>9.8000000000000007</v>
      </c>
      <c r="Y37" s="51">
        <v>9.6</v>
      </c>
      <c r="Z37" s="111">
        <v>9.1999999999999993</v>
      </c>
      <c r="AA37" s="51">
        <v>8.4</v>
      </c>
      <c r="AB37" s="109">
        <v>6</v>
      </c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88">
        <f t="shared" si="1"/>
        <v>18</v>
      </c>
      <c r="AQ37" s="89">
        <f t="shared" si="2"/>
        <v>9.0777777777777757</v>
      </c>
      <c r="AR37" s="89">
        <f>IFERROR(VLOOKUP(A37,Climatologia!A:U,9+$E$2,FALSE),"")</f>
        <v>9.8631470471660734</v>
      </c>
      <c r="AS37" s="89">
        <f t="shared" si="3"/>
        <v>-0.78536926938829765</v>
      </c>
      <c r="AT37" s="90">
        <f t="shared" si="4"/>
        <v>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</v>
      </c>
      <c r="L38" s="51">
        <v>16.399999999999999</v>
      </c>
      <c r="M38" s="51">
        <v>17</v>
      </c>
      <c r="N38" s="51">
        <v>16.600000000000001</v>
      </c>
      <c r="O38" s="51">
        <v>17.399999999999999</v>
      </c>
      <c r="P38" s="51">
        <v>17.8</v>
      </c>
      <c r="Q38" s="51">
        <v>17.399999999999999</v>
      </c>
      <c r="R38" s="51">
        <v>17</v>
      </c>
      <c r="S38" s="51">
        <v>18</v>
      </c>
      <c r="T38" s="51">
        <v>17.600000000000001</v>
      </c>
      <c r="U38" s="51">
        <v>16</v>
      </c>
      <c r="V38" s="51">
        <v>16</v>
      </c>
      <c r="W38" s="51">
        <v>17.399999999999999</v>
      </c>
      <c r="X38" s="51">
        <v>16.8</v>
      </c>
      <c r="Y38" s="51">
        <v>17</v>
      </c>
      <c r="Z38" s="111">
        <v>17.8</v>
      </c>
      <c r="AA38" s="51">
        <v>17</v>
      </c>
      <c r="AB38" s="51">
        <v>16.8</v>
      </c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88">
        <f t="shared" si="1"/>
        <v>18</v>
      </c>
      <c r="AQ38" s="89">
        <f t="shared" si="2"/>
        <v>17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16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44444</v>
      </c>
      <c r="AW38" s="92">
        <f t="shared" si="5"/>
        <v>2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18.2</v>
      </c>
      <c r="L39" s="51">
        <v>18.8</v>
      </c>
      <c r="M39" s="51">
        <v>20</v>
      </c>
      <c r="N39" s="51">
        <v>20</v>
      </c>
      <c r="O39" s="51">
        <v>19.600000000000001</v>
      </c>
      <c r="P39" s="51">
        <v>19.2</v>
      </c>
      <c r="Q39" s="51">
        <v>18.8</v>
      </c>
      <c r="R39" s="51">
        <v>19.399999999999999</v>
      </c>
      <c r="S39" s="51">
        <v>19.8</v>
      </c>
      <c r="T39" s="51">
        <v>18.600000000000001</v>
      </c>
      <c r="U39" s="51">
        <v>18</v>
      </c>
      <c r="V39" s="51">
        <v>20.399999999999999</v>
      </c>
      <c r="W39" s="51">
        <v>20.2</v>
      </c>
      <c r="X39" s="51">
        <v>20</v>
      </c>
      <c r="Y39" s="51">
        <v>19.399999999999999</v>
      </c>
      <c r="Z39" s="111">
        <v>19.399999999999999</v>
      </c>
      <c r="AA39" s="51">
        <v>19</v>
      </c>
      <c r="AB39" s="51">
        <v>19</v>
      </c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88">
        <f t="shared" si="1"/>
        <v>18</v>
      </c>
      <c r="AQ39" s="89">
        <f t="shared" si="2"/>
        <v>19.322222222222219</v>
      </c>
      <c r="AR39" s="89">
        <f>IFERROR(VLOOKUP(A39,Climatologia!A:U,9+$E$2,FALSE),"")</f>
        <v>17.370087470001259</v>
      </c>
      <c r="AS39" s="89">
        <f t="shared" si="3"/>
        <v>1.9521347522209602</v>
      </c>
      <c r="AT39" s="90">
        <f t="shared" si="4"/>
        <v>18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13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33494</v>
      </c>
      <c r="AW39" s="92">
        <f t="shared" si="5"/>
        <v>5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14.6</v>
      </c>
      <c r="L40" s="51">
        <v>15.2</v>
      </c>
      <c r="M40" s="51">
        <v>14.8</v>
      </c>
      <c r="N40" s="51">
        <v>15</v>
      </c>
      <c r="O40" s="51">
        <v>14.2</v>
      </c>
      <c r="P40" s="51">
        <v>13</v>
      </c>
      <c r="Q40" s="51">
        <v>14</v>
      </c>
      <c r="R40" s="51">
        <v>13</v>
      </c>
      <c r="S40" s="51">
        <v>13.8</v>
      </c>
      <c r="T40" s="51">
        <v>14.2</v>
      </c>
      <c r="U40" s="51">
        <v>15</v>
      </c>
      <c r="V40" s="51">
        <v>15.8</v>
      </c>
      <c r="W40" s="51">
        <v>14.4</v>
      </c>
      <c r="X40" s="51">
        <v>14.2</v>
      </c>
      <c r="Y40" s="51">
        <v>14.4</v>
      </c>
      <c r="Z40" s="111">
        <v>15.4</v>
      </c>
      <c r="AA40" s="51">
        <v>14</v>
      </c>
      <c r="AB40" s="51">
        <v>13</v>
      </c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88">
        <f t="shared" si="1"/>
        <v>18</v>
      </c>
      <c r="AQ40" s="89">
        <f t="shared" si="2"/>
        <v>14.333333333333334</v>
      </c>
      <c r="AR40" s="89">
        <f>IFERROR(VLOOKUP(A40,Climatologia!A:U,9+$E$2,FALSE),"")</f>
        <v>13.01098388839768</v>
      </c>
      <c r="AS40" s="89">
        <f t="shared" si="3"/>
        <v>1.3223494449356537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9.1999999999999993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37508</v>
      </c>
      <c r="AW40" s="92">
        <f t="shared" si="5"/>
        <v>3.8000000000000007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22.6</v>
      </c>
      <c r="L41" s="51">
        <v>25.4</v>
      </c>
      <c r="M41" s="51">
        <v>25.2</v>
      </c>
      <c r="N41" s="51">
        <v>26</v>
      </c>
      <c r="O41" s="51">
        <v>26.8</v>
      </c>
      <c r="P41" s="51">
        <v>25</v>
      </c>
      <c r="Q41" s="51">
        <v>22.4</v>
      </c>
      <c r="R41" s="51">
        <v>25.6</v>
      </c>
      <c r="S41" s="51">
        <v>26.8</v>
      </c>
      <c r="T41" s="51">
        <v>24.8</v>
      </c>
      <c r="U41" s="51">
        <v>22.6</v>
      </c>
      <c r="V41" s="51">
        <v>23.6</v>
      </c>
      <c r="W41" s="51">
        <v>26.2</v>
      </c>
      <c r="X41" s="51">
        <v>22</v>
      </c>
      <c r="Y41" s="51">
        <v>23.4</v>
      </c>
      <c r="Z41" s="111">
        <v>24.2</v>
      </c>
      <c r="AA41" s="51">
        <v>26</v>
      </c>
      <c r="AB41" s="51">
        <v>26</v>
      </c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88">
        <f t="shared" si="1"/>
        <v>18</v>
      </c>
      <c r="AQ41" s="89">
        <f t="shared" si="2"/>
        <v>24.700000000000003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37523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</v>
      </c>
      <c r="L42" s="51">
        <v>26.2</v>
      </c>
      <c r="M42" s="51">
        <v>24.6</v>
      </c>
      <c r="N42" s="51">
        <v>26.2</v>
      </c>
      <c r="O42" s="51">
        <v>27</v>
      </c>
      <c r="P42" s="51">
        <v>27.2</v>
      </c>
      <c r="Q42" s="51">
        <v>24.6</v>
      </c>
      <c r="R42" s="51">
        <v>26.6</v>
      </c>
      <c r="S42" s="51">
        <v>27</v>
      </c>
      <c r="T42" s="51">
        <v>24.2</v>
      </c>
      <c r="U42" s="51">
        <v>23.6</v>
      </c>
      <c r="V42" s="51">
        <v>25.2</v>
      </c>
      <c r="W42" s="51">
        <v>26.6</v>
      </c>
      <c r="X42" s="51">
        <v>23.4</v>
      </c>
      <c r="Y42" s="51">
        <v>23.4</v>
      </c>
      <c r="Z42" s="111">
        <v>24.8</v>
      </c>
      <c r="AA42" s="51">
        <v>26.6</v>
      </c>
      <c r="AB42" s="51">
        <v>26.8</v>
      </c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88">
        <f t="shared" si="1"/>
        <v>18</v>
      </c>
      <c r="AQ42" s="89">
        <f t="shared" si="2"/>
        <v>25.5</v>
      </c>
      <c r="AR42" s="89">
        <f>IFERROR(VLOOKUP(A42,Climatologia!A:U,9+$E$2,FALSE),"")</f>
        <v>24.10281124033644</v>
      </c>
      <c r="AS42" s="89">
        <f t="shared" si="3"/>
        <v>1.3971887596635604</v>
      </c>
      <c r="AT42" s="90">
        <f t="shared" si="4"/>
        <v>23.4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22.4</v>
      </c>
      <c r="L43" s="51">
        <v>23.8</v>
      </c>
      <c r="M43" s="51">
        <v>26.6</v>
      </c>
      <c r="N43" s="51">
        <v>22.8</v>
      </c>
      <c r="O43" s="51">
        <v>24.9</v>
      </c>
      <c r="P43" s="51">
        <v>26</v>
      </c>
      <c r="Q43" s="51">
        <v>24.6</v>
      </c>
      <c r="R43" s="51">
        <v>24.6</v>
      </c>
      <c r="S43" s="51">
        <v>26</v>
      </c>
      <c r="T43" s="51">
        <v>20</v>
      </c>
      <c r="U43" s="51">
        <v>22</v>
      </c>
      <c r="V43" s="51">
        <v>23.9</v>
      </c>
      <c r="W43" s="51">
        <v>23.8</v>
      </c>
      <c r="X43" s="51">
        <v>24</v>
      </c>
      <c r="Y43" s="51">
        <v>24</v>
      </c>
      <c r="Z43" s="111">
        <v>24</v>
      </c>
      <c r="AA43" s="51">
        <v>23.8</v>
      </c>
      <c r="AB43" s="51">
        <v>26.8</v>
      </c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88">
        <f t="shared" si="1"/>
        <v>18</v>
      </c>
      <c r="AQ43" s="89">
        <f t="shared" si="2"/>
        <v>24.111111111111111</v>
      </c>
      <c r="AR43" s="89">
        <f>IFERROR(VLOOKUP(A43,Climatologia!A:U,9+$E$2,FALSE),"")</f>
        <v>23.744525938089151</v>
      </c>
      <c r="AS43" s="89">
        <f t="shared" si="3"/>
        <v>0.36658517302196003</v>
      </c>
      <c r="AT43" s="90">
        <f t="shared" si="4"/>
        <v>20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39712</v>
      </c>
      <c r="AW43" s="92">
        <f t="shared" si="5"/>
        <v>1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23.4</v>
      </c>
      <c r="L44" s="51">
        <v>23.6</v>
      </c>
      <c r="M44" s="51">
        <v>24.2</v>
      </c>
      <c r="N44" s="51">
        <v>24</v>
      </c>
      <c r="O44" s="51">
        <v>25</v>
      </c>
      <c r="P44" s="51">
        <v>25.4</v>
      </c>
      <c r="Q44" s="51">
        <v>24.2</v>
      </c>
      <c r="R44" s="51">
        <v>25</v>
      </c>
      <c r="S44" s="51">
        <v>25.4</v>
      </c>
      <c r="T44" s="51">
        <v>23.8</v>
      </c>
      <c r="U44" s="51">
        <v>22.8</v>
      </c>
      <c r="V44" s="51">
        <v>23.2</v>
      </c>
      <c r="W44" s="51">
        <v>25.6</v>
      </c>
      <c r="X44" s="51">
        <v>23.4</v>
      </c>
      <c r="Y44" s="51">
        <v>23.6</v>
      </c>
      <c r="Z44" s="111">
        <v>23.2</v>
      </c>
      <c r="AA44" s="51">
        <v>24.6</v>
      </c>
      <c r="AB44" s="51">
        <v>25.4</v>
      </c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88">
        <f t="shared" si="1"/>
        <v>18</v>
      </c>
      <c r="AQ44" s="89">
        <f t="shared" si="2"/>
        <v>24.211111111111112</v>
      </c>
      <c r="AR44" s="89">
        <f>IFERROR(VLOOKUP(A44,Climatologia!A:U,9+$E$2,FALSE),"")</f>
        <v>22.988656597627109</v>
      </c>
      <c r="AS44" s="89">
        <f t="shared" si="3"/>
        <v>1.2224545134840028</v>
      </c>
      <c r="AT44" s="90">
        <f t="shared" si="4"/>
        <v>22.8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33118</v>
      </c>
      <c r="AW44" s="92">
        <f t="shared" si="5"/>
        <v>5.6000000000000014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23.250966831086199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17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29850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22.241141302681989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32760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23</v>
      </c>
      <c r="L47" s="51">
        <v>24.8</v>
      </c>
      <c r="M47" s="51">
        <v>23</v>
      </c>
      <c r="N47" s="51">
        <v>23.8</v>
      </c>
      <c r="O47" s="51">
        <v>26</v>
      </c>
      <c r="P47" s="51">
        <v>26.4</v>
      </c>
      <c r="Q47" s="51">
        <v>25.6</v>
      </c>
      <c r="R47" s="51">
        <v>25.4</v>
      </c>
      <c r="S47" s="51">
        <v>25.4</v>
      </c>
      <c r="T47" s="51">
        <v>26.8</v>
      </c>
      <c r="U47" s="51">
        <v>23</v>
      </c>
      <c r="V47" s="51">
        <v>23.2</v>
      </c>
      <c r="W47" s="51">
        <v>26.8</v>
      </c>
      <c r="X47" s="51">
        <v>25.2</v>
      </c>
      <c r="Y47" s="51">
        <v>22.8</v>
      </c>
      <c r="Z47" s="111">
        <v>23.8</v>
      </c>
      <c r="AA47" s="51">
        <v>24.6</v>
      </c>
      <c r="AB47" s="51">
        <v>27</v>
      </c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88">
        <f t="shared" si="1"/>
        <v>18</v>
      </c>
      <c r="AQ47" s="89">
        <f t="shared" si="2"/>
        <v>24.811111111111117</v>
      </c>
      <c r="AR47" s="89">
        <f>IFERROR(VLOOKUP(A47,Climatologia!A:U,9+$E$2,FALSE),"")</f>
        <v>22.692015599343179</v>
      </c>
      <c r="AS47" s="89">
        <f t="shared" si="3"/>
        <v>2.119095511767938</v>
      </c>
      <c r="AT47" s="90">
        <f t="shared" si="4"/>
        <v>22.8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47" s="92">
        <f t="shared" si="5"/>
        <v>5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22.870691637545079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19.2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32762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23.264589393806901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33126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18.399999999999999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43732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22.6</v>
      </c>
      <c r="L51" s="51">
        <v>24.6</v>
      </c>
      <c r="M51" s="51">
        <v>23</v>
      </c>
      <c r="N51" s="51">
        <v>24.8</v>
      </c>
      <c r="O51" s="51">
        <v>26.2</v>
      </c>
      <c r="P51" s="51">
        <v>26.4</v>
      </c>
      <c r="Q51" s="51">
        <v>24.8</v>
      </c>
      <c r="R51" s="51">
        <v>25.8</v>
      </c>
      <c r="S51" s="51">
        <v>25.6</v>
      </c>
      <c r="T51" s="51">
        <v>24.8</v>
      </c>
      <c r="U51" s="51">
        <v>21.8</v>
      </c>
      <c r="V51" s="51">
        <v>23</v>
      </c>
      <c r="W51" s="51">
        <v>25.4</v>
      </c>
      <c r="X51" s="51">
        <v>24</v>
      </c>
      <c r="Y51" s="51">
        <v>22.2</v>
      </c>
      <c r="Z51" s="111">
        <v>23.6</v>
      </c>
      <c r="AA51" s="51">
        <v>24.2</v>
      </c>
      <c r="AB51" s="51">
        <v>26.4</v>
      </c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88">
        <f t="shared" si="1"/>
        <v>18</v>
      </c>
      <c r="AQ51" s="89">
        <f t="shared" si="2"/>
        <v>24.4</v>
      </c>
      <c r="AR51" s="89">
        <f>IFERROR(VLOOKUP(A51,Climatologia!A:U,9+$E$2,FALSE),"")</f>
        <v>23.050863235049139</v>
      </c>
      <c r="AS51" s="89">
        <f t="shared" si="3"/>
        <v>1.3491367649508597</v>
      </c>
      <c r="AT51" s="90">
        <f t="shared" si="4"/>
        <v>21.8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18.2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32755</v>
      </c>
      <c r="AW51" s="92">
        <f t="shared" si="5"/>
        <v>3.6000000000000014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24</v>
      </c>
      <c r="L52" s="51">
        <v>25.6</v>
      </c>
      <c r="M52" s="51">
        <v>24.2</v>
      </c>
      <c r="N52" s="51">
        <v>24</v>
      </c>
      <c r="O52" s="51">
        <v>24</v>
      </c>
      <c r="P52" s="51">
        <v>23.8</v>
      </c>
      <c r="Q52" s="51">
        <v>24.6</v>
      </c>
      <c r="R52" s="51">
        <v>24.4</v>
      </c>
      <c r="S52" s="51">
        <v>24.6</v>
      </c>
      <c r="T52" s="51">
        <v>24.8</v>
      </c>
      <c r="U52" s="51">
        <v>22.4</v>
      </c>
      <c r="V52" s="51">
        <v>22.2</v>
      </c>
      <c r="W52" s="51">
        <v>22.4</v>
      </c>
      <c r="X52" s="51">
        <v>22.6</v>
      </c>
      <c r="Y52" s="51">
        <v>22.2</v>
      </c>
      <c r="Z52" s="111">
        <v>24.4</v>
      </c>
      <c r="AA52" s="51">
        <v>24.4</v>
      </c>
      <c r="AB52" s="51">
        <v>24.2</v>
      </c>
      <c r="AC52" s="51"/>
      <c r="AD52" s="51"/>
      <c r="AE52" s="51"/>
      <c r="AF52" s="51"/>
      <c r="AG52" s="51"/>
      <c r="AH52" s="119"/>
      <c r="AI52" s="119"/>
      <c r="AJ52" s="119"/>
      <c r="AK52" s="119"/>
      <c r="AL52" s="51"/>
      <c r="AM52" s="51"/>
      <c r="AN52" s="51"/>
      <c r="AO52" s="51"/>
      <c r="AP52" s="88">
        <f t="shared" si="1"/>
        <v>18</v>
      </c>
      <c r="AQ52" s="89">
        <f t="shared" si="2"/>
        <v>23.822222222222216</v>
      </c>
      <c r="AR52" s="89">
        <f>IFERROR(VLOOKUP(A52,Climatologia!A:U,9+$E$2,FALSE),"")</f>
        <v>22.452709359605912</v>
      </c>
      <c r="AS52" s="89">
        <f t="shared" si="3"/>
        <v>1.369512862616304</v>
      </c>
      <c r="AT52" s="90">
        <f t="shared" si="4"/>
        <v>22.2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52" s="92">
        <f t="shared" si="5"/>
        <v>4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25.6</v>
      </c>
      <c r="L53" s="51">
        <v>25.6</v>
      </c>
      <c r="M53" s="51">
        <v>23.2</v>
      </c>
      <c r="N53" s="51">
        <v>24.2</v>
      </c>
      <c r="O53" s="51">
        <v>26.2</v>
      </c>
      <c r="P53" s="51">
        <v>25.4</v>
      </c>
      <c r="Q53" s="51">
        <v>23.2</v>
      </c>
      <c r="R53" s="51">
        <v>24.8</v>
      </c>
      <c r="S53" s="51">
        <v>25.4</v>
      </c>
      <c r="T53" s="51">
        <v>26</v>
      </c>
      <c r="U53" s="51">
        <v>25.8</v>
      </c>
      <c r="V53" s="51">
        <v>25.6</v>
      </c>
      <c r="W53" s="51"/>
      <c r="X53" s="51"/>
      <c r="Y53" s="51">
        <v>25.6</v>
      </c>
      <c r="Z53" s="111">
        <v>25.6</v>
      </c>
      <c r="AA53" s="51">
        <v>25.4</v>
      </c>
      <c r="AB53" s="51">
        <v>26.2</v>
      </c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88">
        <f t="shared" si="1"/>
        <v>16</v>
      </c>
      <c r="AQ53" s="89">
        <f t="shared" si="2"/>
        <v>25.237500000000004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20.2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36046</v>
      </c>
      <c r="AW53" s="92">
        <f t="shared" si="5"/>
        <v>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31296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41536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24.120038760462609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25</v>
      </c>
      <c r="L57" s="51">
        <v>25.2</v>
      </c>
      <c r="M57" s="51">
        <v>23.6</v>
      </c>
      <c r="N57" s="51">
        <v>24.4</v>
      </c>
      <c r="O57" s="51">
        <v>25.2</v>
      </c>
      <c r="P57" s="51">
        <v>25</v>
      </c>
      <c r="Q57" s="51">
        <v>24.6</v>
      </c>
      <c r="R57" s="51">
        <v>25.4</v>
      </c>
      <c r="S57" s="51">
        <v>25</v>
      </c>
      <c r="T57" s="51">
        <v>25.4</v>
      </c>
      <c r="U57" s="51">
        <v>25.8</v>
      </c>
      <c r="V57" s="51">
        <v>26.8</v>
      </c>
      <c r="W57" s="51">
        <v>25.6</v>
      </c>
      <c r="X57" s="51">
        <v>25.8</v>
      </c>
      <c r="Y57" s="51">
        <v>25</v>
      </c>
      <c r="Z57" s="111">
        <v>25.2</v>
      </c>
      <c r="AA57" s="51">
        <v>25.8</v>
      </c>
      <c r="AB57" s="51">
        <v>26.6</v>
      </c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88">
        <f t="shared" si="1"/>
        <v>18</v>
      </c>
      <c r="AQ57" s="89">
        <f t="shared" si="2"/>
        <v>25.300000000000004</v>
      </c>
      <c r="AR57" s="89">
        <f>IFERROR(VLOOKUP(A57,Climatologia!A:U,9+$E$2,FALSE),"")</f>
        <v>23.7254865927842</v>
      </c>
      <c r="AS57" s="89">
        <f t="shared" si="3"/>
        <v>1.5745134072158038</v>
      </c>
      <c r="AT57" s="90">
        <f t="shared" si="4"/>
        <v>23.6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17.2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28734</v>
      </c>
      <c r="AW57" s="92">
        <f t="shared" si="5"/>
        <v>6.4000000000000021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24.6</v>
      </c>
      <c r="L58" s="51">
        <v>23.6</v>
      </c>
      <c r="M58" s="51"/>
      <c r="N58" s="51">
        <v>23.6</v>
      </c>
      <c r="O58" s="51">
        <v>22.2</v>
      </c>
      <c r="P58" s="51">
        <v>21.8</v>
      </c>
      <c r="Q58" s="51">
        <v>22.4</v>
      </c>
      <c r="R58" s="51">
        <v>23.4</v>
      </c>
      <c r="S58" s="51">
        <v>22.6</v>
      </c>
      <c r="T58" s="51"/>
      <c r="U58" s="51">
        <v>22.4</v>
      </c>
      <c r="V58" s="51">
        <v>19.600000000000001</v>
      </c>
      <c r="W58" s="51"/>
      <c r="X58" s="51">
        <v>23.2</v>
      </c>
      <c r="Y58" s="51">
        <v>22.8</v>
      </c>
      <c r="Z58" s="111">
        <v>22</v>
      </c>
      <c r="AA58" s="51">
        <v>25.8</v>
      </c>
      <c r="AB58" s="51">
        <v>23.6</v>
      </c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88">
        <f t="shared" si="1"/>
        <v>15</v>
      </c>
      <c r="AQ58" s="89">
        <f t="shared" si="2"/>
        <v>22.90666666666667</v>
      </c>
      <c r="AR58" s="89">
        <f>IFERROR(VLOOKUP(A58,Climatologia!A:U,9+$E$2,FALSE),"")</f>
        <v>21.37518499513471</v>
      </c>
      <c r="AS58" s="89">
        <f t="shared" si="3"/>
        <v>1.5314816715319601</v>
      </c>
      <c r="AT58" s="90">
        <f t="shared" si="4"/>
        <v>19.600000000000001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31302</v>
      </c>
      <c r="AW58" s="92">
        <f t="shared" si="5"/>
        <v>3.8000000000000007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22.62268199233716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18.2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29842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22.4</v>
      </c>
      <c r="L60" s="51">
        <v>23</v>
      </c>
      <c r="M60" s="51">
        <v>21.8</v>
      </c>
      <c r="N60" s="51">
        <v>22.8</v>
      </c>
      <c r="O60" s="51">
        <v>21.4</v>
      </c>
      <c r="P60" s="51">
        <v>20.6</v>
      </c>
      <c r="Q60" s="51">
        <v>22.4</v>
      </c>
      <c r="R60" s="51">
        <v>22.6</v>
      </c>
      <c r="S60" s="51">
        <v>22</v>
      </c>
      <c r="T60" s="51">
        <v>22.8</v>
      </c>
      <c r="U60" s="51">
        <v>22.2</v>
      </c>
      <c r="V60" s="51">
        <v>23</v>
      </c>
      <c r="W60" s="51"/>
      <c r="X60" s="51"/>
      <c r="Y60" s="51">
        <v>21.8</v>
      </c>
      <c r="Z60" s="111">
        <v>21.4</v>
      </c>
      <c r="AA60" s="51">
        <v>22.6</v>
      </c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88">
        <f t="shared" si="1"/>
        <v>15</v>
      </c>
      <c r="AQ60" s="89">
        <f t="shared" si="2"/>
        <v>22.186666666666667</v>
      </c>
      <c r="AR60" s="89">
        <f>IFERROR(VLOOKUP(A60,Climatologia!A:U,9+$E$2,FALSE),"")</f>
        <v>21.711950830140491</v>
      </c>
      <c r="AS60" s="89">
        <f t="shared" si="3"/>
        <v>0.4747158365261761</v>
      </c>
      <c r="AT60" s="90">
        <f t="shared" si="4"/>
        <v>20.6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17.100000000000001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30568</v>
      </c>
      <c r="AW60" s="92">
        <f t="shared" si="5"/>
        <v>3.5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19.32154907161804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22.15150467164079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18.5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33488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23.6</v>
      </c>
      <c r="L63" s="51">
        <v>22.6</v>
      </c>
      <c r="M63" s="51">
        <v>23</v>
      </c>
      <c r="N63" s="51">
        <v>21.2</v>
      </c>
      <c r="O63" s="51">
        <v>21.6</v>
      </c>
      <c r="P63" s="51">
        <v>20.399999999999999</v>
      </c>
      <c r="Q63" s="51">
        <v>21.6</v>
      </c>
      <c r="R63" s="51">
        <v>22</v>
      </c>
      <c r="S63" s="51">
        <v>23.8</v>
      </c>
      <c r="T63" s="51">
        <v>23.6</v>
      </c>
      <c r="U63" s="51">
        <v>21.2</v>
      </c>
      <c r="V63" s="51"/>
      <c r="W63" s="51"/>
      <c r="X63" s="51">
        <v>22.6</v>
      </c>
      <c r="Y63" s="51">
        <v>23.6</v>
      </c>
      <c r="Z63" s="111">
        <v>21.8</v>
      </c>
      <c r="AA63" s="51">
        <v>22.6</v>
      </c>
      <c r="AB63" s="51">
        <v>23</v>
      </c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88">
        <f t="shared" si="1"/>
        <v>16</v>
      </c>
      <c r="AQ63" s="89">
        <f t="shared" si="2"/>
        <v>22.387500000000003</v>
      </c>
      <c r="AR63" s="89">
        <f>IFERROR(VLOOKUP(A63,Climatologia!A:U,9+$E$2,FALSE),"")</f>
        <v>22.363032714412022</v>
      </c>
      <c r="AS63" s="89">
        <f t="shared" si="3"/>
        <v>2.446728558798128E-2</v>
      </c>
      <c r="AT63" s="90">
        <f t="shared" si="4"/>
        <v>20.399999999999999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63" s="92">
        <f t="shared" si="5"/>
        <v>2.5999999999999979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23.2</v>
      </c>
      <c r="L64" s="51">
        <v>24</v>
      </c>
      <c r="M64" s="51">
        <v>23</v>
      </c>
      <c r="N64" s="51">
        <v>23.8</v>
      </c>
      <c r="O64" s="51">
        <v>22</v>
      </c>
      <c r="P64" s="51">
        <v>21.8</v>
      </c>
      <c r="Q64" s="51">
        <v>22.8</v>
      </c>
      <c r="R64" s="51">
        <v>21.8</v>
      </c>
      <c r="S64" s="51">
        <v>23.4</v>
      </c>
      <c r="T64" s="51">
        <v>24</v>
      </c>
      <c r="U64" s="51">
        <v>22.2</v>
      </c>
      <c r="V64" s="51">
        <v>23.6</v>
      </c>
      <c r="W64" s="51">
        <v>22.6</v>
      </c>
      <c r="X64" s="51">
        <v>23.6</v>
      </c>
      <c r="Y64" s="51">
        <v>24.2</v>
      </c>
      <c r="Z64" s="111">
        <v>21.8</v>
      </c>
      <c r="AA64" s="51">
        <v>21.6</v>
      </c>
      <c r="AB64" s="51">
        <v>23.6</v>
      </c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88">
        <f t="shared" si="1"/>
        <v>18</v>
      </c>
      <c r="AQ64" s="89">
        <f t="shared" si="2"/>
        <v>22.94444444444445</v>
      </c>
      <c r="AR64" s="89">
        <f>IFERROR(VLOOKUP(A64,Climatologia!A:U,9+$E$2,FALSE),"")</f>
        <v>22.055755336617409</v>
      </c>
      <c r="AS64" s="89">
        <f t="shared" si="3"/>
        <v>0.88868910782704091</v>
      </c>
      <c r="AT64" s="90">
        <f t="shared" si="4"/>
        <v>21.6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33493</v>
      </c>
      <c r="AW64" s="92">
        <f t="shared" si="5"/>
        <v>3.7000000000000028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24</v>
      </c>
      <c r="L65" s="51">
        <v>22.2</v>
      </c>
      <c r="M65" s="51">
        <v>22.2</v>
      </c>
      <c r="N65" s="51">
        <v>22.8</v>
      </c>
      <c r="O65" s="51">
        <v>22.8</v>
      </c>
      <c r="P65" s="51">
        <v>22.4</v>
      </c>
      <c r="Q65" s="51">
        <v>23.2</v>
      </c>
      <c r="R65" s="51">
        <v>22</v>
      </c>
      <c r="S65" s="51">
        <v>24</v>
      </c>
      <c r="T65" s="51">
        <v>21.8</v>
      </c>
      <c r="U65" s="51">
        <v>21.8</v>
      </c>
      <c r="V65" s="51">
        <v>22</v>
      </c>
      <c r="W65" s="51">
        <v>22.6</v>
      </c>
      <c r="X65" s="51">
        <v>22.2</v>
      </c>
      <c r="Y65" s="51">
        <v>23.4</v>
      </c>
      <c r="Z65" s="111">
        <v>22.2</v>
      </c>
      <c r="AA65" s="51">
        <v>23.4</v>
      </c>
      <c r="AB65" s="51">
        <v>24</v>
      </c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88">
        <f t="shared" si="1"/>
        <v>18</v>
      </c>
      <c r="AQ65" s="89">
        <f t="shared" si="2"/>
        <v>22.722222222222221</v>
      </c>
      <c r="AR65" s="89">
        <f>IFERROR(VLOOKUP(A65,Climatologia!A:U,9+$E$2,FALSE),"")</f>
        <v>21.68406544285855</v>
      </c>
      <c r="AS65" s="89">
        <f t="shared" si="3"/>
        <v>1.0381567793636712</v>
      </c>
      <c r="AT65" s="90">
        <f t="shared" si="4"/>
        <v>21.8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39330</v>
      </c>
      <c r="AW65" s="92">
        <f t="shared" si="5"/>
        <v>3.8000000000000007</v>
      </c>
    </row>
    <row r="66" spans="1:49" ht="14.25" customHeight="1" x14ac:dyDescent="0.2">
      <c r="A66" s="48">
        <v>35045020</v>
      </c>
      <c r="B66" s="52" t="s">
        <v>163</v>
      </c>
      <c r="C66" s="52" t="s">
        <v>150</v>
      </c>
      <c r="D66" s="53">
        <v>-73.357500000000002</v>
      </c>
      <c r="E66" s="53">
        <v>4.300444444</v>
      </c>
      <c r="F66" s="48">
        <v>310</v>
      </c>
      <c r="G66" s="46">
        <v>50</v>
      </c>
      <c r="H66" s="46">
        <v>50226</v>
      </c>
      <c r="I66" s="55" t="s">
        <v>95</v>
      </c>
      <c r="J66" s="55" t="s">
        <v>164</v>
      </c>
      <c r="K66" s="51">
        <v>21.4</v>
      </c>
      <c r="L66" s="51">
        <v>22</v>
      </c>
      <c r="M66" s="51">
        <v>20.8</v>
      </c>
      <c r="N66" s="51">
        <v>21.6</v>
      </c>
      <c r="O66" s="51">
        <v>21</v>
      </c>
      <c r="P66" s="51">
        <v>20.6</v>
      </c>
      <c r="Q66" s="51">
        <v>21.2</v>
      </c>
      <c r="R66" s="51">
        <v>20</v>
      </c>
      <c r="S66" s="51">
        <v>21</v>
      </c>
      <c r="T66" s="51">
        <v>19.2</v>
      </c>
      <c r="U66" s="51">
        <v>19.399999999999999</v>
      </c>
      <c r="V66" s="51">
        <v>20</v>
      </c>
      <c r="W66" s="51">
        <v>21.8</v>
      </c>
      <c r="X66" s="51">
        <v>21</v>
      </c>
      <c r="Y66" s="51">
        <v>20.6</v>
      </c>
      <c r="Z66" s="111">
        <v>20</v>
      </c>
      <c r="AA66" s="51">
        <v>21.2</v>
      </c>
      <c r="AB66" s="51">
        <v>21.4</v>
      </c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88">
        <f t="shared" si="1"/>
        <v>18</v>
      </c>
      <c r="AQ66" s="89">
        <f t="shared" si="2"/>
        <v>20.788888888888888</v>
      </c>
      <c r="AR66" s="89">
        <f>IFERROR(VLOOKUP(A66,Climatologia!A:U,9+$E$2,FALSE),"")</f>
        <v>21.265392804773391</v>
      </c>
      <c r="AS66" s="89">
        <f t="shared" si="3"/>
        <v>-0.47650391588450347</v>
      </c>
      <c r="AT66" s="90">
        <f t="shared" si="4"/>
        <v>19.2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18.2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30931</v>
      </c>
      <c r="AW66" s="92">
        <f t="shared" si="5"/>
        <v>1</v>
      </c>
    </row>
    <row r="67" spans="1:49" ht="14.25" customHeight="1" x14ac:dyDescent="0.2">
      <c r="A67" s="48">
        <v>35095110</v>
      </c>
      <c r="B67" s="52" t="s">
        <v>165</v>
      </c>
      <c r="C67" s="52" t="s">
        <v>150</v>
      </c>
      <c r="D67" s="53">
        <v>-72.915458000000001</v>
      </c>
      <c r="E67" s="53">
        <v>4.65144</v>
      </c>
      <c r="F67" s="48">
        <v>345</v>
      </c>
      <c r="G67" s="46">
        <v>85</v>
      </c>
      <c r="H67" s="46">
        <v>85440</v>
      </c>
      <c r="I67" s="55" t="s">
        <v>166</v>
      </c>
      <c r="J67" s="55" t="s">
        <v>167</v>
      </c>
      <c r="K67" s="51">
        <v>20.2</v>
      </c>
      <c r="L67" s="51">
        <v>21.4</v>
      </c>
      <c r="M67" s="51">
        <v>21.6</v>
      </c>
      <c r="N67" s="51">
        <v>22</v>
      </c>
      <c r="O67" s="51">
        <v>21.8</v>
      </c>
      <c r="P67" s="51">
        <v>20</v>
      </c>
      <c r="Q67" s="51">
        <v>20.100000000000001</v>
      </c>
      <c r="R67" s="51">
        <v>21.1</v>
      </c>
      <c r="S67" s="51">
        <v>22.2</v>
      </c>
      <c r="T67" s="51">
        <v>20.2</v>
      </c>
      <c r="U67" s="51">
        <v>21</v>
      </c>
      <c r="V67" s="51">
        <v>20</v>
      </c>
      <c r="W67" s="51">
        <v>21.6</v>
      </c>
      <c r="X67" s="51">
        <v>20.8</v>
      </c>
      <c r="Y67" s="51">
        <v>22.6</v>
      </c>
      <c r="Z67" s="111">
        <v>21</v>
      </c>
      <c r="AA67" s="51">
        <v>22.2</v>
      </c>
      <c r="AB67" s="51">
        <v>22</v>
      </c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88">
        <f t="shared" si="1"/>
        <v>18</v>
      </c>
      <c r="AQ67" s="89">
        <f t="shared" si="2"/>
        <v>21.211111111111112</v>
      </c>
      <c r="AR67" s="89">
        <f>IFERROR(VLOOKUP(A67,Climatologia!A:U,9+$E$2,FALSE),"")</f>
        <v>21.303087027914611</v>
      </c>
      <c r="AS67" s="89">
        <f t="shared" si="3"/>
        <v>-9.1975916803498592E-2</v>
      </c>
      <c r="AT67" s="90">
        <f t="shared" si="4"/>
        <v>20</v>
      </c>
      <c r="AU67" s="90" t="str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/>
      </c>
      <c r="AV67" s="91" t="str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7" s="92" t="str">
        <f t="shared" si="5"/>
        <v>NA</v>
      </c>
    </row>
    <row r="68" spans="1:49" ht="14.25" customHeight="1" x14ac:dyDescent="0.2">
      <c r="A68" s="48">
        <v>35105050</v>
      </c>
      <c r="B68" s="52" t="s">
        <v>168</v>
      </c>
      <c r="C68" s="52" t="s">
        <v>150</v>
      </c>
      <c r="D68" s="53">
        <v>-72.953639999999993</v>
      </c>
      <c r="E68" s="53">
        <v>4.4686500000000002</v>
      </c>
      <c r="F68" s="48">
        <v>199</v>
      </c>
      <c r="G68" s="46">
        <v>50</v>
      </c>
      <c r="H68" s="46">
        <v>50110</v>
      </c>
      <c r="I68" s="55" t="s">
        <v>95</v>
      </c>
      <c r="J68" s="55" t="s">
        <v>169</v>
      </c>
      <c r="K68" s="51">
        <v>23.6</v>
      </c>
      <c r="L68" s="51">
        <v>22.6</v>
      </c>
      <c r="M68" s="51">
        <v>22.4</v>
      </c>
      <c r="N68" s="51">
        <v>23.8</v>
      </c>
      <c r="O68" s="51">
        <v>22.8</v>
      </c>
      <c r="P68" s="51">
        <v>22.8</v>
      </c>
      <c r="Q68" s="51">
        <v>21.4</v>
      </c>
      <c r="R68" s="51">
        <v>22.8</v>
      </c>
      <c r="S68" s="51">
        <v>24.2</v>
      </c>
      <c r="T68" s="51">
        <v>22.2</v>
      </c>
      <c r="U68" s="51">
        <v>21.4</v>
      </c>
      <c r="V68" s="51">
        <v>22.2</v>
      </c>
      <c r="W68" s="51">
        <v>23.2</v>
      </c>
      <c r="X68" s="51">
        <v>23.2</v>
      </c>
      <c r="Y68" s="51">
        <v>23.2</v>
      </c>
      <c r="Z68" s="111">
        <v>22.2</v>
      </c>
      <c r="AA68" s="51">
        <v>22.6</v>
      </c>
      <c r="AB68" s="51">
        <v>24</v>
      </c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88">
        <f t="shared" si="1"/>
        <v>18</v>
      </c>
      <c r="AQ68" s="89">
        <f t="shared" si="2"/>
        <v>22.81111111111111</v>
      </c>
      <c r="AR68" s="89">
        <f>IFERROR(VLOOKUP(A68,Climatologia!A:U,9+$E$2,FALSE),"")</f>
        <v>21.233794084615539</v>
      </c>
      <c r="AS68" s="89">
        <f t="shared" si="3"/>
        <v>1.5773170264955709</v>
      </c>
      <c r="AT68" s="90">
        <f t="shared" si="4"/>
        <v>21.4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18.399999999999999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35323</v>
      </c>
      <c r="AW68" s="92">
        <f t="shared" si="5"/>
        <v>3</v>
      </c>
    </row>
    <row r="69" spans="1:49" ht="14.25" customHeight="1" x14ac:dyDescent="0.2">
      <c r="A69" s="48">
        <v>35225030</v>
      </c>
      <c r="B69" s="52" t="s">
        <v>170</v>
      </c>
      <c r="C69" s="52" t="s">
        <v>150</v>
      </c>
      <c r="D69" s="53">
        <v>-71.433082999999996</v>
      </c>
      <c r="E69" s="53">
        <v>4.9105280000000002</v>
      </c>
      <c r="F69" s="48">
        <v>139</v>
      </c>
      <c r="G69" s="46">
        <v>85</v>
      </c>
      <c r="H69" s="46">
        <v>85230</v>
      </c>
      <c r="I69" s="55" t="s">
        <v>166</v>
      </c>
      <c r="J69" s="55" t="s">
        <v>171</v>
      </c>
      <c r="K69" s="51">
        <v>24.2</v>
      </c>
      <c r="L69" s="51">
        <v>22.3</v>
      </c>
      <c r="M69" s="51">
        <v>24</v>
      </c>
      <c r="N69" s="51">
        <v>23.3</v>
      </c>
      <c r="O69" s="51">
        <v>24</v>
      </c>
      <c r="P69" s="51"/>
      <c r="Q69" s="51">
        <v>23</v>
      </c>
      <c r="R69" s="51">
        <v>23.4</v>
      </c>
      <c r="S69" s="51">
        <v>24.4</v>
      </c>
      <c r="T69" s="51">
        <v>24.3</v>
      </c>
      <c r="U69" s="51">
        <v>22.3</v>
      </c>
      <c r="V69" s="51">
        <v>23.3</v>
      </c>
      <c r="W69" s="51">
        <v>21.3</v>
      </c>
      <c r="X69" s="51">
        <v>23.4</v>
      </c>
      <c r="Y69" s="51">
        <v>24.4</v>
      </c>
      <c r="Z69" s="111">
        <v>23.1</v>
      </c>
      <c r="AA69" s="51">
        <v>24</v>
      </c>
      <c r="AB69" s="51">
        <v>24.4</v>
      </c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88">
        <f t="shared" ref="AP69:AP132" si="6">COUNTIF(K69:AO69,"&gt;0")</f>
        <v>17</v>
      </c>
      <c r="AQ69" s="89">
        <f t="shared" ref="AQ69:AQ132" si="7">IF(AP69&gt;14,AVERAGE(K69:AO69),"")</f>
        <v>23.476470588235294</v>
      </c>
      <c r="AR69" s="89">
        <f>IFERROR(VLOOKUP(A69,Climatologia!A:U,9+$E$2,FALSE),"")</f>
        <v>22.62335339263911</v>
      </c>
      <c r="AS69" s="89">
        <f t="shared" ref="AS69:AS132" si="8">IF(OR(AQ69="",AR69=""),"",IFERROR(AQ69-AR69,""))</f>
        <v>0.85311719559618382</v>
      </c>
      <c r="AT69" s="90">
        <f t="shared" ref="AT69:AT132" si="9">IF(COUNT(K69:AO69)=0,"",MIN(K69:AO69))</f>
        <v>21.3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14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69" s="92">
        <f t="shared" ref="AW69:AW132" si="10">IF(OR(AT69="",AU69=""),"NA",IFERROR(AT69-AU69,"NA"))</f>
        <v>7.3000000000000007</v>
      </c>
    </row>
    <row r="70" spans="1:49" ht="14.25" customHeight="1" x14ac:dyDescent="0.2">
      <c r="A70" s="48">
        <v>42075010</v>
      </c>
      <c r="B70" s="52" t="s">
        <v>172</v>
      </c>
      <c r="C70" s="52" t="s">
        <v>150</v>
      </c>
      <c r="D70" s="53">
        <v>-70.239204000000001</v>
      </c>
      <c r="E70" s="53">
        <v>1.2597020000000001</v>
      </c>
      <c r="F70" s="48">
        <v>168</v>
      </c>
      <c r="G70" s="46">
        <v>97</v>
      </c>
      <c r="H70" s="46">
        <v>97001</v>
      </c>
      <c r="I70" s="55" t="s">
        <v>173</v>
      </c>
      <c r="J70" s="55" t="s">
        <v>174</v>
      </c>
      <c r="K70" s="51">
        <v>23.3</v>
      </c>
      <c r="L70" s="51">
        <v>23.3</v>
      </c>
      <c r="M70" s="51">
        <v>22.3</v>
      </c>
      <c r="N70" s="51">
        <v>21.3</v>
      </c>
      <c r="O70" s="51">
        <v>21.3</v>
      </c>
      <c r="P70" s="51">
        <v>21.3</v>
      </c>
      <c r="Q70" s="51">
        <v>21.2</v>
      </c>
      <c r="R70" s="51">
        <v>21.1</v>
      </c>
      <c r="S70" s="51">
        <v>22</v>
      </c>
      <c r="T70" s="51">
        <v>22.2</v>
      </c>
      <c r="U70" s="51">
        <v>22.3</v>
      </c>
      <c r="V70" s="51">
        <v>22.3</v>
      </c>
      <c r="W70" s="51">
        <v>22.4</v>
      </c>
      <c r="X70" s="51">
        <v>22.2</v>
      </c>
      <c r="Y70" s="51">
        <v>22.2</v>
      </c>
      <c r="Z70" s="111">
        <v>21.3</v>
      </c>
      <c r="AA70" s="51">
        <v>21.1</v>
      </c>
      <c r="AB70" s="51">
        <v>22.4</v>
      </c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88">
        <f t="shared" si="6"/>
        <v>18</v>
      </c>
      <c r="AQ70" s="89">
        <f t="shared" si="7"/>
        <v>21.972222222222218</v>
      </c>
      <c r="AR70" s="89">
        <f>IFERROR(VLOOKUP(A70,Climatologia!A:U,9+$E$2,FALSE),"")</f>
        <v>21.58913993796752</v>
      </c>
      <c r="AS70" s="89">
        <f t="shared" si="8"/>
        <v>0.38308228425469792</v>
      </c>
      <c r="AT70" s="90">
        <f t="shared" si="9"/>
        <v>21.1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17.2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37136</v>
      </c>
      <c r="AW70" s="92">
        <f t="shared" si="10"/>
        <v>3.9000000000000021</v>
      </c>
    </row>
    <row r="71" spans="1:49" ht="14.25" customHeight="1" x14ac:dyDescent="0.2">
      <c r="A71" s="48">
        <v>3502500006</v>
      </c>
      <c r="B71" s="52" t="s">
        <v>175</v>
      </c>
      <c r="C71" s="52" t="s">
        <v>150</v>
      </c>
      <c r="D71" s="53">
        <v>-73.242963888999995</v>
      </c>
      <c r="E71" s="53">
        <v>3.9325472220000002</v>
      </c>
      <c r="F71" s="48">
        <v>277</v>
      </c>
      <c r="G71" s="46">
        <v>50</v>
      </c>
      <c r="H71" s="46">
        <v>50680</v>
      </c>
      <c r="I71" s="55" t="s">
        <v>95</v>
      </c>
      <c r="J71" s="55" t="s">
        <v>176</v>
      </c>
      <c r="K71" s="51">
        <v>20.8</v>
      </c>
      <c r="L71" s="51">
        <v>21.8</v>
      </c>
      <c r="M71" s="51">
        <v>20.8</v>
      </c>
      <c r="N71" s="51">
        <v>20.8</v>
      </c>
      <c r="O71" s="51">
        <v>21</v>
      </c>
      <c r="P71" s="51">
        <v>20.8</v>
      </c>
      <c r="Q71" s="51"/>
      <c r="R71" s="51">
        <v>20.6</v>
      </c>
      <c r="S71" s="51">
        <v>22.6</v>
      </c>
      <c r="T71" s="51">
        <v>20.6</v>
      </c>
      <c r="U71" s="51">
        <v>20.399999999999999</v>
      </c>
      <c r="V71" s="51">
        <v>21.4</v>
      </c>
      <c r="W71" s="51"/>
      <c r="X71" s="51"/>
      <c r="Y71" s="51">
        <v>21.6</v>
      </c>
      <c r="Z71" s="111">
        <v>21</v>
      </c>
      <c r="AA71" s="51">
        <v>21</v>
      </c>
      <c r="AB71" s="51">
        <v>21</v>
      </c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88">
        <f t="shared" si="6"/>
        <v>15</v>
      </c>
      <c r="AQ71" s="89">
        <f t="shared" si="7"/>
        <v>21.08</v>
      </c>
      <c r="AR71" s="89" t="str">
        <f>IFERROR(VLOOKUP(A71,Climatologia!A:U,9+$E$2,FALSE),"")</f>
        <v/>
      </c>
      <c r="AS71" s="89" t="str">
        <f t="shared" si="8"/>
        <v/>
      </c>
      <c r="AT71" s="90">
        <f t="shared" si="9"/>
        <v>20.399999999999999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19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44091</v>
      </c>
      <c r="AW71" s="92">
        <f t="shared" si="10"/>
        <v>1.3999999999999986</v>
      </c>
    </row>
    <row r="72" spans="1:49" ht="14.25" customHeight="1" x14ac:dyDescent="0.2">
      <c r="A72" s="48">
        <v>21025030</v>
      </c>
      <c r="B72" s="52" t="s">
        <v>177</v>
      </c>
      <c r="C72" s="52" t="s">
        <v>178</v>
      </c>
      <c r="D72" s="53">
        <v>-75.736222220000002</v>
      </c>
      <c r="E72" s="53">
        <v>2.079166667</v>
      </c>
      <c r="F72" s="48">
        <v>1368</v>
      </c>
      <c r="G72" s="46">
        <v>41</v>
      </c>
      <c r="H72" s="46">
        <v>41026</v>
      </c>
      <c r="I72" s="55" t="s">
        <v>79</v>
      </c>
      <c r="J72" s="55" t="s">
        <v>179</v>
      </c>
      <c r="K72" s="51">
        <v>18.2</v>
      </c>
      <c r="L72" s="51">
        <v>16.399999999999999</v>
      </c>
      <c r="M72" s="51">
        <v>17.2</v>
      </c>
      <c r="N72" s="51">
        <v>18.2</v>
      </c>
      <c r="O72" s="51">
        <v>17.2</v>
      </c>
      <c r="P72" s="51">
        <v>17.399999999999999</v>
      </c>
      <c r="Q72" s="51">
        <v>17</v>
      </c>
      <c r="R72" s="51">
        <v>17.2</v>
      </c>
      <c r="S72" s="51">
        <v>18.399999999999999</v>
      </c>
      <c r="T72" s="51">
        <v>17.399999999999999</v>
      </c>
      <c r="U72" s="51">
        <v>18</v>
      </c>
      <c r="V72" s="51">
        <v>18.2</v>
      </c>
      <c r="W72" s="51">
        <v>20.399999999999999</v>
      </c>
      <c r="X72" s="51">
        <v>18</v>
      </c>
      <c r="Y72" s="51">
        <v>17.399999999999999</v>
      </c>
      <c r="Z72" s="111">
        <v>17</v>
      </c>
      <c r="AA72" s="51">
        <v>17.399999999999999</v>
      </c>
      <c r="AB72" s="51">
        <v>18.2</v>
      </c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88">
        <f t="shared" si="6"/>
        <v>18</v>
      </c>
      <c r="AQ72" s="89">
        <f t="shared" si="7"/>
        <v>17.733333333333331</v>
      </c>
      <c r="AR72" s="89">
        <f>IFERROR(VLOOKUP(A72,Climatologia!A:U,9+$E$2,FALSE),"")</f>
        <v>16.856863660477451</v>
      </c>
      <c r="AS72" s="89">
        <f t="shared" si="8"/>
        <v>0.87646967285587962</v>
      </c>
      <c r="AT72" s="90">
        <f t="shared" si="9"/>
        <v>16.399999999999999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14.2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37510</v>
      </c>
      <c r="AW72" s="92">
        <f t="shared" si="10"/>
        <v>2.1999999999999993</v>
      </c>
    </row>
    <row r="73" spans="1:49" ht="14.25" customHeight="1" x14ac:dyDescent="0.2">
      <c r="A73" s="48">
        <v>21055030</v>
      </c>
      <c r="B73" s="52" t="s">
        <v>180</v>
      </c>
      <c r="C73" s="52" t="s">
        <v>178</v>
      </c>
      <c r="D73" s="53">
        <v>-76.16</v>
      </c>
      <c r="E73" s="53">
        <v>2.2400000000000002</v>
      </c>
      <c r="F73" s="48">
        <v>2085</v>
      </c>
      <c r="G73" s="46">
        <v>19</v>
      </c>
      <c r="H73" s="46">
        <v>19355</v>
      </c>
      <c r="I73" s="55" t="s">
        <v>181</v>
      </c>
      <c r="J73" s="55" t="s">
        <v>182</v>
      </c>
      <c r="K73" s="51">
        <v>11.2</v>
      </c>
      <c r="L73" s="51">
        <v>11.2</v>
      </c>
      <c r="M73" s="51">
        <v>13</v>
      </c>
      <c r="N73" s="51">
        <v>12.2</v>
      </c>
      <c r="O73" s="51">
        <v>12.4</v>
      </c>
      <c r="P73" s="51">
        <v>12.2</v>
      </c>
      <c r="Q73" s="51">
        <v>12</v>
      </c>
      <c r="R73" s="51">
        <v>11.6</v>
      </c>
      <c r="S73" s="51">
        <v>12.4</v>
      </c>
      <c r="T73" s="51">
        <v>11.4</v>
      </c>
      <c r="U73" s="51">
        <v>12.6</v>
      </c>
      <c r="V73" s="51">
        <v>11</v>
      </c>
      <c r="W73" s="51">
        <v>12</v>
      </c>
      <c r="X73" s="51">
        <v>12.4</v>
      </c>
      <c r="Y73" s="51">
        <v>12</v>
      </c>
      <c r="Z73" s="111">
        <v>12.4</v>
      </c>
      <c r="AA73" s="51">
        <v>11.2</v>
      </c>
      <c r="AB73" s="51">
        <v>11.4</v>
      </c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88">
        <f t="shared" si="6"/>
        <v>18</v>
      </c>
      <c r="AQ73" s="89">
        <f t="shared" si="7"/>
        <v>11.922222222222222</v>
      </c>
      <c r="AR73" s="89">
        <f>IFERROR(VLOOKUP(A73,Climatologia!A:U,9+$E$2,FALSE),"")</f>
        <v>11.565427904789971</v>
      </c>
      <c r="AS73" s="89">
        <f t="shared" si="8"/>
        <v>0.35679431743225187</v>
      </c>
      <c r="AT73" s="90">
        <f t="shared" si="9"/>
        <v>11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34218</v>
      </c>
      <c r="AW73" s="92">
        <f t="shared" si="10"/>
        <v>3</v>
      </c>
    </row>
    <row r="74" spans="1:49" ht="14.25" customHeight="1" x14ac:dyDescent="0.2">
      <c r="A74" s="48">
        <v>21065040</v>
      </c>
      <c r="B74" s="52" t="s">
        <v>183</v>
      </c>
      <c r="C74" s="52" t="s">
        <v>178</v>
      </c>
      <c r="D74" s="53">
        <v>-75.529444440000006</v>
      </c>
      <c r="E74" s="53">
        <v>2.2524999999999999</v>
      </c>
      <c r="F74" s="48">
        <v>1270</v>
      </c>
      <c r="G74" s="46">
        <v>41</v>
      </c>
      <c r="H74" s="46">
        <v>41298</v>
      </c>
      <c r="I74" s="55" t="s">
        <v>79</v>
      </c>
      <c r="J74" s="55" t="s">
        <v>184</v>
      </c>
      <c r="K74" s="51">
        <v>14.2</v>
      </c>
      <c r="L74" s="51">
        <v>14</v>
      </c>
      <c r="M74" s="51">
        <v>17.2</v>
      </c>
      <c r="N74" s="51">
        <v>16.2</v>
      </c>
      <c r="O74" s="51">
        <v>17.2</v>
      </c>
      <c r="P74" s="51">
        <v>17</v>
      </c>
      <c r="Q74" s="51">
        <v>15.2</v>
      </c>
      <c r="R74" s="51">
        <v>14</v>
      </c>
      <c r="S74" s="51">
        <v>17.2</v>
      </c>
      <c r="T74" s="51">
        <v>14.8</v>
      </c>
      <c r="U74" s="51">
        <v>16.899999999999999</v>
      </c>
      <c r="V74" s="51">
        <v>14.2</v>
      </c>
      <c r="W74" s="51">
        <v>16.2</v>
      </c>
      <c r="X74" s="51">
        <v>16.8</v>
      </c>
      <c r="Y74" s="51">
        <v>15.2</v>
      </c>
      <c r="Z74" s="111">
        <v>17</v>
      </c>
      <c r="AA74" s="51">
        <v>15.2</v>
      </c>
      <c r="AB74" s="51">
        <v>17</v>
      </c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88">
        <f t="shared" si="6"/>
        <v>18</v>
      </c>
      <c r="AQ74" s="89">
        <f t="shared" si="7"/>
        <v>15.861111111111111</v>
      </c>
      <c r="AR74" s="89">
        <f>IFERROR(VLOOKUP(A74,Climatologia!A:U,9+$E$2,FALSE),"")</f>
        <v>15.41515998624619</v>
      </c>
      <c r="AS74" s="89">
        <f t="shared" si="8"/>
        <v>0.44595112486492106</v>
      </c>
      <c r="AT74" s="90">
        <f t="shared" si="9"/>
        <v>14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11.4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30571</v>
      </c>
      <c r="AW74" s="92">
        <f t="shared" si="10"/>
        <v>2.5999999999999996</v>
      </c>
    </row>
    <row r="75" spans="1:49" ht="14.25" customHeight="1" x14ac:dyDescent="0.2">
      <c r="A75" s="48">
        <v>21115100</v>
      </c>
      <c r="B75" s="52" t="s">
        <v>185</v>
      </c>
      <c r="C75" s="52" t="s">
        <v>178</v>
      </c>
      <c r="D75" s="53">
        <v>-75.066388889999999</v>
      </c>
      <c r="E75" s="53">
        <v>2.9426388889999999</v>
      </c>
      <c r="F75" s="48">
        <v>1100</v>
      </c>
      <c r="G75" s="46">
        <v>41</v>
      </c>
      <c r="H75" s="46">
        <v>41001</v>
      </c>
      <c r="I75" s="55" t="s">
        <v>79</v>
      </c>
      <c r="J75" s="55" t="s">
        <v>80</v>
      </c>
      <c r="K75" s="51">
        <v>18</v>
      </c>
      <c r="L75" s="51">
        <v>16</v>
      </c>
      <c r="M75" s="51">
        <v>15.8</v>
      </c>
      <c r="N75" s="51">
        <v>18.2</v>
      </c>
      <c r="O75" s="51">
        <v>17.8</v>
      </c>
      <c r="P75" s="51">
        <v>18</v>
      </c>
      <c r="Q75" s="51">
        <v>17</v>
      </c>
      <c r="R75" s="51">
        <v>15.4</v>
      </c>
      <c r="S75" s="51">
        <v>18</v>
      </c>
      <c r="T75" s="51">
        <v>17.600000000000001</v>
      </c>
      <c r="U75" s="51">
        <v>16.2</v>
      </c>
      <c r="V75" s="51">
        <v>17.2</v>
      </c>
      <c r="W75" s="51">
        <v>17.8</v>
      </c>
      <c r="X75" s="51">
        <v>19</v>
      </c>
      <c r="Y75" s="51">
        <v>17.399999999999999</v>
      </c>
      <c r="Z75" s="111">
        <v>16.2</v>
      </c>
      <c r="AA75" s="51">
        <v>17.399999999999999</v>
      </c>
      <c r="AB75" s="51">
        <v>18.399999999999999</v>
      </c>
      <c r="AC75" s="51"/>
      <c r="AD75" s="51"/>
      <c r="AE75" s="51"/>
      <c r="AF75" s="51"/>
      <c r="AG75" s="51"/>
      <c r="AH75" s="51"/>
      <c r="AI75" s="51"/>
      <c r="AJ75" s="51"/>
      <c r="AK75" s="51"/>
      <c r="AL75" s="116"/>
      <c r="AM75" s="51"/>
      <c r="AN75" s="51"/>
      <c r="AO75" s="51"/>
      <c r="AP75" s="88">
        <f t="shared" si="6"/>
        <v>18</v>
      </c>
      <c r="AQ75" s="89">
        <f t="shared" si="7"/>
        <v>17.299999999999997</v>
      </c>
      <c r="AR75" s="89">
        <f>IFERROR(VLOOKUP(A75,Climatologia!A:U,9+$E$2,FALSE),"")</f>
        <v>18.656310283027459</v>
      </c>
      <c r="AS75" s="89">
        <f t="shared" si="8"/>
        <v>-1.3563102830274616</v>
      </c>
      <c r="AT75" s="90">
        <f t="shared" si="9"/>
        <v>15.4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14.6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33873</v>
      </c>
      <c r="AW75" s="92">
        <f t="shared" si="10"/>
        <v>0.80000000000000071</v>
      </c>
    </row>
    <row r="76" spans="1:49" ht="14.25" customHeight="1" x14ac:dyDescent="0.2">
      <c r="A76" s="48">
        <v>21135030</v>
      </c>
      <c r="B76" s="52" t="s">
        <v>186</v>
      </c>
      <c r="C76" s="52" t="s">
        <v>178</v>
      </c>
      <c r="D76" s="53">
        <v>-75.108999999999995</v>
      </c>
      <c r="E76" s="53">
        <v>3.5738333330000001</v>
      </c>
      <c r="F76" s="48">
        <v>415</v>
      </c>
      <c r="G76" s="46">
        <v>73</v>
      </c>
      <c r="H76" s="46">
        <v>73483</v>
      </c>
      <c r="I76" s="55" t="s">
        <v>70</v>
      </c>
      <c r="J76" s="55" t="s">
        <v>187</v>
      </c>
      <c r="K76" s="51">
        <v>26</v>
      </c>
      <c r="L76" s="51">
        <v>25.8</v>
      </c>
      <c r="M76" s="51">
        <v>24</v>
      </c>
      <c r="N76" s="51">
        <v>27.8</v>
      </c>
      <c r="O76" s="51">
        <v>28.8</v>
      </c>
      <c r="P76" s="51">
        <v>28.8</v>
      </c>
      <c r="Q76" s="51">
        <v>29</v>
      </c>
      <c r="R76" s="51">
        <v>24</v>
      </c>
      <c r="S76" s="51">
        <v>28.6</v>
      </c>
      <c r="T76" s="51">
        <v>27.4</v>
      </c>
      <c r="U76" s="51">
        <v>29</v>
      </c>
      <c r="V76" s="51">
        <v>26.4</v>
      </c>
      <c r="W76" s="51">
        <v>28.6</v>
      </c>
      <c r="X76" s="51">
        <v>28.8</v>
      </c>
      <c r="Y76" s="51">
        <v>28.2</v>
      </c>
      <c r="Z76" s="111">
        <v>26.6</v>
      </c>
      <c r="AA76" s="51">
        <v>27.2</v>
      </c>
      <c r="AB76" s="51">
        <v>29.2</v>
      </c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88">
        <f t="shared" si="6"/>
        <v>18</v>
      </c>
      <c r="AQ76" s="89">
        <f t="shared" si="7"/>
        <v>27.455555555555556</v>
      </c>
      <c r="AR76" s="89">
        <f>IFERROR(VLOOKUP(A76,Climatologia!A:U,9+$E$2,FALSE),"")</f>
        <v>24.258489020705198</v>
      </c>
      <c r="AS76" s="89">
        <f t="shared" si="8"/>
        <v>3.1970665348503573</v>
      </c>
      <c r="AT76" s="90">
        <f t="shared" si="9"/>
        <v>24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18.600000000000001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29833</v>
      </c>
      <c r="AW76" s="92">
        <f t="shared" si="10"/>
        <v>5.3999999999999986</v>
      </c>
    </row>
    <row r="77" spans="1:49" ht="14.25" customHeight="1" x14ac:dyDescent="0.2">
      <c r="A77" s="48">
        <v>21145040</v>
      </c>
      <c r="B77" s="52" t="s">
        <v>188</v>
      </c>
      <c r="C77" s="52" t="s">
        <v>178</v>
      </c>
      <c r="D77" s="53">
        <v>-75.110111110000005</v>
      </c>
      <c r="E77" s="53">
        <v>3.3733611109999999</v>
      </c>
      <c r="F77" s="48">
        <v>440</v>
      </c>
      <c r="G77" s="46">
        <v>41</v>
      </c>
      <c r="H77" s="46">
        <v>41872</v>
      </c>
      <c r="I77" s="55" t="s">
        <v>79</v>
      </c>
      <c r="J77" s="55" t="s">
        <v>189</v>
      </c>
      <c r="K77" s="51">
        <v>24.6</v>
      </c>
      <c r="L77" s="51">
        <v>23.6</v>
      </c>
      <c r="M77" s="51">
        <v>22.6</v>
      </c>
      <c r="N77" s="51">
        <v>24.8</v>
      </c>
      <c r="O77" s="51">
        <v>24.8</v>
      </c>
      <c r="P77" s="51">
        <v>27.8</v>
      </c>
      <c r="Q77" s="51">
        <v>27.4</v>
      </c>
      <c r="R77" s="51">
        <v>24.6</v>
      </c>
      <c r="S77" s="51">
        <v>27.4</v>
      </c>
      <c r="T77" s="51">
        <v>25.4</v>
      </c>
      <c r="U77" s="51">
        <v>26.2</v>
      </c>
      <c r="V77" s="51">
        <v>26</v>
      </c>
      <c r="W77" s="51">
        <v>26.6</v>
      </c>
      <c r="X77" s="51">
        <v>27</v>
      </c>
      <c r="Y77" s="51">
        <v>26.6</v>
      </c>
      <c r="Z77" s="111">
        <v>25.4</v>
      </c>
      <c r="AA77" s="51">
        <v>25.6</v>
      </c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88">
        <f t="shared" si="6"/>
        <v>17</v>
      </c>
      <c r="AQ77" s="89">
        <f t="shared" si="7"/>
        <v>25.670588235294122</v>
      </c>
      <c r="AR77" s="89">
        <f>IFERROR(VLOOKUP(A77,Climatologia!A:U,9+$E$2,FALSE),"")</f>
        <v>23.486005023711911</v>
      </c>
      <c r="AS77" s="89">
        <f t="shared" si="8"/>
        <v>2.1845832115822112</v>
      </c>
      <c r="AT77" s="90">
        <f t="shared" si="9"/>
        <v>22.6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29099</v>
      </c>
      <c r="AW77" s="92">
        <f t="shared" si="10"/>
        <v>4.6000000000000014</v>
      </c>
    </row>
    <row r="78" spans="1:49" ht="14.25" customHeight="1" x14ac:dyDescent="0.2">
      <c r="A78" s="48">
        <v>21145080</v>
      </c>
      <c r="B78" s="52" t="s">
        <v>190</v>
      </c>
      <c r="C78" s="52" t="s">
        <v>178</v>
      </c>
      <c r="D78" s="53">
        <v>-74.702944439999996</v>
      </c>
      <c r="E78" s="53">
        <v>3.5897777780000002</v>
      </c>
      <c r="F78" s="48">
        <v>1410</v>
      </c>
      <c r="G78" s="46">
        <v>41</v>
      </c>
      <c r="H78" s="46">
        <v>41206</v>
      </c>
      <c r="I78" s="55" t="s">
        <v>79</v>
      </c>
      <c r="J78" s="55" t="s">
        <v>191</v>
      </c>
      <c r="K78" s="51">
        <v>14.8</v>
      </c>
      <c r="L78" s="51">
        <v>15</v>
      </c>
      <c r="M78" s="51">
        <v>14.4</v>
      </c>
      <c r="N78" s="51">
        <v>14.2</v>
      </c>
      <c r="O78" s="51">
        <v>14.2</v>
      </c>
      <c r="P78" s="51">
        <v>15.2</v>
      </c>
      <c r="Q78" s="51">
        <v>14.4</v>
      </c>
      <c r="R78" s="51">
        <v>15.8</v>
      </c>
      <c r="S78" s="51">
        <v>18</v>
      </c>
      <c r="T78" s="51">
        <v>13.6</v>
      </c>
      <c r="U78" s="51">
        <v>15.4</v>
      </c>
      <c r="V78" s="51">
        <v>14.2</v>
      </c>
      <c r="W78" s="51">
        <v>15</v>
      </c>
      <c r="X78" s="51">
        <v>15.2</v>
      </c>
      <c r="Y78" s="51">
        <v>14.2</v>
      </c>
      <c r="Z78" s="111">
        <v>16.2</v>
      </c>
      <c r="AA78" s="51">
        <v>14.2</v>
      </c>
      <c r="AB78" s="51">
        <v>15.6</v>
      </c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88">
        <f t="shared" si="6"/>
        <v>18</v>
      </c>
      <c r="AQ78" s="89">
        <f t="shared" si="7"/>
        <v>14.977777777777776</v>
      </c>
      <c r="AR78" s="89">
        <f>IFERROR(VLOOKUP(A78,Climatologia!A:U,9+$E$2,FALSE),"")</f>
        <v>15.67780219897565</v>
      </c>
      <c r="AS78" s="89">
        <f t="shared" si="8"/>
        <v>-0.70002442119787389</v>
      </c>
      <c r="AT78" s="90">
        <f t="shared" si="9"/>
        <v>13.6</v>
      </c>
      <c r="AU78" s="90" t="str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/>
      </c>
      <c r="AV78" s="91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8" s="92" t="str">
        <f t="shared" si="10"/>
        <v>NA</v>
      </c>
    </row>
    <row r="79" spans="1:49" ht="14.25" customHeight="1" x14ac:dyDescent="0.2">
      <c r="A79" s="48">
        <v>44045010</v>
      </c>
      <c r="B79" s="52" t="s">
        <v>192</v>
      </c>
      <c r="C79" s="52" t="s">
        <v>178</v>
      </c>
      <c r="D79" s="53">
        <v>-75.961500000000001</v>
      </c>
      <c r="E79" s="53">
        <v>1.325138889</v>
      </c>
      <c r="F79" s="48">
        <v>320</v>
      </c>
      <c r="G79" s="46">
        <v>18</v>
      </c>
      <c r="H79" s="46">
        <v>18610</v>
      </c>
      <c r="I79" s="55" t="s">
        <v>193</v>
      </c>
      <c r="J79" s="55" t="s">
        <v>194</v>
      </c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0</v>
      </c>
      <c r="AQ79" s="89" t="str">
        <f t="shared" si="7"/>
        <v/>
      </c>
      <c r="AR79" s="89">
        <f>IFERROR(VLOOKUP(A79,Climatologia!A:U,9+$E$2,FALSE),"")</f>
        <v>20.9214094475129</v>
      </c>
      <c r="AS79" s="89" t="str">
        <f t="shared" si="8"/>
        <v/>
      </c>
      <c r="AT79" s="90" t="str">
        <f t="shared" si="9"/>
        <v/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17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79" s="92" t="str">
        <f t="shared" si="10"/>
        <v>NA</v>
      </c>
    </row>
    <row r="80" spans="1:49" ht="14.25" customHeight="1" x14ac:dyDescent="0.2">
      <c r="A80" s="48">
        <v>44045020</v>
      </c>
      <c r="B80" s="52" t="s">
        <v>195</v>
      </c>
      <c r="C80" s="52" t="s">
        <v>178</v>
      </c>
      <c r="D80" s="53">
        <v>-75.70447222</v>
      </c>
      <c r="E80" s="53">
        <v>1.1952499999999999</v>
      </c>
      <c r="F80" s="48">
        <v>270</v>
      </c>
      <c r="G80" s="46">
        <v>18</v>
      </c>
      <c r="H80" s="46">
        <v>18860</v>
      </c>
      <c r="I80" s="55" t="s">
        <v>193</v>
      </c>
      <c r="J80" s="55" t="s">
        <v>196</v>
      </c>
      <c r="K80" s="51">
        <v>23.6</v>
      </c>
      <c r="L80" s="51">
        <v>23.2</v>
      </c>
      <c r="M80" s="51">
        <v>23.2</v>
      </c>
      <c r="N80" s="51">
        <v>23.8</v>
      </c>
      <c r="O80" s="51">
        <v>23.6</v>
      </c>
      <c r="P80" s="51">
        <v>23.4</v>
      </c>
      <c r="Q80" s="51">
        <v>23</v>
      </c>
      <c r="R80" s="51">
        <v>23</v>
      </c>
      <c r="S80" s="51">
        <v>23.8</v>
      </c>
      <c r="T80" s="51">
        <v>22.4</v>
      </c>
      <c r="U80" s="51">
        <v>22.6</v>
      </c>
      <c r="V80" s="51">
        <v>23.6</v>
      </c>
      <c r="W80" s="51">
        <v>23.4</v>
      </c>
      <c r="X80" s="51">
        <v>22.6</v>
      </c>
      <c r="Y80" s="51">
        <v>23</v>
      </c>
      <c r="Z80" s="111">
        <v>22.2</v>
      </c>
      <c r="AA80" s="51">
        <v>23</v>
      </c>
      <c r="AB80" s="51">
        <v>23.6</v>
      </c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88">
        <f t="shared" si="6"/>
        <v>18</v>
      </c>
      <c r="AQ80" s="89">
        <f t="shared" si="7"/>
        <v>23.166666666666671</v>
      </c>
      <c r="AR80" s="89">
        <f>IFERROR(VLOOKUP(A80,Climatologia!A:U,9+$E$2,FALSE),"")</f>
        <v>22.145798455144551</v>
      </c>
      <c r="AS80" s="89">
        <f t="shared" si="8"/>
        <v>1.0208682115221208</v>
      </c>
      <c r="AT80" s="90">
        <f t="shared" si="9"/>
        <v>22.2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17.600000000000001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0" s="92">
        <f t="shared" si="10"/>
        <v>4.5999999999999979</v>
      </c>
    </row>
    <row r="81" spans="1:50" ht="14.25" customHeight="1" x14ac:dyDescent="0.2">
      <c r="A81" s="48">
        <v>15045010</v>
      </c>
      <c r="B81" s="52" t="s">
        <v>197</v>
      </c>
      <c r="C81" s="52" t="s">
        <v>198</v>
      </c>
      <c r="D81" s="53">
        <v>-73.030277780000006</v>
      </c>
      <c r="E81" s="53">
        <v>11.26388889</v>
      </c>
      <c r="F81" s="48">
        <v>20</v>
      </c>
      <c r="G81" s="46">
        <v>44</v>
      </c>
      <c r="H81" s="46">
        <v>44001</v>
      </c>
      <c r="I81" s="55" t="s">
        <v>40</v>
      </c>
      <c r="J81" s="55" t="s">
        <v>41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0</v>
      </c>
      <c r="AQ81" s="89" t="str">
        <f t="shared" si="7"/>
        <v/>
      </c>
      <c r="AR81" s="89" t="str">
        <f>IFERROR(VLOOKUP(A81,Climatologia!A:U,9+$E$2,FALSE),"")</f>
        <v/>
      </c>
      <c r="AS81" s="89" t="str">
        <f t="shared" si="8"/>
        <v/>
      </c>
      <c r="AT81" s="90" t="str">
        <f t="shared" si="9"/>
        <v/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29125</v>
      </c>
      <c r="AW81" s="92" t="str">
        <f t="shared" si="10"/>
        <v>NA</v>
      </c>
    </row>
    <row r="82" spans="1:50" ht="14.25" customHeight="1" x14ac:dyDescent="0.2">
      <c r="A82" s="48">
        <v>15075030</v>
      </c>
      <c r="B82" s="52" t="s">
        <v>199</v>
      </c>
      <c r="C82" s="52" t="s">
        <v>198</v>
      </c>
      <c r="D82" s="53">
        <v>-72.463499999999996</v>
      </c>
      <c r="E82" s="53">
        <v>11.78105556</v>
      </c>
      <c r="F82" s="48">
        <v>1</v>
      </c>
      <c r="G82" s="46">
        <v>44</v>
      </c>
      <c r="H82" s="46">
        <v>44560</v>
      </c>
      <c r="I82" s="55" t="s">
        <v>40</v>
      </c>
      <c r="J82" s="55" t="s">
        <v>199</v>
      </c>
      <c r="K82" s="51">
        <v>27.2</v>
      </c>
      <c r="L82" s="51">
        <v>26.8</v>
      </c>
      <c r="M82" s="51">
        <v>27</v>
      </c>
      <c r="N82" s="51">
        <v>27.4</v>
      </c>
      <c r="O82" s="51">
        <v>28</v>
      </c>
      <c r="P82" s="51">
        <v>28.8</v>
      </c>
      <c r="Q82" s="51">
        <v>29.4</v>
      </c>
      <c r="R82" s="51">
        <v>28.6</v>
      </c>
      <c r="S82" s="51">
        <v>27.4</v>
      </c>
      <c r="T82" s="51">
        <v>28.4</v>
      </c>
      <c r="U82" s="51">
        <v>28.8</v>
      </c>
      <c r="V82" s="51"/>
      <c r="W82" s="51">
        <v>28.2</v>
      </c>
      <c r="X82" s="51">
        <v>27.2</v>
      </c>
      <c r="Y82" s="51">
        <v>27.6</v>
      </c>
      <c r="Z82" s="111">
        <v>28.8</v>
      </c>
      <c r="AA82" s="51">
        <v>27.8</v>
      </c>
      <c r="AB82" s="51">
        <v>29</v>
      </c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88">
        <f t="shared" si="6"/>
        <v>17</v>
      </c>
      <c r="AQ82" s="89">
        <f t="shared" si="7"/>
        <v>28.023529411764709</v>
      </c>
      <c r="AR82" s="89" t="str">
        <f>IFERROR(VLOOKUP(A82,Climatologia!A:U,9+$E$2,FALSE),"")</f>
        <v/>
      </c>
      <c r="AS82" s="89" t="str">
        <f t="shared" si="8"/>
        <v/>
      </c>
      <c r="AT82" s="90">
        <f t="shared" si="9"/>
        <v>26.8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31662</v>
      </c>
      <c r="AW82" s="92">
        <f t="shared" si="10"/>
        <v>9</v>
      </c>
    </row>
    <row r="83" spans="1:50" ht="14.25" customHeight="1" x14ac:dyDescent="0.2">
      <c r="A83" s="48">
        <v>15085030</v>
      </c>
      <c r="B83" s="52" t="s">
        <v>200</v>
      </c>
      <c r="C83" s="52" t="s">
        <v>198</v>
      </c>
      <c r="D83" s="53">
        <v>-72.359944440000007</v>
      </c>
      <c r="E83" s="53">
        <v>11.216749999999999</v>
      </c>
      <c r="F83" s="48">
        <v>118</v>
      </c>
      <c r="G83" s="46">
        <v>44</v>
      </c>
      <c r="H83" s="46">
        <v>44430</v>
      </c>
      <c r="I83" s="55" t="s">
        <v>40</v>
      </c>
      <c r="J83" s="55" t="s">
        <v>201</v>
      </c>
      <c r="K83" s="51">
        <v>25.4</v>
      </c>
      <c r="L83" s="51">
        <v>26.8</v>
      </c>
      <c r="M83" s="51">
        <v>27.2</v>
      </c>
      <c r="N83" s="51">
        <v>26</v>
      </c>
      <c r="O83" s="51">
        <v>27.6</v>
      </c>
      <c r="P83" s="51">
        <v>27</v>
      </c>
      <c r="Q83" s="51">
        <v>27.8</v>
      </c>
      <c r="R83" s="51">
        <v>27.2</v>
      </c>
      <c r="S83" s="51">
        <v>27.8</v>
      </c>
      <c r="T83" s="51">
        <v>27.6</v>
      </c>
      <c r="U83" s="51">
        <v>27</v>
      </c>
      <c r="V83" s="51">
        <v>27.6</v>
      </c>
      <c r="W83" s="51">
        <v>27</v>
      </c>
      <c r="X83" s="51">
        <v>27.4</v>
      </c>
      <c r="Y83" s="51">
        <v>26.8</v>
      </c>
      <c r="Z83" s="111">
        <v>27.8</v>
      </c>
      <c r="AA83" s="51">
        <v>27.2</v>
      </c>
      <c r="AB83" s="51">
        <v>28</v>
      </c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88">
        <f t="shared" si="6"/>
        <v>18</v>
      </c>
      <c r="AQ83" s="89">
        <f t="shared" si="7"/>
        <v>27.177777777777781</v>
      </c>
      <c r="AR83" s="89">
        <f>IFERROR(VLOOKUP(A83,Climatologia!A:U,9+$E$2,FALSE),"")</f>
        <v>23.18181172727245</v>
      </c>
      <c r="AS83" s="89">
        <f t="shared" si="8"/>
        <v>3.9959660505053307</v>
      </c>
      <c r="AT83" s="90">
        <f t="shared" si="9"/>
        <v>25.4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15.2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33120</v>
      </c>
      <c r="AW83" s="92">
        <f t="shared" si="10"/>
        <v>10.199999999999999</v>
      </c>
    </row>
    <row r="84" spans="1:50" ht="14.25" customHeight="1" x14ac:dyDescent="0.2">
      <c r="A84" s="48">
        <v>25025002</v>
      </c>
      <c r="B84" s="52" t="s">
        <v>202</v>
      </c>
      <c r="C84" s="52" t="s">
        <v>198</v>
      </c>
      <c r="D84" s="53">
        <v>-74.273638890000001</v>
      </c>
      <c r="E84" s="53">
        <v>9.3040555559999998</v>
      </c>
      <c r="F84" s="48">
        <v>25</v>
      </c>
      <c r="G84" s="46">
        <v>47</v>
      </c>
      <c r="H84" s="46">
        <v>47692</v>
      </c>
      <c r="I84" s="55" t="s">
        <v>31</v>
      </c>
      <c r="J84" s="55" t="s">
        <v>203</v>
      </c>
      <c r="K84" s="51">
        <v>23.6</v>
      </c>
      <c r="L84" s="51">
        <v>25.2</v>
      </c>
      <c r="M84" s="51">
        <v>23.6</v>
      </c>
      <c r="N84" s="51">
        <v>26.6</v>
      </c>
      <c r="O84" s="51">
        <v>24.8</v>
      </c>
      <c r="P84" s="51">
        <v>24.6</v>
      </c>
      <c r="Q84" s="51">
        <v>24.4</v>
      </c>
      <c r="R84" s="51">
        <v>24.7</v>
      </c>
      <c r="S84" s="51">
        <v>25.4</v>
      </c>
      <c r="T84" s="51">
        <v>26.2</v>
      </c>
      <c r="U84" s="51">
        <v>24</v>
      </c>
      <c r="V84" s="51">
        <v>24.6</v>
      </c>
      <c r="W84" s="51">
        <v>24.8</v>
      </c>
      <c r="X84" s="51">
        <v>25.2</v>
      </c>
      <c r="Y84" s="51">
        <v>22.8</v>
      </c>
      <c r="Z84" s="111">
        <v>22.2</v>
      </c>
      <c r="AA84" s="51">
        <v>26.6</v>
      </c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88">
        <f t="shared" si="6"/>
        <v>17</v>
      </c>
      <c r="AQ84" s="89">
        <f t="shared" si="7"/>
        <v>24.664705882352944</v>
      </c>
      <c r="AR84" s="89">
        <f>IFERROR(VLOOKUP(A84,Climatologia!A:U,9+$E$2,FALSE),"")</f>
        <v>22.978702810599369</v>
      </c>
      <c r="AS84" s="89">
        <f t="shared" si="8"/>
        <v>1.686003071753575</v>
      </c>
      <c r="AT84" s="90">
        <f t="shared" si="9"/>
        <v>22.2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18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38244</v>
      </c>
      <c r="AW84" s="92">
        <f t="shared" si="10"/>
        <v>4.1999999999999993</v>
      </c>
    </row>
    <row r="85" spans="1:50" ht="14.25" customHeight="1" x14ac:dyDescent="0.2">
      <c r="A85" s="48">
        <v>28015070</v>
      </c>
      <c r="B85" s="52" t="s">
        <v>204</v>
      </c>
      <c r="C85" s="52" t="s">
        <v>198</v>
      </c>
      <c r="D85" s="53">
        <v>-73.016388890000002</v>
      </c>
      <c r="E85" s="53">
        <v>10.566388890000001</v>
      </c>
      <c r="F85" s="48">
        <v>255</v>
      </c>
      <c r="G85" s="46">
        <v>44</v>
      </c>
      <c r="H85" s="46">
        <v>44855</v>
      </c>
      <c r="I85" s="55" t="s">
        <v>40</v>
      </c>
      <c r="J85" s="55" t="s">
        <v>205</v>
      </c>
      <c r="K85" s="51">
        <v>20</v>
      </c>
      <c r="L85" s="51">
        <v>19.8</v>
      </c>
      <c r="M85" s="51">
        <v>21.8</v>
      </c>
      <c r="N85" s="51">
        <v>20</v>
      </c>
      <c r="O85" s="51">
        <v>21.8</v>
      </c>
      <c r="P85" s="51">
        <v>21.6</v>
      </c>
      <c r="Q85" s="51">
        <v>20.6</v>
      </c>
      <c r="R85" s="51">
        <v>20.399999999999999</v>
      </c>
      <c r="S85" s="51">
        <v>22</v>
      </c>
      <c r="T85" s="51">
        <v>22.2</v>
      </c>
      <c r="U85" s="51">
        <v>20.8</v>
      </c>
      <c r="V85" s="51">
        <v>21.4</v>
      </c>
      <c r="W85" s="51">
        <v>21.4</v>
      </c>
      <c r="X85" s="51">
        <v>22.8</v>
      </c>
      <c r="Y85" s="51">
        <v>21</v>
      </c>
      <c r="Z85" s="111">
        <v>22</v>
      </c>
      <c r="AA85" s="51">
        <v>21.6</v>
      </c>
      <c r="AB85" s="51">
        <v>21.4</v>
      </c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88">
        <f t="shared" si="6"/>
        <v>18</v>
      </c>
      <c r="AQ85" s="89">
        <f t="shared" si="7"/>
        <v>21.255555555555556</v>
      </c>
      <c r="AR85" s="89">
        <f>IFERROR(VLOOKUP(A85,Climatologia!A:U,9+$E$2,FALSE),"")</f>
        <v>22.3738564692013</v>
      </c>
      <c r="AS85" s="89">
        <f t="shared" si="8"/>
        <v>-1.1183009136457436</v>
      </c>
      <c r="AT85" s="90">
        <f t="shared" si="9"/>
        <v>19.8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18.5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85" s="92">
        <f t="shared" si="10"/>
        <v>1.3000000000000007</v>
      </c>
    </row>
    <row r="86" spans="1:50" ht="14.25" customHeight="1" x14ac:dyDescent="0.2">
      <c r="A86" s="48">
        <v>28035010</v>
      </c>
      <c r="B86" s="52" t="s">
        <v>206</v>
      </c>
      <c r="C86" s="52" t="s">
        <v>198</v>
      </c>
      <c r="D86" s="53">
        <v>-73.547388889999993</v>
      </c>
      <c r="E86" s="53">
        <v>10.190666670000001</v>
      </c>
      <c r="F86" s="48">
        <v>70</v>
      </c>
      <c r="G86" s="46">
        <v>20</v>
      </c>
      <c r="H86" s="46">
        <v>20001</v>
      </c>
      <c r="I86" s="55" t="s">
        <v>43</v>
      </c>
      <c r="J86" s="55" t="s">
        <v>44</v>
      </c>
      <c r="K86" s="51">
        <v>23.4</v>
      </c>
      <c r="L86" s="51"/>
      <c r="M86" s="51">
        <v>24.2</v>
      </c>
      <c r="N86" s="51">
        <v>24</v>
      </c>
      <c r="O86" s="51">
        <v>26.6</v>
      </c>
      <c r="P86" s="51">
        <v>25</v>
      </c>
      <c r="Q86" s="51">
        <v>24.2</v>
      </c>
      <c r="R86" s="51">
        <v>25.2</v>
      </c>
      <c r="S86" s="51">
        <v>27.2</v>
      </c>
      <c r="T86" s="51">
        <v>27.8</v>
      </c>
      <c r="U86" s="51">
        <v>25.6</v>
      </c>
      <c r="V86" s="51">
        <v>26.4</v>
      </c>
      <c r="W86" s="51">
        <v>26.2</v>
      </c>
      <c r="X86" s="51">
        <v>27.6</v>
      </c>
      <c r="Y86" s="51">
        <v>27.6</v>
      </c>
      <c r="Z86" s="111">
        <v>22.8</v>
      </c>
      <c r="AA86" s="51">
        <v>25.6</v>
      </c>
      <c r="AB86" s="51">
        <v>25.8</v>
      </c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88">
        <f t="shared" si="6"/>
        <v>17</v>
      </c>
      <c r="AQ86" s="89">
        <f t="shared" si="7"/>
        <v>25.6</v>
      </c>
      <c r="AR86" s="89">
        <f>IFERROR(VLOOKUP(A86,Climatologia!A:U,9+$E$2,FALSE),"")</f>
        <v>23.309072933771219</v>
      </c>
      <c r="AS86" s="89">
        <f t="shared" si="8"/>
        <v>2.2909270662287824</v>
      </c>
      <c r="AT86" s="90">
        <f t="shared" si="9"/>
        <v>22.8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31684</v>
      </c>
      <c r="AW86" s="92">
        <f t="shared" si="10"/>
        <v>4.8000000000000007</v>
      </c>
    </row>
    <row r="87" spans="1:50" ht="14.25" customHeight="1" x14ac:dyDescent="0.2">
      <c r="A87" s="48">
        <v>28035020</v>
      </c>
      <c r="B87" s="52" t="s">
        <v>207</v>
      </c>
      <c r="C87" s="52" t="s">
        <v>198</v>
      </c>
      <c r="D87" s="53">
        <v>-73.319444439999998</v>
      </c>
      <c r="E87" s="53">
        <v>10.363055559999999</v>
      </c>
      <c r="F87" s="48">
        <v>110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24</v>
      </c>
      <c r="L87" s="51">
        <v>24.2</v>
      </c>
      <c r="M87" s="51">
        <v>23.6</v>
      </c>
      <c r="N87" s="51">
        <v>22.8</v>
      </c>
      <c r="O87" s="51">
        <v>25.6</v>
      </c>
      <c r="P87" s="51">
        <v>25</v>
      </c>
      <c r="Q87" s="51">
        <v>23.4</v>
      </c>
      <c r="R87" s="51">
        <v>26.6</v>
      </c>
      <c r="S87" s="51">
        <v>28.4</v>
      </c>
      <c r="T87" s="51">
        <v>27.4</v>
      </c>
      <c r="U87" s="51">
        <v>25.2</v>
      </c>
      <c r="V87" s="51">
        <v>26.6</v>
      </c>
      <c r="W87" s="51">
        <v>27.8</v>
      </c>
      <c r="X87" s="51">
        <v>27.6</v>
      </c>
      <c r="Y87" s="51">
        <v>27.6</v>
      </c>
      <c r="Z87" s="111">
        <v>25.6</v>
      </c>
      <c r="AA87" s="51">
        <v>25.6</v>
      </c>
      <c r="AB87" s="51">
        <v>27.4</v>
      </c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88">
        <f t="shared" si="6"/>
        <v>18</v>
      </c>
      <c r="AQ87" s="89">
        <f t="shared" si="7"/>
        <v>25.800000000000008</v>
      </c>
      <c r="AR87" s="89">
        <f>IFERROR(VLOOKUP(A87,Climatologia!A:U,9+$E$2,FALSE),"")</f>
        <v>22.641522648439089</v>
      </c>
      <c r="AS87" s="89">
        <f t="shared" si="8"/>
        <v>3.1584773515609186</v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17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29469</v>
      </c>
      <c r="AW87" s="92">
        <f t="shared" si="10"/>
        <v>5.8000000000000007</v>
      </c>
    </row>
    <row r="88" spans="1:50" s="118" customFormat="1" ht="14.25" customHeight="1" x14ac:dyDescent="0.2">
      <c r="A88" s="48">
        <v>25025330</v>
      </c>
      <c r="B88" s="52" t="s">
        <v>208</v>
      </c>
      <c r="C88" s="52" t="s">
        <v>198</v>
      </c>
      <c r="D88" s="53">
        <v>-73.630083330000005</v>
      </c>
      <c r="E88" s="53">
        <v>8.9542222220000003</v>
      </c>
      <c r="F88" s="48">
        <v>50</v>
      </c>
      <c r="G88" s="46">
        <v>20</v>
      </c>
      <c r="H88" s="46">
        <v>20517</v>
      </c>
      <c r="I88" s="55" t="s">
        <v>43</v>
      </c>
      <c r="J88" s="55" t="s">
        <v>209</v>
      </c>
      <c r="K88" s="116">
        <v>24.8</v>
      </c>
      <c r="L88" s="116">
        <v>24.2</v>
      </c>
      <c r="M88" s="116">
        <v>24.2</v>
      </c>
      <c r="N88" s="116">
        <v>25.8</v>
      </c>
      <c r="O88" s="116">
        <v>25.6</v>
      </c>
      <c r="P88" s="116">
        <v>26.2</v>
      </c>
      <c r="Q88" s="116">
        <v>25.2</v>
      </c>
      <c r="R88" s="116">
        <v>26.2</v>
      </c>
      <c r="S88" s="116">
        <v>26.8</v>
      </c>
      <c r="T88" s="116">
        <v>27.4</v>
      </c>
      <c r="U88" s="116">
        <v>25</v>
      </c>
      <c r="V88" s="116">
        <v>25.8</v>
      </c>
      <c r="W88" s="116">
        <v>27.2</v>
      </c>
      <c r="X88" s="116">
        <v>25.6</v>
      </c>
      <c r="Y88" s="116">
        <v>24.6</v>
      </c>
      <c r="Z88" s="117">
        <v>24.6</v>
      </c>
      <c r="AA88" s="116">
        <v>25.4</v>
      </c>
      <c r="AB88" s="116">
        <v>27</v>
      </c>
      <c r="AC88" s="116"/>
      <c r="AD88" s="116"/>
      <c r="AE88" s="116"/>
      <c r="AF88" s="116"/>
      <c r="AG88" s="116"/>
      <c r="AH88" s="116"/>
      <c r="AI88" s="116"/>
      <c r="AJ88" s="116"/>
      <c r="AK88" s="116"/>
      <c r="AL88" s="116"/>
      <c r="AM88" s="116"/>
      <c r="AN88" s="116"/>
      <c r="AO88" s="116"/>
      <c r="AP88" s="88">
        <f t="shared" si="6"/>
        <v>18</v>
      </c>
      <c r="AQ88" s="89">
        <f t="shared" si="7"/>
        <v>25.644444444444446</v>
      </c>
      <c r="AR88" s="89">
        <f>IFERROR(VLOOKUP(A88,Climatologia!A:U,9+$E$2,FALSE),"")</f>
        <v>22.80732142857142</v>
      </c>
      <c r="AS88" s="89">
        <f t="shared" si="8"/>
        <v>2.8371230158730256</v>
      </c>
      <c r="AT88" s="90">
        <f t="shared" si="9"/>
        <v>24.2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14.2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34231</v>
      </c>
      <c r="AW88" s="92">
        <f t="shared" si="10"/>
        <v>10</v>
      </c>
      <c r="AX88" s="74"/>
    </row>
    <row r="89" spans="1:50" ht="14.25" customHeight="1" x14ac:dyDescent="0.2">
      <c r="A89" s="48">
        <v>23125100</v>
      </c>
      <c r="B89" s="52" t="s">
        <v>210</v>
      </c>
      <c r="C89" s="52" t="s">
        <v>211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212</v>
      </c>
      <c r="J89" s="55" t="s">
        <v>210</v>
      </c>
      <c r="K89" s="51">
        <v>11.2</v>
      </c>
      <c r="L89" s="51">
        <v>10.199999999999999</v>
      </c>
      <c r="M89" s="51">
        <v>11</v>
      </c>
      <c r="N89" s="51">
        <v>11</v>
      </c>
      <c r="O89" s="51">
        <v>13.2</v>
      </c>
      <c r="P89" s="51">
        <v>11.6</v>
      </c>
      <c r="Q89" s="51">
        <v>11.8</v>
      </c>
      <c r="R89" s="51">
        <v>10.4</v>
      </c>
      <c r="S89" s="51">
        <v>12</v>
      </c>
      <c r="T89" s="51">
        <v>12.4</v>
      </c>
      <c r="U89" s="51">
        <v>13</v>
      </c>
      <c r="V89" s="51">
        <v>11.2</v>
      </c>
      <c r="W89" s="51">
        <v>11</v>
      </c>
      <c r="X89" s="51">
        <v>14</v>
      </c>
      <c r="Y89" s="51">
        <v>13</v>
      </c>
      <c r="Z89" s="111">
        <v>11.4</v>
      </c>
      <c r="AA89" s="51">
        <v>13.8</v>
      </c>
      <c r="AB89" s="51">
        <v>13</v>
      </c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88">
        <f t="shared" si="6"/>
        <v>18</v>
      </c>
      <c r="AQ89" s="89">
        <f t="shared" si="7"/>
        <v>11.955555555555556</v>
      </c>
      <c r="AR89" s="89">
        <f>IFERROR(VLOOKUP(A89,Climatologia!A:U,9+$E$2,FALSE),"")</f>
        <v>11.04377011494253</v>
      </c>
      <c r="AS89" s="89">
        <f t="shared" si="8"/>
        <v>0.91178544061302524</v>
      </c>
      <c r="AT89" s="90">
        <f t="shared" si="9"/>
        <v>10.199999999999999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36787</v>
      </c>
      <c r="AW89" s="92">
        <f t="shared" si="10"/>
        <v>5.9999999999999991</v>
      </c>
    </row>
    <row r="90" spans="1:50" ht="14.25" customHeight="1" x14ac:dyDescent="0.2">
      <c r="A90" s="48">
        <v>23125140</v>
      </c>
      <c r="B90" s="52" t="s">
        <v>213</v>
      </c>
      <c r="C90" s="52" t="s">
        <v>211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212</v>
      </c>
      <c r="J90" s="55" t="s">
        <v>214</v>
      </c>
      <c r="K90" s="51">
        <v>19.2</v>
      </c>
      <c r="L90" s="51">
        <v>18.600000000000001</v>
      </c>
      <c r="M90" s="51">
        <v>19</v>
      </c>
      <c r="N90" s="51">
        <v>19.2</v>
      </c>
      <c r="O90" s="51">
        <v>19</v>
      </c>
      <c r="P90" s="51">
        <v>19.399999999999999</v>
      </c>
      <c r="Q90" s="51">
        <v>17.600000000000001</v>
      </c>
      <c r="R90" s="51">
        <v>18.399999999999999</v>
      </c>
      <c r="S90" s="51">
        <v>19.899999999999999</v>
      </c>
      <c r="T90" s="51">
        <v>18.399999999999999</v>
      </c>
      <c r="U90" s="51">
        <v>19</v>
      </c>
      <c r="V90" s="51">
        <v>19.2</v>
      </c>
      <c r="W90" s="51">
        <v>19.399999999999999</v>
      </c>
      <c r="X90" s="51">
        <v>19.600000000000001</v>
      </c>
      <c r="Y90" s="51">
        <v>19.8</v>
      </c>
      <c r="Z90" s="111">
        <v>19.399999999999999</v>
      </c>
      <c r="AA90" s="51">
        <v>19</v>
      </c>
      <c r="AB90" s="51">
        <v>19.2</v>
      </c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88">
        <f t="shared" si="6"/>
        <v>18</v>
      </c>
      <c r="AQ90" s="89">
        <f t="shared" si="7"/>
        <v>19.072222222222223</v>
      </c>
      <c r="AR90" s="89">
        <f>IFERROR(VLOOKUP(A90,Climatologia!A:U,9+$E$2,FALSE),"")</f>
        <v>17.65629355956942</v>
      </c>
      <c r="AS90" s="89">
        <f t="shared" si="8"/>
        <v>1.4159286626528029</v>
      </c>
      <c r="AT90" s="90">
        <f t="shared" si="9"/>
        <v>17.600000000000001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90" s="92">
        <f t="shared" si="10"/>
        <v>3.4000000000000021</v>
      </c>
    </row>
    <row r="91" spans="1:50" ht="14.25" customHeight="1" x14ac:dyDescent="0.2">
      <c r="A91" s="48">
        <v>24015090</v>
      </c>
      <c r="B91" s="52" t="s">
        <v>215</v>
      </c>
      <c r="C91" s="52" t="s">
        <v>211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212</v>
      </c>
      <c r="J91" s="55" t="s">
        <v>216</v>
      </c>
      <c r="K91" s="51">
        <v>12.2</v>
      </c>
      <c r="L91" s="51">
        <v>10.199999999999999</v>
      </c>
      <c r="M91" s="51">
        <v>10.199999999999999</v>
      </c>
      <c r="N91" s="51">
        <v>10.8</v>
      </c>
      <c r="O91" s="51"/>
      <c r="P91" s="51"/>
      <c r="Q91" s="51">
        <v>12</v>
      </c>
      <c r="R91" s="51">
        <v>9</v>
      </c>
      <c r="S91" s="51">
        <v>12.4</v>
      </c>
      <c r="T91" s="51">
        <v>12.4</v>
      </c>
      <c r="U91" s="51">
        <v>12.4</v>
      </c>
      <c r="V91" s="51">
        <v>11.8</v>
      </c>
      <c r="W91" s="51">
        <v>11.8</v>
      </c>
      <c r="X91" s="51"/>
      <c r="Y91" s="51">
        <v>12</v>
      </c>
      <c r="Z91" s="111">
        <v>11.8</v>
      </c>
      <c r="AA91" s="51">
        <v>13.8</v>
      </c>
      <c r="AB91" s="51">
        <v>11</v>
      </c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88">
        <f t="shared" si="6"/>
        <v>15</v>
      </c>
      <c r="AQ91" s="89">
        <f t="shared" si="7"/>
        <v>11.586666666666668</v>
      </c>
      <c r="AR91" s="89">
        <f>IFERROR(VLOOKUP(A91,Climatologia!A:U,9+$E$2,FALSE),"")</f>
        <v>11.22937715871128</v>
      </c>
      <c r="AS91" s="89">
        <f t="shared" si="8"/>
        <v>0.35728950795538772</v>
      </c>
      <c r="AT91" s="90">
        <f t="shared" si="9"/>
        <v>9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7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1" s="92">
        <f t="shared" si="10"/>
        <v>2</v>
      </c>
    </row>
    <row r="92" spans="1:50" ht="14.25" customHeight="1" x14ac:dyDescent="0.2">
      <c r="A92" s="48">
        <v>24015220</v>
      </c>
      <c r="B92" s="52" t="s">
        <v>217</v>
      </c>
      <c r="C92" s="52" t="s">
        <v>211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212</v>
      </c>
      <c r="J92" s="55" t="s">
        <v>218</v>
      </c>
      <c r="K92" s="51">
        <v>9.4</v>
      </c>
      <c r="L92" s="51">
        <v>10.4</v>
      </c>
      <c r="M92" s="51">
        <v>9.6</v>
      </c>
      <c r="N92" s="51">
        <v>9.4</v>
      </c>
      <c r="O92" s="51">
        <v>10</v>
      </c>
      <c r="P92" s="51">
        <v>8.8000000000000007</v>
      </c>
      <c r="Q92" s="51">
        <v>8.1999999999999993</v>
      </c>
      <c r="R92" s="51">
        <v>6</v>
      </c>
      <c r="S92" s="51">
        <v>11.4</v>
      </c>
      <c r="T92" s="51">
        <v>10.4</v>
      </c>
      <c r="U92" s="51">
        <v>9.8000000000000007</v>
      </c>
      <c r="V92" s="51">
        <v>10</v>
      </c>
      <c r="W92" s="51">
        <v>10.4</v>
      </c>
      <c r="X92" s="51">
        <v>10.6</v>
      </c>
      <c r="Y92" s="51">
        <v>9.1999999999999993</v>
      </c>
      <c r="Z92" s="111">
        <v>11</v>
      </c>
      <c r="AA92" s="51">
        <v>10.199999999999999</v>
      </c>
      <c r="AB92" s="51">
        <v>10.8</v>
      </c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88">
        <f t="shared" si="6"/>
        <v>18</v>
      </c>
      <c r="AQ92" s="89">
        <f t="shared" si="7"/>
        <v>9.7555555555555546</v>
      </c>
      <c r="AR92" s="89">
        <f>IFERROR(VLOOKUP(A92,Climatologia!A:U,9+$E$2,FALSE),"")</f>
        <v>8.2655190007037298</v>
      </c>
      <c r="AS92" s="89">
        <f t="shared" si="8"/>
        <v>1.4900365548518248</v>
      </c>
      <c r="AT92" s="90">
        <f t="shared" si="9"/>
        <v>6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1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2" s="92">
        <f t="shared" si="10"/>
        <v>5</v>
      </c>
    </row>
    <row r="93" spans="1:50" ht="14.25" customHeight="1" x14ac:dyDescent="0.2">
      <c r="A93" s="48">
        <v>24015300</v>
      </c>
      <c r="B93" s="52" t="s">
        <v>219</v>
      </c>
      <c r="C93" s="52" t="s">
        <v>211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212</v>
      </c>
      <c r="J93" s="55" t="s">
        <v>220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10.537256571653121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50" ht="14.25" customHeight="1" x14ac:dyDescent="0.2">
      <c r="A94" s="48">
        <v>24015360</v>
      </c>
      <c r="B94" s="52" t="s">
        <v>221</v>
      </c>
      <c r="C94" s="52" t="s">
        <v>211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212</v>
      </c>
      <c r="J94" s="55" t="s">
        <v>222</v>
      </c>
      <c r="K94" s="51">
        <v>7.2</v>
      </c>
      <c r="L94" s="51">
        <v>6.2</v>
      </c>
      <c r="M94" s="51">
        <v>4.4000000000000004</v>
      </c>
      <c r="N94" s="51">
        <v>4.2</v>
      </c>
      <c r="O94" s="51">
        <v>7.2</v>
      </c>
      <c r="P94" s="51">
        <v>8.4</v>
      </c>
      <c r="Q94" s="51">
        <v>2.2000000000000002</v>
      </c>
      <c r="R94" s="51">
        <v>4.4000000000000004</v>
      </c>
      <c r="S94" s="51">
        <v>3.2</v>
      </c>
      <c r="T94" s="51">
        <v>7.4</v>
      </c>
      <c r="U94" s="51">
        <v>3.2</v>
      </c>
      <c r="V94" s="51">
        <v>7.2</v>
      </c>
      <c r="W94" s="51">
        <v>8.1999999999999993</v>
      </c>
      <c r="X94" s="51">
        <v>4.4000000000000004</v>
      </c>
      <c r="Y94" s="51">
        <v>4.8</v>
      </c>
      <c r="Z94" s="111">
        <v>5</v>
      </c>
      <c r="AA94" s="51">
        <v>6</v>
      </c>
      <c r="AB94" s="51">
        <v>7.2</v>
      </c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88">
        <f t="shared" si="6"/>
        <v>18</v>
      </c>
      <c r="AQ94" s="89">
        <f t="shared" si="7"/>
        <v>5.6000000000000005</v>
      </c>
      <c r="AR94" s="89" t="str">
        <f>IFERROR(VLOOKUP(A94,Climatologia!A:U,9+$E$2,FALSE),"")</f>
        <v/>
      </c>
      <c r="AS94" s="89" t="str">
        <f t="shared" si="8"/>
        <v/>
      </c>
      <c r="AT94" s="90">
        <f t="shared" si="9"/>
        <v>2.2000000000000002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0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45190</v>
      </c>
      <c r="AW94" s="92">
        <f t="shared" si="10"/>
        <v>2.2000000000000002</v>
      </c>
    </row>
    <row r="95" spans="1:50" ht="14.25" customHeight="1" x14ac:dyDescent="0.2">
      <c r="A95" s="48">
        <v>24035040</v>
      </c>
      <c r="B95" s="52" t="s">
        <v>223</v>
      </c>
      <c r="C95" s="52" t="s">
        <v>211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212</v>
      </c>
      <c r="J95" s="55" t="s">
        <v>224</v>
      </c>
      <c r="K95" s="51">
        <v>3.2</v>
      </c>
      <c r="L95" s="51">
        <v>6.4</v>
      </c>
      <c r="M95" s="51">
        <v>5.6</v>
      </c>
      <c r="N95" s="51">
        <v>6.8</v>
      </c>
      <c r="O95" s="51">
        <v>4.4000000000000004</v>
      </c>
      <c r="P95" s="51">
        <v>6.2</v>
      </c>
      <c r="Q95" s="51">
        <v>5</v>
      </c>
      <c r="R95" s="51">
        <v>7</v>
      </c>
      <c r="S95" s="51">
        <v>6.8</v>
      </c>
      <c r="T95" s="51">
        <v>8</v>
      </c>
      <c r="U95" s="51">
        <v>9</v>
      </c>
      <c r="V95" s="51">
        <v>5.2</v>
      </c>
      <c r="W95" s="51">
        <v>5.4</v>
      </c>
      <c r="X95" s="51">
        <v>5.2</v>
      </c>
      <c r="Y95" s="51">
        <v>6</v>
      </c>
      <c r="Z95" s="111">
        <v>9.1999999999999993</v>
      </c>
      <c r="AA95" s="51">
        <v>6.6</v>
      </c>
      <c r="AB95" s="51">
        <v>7</v>
      </c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88">
        <f t="shared" si="6"/>
        <v>18</v>
      </c>
      <c r="AQ95" s="89">
        <f t="shared" si="7"/>
        <v>6.2777777777777786</v>
      </c>
      <c r="AR95" s="89">
        <f>IFERROR(VLOOKUP(A95,Climatologia!A:U,9+$E$2,FALSE),"")</f>
        <v>6.9772719899777336</v>
      </c>
      <c r="AS95" s="89">
        <f t="shared" si="8"/>
        <v>-0.699494212199955</v>
      </c>
      <c r="AT95" s="90">
        <f t="shared" si="9"/>
        <v>3.2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0.4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36424</v>
      </c>
      <c r="AW95" s="92">
        <f t="shared" si="10"/>
        <v>2.8000000000000003</v>
      </c>
    </row>
    <row r="96" spans="1:50" ht="14.25" customHeight="1" x14ac:dyDescent="0.2">
      <c r="A96" s="48">
        <v>24035070</v>
      </c>
      <c r="B96" s="52" t="s">
        <v>225</v>
      </c>
      <c r="C96" s="52" t="s">
        <v>211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212</v>
      </c>
      <c r="J96" s="55" t="s">
        <v>226</v>
      </c>
      <c r="K96" s="51">
        <v>7.9</v>
      </c>
      <c r="L96" s="51">
        <v>9</v>
      </c>
      <c r="M96" s="51">
        <v>9.6</v>
      </c>
      <c r="N96" s="51">
        <v>8</v>
      </c>
      <c r="O96" s="51">
        <v>7.6</v>
      </c>
      <c r="P96" s="51">
        <v>8</v>
      </c>
      <c r="Q96" s="51">
        <v>7</v>
      </c>
      <c r="R96" s="51">
        <v>7.4</v>
      </c>
      <c r="S96" s="51">
        <v>8</v>
      </c>
      <c r="T96" s="51">
        <v>8.8000000000000007</v>
      </c>
      <c r="U96" s="51">
        <v>9.1999999999999993</v>
      </c>
      <c r="V96" s="51">
        <v>8</v>
      </c>
      <c r="W96" s="51">
        <v>9</v>
      </c>
      <c r="X96" s="51">
        <v>7.4</v>
      </c>
      <c r="Y96" s="51">
        <v>8.1999999999999993</v>
      </c>
      <c r="Z96" s="111">
        <v>9</v>
      </c>
      <c r="AA96" s="51"/>
      <c r="AB96" s="51">
        <v>8.6</v>
      </c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88">
        <f t="shared" si="6"/>
        <v>17</v>
      </c>
      <c r="AQ96" s="89">
        <f t="shared" si="7"/>
        <v>8.2764705882352949</v>
      </c>
      <c r="AR96" s="89">
        <f>IFERROR(VLOOKUP(A96,Climatologia!A:U,9+$E$2,FALSE),"")</f>
        <v>8.3739754437240048</v>
      </c>
      <c r="AS96" s="89">
        <f t="shared" si="8"/>
        <v>-9.7504855488709907E-2</v>
      </c>
      <c r="AT96" s="90">
        <f t="shared" si="9"/>
        <v>7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39332</v>
      </c>
      <c r="AW96" s="92">
        <f t="shared" si="10"/>
        <v>3.4</v>
      </c>
    </row>
    <row r="97" spans="1:49" ht="14.25" customHeight="1" x14ac:dyDescent="0.2">
      <c r="A97" s="48">
        <v>24035120</v>
      </c>
      <c r="B97" s="52" t="s">
        <v>227</v>
      </c>
      <c r="C97" s="52" t="s">
        <v>211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212</v>
      </c>
      <c r="J97" s="55" t="s">
        <v>228</v>
      </c>
      <c r="K97" s="51">
        <v>4.8</v>
      </c>
      <c r="L97" s="51">
        <v>7</v>
      </c>
      <c r="M97" s="51">
        <v>4.8</v>
      </c>
      <c r="N97" s="51">
        <v>5.4</v>
      </c>
      <c r="O97" s="51">
        <v>3.8</v>
      </c>
      <c r="P97" s="51">
        <v>7.8</v>
      </c>
      <c r="Q97" s="51">
        <v>4.8</v>
      </c>
      <c r="R97" s="51">
        <v>3</v>
      </c>
      <c r="S97" s="51">
        <v>4.8</v>
      </c>
      <c r="T97" s="51">
        <v>9.1999999999999993</v>
      </c>
      <c r="U97" s="51">
        <v>9.4</v>
      </c>
      <c r="V97" s="51">
        <v>5.4</v>
      </c>
      <c r="W97" s="51">
        <v>5.4</v>
      </c>
      <c r="X97" s="51">
        <v>5</v>
      </c>
      <c r="Y97" s="51">
        <v>4.4000000000000004</v>
      </c>
      <c r="Z97" s="111">
        <v>9.1999999999999993</v>
      </c>
      <c r="AA97" s="51">
        <v>5.6</v>
      </c>
      <c r="AB97" s="51">
        <v>6.6</v>
      </c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88">
        <f t="shared" si="6"/>
        <v>18</v>
      </c>
      <c r="AQ97" s="89">
        <f t="shared" si="7"/>
        <v>5.9111111111111114</v>
      </c>
      <c r="AR97" s="89">
        <f>IFERROR(VLOOKUP(A97,Climatologia!A:U,9+$E$2,FALSE),"")</f>
        <v>6.2010253961478679</v>
      </c>
      <c r="AS97" s="89">
        <f t="shared" si="8"/>
        <v>-0.28991428503675643</v>
      </c>
      <c r="AT97" s="90">
        <f t="shared" si="9"/>
        <v>3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-0.2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97" s="92">
        <f t="shared" si="10"/>
        <v>3.2</v>
      </c>
    </row>
    <row r="98" spans="1:49" ht="14.25" customHeight="1" x14ac:dyDescent="0.2">
      <c r="A98" s="48">
        <v>24035130</v>
      </c>
      <c r="B98" s="52" t="s">
        <v>229</v>
      </c>
      <c r="C98" s="52" t="s">
        <v>211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212</v>
      </c>
      <c r="J98" s="55" t="s">
        <v>230</v>
      </c>
      <c r="K98" s="51">
        <v>7</v>
      </c>
      <c r="L98" s="51">
        <v>8.8000000000000007</v>
      </c>
      <c r="M98" s="51">
        <v>9.8000000000000007</v>
      </c>
      <c r="N98" s="51">
        <v>10.199999999999999</v>
      </c>
      <c r="O98" s="51">
        <v>9.6</v>
      </c>
      <c r="P98" s="51">
        <v>10.6</v>
      </c>
      <c r="Q98" s="51">
        <v>7.6</v>
      </c>
      <c r="R98" s="51">
        <v>5.4</v>
      </c>
      <c r="S98" s="51">
        <v>10</v>
      </c>
      <c r="T98" s="51">
        <v>10.8</v>
      </c>
      <c r="U98" s="51">
        <v>9.6</v>
      </c>
      <c r="V98" s="51">
        <v>8.8000000000000007</v>
      </c>
      <c r="W98" s="51">
        <v>9.8000000000000007</v>
      </c>
      <c r="X98" s="51">
        <v>10</v>
      </c>
      <c r="Y98" s="51">
        <v>7.6</v>
      </c>
      <c r="Z98" s="111">
        <v>10.8</v>
      </c>
      <c r="AA98" s="51">
        <v>8</v>
      </c>
      <c r="AB98" s="51">
        <v>10.8</v>
      </c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88">
        <f t="shared" si="6"/>
        <v>18</v>
      </c>
      <c r="AQ98" s="89">
        <f t="shared" si="7"/>
        <v>9.1777777777777789</v>
      </c>
      <c r="AR98" s="89">
        <f>IFERROR(VLOOKUP(A98,Climatologia!A:U,9+$E$2,FALSE),"")</f>
        <v>8.159618451306919</v>
      </c>
      <c r="AS98" s="89">
        <f t="shared" si="8"/>
        <v>1.0181593264708599</v>
      </c>
      <c r="AT98" s="90">
        <f t="shared" si="9"/>
        <v>5.4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2.9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98" s="92">
        <f t="shared" si="10"/>
        <v>2.5000000000000004</v>
      </c>
    </row>
    <row r="99" spans="1:49" ht="14.25" customHeight="1" x14ac:dyDescent="0.2">
      <c r="A99" s="48">
        <v>24035250</v>
      </c>
      <c r="B99" s="52" t="s">
        <v>231</v>
      </c>
      <c r="C99" s="52" t="s">
        <v>211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212</v>
      </c>
      <c r="J99" s="55" t="s">
        <v>232</v>
      </c>
      <c r="K99" s="51">
        <v>6.4</v>
      </c>
      <c r="L99" s="51"/>
      <c r="M99" s="51">
        <v>7</v>
      </c>
      <c r="N99" s="51">
        <v>7.2</v>
      </c>
      <c r="O99" s="51"/>
      <c r="P99" s="51">
        <v>7.8</v>
      </c>
      <c r="Q99" s="51"/>
      <c r="R99" s="51">
        <v>6.2</v>
      </c>
      <c r="S99" s="51">
        <v>8.8000000000000007</v>
      </c>
      <c r="T99" s="51">
        <v>9</v>
      </c>
      <c r="U99" s="51">
        <v>9.1999999999999993</v>
      </c>
      <c r="V99" s="51">
        <v>7.8</v>
      </c>
      <c r="W99" s="51">
        <v>7.4</v>
      </c>
      <c r="X99" s="51">
        <v>10</v>
      </c>
      <c r="Y99" s="51">
        <v>6</v>
      </c>
      <c r="Z99" s="111">
        <v>9.4</v>
      </c>
      <c r="AA99" s="51">
        <v>8.1999999999999993</v>
      </c>
      <c r="AB99" s="51">
        <v>7.2</v>
      </c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88">
        <f t="shared" si="6"/>
        <v>15</v>
      </c>
      <c r="AQ99" s="89">
        <f t="shared" si="7"/>
        <v>7.8400000000000016</v>
      </c>
      <c r="AR99" s="89">
        <f>IFERROR(VLOOKUP(A99,Climatologia!A:U,9+$E$2,FALSE),"")</f>
        <v>6.6991656023839923</v>
      </c>
      <c r="AS99" s="89">
        <f t="shared" si="8"/>
        <v>1.1408343976160094</v>
      </c>
      <c r="AT99" s="90">
        <f t="shared" si="9"/>
        <v>6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233</v>
      </c>
      <c r="C100" s="52" t="s">
        <v>211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49</v>
      </c>
      <c r="J100" s="55" t="s">
        <v>233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17.818800331214131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14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36068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234</v>
      </c>
      <c r="C101" s="52" t="s">
        <v>211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212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10.55201043605182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4.8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30944</v>
      </c>
      <c r="AW101" s="92" t="str">
        <f t="shared" si="10"/>
        <v>NA</v>
      </c>
    </row>
    <row r="102" spans="1:49" ht="14.25" customHeight="1" x14ac:dyDescent="0.2">
      <c r="A102" s="48">
        <v>24035330</v>
      </c>
      <c r="B102" s="52" t="s">
        <v>235</v>
      </c>
      <c r="C102" s="52" t="s">
        <v>211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212</v>
      </c>
      <c r="J102" s="55" t="s">
        <v>235</v>
      </c>
      <c r="K102" s="51">
        <v>11</v>
      </c>
      <c r="L102" s="51">
        <v>13</v>
      </c>
      <c r="M102" s="51">
        <v>12</v>
      </c>
      <c r="N102" s="51">
        <v>12.2</v>
      </c>
      <c r="O102" s="51">
        <v>10.199999999999999</v>
      </c>
      <c r="P102" s="51">
        <v>12</v>
      </c>
      <c r="Q102" s="51">
        <v>11</v>
      </c>
      <c r="R102" s="51">
        <v>11.2</v>
      </c>
      <c r="S102" s="51">
        <v>11</v>
      </c>
      <c r="T102" s="51">
        <v>13.8</v>
      </c>
      <c r="U102" s="51">
        <v>12.6</v>
      </c>
      <c r="V102" s="51">
        <v>11</v>
      </c>
      <c r="W102" s="51">
        <v>12.8</v>
      </c>
      <c r="X102" s="51">
        <v>13</v>
      </c>
      <c r="Y102" s="51">
        <v>12.8</v>
      </c>
      <c r="Z102" s="111">
        <v>14.2</v>
      </c>
      <c r="AA102" s="51">
        <v>12</v>
      </c>
      <c r="AB102" s="51">
        <v>13</v>
      </c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88">
        <f t="shared" si="6"/>
        <v>18</v>
      </c>
      <c r="AQ102" s="89">
        <f t="shared" si="7"/>
        <v>12.155555555555557</v>
      </c>
      <c r="AR102" s="89">
        <f>IFERROR(VLOOKUP(A102,Climatologia!A:U,9+$E$2,FALSE),"")</f>
        <v>11.245521419341051</v>
      </c>
      <c r="AS102" s="89">
        <f t="shared" si="8"/>
        <v>0.91003413621450591</v>
      </c>
      <c r="AT102" s="90">
        <f t="shared" si="9"/>
        <v>10.199999999999999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33131</v>
      </c>
      <c r="AW102" s="92">
        <f t="shared" si="10"/>
        <v>3.5999999999999996</v>
      </c>
    </row>
    <row r="103" spans="1:49" ht="14.25" customHeight="1" x14ac:dyDescent="0.2">
      <c r="A103" s="48">
        <v>24035420</v>
      </c>
      <c r="B103" s="52" t="s">
        <v>236</v>
      </c>
      <c r="C103" s="52" t="s">
        <v>211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212</v>
      </c>
      <c r="J103" s="55" t="s">
        <v>236</v>
      </c>
      <c r="K103" s="51">
        <v>2.2000000000000002</v>
      </c>
      <c r="L103" s="109">
        <v>5.4</v>
      </c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>
        <v>3.6</v>
      </c>
      <c r="AA103" s="51">
        <v>1.2</v>
      </c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88">
        <f t="shared" si="6"/>
        <v>4</v>
      </c>
      <c r="AQ103" s="89" t="str">
        <f t="shared" si="7"/>
        <v/>
      </c>
      <c r="AR103" s="89">
        <f>IFERROR(VLOOKUP(A103,Climatologia!A:U,9+$E$2,FALSE),"")</f>
        <v>5.5502937420178808</v>
      </c>
      <c r="AS103" s="89" t="str">
        <f t="shared" si="8"/>
        <v/>
      </c>
      <c r="AT103" s="90">
        <f t="shared" si="9"/>
        <v>1.2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0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03" s="92">
        <f t="shared" si="10"/>
        <v>1.2</v>
      </c>
    </row>
    <row r="104" spans="1:49" ht="14.25" customHeight="1" x14ac:dyDescent="0.2">
      <c r="A104" s="48">
        <v>24035430</v>
      </c>
      <c r="B104" s="52" t="s">
        <v>237</v>
      </c>
      <c r="C104" s="52" t="s">
        <v>211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212</v>
      </c>
      <c r="J104" s="55" t="s">
        <v>238</v>
      </c>
      <c r="K104" s="51">
        <v>4.5999999999999996</v>
      </c>
      <c r="L104" s="51">
        <v>8.4</v>
      </c>
      <c r="M104" s="51">
        <v>3.4</v>
      </c>
      <c r="N104" s="51">
        <v>3.8</v>
      </c>
      <c r="O104" s="51">
        <v>2.6</v>
      </c>
      <c r="P104" s="51">
        <v>2.4</v>
      </c>
      <c r="Q104" s="51">
        <v>3.6</v>
      </c>
      <c r="R104" s="51">
        <v>5.6</v>
      </c>
      <c r="S104" s="51">
        <v>3</v>
      </c>
      <c r="T104" s="51">
        <v>2.4</v>
      </c>
      <c r="U104" s="51">
        <v>8.1999999999999993</v>
      </c>
      <c r="V104" s="51">
        <v>4</v>
      </c>
      <c r="W104" s="51">
        <v>5</v>
      </c>
      <c r="X104" s="51">
        <v>5</v>
      </c>
      <c r="Y104" s="51">
        <v>2.8</v>
      </c>
      <c r="Z104" s="111">
        <v>7.8</v>
      </c>
      <c r="AA104" s="51">
        <v>4</v>
      </c>
      <c r="AB104" s="51">
        <v>6</v>
      </c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88">
        <f t="shared" si="6"/>
        <v>18</v>
      </c>
      <c r="AQ104" s="89">
        <f t="shared" si="7"/>
        <v>4.5888888888888886</v>
      </c>
      <c r="AR104" s="89">
        <f>IFERROR(VLOOKUP(A104,Climatologia!A:U,9+$E$2,FALSE),"")</f>
        <v>6.577004617349445</v>
      </c>
      <c r="AS104" s="89">
        <f t="shared" si="8"/>
        <v>-1.9881157284605564</v>
      </c>
      <c r="AT104" s="90">
        <f t="shared" si="9"/>
        <v>2.4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-0.4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04" s="92">
        <f t="shared" si="10"/>
        <v>2.8</v>
      </c>
    </row>
    <row r="105" spans="1:49" ht="14.25" customHeight="1" x14ac:dyDescent="0.2">
      <c r="A105" s="48">
        <v>35075010</v>
      </c>
      <c r="B105" s="52" t="s">
        <v>239</v>
      </c>
      <c r="C105" s="52" t="s">
        <v>211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212</v>
      </c>
      <c r="J105" s="55" t="s">
        <v>240</v>
      </c>
      <c r="K105" s="51">
        <v>10</v>
      </c>
      <c r="L105" s="51">
        <v>9.8000000000000007</v>
      </c>
      <c r="M105" s="51">
        <v>10.4</v>
      </c>
      <c r="N105" s="51">
        <v>10.4</v>
      </c>
      <c r="O105" s="51">
        <v>10.6</v>
      </c>
      <c r="P105" s="51">
        <v>9.4</v>
      </c>
      <c r="Q105" s="51">
        <v>9.8000000000000007</v>
      </c>
      <c r="R105" s="51">
        <v>9.6</v>
      </c>
      <c r="S105" s="51">
        <v>11.4</v>
      </c>
      <c r="T105" s="51">
        <v>12</v>
      </c>
      <c r="U105" s="51">
        <v>10.8</v>
      </c>
      <c r="V105" s="51">
        <v>11.6</v>
      </c>
      <c r="W105" s="51">
        <v>12.2</v>
      </c>
      <c r="X105" s="51">
        <v>12.4</v>
      </c>
      <c r="Y105" s="51">
        <v>10.8</v>
      </c>
      <c r="Z105" s="111">
        <v>10.4</v>
      </c>
      <c r="AA105" s="51">
        <v>11</v>
      </c>
      <c r="AB105" s="51">
        <v>11</v>
      </c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88">
        <f t="shared" si="6"/>
        <v>18</v>
      </c>
      <c r="AQ105" s="89">
        <f t="shared" si="7"/>
        <v>10.755555555555556</v>
      </c>
      <c r="AR105" s="89">
        <f>IFERROR(VLOOKUP(A105,Climatologia!A:U,9+$E$2,FALSE),"")</f>
        <v>9.5729657311464695</v>
      </c>
      <c r="AS105" s="89">
        <f t="shared" si="8"/>
        <v>1.1825898244090869</v>
      </c>
      <c r="AT105" s="90">
        <f t="shared" si="9"/>
        <v>9.4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3.8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38238</v>
      </c>
      <c r="AW105" s="92">
        <f t="shared" si="10"/>
        <v>5.6000000000000005</v>
      </c>
    </row>
    <row r="106" spans="1:49" ht="14.25" customHeight="1" x14ac:dyDescent="0.2">
      <c r="A106" s="48">
        <v>35075020</v>
      </c>
      <c r="B106" s="52" t="s">
        <v>241</v>
      </c>
      <c r="C106" s="52" t="s">
        <v>211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212</v>
      </c>
      <c r="J106" s="55" t="s">
        <v>241</v>
      </c>
      <c r="K106" s="51"/>
      <c r="L106" s="51">
        <v>13.6</v>
      </c>
      <c r="M106" s="51">
        <v>13.6</v>
      </c>
      <c r="N106" s="51">
        <v>14.4</v>
      </c>
      <c r="O106" s="51">
        <v>13.8</v>
      </c>
      <c r="P106" s="51">
        <v>13.6</v>
      </c>
      <c r="Q106" s="51"/>
      <c r="R106" s="51">
        <v>14</v>
      </c>
      <c r="S106" s="51">
        <v>14.8</v>
      </c>
      <c r="T106" s="51">
        <v>14.6</v>
      </c>
      <c r="U106" s="51">
        <v>14.8</v>
      </c>
      <c r="V106" s="51">
        <v>15</v>
      </c>
      <c r="W106" s="51">
        <v>15.2</v>
      </c>
      <c r="X106" s="51">
        <v>14.6</v>
      </c>
      <c r="Y106" s="51">
        <v>14.8</v>
      </c>
      <c r="Z106" s="111">
        <v>14.6</v>
      </c>
      <c r="AA106" s="51">
        <v>14.8</v>
      </c>
      <c r="AB106" s="51">
        <v>15</v>
      </c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88">
        <f t="shared" si="6"/>
        <v>16</v>
      </c>
      <c r="AQ106" s="89">
        <f t="shared" si="7"/>
        <v>14.45</v>
      </c>
      <c r="AR106" s="89">
        <f>IFERROR(VLOOKUP(A106,Climatologia!A:U,9+$E$2,FALSE),"")</f>
        <v>13.60304714989444</v>
      </c>
      <c r="AS106" s="89">
        <f t="shared" si="8"/>
        <v>0.84695285010555921</v>
      </c>
      <c r="AT106" s="90">
        <f t="shared" si="9"/>
        <v>13.6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31294</v>
      </c>
      <c r="AW106" s="92">
        <f t="shared" si="10"/>
        <v>6.3</v>
      </c>
    </row>
    <row r="107" spans="1:49" ht="14.25" customHeight="1" x14ac:dyDescent="0.2">
      <c r="A107" s="48">
        <v>35075030</v>
      </c>
      <c r="B107" s="52" t="s">
        <v>242</v>
      </c>
      <c r="C107" s="52" t="s">
        <v>211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212</v>
      </c>
      <c r="J107" s="55" t="s">
        <v>243</v>
      </c>
      <c r="K107" s="51">
        <v>9.8000000000000007</v>
      </c>
      <c r="L107" s="51">
        <v>11.6</v>
      </c>
      <c r="M107" s="51">
        <v>12.8</v>
      </c>
      <c r="N107" s="51">
        <v>11</v>
      </c>
      <c r="O107" s="51">
        <v>11</v>
      </c>
      <c r="P107" s="51">
        <v>9.6</v>
      </c>
      <c r="Q107" s="51">
        <v>10.6</v>
      </c>
      <c r="R107" s="51">
        <v>9.1999999999999993</v>
      </c>
      <c r="S107" s="51">
        <v>12.6</v>
      </c>
      <c r="T107" s="51">
        <v>12.8</v>
      </c>
      <c r="U107" s="51">
        <v>12.8</v>
      </c>
      <c r="V107" s="51">
        <v>11.8</v>
      </c>
      <c r="W107" s="51">
        <v>13.2</v>
      </c>
      <c r="X107" s="51">
        <v>12</v>
      </c>
      <c r="Y107" s="51">
        <v>13.2</v>
      </c>
      <c r="Z107" s="111">
        <v>10.4</v>
      </c>
      <c r="AA107" s="51">
        <v>12</v>
      </c>
      <c r="AB107" s="51">
        <v>13.4</v>
      </c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88">
        <f t="shared" si="6"/>
        <v>18</v>
      </c>
      <c r="AQ107" s="89">
        <f t="shared" si="7"/>
        <v>11.655555555555555</v>
      </c>
      <c r="AR107" s="89">
        <f>IFERROR(VLOOKUP(A107,Climatologia!A:U,9+$E$2,FALSE),"")</f>
        <v>11.188895457033389</v>
      </c>
      <c r="AS107" s="89">
        <f t="shared" si="8"/>
        <v>0.46666009852216561</v>
      </c>
      <c r="AT107" s="90">
        <f t="shared" si="9"/>
        <v>9.1999999999999993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1.2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34216</v>
      </c>
      <c r="AW107" s="92">
        <f t="shared" si="10"/>
        <v>7.9999999999999991</v>
      </c>
    </row>
    <row r="108" spans="1:49" ht="14.25" customHeight="1" x14ac:dyDescent="0.2">
      <c r="A108" s="48">
        <v>35075040</v>
      </c>
      <c r="B108" s="52" t="s">
        <v>244</v>
      </c>
      <c r="C108" s="52" t="s">
        <v>211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212</v>
      </c>
      <c r="J108" s="55" t="s">
        <v>245</v>
      </c>
      <c r="K108" s="51">
        <v>14.2</v>
      </c>
      <c r="L108" s="51">
        <v>15.4</v>
      </c>
      <c r="M108" s="51">
        <v>14</v>
      </c>
      <c r="N108" s="51">
        <v>15.4</v>
      </c>
      <c r="O108" s="51">
        <v>14</v>
      </c>
      <c r="P108" s="51">
        <v>14.2</v>
      </c>
      <c r="Q108" s="51">
        <v>14.2</v>
      </c>
      <c r="R108" s="51">
        <v>14.8</v>
      </c>
      <c r="S108" s="51">
        <v>15</v>
      </c>
      <c r="T108" s="51">
        <v>15.2</v>
      </c>
      <c r="U108" s="51">
        <v>14.6</v>
      </c>
      <c r="V108" s="51">
        <v>15.4</v>
      </c>
      <c r="W108" s="51">
        <v>15.6</v>
      </c>
      <c r="X108" s="51">
        <v>14.6</v>
      </c>
      <c r="Y108" s="51">
        <v>15</v>
      </c>
      <c r="Z108" s="111">
        <v>14.8</v>
      </c>
      <c r="AA108" s="51">
        <v>14.8</v>
      </c>
      <c r="AB108" s="51">
        <v>15.4</v>
      </c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88">
        <f t="shared" si="6"/>
        <v>18</v>
      </c>
      <c r="AQ108" s="89">
        <f t="shared" si="7"/>
        <v>14.81111111111111</v>
      </c>
      <c r="AR108" s="89">
        <f>IFERROR(VLOOKUP(A108,Climatologia!A:U,9+$E$2,FALSE),"")</f>
        <v>13.358971566848149</v>
      </c>
      <c r="AS108" s="89">
        <f t="shared" si="8"/>
        <v>1.4521395442629608</v>
      </c>
      <c r="AT108" s="90">
        <f t="shared" si="9"/>
        <v>14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30567</v>
      </c>
      <c r="AW108" s="92">
        <f t="shared" si="10"/>
        <v>4.5999999999999996</v>
      </c>
    </row>
    <row r="109" spans="1:49" ht="14.25" customHeight="1" x14ac:dyDescent="0.2">
      <c r="A109" s="48">
        <v>35085040</v>
      </c>
      <c r="B109" s="52" t="s">
        <v>246</v>
      </c>
      <c r="C109" s="52" t="s">
        <v>211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212</v>
      </c>
      <c r="J109" s="55" t="s">
        <v>247</v>
      </c>
      <c r="K109" s="51">
        <v>15.4</v>
      </c>
      <c r="L109" s="51">
        <v>15.4</v>
      </c>
      <c r="M109" s="51">
        <v>15.2</v>
      </c>
      <c r="N109" s="51">
        <v>15.2</v>
      </c>
      <c r="O109" s="51">
        <v>14.8</v>
      </c>
      <c r="P109" s="51">
        <v>14.6</v>
      </c>
      <c r="Q109" s="51">
        <v>15.4</v>
      </c>
      <c r="R109" s="51">
        <v>15.2</v>
      </c>
      <c r="S109" s="51">
        <v>16</v>
      </c>
      <c r="T109" s="51">
        <v>15.8</v>
      </c>
      <c r="U109" s="51">
        <v>15.4</v>
      </c>
      <c r="V109" s="51">
        <v>16.399999999999999</v>
      </c>
      <c r="W109" s="51">
        <v>17</v>
      </c>
      <c r="X109" s="51">
        <v>15.4</v>
      </c>
      <c r="Y109" s="51">
        <v>15.2</v>
      </c>
      <c r="Z109" s="111">
        <v>15.4</v>
      </c>
      <c r="AA109" s="51">
        <v>15.8</v>
      </c>
      <c r="AB109" s="51">
        <v>16</v>
      </c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88">
        <f t="shared" si="6"/>
        <v>18</v>
      </c>
      <c r="AQ109" s="89">
        <f t="shared" si="7"/>
        <v>15.533333333333335</v>
      </c>
      <c r="AR109" s="89">
        <f>IFERROR(VLOOKUP(A109,Climatologia!A:U,9+$E$2,FALSE),"")</f>
        <v>13.685588761174969</v>
      </c>
      <c r="AS109" s="89">
        <f t="shared" si="8"/>
        <v>1.8477445721583656</v>
      </c>
      <c r="AT109" s="90">
        <f t="shared" si="9"/>
        <v>14.6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39340</v>
      </c>
      <c r="AW109" s="92">
        <f t="shared" si="10"/>
        <v>6.6</v>
      </c>
    </row>
    <row r="110" spans="1:49" ht="14.25" customHeight="1" x14ac:dyDescent="0.2">
      <c r="A110" s="48">
        <v>35085050</v>
      </c>
      <c r="B110" s="52" t="s">
        <v>248</v>
      </c>
      <c r="C110" s="52" t="s">
        <v>211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212</v>
      </c>
      <c r="J110" s="55" t="s">
        <v>248</v>
      </c>
      <c r="K110" s="51">
        <v>17.600000000000001</v>
      </c>
      <c r="L110" s="51">
        <v>18.600000000000001</v>
      </c>
      <c r="M110" s="51">
        <v>17.8</v>
      </c>
      <c r="N110" s="51">
        <v>19.2</v>
      </c>
      <c r="O110" s="51"/>
      <c r="P110" s="51"/>
      <c r="Q110" s="51">
        <v>17.399999999999999</v>
      </c>
      <c r="R110" s="51">
        <v>19.2</v>
      </c>
      <c r="S110" s="51">
        <v>18.8</v>
      </c>
      <c r="T110" s="51">
        <v>18.399999999999999</v>
      </c>
      <c r="U110" s="51">
        <v>17.8</v>
      </c>
      <c r="V110" s="51"/>
      <c r="W110" s="51">
        <v>19.399999999999999</v>
      </c>
      <c r="X110" s="51">
        <v>17.8</v>
      </c>
      <c r="Y110" s="51">
        <v>18.600000000000001</v>
      </c>
      <c r="Z110" s="111">
        <v>18.2</v>
      </c>
      <c r="AA110" s="51">
        <v>18.8</v>
      </c>
      <c r="AB110" s="51">
        <v>19.2</v>
      </c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88">
        <f t="shared" si="6"/>
        <v>15</v>
      </c>
      <c r="AQ110" s="89">
        <f t="shared" si="7"/>
        <v>18.453333333333333</v>
      </c>
      <c r="AR110" s="89">
        <f>IFERROR(VLOOKUP(A110,Climatologia!A:U,9+$E$2,FALSE),"")</f>
        <v>16.876051428203631</v>
      </c>
      <c r="AS110" s="89">
        <f t="shared" si="8"/>
        <v>1.577281905129702</v>
      </c>
      <c r="AT110" s="90">
        <f t="shared" si="9"/>
        <v>17.399999999999999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13.4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35697</v>
      </c>
      <c r="AW110" s="92">
        <f t="shared" si="10"/>
        <v>3.9999999999999982</v>
      </c>
    </row>
    <row r="111" spans="1:49" ht="14.25" customHeight="1" x14ac:dyDescent="0.2">
      <c r="A111" s="48">
        <v>35195030</v>
      </c>
      <c r="B111" s="52" t="s">
        <v>249</v>
      </c>
      <c r="C111" s="52" t="s">
        <v>211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166</v>
      </c>
      <c r="J111" s="55" t="s">
        <v>249</v>
      </c>
      <c r="K111" s="51">
        <v>24.8</v>
      </c>
      <c r="L111" s="51">
        <v>21.6</v>
      </c>
      <c r="M111" s="51">
        <v>23.6</v>
      </c>
      <c r="N111" s="51">
        <v>24</v>
      </c>
      <c r="O111" s="51">
        <v>23.2</v>
      </c>
      <c r="P111" s="51">
        <v>21</v>
      </c>
      <c r="Q111" s="51">
        <v>23.2</v>
      </c>
      <c r="R111" s="51">
        <v>23.8</v>
      </c>
      <c r="S111" s="51">
        <v>24.8</v>
      </c>
      <c r="T111" s="51">
        <v>24</v>
      </c>
      <c r="U111" s="51">
        <v>22.4</v>
      </c>
      <c r="V111" s="51">
        <v>23.6</v>
      </c>
      <c r="W111" s="51">
        <v>22.6</v>
      </c>
      <c r="X111" s="51">
        <v>22.6</v>
      </c>
      <c r="Y111" s="51">
        <v>25.6</v>
      </c>
      <c r="Z111" s="111">
        <v>22.8</v>
      </c>
      <c r="AA111" s="51">
        <v>22.8</v>
      </c>
      <c r="AB111" s="51">
        <v>24</v>
      </c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88">
        <f t="shared" si="6"/>
        <v>18</v>
      </c>
      <c r="AQ111" s="89">
        <f t="shared" si="7"/>
        <v>23.355555555555561</v>
      </c>
      <c r="AR111" s="89">
        <f>IFERROR(VLOOKUP(A111,Climatologia!A:U,9+$E$2,FALSE),"")</f>
        <v>22.868438849358391</v>
      </c>
      <c r="AS111" s="89">
        <f t="shared" si="8"/>
        <v>0.4871167061971704</v>
      </c>
      <c r="AT111" s="90">
        <f t="shared" si="9"/>
        <v>21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250</v>
      </c>
      <c r="C112" s="52" t="s">
        <v>211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212</v>
      </c>
      <c r="J112" s="55" t="s">
        <v>251</v>
      </c>
      <c r="K112" s="51">
        <v>14.4</v>
      </c>
      <c r="L112" s="51">
        <v>14.6</v>
      </c>
      <c r="M112" s="51">
        <v>16.5</v>
      </c>
      <c r="N112" s="51">
        <v>14.2</v>
      </c>
      <c r="O112" s="51">
        <v>15.5</v>
      </c>
      <c r="P112" s="51">
        <v>14.2</v>
      </c>
      <c r="Q112" s="51">
        <v>16.5</v>
      </c>
      <c r="R112" s="51">
        <v>15.8</v>
      </c>
      <c r="S112" s="51">
        <v>14.4</v>
      </c>
      <c r="T112" s="51">
        <v>15.6</v>
      </c>
      <c r="U112" s="51">
        <v>16.8</v>
      </c>
      <c r="V112" s="51">
        <v>14.6</v>
      </c>
      <c r="W112" s="51">
        <v>14</v>
      </c>
      <c r="X112" s="51">
        <v>16.5</v>
      </c>
      <c r="Y112" s="51">
        <v>14.6</v>
      </c>
      <c r="Z112" s="111">
        <v>14.6</v>
      </c>
      <c r="AA112" s="51">
        <v>14.2</v>
      </c>
      <c r="AB112" s="51">
        <v>14.4</v>
      </c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88">
        <f t="shared" si="6"/>
        <v>18</v>
      </c>
      <c r="AQ112" s="89">
        <f t="shared" si="7"/>
        <v>15.077777777777776</v>
      </c>
      <c r="AR112" s="89">
        <f>IFERROR(VLOOKUP(A112,Climatologia!A:U,9+$E$2,FALSE),"")</f>
        <v>15.184620689655169</v>
      </c>
      <c r="AS112" s="89">
        <f t="shared" si="8"/>
        <v>-0.10684291187739348</v>
      </c>
      <c r="AT112" s="90">
        <f t="shared" si="9"/>
        <v>14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8.4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34593</v>
      </c>
      <c r="AW112" s="92">
        <f t="shared" si="10"/>
        <v>5.6</v>
      </c>
    </row>
    <row r="113" spans="1:49" ht="14.25" customHeight="1" x14ac:dyDescent="0.2">
      <c r="A113" s="48">
        <v>35215020</v>
      </c>
      <c r="B113" s="52" t="s">
        <v>252</v>
      </c>
      <c r="C113" s="52" t="s">
        <v>211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166</v>
      </c>
      <c r="J113" s="55" t="s">
        <v>253</v>
      </c>
      <c r="K113" s="51">
        <v>21.4</v>
      </c>
      <c r="L113" s="51">
        <v>18.399999999999999</v>
      </c>
      <c r="M113" s="51">
        <v>19.2</v>
      </c>
      <c r="N113" s="51">
        <v>19.399999999999999</v>
      </c>
      <c r="O113" s="51">
        <v>19</v>
      </c>
      <c r="P113" s="51">
        <v>17.600000000000001</v>
      </c>
      <c r="Q113" s="51">
        <v>19.399999999999999</v>
      </c>
      <c r="R113" s="51">
        <v>20</v>
      </c>
      <c r="S113" s="51">
        <v>20.2</v>
      </c>
      <c r="T113" s="51">
        <v>19.8</v>
      </c>
      <c r="U113" s="51">
        <v>18.399999999999999</v>
      </c>
      <c r="V113" s="51">
        <v>19.600000000000001</v>
      </c>
      <c r="W113" s="51">
        <v>18.8</v>
      </c>
      <c r="X113" s="51">
        <v>19.600000000000001</v>
      </c>
      <c r="Y113" s="51">
        <v>21</v>
      </c>
      <c r="Z113" s="111">
        <v>19</v>
      </c>
      <c r="AA113" s="51">
        <v>19.600000000000001</v>
      </c>
      <c r="AB113" s="51">
        <v>21.4</v>
      </c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88">
        <f t="shared" si="6"/>
        <v>18</v>
      </c>
      <c r="AQ113" s="89">
        <f t="shared" si="7"/>
        <v>19.544444444444444</v>
      </c>
      <c r="AR113" s="89">
        <f>IFERROR(VLOOKUP(A113,Climatologia!A:U,9+$E$2,FALSE),"")</f>
        <v>22.39663970483894</v>
      </c>
      <c r="AS113" s="89">
        <f t="shared" si="8"/>
        <v>-2.8521952603944953</v>
      </c>
      <c r="AT113" s="90">
        <f t="shared" si="9"/>
        <v>17.600000000000001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30947</v>
      </c>
      <c r="AW113" s="92">
        <f t="shared" si="10"/>
        <v>-0.39999999999999858</v>
      </c>
    </row>
    <row r="114" spans="1:49" ht="14.25" customHeight="1" x14ac:dyDescent="0.2">
      <c r="A114" s="48">
        <v>35235040</v>
      </c>
      <c r="B114" s="52" t="s">
        <v>254</v>
      </c>
      <c r="C114" s="52" t="s">
        <v>211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166</v>
      </c>
      <c r="J114" s="55" t="s">
        <v>255</v>
      </c>
      <c r="K114" s="51"/>
      <c r="L114" s="51">
        <v>21.6</v>
      </c>
      <c r="M114" s="51"/>
      <c r="N114" s="51"/>
      <c r="O114" s="51"/>
      <c r="P114" s="51">
        <v>22</v>
      </c>
      <c r="Q114" s="51">
        <v>21.8</v>
      </c>
      <c r="R114" s="51">
        <v>22</v>
      </c>
      <c r="S114" s="51">
        <v>23</v>
      </c>
      <c r="T114" s="51">
        <v>23.2</v>
      </c>
      <c r="U114" s="51">
        <v>21.6</v>
      </c>
      <c r="V114" s="51">
        <v>22.2</v>
      </c>
      <c r="W114" s="51">
        <v>23</v>
      </c>
      <c r="X114" s="51">
        <v>22</v>
      </c>
      <c r="Y114" s="51">
        <v>23</v>
      </c>
      <c r="Z114" s="111">
        <v>22.6</v>
      </c>
      <c r="AA114" s="51">
        <v>23.6</v>
      </c>
      <c r="AB114" s="51">
        <v>23.8</v>
      </c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88">
        <f t="shared" si="6"/>
        <v>14</v>
      </c>
      <c r="AQ114" s="89" t="str">
        <f t="shared" si="7"/>
        <v/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21.6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256</v>
      </c>
      <c r="C115" s="52" t="s">
        <v>211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166</v>
      </c>
      <c r="J115" s="55" t="s">
        <v>257</v>
      </c>
      <c r="K115" s="51">
        <v>20.2</v>
      </c>
      <c r="L115" s="51">
        <v>19.399999999999999</v>
      </c>
      <c r="M115" s="51">
        <v>20.2</v>
      </c>
      <c r="N115" s="51">
        <v>21.2</v>
      </c>
      <c r="O115" s="51">
        <v>22.4</v>
      </c>
      <c r="P115" s="51">
        <v>20.2</v>
      </c>
      <c r="Q115" s="51">
        <v>20.2</v>
      </c>
      <c r="R115" s="51">
        <v>21.2</v>
      </c>
      <c r="S115" s="51">
        <v>20.2</v>
      </c>
      <c r="T115" s="51">
        <v>20.2</v>
      </c>
      <c r="U115" s="51"/>
      <c r="V115" s="51">
        <v>21.2</v>
      </c>
      <c r="W115" s="51">
        <v>21.2</v>
      </c>
      <c r="X115" s="51">
        <v>20.399999999999999</v>
      </c>
      <c r="Y115" s="51">
        <v>20.2</v>
      </c>
      <c r="Z115" s="11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88">
        <f t="shared" si="6"/>
        <v>14</v>
      </c>
      <c r="AQ115" s="89" t="str">
        <f t="shared" si="7"/>
        <v/>
      </c>
      <c r="AR115" s="89">
        <f>IFERROR(VLOOKUP(A115,Climatologia!A:U,9+$E$2,FALSE),"")</f>
        <v>18.540485312899111</v>
      </c>
      <c r="AS115" s="89" t="str">
        <f t="shared" si="8"/>
        <v/>
      </c>
      <c r="AT115" s="90">
        <f t="shared" si="9"/>
        <v>19.399999999999999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14.5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41901</v>
      </c>
      <c r="AW115" s="92">
        <f t="shared" si="10"/>
        <v>4.8999999999999986</v>
      </c>
    </row>
    <row r="116" spans="1:49" ht="14.25" customHeight="1" x14ac:dyDescent="0.2">
      <c r="A116" s="48">
        <v>36015010</v>
      </c>
      <c r="B116" s="52" t="s">
        <v>258</v>
      </c>
      <c r="C116" s="52" t="s">
        <v>211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166</v>
      </c>
      <c r="J116" s="55" t="s">
        <v>258</v>
      </c>
      <c r="K116" s="51">
        <v>22.2</v>
      </c>
      <c r="L116" s="51"/>
      <c r="M116" s="51">
        <v>22.4</v>
      </c>
      <c r="N116" s="51">
        <v>22.2</v>
      </c>
      <c r="O116" s="51">
        <v>22</v>
      </c>
      <c r="P116" s="51">
        <v>22.2</v>
      </c>
      <c r="Q116" s="51"/>
      <c r="R116" s="51">
        <v>24.2</v>
      </c>
      <c r="S116" s="51">
        <v>22.6</v>
      </c>
      <c r="T116" s="51">
        <v>24</v>
      </c>
      <c r="U116" s="51">
        <v>22.8</v>
      </c>
      <c r="V116" s="51">
        <v>24.2</v>
      </c>
      <c r="W116" s="51">
        <v>23</v>
      </c>
      <c r="X116" s="51">
        <v>23</v>
      </c>
      <c r="Y116" s="51">
        <v>22.6</v>
      </c>
      <c r="Z116" s="111">
        <v>23</v>
      </c>
      <c r="AA116" s="51">
        <v>24.2</v>
      </c>
      <c r="AB116" s="51">
        <v>24.4</v>
      </c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16</v>
      </c>
      <c r="AQ116" s="89">
        <f t="shared" si="7"/>
        <v>23.062499999999996</v>
      </c>
      <c r="AR116" s="89">
        <f>IFERROR(VLOOKUP(A116,Climatologia!A:U,9+$E$2,FALSE),"")</f>
        <v>22.374270023718299</v>
      </c>
      <c r="AS116" s="89">
        <f t="shared" si="8"/>
        <v>0.68822997628169702</v>
      </c>
      <c r="AT116" s="90">
        <f t="shared" si="9"/>
        <v>22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39345</v>
      </c>
      <c r="AW116" s="92">
        <f t="shared" si="10"/>
        <v>4</v>
      </c>
    </row>
    <row r="117" spans="1:49" ht="14.25" customHeight="1" x14ac:dyDescent="0.2">
      <c r="A117" s="48">
        <v>36025010</v>
      </c>
      <c r="B117" s="52" t="s">
        <v>259</v>
      </c>
      <c r="C117" s="52" t="s">
        <v>211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90</v>
      </c>
      <c r="J117" s="55" t="s">
        <v>259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21.63752371829958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40790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260</v>
      </c>
      <c r="C118" s="52" t="s">
        <v>261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181</v>
      </c>
      <c r="J118" s="55" t="s">
        <v>262</v>
      </c>
      <c r="K118" s="51">
        <v>4.5999999999999996</v>
      </c>
      <c r="L118" s="51">
        <v>7.4</v>
      </c>
      <c r="M118" s="51">
        <v>9.6</v>
      </c>
      <c r="N118" s="51">
        <v>8</v>
      </c>
      <c r="O118" s="51">
        <v>9.1999999999999993</v>
      </c>
      <c r="P118" s="51">
        <v>7.6</v>
      </c>
      <c r="Q118" s="51">
        <v>8.8000000000000007</v>
      </c>
      <c r="R118" s="51">
        <v>8.6</v>
      </c>
      <c r="S118" s="51">
        <v>10.199999999999999</v>
      </c>
      <c r="T118" s="51">
        <v>9.1999999999999993</v>
      </c>
      <c r="U118" s="51">
        <v>9.4</v>
      </c>
      <c r="V118" s="51">
        <v>5</v>
      </c>
      <c r="W118" s="51">
        <v>5.6</v>
      </c>
      <c r="X118" s="51">
        <v>9.1999999999999993</v>
      </c>
      <c r="Y118" s="51">
        <v>7.6</v>
      </c>
      <c r="Z118" s="111">
        <v>6.6</v>
      </c>
      <c r="AA118" s="51">
        <v>8.6</v>
      </c>
      <c r="AB118" s="51">
        <v>9.1999999999999993</v>
      </c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88">
        <f t="shared" si="6"/>
        <v>18</v>
      </c>
      <c r="AQ118" s="89">
        <f t="shared" si="7"/>
        <v>8.0222222222222204</v>
      </c>
      <c r="AR118" s="89">
        <f>IFERROR(VLOOKUP(A118,Climatologia!A:U,9+$E$2,FALSE),"")</f>
        <v>5.3443424510780826</v>
      </c>
      <c r="AS118" s="89">
        <f t="shared" si="8"/>
        <v>2.6778797711441378</v>
      </c>
      <c r="AT118" s="90">
        <f t="shared" si="9"/>
        <v>4.5999999999999996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-1.6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41529</v>
      </c>
      <c r="AW118" s="92">
        <f t="shared" si="10"/>
        <v>6.1999999999999993</v>
      </c>
    </row>
    <row r="119" spans="1:49" ht="14.25" customHeight="1" x14ac:dyDescent="0.2">
      <c r="A119" s="48">
        <v>44015060</v>
      </c>
      <c r="B119" s="52" t="s">
        <v>263</v>
      </c>
      <c r="C119" s="52" t="s">
        <v>261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264</v>
      </c>
      <c r="J119" s="55" t="s">
        <v>265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19.974118469865591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16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266</v>
      </c>
      <c r="C120" s="52" t="s">
        <v>261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264</v>
      </c>
      <c r="J120" s="55" t="s">
        <v>267</v>
      </c>
      <c r="K120" s="51">
        <v>8.3000000000000007</v>
      </c>
      <c r="L120" s="51">
        <v>9.3000000000000007</v>
      </c>
      <c r="M120" s="51">
        <v>10.5</v>
      </c>
      <c r="N120" s="51">
        <v>12.9</v>
      </c>
      <c r="O120" s="51">
        <v>12.4</v>
      </c>
      <c r="P120" s="51">
        <v>12.7</v>
      </c>
      <c r="Q120" s="51">
        <v>10.4</v>
      </c>
      <c r="R120" s="51">
        <v>11.5</v>
      </c>
      <c r="S120" s="51">
        <v>10.7</v>
      </c>
      <c r="T120" s="51">
        <v>11.4</v>
      </c>
      <c r="U120" s="51">
        <v>12.4</v>
      </c>
      <c r="V120" s="51">
        <v>11.7</v>
      </c>
      <c r="W120" s="51">
        <v>9.3000000000000007</v>
      </c>
      <c r="X120" s="51">
        <v>10.6</v>
      </c>
      <c r="Y120" s="51">
        <v>10.9</v>
      </c>
      <c r="Z120" s="111">
        <v>10.3</v>
      </c>
      <c r="AA120" s="51">
        <v>13.5</v>
      </c>
      <c r="AB120" s="51">
        <v>12.5</v>
      </c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88">
        <f t="shared" si="6"/>
        <v>18</v>
      </c>
      <c r="AQ120" s="89">
        <f t="shared" si="7"/>
        <v>11.183333333333335</v>
      </c>
      <c r="AR120" s="89">
        <f>IFERROR(VLOOKUP(A120,Climatologia!A:U,9+$E$2,FALSE),"")</f>
        <v>10.619220882169749</v>
      </c>
      <c r="AS120" s="89">
        <f t="shared" si="8"/>
        <v>0.56411245116358621</v>
      </c>
      <c r="AT120" s="90">
        <f t="shared" si="9"/>
        <v>8.3000000000000007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3.4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33139</v>
      </c>
      <c r="AW120" s="92">
        <f t="shared" si="10"/>
        <v>4.9000000000000004</v>
      </c>
    </row>
    <row r="121" spans="1:49" ht="14.25" customHeight="1" x14ac:dyDescent="0.2">
      <c r="A121" s="48">
        <v>47015080</v>
      </c>
      <c r="B121" s="52" t="s">
        <v>268</v>
      </c>
      <c r="C121" s="52" t="s">
        <v>261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82</v>
      </c>
      <c r="J121" s="55" t="s">
        <v>269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13.27264042872071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9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37144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270</v>
      </c>
      <c r="C122" s="52" t="s">
        <v>261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82</v>
      </c>
      <c r="J122" s="55" t="s">
        <v>271</v>
      </c>
      <c r="K122" s="51">
        <v>5.4</v>
      </c>
      <c r="L122" s="51">
        <v>6.8</v>
      </c>
      <c r="M122" s="51">
        <v>9.8000000000000007</v>
      </c>
      <c r="N122" s="51">
        <v>7.8</v>
      </c>
      <c r="O122" s="51">
        <v>9.1999999999999993</v>
      </c>
      <c r="P122" s="51">
        <v>7.2</v>
      </c>
      <c r="Q122" s="51">
        <v>7</v>
      </c>
      <c r="R122" s="51">
        <v>5.8</v>
      </c>
      <c r="S122" s="51">
        <v>8</v>
      </c>
      <c r="T122" s="51">
        <v>9</v>
      </c>
      <c r="U122" s="51">
        <v>8.4</v>
      </c>
      <c r="V122" s="51">
        <v>7.8</v>
      </c>
      <c r="W122" s="51">
        <v>7</v>
      </c>
      <c r="X122" s="51">
        <v>10</v>
      </c>
      <c r="Y122" s="51">
        <v>8.1999999999999993</v>
      </c>
      <c r="Z122" s="111">
        <v>8.4</v>
      </c>
      <c r="AA122" s="51">
        <v>8.8000000000000007</v>
      </c>
      <c r="AB122" s="51">
        <v>9.4</v>
      </c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88">
        <f t="shared" si="6"/>
        <v>18</v>
      </c>
      <c r="AQ122" s="89">
        <f t="shared" si="7"/>
        <v>8.0000000000000018</v>
      </c>
      <c r="AR122" s="89">
        <f>IFERROR(VLOOKUP(A122,Climatologia!A:U,9+$E$2,FALSE),"")</f>
        <v>7.3917414401264976</v>
      </c>
      <c r="AS122" s="89">
        <f t="shared" si="8"/>
        <v>0.60825855987350419</v>
      </c>
      <c r="AT122" s="90">
        <f t="shared" si="9"/>
        <v>5.4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1.2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33484</v>
      </c>
      <c r="AW122" s="92">
        <f t="shared" si="10"/>
        <v>4.2</v>
      </c>
    </row>
    <row r="123" spans="1:49" ht="14.25" customHeight="1" x14ac:dyDescent="0.2">
      <c r="A123" s="48">
        <v>47035020</v>
      </c>
      <c r="B123" s="52" t="s">
        <v>272</v>
      </c>
      <c r="C123" s="52" t="s">
        <v>261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264</v>
      </c>
      <c r="J123" s="55" t="s">
        <v>273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0</v>
      </c>
      <c r="AQ123" s="89" t="str">
        <f t="shared" si="7"/>
        <v/>
      </c>
      <c r="AR123" s="89">
        <f>IFERROR(VLOOKUP(A123,Climatologia!A:U,9+$E$2,FALSE),"")</f>
        <v>20.95607142857143</v>
      </c>
      <c r="AS123" s="89" t="str">
        <f t="shared" si="8"/>
        <v/>
      </c>
      <c r="AT123" s="90" t="str">
        <f t="shared" si="9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17.399999999999999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35681</v>
      </c>
      <c r="AW123" s="92" t="str">
        <f t="shared" si="10"/>
        <v>NA</v>
      </c>
    </row>
    <row r="124" spans="1:49" ht="14.25" customHeight="1" x14ac:dyDescent="0.2">
      <c r="A124" s="48">
        <v>51025090</v>
      </c>
      <c r="B124" s="52" t="s">
        <v>274</v>
      </c>
      <c r="C124" s="52" t="s">
        <v>261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82</v>
      </c>
      <c r="J124" s="55" t="s">
        <v>275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23.01698412698412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276</v>
      </c>
      <c r="C125" s="52" t="s">
        <v>261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181</v>
      </c>
      <c r="J125" s="55" t="s">
        <v>277</v>
      </c>
      <c r="K125" s="51">
        <v>11.4</v>
      </c>
      <c r="L125" s="51">
        <v>12.6</v>
      </c>
      <c r="M125" s="51">
        <v>13.9</v>
      </c>
      <c r="N125" s="51">
        <v>13.8</v>
      </c>
      <c r="O125" s="51">
        <v>13.7</v>
      </c>
      <c r="P125" s="51">
        <v>13.2</v>
      </c>
      <c r="Q125" s="51">
        <v>12.6</v>
      </c>
      <c r="R125" s="51">
        <v>12.8</v>
      </c>
      <c r="S125" s="51">
        <v>14.7</v>
      </c>
      <c r="T125" s="51">
        <v>12.8</v>
      </c>
      <c r="U125" s="51">
        <v>13.4</v>
      </c>
      <c r="V125" s="51">
        <v>11.7</v>
      </c>
      <c r="W125" s="51">
        <v>13.3</v>
      </c>
      <c r="X125" s="51">
        <v>14.2</v>
      </c>
      <c r="Y125" s="51">
        <v>13.4</v>
      </c>
      <c r="Z125" s="111">
        <v>13.3</v>
      </c>
      <c r="AA125" s="51">
        <v>13.8</v>
      </c>
      <c r="AB125" s="51">
        <v>13.3</v>
      </c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88">
        <f t="shared" si="6"/>
        <v>18</v>
      </c>
      <c r="AQ125" s="89">
        <f t="shared" si="7"/>
        <v>13.216666666666669</v>
      </c>
      <c r="AR125" s="89">
        <f>IFERROR(VLOOKUP(A125,Climatologia!A:U,9+$E$2,FALSE),"")</f>
        <v>11.326784072249589</v>
      </c>
      <c r="AS125" s="89">
        <f t="shared" si="8"/>
        <v>1.8898825944170792</v>
      </c>
      <c r="AT125" s="90">
        <f t="shared" si="9"/>
        <v>11.4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4.7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44805</v>
      </c>
      <c r="AW125" s="92">
        <f t="shared" si="10"/>
        <v>6.7</v>
      </c>
    </row>
    <row r="126" spans="1:49" ht="14.25" customHeight="1" x14ac:dyDescent="0.2">
      <c r="A126" s="48">
        <v>52025020</v>
      </c>
      <c r="B126" s="52" t="s">
        <v>278</v>
      </c>
      <c r="C126" s="52" t="s">
        <v>261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181</v>
      </c>
      <c r="J126" s="55" t="s">
        <v>34</v>
      </c>
      <c r="K126" s="51">
        <v>13.4</v>
      </c>
      <c r="L126" s="51">
        <v>14.4</v>
      </c>
      <c r="M126" s="51">
        <v>15.8</v>
      </c>
      <c r="N126" s="51">
        <v>15.4</v>
      </c>
      <c r="O126" s="51">
        <v>15.2</v>
      </c>
      <c r="P126" s="51">
        <v>15.6</v>
      </c>
      <c r="Q126" s="51">
        <v>15.4</v>
      </c>
      <c r="R126" s="51">
        <v>15.6</v>
      </c>
      <c r="S126" s="51">
        <v>16.2</v>
      </c>
      <c r="T126" s="51">
        <v>14.4</v>
      </c>
      <c r="U126" s="51">
        <v>14.6</v>
      </c>
      <c r="V126" s="51">
        <v>15.4</v>
      </c>
      <c r="W126" s="51">
        <v>15.2</v>
      </c>
      <c r="X126" s="51">
        <v>16.399999999999999</v>
      </c>
      <c r="Y126" s="51">
        <v>15.6</v>
      </c>
      <c r="Z126" s="111">
        <v>16</v>
      </c>
      <c r="AA126" s="51">
        <v>15.6</v>
      </c>
      <c r="AB126" s="51">
        <v>16</v>
      </c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88">
        <f t="shared" si="6"/>
        <v>18</v>
      </c>
      <c r="AQ126" s="89">
        <f t="shared" si="7"/>
        <v>15.344444444444443</v>
      </c>
      <c r="AR126" s="89">
        <f>IFERROR(VLOOKUP(A126,Climatologia!A:U,9+$E$2,FALSE),"")</f>
        <v>13.24615019157088</v>
      </c>
      <c r="AS126" s="89">
        <f t="shared" si="8"/>
        <v>2.0982942528735631</v>
      </c>
      <c r="AT126" s="90">
        <f t="shared" si="9"/>
        <v>13.4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29113</v>
      </c>
      <c r="AW126" s="92">
        <f t="shared" si="10"/>
        <v>5.2000000000000011</v>
      </c>
    </row>
    <row r="127" spans="1:49" ht="14.25" customHeight="1" x14ac:dyDescent="0.2">
      <c r="A127" s="48">
        <v>52025090</v>
      </c>
      <c r="B127" s="52" t="s">
        <v>279</v>
      </c>
      <c r="C127" s="52" t="s">
        <v>261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181</v>
      </c>
      <c r="J127" s="55" t="s">
        <v>280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14.9793962585034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10.199999999999999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32764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281</v>
      </c>
      <c r="C128" s="52" t="s">
        <v>261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82</v>
      </c>
      <c r="J128" s="55" t="s">
        <v>271</v>
      </c>
      <c r="K128" s="51">
        <v>8.8000000000000007</v>
      </c>
      <c r="L128" s="51">
        <v>10.199999999999999</v>
      </c>
      <c r="M128" s="51">
        <v>10.8</v>
      </c>
      <c r="N128" s="51">
        <v>9.6</v>
      </c>
      <c r="O128" s="51">
        <v>11.4</v>
      </c>
      <c r="P128" s="51">
        <v>9.1999999999999993</v>
      </c>
      <c r="Q128" s="51">
        <v>8.8000000000000007</v>
      </c>
      <c r="R128" s="51">
        <v>9.8000000000000007</v>
      </c>
      <c r="S128" s="51">
        <v>10.8</v>
      </c>
      <c r="T128" s="51">
        <v>11</v>
      </c>
      <c r="U128" s="51">
        <v>10.199999999999999</v>
      </c>
      <c r="V128" s="51">
        <v>11.2</v>
      </c>
      <c r="W128" s="51">
        <v>11</v>
      </c>
      <c r="X128" s="51">
        <v>11.3</v>
      </c>
      <c r="Y128" s="51">
        <v>10.8</v>
      </c>
      <c r="Z128" s="111">
        <v>11</v>
      </c>
      <c r="AA128" s="51">
        <v>11.3</v>
      </c>
      <c r="AB128" s="51">
        <v>11.6</v>
      </c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88">
        <f t="shared" si="6"/>
        <v>18</v>
      </c>
      <c r="AQ128" s="89">
        <f t="shared" si="7"/>
        <v>10.488888888888891</v>
      </c>
      <c r="AR128" s="89">
        <f>IFERROR(VLOOKUP(A128,Climatologia!A:U,9+$E$2,FALSE),"")</f>
        <v>9.1450862068965524</v>
      </c>
      <c r="AS128" s="89">
        <f t="shared" si="8"/>
        <v>1.3438026819923383</v>
      </c>
      <c r="AT128" s="90">
        <f t="shared" si="9"/>
        <v>8.8000000000000007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28" s="92">
        <f t="shared" si="10"/>
        <v>4.8000000000000007</v>
      </c>
    </row>
    <row r="129" spans="1:49" ht="14.25" customHeight="1" x14ac:dyDescent="0.2">
      <c r="A129" s="48">
        <v>52045030</v>
      </c>
      <c r="B129" s="52" t="s">
        <v>282</v>
      </c>
      <c r="C129" s="52" t="s">
        <v>261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82</v>
      </c>
      <c r="J129" s="55" t="s">
        <v>282</v>
      </c>
      <c r="K129" s="51">
        <v>9.4</v>
      </c>
      <c r="L129" s="51">
        <v>13</v>
      </c>
      <c r="M129" s="51">
        <v>12.6</v>
      </c>
      <c r="N129" s="51">
        <v>13</v>
      </c>
      <c r="O129" s="51">
        <v>12.4</v>
      </c>
      <c r="P129" s="51">
        <v>11.8</v>
      </c>
      <c r="Q129" s="51">
        <v>12.2</v>
      </c>
      <c r="R129" s="51">
        <v>9.8000000000000007</v>
      </c>
      <c r="S129" s="51">
        <v>14.6</v>
      </c>
      <c r="T129" s="51">
        <v>9.6</v>
      </c>
      <c r="U129" s="51">
        <v>10</v>
      </c>
      <c r="V129" s="51">
        <v>9.6</v>
      </c>
      <c r="W129" s="51">
        <v>10.4</v>
      </c>
      <c r="X129" s="51">
        <v>13.8</v>
      </c>
      <c r="Y129" s="51">
        <v>11.8</v>
      </c>
      <c r="Z129" s="111">
        <v>13</v>
      </c>
      <c r="AA129" s="51">
        <v>11</v>
      </c>
      <c r="AB129" s="51">
        <v>10.8</v>
      </c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88">
        <f t="shared" si="6"/>
        <v>18</v>
      </c>
      <c r="AQ129" s="89">
        <f t="shared" si="7"/>
        <v>11.600000000000001</v>
      </c>
      <c r="AR129" s="89">
        <f>IFERROR(VLOOKUP(A129,Climatologia!A:U,9+$E$2,FALSE),"")</f>
        <v>10.51523938340441</v>
      </c>
      <c r="AS129" s="89">
        <f t="shared" si="8"/>
        <v>1.0847606165955916</v>
      </c>
      <c r="AT129" s="90">
        <f t="shared" si="9"/>
        <v>9.4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7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35683</v>
      </c>
      <c r="AW129" s="92">
        <f t="shared" si="10"/>
        <v>2.4000000000000004</v>
      </c>
    </row>
    <row r="130" spans="1:49" ht="14.25" customHeight="1" x14ac:dyDescent="0.2">
      <c r="A130" s="48">
        <v>52045040</v>
      </c>
      <c r="B130" s="52" t="s">
        <v>283</v>
      </c>
      <c r="C130" s="52" t="s">
        <v>261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82</v>
      </c>
      <c r="J130" s="55" t="s">
        <v>283</v>
      </c>
      <c r="K130" s="51">
        <v>14.6</v>
      </c>
      <c r="L130" s="51">
        <v>15.2</v>
      </c>
      <c r="M130" s="51">
        <v>14.8</v>
      </c>
      <c r="N130" s="51">
        <v>16</v>
      </c>
      <c r="O130" s="51">
        <v>15.6</v>
      </c>
      <c r="P130" s="51">
        <v>15.4</v>
      </c>
      <c r="Q130" s="51">
        <v>15.2</v>
      </c>
      <c r="R130" s="51">
        <v>15</v>
      </c>
      <c r="S130" s="51">
        <v>14</v>
      </c>
      <c r="T130" s="51">
        <v>15.6</v>
      </c>
      <c r="U130" s="51">
        <v>15.8</v>
      </c>
      <c r="V130" s="51">
        <v>15.2</v>
      </c>
      <c r="W130" s="51">
        <v>16.8</v>
      </c>
      <c r="X130" s="51">
        <v>17</v>
      </c>
      <c r="Y130" s="51">
        <v>17</v>
      </c>
      <c r="Z130" s="111">
        <v>17.2</v>
      </c>
      <c r="AA130" s="51">
        <v>18.399999999999999</v>
      </c>
      <c r="AB130" s="51">
        <v>18.600000000000001</v>
      </c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88">
        <f t="shared" si="6"/>
        <v>18</v>
      </c>
      <c r="AQ130" s="89">
        <f t="shared" si="7"/>
        <v>15.966666666666669</v>
      </c>
      <c r="AR130" s="89">
        <f>IFERROR(VLOOKUP(A130,Climatologia!A:U,9+$E$2,FALSE),"")</f>
        <v>14.537346512473739</v>
      </c>
      <c r="AS130" s="89">
        <f t="shared" si="8"/>
        <v>1.4293201541929292</v>
      </c>
      <c r="AT130" s="90">
        <f t="shared" si="9"/>
        <v>14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10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30952</v>
      </c>
      <c r="AW130" s="92">
        <f t="shared" si="10"/>
        <v>4</v>
      </c>
    </row>
    <row r="131" spans="1:49" ht="14.25" customHeight="1" x14ac:dyDescent="0.2">
      <c r="A131" s="48">
        <v>52045090</v>
      </c>
      <c r="B131" s="52" t="s">
        <v>284</v>
      </c>
      <c r="C131" s="52" t="s">
        <v>261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82</v>
      </c>
      <c r="J131" s="55" t="s">
        <v>285</v>
      </c>
      <c r="K131" s="51">
        <v>2.2000000000000002</v>
      </c>
      <c r="L131" s="51">
        <v>3</v>
      </c>
      <c r="M131" s="51">
        <v>6.2</v>
      </c>
      <c r="N131" s="51">
        <v>6.4</v>
      </c>
      <c r="O131" s="51">
        <v>6</v>
      </c>
      <c r="P131" s="51">
        <v>6.4</v>
      </c>
      <c r="Q131" s="51">
        <v>6.2</v>
      </c>
      <c r="R131" s="51">
        <v>6.4</v>
      </c>
      <c r="S131" s="51">
        <v>5.2</v>
      </c>
      <c r="T131" s="51"/>
      <c r="U131" s="51">
        <v>6</v>
      </c>
      <c r="V131" s="51">
        <v>4.8</v>
      </c>
      <c r="W131" s="51">
        <v>6</v>
      </c>
      <c r="X131" s="51">
        <v>6.2</v>
      </c>
      <c r="Y131" s="51">
        <v>7</v>
      </c>
      <c r="Z131" s="111">
        <v>6.4</v>
      </c>
      <c r="AA131" s="51">
        <v>6.4</v>
      </c>
      <c r="AB131" s="51">
        <v>5.4</v>
      </c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88">
        <f t="shared" si="6"/>
        <v>17</v>
      </c>
      <c r="AQ131" s="89">
        <f t="shared" si="7"/>
        <v>5.6588235294117668</v>
      </c>
      <c r="AR131" s="89">
        <f>IFERROR(VLOOKUP(A131,Climatologia!A:U,9+$E$2,FALSE),"")</f>
        <v>5.9172796934865914</v>
      </c>
      <c r="AS131" s="89">
        <f t="shared" si="8"/>
        <v>-0.25845616407482463</v>
      </c>
      <c r="AT131" s="90">
        <f t="shared" si="9"/>
        <v>2.2000000000000002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1.2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40069</v>
      </c>
      <c r="AW131" s="92">
        <f t="shared" si="10"/>
        <v>1.0000000000000002</v>
      </c>
    </row>
    <row r="132" spans="1:49" ht="14.25" customHeight="1" x14ac:dyDescent="0.2">
      <c r="A132" s="48">
        <v>52055030</v>
      </c>
      <c r="B132" s="52" t="s">
        <v>286</v>
      </c>
      <c r="C132" s="52" t="s">
        <v>261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82</v>
      </c>
      <c r="J132" s="55" t="s">
        <v>287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15.46328945133345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288</v>
      </c>
      <c r="C133" s="52" t="s">
        <v>261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82</v>
      </c>
      <c r="J133" s="55" t="s">
        <v>289</v>
      </c>
      <c r="K133" s="51">
        <v>14.2</v>
      </c>
      <c r="L133" s="51">
        <v>16</v>
      </c>
      <c r="M133" s="51">
        <v>15.8</v>
      </c>
      <c r="N133" s="51">
        <v>16.2</v>
      </c>
      <c r="O133" s="51">
        <v>15.4</v>
      </c>
      <c r="P133" s="51">
        <v>17</v>
      </c>
      <c r="Q133" s="51">
        <v>15</v>
      </c>
      <c r="R133" s="51">
        <v>14.8</v>
      </c>
      <c r="S133" s="51">
        <v>16.600000000000001</v>
      </c>
      <c r="T133" s="51">
        <v>14.2</v>
      </c>
      <c r="U133" s="51">
        <v>17.2</v>
      </c>
      <c r="V133" s="51">
        <v>15</v>
      </c>
      <c r="W133" s="51">
        <v>14.6</v>
      </c>
      <c r="X133" s="51">
        <v>14</v>
      </c>
      <c r="Y133" s="51">
        <v>16.2</v>
      </c>
      <c r="Z133" s="111">
        <v>15.8</v>
      </c>
      <c r="AA133" s="51">
        <v>17</v>
      </c>
      <c r="AB133" s="51">
        <v>16.2</v>
      </c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88">
        <f t="shared" ref="AP133:AP196" si="11">COUNTIF(K133:AO133,"&gt;0")</f>
        <v>18</v>
      </c>
      <c r="AQ133" s="89">
        <f t="shared" ref="AQ133:AQ196" si="12">IF(AP133&gt;14,AVERAGE(K133:AO133),"")</f>
        <v>15.622222222222222</v>
      </c>
      <c r="AR133" s="89">
        <f>IFERROR(VLOOKUP(A133,Climatologia!A:U,9+$E$2,FALSE),"")</f>
        <v>13.931554654444071</v>
      </c>
      <c r="AS133" s="89">
        <f t="shared" ref="AS133:AS196" si="13">IF(OR(AQ133="",AR133=""),"",IFERROR(AQ133-AR133,""))</f>
        <v>1.6906675677781511</v>
      </c>
      <c r="AT133" s="90">
        <f t="shared" ref="AT133:AT196" si="14">IF(COUNT(K133:AO133)=0,"",MIN(K133:AO133))</f>
        <v>14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10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33485</v>
      </c>
      <c r="AW133" s="92">
        <f t="shared" ref="AW133:AW196" si="15">IF(OR(AT133="",AU133=""),"NA",IFERROR(AT133-AU133,"NA"))</f>
        <v>4</v>
      </c>
    </row>
    <row r="134" spans="1:49" ht="14.25" customHeight="1" x14ac:dyDescent="0.2">
      <c r="A134" s="48">
        <v>52055090</v>
      </c>
      <c r="B134" s="52" t="s">
        <v>290</v>
      </c>
      <c r="C134" s="52" t="s">
        <v>261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82</v>
      </c>
      <c r="J134" s="55" t="s">
        <v>291</v>
      </c>
      <c r="K134" s="51">
        <v>8.4</v>
      </c>
      <c r="L134" s="51">
        <v>9</v>
      </c>
      <c r="M134" s="51">
        <v>12</v>
      </c>
      <c r="N134" s="51">
        <v>12</v>
      </c>
      <c r="O134" s="51"/>
      <c r="P134" s="51"/>
      <c r="Q134" s="51">
        <v>10</v>
      </c>
      <c r="R134" s="51">
        <v>10.8</v>
      </c>
      <c r="S134" s="51">
        <v>11.8</v>
      </c>
      <c r="T134" s="51">
        <v>11</v>
      </c>
      <c r="U134" s="51">
        <v>10.1</v>
      </c>
      <c r="V134" s="51">
        <v>11</v>
      </c>
      <c r="W134" s="51">
        <v>12</v>
      </c>
      <c r="X134" s="51">
        <v>11.9</v>
      </c>
      <c r="Y134" s="51">
        <v>11</v>
      </c>
      <c r="Z134" s="111">
        <v>10</v>
      </c>
      <c r="AA134" s="51">
        <v>10.4</v>
      </c>
      <c r="AB134" s="51">
        <v>11.5</v>
      </c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88">
        <f t="shared" si="11"/>
        <v>16</v>
      </c>
      <c r="AQ134" s="89">
        <f t="shared" si="12"/>
        <v>10.80625</v>
      </c>
      <c r="AR134" s="89">
        <f>IFERROR(VLOOKUP(A134,Climatologia!A:U,9+$E$2,FALSE),"")</f>
        <v>9.2348212445501403</v>
      </c>
      <c r="AS134" s="89">
        <f t="shared" si="13"/>
        <v>1.57142875544986</v>
      </c>
      <c r="AT134" s="90">
        <f t="shared" si="14"/>
        <v>8.4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36039</v>
      </c>
      <c r="AW134" s="92">
        <f t="shared" si="15"/>
        <v>3.4000000000000004</v>
      </c>
    </row>
    <row r="135" spans="1:49" ht="14.25" customHeight="1" x14ac:dyDescent="0.2">
      <c r="A135" s="48">
        <v>52055200</v>
      </c>
      <c r="B135" s="52" t="s">
        <v>292</v>
      </c>
      <c r="C135" s="52" t="s">
        <v>261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82</v>
      </c>
      <c r="J135" s="55" t="s">
        <v>292</v>
      </c>
      <c r="K135" s="51">
        <v>10.4</v>
      </c>
      <c r="L135" s="51">
        <v>12</v>
      </c>
      <c r="M135" s="51">
        <v>13.8</v>
      </c>
      <c r="N135" s="51">
        <v>9.1999999999999993</v>
      </c>
      <c r="O135" s="51">
        <v>16</v>
      </c>
      <c r="P135" s="51">
        <v>14.4</v>
      </c>
      <c r="Q135" s="51">
        <v>11.6</v>
      </c>
      <c r="R135" s="51">
        <v>12</v>
      </c>
      <c r="S135" s="51">
        <v>16.2</v>
      </c>
      <c r="T135" s="51">
        <v>11.8</v>
      </c>
      <c r="U135" s="51">
        <v>13.6</v>
      </c>
      <c r="V135" s="51">
        <v>13.8</v>
      </c>
      <c r="W135" s="51">
        <v>15</v>
      </c>
      <c r="X135" s="51">
        <v>14.4</v>
      </c>
      <c r="Y135" s="51">
        <v>14.4</v>
      </c>
      <c r="Z135" s="111">
        <v>15.2</v>
      </c>
      <c r="AA135" s="51">
        <v>9.6</v>
      </c>
      <c r="AB135" s="51">
        <v>9.8000000000000007</v>
      </c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88">
        <f t="shared" si="11"/>
        <v>18</v>
      </c>
      <c r="AQ135" s="89">
        <f t="shared" si="12"/>
        <v>12.955555555555556</v>
      </c>
      <c r="AR135" s="89">
        <f>IFERROR(VLOOKUP(A135,Climatologia!A:U,9+$E$2,FALSE),"")</f>
        <v>12.205965517241379</v>
      </c>
      <c r="AS135" s="89">
        <f t="shared" si="13"/>
        <v>0.74959003831417625</v>
      </c>
      <c r="AT135" s="90">
        <f t="shared" si="14"/>
        <v>9.1999999999999993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44100</v>
      </c>
      <c r="AW135" s="92">
        <f t="shared" si="15"/>
        <v>1.1999999999999993</v>
      </c>
    </row>
    <row r="136" spans="1:49" ht="14.25" customHeight="1" x14ac:dyDescent="0.2">
      <c r="A136" s="48">
        <v>52055210</v>
      </c>
      <c r="B136" s="52" t="s">
        <v>293</v>
      </c>
      <c r="C136" s="52" t="s">
        <v>261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82</v>
      </c>
      <c r="J136" s="55" t="s">
        <v>271</v>
      </c>
      <c r="K136" s="51">
        <v>6.4</v>
      </c>
      <c r="L136" s="51">
        <v>9.1999999999999993</v>
      </c>
      <c r="M136" s="51">
        <v>10.8</v>
      </c>
      <c r="N136" s="51">
        <v>9</v>
      </c>
      <c r="O136" s="51">
        <v>10.8</v>
      </c>
      <c r="P136" s="51">
        <v>8</v>
      </c>
      <c r="Q136" s="51">
        <v>7.2</v>
      </c>
      <c r="R136" s="51">
        <v>8.6</v>
      </c>
      <c r="S136" s="51">
        <v>10</v>
      </c>
      <c r="T136" s="51">
        <v>10.6</v>
      </c>
      <c r="U136" s="51">
        <v>10.4</v>
      </c>
      <c r="V136" s="51">
        <v>10.8</v>
      </c>
      <c r="W136" s="51">
        <v>9.8000000000000007</v>
      </c>
      <c r="X136" s="51">
        <v>11.2</v>
      </c>
      <c r="Y136" s="51">
        <v>9.4</v>
      </c>
      <c r="Z136" s="111">
        <v>11.4</v>
      </c>
      <c r="AA136" s="51">
        <v>10.6</v>
      </c>
      <c r="AB136" s="51">
        <v>11</v>
      </c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88">
        <f t="shared" si="11"/>
        <v>18</v>
      </c>
      <c r="AQ136" s="89">
        <f t="shared" si="12"/>
        <v>9.7333333333333325</v>
      </c>
      <c r="AR136" s="89">
        <f>IFERROR(VLOOKUP(A136,Climatologia!A:U,9+$E$2,FALSE),"")</f>
        <v>8.3700583367250037</v>
      </c>
      <c r="AS136" s="89">
        <f t="shared" si="13"/>
        <v>1.3632749966083288</v>
      </c>
      <c r="AT136" s="90">
        <f t="shared" si="14"/>
        <v>6.4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2.8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36" s="92">
        <f t="shared" si="15"/>
        <v>3.6000000000000005</v>
      </c>
    </row>
    <row r="137" spans="1:49" ht="14.25" customHeight="1" x14ac:dyDescent="0.2">
      <c r="A137" s="48">
        <v>52055220</v>
      </c>
      <c r="B137" s="52" t="s">
        <v>294</v>
      </c>
      <c r="C137" s="52" t="s">
        <v>261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82</v>
      </c>
      <c r="J137" s="55" t="s">
        <v>295</v>
      </c>
      <c r="K137" s="51">
        <v>6</v>
      </c>
      <c r="L137" s="51">
        <v>6.2</v>
      </c>
      <c r="M137" s="51">
        <v>8.4</v>
      </c>
      <c r="N137" s="51">
        <v>8</v>
      </c>
      <c r="O137" s="51">
        <v>8.4</v>
      </c>
      <c r="P137" s="51">
        <v>5.6</v>
      </c>
      <c r="Q137" s="51">
        <v>6.2</v>
      </c>
      <c r="R137" s="51">
        <v>6</v>
      </c>
      <c r="S137" s="51">
        <v>6.4</v>
      </c>
      <c r="T137" s="51">
        <v>7.2</v>
      </c>
      <c r="U137" s="51">
        <v>7.8</v>
      </c>
      <c r="V137" s="51">
        <v>7.6</v>
      </c>
      <c r="W137" s="51">
        <v>7.8</v>
      </c>
      <c r="X137" s="51">
        <v>9</v>
      </c>
      <c r="Y137" s="51">
        <v>8.6999999999999993</v>
      </c>
      <c r="Z137" s="111">
        <v>8</v>
      </c>
      <c r="AA137" s="51">
        <v>7.8</v>
      </c>
      <c r="AB137" s="51">
        <v>7.6</v>
      </c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88">
        <f t="shared" si="11"/>
        <v>18</v>
      </c>
      <c r="AQ137" s="89">
        <f t="shared" si="12"/>
        <v>7.3722222222222218</v>
      </c>
      <c r="AR137" s="89">
        <f>IFERROR(VLOOKUP(A137,Climatologia!A:U,9+$E$2,FALSE),"")</f>
        <v>6.6653428458184703</v>
      </c>
      <c r="AS137" s="89">
        <f t="shared" si="13"/>
        <v>0.70687937640375154</v>
      </c>
      <c r="AT137" s="90">
        <f t="shared" si="14"/>
        <v>5.6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2.2000000000000002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39715</v>
      </c>
      <c r="AW137" s="92">
        <f t="shared" si="15"/>
        <v>3.3999999999999995</v>
      </c>
    </row>
    <row r="138" spans="1:49" ht="14.25" customHeight="1" x14ac:dyDescent="0.2">
      <c r="A138" s="48">
        <v>53045040</v>
      </c>
      <c r="B138" s="52" t="s">
        <v>296</v>
      </c>
      <c r="C138" s="52" t="s">
        <v>261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181</v>
      </c>
      <c r="J138" s="55" t="s">
        <v>297</v>
      </c>
      <c r="K138" s="51">
        <v>23.8</v>
      </c>
      <c r="L138" s="51">
        <v>23.6</v>
      </c>
      <c r="M138" s="51">
        <v>24.2</v>
      </c>
      <c r="N138" s="51">
        <v>25.4</v>
      </c>
      <c r="O138" s="51">
        <v>24.6</v>
      </c>
      <c r="P138" s="51">
        <v>24.2</v>
      </c>
      <c r="Q138" s="51">
        <v>24</v>
      </c>
      <c r="R138" s="51">
        <v>24.2</v>
      </c>
      <c r="S138" s="51">
        <v>24.6</v>
      </c>
      <c r="T138" s="51">
        <v>24.4</v>
      </c>
      <c r="U138" s="51">
        <v>23.8</v>
      </c>
      <c r="V138" s="51">
        <v>23.6</v>
      </c>
      <c r="W138" s="51">
        <v>24.8</v>
      </c>
      <c r="X138" s="51">
        <v>25.4</v>
      </c>
      <c r="Y138" s="51">
        <v>25.2</v>
      </c>
      <c r="Z138" s="111">
        <v>25.2</v>
      </c>
      <c r="AA138" s="51">
        <v>25</v>
      </c>
      <c r="AB138" s="51">
        <v>24.8</v>
      </c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88">
        <f t="shared" si="11"/>
        <v>18</v>
      </c>
      <c r="AQ138" s="89">
        <f t="shared" si="12"/>
        <v>24.488888888888887</v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23.6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298</v>
      </c>
      <c r="C139" s="52" t="s">
        <v>299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300</v>
      </c>
      <c r="J139" s="55" t="s">
        <v>301</v>
      </c>
      <c r="K139" s="51">
        <v>11.8</v>
      </c>
      <c r="L139" s="51">
        <v>12</v>
      </c>
      <c r="M139" s="51">
        <v>12.2</v>
      </c>
      <c r="N139" s="51">
        <v>10.4</v>
      </c>
      <c r="O139" s="51">
        <v>12.2</v>
      </c>
      <c r="P139" s="51">
        <v>11.8</v>
      </c>
      <c r="Q139" s="51">
        <v>11.2</v>
      </c>
      <c r="R139" s="51">
        <v>12</v>
      </c>
      <c r="S139" s="51">
        <v>10.8</v>
      </c>
      <c r="T139" s="51">
        <v>11.8</v>
      </c>
      <c r="U139" s="51">
        <v>12.2</v>
      </c>
      <c r="V139" s="51">
        <v>12.6</v>
      </c>
      <c r="W139" s="51">
        <v>13</v>
      </c>
      <c r="X139" s="51">
        <v>12.8</v>
      </c>
      <c r="Y139" s="51">
        <v>11.2</v>
      </c>
      <c r="Z139" s="111">
        <v>12.2</v>
      </c>
      <c r="AA139" s="51">
        <v>10.199999999999999</v>
      </c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88">
        <f t="shared" si="11"/>
        <v>17</v>
      </c>
      <c r="AQ139" s="89">
        <f t="shared" si="12"/>
        <v>11.788235294117644</v>
      </c>
      <c r="AR139" s="89">
        <f>IFERROR(VLOOKUP(A139,Climatologia!A:U,9+$E$2,FALSE),"")</f>
        <v>10.703855500821019</v>
      </c>
      <c r="AS139" s="89">
        <f t="shared" si="13"/>
        <v>1.084379793296625</v>
      </c>
      <c r="AT139" s="90">
        <f t="shared" si="14"/>
        <v>10.199999999999999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5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35703</v>
      </c>
      <c r="AW139" s="92">
        <f t="shared" si="15"/>
        <v>5.1999999999999993</v>
      </c>
    </row>
    <row r="140" spans="1:49" ht="14.25" customHeight="1" x14ac:dyDescent="0.2">
      <c r="A140" s="48">
        <v>16015100</v>
      </c>
      <c r="B140" s="52" t="s">
        <v>302</v>
      </c>
      <c r="C140" s="52" t="s">
        <v>299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300</v>
      </c>
      <c r="J140" s="55" t="s">
        <v>302</v>
      </c>
      <c r="K140" s="51">
        <v>16.2</v>
      </c>
      <c r="L140" s="51">
        <v>15.6</v>
      </c>
      <c r="M140" s="51">
        <v>15.4</v>
      </c>
      <c r="N140" s="51">
        <v>14.6</v>
      </c>
      <c r="O140" s="51">
        <v>14.8</v>
      </c>
      <c r="P140" s="51">
        <v>14.4</v>
      </c>
      <c r="Q140" s="51">
        <v>14.4</v>
      </c>
      <c r="R140" s="51">
        <v>14.2</v>
      </c>
      <c r="S140" s="51">
        <v>15</v>
      </c>
      <c r="T140" s="51">
        <v>14.8</v>
      </c>
      <c r="U140" s="51">
        <v>15.6</v>
      </c>
      <c r="V140" s="51">
        <v>14.6</v>
      </c>
      <c r="W140" s="51">
        <v>16.2</v>
      </c>
      <c r="X140" s="51">
        <v>14.8</v>
      </c>
      <c r="Y140" s="51">
        <v>15</v>
      </c>
      <c r="Z140" s="111">
        <v>16.8</v>
      </c>
      <c r="AA140" s="51">
        <v>14.4</v>
      </c>
      <c r="AB140" s="51">
        <v>16.2</v>
      </c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88">
        <f t="shared" si="11"/>
        <v>18</v>
      </c>
      <c r="AQ140" s="89">
        <f t="shared" si="12"/>
        <v>15.166666666666666</v>
      </c>
      <c r="AR140" s="89">
        <f>IFERROR(VLOOKUP(A140,Climatologia!A:U,9+$E$2,FALSE),"")</f>
        <v>14.545254688445249</v>
      </c>
      <c r="AS140" s="89">
        <f t="shared" si="13"/>
        <v>0.62141197822141692</v>
      </c>
      <c r="AT140" s="90">
        <f t="shared" si="14"/>
        <v>14.2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42643</v>
      </c>
      <c r="AW140" s="92">
        <f t="shared" si="15"/>
        <v>2.3999999999999986</v>
      </c>
    </row>
    <row r="141" spans="1:49" ht="14.25" customHeight="1" x14ac:dyDescent="0.2">
      <c r="A141" s="48">
        <v>16025010</v>
      </c>
      <c r="B141" s="52" t="s">
        <v>303</v>
      </c>
      <c r="C141" s="52" t="s">
        <v>299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300</v>
      </c>
      <c r="J141" s="55" t="s">
        <v>304</v>
      </c>
      <c r="K141" s="51">
        <v>24.8</v>
      </c>
      <c r="L141" s="51">
        <v>24.4</v>
      </c>
      <c r="M141" s="51">
        <v>23.4</v>
      </c>
      <c r="N141" s="51">
        <v>24.2</v>
      </c>
      <c r="O141" s="51">
        <v>24.4</v>
      </c>
      <c r="P141" s="51">
        <v>24.8</v>
      </c>
      <c r="Q141" s="51">
        <v>24</v>
      </c>
      <c r="R141" s="51">
        <v>26</v>
      </c>
      <c r="S141" s="51">
        <v>27.2</v>
      </c>
      <c r="T141" s="51">
        <v>26.4</v>
      </c>
      <c r="U141" s="51">
        <v>24</v>
      </c>
      <c r="V141" s="51">
        <v>24.8</v>
      </c>
      <c r="W141" s="51">
        <v>25.4</v>
      </c>
      <c r="X141" s="51">
        <v>24</v>
      </c>
      <c r="Y141" s="51">
        <v>26</v>
      </c>
      <c r="Z141" s="111">
        <v>25.1</v>
      </c>
      <c r="AA141" s="51">
        <v>27.4</v>
      </c>
      <c r="AB141" s="51">
        <v>29</v>
      </c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88">
        <f t="shared" si="11"/>
        <v>18</v>
      </c>
      <c r="AQ141" s="89">
        <f t="shared" si="12"/>
        <v>25.294444444444444</v>
      </c>
      <c r="AR141" s="89">
        <f>IFERROR(VLOOKUP(A141,Climatologia!A:U,9+$E$2,FALSE),"")</f>
        <v>22.455977862920388</v>
      </c>
      <c r="AS141" s="89">
        <f t="shared" si="13"/>
        <v>2.838466581524056</v>
      </c>
      <c r="AT141" s="90">
        <f t="shared" si="14"/>
        <v>23.4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19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32410</v>
      </c>
      <c r="AW141" s="92">
        <f t="shared" si="15"/>
        <v>4.3999999999999986</v>
      </c>
    </row>
    <row r="142" spans="1:49" ht="14.25" customHeight="1" x14ac:dyDescent="0.2">
      <c r="A142" s="48">
        <v>16025030</v>
      </c>
      <c r="B142" s="52" t="s">
        <v>305</v>
      </c>
      <c r="C142" s="52" t="s">
        <v>299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300</v>
      </c>
      <c r="J142" s="55" t="s">
        <v>305</v>
      </c>
      <c r="K142" s="51">
        <v>20.399999999999999</v>
      </c>
      <c r="L142" s="51">
        <v>21</v>
      </c>
      <c r="M142" s="51">
        <v>21.2</v>
      </c>
      <c r="N142" s="51">
        <v>20.6</v>
      </c>
      <c r="O142" s="51">
        <v>20.399999999999999</v>
      </c>
      <c r="P142" s="51">
        <v>20.399999999999999</v>
      </c>
      <c r="Q142" s="51">
        <v>20.6</v>
      </c>
      <c r="R142" s="51">
        <v>22.2</v>
      </c>
      <c r="S142" s="51">
        <v>20.2</v>
      </c>
      <c r="T142" s="51">
        <v>21.2</v>
      </c>
      <c r="U142" s="51">
        <v>20.399999999999999</v>
      </c>
      <c r="V142" s="51">
        <v>20</v>
      </c>
      <c r="W142" s="51">
        <v>20.2</v>
      </c>
      <c r="X142" s="51">
        <v>20</v>
      </c>
      <c r="Y142" s="51">
        <v>21.2</v>
      </c>
      <c r="Z142" s="111">
        <v>20.6</v>
      </c>
      <c r="AA142" s="51">
        <v>20.2</v>
      </c>
      <c r="AB142" s="51">
        <v>21.6</v>
      </c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88">
        <f t="shared" si="11"/>
        <v>18</v>
      </c>
      <c r="AQ142" s="89">
        <f t="shared" si="12"/>
        <v>20.688888888888886</v>
      </c>
      <c r="AR142" s="89">
        <f>IFERROR(VLOOKUP(A142,Climatologia!A:U,9+$E$2,FALSE),"")</f>
        <v>19.329999999999998</v>
      </c>
      <c r="AS142" s="89">
        <f t="shared" si="13"/>
        <v>1.3588888888888881</v>
      </c>
      <c r="AT142" s="90">
        <f t="shared" si="14"/>
        <v>20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15.2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42" s="92">
        <f t="shared" si="15"/>
        <v>4.8000000000000007</v>
      </c>
    </row>
    <row r="143" spans="1:49" ht="14.25" customHeight="1" x14ac:dyDescent="0.2">
      <c r="A143" s="48">
        <v>16025040</v>
      </c>
      <c r="B143" s="52" t="s">
        <v>306</v>
      </c>
      <c r="C143" s="52" t="s">
        <v>299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300</v>
      </c>
      <c r="J143" s="55" t="s">
        <v>304</v>
      </c>
      <c r="K143" s="51">
        <v>25</v>
      </c>
      <c r="L143" s="51">
        <v>25.2</v>
      </c>
      <c r="M143" s="51">
        <v>24.8</v>
      </c>
      <c r="N143" s="51">
        <v>24.2</v>
      </c>
      <c r="O143" s="51">
        <v>25</v>
      </c>
      <c r="P143" s="51">
        <v>24.4</v>
      </c>
      <c r="Q143" s="51">
        <v>24</v>
      </c>
      <c r="R143" s="51">
        <v>26</v>
      </c>
      <c r="S143" s="51">
        <v>24.8</v>
      </c>
      <c r="T143" s="51">
        <v>25.8</v>
      </c>
      <c r="U143" s="51">
        <v>23.6</v>
      </c>
      <c r="V143" s="51">
        <v>24.6</v>
      </c>
      <c r="W143" s="51">
        <v>23.4</v>
      </c>
      <c r="X143" s="51">
        <v>24</v>
      </c>
      <c r="Y143" s="51">
        <v>25.6</v>
      </c>
      <c r="Z143" s="111">
        <v>24.4</v>
      </c>
      <c r="AA143" s="51">
        <v>24</v>
      </c>
      <c r="AB143" s="51">
        <v>25.4</v>
      </c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88">
        <f t="shared" si="11"/>
        <v>18</v>
      </c>
      <c r="AQ143" s="89">
        <f t="shared" si="12"/>
        <v>24.677777777777777</v>
      </c>
      <c r="AR143" s="89">
        <f>IFERROR(VLOOKUP(A143,Climatologia!A:U,9+$E$2,FALSE),"")</f>
        <v>23.11510704812429</v>
      </c>
      <c r="AS143" s="89">
        <f t="shared" si="13"/>
        <v>1.5626707296534867</v>
      </c>
      <c r="AT143" s="90">
        <f t="shared" si="14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29843</v>
      </c>
      <c r="AW143" s="92">
        <f t="shared" si="15"/>
        <v>7.1999999999999993</v>
      </c>
    </row>
    <row r="144" spans="1:49" ht="14.25" customHeight="1" x14ac:dyDescent="0.2">
      <c r="A144" s="48">
        <v>16055010</v>
      </c>
      <c r="B144" s="52" t="s">
        <v>307</v>
      </c>
      <c r="C144" s="52" t="s">
        <v>299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300</v>
      </c>
      <c r="J144" s="55" t="s">
        <v>308</v>
      </c>
      <c r="K144" s="51">
        <v>18.2</v>
      </c>
      <c r="L144" s="51">
        <v>18</v>
      </c>
      <c r="M144" s="51">
        <v>17.2</v>
      </c>
      <c r="N144" s="51">
        <v>17.600000000000001</v>
      </c>
      <c r="O144" s="51">
        <v>16.600000000000001</v>
      </c>
      <c r="P144" s="51">
        <v>15.2</v>
      </c>
      <c r="Q144" s="51">
        <v>14.6</v>
      </c>
      <c r="R144" s="51">
        <v>19.2</v>
      </c>
      <c r="S144" s="51">
        <v>15.6</v>
      </c>
      <c r="T144" s="51">
        <v>18</v>
      </c>
      <c r="U144" s="51">
        <v>18.399999999999999</v>
      </c>
      <c r="V144" s="51">
        <v>17</v>
      </c>
      <c r="W144" s="51">
        <v>18.399999999999999</v>
      </c>
      <c r="X144" s="51">
        <v>17.2</v>
      </c>
      <c r="Y144" s="51">
        <v>18.399999999999999</v>
      </c>
      <c r="Z144" s="111">
        <v>18.2</v>
      </c>
      <c r="AA144" s="51">
        <v>17.399999999999999</v>
      </c>
      <c r="AB144" s="51">
        <v>18.8</v>
      </c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18</v>
      </c>
      <c r="AQ144" s="89">
        <f t="shared" si="12"/>
        <v>17.444444444444443</v>
      </c>
      <c r="AR144" s="89">
        <f>IFERROR(VLOOKUP(A144,Climatologia!A:U,9+$E$2,FALSE),"")</f>
        <v>16.00302197802198</v>
      </c>
      <c r="AS144" s="89">
        <f t="shared" si="13"/>
        <v>1.4414224664224626</v>
      </c>
      <c r="AT144" s="90">
        <f t="shared" si="14"/>
        <v>14.6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11.4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44" s="92">
        <f t="shared" si="15"/>
        <v>3.1999999999999993</v>
      </c>
    </row>
    <row r="145" spans="1:49" ht="14.25" customHeight="1" x14ac:dyDescent="0.2">
      <c r="A145" s="48">
        <v>16055040</v>
      </c>
      <c r="B145" s="52" t="s">
        <v>309</v>
      </c>
      <c r="C145" s="52" t="s">
        <v>299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300</v>
      </c>
      <c r="J145" s="55" t="s">
        <v>310</v>
      </c>
      <c r="K145" s="51">
        <v>15</v>
      </c>
      <c r="L145" s="51">
        <v>14</v>
      </c>
      <c r="M145" s="51">
        <v>14</v>
      </c>
      <c r="N145" s="51">
        <v>13.6</v>
      </c>
      <c r="O145" s="51">
        <v>16.2</v>
      </c>
      <c r="P145" s="51">
        <v>11.4</v>
      </c>
      <c r="Q145" s="51">
        <v>11.2</v>
      </c>
      <c r="R145" s="51">
        <v>12.2</v>
      </c>
      <c r="S145" s="51">
        <v>12</v>
      </c>
      <c r="T145" s="51">
        <v>13.2</v>
      </c>
      <c r="U145" s="51">
        <v>15</v>
      </c>
      <c r="V145" s="51">
        <v>14.2</v>
      </c>
      <c r="W145" s="51">
        <v>13.2</v>
      </c>
      <c r="X145" s="51">
        <v>13.2</v>
      </c>
      <c r="Y145" s="51">
        <v>14.6</v>
      </c>
      <c r="Z145" s="111">
        <v>15.8</v>
      </c>
      <c r="AA145" s="51">
        <v>13.2</v>
      </c>
      <c r="AB145" s="51">
        <v>16</v>
      </c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88">
        <f t="shared" si="11"/>
        <v>18</v>
      </c>
      <c r="AQ145" s="89">
        <f t="shared" si="12"/>
        <v>13.777777777777777</v>
      </c>
      <c r="AR145" s="89">
        <f>IFERROR(VLOOKUP(A145,Climatologia!A:U,9+$E$2,FALSE),"")</f>
        <v>14.45928882262166</v>
      </c>
      <c r="AS145" s="89">
        <f t="shared" si="13"/>
        <v>-0.6815110448438837</v>
      </c>
      <c r="AT145" s="90">
        <f t="shared" si="14"/>
        <v>11.2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8.6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37135</v>
      </c>
      <c r="AW145" s="92">
        <f t="shared" si="15"/>
        <v>2.5999999999999996</v>
      </c>
    </row>
    <row r="146" spans="1:49" ht="14.25" customHeight="1" x14ac:dyDescent="0.2">
      <c r="A146" s="48">
        <v>23125060</v>
      </c>
      <c r="B146" s="52" t="s">
        <v>311</v>
      </c>
      <c r="C146" s="52" t="s">
        <v>299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49</v>
      </c>
      <c r="J146" s="55" t="s">
        <v>311</v>
      </c>
      <c r="K146" s="51">
        <v>17.2</v>
      </c>
      <c r="L146" s="51">
        <v>17</v>
      </c>
      <c r="M146" s="51">
        <v>16.2</v>
      </c>
      <c r="N146" s="51">
        <v>16.2</v>
      </c>
      <c r="O146" s="51">
        <v>16.600000000000001</v>
      </c>
      <c r="P146" s="51">
        <v>16.8</v>
      </c>
      <c r="Q146" s="51">
        <v>15.2</v>
      </c>
      <c r="R146" s="51">
        <v>16.2</v>
      </c>
      <c r="S146" s="51">
        <v>17</v>
      </c>
      <c r="T146" s="51">
        <v>16.8</v>
      </c>
      <c r="U146" s="51">
        <v>17.600000000000001</v>
      </c>
      <c r="V146" s="51">
        <v>16.399999999999999</v>
      </c>
      <c r="W146" s="51">
        <v>16.2</v>
      </c>
      <c r="X146" s="51">
        <v>17.600000000000001</v>
      </c>
      <c r="Y146" s="51">
        <v>17.399999999999999</v>
      </c>
      <c r="Z146" s="111">
        <v>17</v>
      </c>
      <c r="AA146" s="51">
        <v>18</v>
      </c>
      <c r="AB146" s="51">
        <v>18.2</v>
      </c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88">
        <f t="shared" si="11"/>
        <v>18</v>
      </c>
      <c r="AQ146" s="89">
        <f t="shared" si="12"/>
        <v>16.866666666666664</v>
      </c>
      <c r="AR146" s="89">
        <f>IFERROR(VLOOKUP(A146,Climatologia!A:U,9+$E$2,FALSE),"")</f>
        <v>14.599499815025331</v>
      </c>
      <c r="AS146" s="89">
        <f t="shared" si="13"/>
        <v>2.267166851641333</v>
      </c>
      <c r="AT146" s="90">
        <f t="shared" si="14"/>
        <v>15.2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11.2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28737</v>
      </c>
      <c r="AW146" s="92">
        <f t="shared" si="15"/>
        <v>4</v>
      </c>
    </row>
    <row r="147" spans="1:49" ht="14.25" customHeight="1" x14ac:dyDescent="0.2">
      <c r="A147" s="48">
        <v>23125120</v>
      </c>
      <c r="B147" s="52" t="s">
        <v>312</v>
      </c>
      <c r="C147" s="52" t="s">
        <v>299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49</v>
      </c>
      <c r="J147" s="55" t="s">
        <v>312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0</v>
      </c>
      <c r="AQ147" s="89" t="str">
        <f t="shared" si="12"/>
        <v/>
      </c>
      <c r="AR147" s="89">
        <f>IFERROR(VLOOKUP(A147,Climatologia!A:U,9+$E$2,FALSE),"")</f>
        <v>22.255609026988331</v>
      </c>
      <c r="AS147" s="89" t="str">
        <f t="shared" si="13"/>
        <v/>
      </c>
      <c r="AT147" s="90" t="str">
        <f t="shared" si="14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17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37518</v>
      </c>
      <c r="AW147" s="92" t="str">
        <f t="shared" si="15"/>
        <v>NA</v>
      </c>
    </row>
    <row r="148" spans="1:49" ht="14.25" customHeight="1" x14ac:dyDescent="0.2">
      <c r="A148" s="48">
        <v>23145020</v>
      </c>
      <c r="B148" s="52" t="s">
        <v>313</v>
      </c>
      <c r="C148" s="52" t="s">
        <v>299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49</v>
      </c>
      <c r="J148" s="55" t="s">
        <v>314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19.720218938149969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16.399999999999999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42277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315</v>
      </c>
      <c r="C149" s="52" t="s">
        <v>299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49</v>
      </c>
      <c r="J149" s="55" t="s">
        <v>50</v>
      </c>
      <c r="K149" s="51">
        <v>25.8</v>
      </c>
      <c r="L149" s="51">
        <v>25.2</v>
      </c>
      <c r="M149" s="51">
        <v>24.8</v>
      </c>
      <c r="N149" s="51">
        <v>24</v>
      </c>
      <c r="O149" s="51">
        <v>23.8</v>
      </c>
      <c r="P149" s="51">
        <v>24.8</v>
      </c>
      <c r="Q149" s="51">
        <v>24.6</v>
      </c>
      <c r="R149" s="51">
        <v>24.8</v>
      </c>
      <c r="S149" s="51">
        <v>24.8</v>
      </c>
      <c r="T149" s="51">
        <v>26.2</v>
      </c>
      <c r="U149" s="51">
        <v>23.8</v>
      </c>
      <c r="V149" s="51">
        <v>25.2</v>
      </c>
      <c r="W149" s="51">
        <v>23.4</v>
      </c>
      <c r="X149" s="51">
        <v>25.8</v>
      </c>
      <c r="Y149" s="51">
        <v>26.2</v>
      </c>
      <c r="Z149" s="111">
        <v>23.8</v>
      </c>
      <c r="AA149" s="51">
        <v>24</v>
      </c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88">
        <f t="shared" si="11"/>
        <v>17</v>
      </c>
      <c r="AQ149" s="89">
        <f t="shared" si="12"/>
        <v>24.764705882352942</v>
      </c>
      <c r="AR149" s="89">
        <f>IFERROR(VLOOKUP(A149,Climatologia!A:U,9+$E$2,FALSE),"")</f>
        <v>22.212792092964509</v>
      </c>
      <c r="AS149" s="89">
        <f t="shared" si="13"/>
        <v>2.5519137893884327</v>
      </c>
      <c r="AT149" s="90">
        <f t="shared" si="14"/>
        <v>23.4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34584</v>
      </c>
      <c r="AW149" s="92">
        <f t="shared" si="15"/>
        <v>4.3999999999999986</v>
      </c>
    </row>
    <row r="150" spans="1:49" ht="14.25" customHeight="1" x14ac:dyDescent="0.2">
      <c r="A150" s="48">
        <v>23185010</v>
      </c>
      <c r="B150" s="52" t="s">
        <v>316</v>
      </c>
      <c r="C150" s="52" t="s">
        <v>299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49</v>
      </c>
      <c r="J150" s="55" t="s">
        <v>317</v>
      </c>
      <c r="K150" s="51">
        <v>24.4</v>
      </c>
      <c r="L150" s="51">
        <v>25</v>
      </c>
      <c r="M150" s="51">
        <v>24.4</v>
      </c>
      <c r="N150" s="51">
        <v>23.4</v>
      </c>
      <c r="O150" s="51">
        <v>24.8</v>
      </c>
      <c r="P150" s="51">
        <v>24.4</v>
      </c>
      <c r="Q150" s="51">
        <v>26</v>
      </c>
      <c r="R150" s="51">
        <v>24</v>
      </c>
      <c r="S150" s="51">
        <v>24</v>
      </c>
      <c r="T150" s="51">
        <v>25</v>
      </c>
      <c r="U150" s="51">
        <v>23.4</v>
      </c>
      <c r="V150" s="51">
        <v>23.8</v>
      </c>
      <c r="W150" s="51">
        <v>26</v>
      </c>
      <c r="X150" s="51">
        <v>25.6</v>
      </c>
      <c r="Y150" s="51">
        <v>24.4</v>
      </c>
      <c r="Z150" s="111">
        <v>22.9</v>
      </c>
      <c r="AA150" s="51">
        <v>23.4</v>
      </c>
      <c r="AB150" s="51">
        <v>25.6</v>
      </c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88">
        <f t="shared" si="11"/>
        <v>18</v>
      </c>
      <c r="AQ150" s="89">
        <f t="shared" si="12"/>
        <v>24.472222222222218</v>
      </c>
      <c r="AR150" s="89">
        <f>IFERROR(VLOOKUP(A150,Climatologia!A:U,9+$E$2,FALSE),"")</f>
        <v>23.24969243701382</v>
      </c>
      <c r="AS150" s="89">
        <f t="shared" si="13"/>
        <v>1.2225297852083976</v>
      </c>
      <c r="AT150" s="90">
        <f t="shared" si="14"/>
        <v>22.9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31308</v>
      </c>
      <c r="AW150" s="92">
        <f t="shared" si="15"/>
        <v>5.8999999999999986</v>
      </c>
    </row>
    <row r="151" spans="1:49" ht="14.25" customHeight="1" x14ac:dyDescent="0.2">
      <c r="A151" s="48">
        <v>23195090</v>
      </c>
      <c r="B151" s="52" t="s">
        <v>318</v>
      </c>
      <c r="C151" s="52" t="s">
        <v>299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49</v>
      </c>
      <c r="J151" s="55" t="s">
        <v>319</v>
      </c>
      <c r="K151" s="51">
        <v>15.4</v>
      </c>
      <c r="L151" s="51">
        <v>15.4</v>
      </c>
      <c r="M151" s="51">
        <v>15</v>
      </c>
      <c r="N151" s="51">
        <v>14.8</v>
      </c>
      <c r="O151" s="51">
        <v>14.2</v>
      </c>
      <c r="P151" s="51">
        <v>14.8</v>
      </c>
      <c r="Q151" s="51">
        <v>14.2</v>
      </c>
      <c r="R151" s="51">
        <v>15.4</v>
      </c>
      <c r="S151" s="51">
        <v>15.8</v>
      </c>
      <c r="T151" s="51">
        <v>16.2</v>
      </c>
      <c r="U151" s="51">
        <v>16.399999999999999</v>
      </c>
      <c r="V151" s="51">
        <v>14.4</v>
      </c>
      <c r="W151" s="51">
        <v>14.4</v>
      </c>
      <c r="X151" s="51">
        <v>16.2</v>
      </c>
      <c r="Y151" s="51">
        <v>15.4</v>
      </c>
      <c r="Z151" s="111">
        <v>16.2</v>
      </c>
      <c r="AA151" s="51">
        <v>15.4</v>
      </c>
      <c r="AB151" s="51">
        <v>17.399999999999999</v>
      </c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88">
        <f t="shared" si="11"/>
        <v>18</v>
      </c>
      <c r="AQ151" s="89">
        <f t="shared" si="12"/>
        <v>15.388888888888886</v>
      </c>
      <c r="AR151" s="89">
        <f>IFERROR(VLOOKUP(A151,Climatologia!A:U,9+$E$2,FALSE),"")</f>
        <v>14.218116214197231</v>
      </c>
      <c r="AS151" s="89">
        <f t="shared" si="13"/>
        <v>1.1707726746916549</v>
      </c>
      <c r="AT151" s="90">
        <f t="shared" si="14"/>
        <v>14.2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11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31657</v>
      </c>
      <c r="AW151" s="92">
        <f t="shared" si="15"/>
        <v>3.1999999999999993</v>
      </c>
    </row>
    <row r="152" spans="1:49" ht="14.25" customHeight="1" x14ac:dyDescent="0.2">
      <c r="A152" s="48">
        <v>23195110</v>
      </c>
      <c r="B152" s="52" t="s">
        <v>320</v>
      </c>
      <c r="C152" s="52" t="s">
        <v>299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49</v>
      </c>
      <c r="J152" s="55" t="s">
        <v>321</v>
      </c>
      <c r="K152" s="51">
        <v>21.2</v>
      </c>
      <c r="L152" s="51">
        <v>19.8</v>
      </c>
      <c r="M152" s="51">
        <v>20.399999999999999</v>
      </c>
      <c r="N152" s="51">
        <v>19.399999999999999</v>
      </c>
      <c r="O152" s="51">
        <v>20.399999999999999</v>
      </c>
      <c r="P152" s="51">
        <v>20</v>
      </c>
      <c r="Q152" s="51">
        <v>18.8</v>
      </c>
      <c r="R152" s="51">
        <v>19.600000000000001</v>
      </c>
      <c r="S152" s="51">
        <v>19.399999999999999</v>
      </c>
      <c r="T152" s="51">
        <v>20.6</v>
      </c>
      <c r="U152" s="51">
        <v>20</v>
      </c>
      <c r="V152" s="51">
        <v>19.8</v>
      </c>
      <c r="W152" s="51">
        <v>20.399999999999999</v>
      </c>
      <c r="X152" s="51">
        <v>22</v>
      </c>
      <c r="Y152" s="51">
        <v>20.399999999999999</v>
      </c>
      <c r="Z152" s="111">
        <v>21.4</v>
      </c>
      <c r="AA152" s="51">
        <v>19.8</v>
      </c>
      <c r="AB152" s="51">
        <v>22</v>
      </c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88">
        <f t="shared" si="11"/>
        <v>18</v>
      </c>
      <c r="AQ152" s="89">
        <f t="shared" si="12"/>
        <v>20.299999999999997</v>
      </c>
      <c r="AR152" s="89">
        <f>IFERROR(VLOOKUP(A152,Climatologia!A:U,9+$E$2,FALSE),"")</f>
        <v>19.470720699479319</v>
      </c>
      <c r="AS152" s="89">
        <f t="shared" si="13"/>
        <v>0.82927930052067822</v>
      </c>
      <c r="AT152" s="90">
        <f t="shared" si="14"/>
        <v>18.8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37871</v>
      </c>
      <c r="AW152" s="92">
        <f t="shared" si="15"/>
        <v>4.8000000000000007</v>
      </c>
    </row>
    <row r="153" spans="1:49" ht="14.25" customHeight="1" x14ac:dyDescent="0.2">
      <c r="A153" s="48">
        <v>24015250</v>
      </c>
      <c r="B153" s="52" t="s">
        <v>322</v>
      </c>
      <c r="C153" s="52" t="s">
        <v>299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49</v>
      </c>
      <c r="J153" s="55" t="s">
        <v>323</v>
      </c>
      <c r="K153" s="51">
        <v>16</v>
      </c>
      <c r="L153" s="51">
        <v>16.2</v>
      </c>
      <c r="M153" s="51">
        <v>17</v>
      </c>
      <c r="N153" s="51">
        <v>16</v>
      </c>
      <c r="O153" s="51">
        <v>16</v>
      </c>
      <c r="P153" s="51">
        <v>15.2</v>
      </c>
      <c r="Q153" s="51">
        <v>14.8</v>
      </c>
      <c r="R153" s="51">
        <v>15</v>
      </c>
      <c r="S153" s="51">
        <v>16</v>
      </c>
      <c r="T153" s="51">
        <v>14</v>
      </c>
      <c r="U153" s="51">
        <v>16.399999999999999</v>
      </c>
      <c r="V153" s="51">
        <v>17</v>
      </c>
      <c r="W153" s="51">
        <v>16.399999999999999</v>
      </c>
      <c r="X153" s="51">
        <v>17.399999999999999</v>
      </c>
      <c r="Y153" s="51">
        <v>16.8</v>
      </c>
      <c r="Z153" s="111">
        <v>16.8</v>
      </c>
      <c r="AA153" s="51">
        <v>15.6</v>
      </c>
      <c r="AB153" s="51">
        <v>18</v>
      </c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88">
        <f t="shared" si="11"/>
        <v>18</v>
      </c>
      <c r="AQ153" s="89">
        <f t="shared" si="12"/>
        <v>16.144444444444446</v>
      </c>
      <c r="AR153" s="89">
        <f>IFERROR(VLOOKUP(A153,Climatologia!A:U,9+$E$2,FALSE),"")</f>
        <v>15.55247935291613</v>
      </c>
      <c r="AS153" s="89">
        <f t="shared" si="13"/>
        <v>0.59196509152831567</v>
      </c>
      <c r="AT153" s="90">
        <f t="shared" si="14"/>
        <v>14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37160</v>
      </c>
      <c r="AW153" s="92">
        <f t="shared" si="15"/>
        <v>3</v>
      </c>
    </row>
    <row r="154" spans="1:49" ht="14.25" customHeight="1" x14ac:dyDescent="0.2">
      <c r="A154" s="48">
        <v>24015260</v>
      </c>
      <c r="B154" s="52" t="s">
        <v>123</v>
      </c>
      <c r="C154" s="52" t="s">
        <v>299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49</v>
      </c>
      <c r="J154" s="55" t="s">
        <v>123</v>
      </c>
      <c r="K154" s="51">
        <v>19.399999999999999</v>
      </c>
      <c r="L154" s="51">
        <v>19</v>
      </c>
      <c r="M154" s="51">
        <v>18.8</v>
      </c>
      <c r="N154" s="51">
        <v>19.2</v>
      </c>
      <c r="O154" s="51">
        <v>18.600000000000001</v>
      </c>
      <c r="P154" s="51">
        <v>19.600000000000001</v>
      </c>
      <c r="Q154" s="51">
        <v>18</v>
      </c>
      <c r="R154" s="51">
        <v>18.2</v>
      </c>
      <c r="S154" s="51">
        <v>19</v>
      </c>
      <c r="T154" s="51">
        <v>18.399999999999999</v>
      </c>
      <c r="U154" s="51">
        <v>19.600000000000001</v>
      </c>
      <c r="V154" s="51">
        <v>19.2</v>
      </c>
      <c r="W154" s="51">
        <v>18.8</v>
      </c>
      <c r="X154" s="51">
        <v>19</v>
      </c>
      <c r="Y154" s="51">
        <v>19.600000000000001</v>
      </c>
      <c r="Z154" s="111">
        <v>19.8</v>
      </c>
      <c r="AA154" s="51">
        <v>19.399999999999999</v>
      </c>
      <c r="AB154" s="51">
        <v>19</v>
      </c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88">
        <f t="shared" si="11"/>
        <v>18</v>
      </c>
      <c r="AQ154" s="89">
        <f t="shared" si="12"/>
        <v>19.033333333333331</v>
      </c>
      <c r="AR154" s="89">
        <f>IFERROR(VLOOKUP(A154,Climatologia!A:U,9+$E$2,FALSE),"")</f>
        <v>17.95067323481117</v>
      </c>
      <c r="AS154" s="89">
        <f t="shared" si="13"/>
        <v>1.0826600985221617</v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29476</v>
      </c>
      <c r="AW154" s="92">
        <f t="shared" si="15"/>
        <v>7</v>
      </c>
    </row>
    <row r="155" spans="1:49" ht="14.25" customHeight="1" x14ac:dyDescent="0.2">
      <c r="A155" s="48">
        <v>24025040</v>
      </c>
      <c r="B155" s="52" t="s">
        <v>324</v>
      </c>
      <c r="C155" s="52" t="s">
        <v>299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49</v>
      </c>
      <c r="J155" s="55" t="s">
        <v>325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13.359148505747131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8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35677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326</v>
      </c>
      <c r="C156" s="52" t="s">
        <v>299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49</v>
      </c>
      <c r="J156" s="55" t="s">
        <v>327</v>
      </c>
      <c r="K156" s="51">
        <v>9</v>
      </c>
      <c r="L156" s="51">
        <v>10</v>
      </c>
      <c r="M156" s="51">
        <v>10</v>
      </c>
      <c r="N156" s="51">
        <v>9.1999999999999993</v>
      </c>
      <c r="O156" s="51">
        <v>9</v>
      </c>
      <c r="P156" s="51">
        <v>10.6</v>
      </c>
      <c r="Q156" s="51">
        <v>10.199999999999999</v>
      </c>
      <c r="R156" s="51">
        <v>11</v>
      </c>
      <c r="S156" s="51">
        <v>10.199999999999999</v>
      </c>
      <c r="T156" s="51">
        <v>9.8000000000000007</v>
      </c>
      <c r="U156" s="51">
        <v>11</v>
      </c>
      <c r="V156" s="51">
        <v>12</v>
      </c>
      <c r="W156" s="51">
        <v>11.2</v>
      </c>
      <c r="X156" s="51">
        <v>11</v>
      </c>
      <c r="Y156" s="51">
        <v>9.6</v>
      </c>
      <c r="Z156" s="111">
        <v>10.4</v>
      </c>
      <c r="AA156" s="51">
        <v>10.199999999999999</v>
      </c>
      <c r="AB156" s="51">
        <v>10.4</v>
      </c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88">
        <f t="shared" si="11"/>
        <v>18</v>
      </c>
      <c r="AQ156" s="89">
        <f t="shared" si="12"/>
        <v>10.266666666666666</v>
      </c>
      <c r="AR156" s="89">
        <f>IFERROR(VLOOKUP(A156,Climatologia!A:U,9+$E$2,FALSE),"")</f>
        <v>8.9902791461412157</v>
      </c>
      <c r="AS156" s="89">
        <f t="shared" si="13"/>
        <v>1.27638752052545</v>
      </c>
      <c r="AT156" s="90">
        <f t="shared" si="14"/>
        <v>9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5.4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41902</v>
      </c>
      <c r="AW156" s="92">
        <f t="shared" si="15"/>
        <v>3.5999999999999996</v>
      </c>
    </row>
    <row r="157" spans="1:49" ht="14.25" customHeight="1" x14ac:dyDescent="0.2">
      <c r="A157" s="48">
        <v>24055030</v>
      </c>
      <c r="B157" s="52" t="s">
        <v>328</v>
      </c>
      <c r="C157" s="52" t="s">
        <v>299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49</v>
      </c>
      <c r="J157" s="55" t="s">
        <v>328</v>
      </c>
      <c r="K157" s="51">
        <v>13.8</v>
      </c>
      <c r="L157" s="51">
        <v>14.2</v>
      </c>
      <c r="M157" s="51">
        <v>14.4</v>
      </c>
      <c r="N157" s="51">
        <v>14</v>
      </c>
      <c r="O157" s="51">
        <v>12.8</v>
      </c>
      <c r="P157" s="51">
        <v>14</v>
      </c>
      <c r="Q157" s="51">
        <v>13.2</v>
      </c>
      <c r="R157" s="51">
        <v>13.2</v>
      </c>
      <c r="S157" s="51">
        <v>13.6</v>
      </c>
      <c r="T157" s="51">
        <v>13.8</v>
      </c>
      <c r="U157" s="51">
        <v>13.2</v>
      </c>
      <c r="V157" s="51">
        <v>13.6</v>
      </c>
      <c r="W157" s="51">
        <v>15.8</v>
      </c>
      <c r="X157" s="51">
        <v>13.2</v>
      </c>
      <c r="Y157" s="51">
        <v>15.2</v>
      </c>
      <c r="Z157" s="111">
        <v>12.8</v>
      </c>
      <c r="AA157" s="51">
        <v>13</v>
      </c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88">
        <f t="shared" si="11"/>
        <v>17</v>
      </c>
      <c r="AQ157" s="89">
        <f t="shared" si="12"/>
        <v>13.752941176470587</v>
      </c>
      <c r="AR157" s="89">
        <f>IFERROR(VLOOKUP(A157,Climatologia!A:U,9+$E$2,FALSE),"")</f>
        <v>14.050960919540231</v>
      </c>
      <c r="AS157" s="89">
        <f t="shared" si="13"/>
        <v>-0.29801974306964318</v>
      </c>
      <c r="AT157" s="90">
        <f t="shared" si="14"/>
        <v>12.8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33127</v>
      </c>
      <c r="AW157" s="92">
        <f t="shared" si="15"/>
        <v>1.8000000000000007</v>
      </c>
    </row>
    <row r="158" spans="1:49" ht="14.25" customHeight="1" x14ac:dyDescent="0.2">
      <c r="A158" s="48">
        <v>24055040</v>
      </c>
      <c r="B158" s="52" t="s">
        <v>329</v>
      </c>
      <c r="C158" s="52" t="s">
        <v>299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49</v>
      </c>
      <c r="J158" s="55" t="s">
        <v>330</v>
      </c>
      <c r="K158" s="51">
        <v>21.4</v>
      </c>
      <c r="L158" s="51">
        <v>21</v>
      </c>
      <c r="M158" s="51">
        <v>21.2</v>
      </c>
      <c r="N158" s="51">
        <v>21.6</v>
      </c>
      <c r="O158" s="51">
        <v>21</v>
      </c>
      <c r="P158" s="51">
        <v>19.2</v>
      </c>
      <c r="Q158" s="51">
        <v>19.8</v>
      </c>
      <c r="R158" s="51">
        <v>21</v>
      </c>
      <c r="S158" s="51">
        <v>21.2</v>
      </c>
      <c r="T158" s="51">
        <v>20.8</v>
      </c>
      <c r="U158" s="51">
        <v>20.399999999999999</v>
      </c>
      <c r="V158" s="51">
        <v>21</v>
      </c>
      <c r="W158" s="51">
        <v>21.4</v>
      </c>
      <c r="X158" s="51">
        <v>21.8</v>
      </c>
      <c r="Y158" s="51">
        <v>21.2</v>
      </c>
      <c r="Z158" s="111">
        <v>20.399999999999999</v>
      </c>
      <c r="AA158" s="51">
        <v>20.8</v>
      </c>
      <c r="AB158" s="51">
        <v>22</v>
      </c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88">
        <f t="shared" si="11"/>
        <v>18</v>
      </c>
      <c r="AQ158" s="89">
        <f t="shared" si="12"/>
        <v>20.955555555555556</v>
      </c>
      <c r="AR158" s="89">
        <f>IFERROR(VLOOKUP(A158,Climatologia!A:U,9+$E$2,FALSE),"")</f>
        <v>19.856944177063081</v>
      </c>
      <c r="AS158" s="89">
        <f t="shared" si="13"/>
        <v>1.0986113784924747</v>
      </c>
      <c r="AT158" s="90">
        <f t="shared" si="14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16.2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30927</v>
      </c>
      <c r="AW158" s="92">
        <f t="shared" si="15"/>
        <v>3</v>
      </c>
    </row>
    <row r="159" spans="1:49" ht="14.25" customHeight="1" x14ac:dyDescent="0.2">
      <c r="A159" s="48">
        <v>37015020</v>
      </c>
      <c r="B159" s="52" t="s">
        <v>331</v>
      </c>
      <c r="C159" s="52" t="s">
        <v>299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49</v>
      </c>
      <c r="J159" s="55" t="s">
        <v>332</v>
      </c>
      <c r="K159" s="51">
        <v>5.4</v>
      </c>
      <c r="L159" s="51">
        <v>6.6</v>
      </c>
      <c r="M159" s="51">
        <v>7.2</v>
      </c>
      <c r="N159" s="51">
        <v>5.8</v>
      </c>
      <c r="O159" s="51">
        <v>6.2</v>
      </c>
      <c r="P159" s="51">
        <v>6.6</v>
      </c>
      <c r="Q159" s="51">
        <v>5.8</v>
      </c>
      <c r="R159" s="51">
        <v>6</v>
      </c>
      <c r="S159" s="51">
        <v>7.2</v>
      </c>
      <c r="T159" s="51">
        <v>7</v>
      </c>
      <c r="U159" s="51">
        <v>6.8</v>
      </c>
      <c r="V159" s="51">
        <v>6.4</v>
      </c>
      <c r="W159" s="51">
        <v>6.8</v>
      </c>
      <c r="X159" s="51">
        <v>7.2</v>
      </c>
      <c r="Y159" s="51">
        <v>5.6</v>
      </c>
      <c r="Z159" s="111">
        <v>7.4</v>
      </c>
      <c r="AA159" s="51">
        <v>6.8</v>
      </c>
      <c r="AB159" s="51">
        <v>7.6</v>
      </c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88">
        <f t="shared" si="11"/>
        <v>18</v>
      </c>
      <c r="AQ159" s="89">
        <f t="shared" si="12"/>
        <v>6.5777777777777775</v>
      </c>
      <c r="AR159" s="89">
        <f>IFERROR(VLOOKUP(A159,Climatologia!A:U,9+$E$2,FALSE),"")</f>
        <v>5.302976940353874</v>
      </c>
      <c r="AS159" s="89">
        <f t="shared" si="13"/>
        <v>1.2748008374239035</v>
      </c>
      <c r="AT159" s="90">
        <f t="shared" si="14"/>
        <v>5.4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-4.4000000000000004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9" s="92">
        <f t="shared" si="15"/>
        <v>9.8000000000000007</v>
      </c>
    </row>
    <row r="160" spans="1:49" ht="14.25" customHeight="1" x14ac:dyDescent="0.2">
      <c r="A160" s="48">
        <v>37035010</v>
      </c>
      <c r="B160" s="52" t="s">
        <v>333</v>
      </c>
      <c r="C160" s="52" t="s">
        <v>299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300</v>
      </c>
      <c r="J160" s="55" t="s">
        <v>334</v>
      </c>
      <c r="K160" s="51">
        <v>22</v>
      </c>
      <c r="L160" s="51">
        <v>22.2</v>
      </c>
      <c r="M160" s="51">
        <v>20.2</v>
      </c>
      <c r="N160" s="51">
        <v>22</v>
      </c>
      <c r="O160" s="51">
        <v>20</v>
      </c>
      <c r="P160" s="51">
        <v>21</v>
      </c>
      <c r="Q160" s="51">
        <v>19.600000000000001</v>
      </c>
      <c r="R160" s="51">
        <v>21</v>
      </c>
      <c r="S160" s="51">
        <v>21</v>
      </c>
      <c r="T160" s="51">
        <v>21.6</v>
      </c>
      <c r="U160" s="51">
        <v>20.2</v>
      </c>
      <c r="V160" s="51">
        <v>21.4</v>
      </c>
      <c r="W160" s="51">
        <v>21.4</v>
      </c>
      <c r="X160" s="51">
        <v>21.2</v>
      </c>
      <c r="Y160" s="51">
        <v>21.2</v>
      </c>
      <c r="Z160" s="111">
        <v>21.4</v>
      </c>
      <c r="AA160" s="51">
        <v>21.2</v>
      </c>
      <c r="AB160" s="51">
        <v>21</v>
      </c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88">
        <f t="shared" si="11"/>
        <v>18</v>
      </c>
      <c r="AQ160" s="89">
        <f t="shared" si="12"/>
        <v>21.088888888888885</v>
      </c>
      <c r="AR160" s="89">
        <f>IFERROR(VLOOKUP(A160,Climatologia!A:U,9+$E$2,FALSE),"")</f>
        <v>20.703538991340711</v>
      </c>
      <c r="AS160" s="89">
        <f t="shared" si="13"/>
        <v>0.38534989754817417</v>
      </c>
      <c r="AT160" s="90">
        <f t="shared" si="14"/>
        <v>19.600000000000001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16.399999999999999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0" s="92">
        <f t="shared" si="15"/>
        <v>3.2000000000000028</v>
      </c>
    </row>
    <row r="161" spans="1:49" ht="14.25" customHeight="1" x14ac:dyDescent="0.2">
      <c r="A161" s="48">
        <v>26025090</v>
      </c>
      <c r="B161" s="52" t="s">
        <v>335</v>
      </c>
      <c r="C161" s="52" t="s">
        <v>336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181</v>
      </c>
      <c r="J161" s="55" t="s">
        <v>337</v>
      </c>
      <c r="K161" s="51">
        <v>14.8</v>
      </c>
      <c r="L161" s="51">
        <v>15.8</v>
      </c>
      <c r="M161" s="51">
        <v>16</v>
      </c>
      <c r="N161" s="51"/>
      <c r="O161" s="51">
        <v>15</v>
      </c>
      <c r="P161" s="51"/>
      <c r="Q161" s="51"/>
      <c r="R161" s="51">
        <v>14.8</v>
      </c>
      <c r="S161" s="51">
        <v>15</v>
      </c>
      <c r="T161" s="51">
        <v>14.2</v>
      </c>
      <c r="U161" s="51">
        <v>16.2</v>
      </c>
      <c r="V161" s="51">
        <v>14.8</v>
      </c>
      <c r="W161" s="51">
        <v>14.6</v>
      </c>
      <c r="X161" s="51">
        <v>14.6</v>
      </c>
      <c r="Y161" s="51">
        <v>16</v>
      </c>
      <c r="Z161" s="111">
        <v>16</v>
      </c>
      <c r="AA161" s="51">
        <v>16.2</v>
      </c>
      <c r="AB161" s="51">
        <v>16.2</v>
      </c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88">
        <f t="shared" si="11"/>
        <v>15</v>
      </c>
      <c r="AQ161" s="89">
        <f t="shared" si="12"/>
        <v>15.346666666666666</v>
      </c>
      <c r="AR161" s="89">
        <f>IFERROR(VLOOKUP(A161,Climatologia!A:U,9+$E$2,FALSE),"")</f>
        <v>13.66748994960647</v>
      </c>
      <c r="AS161" s="89">
        <f t="shared" si="13"/>
        <v>1.6791767170601961</v>
      </c>
      <c r="AT161" s="90">
        <f t="shared" si="14"/>
        <v>14.2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31311</v>
      </c>
      <c r="AW161" s="92">
        <f t="shared" si="15"/>
        <v>4.1999999999999993</v>
      </c>
    </row>
    <row r="162" spans="1:49" ht="14.25" customHeight="1" x14ac:dyDescent="0.2">
      <c r="A162" s="48">
        <v>26025110</v>
      </c>
      <c r="B162" s="52" t="s">
        <v>338</v>
      </c>
      <c r="C162" s="52" t="s">
        <v>336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181</v>
      </c>
      <c r="J162" s="55" t="s">
        <v>339</v>
      </c>
      <c r="K162" s="51">
        <v>19</v>
      </c>
      <c r="L162" s="51">
        <v>19.600000000000001</v>
      </c>
      <c r="M162" s="51">
        <v>19</v>
      </c>
      <c r="N162" s="51">
        <v>18</v>
      </c>
      <c r="O162" s="51">
        <v>18.600000000000001</v>
      </c>
      <c r="P162" s="51">
        <v>18.399999999999999</v>
      </c>
      <c r="Q162" s="51">
        <v>18.8</v>
      </c>
      <c r="R162" s="51">
        <v>18</v>
      </c>
      <c r="S162" s="51">
        <v>18.600000000000001</v>
      </c>
      <c r="T162" s="51">
        <v>18</v>
      </c>
      <c r="U162" s="51">
        <v>18</v>
      </c>
      <c r="V162" s="51">
        <v>18</v>
      </c>
      <c r="W162" s="51">
        <v>19</v>
      </c>
      <c r="X162" s="51">
        <v>18</v>
      </c>
      <c r="Y162" s="51">
        <v>19</v>
      </c>
      <c r="Z162" s="111">
        <v>18.600000000000001</v>
      </c>
      <c r="AA162" s="51">
        <v>18.2</v>
      </c>
      <c r="AB162" s="51">
        <v>19.2</v>
      </c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88">
        <f t="shared" si="11"/>
        <v>18</v>
      </c>
      <c r="AQ162" s="89">
        <f t="shared" si="12"/>
        <v>18.555555555555557</v>
      </c>
      <c r="AR162" s="89">
        <f>IFERROR(VLOOKUP(A162,Climatologia!A:U,9+$E$2,FALSE),"")</f>
        <v>18.073157894736841</v>
      </c>
      <c r="AS162" s="89">
        <f t="shared" si="13"/>
        <v>0.48239766081871593</v>
      </c>
      <c r="AT162" s="90">
        <f t="shared" si="14"/>
        <v>18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15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37507</v>
      </c>
      <c r="AW162" s="92">
        <f t="shared" si="15"/>
        <v>3</v>
      </c>
    </row>
    <row r="163" spans="1:49" ht="14.25" customHeight="1" x14ac:dyDescent="0.2">
      <c r="A163" s="48">
        <v>26075010</v>
      </c>
      <c r="B163" s="52" t="s">
        <v>340</v>
      </c>
      <c r="C163" s="52" t="s">
        <v>336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341</v>
      </c>
      <c r="J163" s="55" t="s">
        <v>77</v>
      </c>
      <c r="K163" s="51">
        <v>19</v>
      </c>
      <c r="L163" s="51">
        <v>20.399999999999999</v>
      </c>
      <c r="M163" s="51">
        <v>19</v>
      </c>
      <c r="N163" s="51">
        <v>19.2</v>
      </c>
      <c r="O163" s="51">
        <v>18</v>
      </c>
      <c r="P163" s="51">
        <v>18.600000000000001</v>
      </c>
      <c r="Q163" s="51">
        <v>21.6</v>
      </c>
      <c r="R163" s="51">
        <v>18</v>
      </c>
      <c r="S163" s="51">
        <v>19.2</v>
      </c>
      <c r="T163" s="51">
        <v>20.2</v>
      </c>
      <c r="U163" s="51">
        <v>22.6</v>
      </c>
      <c r="V163" s="51">
        <v>19.2</v>
      </c>
      <c r="W163" s="51">
        <v>20</v>
      </c>
      <c r="X163" s="51">
        <v>20</v>
      </c>
      <c r="Y163" s="51">
        <v>21</v>
      </c>
      <c r="Z163" s="111">
        <v>20.8</v>
      </c>
      <c r="AA163" s="51">
        <v>18.399999999999999</v>
      </c>
      <c r="AB163" s="51">
        <v>19.600000000000001</v>
      </c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88">
        <f t="shared" si="11"/>
        <v>18</v>
      </c>
      <c r="AQ163" s="89">
        <f t="shared" si="12"/>
        <v>19.711111111111109</v>
      </c>
      <c r="AR163" s="89">
        <f>IFERROR(VLOOKUP(A163,Climatologia!A:U,9+$E$2,FALSE),"")</f>
        <v>19.171552610996091</v>
      </c>
      <c r="AS163" s="89">
        <f t="shared" si="13"/>
        <v>0.53955850011501738</v>
      </c>
      <c r="AT163" s="90">
        <f t="shared" si="14"/>
        <v>18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3" s="92">
        <f t="shared" si="15"/>
        <v>2.3000000000000007</v>
      </c>
    </row>
    <row r="164" spans="1:49" ht="14.25" customHeight="1" x14ac:dyDescent="0.2">
      <c r="A164" s="48">
        <v>26105140</v>
      </c>
      <c r="B164" s="52" t="s">
        <v>342</v>
      </c>
      <c r="C164" s="52" t="s">
        <v>336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341</v>
      </c>
      <c r="J164" s="55" t="s">
        <v>343</v>
      </c>
      <c r="K164" s="51">
        <v>11</v>
      </c>
      <c r="L164" s="51">
        <v>8</v>
      </c>
      <c r="M164" s="51">
        <v>9</v>
      </c>
      <c r="N164" s="51">
        <v>10.8</v>
      </c>
      <c r="O164" s="51">
        <v>9</v>
      </c>
      <c r="P164" s="51">
        <v>8</v>
      </c>
      <c r="Q164" s="51">
        <v>9.1999999999999993</v>
      </c>
      <c r="R164" s="51">
        <v>10</v>
      </c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8</v>
      </c>
      <c r="AQ164" s="89" t="str">
        <f t="shared" si="12"/>
        <v/>
      </c>
      <c r="AR164" s="89">
        <f>IFERROR(VLOOKUP(A164,Climatologia!A:U,9+$E$2,FALSE),"")</f>
        <v>8.1571670780627432</v>
      </c>
      <c r="AS164" s="89" t="str">
        <f t="shared" si="13"/>
        <v/>
      </c>
      <c r="AT164" s="90">
        <f t="shared" si="14"/>
        <v>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3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31672</v>
      </c>
      <c r="AW164" s="92">
        <f t="shared" si="15"/>
        <v>5</v>
      </c>
    </row>
    <row r="165" spans="1:49" ht="14.25" customHeight="1" x14ac:dyDescent="0.2">
      <c r="A165" s="48">
        <v>26105150</v>
      </c>
      <c r="B165" s="52" t="s">
        <v>344</v>
      </c>
      <c r="C165" s="52" t="s">
        <v>336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341</v>
      </c>
      <c r="J165" s="55" t="s">
        <v>345</v>
      </c>
      <c r="K165" s="51">
        <v>19.600000000000001</v>
      </c>
      <c r="L165" s="51">
        <v>19</v>
      </c>
      <c r="M165" s="51">
        <v>19.600000000000001</v>
      </c>
      <c r="N165" s="51"/>
      <c r="O165" s="51">
        <v>19.600000000000001</v>
      </c>
      <c r="P165" s="51"/>
      <c r="Q165" s="51"/>
      <c r="R165" s="51"/>
      <c r="S165" s="51">
        <v>18</v>
      </c>
      <c r="T165" s="51">
        <v>19.399999999999999</v>
      </c>
      <c r="U165" s="51">
        <v>18.600000000000001</v>
      </c>
      <c r="V165" s="51">
        <v>19</v>
      </c>
      <c r="W165" s="51"/>
      <c r="X165" s="51">
        <v>19.2</v>
      </c>
      <c r="Y165" s="51"/>
      <c r="Z165" s="111"/>
      <c r="AA165" s="51">
        <v>19</v>
      </c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88">
        <f t="shared" si="11"/>
        <v>10</v>
      </c>
      <c r="AQ165" s="89" t="str">
        <f t="shared" si="12"/>
        <v/>
      </c>
      <c r="AR165" s="89">
        <f>IFERROR(VLOOKUP(A165,Climatologia!A:U,9+$E$2,FALSE),"")</f>
        <v>17.38327387384858</v>
      </c>
      <c r="AS165" s="89" t="str">
        <f t="shared" si="13"/>
        <v/>
      </c>
      <c r="AT165" s="90">
        <f t="shared" si="14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65" s="92">
        <f t="shared" si="15"/>
        <v>5.4</v>
      </c>
    </row>
    <row r="166" spans="1:49" ht="14.25" customHeight="1" x14ac:dyDescent="0.2">
      <c r="A166" s="48">
        <v>26105230</v>
      </c>
      <c r="B166" s="52" t="s">
        <v>346</v>
      </c>
      <c r="C166" s="52" t="s">
        <v>336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341</v>
      </c>
      <c r="J166" s="55" t="s">
        <v>343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17.538792398415641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14.2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43362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347</v>
      </c>
      <c r="C167" s="52" t="s">
        <v>336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341</v>
      </c>
      <c r="J167" s="55" t="s">
        <v>348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15.58295354982547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8.6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30209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349</v>
      </c>
      <c r="C168" s="52" t="s">
        <v>336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64</v>
      </c>
      <c r="J168" s="55" t="s">
        <v>65</v>
      </c>
      <c r="K168" s="51">
        <v>19.8</v>
      </c>
      <c r="L168" s="51">
        <v>20.2</v>
      </c>
      <c r="M168" s="51">
        <v>19.399999999999999</v>
      </c>
      <c r="N168" s="51">
        <v>19.8</v>
      </c>
      <c r="O168" s="51">
        <v>20.2</v>
      </c>
      <c r="P168" s="51">
        <v>19.600000000000001</v>
      </c>
      <c r="Q168" s="51">
        <v>19.2</v>
      </c>
      <c r="R168" s="51">
        <v>17.8</v>
      </c>
      <c r="S168" s="51">
        <v>18.399999999999999</v>
      </c>
      <c r="T168" s="51">
        <v>20.2</v>
      </c>
      <c r="U168" s="51">
        <v>20.8</v>
      </c>
      <c r="V168" s="51">
        <v>19.2</v>
      </c>
      <c r="W168" s="51">
        <v>20.399999999999999</v>
      </c>
      <c r="X168" s="51"/>
      <c r="Y168" s="51">
        <v>20.399999999999999</v>
      </c>
      <c r="Z168" s="111"/>
      <c r="AA168" s="51">
        <v>19.8</v>
      </c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88">
        <f t="shared" si="11"/>
        <v>15</v>
      </c>
      <c r="AQ168" s="89">
        <f t="shared" si="12"/>
        <v>19.68</v>
      </c>
      <c r="AR168" s="89">
        <f>IFERROR(VLOOKUP(A168,Climatologia!A:U,9+$E$2,FALSE),"")</f>
        <v>19.095617658203871</v>
      </c>
      <c r="AS168" s="89">
        <f t="shared" si="13"/>
        <v>0.58438234179612891</v>
      </c>
      <c r="AT168" s="90">
        <f t="shared" si="14"/>
        <v>17.8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28739</v>
      </c>
      <c r="AW168" s="92">
        <f t="shared" si="15"/>
        <v>2.8000000000000007</v>
      </c>
    </row>
    <row r="169" spans="1:49" ht="14.25" customHeight="1" x14ac:dyDescent="0.2">
      <c r="A169" s="48">
        <v>26145020</v>
      </c>
      <c r="B169" s="52" t="s">
        <v>350</v>
      </c>
      <c r="C169" s="52" t="s">
        <v>336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116</v>
      </c>
      <c r="J169" s="55" t="s">
        <v>351</v>
      </c>
      <c r="K169" s="51">
        <v>15.2</v>
      </c>
      <c r="L169" s="51">
        <v>15.6</v>
      </c>
      <c r="M169" s="51">
        <v>14</v>
      </c>
      <c r="N169" s="51">
        <v>14.8</v>
      </c>
      <c r="O169" s="51">
        <v>13.6</v>
      </c>
      <c r="P169" s="51">
        <v>14.2</v>
      </c>
      <c r="Q169" s="51">
        <v>13.2</v>
      </c>
      <c r="R169" s="51">
        <v>14</v>
      </c>
      <c r="S169" s="51">
        <v>14.2</v>
      </c>
      <c r="T169" s="51">
        <v>15</v>
      </c>
      <c r="U169" s="51">
        <v>15</v>
      </c>
      <c r="V169" s="51">
        <v>14.8</v>
      </c>
      <c r="W169" s="51">
        <v>15</v>
      </c>
      <c r="X169" s="51">
        <v>12</v>
      </c>
      <c r="Y169" s="51">
        <v>15</v>
      </c>
      <c r="Z169" s="111">
        <v>15.8</v>
      </c>
      <c r="AA169" s="51">
        <v>15.2</v>
      </c>
      <c r="AB169" s="51">
        <v>14.8</v>
      </c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88">
        <f t="shared" si="11"/>
        <v>18</v>
      </c>
      <c r="AQ169" s="89">
        <f t="shared" si="12"/>
        <v>14.52222222222222</v>
      </c>
      <c r="AR169" s="89">
        <f>IFERROR(VLOOKUP(A169,Climatologia!A:U,9+$E$2,FALSE),"")</f>
        <v>13.604003489326759</v>
      </c>
      <c r="AS169" s="89">
        <f t="shared" si="13"/>
        <v>0.91821873289546119</v>
      </c>
      <c r="AT169" s="90">
        <f t="shared" si="14"/>
        <v>12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6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31314</v>
      </c>
      <c r="AW169" s="92">
        <f t="shared" si="15"/>
        <v>6</v>
      </c>
    </row>
    <row r="170" spans="1:49" ht="14.25" customHeight="1" x14ac:dyDescent="0.2">
      <c r="A170" s="48">
        <v>26155170</v>
      </c>
      <c r="B170" s="52" t="s">
        <v>352</v>
      </c>
      <c r="C170" s="52" t="s">
        <v>336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116</v>
      </c>
      <c r="J170" s="55" t="s">
        <v>353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11.71973333333333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9.6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36055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354</v>
      </c>
      <c r="C171" s="52" t="s">
        <v>355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70</v>
      </c>
      <c r="J171" s="55" t="s">
        <v>356</v>
      </c>
      <c r="K171" s="51">
        <v>25</v>
      </c>
      <c r="L171" s="51">
        <v>20</v>
      </c>
      <c r="M171" s="51">
        <v>20.2</v>
      </c>
      <c r="N171" s="51">
        <v>20.399999999999999</v>
      </c>
      <c r="O171" s="51">
        <v>20.6</v>
      </c>
      <c r="P171" s="51">
        <v>21.2</v>
      </c>
      <c r="Q171" s="51">
        <v>21.8</v>
      </c>
      <c r="R171" s="51">
        <v>23.6</v>
      </c>
      <c r="S171" s="51">
        <v>24.2</v>
      </c>
      <c r="T171" s="51">
        <v>24.8</v>
      </c>
      <c r="U171" s="51">
        <v>25.2</v>
      </c>
      <c r="V171" s="51">
        <v>25.4</v>
      </c>
      <c r="W171" s="51">
        <v>26</v>
      </c>
      <c r="X171" s="51">
        <v>24.6</v>
      </c>
      <c r="Y171" s="51">
        <v>25</v>
      </c>
      <c r="Z171" s="111"/>
      <c r="AA171" s="51">
        <v>25.6</v>
      </c>
      <c r="AB171" s="51">
        <v>26.2</v>
      </c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88">
        <f t="shared" si="11"/>
        <v>17</v>
      </c>
      <c r="AQ171" s="89">
        <f t="shared" si="12"/>
        <v>23.517647058823531</v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20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29120</v>
      </c>
      <c r="AW171" s="92">
        <f t="shared" si="15"/>
        <v>2</v>
      </c>
    </row>
    <row r="172" spans="1:49" ht="14.25" customHeight="1" x14ac:dyDescent="0.2">
      <c r="A172" s="48">
        <v>21165010</v>
      </c>
      <c r="B172" s="52" t="s">
        <v>357</v>
      </c>
      <c r="C172" s="52" t="s">
        <v>355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70</v>
      </c>
      <c r="J172" s="55" t="s">
        <v>358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22.290641792860178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35324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359</v>
      </c>
      <c r="C173" s="52" t="s">
        <v>355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70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22.991182948434439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18.399999999999999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37142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360</v>
      </c>
      <c r="C174" s="52" t="s">
        <v>355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70</v>
      </c>
      <c r="J174" s="55" t="s">
        <v>360</v>
      </c>
      <c r="K174" s="51">
        <v>24.4</v>
      </c>
      <c r="L174" s="51">
        <v>21.6</v>
      </c>
      <c r="M174" s="51">
        <v>21.4</v>
      </c>
      <c r="N174" s="51">
        <v>21.8</v>
      </c>
      <c r="O174" s="51">
        <v>22.2</v>
      </c>
      <c r="P174" s="51">
        <v>20.6</v>
      </c>
      <c r="Q174" s="51">
        <v>23.8</v>
      </c>
      <c r="R174" s="51">
        <v>20.399999999999999</v>
      </c>
      <c r="S174" s="51">
        <v>20.6</v>
      </c>
      <c r="T174" s="51">
        <v>20.399999999999999</v>
      </c>
      <c r="U174" s="51">
        <v>23.6</v>
      </c>
      <c r="V174" s="51">
        <v>22</v>
      </c>
      <c r="W174" s="51">
        <v>22.2</v>
      </c>
      <c r="X174" s="51">
        <v>21.4</v>
      </c>
      <c r="Y174" s="51">
        <v>22</v>
      </c>
      <c r="Z174" s="111">
        <v>22.6</v>
      </c>
      <c r="AA174" s="51">
        <v>21.2</v>
      </c>
      <c r="AB174" s="51">
        <v>24</v>
      </c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88">
        <f t="shared" si="11"/>
        <v>18</v>
      </c>
      <c r="AQ174" s="89">
        <f t="shared" si="12"/>
        <v>22.011111111111109</v>
      </c>
      <c r="AR174" s="89">
        <f>IFERROR(VLOOKUP(A174,Climatologia!A:U,9+$E$2,FALSE),"")</f>
        <v>20.74341280266896</v>
      </c>
      <c r="AS174" s="89">
        <f t="shared" si="13"/>
        <v>1.2676983084421494</v>
      </c>
      <c r="AT174" s="90">
        <f t="shared" si="14"/>
        <v>20.399999999999999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174" s="92">
        <f t="shared" si="15"/>
        <v>4.3999999999999986</v>
      </c>
    </row>
    <row r="175" spans="1:49" ht="14.25" customHeight="1" x14ac:dyDescent="0.2">
      <c r="A175" s="48">
        <v>21215080</v>
      </c>
      <c r="B175" s="52" t="s">
        <v>361</v>
      </c>
      <c r="C175" s="52" t="s">
        <v>355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70</v>
      </c>
      <c r="J175" s="55" t="s">
        <v>362</v>
      </c>
      <c r="K175" s="51">
        <v>24.4</v>
      </c>
      <c r="L175" s="51">
        <v>24.2</v>
      </c>
      <c r="M175" s="51">
        <v>23.4</v>
      </c>
      <c r="N175" s="51">
        <v>24.6</v>
      </c>
      <c r="O175" s="51">
        <v>25</v>
      </c>
      <c r="P175" s="51">
        <v>23.8</v>
      </c>
      <c r="Q175" s="51">
        <v>22.6</v>
      </c>
      <c r="R175" s="51">
        <v>25</v>
      </c>
      <c r="S175" s="51">
        <v>22.6</v>
      </c>
      <c r="T175" s="51">
        <v>22.8</v>
      </c>
      <c r="U175" s="51">
        <v>25.8</v>
      </c>
      <c r="V175" s="51">
        <v>24.4</v>
      </c>
      <c r="W175" s="51">
        <v>24.2</v>
      </c>
      <c r="X175" s="51">
        <v>25.8</v>
      </c>
      <c r="Y175" s="51">
        <v>25</v>
      </c>
      <c r="Z175" s="111"/>
      <c r="AA175" s="51">
        <v>21.6</v>
      </c>
      <c r="AB175" s="51">
        <v>25.6</v>
      </c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88">
        <f t="shared" si="11"/>
        <v>17</v>
      </c>
      <c r="AQ175" s="89">
        <f t="shared" si="12"/>
        <v>24.164705882352941</v>
      </c>
      <c r="AR175" s="89">
        <f>IFERROR(VLOOKUP(A175,Climatologia!A:U,9+$E$2,FALSE),"")</f>
        <v>21.67335632183908</v>
      </c>
      <c r="AS175" s="89">
        <f t="shared" si="13"/>
        <v>2.4913495605138607</v>
      </c>
      <c r="AT175" s="90">
        <f t="shared" si="14"/>
        <v>21.6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175" s="92">
        <f t="shared" si="15"/>
        <v>5.6000000000000014</v>
      </c>
    </row>
    <row r="176" spans="1:49" ht="14.25" customHeight="1" x14ac:dyDescent="0.2">
      <c r="A176" s="48">
        <v>21235010</v>
      </c>
      <c r="B176" s="52" t="s">
        <v>363</v>
      </c>
      <c r="C176" s="52" t="s">
        <v>355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73</v>
      </c>
      <c r="J176" s="55" t="s">
        <v>364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17.399999999999999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39717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365</v>
      </c>
      <c r="C177" s="52" t="s">
        <v>355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70</v>
      </c>
      <c r="J177" s="55" t="s">
        <v>71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33145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366</v>
      </c>
      <c r="C178" s="52" t="s">
        <v>355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70</v>
      </c>
      <c r="J178" s="55" t="s">
        <v>366</v>
      </c>
      <c r="K178" s="51">
        <v>13.6</v>
      </c>
      <c r="L178" s="51">
        <v>12.4</v>
      </c>
      <c r="M178" s="51">
        <v>13.2</v>
      </c>
      <c r="N178" s="51">
        <v>12.6</v>
      </c>
      <c r="O178" s="51">
        <v>13.2</v>
      </c>
      <c r="P178" s="51">
        <v>13.8</v>
      </c>
      <c r="Q178" s="51">
        <v>13.8</v>
      </c>
      <c r="R178" s="51">
        <v>14</v>
      </c>
      <c r="S178" s="51">
        <v>14</v>
      </c>
      <c r="T178" s="51"/>
      <c r="U178" s="51">
        <v>13.4</v>
      </c>
      <c r="V178" s="51">
        <v>13.4</v>
      </c>
      <c r="W178" s="51">
        <v>13.6</v>
      </c>
      <c r="X178" s="51">
        <v>13.8</v>
      </c>
      <c r="Y178" s="51">
        <v>14.2</v>
      </c>
      <c r="Z178" s="111">
        <v>12.8</v>
      </c>
      <c r="AA178" s="51">
        <v>13.8</v>
      </c>
      <c r="AB178" s="51">
        <v>15</v>
      </c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88">
        <f t="shared" si="11"/>
        <v>17</v>
      </c>
      <c r="AQ178" s="89">
        <f t="shared" si="12"/>
        <v>13.564705882352943</v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12.4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30561</v>
      </c>
      <c r="AW178" s="92">
        <f t="shared" si="15"/>
        <v>1.8000000000000007</v>
      </c>
    </row>
    <row r="179" spans="1:49" ht="14.25" customHeight="1" x14ac:dyDescent="0.2">
      <c r="A179" s="48">
        <v>21255080</v>
      </c>
      <c r="B179" s="52" t="s">
        <v>367</v>
      </c>
      <c r="C179" s="52" t="s">
        <v>355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70</v>
      </c>
      <c r="J179" s="55" t="s">
        <v>368</v>
      </c>
      <c r="K179" s="51">
        <v>26.4</v>
      </c>
      <c r="L179" s="51">
        <v>22.8</v>
      </c>
      <c r="M179" s="51"/>
      <c r="N179" s="51">
        <v>22.6</v>
      </c>
      <c r="O179" s="51">
        <v>25.6</v>
      </c>
      <c r="P179" s="51">
        <v>25</v>
      </c>
      <c r="Q179" s="51"/>
      <c r="R179" s="51">
        <v>25.8</v>
      </c>
      <c r="S179" s="51">
        <v>25.2</v>
      </c>
      <c r="T179" s="51">
        <v>25.6</v>
      </c>
      <c r="U179" s="51">
        <v>25.4</v>
      </c>
      <c r="V179" s="51">
        <v>25.4</v>
      </c>
      <c r="W179" s="51">
        <v>25.8</v>
      </c>
      <c r="X179" s="51"/>
      <c r="Y179" s="51"/>
      <c r="Z179" s="111"/>
      <c r="AA179" s="51">
        <v>25</v>
      </c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88">
        <f t="shared" si="11"/>
        <v>12</v>
      </c>
      <c r="AQ179" s="89" t="str">
        <f t="shared" si="12"/>
        <v/>
      </c>
      <c r="AR179" s="89">
        <f>IFERROR(VLOOKUP(A179,Climatologia!A:U,9+$E$2,FALSE),"")</f>
        <v>22.952130860571948</v>
      </c>
      <c r="AS179" s="89" t="str">
        <f t="shared" si="13"/>
        <v/>
      </c>
      <c r="AT179" s="90">
        <f t="shared" si="14"/>
        <v>22.6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30581</v>
      </c>
      <c r="AW179" s="92">
        <f t="shared" si="15"/>
        <v>3.6000000000000014</v>
      </c>
    </row>
    <row r="180" spans="1:49" ht="14.25" customHeight="1" x14ac:dyDescent="0.2">
      <c r="A180" s="48">
        <v>21255090</v>
      </c>
      <c r="B180" s="52" t="s">
        <v>369</v>
      </c>
      <c r="C180" s="52" t="s">
        <v>355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70</v>
      </c>
      <c r="J180" s="55" t="s">
        <v>370</v>
      </c>
      <c r="K180" s="51">
        <v>23.6</v>
      </c>
      <c r="L180" s="51">
        <v>21.8</v>
      </c>
      <c r="M180" s="51">
        <v>23.2</v>
      </c>
      <c r="N180" s="51">
        <v>23.8</v>
      </c>
      <c r="O180" s="51">
        <v>23.6</v>
      </c>
      <c r="P180" s="51">
        <v>22.2</v>
      </c>
      <c r="Q180" s="51">
        <v>23.4</v>
      </c>
      <c r="R180" s="51">
        <v>23.6</v>
      </c>
      <c r="S180" s="51">
        <v>22</v>
      </c>
      <c r="T180" s="51">
        <v>22.8</v>
      </c>
      <c r="U180" s="51">
        <v>23.8</v>
      </c>
      <c r="V180" s="51">
        <v>23.8</v>
      </c>
      <c r="W180" s="51">
        <v>24.2</v>
      </c>
      <c r="X180" s="51">
        <v>24.6</v>
      </c>
      <c r="Y180" s="51">
        <v>25.4</v>
      </c>
      <c r="Z180" s="111">
        <v>23.8</v>
      </c>
      <c r="AA180" s="51">
        <v>20.6</v>
      </c>
      <c r="AB180" s="51">
        <v>21</v>
      </c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88">
        <f t="shared" si="11"/>
        <v>18</v>
      </c>
      <c r="AQ180" s="89">
        <f t="shared" si="12"/>
        <v>23.177777777777781</v>
      </c>
      <c r="AR180" s="89">
        <f>IFERROR(VLOOKUP(A180,Climatologia!A:U,9+$E$2,FALSE),"")</f>
        <v>21.663136479048831</v>
      </c>
      <c r="AS180" s="89">
        <f t="shared" si="13"/>
        <v>1.5146412987289501</v>
      </c>
      <c r="AT180" s="90">
        <f t="shared" si="14"/>
        <v>20.6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16.2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33850</v>
      </c>
      <c r="AW180" s="92">
        <f t="shared" si="15"/>
        <v>4.4000000000000021</v>
      </c>
    </row>
    <row r="181" spans="1:49" ht="14.25" customHeight="1" x14ac:dyDescent="0.2">
      <c r="A181" s="48">
        <v>21255120</v>
      </c>
      <c r="B181" s="52" t="s">
        <v>371</v>
      </c>
      <c r="C181" s="52" t="s">
        <v>355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70</v>
      </c>
      <c r="J181" s="55" t="s">
        <v>371</v>
      </c>
      <c r="K181" s="51">
        <v>12.6</v>
      </c>
      <c r="L181" s="51">
        <v>13.2</v>
      </c>
      <c r="M181" s="51">
        <v>13</v>
      </c>
      <c r="N181" s="51">
        <v>13.4</v>
      </c>
      <c r="O181" s="51">
        <v>13.2</v>
      </c>
      <c r="P181" s="51">
        <v>13</v>
      </c>
      <c r="Q181" s="51">
        <v>14.6</v>
      </c>
      <c r="R181" s="51">
        <v>13.8</v>
      </c>
      <c r="S181" s="51">
        <v>13</v>
      </c>
      <c r="T181" s="51">
        <v>13.8</v>
      </c>
      <c r="U181" s="51">
        <v>13.4</v>
      </c>
      <c r="V181" s="51">
        <v>13</v>
      </c>
      <c r="W181" s="51">
        <v>13.2</v>
      </c>
      <c r="X181" s="51">
        <v>14.8</v>
      </c>
      <c r="Y181" s="51">
        <v>15</v>
      </c>
      <c r="Z181" s="111">
        <v>12.6</v>
      </c>
      <c r="AA181" s="51">
        <v>12.2</v>
      </c>
      <c r="AB181" s="51">
        <v>14.8</v>
      </c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88">
        <f t="shared" si="11"/>
        <v>18</v>
      </c>
      <c r="AQ181" s="89">
        <f t="shared" si="12"/>
        <v>13.477777777777778</v>
      </c>
      <c r="AR181" s="89">
        <f>IFERROR(VLOOKUP(A181,Climatologia!A:U,9+$E$2,FALSE),"")</f>
        <v>14.28702791461412</v>
      </c>
      <c r="AS181" s="89">
        <f t="shared" si="13"/>
        <v>-0.80925013683634184</v>
      </c>
      <c r="AT181" s="90">
        <f t="shared" si="14"/>
        <v>12.2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29841</v>
      </c>
      <c r="AW181" s="92">
        <f t="shared" si="15"/>
        <v>1.1999999999999993</v>
      </c>
    </row>
    <row r="182" spans="1:49" ht="14.25" customHeight="1" x14ac:dyDescent="0.2">
      <c r="A182" s="48">
        <v>22045010</v>
      </c>
      <c r="B182" s="52" t="s">
        <v>372</v>
      </c>
      <c r="C182" s="52" t="s">
        <v>355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70</v>
      </c>
      <c r="J182" s="55" t="s">
        <v>373</v>
      </c>
      <c r="K182" s="51">
        <v>18.8</v>
      </c>
      <c r="L182" s="51">
        <v>19.600000000000001</v>
      </c>
      <c r="M182" s="51">
        <v>17.2</v>
      </c>
      <c r="N182" s="51">
        <v>19.2</v>
      </c>
      <c r="O182" s="51">
        <v>19.600000000000001</v>
      </c>
      <c r="P182" s="51">
        <v>19</v>
      </c>
      <c r="Q182" s="51">
        <v>18.600000000000001</v>
      </c>
      <c r="R182" s="51">
        <v>18.2</v>
      </c>
      <c r="S182" s="51">
        <v>18.2</v>
      </c>
      <c r="T182" s="51">
        <v>19.2</v>
      </c>
      <c r="U182" s="51">
        <v>18.2</v>
      </c>
      <c r="V182" s="51">
        <v>18.600000000000001</v>
      </c>
      <c r="W182" s="51">
        <v>19.2</v>
      </c>
      <c r="X182" s="51">
        <v>18</v>
      </c>
      <c r="Y182" s="51">
        <v>18.2</v>
      </c>
      <c r="Z182" s="111">
        <v>18.399999999999999</v>
      </c>
      <c r="AA182" s="51">
        <v>19</v>
      </c>
      <c r="AB182" s="51">
        <v>22.4</v>
      </c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88">
        <f t="shared" si="11"/>
        <v>18</v>
      </c>
      <c r="AQ182" s="89">
        <f t="shared" si="12"/>
        <v>18.86666666666666</v>
      </c>
      <c r="AR182" s="89">
        <f>IFERROR(VLOOKUP(A182,Climatologia!A:U,9+$E$2,FALSE),"")</f>
        <v>19.90422009459251</v>
      </c>
      <c r="AS182" s="89">
        <f t="shared" si="13"/>
        <v>-1.0375534279258503</v>
      </c>
      <c r="AT182" s="90">
        <f t="shared" si="14"/>
        <v>17.2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182" s="92">
        <f t="shared" si="15"/>
        <v>0.39999999999999858</v>
      </c>
    </row>
    <row r="183" spans="1:49" ht="14.25" customHeight="1" x14ac:dyDescent="0.2">
      <c r="A183" s="48">
        <v>22055020</v>
      </c>
      <c r="B183" s="52" t="s">
        <v>374</v>
      </c>
      <c r="C183" s="52" t="s">
        <v>355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70</v>
      </c>
      <c r="J183" s="55" t="s">
        <v>375</v>
      </c>
      <c r="K183" s="51">
        <v>21.4</v>
      </c>
      <c r="L183" s="51">
        <v>22.6</v>
      </c>
      <c r="M183" s="51">
        <v>22.4</v>
      </c>
      <c r="N183" s="51">
        <v>22.8</v>
      </c>
      <c r="O183" s="51">
        <v>23.8</v>
      </c>
      <c r="P183" s="51">
        <v>23.4</v>
      </c>
      <c r="Q183" s="51">
        <v>23.8</v>
      </c>
      <c r="R183" s="51">
        <v>21.2</v>
      </c>
      <c r="S183" s="51">
        <v>22.4</v>
      </c>
      <c r="T183" s="51">
        <v>20.6</v>
      </c>
      <c r="U183" s="51">
        <v>22</v>
      </c>
      <c r="V183" s="51">
        <v>20.6</v>
      </c>
      <c r="W183" s="51">
        <v>22</v>
      </c>
      <c r="X183" s="51">
        <v>22.8</v>
      </c>
      <c r="Y183" s="51">
        <v>22.6</v>
      </c>
      <c r="Z183" s="111">
        <v>23.2</v>
      </c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88">
        <f t="shared" si="11"/>
        <v>16</v>
      </c>
      <c r="AQ183" s="89">
        <f t="shared" si="12"/>
        <v>22.35</v>
      </c>
      <c r="AR183" s="89">
        <f>IFERROR(VLOOKUP(A183,Climatologia!A:U,9+$E$2,FALSE),"")</f>
        <v>20.13286316365626</v>
      </c>
      <c r="AS183" s="89">
        <f t="shared" si="13"/>
        <v>2.2171368363437409</v>
      </c>
      <c r="AT183" s="90">
        <f t="shared" si="14"/>
        <v>20.6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41538</v>
      </c>
      <c r="AW183" s="92">
        <f t="shared" si="15"/>
        <v>4.6000000000000014</v>
      </c>
    </row>
    <row r="184" spans="1:49" ht="14.25" customHeight="1" x14ac:dyDescent="0.2">
      <c r="A184" s="48">
        <v>22065040</v>
      </c>
      <c r="B184" s="52" t="s">
        <v>376</v>
      </c>
      <c r="C184" s="52" t="s">
        <v>355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70</v>
      </c>
      <c r="J184" s="55" t="s">
        <v>377</v>
      </c>
      <c r="K184" s="51">
        <v>17.2</v>
      </c>
      <c r="L184" s="51">
        <v>17</v>
      </c>
      <c r="M184" s="51">
        <v>16</v>
      </c>
      <c r="N184" s="51">
        <v>15.8</v>
      </c>
      <c r="O184" s="51">
        <v>17.600000000000001</v>
      </c>
      <c r="P184" s="51">
        <v>16.399999999999999</v>
      </c>
      <c r="Q184" s="51">
        <v>15.8</v>
      </c>
      <c r="R184" s="51">
        <v>15.2</v>
      </c>
      <c r="S184" s="51">
        <v>16.600000000000001</v>
      </c>
      <c r="T184" s="51">
        <v>15.4</v>
      </c>
      <c r="U184" s="51">
        <v>16.399999999999999</v>
      </c>
      <c r="V184" s="51">
        <v>15.6</v>
      </c>
      <c r="W184" s="51">
        <v>17.8</v>
      </c>
      <c r="X184" s="51">
        <v>16.399999999999999</v>
      </c>
      <c r="Y184" s="51">
        <v>16.600000000000001</v>
      </c>
      <c r="Z184" s="111">
        <v>17</v>
      </c>
      <c r="AA184" s="51">
        <v>14.6</v>
      </c>
      <c r="AB184" s="51">
        <v>15.6</v>
      </c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88">
        <f t="shared" si="11"/>
        <v>18</v>
      </c>
      <c r="AQ184" s="89">
        <f t="shared" si="12"/>
        <v>16.277777777777782</v>
      </c>
      <c r="AR184" s="89">
        <f>IFERROR(VLOOKUP(A184,Climatologia!A:U,9+$E$2,FALSE),"")</f>
        <v>16.92344442575952</v>
      </c>
      <c r="AS184" s="89">
        <f t="shared" si="13"/>
        <v>-0.6456666479817379</v>
      </c>
      <c r="AT184" s="90">
        <f t="shared" si="14"/>
        <v>14.6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31315</v>
      </c>
      <c r="AW184" s="92">
        <f t="shared" si="15"/>
        <v>2.5999999999999996</v>
      </c>
    </row>
    <row r="185" spans="1:49" ht="14.25" customHeight="1" x14ac:dyDescent="0.2">
      <c r="A185" s="48">
        <v>23025040</v>
      </c>
      <c r="B185" s="52" t="s">
        <v>311</v>
      </c>
      <c r="C185" s="52" t="s">
        <v>355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70</v>
      </c>
      <c r="J185" s="55" t="s">
        <v>378</v>
      </c>
      <c r="K185" s="51">
        <v>21.8</v>
      </c>
      <c r="L185" s="51">
        <v>20.6</v>
      </c>
      <c r="M185" s="51">
        <v>20.399999999999999</v>
      </c>
      <c r="N185" s="51">
        <v>21.6</v>
      </c>
      <c r="O185" s="51"/>
      <c r="P185" s="51">
        <v>23</v>
      </c>
      <c r="Q185" s="51">
        <v>21.6</v>
      </c>
      <c r="R185" s="51">
        <v>22</v>
      </c>
      <c r="S185" s="51">
        <v>22.8</v>
      </c>
      <c r="T185" s="51">
        <v>23.4</v>
      </c>
      <c r="U185" s="51">
        <v>22.4</v>
      </c>
      <c r="V185" s="51">
        <v>21.6</v>
      </c>
      <c r="W185" s="51">
        <v>23</v>
      </c>
      <c r="X185" s="51">
        <v>22.4</v>
      </c>
      <c r="Y185" s="51"/>
      <c r="Z185" s="111">
        <v>21.6</v>
      </c>
      <c r="AA185" s="51">
        <v>22</v>
      </c>
      <c r="AB185" s="51">
        <v>22.4</v>
      </c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88">
        <f t="shared" si="11"/>
        <v>16</v>
      </c>
      <c r="AQ185" s="89">
        <f t="shared" si="12"/>
        <v>22.037500000000001</v>
      </c>
      <c r="AR185" s="89">
        <f>IFERROR(VLOOKUP(A185,Climatologia!A:U,9+$E$2,FALSE),"")</f>
        <v>20.23041991214405</v>
      </c>
      <c r="AS185" s="89">
        <f t="shared" si="13"/>
        <v>1.807080087855951</v>
      </c>
      <c r="AT185" s="90">
        <f t="shared" si="14"/>
        <v>20.399999999999999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33500</v>
      </c>
      <c r="AW185" s="92">
        <f t="shared" si="15"/>
        <v>3.3999999999999986</v>
      </c>
    </row>
    <row r="186" spans="1:49" ht="14.25" customHeight="1" x14ac:dyDescent="0.2">
      <c r="A186" s="48">
        <v>23055040</v>
      </c>
      <c r="B186" s="52" t="s">
        <v>379</v>
      </c>
      <c r="C186" s="52" t="s">
        <v>355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116</v>
      </c>
      <c r="J186" s="55" t="s">
        <v>380</v>
      </c>
      <c r="K186" s="51">
        <v>17.399999999999999</v>
      </c>
      <c r="L186" s="51">
        <v>16.2</v>
      </c>
      <c r="M186" s="51">
        <v>16.2</v>
      </c>
      <c r="N186" s="51">
        <v>18</v>
      </c>
      <c r="O186" s="51">
        <v>18.2</v>
      </c>
      <c r="P186" s="51">
        <v>19.2</v>
      </c>
      <c r="Q186" s="51">
        <v>17.399999999999999</v>
      </c>
      <c r="R186" s="51">
        <v>18.399999999999999</v>
      </c>
      <c r="S186" s="51">
        <v>18</v>
      </c>
      <c r="T186" s="51">
        <v>19</v>
      </c>
      <c r="U186" s="51">
        <v>17.399999999999999</v>
      </c>
      <c r="V186" s="51">
        <v>17.600000000000001</v>
      </c>
      <c r="W186" s="51">
        <v>19.399999999999999</v>
      </c>
      <c r="X186" s="51">
        <v>18</v>
      </c>
      <c r="Y186" s="51">
        <v>16</v>
      </c>
      <c r="Z186" s="111">
        <v>17</v>
      </c>
      <c r="AA186" s="51">
        <v>17.2</v>
      </c>
      <c r="AB186" s="51">
        <v>19.600000000000001</v>
      </c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88">
        <f t="shared" si="11"/>
        <v>18</v>
      </c>
      <c r="AQ186" s="89">
        <f t="shared" si="12"/>
        <v>17.788888888888888</v>
      </c>
      <c r="AR186" s="89">
        <f>IFERROR(VLOOKUP(A186,Climatologia!A:U,9+$E$2,FALSE),"")</f>
        <v>16.7940049395581</v>
      </c>
      <c r="AS186" s="89">
        <f t="shared" si="13"/>
        <v>0.99488394933078794</v>
      </c>
      <c r="AT186" s="90">
        <f t="shared" si="14"/>
        <v>16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186" s="92">
        <f t="shared" si="15"/>
        <v>2</v>
      </c>
    </row>
    <row r="187" spans="1:49" ht="14.25" customHeight="1" x14ac:dyDescent="0.2">
      <c r="A187" s="48">
        <v>21195060</v>
      </c>
      <c r="B187" s="52" t="s">
        <v>381</v>
      </c>
      <c r="C187" s="52" t="s">
        <v>382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73</v>
      </c>
      <c r="J187" s="55" t="s">
        <v>381</v>
      </c>
      <c r="K187" s="51">
        <v>23.2</v>
      </c>
      <c r="L187" s="51">
        <v>20.8</v>
      </c>
      <c r="M187" s="51">
        <v>20.399999999999999</v>
      </c>
      <c r="N187" s="51">
        <v>20.8</v>
      </c>
      <c r="O187" s="51">
        <v>23.2</v>
      </c>
      <c r="P187" s="51">
        <v>22.6</v>
      </c>
      <c r="Q187" s="51">
        <v>22.8</v>
      </c>
      <c r="R187" s="51">
        <v>23.2</v>
      </c>
      <c r="S187" s="51">
        <v>22.8</v>
      </c>
      <c r="T187" s="51">
        <v>22.6</v>
      </c>
      <c r="U187" s="51">
        <v>23.2</v>
      </c>
      <c r="V187" s="51">
        <v>22.2</v>
      </c>
      <c r="W187" s="51">
        <v>23.2</v>
      </c>
      <c r="X187" s="51">
        <v>24.2</v>
      </c>
      <c r="Y187" s="51">
        <v>23.8</v>
      </c>
      <c r="Z187" s="111">
        <v>23.8</v>
      </c>
      <c r="AA187" s="51">
        <v>22.2</v>
      </c>
      <c r="AB187" s="51">
        <v>23.4</v>
      </c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88">
        <f t="shared" si="11"/>
        <v>18</v>
      </c>
      <c r="AQ187" s="89">
        <f t="shared" si="12"/>
        <v>22.688888888888886</v>
      </c>
      <c r="AR187" s="89">
        <f>IFERROR(VLOOKUP(A187,Climatologia!A:U,9+$E$2,FALSE),"")</f>
        <v>20.381504495550061</v>
      </c>
      <c r="AS187" s="89">
        <f t="shared" si="13"/>
        <v>2.3073843933388254</v>
      </c>
      <c r="AT187" s="90">
        <f t="shared" si="14"/>
        <v>20.399999999999999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45543</v>
      </c>
      <c r="AW187" s="92">
        <f t="shared" si="15"/>
        <v>5.5999999999999979</v>
      </c>
    </row>
    <row r="188" spans="1:49" ht="14.25" customHeight="1" x14ac:dyDescent="0.2">
      <c r="A188" s="48">
        <v>21195120</v>
      </c>
      <c r="B188" s="52" t="s">
        <v>383</v>
      </c>
      <c r="C188" s="52" t="s">
        <v>382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73</v>
      </c>
      <c r="J188" s="55" t="s">
        <v>384</v>
      </c>
      <c r="K188" s="51">
        <v>19.399999999999999</v>
      </c>
      <c r="L188" s="51">
        <v>17.8</v>
      </c>
      <c r="M188" s="51">
        <v>18.399999999999999</v>
      </c>
      <c r="N188" s="51">
        <v>17.8</v>
      </c>
      <c r="O188" s="51">
        <v>18.8</v>
      </c>
      <c r="P188" s="51">
        <v>18.399999999999999</v>
      </c>
      <c r="Q188" s="51">
        <v>18.8</v>
      </c>
      <c r="R188" s="51">
        <v>19.399999999999999</v>
      </c>
      <c r="S188" s="51">
        <v>18.600000000000001</v>
      </c>
      <c r="T188" s="51">
        <v>19.2</v>
      </c>
      <c r="U188" s="51">
        <v>18.8</v>
      </c>
      <c r="V188" s="51">
        <v>18.399999999999999</v>
      </c>
      <c r="W188" s="51">
        <v>18.600000000000001</v>
      </c>
      <c r="X188" s="51">
        <v>18.8</v>
      </c>
      <c r="Y188" s="51">
        <v>19.8</v>
      </c>
      <c r="Z188" s="111">
        <v>18</v>
      </c>
      <c r="AA188" s="51">
        <v>18.399999999999999</v>
      </c>
      <c r="AB188" s="51">
        <v>19.600000000000001</v>
      </c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88">
        <f t="shared" si="11"/>
        <v>18</v>
      </c>
      <c r="AQ188" s="89">
        <f t="shared" si="12"/>
        <v>18.722222222222221</v>
      </c>
      <c r="AR188" s="89">
        <f>IFERROR(VLOOKUP(A188,Climatologia!A:U,9+$E$2,FALSE),"")</f>
        <v>15.6368235879347</v>
      </c>
      <c r="AS188" s="89">
        <f t="shared" si="13"/>
        <v>3.0853986342875217</v>
      </c>
      <c r="AT188" s="90">
        <f t="shared" si="14"/>
        <v>17.8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88" s="92">
        <f t="shared" si="15"/>
        <v>6.6000000000000014</v>
      </c>
    </row>
    <row r="189" spans="1:49" ht="14.25" customHeight="1" x14ac:dyDescent="0.2">
      <c r="A189" s="48">
        <v>21195190</v>
      </c>
      <c r="B189" s="52" t="s">
        <v>385</v>
      </c>
      <c r="C189" s="52" t="s">
        <v>382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73</v>
      </c>
      <c r="J189" s="55" t="s">
        <v>385</v>
      </c>
      <c r="K189" s="51">
        <v>13.6</v>
      </c>
      <c r="L189" s="51">
        <v>13.8</v>
      </c>
      <c r="M189" s="51">
        <v>14.8</v>
      </c>
      <c r="N189" s="51">
        <v>13.4</v>
      </c>
      <c r="O189" s="51">
        <v>13.6</v>
      </c>
      <c r="P189" s="51">
        <v>14</v>
      </c>
      <c r="Q189" s="51">
        <v>13.2</v>
      </c>
      <c r="R189" s="51">
        <v>12.8</v>
      </c>
      <c r="S189" s="51">
        <v>14.2</v>
      </c>
      <c r="T189" s="51">
        <v>12.8</v>
      </c>
      <c r="U189" s="51">
        <v>13</v>
      </c>
      <c r="V189" s="51">
        <v>12.6</v>
      </c>
      <c r="W189" s="51">
        <v>14.4</v>
      </c>
      <c r="X189" s="51">
        <v>15</v>
      </c>
      <c r="Y189" s="51">
        <v>14.4</v>
      </c>
      <c r="Z189" s="111">
        <v>14.2</v>
      </c>
      <c r="AA189" s="51">
        <v>12.6</v>
      </c>
      <c r="AB189" s="51">
        <v>15</v>
      </c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88">
        <f t="shared" si="11"/>
        <v>18</v>
      </c>
      <c r="AQ189" s="89">
        <f t="shared" si="12"/>
        <v>13.744444444444445</v>
      </c>
      <c r="AR189" s="89">
        <f>IFERROR(VLOOKUP(A189,Climatologia!A:U,9+$E$2,FALSE),"")</f>
        <v>11.04110301039956</v>
      </c>
      <c r="AS189" s="89">
        <f t="shared" si="13"/>
        <v>2.7033414340448854</v>
      </c>
      <c r="AT189" s="90">
        <f t="shared" si="14"/>
        <v>12.6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386</v>
      </c>
      <c r="C190" s="52" t="s">
        <v>382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73</v>
      </c>
      <c r="J190" s="55" t="s">
        <v>387</v>
      </c>
      <c r="K190" s="51">
        <v>8.4</v>
      </c>
      <c r="L190" s="51">
        <v>8.6</v>
      </c>
      <c r="M190" s="51">
        <v>7.4</v>
      </c>
      <c r="N190" s="51">
        <v>8.8000000000000007</v>
      </c>
      <c r="O190" s="51">
        <v>7</v>
      </c>
      <c r="P190" s="51">
        <v>6.4</v>
      </c>
      <c r="Q190" s="51">
        <v>6.2</v>
      </c>
      <c r="R190" s="51">
        <v>4.5999999999999996</v>
      </c>
      <c r="S190" s="51">
        <v>9</v>
      </c>
      <c r="T190" s="51">
        <v>6.4</v>
      </c>
      <c r="U190" s="51">
        <v>8</v>
      </c>
      <c r="V190" s="51">
        <v>6.8</v>
      </c>
      <c r="W190" s="51">
        <v>6</v>
      </c>
      <c r="X190" s="51">
        <v>10.199999999999999</v>
      </c>
      <c r="Y190" s="51">
        <v>6.2</v>
      </c>
      <c r="Z190" s="111">
        <v>9</v>
      </c>
      <c r="AA190" s="51">
        <v>8</v>
      </c>
      <c r="AB190" s="51">
        <v>8</v>
      </c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88">
        <f t="shared" si="11"/>
        <v>18</v>
      </c>
      <c r="AQ190" s="89">
        <f t="shared" si="12"/>
        <v>7.5</v>
      </c>
      <c r="AR190" s="89">
        <f>IFERROR(VLOOKUP(A190,Climatologia!A:U,9+$E$2,FALSE),"")</f>
        <v>6.3320712773816243</v>
      </c>
      <c r="AS190" s="89">
        <f t="shared" si="13"/>
        <v>1.1679287226183757</v>
      </c>
      <c r="AT190" s="90">
        <f t="shared" si="14"/>
        <v>4.5999999999999996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35331</v>
      </c>
      <c r="AW190" s="92">
        <f t="shared" si="15"/>
        <v>6.3999999999999995</v>
      </c>
    </row>
    <row r="191" spans="1:49" ht="14.25" customHeight="1" x14ac:dyDescent="0.2">
      <c r="A191" s="48">
        <v>21205660</v>
      </c>
      <c r="B191" s="52" t="s">
        <v>388</v>
      </c>
      <c r="C191" s="52" t="s">
        <v>382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73</v>
      </c>
      <c r="J191" s="55" t="s">
        <v>389</v>
      </c>
      <c r="K191" s="51">
        <v>24.2</v>
      </c>
      <c r="L191" s="51">
        <v>21.4</v>
      </c>
      <c r="M191" s="51">
        <v>21</v>
      </c>
      <c r="N191" s="51">
        <v>23.4</v>
      </c>
      <c r="O191" s="51">
        <v>23.6</v>
      </c>
      <c r="P191" s="51">
        <v>22.6</v>
      </c>
      <c r="Q191" s="51">
        <v>23</v>
      </c>
      <c r="R191" s="51">
        <v>23.2</v>
      </c>
      <c r="S191" s="51">
        <v>23</v>
      </c>
      <c r="T191" s="51">
        <v>23.4</v>
      </c>
      <c r="U191" s="51">
        <v>22.2</v>
      </c>
      <c r="V191" s="51">
        <v>22.8</v>
      </c>
      <c r="W191" s="51">
        <v>24</v>
      </c>
      <c r="X191" s="51">
        <v>24.8</v>
      </c>
      <c r="Y191" s="51">
        <v>24.2</v>
      </c>
      <c r="Z191" s="111">
        <v>20.399999999999999</v>
      </c>
      <c r="AA191" s="51">
        <v>22</v>
      </c>
      <c r="AB191" s="51">
        <v>23.6</v>
      </c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88">
        <f t="shared" si="11"/>
        <v>18</v>
      </c>
      <c r="AQ191" s="89">
        <f t="shared" si="12"/>
        <v>22.93333333333333</v>
      </c>
      <c r="AR191" s="89">
        <f>IFERROR(VLOOKUP(A191,Climatologia!A:U,9+$E$2,FALSE),"")</f>
        <v>20.01407453289416</v>
      </c>
      <c r="AS191" s="89">
        <f t="shared" si="13"/>
        <v>2.9192588004391702</v>
      </c>
      <c r="AT191" s="90">
        <f t="shared" si="14"/>
        <v>20.399999999999999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390</v>
      </c>
      <c r="C192" s="52" t="s">
        <v>382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73</v>
      </c>
      <c r="J192" s="55" t="s">
        <v>390</v>
      </c>
      <c r="K192" s="51">
        <v>10.199999999999999</v>
      </c>
      <c r="L192" s="51">
        <v>10.4</v>
      </c>
      <c r="M192" s="51">
        <v>10.199999999999999</v>
      </c>
      <c r="N192" s="51">
        <v>9.4</v>
      </c>
      <c r="O192" s="51">
        <v>9.6</v>
      </c>
      <c r="P192" s="51">
        <v>9.1999999999999993</v>
      </c>
      <c r="Q192" s="51">
        <v>10.4</v>
      </c>
      <c r="R192" s="51">
        <v>7.8</v>
      </c>
      <c r="S192" s="51">
        <v>10.8</v>
      </c>
      <c r="T192" s="51">
        <v>7.6</v>
      </c>
      <c r="U192" s="51">
        <v>9.6</v>
      </c>
      <c r="V192" s="51">
        <v>8.1999999999999993</v>
      </c>
      <c r="W192" s="51">
        <v>8.1999999999999993</v>
      </c>
      <c r="X192" s="51">
        <v>11.4</v>
      </c>
      <c r="Y192" s="51">
        <v>10.8</v>
      </c>
      <c r="Z192" s="111">
        <v>10.8</v>
      </c>
      <c r="AA192" s="51">
        <v>9.8000000000000007</v>
      </c>
      <c r="AB192" s="51">
        <v>9.1999999999999993</v>
      </c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88">
        <f t="shared" si="11"/>
        <v>18</v>
      </c>
      <c r="AQ192" s="89">
        <f t="shared" si="12"/>
        <v>9.6444444444444457</v>
      </c>
      <c r="AR192" s="89">
        <f>IFERROR(VLOOKUP(A192,Climatologia!A:U,9+$E$2,FALSE),"")</f>
        <v>7.2971740738735793</v>
      </c>
      <c r="AS192" s="89">
        <f t="shared" si="13"/>
        <v>2.3472703705708664</v>
      </c>
      <c r="AT192" s="90">
        <f t="shared" si="14"/>
        <v>7.6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192" s="92">
        <f t="shared" si="15"/>
        <v>5.6</v>
      </c>
    </row>
    <row r="193" spans="1:49" ht="14.25" customHeight="1" x14ac:dyDescent="0.2">
      <c r="A193" s="48">
        <v>21205720</v>
      </c>
      <c r="B193" s="52" t="s">
        <v>391</v>
      </c>
      <c r="C193" s="52" t="s">
        <v>382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73</v>
      </c>
      <c r="J193" s="55" t="s">
        <v>392</v>
      </c>
      <c r="K193" s="51">
        <v>8</v>
      </c>
      <c r="L193" s="51">
        <v>8.1999999999999993</v>
      </c>
      <c r="M193" s="51">
        <v>10.6</v>
      </c>
      <c r="N193" s="51">
        <v>8.1999999999999993</v>
      </c>
      <c r="O193" s="51">
        <v>10.6</v>
      </c>
      <c r="P193" s="51">
        <v>8.4</v>
      </c>
      <c r="Q193" s="51">
        <v>9.4</v>
      </c>
      <c r="R193" s="51">
        <v>6.2</v>
      </c>
      <c r="S193" s="51">
        <v>11.4</v>
      </c>
      <c r="T193" s="51">
        <v>7</v>
      </c>
      <c r="U193" s="51">
        <v>8.6</v>
      </c>
      <c r="V193" s="51">
        <v>8.4</v>
      </c>
      <c r="W193" s="51">
        <v>7.2</v>
      </c>
      <c r="X193" s="51">
        <v>11</v>
      </c>
      <c r="Y193" s="51">
        <v>6.6</v>
      </c>
      <c r="Z193" s="111">
        <v>10.199999999999999</v>
      </c>
      <c r="AA193" s="51">
        <v>8.6</v>
      </c>
      <c r="AB193" s="51">
        <v>10</v>
      </c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88">
        <f t="shared" si="11"/>
        <v>18</v>
      </c>
      <c r="AQ193" s="89">
        <f t="shared" si="12"/>
        <v>8.81111111111111</v>
      </c>
      <c r="AR193" s="89">
        <f>IFERROR(VLOOKUP(A193,Climatologia!A:U,9+$E$2,FALSE),"")</f>
        <v>7.3102534256681198</v>
      </c>
      <c r="AS193" s="89">
        <f t="shared" si="13"/>
        <v>1.5008576854429903</v>
      </c>
      <c r="AT193" s="90">
        <f t="shared" si="14"/>
        <v>6.2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42260</v>
      </c>
      <c r="AW193" s="92">
        <f t="shared" si="15"/>
        <v>4.2</v>
      </c>
    </row>
    <row r="194" spans="1:49" ht="14.25" customHeight="1" x14ac:dyDescent="0.2">
      <c r="A194" s="48">
        <v>21205740</v>
      </c>
      <c r="B194" s="52" t="s">
        <v>393</v>
      </c>
      <c r="C194" s="52" t="s">
        <v>382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73</v>
      </c>
      <c r="J194" s="55" t="s">
        <v>394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7.6942555167267797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4" s="92" t="str">
        <f t="shared" si="15"/>
        <v>NA</v>
      </c>
    </row>
    <row r="195" spans="1:49" ht="14.25" customHeight="1" x14ac:dyDescent="0.2">
      <c r="A195" s="48">
        <v>21205920</v>
      </c>
      <c r="B195" s="52" t="s">
        <v>395</v>
      </c>
      <c r="C195" s="52" t="s">
        <v>382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73</v>
      </c>
      <c r="J195" s="55" t="s">
        <v>396</v>
      </c>
      <c r="K195" s="51">
        <v>5.8</v>
      </c>
      <c r="L195" s="51">
        <v>8.6</v>
      </c>
      <c r="M195" s="51">
        <v>7.2</v>
      </c>
      <c r="N195" s="51">
        <v>8.1999999999999993</v>
      </c>
      <c r="O195" s="51">
        <v>5.8</v>
      </c>
      <c r="P195" s="51">
        <v>5.4</v>
      </c>
      <c r="Q195" s="51">
        <v>6</v>
      </c>
      <c r="R195" s="51">
        <v>5.4</v>
      </c>
      <c r="S195" s="51">
        <v>5.2</v>
      </c>
      <c r="T195" s="51">
        <v>7</v>
      </c>
      <c r="U195" s="51">
        <v>5.8</v>
      </c>
      <c r="V195" s="51">
        <v>4.5999999999999996</v>
      </c>
      <c r="W195" s="51">
        <v>5</v>
      </c>
      <c r="X195" s="51">
        <v>6.2</v>
      </c>
      <c r="Y195" s="51">
        <v>6.4</v>
      </c>
      <c r="Z195" s="111">
        <v>6.2</v>
      </c>
      <c r="AA195" s="51">
        <v>5.2</v>
      </c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88">
        <f t="shared" si="11"/>
        <v>17</v>
      </c>
      <c r="AQ195" s="89">
        <f t="shared" si="12"/>
        <v>6.117647058823529</v>
      </c>
      <c r="AR195" s="89">
        <f>IFERROR(VLOOKUP(A195,Climatologia!A:U,9+$E$2,FALSE),"")</f>
        <v>6.5871179225202194</v>
      </c>
      <c r="AS195" s="89">
        <f t="shared" si="13"/>
        <v>-0.46947086369669044</v>
      </c>
      <c r="AT195" s="90">
        <f t="shared" si="14"/>
        <v>4.5999999999999996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-1.6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5" s="92">
        <f t="shared" si="15"/>
        <v>6.1999999999999993</v>
      </c>
    </row>
    <row r="196" spans="1:49" ht="14.25" customHeight="1" x14ac:dyDescent="0.2">
      <c r="A196" s="48">
        <v>21205940</v>
      </c>
      <c r="B196" s="52" t="s">
        <v>397</v>
      </c>
      <c r="C196" s="52" t="s">
        <v>382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73</v>
      </c>
      <c r="J196" s="55" t="s">
        <v>398</v>
      </c>
      <c r="K196" s="51">
        <v>8.8000000000000007</v>
      </c>
      <c r="L196" s="51">
        <v>10</v>
      </c>
      <c r="M196" s="51">
        <v>8</v>
      </c>
      <c r="N196" s="51">
        <v>9.4</v>
      </c>
      <c r="O196" s="51">
        <v>9</v>
      </c>
      <c r="P196" s="51">
        <v>8</v>
      </c>
      <c r="Q196" s="51">
        <v>6.8</v>
      </c>
      <c r="R196" s="51">
        <v>8.8000000000000007</v>
      </c>
      <c r="S196" s="51">
        <v>9</v>
      </c>
      <c r="T196" s="51">
        <v>7</v>
      </c>
      <c r="U196" s="51">
        <v>10</v>
      </c>
      <c r="V196" s="51">
        <v>10.4</v>
      </c>
      <c r="W196" s="51">
        <v>11</v>
      </c>
      <c r="X196" s="51">
        <v>8.8000000000000007</v>
      </c>
      <c r="Y196" s="51">
        <v>7.4</v>
      </c>
      <c r="Z196" s="111">
        <v>10.199999999999999</v>
      </c>
      <c r="AA196" s="51">
        <v>9.4</v>
      </c>
      <c r="AB196" s="51">
        <v>10</v>
      </c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88">
        <f t="shared" si="11"/>
        <v>18</v>
      </c>
      <c r="AQ196" s="89">
        <f t="shared" si="12"/>
        <v>9</v>
      </c>
      <c r="AR196" s="89">
        <f>IFERROR(VLOOKUP(A196,Climatologia!A:U,9+$E$2,FALSE),"")</f>
        <v>6.1188038398383222</v>
      </c>
      <c r="AS196" s="89">
        <f t="shared" si="13"/>
        <v>2.8811961601616778</v>
      </c>
      <c r="AT196" s="90">
        <f t="shared" si="14"/>
        <v>6.8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-1.6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6" s="92">
        <f t="shared" si="15"/>
        <v>8.4</v>
      </c>
    </row>
    <row r="197" spans="1:49" ht="14.25" customHeight="1" x14ac:dyDescent="0.2">
      <c r="A197" s="48">
        <v>21205960</v>
      </c>
      <c r="B197" s="52" t="s">
        <v>399</v>
      </c>
      <c r="C197" s="52" t="s">
        <v>382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73</v>
      </c>
      <c r="J197" s="55" t="s">
        <v>400</v>
      </c>
      <c r="K197" s="51">
        <v>8.6</v>
      </c>
      <c r="L197" s="51">
        <v>9</v>
      </c>
      <c r="M197" s="51">
        <v>9.1999999999999993</v>
      </c>
      <c r="N197" s="51">
        <v>7.2</v>
      </c>
      <c r="O197" s="51">
        <v>10.4</v>
      </c>
      <c r="P197" s="51">
        <v>8.6</v>
      </c>
      <c r="Q197" s="51">
        <v>7.2</v>
      </c>
      <c r="R197" s="51">
        <v>5.2</v>
      </c>
      <c r="S197" s="51">
        <v>9.8000000000000007</v>
      </c>
      <c r="T197" s="51">
        <v>7</v>
      </c>
      <c r="U197" s="51">
        <v>9.6</v>
      </c>
      <c r="V197" s="51">
        <v>6.6</v>
      </c>
      <c r="W197" s="51">
        <v>5.6</v>
      </c>
      <c r="X197" s="51">
        <v>9.8000000000000007</v>
      </c>
      <c r="Y197" s="51">
        <v>6.4</v>
      </c>
      <c r="Z197" s="111">
        <v>9.1999999999999993</v>
      </c>
      <c r="AA197" s="51">
        <v>7.4</v>
      </c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88">
        <f t="shared" ref="AP197:AP207" si="16">COUNTIF(K197:AO197,"&gt;0")</f>
        <v>17</v>
      </c>
      <c r="AQ197" s="89">
        <f t="shared" ref="AQ197:AQ207" si="17">IF(AP197&gt;14,AVERAGE(K197:AO197),"")</f>
        <v>8.0470588235294116</v>
      </c>
      <c r="AR197" s="89">
        <f>IFERROR(VLOOKUP(A197,Climatologia!A:U,9+$E$2,FALSE),"")</f>
        <v>6.6913987808700464</v>
      </c>
      <c r="AS197" s="89">
        <f t="shared" ref="AS197:AS207" si="18">IF(OR(AQ197="",AR197=""),"",IFERROR(AQ197-AR197,""))</f>
        <v>1.3556600426593652</v>
      </c>
      <c r="AT197" s="90">
        <f t="shared" ref="AT197:AT207" si="19">IF(COUNT(K197:AO197)=0,"",MIN(K197:AO197))</f>
        <v>5.2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0.2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7" s="92">
        <f t="shared" ref="AW197:AW207" si="20">IF(OR(AT197="",AU197=""),"NA",IFERROR(AT197-AU197,"NA"))</f>
        <v>5</v>
      </c>
    </row>
    <row r="198" spans="1:49" ht="14.25" customHeight="1" x14ac:dyDescent="0.2">
      <c r="A198" s="48">
        <v>21205980</v>
      </c>
      <c r="B198" s="52" t="s">
        <v>401</v>
      </c>
      <c r="C198" s="52" t="s">
        <v>382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31</v>
      </c>
      <c r="J198" s="55" t="s">
        <v>402</v>
      </c>
      <c r="K198" s="51">
        <v>11</v>
      </c>
      <c r="L198" s="51">
        <v>9.1999999999999993</v>
      </c>
      <c r="M198" s="51">
        <v>10.199999999999999</v>
      </c>
      <c r="N198" s="51">
        <v>10</v>
      </c>
      <c r="O198" s="51">
        <v>10.6</v>
      </c>
      <c r="P198" s="51">
        <v>8.1999999999999993</v>
      </c>
      <c r="Q198" s="51">
        <v>8.6</v>
      </c>
      <c r="R198" s="51">
        <v>7</v>
      </c>
      <c r="S198" s="51">
        <v>11.2</v>
      </c>
      <c r="T198" s="51">
        <v>7.4</v>
      </c>
      <c r="U198" s="51">
        <v>10.8</v>
      </c>
      <c r="V198" s="51">
        <v>9</v>
      </c>
      <c r="W198" s="51">
        <v>7.6</v>
      </c>
      <c r="X198" s="51">
        <v>10</v>
      </c>
      <c r="Y198" s="51">
        <v>8.1999999999999993</v>
      </c>
      <c r="Z198" s="111">
        <v>10.199999999999999</v>
      </c>
      <c r="AA198" s="51">
        <v>9.1999999999999993</v>
      </c>
      <c r="AB198" s="51">
        <v>8.8000000000000007</v>
      </c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88">
        <f t="shared" si="16"/>
        <v>18</v>
      </c>
      <c r="AQ198" s="89">
        <f t="shared" si="17"/>
        <v>9.2888888888888879</v>
      </c>
      <c r="AR198" s="89">
        <f>IFERROR(VLOOKUP(A198,Climatologia!A:U,9+$E$2,FALSE),"")</f>
        <v>6.8721572322812943</v>
      </c>
      <c r="AS198" s="89">
        <f t="shared" si="18"/>
        <v>2.4167316566075936</v>
      </c>
      <c r="AT198" s="90">
        <f t="shared" si="19"/>
        <v>7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-1.8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33867</v>
      </c>
      <c r="AW198" s="92">
        <f t="shared" si="20"/>
        <v>8.8000000000000007</v>
      </c>
    </row>
    <row r="199" spans="1:49" ht="14.25" customHeight="1" x14ac:dyDescent="0.2">
      <c r="A199" s="48">
        <v>21206020</v>
      </c>
      <c r="B199" s="52" t="s">
        <v>403</v>
      </c>
      <c r="C199" s="52" t="s">
        <v>382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73</v>
      </c>
      <c r="J199" s="55" t="s">
        <v>404</v>
      </c>
      <c r="K199" s="51">
        <v>10</v>
      </c>
      <c r="L199" s="51">
        <v>11</v>
      </c>
      <c r="M199" s="51">
        <v>10</v>
      </c>
      <c r="N199" s="51">
        <v>9.1999999999999993</v>
      </c>
      <c r="O199" s="51">
        <v>6.6</v>
      </c>
      <c r="P199" s="51">
        <v>7</v>
      </c>
      <c r="Q199" s="51">
        <v>9</v>
      </c>
      <c r="R199" s="51"/>
      <c r="S199" s="51">
        <v>7</v>
      </c>
      <c r="T199" s="51"/>
      <c r="U199" s="51">
        <v>8.1999999999999993</v>
      </c>
      <c r="V199" s="51"/>
      <c r="W199" s="51">
        <v>8</v>
      </c>
      <c r="X199" s="51">
        <v>10</v>
      </c>
      <c r="Y199" s="51">
        <v>8.4</v>
      </c>
      <c r="Z199" s="111">
        <v>7.6</v>
      </c>
      <c r="AA199" s="51">
        <v>8</v>
      </c>
      <c r="AB199" s="51">
        <v>7.8</v>
      </c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88">
        <f t="shared" si="16"/>
        <v>15</v>
      </c>
      <c r="AQ199" s="89">
        <f t="shared" si="17"/>
        <v>8.5200000000000014</v>
      </c>
      <c r="AR199" s="89">
        <f>IFERROR(VLOOKUP(A199,Climatologia!A:U,9+$E$2,FALSE),"")</f>
        <v>6.8567518092805448</v>
      </c>
      <c r="AS199" s="89">
        <f t="shared" si="18"/>
        <v>1.6632481907194565</v>
      </c>
      <c r="AT199" s="90">
        <f t="shared" si="19"/>
        <v>6.6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-3.4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199" s="92">
        <f t="shared" si="20"/>
        <v>10</v>
      </c>
    </row>
    <row r="200" spans="1:49" ht="14.25" customHeight="1" x14ac:dyDescent="0.2">
      <c r="A200" s="48">
        <v>21206060</v>
      </c>
      <c r="B200" s="52" t="s">
        <v>405</v>
      </c>
      <c r="C200" s="52" t="s">
        <v>382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73</v>
      </c>
      <c r="J200" s="55" t="s">
        <v>406</v>
      </c>
      <c r="K200" s="51">
        <v>10.8</v>
      </c>
      <c r="L200" s="51">
        <v>8.4</v>
      </c>
      <c r="M200" s="51">
        <v>8.1999999999999993</v>
      </c>
      <c r="N200" s="51">
        <v>10.199999999999999</v>
      </c>
      <c r="O200" s="51">
        <v>8.8000000000000007</v>
      </c>
      <c r="P200" s="51">
        <v>7.8</v>
      </c>
      <c r="Q200" s="51">
        <v>6.4</v>
      </c>
      <c r="R200" s="51">
        <v>5.8</v>
      </c>
      <c r="S200" s="51">
        <v>10.8</v>
      </c>
      <c r="T200" s="51">
        <v>7.4</v>
      </c>
      <c r="U200" s="51">
        <v>8.4</v>
      </c>
      <c r="V200" s="51">
        <v>8.1999999999999993</v>
      </c>
      <c r="W200" s="51">
        <v>6.4</v>
      </c>
      <c r="X200" s="51">
        <v>9.4</v>
      </c>
      <c r="Y200" s="51">
        <v>7.4</v>
      </c>
      <c r="Z200" s="111">
        <v>10.4</v>
      </c>
      <c r="AA200" s="51">
        <v>6.6</v>
      </c>
      <c r="AB200" s="51">
        <v>7.8</v>
      </c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88">
        <f t="shared" si="16"/>
        <v>18</v>
      </c>
      <c r="AQ200" s="89">
        <f t="shared" si="17"/>
        <v>8.2888888888888914</v>
      </c>
      <c r="AR200" s="89">
        <f>IFERROR(VLOOKUP(A200,Climatologia!A:U,9+$E$2,FALSE),"")</f>
        <v>6.3417884368241078</v>
      </c>
      <c r="AS200" s="89">
        <f t="shared" si="18"/>
        <v>1.9471004520647837</v>
      </c>
      <c r="AT200" s="90">
        <f t="shared" si="19"/>
        <v>5.8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-0.6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0" s="92">
        <f t="shared" si="20"/>
        <v>6.3999999999999995</v>
      </c>
    </row>
    <row r="201" spans="1:49" ht="14.25" customHeight="1" x14ac:dyDescent="0.2">
      <c r="A201" s="48">
        <v>21206260</v>
      </c>
      <c r="B201" s="52" t="s">
        <v>407</v>
      </c>
      <c r="C201" s="52" t="s">
        <v>382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408</v>
      </c>
      <c r="J201" s="55" t="s">
        <v>409</v>
      </c>
      <c r="K201" s="51">
        <v>10.6</v>
      </c>
      <c r="L201" s="51">
        <v>10</v>
      </c>
      <c r="M201" s="51">
        <v>9.6</v>
      </c>
      <c r="N201" s="51">
        <v>9.1999999999999993</v>
      </c>
      <c r="O201" s="51">
        <v>9.6</v>
      </c>
      <c r="P201" s="51">
        <v>9.6</v>
      </c>
      <c r="Q201" s="51">
        <v>8.4</v>
      </c>
      <c r="R201" s="51">
        <v>7</v>
      </c>
      <c r="S201" s="51">
        <v>9.8000000000000007</v>
      </c>
      <c r="T201" s="51">
        <v>8.4</v>
      </c>
      <c r="U201" s="51">
        <v>9.6</v>
      </c>
      <c r="V201" s="51">
        <v>9</v>
      </c>
      <c r="W201" s="51"/>
      <c r="X201" s="51">
        <v>8.4</v>
      </c>
      <c r="Y201" s="51">
        <v>8</v>
      </c>
      <c r="Z201" s="111">
        <v>9.6</v>
      </c>
      <c r="AA201" s="51">
        <v>8</v>
      </c>
      <c r="AB201" s="51">
        <v>9.4</v>
      </c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88">
        <f t="shared" si="16"/>
        <v>17</v>
      </c>
      <c r="AQ201" s="89">
        <f t="shared" si="17"/>
        <v>9.0705882352941192</v>
      </c>
      <c r="AR201" s="89">
        <f>IFERROR(VLOOKUP(A201,Climatologia!A:U,9+$E$2,FALSE),"")</f>
        <v>7.0236414292537948</v>
      </c>
      <c r="AS201" s="89">
        <f t="shared" si="18"/>
        <v>2.0469468060403244</v>
      </c>
      <c r="AT201" s="90">
        <f t="shared" si="19"/>
        <v>7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0.2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201" s="92">
        <f t="shared" si="20"/>
        <v>6.8</v>
      </c>
    </row>
    <row r="202" spans="1:49" ht="14.25" customHeight="1" x14ac:dyDescent="0.2">
      <c r="A202" s="48">
        <v>21206600</v>
      </c>
      <c r="B202" s="52" t="s">
        <v>410</v>
      </c>
      <c r="C202" s="52" t="s">
        <v>382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9.8000000000000007</v>
      </c>
      <c r="L202" s="51">
        <v>8.6</v>
      </c>
      <c r="M202" s="51">
        <v>8.6</v>
      </c>
      <c r="N202" s="51">
        <v>9.8000000000000007</v>
      </c>
      <c r="O202" s="51">
        <v>9</v>
      </c>
      <c r="P202" s="51">
        <v>6.8</v>
      </c>
      <c r="Q202" s="51">
        <v>8.4</v>
      </c>
      <c r="R202" s="51">
        <v>6.2</v>
      </c>
      <c r="S202" s="51">
        <v>9.6</v>
      </c>
      <c r="T202" s="51">
        <v>8.1999999999999993</v>
      </c>
      <c r="U202" s="51">
        <v>9.8000000000000007</v>
      </c>
      <c r="V202" s="51">
        <v>8.4</v>
      </c>
      <c r="W202" s="51">
        <v>8.1999999999999993</v>
      </c>
      <c r="X202" s="51">
        <v>7.8</v>
      </c>
      <c r="Y202" s="51">
        <v>8</v>
      </c>
      <c r="Z202" s="111">
        <v>9.4</v>
      </c>
      <c r="AA202" s="51">
        <v>7.4</v>
      </c>
      <c r="AB202" s="51">
        <v>7.8</v>
      </c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88">
        <f t="shared" si="16"/>
        <v>18</v>
      </c>
      <c r="AQ202" s="89">
        <f t="shared" si="17"/>
        <v>8.4333333333333336</v>
      </c>
      <c r="AR202" s="89">
        <f>IFERROR(VLOOKUP(A202,Climatologia!A:U,9+$E$2,FALSE),"")</f>
        <v>8.052510832141536</v>
      </c>
      <c r="AS202" s="89">
        <f t="shared" si="18"/>
        <v>0.38082250119179761</v>
      </c>
      <c r="AT202" s="90">
        <f t="shared" si="19"/>
        <v>6.2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40800</v>
      </c>
      <c r="AW202" s="92">
        <f t="shared" si="20"/>
        <v>5</v>
      </c>
    </row>
    <row r="203" spans="1:49" ht="14.25" customHeight="1" x14ac:dyDescent="0.2">
      <c r="A203" s="48">
        <v>21206650</v>
      </c>
      <c r="B203" s="52" t="s">
        <v>411</v>
      </c>
      <c r="C203" s="52" t="s">
        <v>382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6</v>
      </c>
      <c r="L203" s="51">
        <v>5.4</v>
      </c>
      <c r="M203" s="51">
        <v>5.6</v>
      </c>
      <c r="N203" s="51">
        <v>5.2</v>
      </c>
      <c r="O203" s="51">
        <v>6.2</v>
      </c>
      <c r="P203" s="51">
        <v>5.6</v>
      </c>
      <c r="Q203" s="51">
        <v>5.2</v>
      </c>
      <c r="R203" s="51">
        <v>4.8</v>
      </c>
      <c r="S203" s="51">
        <v>5</v>
      </c>
      <c r="T203" s="51">
        <v>5.4</v>
      </c>
      <c r="U203" s="51">
        <v>5</v>
      </c>
      <c r="V203" s="51">
        <v>5.8</v>
      </c>
      <c r="W203" s="51">
        <v>5.2</v>
      </c>
      <c r="X203" s="51">
        <v>5.4</v>
      </c>
      <c r="Y203" s="51">
        <v>5.8</v>
      </c>
      <c r="Z203" s="111">
        <v>5.2</v>
      </c>
      <c r="AA203" s="51">
        <v>4.2</v>
      </c>
      <c r="AB203" s="51">
        <v>4.8</v>
      </c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88">
        <f t="shared" si="16"/>
        <v>18</v>
      </c>
      <c r="AQ203" s="89">
        <f t="shared" si="17"/>
        <v>5.3222222222222229</v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4.2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3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44104</v>
      </c>
      <c r="AW203" s="92">
        <f t="shared" si="20"/>
        <v>1.2000000000000002</v>
      </c>
    </row>
    <row r="204" spans="1:49" ht="14.25" customHeight="1" x14ac:dyDescent="0.2">
      <c r="A204" s="48">
        <v>23065110</v>
      </c>
      <c r="B204" s="52" t="s">
        <v>412</v>
      </c>
      <c r="C204" s="52" t="s">
        <v>382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73</v>
      </c>
      <c r="J204" s="55" t="s">
        <v>413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17.734083083854891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414</v>
      </c>
      <c r="C205" s="52" t="s">
        <v>382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73</v>
      </c>
      <c r="J205" s="55" t="s">
        <v>415</v>
      </c>
      <c r="K205" s="51">
        <v>9.8000000000000007</v>
      </c>
      <c r="L205" s="51">
        <v>10.6</v>
      </c>
      <c r="M205" s="51">
        <v>11.6</v>
      </c>
      <c r="N205" s="51">
        <v>9.8000000000000007</v>
      </c>
      <c r="O205" s="51">
        <v>10.6</v>
      </c>
      <c r="P205" s="51">
        <v>11</v>
      </c>
      <c r="Q205" s="51">
        <v>10.4</v>
      </c>
      <c r="R205" s="51">
        <v>7.8</v>
      </c>
      <c r="S205" s="51">
        <v>13.2</v>
      </c>
      <c r="T205" s="51">
        <v>11.6</v>
      </c>
      <c r="U205" s="51">
        <v>11.6</v>
      </c>
      <c r="V205" s="51">
        <v>9.6</v>
      </c>
      <c r="W205" s="51">
        <v>10.199999999999999</v>
      </c>
      <c r="X205" s="51">
        <v>11</v>
      </c>
      <c r="Y205" s="51">
        <v>10.8</v>
      </c>
      <c r="Z205" s="111">
        <v>11.8</v>
      </c>
      <c r="AA205" s="51">
        <v>11</v>
      </c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88">
        <f t="shared" si="16"/>
        <v>17</v>
      </c>
      <c r="AQ205" s="89">
        <f t="shared" si="17"/>
        <v>10.729411764705883</v>
      </c>
      <c r="AR205" s="89">
        <f>IFERROR(VLOOKUP(A205,Climatologia!A:U,9+$E$2,FALSE),"")</f>
        <v>8.9660145437485337</v>
      </c>
      <c r="AS205" s="89">
        <f t="shared" si="18"/>
        <v>1.7633972209573496</v>
      </c>
      <c r="AT205" s="90">
        <f t="shared" si="19"/>
        <v>7.8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1.1000000000000001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40085</v>
      </c>
      <c r="AW205" s="92">
        <f t="shared" si="20"/>
        <v>6.6999999999999993</v>
      </c>
    </row>
    <row r="206" spans="1:49" ht="14.25" customHeight="1" x14ac:dyDescent="0.2">
      <c r="A206" s="48">
        <v>35025060</v>
      </c>
      <c r="B206" s="52" t="s">
        <v>416</v>
      </c>
      <c r="C206" s="52" t="s">
        <v>382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73</v>
      </c>
      <c r="J206" s="55" t="s">
        <v>417</v>
      </c>
      <c r="K206" s="51">
        <v>7</v>
      </c>
      <c r="L206" s="51">
        <v>5.8</v>
      </c>
      <c r="M206" s="51">
        <v>7</v>
      </c>
      <c r="N206" s="51">
        <v>6</v>
      </c>
      <c r="O206" s="51">
        <v>5.2</v>
      </c>
      <c r="P206" s="51">
        <v>5.4</v>
      </c>
      <c r="Q206" s="51">
        <v>5.4</v>
      </c>
      <c r="R206" s="51">
        <v>4.8</v>
      </c>
      <c r="S206" s="51">
        <v>5</v>
      </c>
      <c r="T206" s="51">
        <v>4.4000000000000004</v>
      </c>
      <c r="U206" s="51">
        <v>6</v>
      </c>
      <c r="V206" s="51">
        <v>6</v>
      </c>
      <c r="W206" s="51">
        <v>6</v>
      </c>
      <c r="X206" s="51">
        <v>6.6</v>
      </c>
      <c r="Y206" s="51">
        <v>6.8</v>
      </c>
      <c r="Z206" s="111">
        <v>6.4</v>
      </c>
      <c r="AA206" s="51">
        <v>6.6</v>
      </c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88">
        <f t="shared" si="16"/>
        <v>17</v>
      </c>
      <c r="AQ206" s="89">
        <f t="shared" si="17"/>
        <v>5.9058823529411759</v>
      </c>
      <c r="AR206" s="89">
        <f>IFERROR(VLOOKUP(A206,Climatologia!A:U,9+$E$2,FALSE),"")</f>
        <v>4.9011609803563827</v>
      </c>
      <c r="AS206" s="89">
        <f t="shared" si="18"/>
        <v>1.0047213725847932</v>
      </c>
      <c r="AT206" s="90">
        <f t="shared" si="19"/>
        <v>4.4000000000000004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0.2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36045</v>
      </c>
      <c r="AW206" s="92">
        <f t="shared" si="20"/>
        <v>4.2</v>
      </c>
    </row>
    <row r="207" spans="1:49" ht="14.25" customHeight="1" x14ac:dyDescent="0.2">
      <c r="A207" s="48">
        <v>47075010</v>
      </c>
      <c r="B207" s="52" t="s">
        <v>418</v>
      </c>
      <c r="C207" s="52" t="s">
        <v>382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98</v>
      </c>
      <c r="J207" s="55" t="s">
        <v>418</v>
      </c>
      <c r="K207" s="51">
        <v>23</v>
      </c>
      <c r="L207" s="51">
        <v>23.2</v>
      </c>
      <c r="M207" s="51">
        <v>23</v>
      </c>
      <c r="N207" s="51">
        <v>23.2</v>
      </c>
      <c r="O207" s="51">
        <v>23.6</v>
      </c>
      <c r="P207" s="51">
        <v>23.2</v>
      </c>
      <c r="Q207" s="51">
        <v>23.8</v>
      </c>
      <c r="R207" s="51">
        <v>23.4</v>
      </c>
      <c r="S207" s="51">
        <v>24</v>
      </c>
      <c r="T207" s="51">
        <v>24.2</v>
      </c>
      <c r="U207" s="51">
        <v>23</v>
      </c>
      <c r="V207" s="51">
        <v>23.4</v>
      </c>
      <c r="W207" s="51">
        <v>22.6</v>
      </c>
      <c r="X207" s="51">
        <v>23.2</v>
      </c>
      <c r="Y207" s="51">
        <v>20</v>
      </c>
      <c r="Z207" s="111">
        <v>21.4</v>
      </c>
      <c r="AA207" s="51">
        <v>21.6</v>
      </c>
      <c r="AB207" s="51">
        <v>21.4</v>
      </c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88">
        <f t="shared" si="16"/>
        <v>18</v>
      </c>
      <c r="AQ207" s="89">
        <f t="shared" si="17"/>
        <v>22.844444444444445</v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20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18.2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37877</v>
      </c>
      <c r="AW207" s="92">
        <f t="shared" si="20"/>
        <v>1.8000000000000007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1" t="s">
        <v>421</v>
      </c>
      <c r="X1" s="122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6" t="s">
        <v>847</v>
      </c>
      <c r="B1" s="126" t="s">
        <v>7</v>
      </c>
      <c r="C1" s="126" t="s">
        <v>10</v>
      </c>
      <c r="D1" s="126" t="s">
        <v>9</v>
      </c>
      <c r="E1" s="126" t="s">
        <v>11</v>
      </c>
      <c r="F1" s="126" t="s">
        <v>15</v>
      </c>
      <c r="G1" s="126" t="s">
        <v>848</v>
      </c>
      <c r="H1" s="123" t="s">
        <v>849</v>
      </c>
      <c r="I1" s="124"/>
      <c r="J1" s="125"/>
      <c r="K1" s="123" t="s">
        <v>850</v>
      </c>
      <c r="L1" s="124"/>
      <c r="M1" s="125"/>
      <c r="N1" s="123" t="s">
        <v>851</v>
      </c>
      <c r="O1" s="124"/>
      <c r="P1" s="125"/>
      <c r="Q1" s="123" t="s">
        <v>852</v>
      </c>
      <c r="R1" s="124"/>
      <c r="S1" s="125"/>
      <c r="T1" s="123" t="s">
        <v>853</v>
      </c>
      <c r="U1" s="124"/>
      <c r="V1" s="125"/>
      <c r="W1" s="123" t="s">
        <v>854</v>
      </c>
      <c r="X1" s="124"/>
      <c r="Y1" s="125"/>
      <c r="Z1" s="123" t="s">
        <v>855</v>
      </c>
      <c r="AA1" s="124"/>
      <c r="AB1" s="125"/>
      <c r="AC1" s="123" t="s">
        <v>856</v>
      </c>
      <c r="AD1" s="124"/>
      <c r="AE1" s="125"/>
      <c r="AF1" s="123" t="s">
        <v>857</v>
      </c>
      <c r="AG1" s="124"/>
      <c r="AH1" s="125"/>
      <c r="AI1" s="123" t="s">
        <v>858</v>
      </c>
      <c r="AJ1" s="124"/>
      <c r="AK1" s="125"/>
      <c r="AL1" s="123" t="s">
        <v>859</v>
      </c>
      <c r="AM1" s="124"/>
      <c r="AN1" s="125"/>
      <c r="AO1" s="123" t="s">
        <v>860</v>
      </c>
      <c r="AP1" s="124"/>
      <c r="AQ1" s="125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7"/>
      <c r="B2" s="127"/>
      <c r="C2" s="127"/>
      <c r="D2" s="127"/>
      <c r="E2" s="127"/>
      <c r="F2" s="127"/>
      <c r="G2" s="127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2026-09-18T15:03:54Z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2026-09-18T14:59:39Z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b927b669-678a-4ec5-b057-56c02d2c581d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