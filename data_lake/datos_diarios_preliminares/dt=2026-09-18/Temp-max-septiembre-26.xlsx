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594D12AF-6D9A-492F-B4AC-DA1596A4245A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<sst xmlns="http://schemas.openxmlformats.org/spreadsheetml/2006/main" count="603" uniqueCount="272">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</sst>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F25" activePane="bottomRight" state="frozen"/>
      <selection pane="topRight" activeCell="E1" sqref="E1"/>
      <selection pane="bottomLeft" activeCell="A4" sqref="A4"/>
      <selection pane="bottomRight" activeCell="S2" sqref="S1:U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>
        <v>32.700000000000003</v>
      </c>
      <c r="P5" s="63">
        <v>32.4</v>
      </c>
      <c r="Q5" s="63">
        <v>32.700000000000003</v>
      </c>
      <c r="R5" s="63">
        <v>31</v>
      </c>
      <c r="S5" s="63">
        <v>31.5</v>
      </c>
      <c r="T5" s="63">
        <v>31.7</v>
      </c>
      <c r="U5" s="63">
        <v>29.6</v>
      </c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29.6</v>
      </c>
      <c r="AK5" s="21">
        <f>+MAX($E5:$AI5)</f>
        <v>32.700000000000003</v>
      </c>
      <c r="AL5" s="22">
        <v>33.4</v>
      </c>
      <c r="AM5" s="23">
        <f>IF(AK5&gt;0,$AK5-$AL5,"")</f>
        <v>-0.69999999999999574</v>
      </c>
      <c r="AN5" s="23">
        <v>30.837144120247562</v>
      </c>
      <c r="AO5" s="23">
        <f>IF(COUNTIF(E5:AI5,"&gt;0")&gt;=15,AVERAGE(E5:AI5),"")</f>
        <v>31.799999999999994</v>
      </c>
      <c r="AP5" s="23">
        <f>IF(AN5&gt;0,IFERROR(AO5-AN5,""),"")</f>
        <v>0.96285587975243203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>
        <v>32.200000000000003</v>
      </c>
      <c r="P6" s="63">
        <v>32.5</v>
      </c>
      <c r="Q6" s="63">
        <v>32.200000000000003</v>
      </c>
      <c r="R6" s="63">
        <v>32.200000000000003</v>
      </c>
      <c r="S6" s="63">
        <v>31.4</v>
      </c>
      <c r="T6" s="63">
        <v>32.1</v>
      </c>
      <c r="U6" s="63">
        <v>30.2</v>
      </c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30.2</v>
      </c>
      <c r="AK6" s="21">
        <f t="shared" ref="AK6:AK48" si="2">+MAX($E6:$AI6)</f>
        <v>32.799999999999997</v>
      </c>
      <c r="AL6" s="22">
        <v>33.200000000000003</v>
      </c>
      <c r="AM6" s="23">
        <f t="shared" ref="AM6:AM48" si="3">IF(AK6&gt;0,$AK6-$AL6,"")</f>
        <v>-0.40000000000000568</v>
      </c>
      <c r="AN6" s="23">
        <v>31.213724845269681</v>
      </c>
      <c r="AO6" s="23">
        <f t="shared" ref="AO6:AO15" si="4">IF(COUNTIF(E6:AI6,"&gt;0")&gt;=15,AVERAGE(E6:AI6),"")</f>
        <v>31.947058823529414</v>
      </c>
      <c r="AP6" s="23">
        <f t="shared" ref="AP6:AP48" si="5">IF(AN6&gt;0,IFERROR(AO6-AN6,""),"")</f>
        <v>0.73333397825973279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>
        <v>35.200000000000003</v>
      </c>
      <c r="P7" s="63">
        <v>35.4</v>
      </c>
      <c r="Q7" s="63">
        <v>35.200000000000003</v>
      </c>
      <c r="R7" s="63">
        <v>34.799999999999997</v>
      </c>
      <c r="S7" s="63">
        <v>35.4</v>
      </c>
      <c r="T7" s="63">
        <v>33.6</v>
      </c>
      <c r="U7" s="63">
        <v>35.700000000000003</v>
      </c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35.700000000000003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>
        <f t="shared" si="4"/>
        <v>34.829411764705881</v>
      </c>
      <c r="AP7" s="23">
        <f t="shared" si="5"/>
        <v>1.9405316333429923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>
        <v>32.799999999999997</v>
      </c>
      <c r="P8" s="63">
        <v>34.6</v>
      </c>
      <c r="Q8" s="63">
        <v>32.799999999999997</v>
      </c>
      <c r="R8" s="63">
        <v>32.9</v>
      </c>
      <c r="S8" s="63">
        <v>33.9</v>
      </c>
      <c r="T8" s="63">
        <v>35.1</v>
      </c>
      <c r="U8" s="63">
        <v>35</v>
      </c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35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>
        <f t="shared" si="4"/>
        <v>34.305882352941182</v>
      </c>
      <c r="AP8" s="23">
        <f t="shared" si="5"/>
        <v>2.2393512391877195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>
        <v>34.700000000000003</v>
      </c>
      <c r="P9" s="63">
        <v>34.9</v>
      </c>
      <c r="Q9" s="63">
        <v>34.700000000000003</v>
      </c>
      <c r="R9" s="63">
        <v>33.1</v>
      </c>
      <c r="S9" s="63">
        <v>34.5</v>
      </c>
      <c r="T9" s="63">
        <v>32.6</v>
      </c>
      <c r="U9" s="63">
        <v>36.799999999999997</v>
      </c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36.799999999999997</v>
      </c>
      <c r="AK9" s="21">
        <f t="shared" si="2"/>
        <v>38</v>
      </c>
      <c r="AL9" s="22">
        <v>38.4</v>
      </c>
      <c r="AM9" s="23">
        <f t="shared" si="3"/>
        <v>-0.39999999999999858</v>
      </c>
      <c r="AN9" s="23">
        <v>33.308997701149423</v>
      </c>
      <c r="AO9" s="23">
        <f t="shared" si="4"/>
        <v>35.323529411764703</v>
      </c>
      <c r="AP9" s="23">
        <f t="shared" si="5"/>
        <v>2.0145317106152802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>
        <v>36.5</v>
      </c>
      <c r="P10" s="63">
        <v>36.200000000000003</v>
      </c>
      <c r="Q10" s="63">
        <v>36.5</v>
      </c>
      <c r="R10" s="63">
        <v>35.9</v>
      </c>
      <c r="S10" s="63">
        <v>35.9</v>
      </c>
      <c r="T10" s="63">
        <v>36.4</v>
      </c>
      <c r="U10" s="63">
        <v>37.1</v>
      </c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37.1</v>
      </c>
      <c r="AK10" s="21">
        <f t="shared" si="2"/>
        <v>39.6</v>
      </c>
      <c r="AL10" s="22">
        <v>39.6</v>
      </c>
      <c r="AM10" s="23">
        <f t="shared" si="3"/>
        <v>0</v>
      </c>
      <c r="AN10" s="23">
        <v>33.75991221422256</v>
      </c>
      <c r="AO10" s="23">
        <f t="shared" si="4"/>
        <v>36.805882352941175</v>
      </c>
      <c r="AP10" s="23">
        <f t="shared" si="5"/>
        <v>3.0459701387186158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>
        <v>38.9</v>
      </c>
      <c r="P11" s="63">
        <v>37.5</v>
      </c>
      <c r="Q11" s="63">
        <v>38.9</v>
      </c>
      <c r="R11" s="63">
        <v>35.9</v>
      </c>
      <c r="S11" s="63">
        <v>38.6</v>
      </c>
      <c r="T11" s="63">
        <v>37.200000000000003</v>
      </c>
      <c r="U11" s="63">
        <v>40.4</v>
      </c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40.4</v>
      </c>
      <c r="AK11" s="21">
        <f t="shared" si="2"/>
        <v>40.4</v>
      </c>
      <c r="AL11" s="22">
        <v>40.200000000000003</v>
      </c>
      <c r="AM11" s="23">
        <f t="shared" si="3"/>
        <v>0.19999999999999574</v>
      </c>
      <c r="AN11" s="23">
        <v>34.012164961475307</v>
      </c>
      <c r="AO11" s="23">
        <f t="shared" si="4"/>
        <v>38.011764705882349</v>
      </c>
      <c r="AP11" s="23">
        <f t="shared" si="5"/>
        <v>3.9995997444070426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>
        <v>32.6</v>
      </c>
      <c r="P12" s="63">
        <v>35</v>
      </c>
      <c r="Q12" s="63">
        <v>31.4</v>
      </c>
      <c r="R12" s="63">
        <v>33.200000000000003</v>
      </c>
      <c r="S12" s="63">
        <v>34.4</v>
      </c>
      <c r="T12" s="63">
        <v>31.6</v>
      </c>
      <c r="U12" s="63">
        <v>36</v>
      </c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36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>
        <f t="shared" si="4"/>
        <v>33.964705882352938</v>
      </c>
      <c r="AP12" s="23">
        <f t="shared" si="5"/>
        <v>2.512112728380469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>
        <v>33.6</v>
      </c>
      <c r="P13" s="63">
        <v>36</v>
      </c>
      <c r="Q13" s="63">
        <v>33</v>
      </c>
      <c r="R13" s="63">
        <v>34.200000000000003</v>
      </c>
      <c r="S13" s="63">
        <v>35</v>
      </c>
      <c r="T13" s="63">
        <v>32.200000000000003</v>
      </c>
      <c r="U13" s="63">
        <v>36.799999999999997</v>
      </c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36.799999999999997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>
        <f t="shared" si="4"/>
        <v>34.6</v>
      </c>
      <c r="AP13" s="23">
        <f t="shared" si="5"/>
        <v>2.4002183908046035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>
        <v>31.9</v>
      </c>
      <c r="P14" s="63">
        <v>35.5</v>
      </c>
      <c r="Q14" s="63">
        <v>31.9</v>
      </c>
      <c r="R14" s="63">
        <v>34.6</v>
      </c>
      <c r="S14" s="63">
        <v>31.4</v>
      </c>
      <c r="T14" s="63">
        <v>33.799999999999997</v>
      </c>
      <c r="U14" s="63">
        <v>36.9</v>
      </c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36.9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>
        <f t="shared" si="4"/>
        <v>34.235294117647051</v>
      </c>
      <c r="AP14" s="23">
        <f t="shared" si="5"/>
        <v>1.674056236639089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>
        <v>29.9</v>
      </c>
      <c r="P15" s="63">
        <v>32.200000000000003</v>
      </c>
      <c r="Q15" s="63">
        <v>29.9</v>
      </c>
      <c r="R15" s="63">
        <v>33.200000000000003</v>
      </c>
      <c r="S15" s="63">
        <v>32.299999999999997</v>
      </c>
      <c r="T15" s="63">
        <v>34.299999999999997</v>
      </c>
      <c r="U15" s="63">
        <v>34.200000000000003</v>
      </c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34.200000000000003</v>
      </c>
      <c r="AK15" s="21">
        <f t="shared" si="2"/>
        <v>34.299999999999997</v>
      </c>
      <c r="AL15" s="22">
        <v>35.4</v>
      </c>
      <c r="AM15" s="23">
        <f t="shared" si="3"/>
        <v>-1.1000000000000014</v>
      </c>
      <c r="AN15" s="23">
        <v>31.91844417077176</v>
      </c>
      <c r="AO15" s="23">
        <f t="shared" si="4"/>
        <v>31.941176470588236</v>
      </c>
      <c r="AP15" s="23">
        <f t="shared" si="5"/>
        <v>2.2732299816475177E-2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>
        <v>33</v>
      </c>
      <c r="P17" s="63">
        <v>36.5</v>
      </c>
      <c r="Q17" s="63">
        <v>33</v>
      </c>
      <c r="R17" s="63">
        <v>36.4</v>
      </c>
      <c r="S17" s="63">
        <v>35.4</v>
      </c>
      <c r="T17" s="63">
        <v>33.6</v>
      </c>
      <c r="U17" s="63">
        <v>36.5</v>
      </c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36.5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>
        <f>IF(COUNTIF(E17:AI17,"&gt;0")&gt;=15,AVERAGE(E17:AI17),"")</f>
        <v>35.070588235294117</v>
      </c>
      <c r="AP17" s="23">
        <f>IF(AN17&gt;0,IFERROR(AO17-AN17,""),"")</f>
        <v>3.0425858571728241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>
        <v>28.6</v>
      </c>
      <c r="P18" s="63">
        <v>29.1</v>
      </c>
      <c r="Q18" s="63">
        <v>28.6</v>
      </c>
      <c r="R18" s="63">
        <v>30</v>
      </c>
      <c r="S18" s="63">
        <v>29.8</v>
      </c>
      <c r="T18" s="63">
        <v>28</v>
      </c>
      <c r="U18" s="63">
        <v>30.6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30.6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>
        <f t="shared" ref="AO18:AO33" si="6">IF(COUNTIF(E18:AI18,"&gt;0")&gt;=15,AVERAGE(E18:AI18),"")</f>
        <v>29.047058823529419</v>
      </c>
      <c r="AP18" s="23">
        <f t="shared" si="5"/>
        <v>2.8014452704158579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>
        <v>35.5</v>
      </c>
      <c r="P19" s="63">
        <v>36.700000000000003</v>
      </c>
      <c r="Q19" s="63">
        <v>35.5</v>
      </c>
      <c r="R19" s="63">
        <v>37</v>
      </c>
      <c r="S19" s="63">
        <v>37.6</v>
      </c>
      <c r="T19" s="63">
        <v>36.299999999999997</v>
      </c>
      <c r="U19" s="63">
        <v>35</v>
      </c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35</v>
      </c>
      <c r="AK19" s="21">
        <f t="shared" si="2"/>
        <v>37.6</v>
      </c>
      <c r="AL19" s="22">
        <v>38.4</v>
      </c>
      <c r="AM19" s="23">
        <f t="shared" si="3"/>
        <v>-0.79999999999999716</v>
      </c>
      <c r="AN19" s="23">
        <v>34.362535919540242</v>
      </c>
      <c r="AO19" s="23">
        <f t="shared" si="6"/>
        <v>35.999999999999993</v>
      </c>
      <c r="AP19" s="23">
        <f t="shared" si="5"/>
        <v>1.6374640804597504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>
        <v>29</v>
      </c>
      <c r="P20" s="63">
        <v>31.3</v>
      </c>
      <c r="Q20" s="63">
        <v>29</v>
      </c>
      <c r="R20" s="63">
        <v>31.9</v>
      </c>
      <c r="S20" s="63">
        <v>31.1</v>
      </c>
      <c r="T20" s="63">
        <v>30.6</v>
      </c>
      <c r="U20" s="63">
        <v>32</v>
      </c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32</v>
      </c>
      <c r="AK20" s="21">
        <f t="shared" si="2"/>
        <v>32.4</v>
      </c>
      <c r="AL20" s="22">
        <v>33.1</v>
      </c>
      <c r="AM20" s="23">
        <f t="shared" si="3"/>
        <v>-0.70000000000000284</v>
      </c>
      <c r="AN20" s="23">
        <v>28.140217569786529</v>
      </c>
      <c r="AO20" s="23">
        <f t="shared" si="6"/>
        <v>30.647058823529413</v>
      </c>
      <c r="AP20" s="23">
        <f t="shared" si="5"/>
        <v>2.5068412537428841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>
        <v>25</v>
      </c>
      <c r="P21" s="63">
        <v>25.1</v>
      </c>
      <c r="Q21" s="63">
        <v>25</v>
      </c>
      <c r="R21" s="63">
        <v>24.6</v>
      </c>
      <c r="S21" s="63">
        <v>24.8</v>
      </c>
      <c r="T21" s="63">
        <v>24.8</v>
      </c>
      <c r="U21" s="63">
        <v>25</v>
      </c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25</v>
      </c>
      <c r="AK21" s="21">
        <f t="shared" si="2"/>
        <v>25.3</v>
      </c>
      <c r="AL21" s="22">
        <v>26.9</v>
      </c>
      <c r="AM21" s="23">
        <f t="shared" si="3"/>
        <v>-1.5999999999999979</v>
      </c>
      <c r="AN21" s="23">
        <v>22.564435196194999</v>
      </c>
      <c r="AO21" s="23">
        <f t="shared" si="6"/>
        <v>24.51176470588236</v>
      </c>
      <c r="AP21" s="23">
        <f t="shared" si="5"/>
        <v>1.9473295096873606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>
        <v>27.2</v>
      </c>
      <c r="P23" s="63">
        <v>30.2</v>
      </c>
      <c r="Q23" s="63">
        <v>27.2</v>
      </c>
      <c r="R23" s="63">
        <v>29.3</v>
      </c>
      <c r="S23" s="63">
        <v>31.2</v>
      </c>
      <c r="T23" s="63">
        <v>30.9</v>
      </c>
      <c r="U23" s="63">
        <v>34</v>
      </c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34</v>
      </c>
      <c r="AK23" s="21">
        <f t="shared" si="2"/>
        <v>34</v>
      </c>
      <c r="AL23" s="22">
        <v>32.799999999999997</v>
      </c>
      <c r="AM23" s="23">
        <f t="shared" si="3"/>
        <v>1.2000000000000028</v>
      </c>
      <c r="AN23" s="23">
        <v>27.03996905393457</v>
      </c>
      <c r="AO23" s="23">
        <f t="shared" si="6"/>
        <v>29.623529411764704</v>
      </c>
      <c r="AP23" s="23">
        <f t="shared" si="5"/>
        <v>2.5835603578301338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>
        <v>28.3</v>
      </c>
      <c r="P24" s="63">
        <v>31</v>
      </c>
      <c r="Q24" s="63">
        <v>28.3</v>
      </c>
      <c r="R24" s="63">
        <v>31.1</v>
      </c>
      <c r="S24" s="63">
        <v>31.3</v>
      </c>
      <c r="T24" s="63">
        <v>32.200000000000003</v>
      </c>
      <c r="U24" s="63">
        <v>35.1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35.1</v>
      </c>
      <c r="AK24" s="21">
        <f t="shared" si="2"/>
        <v>35.1</v>
      </c>
      <c r="AL24" s="22">
        <v>35</v>
      </c>
      <c r="AM24" s="23">
        <f t="shared" si="3"/>
        <v>0.10000000000000142</v>
      </c>
      <c r="AN24" s="23">
        <v>28.21960773581463</v>
      </c>
      <c r="AO24" s="23">
        <f t="shared" si="6"/>
        <v>31.152941176470591</v>
      </c>
      <c r="AP24" s="23">
        <f t="shared" si="5"/>
        <v>2.9333334406559608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>
        <v>34.1</v>
      </c>
      <c r="P25" s="63">
        <v>36.200000000000003</v>
      </c>
      <c r="Q25" s="63">
        <v>34.1</v>
      </c>
      <c r="R25" s="63">
        <v>34.6</v>
      </c>
      <c r="S25" s="63">
        <v>35.200000000000003</v>
      </c>
      <c r="T25" s="63">
        <v>34.6</v>
      </c>
      <c r="U25" s="63">
        <v>35</v>
      </c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35</v>
      </c>
      <c r="AK25" s="21">
        <f t="shared" si="2"/>
        <v>36.200000000000003</v>
      </c>
      <c r="AL25" s="22">
        <v>36.799999999999997</v>
      </c>
      <c r="AM25" s="23">
        <f t="shared" si="3"/>
        <v>-0.59999999999999432</v>
      </c>
      <c r="AN25" s="23">
        <v>30.83648877941982</v>
      </c>
      <c r="AO25" s="23">
        <f t="shared" si="6"/>
        <v>34.170588235294126</v>
      </c>
      <c r="AP25" s="23">
        <f t="shared" si="5"/>
        <v>3.3340994558743056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>
        <v>20.6</v>
      </c>
      <c r="P26" s="63">
        <v>21.7</v>
      </c>
      <c r="Q26" s="63">
        <v>20.6</v>
      </c>
      <c r="R26" s="63">
        <v>21.3</v>
      </c>
      <c r="S26" s="63">
        <v>20.5</v>
      </c>
      <c r="T26" s="63">
        <v>20.9</v>
      </c>
      <c r="U26" s="63">
        <v>19.7</v>
      </c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19.7</v>
      </c>
      <c r="AK26" s="21">
        <f t="shared" si="2"/>
        <v>21.7</v>
      </c>
      <c r="AL26" s="22">
        <v>23.3</v>
      </c>
      <c r="AM26" s="23">
        <f t="shared" si="3"/>
        <v>-1.6000000000000014</v>
      </c>
      <c r="AN26" s="23">
        <v>19.205027672249159</v>
      </c>
      <c r="AO26" s="23">
        <f t="shared" si="6"/>
        <v>20.211764705882352</v>
      </c>
      <c r="AP26" s="23">
        <f t="shared" si="5"/>
        <v>1.0067370336331933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>
        <v>21</v>
      </c>
      <c r="P27" s="63">
        <v>23</v>
      </c>
      <c r="Q27" s="63">
        <v>20</v>
      </c>
      <c r="R27" s="63">
        <v>21.8</v>
      </c>
      <c r="S27" s="63">
        <v>21.2</v>
      </c>
      <c r="T27" s="63">
        <v>20.8</v>
      </c>
      <c r="U27" s="63">
        <v>20.6</v>
      </c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20.6</v>
      </c>
      <c r="AK27" s="21">
        <f t="shared" si="2"/>
        <v>23</v>
      </c>
      <c r="AL27" s="22">
        <v>23.4</v>
      </c>
      <c r="AM27" s="23">
        <f t="shared" si="3"/>
        <v>-0.39999999999999858</v>
      </c>
      <c r="AN27" s="23">
        <v>18.093990147783249</v>
      </c>
      <c r="AO27" s="23">
        <f t="shared" si="6"/>
        <v>20.588235294117652</v>
      </c>
      <c r="AP27" s="23">
        <f t="shared" si="5"/>
        <v>2.4942451463344035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>
        <v>30.7</v>
      </c>
      <c r="P28" s="63">
        <v>34.6</v>
      </c>
      <c r="Q28" s="63">
        <v>30.7</v>
      </c>
      <c r="R28" s="63">
        <v>34.200000000000003</v>
      </c>
      <c r="S28" s="63">
        <v>34.799999999999997</v>
      </c>
      <c r="T28" s="63">
        <v>33.299999999999997</v>
      </c>
      <c r="U28" s="63">
        <v>36.799999999999997</v>
      </c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36.799999999999997</v>
      </c>
      <c r="AK28" s="21">
        <f t="shared" si="2"/>
        <v>36.799999999999997</v>
      </c>
      <c r="AL28" s="22">
        <v>35.1</v>
      </c>
      <c r="AM28" s="23">
        <f t="shared" si="3"/>
        <v>1.6999999999999957</v>
      </c>
      <c r="AN28" s="23">
        <v>30.640448440448441</v>
      </c>
      <c r="AO28" s="23">
        <f t="shared" si="6"/>
        <v>33.558823529411768</v>
      </c>
      <c r="AP28" s="23">
        <f t="shared" si="5"/>
        <v>2.9183750889633266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>
        <v>35</v>
      </c>
      <c r="P30" s="63">
        <v>36.299999999999997</v>
      </c>
      <c r="Q30" s="63">
        <v>35</v>
      </c>
      <c r="R30" s="63">
        <v>38.299999999999997</v>
      </c>
      <c r="S30" s="63">
        <v>39</v>
      </c>
      <c r="T30" s="63">
        <v>36.6</v>
      </c>
      <c r="U30" s="63">
        <v>36.6</v>
      </c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36.6</v>
      </c>
      <c r="AK30" s="21">
        <f t="shared" si="2"/>
        <v>39</v>
      </c>
      <c r="AL30" s="22">
        <v>40.5</v>
      </c>
      <c r="AM30" s="23">
        <f t="shared" si="3"/>
        <v>-1.5</v>
      </c>
      <c r="AN30" s="23">
        <v>34.911888888888889</v>
      </c>
      <c r="AO30" s="23">
        <f t="shared" si="6"/>
        <v>36.711764705882359</v>
      </c>
      <c r="AP30" s="23">
        <f t="shared" si="5"/>
        <v>1.7998758169934703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>
        <v>28.2</v>
      </c>
      <c r="P31" s="63">
        <v>28</v>
      </c>
      <c r="Q31" s="63">
        <v>28.2</v>
      </c>
      <c r="R31" s="63">
        <v>28.2</v>
      </c>
      <c r="S31" s="63">
        <v>27.8</v>
      </c>
      <c r="T31" s="63">
        <v>28.5</v>
      </c>
      <c r="U31" s="63">
        <v>28</v>
      </c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28</v>
      </c>
      <c r="AK31" s="21">
        <f t="shared" si="2"/>
        <v>29.8</v>
      </c>
      <c r="AL31" s="22">
        <v>31.2</v>
      </c>
      <c r="AM31" s="23">
        <f t="shared" si="3"/>
        <v>-1.3999999999999986</v>
      </c>
      <c r="AN31" s="23">
        <v>25.982387369533619</v>
      </c>
      <c r="AO31" s="23">
        <f t="shared" si="6"/>
        <v>28.070588235294117</v>
      </c>
      <c r="AP31" s="23">
        <f t="shared" si="5"/>
        <v>2.0882008657604985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>
        <v>18.2</v>
      </c>
      <c r="P32" s="63">
        <v>19</v>
      </c>
      <c r="Q32" s="63">
        <v>18</v>
      </c>
      <c r="R32" s="63">
        <v>17.600000000000001</v>
      </c>
      <c r="S32" s="63">
        <v>18.399999999999999</v>
      </c>
      <c r="T32" s="63">
        <v>18.600000000000001</v>
      </c>
      <c r="U32" s="63">
        <v>19.600000000000001</v>
      </c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19.600000000000001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>
        <f t="shared" si="6"/>
        <v>18.635294117647064</v>
      </c>
      <c r="AP32" s="23">
        <f t="shared" si="5"/>
        <v>1.2990708154555932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>
        <v>16.8</v>
      </c>
      <c r="P33" s="63">
        <v>17.399999999999999</v>
      </c>
      <c r="Q33" s="63">
        <v>16.8</v>
      </c>
      <c r="R33" s="63">
        <v>16.600000000000001</v>
      </c>
      <c r="S33" s="63">
        <v>15.6</v>
      </c>
      <c r="T33" s="63">
        <v>16.2</v>
      </c>
      <c r="U33" s="63">
        <v>15.8</v>
      </c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15.8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>
        <f t="shared" si="6"/>
        <v>16.647058823529417</v>
      </c>
      <c r="AP33" s="23">
        <f t="shared" si="5"/>
        <v>0.71674911727143709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>
        <v>29.2</v>
      </c>
      <c r="P35" s="63">
        <v>34.200000000000003</v>
      </c>
      <c r="Q35" s="63">
        <v>29.2</v>
      </c>
      <c r="R35" s="63">
        <v>32.200000000000003</v>
      </c>
      <c r="S35" s="63">
        <v>30.4</v>
      </c>
      <c r="T35" s="63">
        <v>31.2</v>
      </c>
      <c r="U35" s="63">
        <v>34</v>
      </c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34</v>
      </c>
      <c r="AK35" s="21">
        <f t="shared" si="2"/>
        <v>34.200000000000003</v>
      </c>
      <c r="AL35" s="22">
        <v>35.200000000000003</v>
      </c>
      <c r="AM35" s="23">
        <f t="shared" si="3"/>
        <v>-1</v>
      </c>
      <c r="AN35" s="23">
        <v>30.947113847837979</v>
      </c>
      <c r="AO35" s="23">
        <f>IF(COUNTIF(E35:AI35,"&gt;0")&gt;=15,AVERAGE(E35:AI35),"")</f>
        <v>31.941176470588228</v>
      </c>
      <c r="AP35" s="23">
        <f t="shared" si="5"/>
        <v>0.99406262275024915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>
        <v>32.9</v>
      </c>
      <c r="P38" s="63">
        <v>31.8</v>
      </c>
      <c r="Q38" s="63">
        <v>32.9</v>
      </c>
      <c r="R38" s="63">
        <v>32.9</v>
      </c>
      <c r="S38" s="63">
        <v>32.6</v>
      </c>
      <c r="T38" s="63">
        <v>32.200000000000003</v>
      </c>
      <c r="U38" s="63">
        <v>32.5</v>
      </c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32.5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>
        <f>IF(COUNTIF(E38:AI38,"&gt;0")&gt;=15,AVERAGE(E38:AI38),"")</f>
        <v>32.847058823529409</v>
      </c>
      <c r="AP38" s="23">
        <f t="shared" si="5"/>
        <v>1.1755873767131284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>
        <v>34.4</v>
      </c>
      <c r="P39" s="63">
        <v>34.200000000000003</v>
      </c>
      <c r="Q39" s="63">
        <v>34.4</v>
      </c>
      <c r="R39" s="63">
        <v>34.799999999999997</v>
      </c>
      <c r="S39" s="63">
        <v>33.6</v>
      </c>
      <c r="T39" s="63">
        <v>32.4</v>
      </c>
      <c r="U39" s="63">
        <v>33</v>
      </c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33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>
        <f t="shared" ref="AO39:AO48" si="8">IF(COUNTIF(E39:AI39,"&gt;0")&gt;=15,AVERAGE(E39:AI39),"")</f>
        <v>33.747058823529407</v>
      </c>
      <c r="AP39" s="23">
        <f t="shared" si="5"/>
        <v>1.0621955655032451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>
        <v>32.1</v>
      </c>
      <c r="P40" s="63">
        <v>31.4</v>
      </c>
      <c r="Q40" s="63">
        <v>32.1</v>
      </c>
      <c r="R40" s="63">
        <v>33.200000000000003</v>
      </c>
      <c r="S40" s="63">
        <v>32.200000000000003</v>
      </c>
      <c r="T40" s="63">
        <v>32.299999999999997</v>
      </c>
      <c r="U40" s="63">
        <v>31.9</v>
      </c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31.9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>
        <f t="shared" si="8"/>
        <v>31.929411764705886</v>
      </c>
      <c r="AP40" s="23">
        <f t="shared" si="5"/>
        <v>1.1304298271032565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>
        <v>27.2</v>
      </c>
      <c r="P41" s="63">
        <v>32</v>
      </c>
      <c r="Q41" s="63">
        <v>29.8</v>
      </c>
      <c r="R41" s="63">
        <v>32.6</v>
      </c>
      <c r="S41" s="63">
        <v>32</v>
      </c>
      <c r="T41" s="63">
        <v>31.8</v>
      </c>
      <c r="U41" s="63">
        <v>32.4</v>
      </c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32.4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>
        <f t="shared" si="8"/>
        <v>31.494117647058829</v>
      </c>
      <c r="AP41" s="23">
        <f t="shared" si="5"/>
        <v>0.87860204771563843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>
        <v>31.6</v>
      </c>
      <c r="P43" s="63">
        <v>32.6</v>
      </c>
      <c r="Q43" s="63">
        <v>32</v>
      </c>
      <c r="R43" s="63">
        <v>34</v>
      </c>
      <c r="S43" s="63">
        <v>31.2</v>
      </c>
      <c r="T43" s="63">
        <v>30.4</v>
      </c>
      <c r="U43" s="63">
        <v>32.799999999999997</v>
      </c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32.799999999999997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>
        <f t="shared" si="8"/>
        <v>32.44705882352941</v>
      </c>
      <c r="AP43" s="23">
        <f t="shared" si="5"/>
        <v>0.45575475975984858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>
        <v>33.200000000000003</v>
      </c>
      <c r="P44" s="29">
        <v>32.200000000000003</v>
      </c>
      <c r="Q44" s="29">
        <v>32.1</v>
      </c>
      <c r="R44" s="29">
        <v>32.4</v>
      </c>
      <c r="S44" s="29">
        <v>30.3</v>
      </c>
      <c r="T44" s="29">
        <v>31.2</v>
      </c>
      <c r="U44" s="29">
        <v>32</v>
      </c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32</v>
      </c>
      <c r="AK44" s="21">
        <f t="shared" si="2"/>
        <v>33.200000000000003</v>
      </c>
      <c r="AL44" s="22">
        <v>34.799999999999997</v>
      </c>
      <c r="AM44" s="23">
        <f t="shared" si="3"/>
        <v>-1.5999999999999943</v>
      </c>
      <c r="AN44" s="23">
        <v>31.099937562083159</v>
      </c>
      <c r="AO44" s="23">
        <f t="shared" si="8"/>
        <v>31.529411764705884</v>
      </c>
      <c r="AP44" s="23">
        <f t="shared" si="5"/>
        <v>0.42947420262272473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>
        <v>32.6</v>
      </c>
      <c r="P45" s="63">
        <v>32.799999999999997</v>
      </c>
      <c r="Q45" s="63">
        <v>30.4</v>
      </c>
      <c r="R45" s="63">
        <v>32.6</v>
      </c>
      <c r="S45" s="63">
        <v>33.200000000000003</v>
      </c>
      <c r="T45" s="63">
        <v>31.6</v>
      </c>
      <c r="U45" s="63">
        <v>33.200000000000003</v>
      </c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33.200000000000003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>
        <f t="shared" si="8"/>
        <v>32.27058823529412</v>
      </c>
      <c r="AP45" s="23">
        <f t="shared" si="5"/>
        <v>0.79235777282336883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>
        <v>31.5</v>
      </c>
      <c r="P48" s="63">
        <v>31</v>
      </c>
      <c r="Q48" s="63">
        <v>31.5</v>
      </c>
      <c r="R48" s="63">
        <v>27.2</v>
      </c>
      <c r="S48" s="63">
        <v>29.4</v>
      </c>
      <c r="T48" s="63">
        <v>32.9</v>
      </c>
      <c r="U48" s="63">
        <v>27.7</v>
      </c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27.7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>
        <f t="shared" si="8"/>
        <v>31.911764705882351</v>
      </c>
      <c r="AP48" s="23">
        <f t="shared" si="5"/>
        <v>-7.6679149113218159E-2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2026-09-18T13:57:49Z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