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8346A825-5932-4C6B-9976-87D861BDC40B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M22" i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<sst xmlns="http://schemas.openxmlformats.org/spreadsheetml/2006/main" count="603" uniqueCount="272">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</sst>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5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1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W20" activePane="bottomRight" state="frozen"/>
      <selection pane="topRight" activeCell="E1" sqref="E1"/>
      <selection pane="bottomLeft" activeCell="A4" sqref="A4"/>
      <selection pane="bottomRight" activeCell="AK51" sqref="AK51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>
        <v>31.5</v>
      </c>
      <c r="P5" s="63">
        <v>32</v>
      </c>
      <c r="Q5" s="63">
        <v>32.299999999999997</v>
      </c>
      <c r="R5" s="63">
        <v>32.799999999999997</v>
      </c>
      <c r="S5" s="63">
        <v>32</v>
      </c>
      <c r="T5" s="63">
        <v>32.6</v>
      </c>
      <c r="U5" s="63">
        <v>30.4</v>
      </c>
      <c r="V5" s="63">
        <v>29.3</v>
      </c>
      <c r="W5" s="63">
        <v>31.7</v>
      </c>
      <c r="X5" s="63">
        <v>32.1</v>
      </c>
      <c r="Y5" s="63">
        <v>32.5</v>
      </c>
      <c r="Z5" s="63">
        <v>32.200000000000003</v>
      </c>
      <c r="AA5" s="63">
        <v>31.4</v>
      </c>
      <c r="AB5" s="63">
        <v>30.6</v>
      </c>
      <c r="AC5" s="63">
        <v>31.6</v>
      </c>
      <c r="AD5" s="63">
        <v>32</v>
      </c>
      <c r="AE5" s="63">
        <v>31.7</v>
      </c>
      <c r="AF5" s="63">
        <v>31.9</v>
      </c>
      <c r="AG5" s="63">
        <v>32</v>
      </c>
      <c r="AH5" s="63">
        <v>31.9</v>
      </c>
      <c r="AI5" s="63">
        <v>31.8</v>
      </c>
      <c r="AJ5" s="36">
        <f>+IF(SUM($E5:$AI5)&gt;0,LOOKUP(1000,$E5:$AI5),NA())</f>
        <v>31.8</v>
      </c>
      <c r="AK5" s="21">
        <f>+MAX($E5:$AI5)</f>
        <v>32.799999999999997</v>
      </c>
      <c r="AL5" s="22">
        <v>33.1</v>
      </c>
      <c r="AM5" s="23">
        <f>IF(AK5&gt;0,$AK5-$AL5,"")</f>
        <v>-0.30000000000000426</v>
      </c>
      <c r="AN5" s="23">
        <v>30.51594346942419</v>
      </c>
      <c r="AO5" s="23">
        <f>IF(COUNTIF(E5:AI5,"&gt;0")&gt;=15,AVERAGE(E5:AI5),"")</f>
        <v>31.674193548387098</v>
      </c>
      <c r="AP5" s="23">
        <f>IF(AN5&gt;0,IFERROR(AO5-AN5,""),"")</f>
        <v>1.158250078962908</v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>
        <v>32.700000000000003</v>
      </c>
      <c r="P6" s="63">
        <v>32</v>
      </c>
      <c r="Q6" s="63">
        <v>32.700000000000003</v>
      </c>
      <c r="R6" s="63">
        <v>32.6</v>
      </c>
      <c r="S6" s="63">
        <v>32.700000000000003</v>
      </c>
      <c r="T6" s="63">
        <v>32</v>
      </c>
      <c r="U6" s="63">
        <v>31.4</v>
      </c>
      <c r="V6" s="63">
        <v>30.2</v>
      </c>
      <c r="W6" s="63">
        <v>31.4</v>
      </c>
      <c r="X6" s="63">
        <v>31.6</v>
      </c>
      <c r="Y6" s="63">
        <v>31.9</v>
      </c>
      <c r="Z6" s="63">
        <v>32.200000000000003</v>
      </c>
      <c r="AA6" s="63">
        <v>32.200000000000003</v>
      </c>
      <c r="AB6" s="63">
        <v>30.6</v>
      </c>
      <c r="AC6" s="63">
        <v>31.7</v>
      </c>
      <c r="AD6" s="63">
        <v>31.6</v>
      </c>
      <c r="AE6" s="63">
        <v>32.1</v>
      </c>
      <c r="AF6" s="63">
        <v>31.6</v>
      </c>
      <c r="AG6" s="63">
        <v>32.200000000000003</v>
      </c>
      <c r="AH6" s="63">
        <v>32</v>
      </c>
      <c r="AI6" s="63">
        <v>32.700000000000003</v>
      </c>
      <c r="AJ6" s="36">
        <f t="shared" ref="AJ6:AJ48" si="0">+IF(SUM($E6:$AI6)&gt;0,LOOKUP(1000,$E6:$AI6),NA())</f>
        <v>32.700000000000003</v>
      </c>
      <c r="AK6" s="21">
        <f t="shared" ref="AK6:AK48" si="1">+MAX($E6:$AI6)</f>
        <v>32.700000000000003</v>
      </c>
      <c r="AL6" s="22">
        <v>33.4</v>
      </c>
      <c r="AM6" s="23">
        <f t="shared" ref="AM6:AM48" si="2">IF(AK6&gt;0,$AK6-$AL6,"")</f>
        <v>-0.69999999999999574</v>
      </c>
      <c r="AN6" s="23">
        <v>31.046424304488809</v>
      </c>
      <c r="AO6" s="23">
        <f t="shared" ref="AO6:AO15" si="3">IF(COUNTIF(E6:AI6,"&gt;0")&gt;=15,AVERAGE(E6:AI6),"")</f>
        <v>31.783870967741944</v>
      </c>
      <c r="AP6" s="23">
        <f t="shared" ref="AP6:AP48" si="4">IF(AN6&gt;0,IFERROR(AO6-AN6,""),"")</f>
        <v>0.73744666325313446</v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63">
        <v>37.799999999999997</v>
      </c>
      <c r="P7" s="63">
        <v>35.4</v>
      </c>
      <c r="Q7" s="63">
        <v>33.799999999999997</v>
      </c>
      <c r="R7" s="63">
        <v>35.799999999999997</v>
      </c>
      <c r="S7" s="63">
        <v>36.4</v>
      </c>
      <c r="T7" s="63">
        <v>35</v>
      </c>
      <c r="U7" s="63">
        <v>30.2</v>
      </c>
      <c r="V7" s="63">
        <v>31.8</v>
      </c>
      <c r="W7" s="63">
        <v>35</v>
      </c>
      <c r="X7" s="63">
        <v>36.4</v>
      </c>
      <c r="Y7" s="67">
        <v>39.6</v>
      </c>
      <c r="Z7" s="63">
        <v>34</v>
      </c>
      <c r="AA7" s="63">
        <v>33.799999999999997</v>
      </c>
      <c r="AB7" s="63">
        <v>33</v>
      </c>
      <c r="AC7" s="63">
        <v>35.200000000000003</v>
      </c>
      <c r="AD7" s="63">
        <v>35</v>
      </c>
      <c r="AE7" s="63">
        <v>36.799999999999997</v>
      </c>
      <c r="AF7" s="63">
        <v>36.1</v>
      </c>
      <c r="AG7" s="63">
        <v>36.799999999999997</v>
      </c>
      <c r="AH7" s="63">
        <v>33.6</v>
      </c>
      <c r="AI7" s="63">
        <v>33.6</v>
      </c>
      <c r="AJ7" s="36">
        <f t="shared" si="0"/>
        <v>33.6</v>
      </c>
      <c r="AK7" s="21">
        <f t="shared" si="1"/>
        <v>39.6</v>
      </c>
      <c r="AL7" s="22">
        <v>38.4</v>
      </c>
      <c r="AM7" s="23">
        <f t="shared" si="2"/>
        <v>1.2000000000000028</v>
      </c>
      <c r="AN7" s="23">
        <v>33.115285708400279</v>
      </c>
      <c r="AO7" s="23">
        <f t="shared" si="3"/>
        <v>35.196774193548386</v>
      </c>
      <c r="AP7" s="23">
        <f t="shared" si="4"/>
        <v>2.0814884851481068</v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63">
        <v>33.9</v>
      </c>
      <c r="P8" s="63">
        <v>33.799999999999997</v>
      </c>
      <c r="Q8" s="63">
        <v>33.799999999999997</v>
      </c>
      <c r="R8" s="63">
        <v>33.6</v>
      </c>
      <c r="S8" s="63">
        <v>34</v>
      </c>
      <c r="T8" s="63">
        <v>35.1</v>
      </c>
      <c r="U8" s="63">
        <v>30.8</v>
      </c>
      <c r="V8" s="63">
        <v>33.200000000000003</v>
      </c>
      <c r="W8" s="63">
        <v>32.9</v>
      </c>
      <c r="X8" s="63">
        <v>33.299999999999997</v>
      </c>
      <c r="Y8" s="63">
        <v>34.6</v>
      </c>
      <c r="Z8" s="63">
        <v>32.1</v>
      </c>
      <c r="AA8" s="63">
        <v>34.1</v>
      </c>
      <c r="AB8" s="63">
        <v>32.799999999999997</v>
      </c>
      <c r="AC8" s="63">
        <v>33.799999999999997</v>
      </c>
      <c r="AD8" s="63">
        <v>33.799999999999997</v>
      </c>
      <c r="AE8" s="63">
        <v>34.5</v>
      </c>
      <c r="AF8" s="63">
        <v>35</v>
      </c>
      <c r="AG8" s="63">
        <v>34.200000000000003</v>
      </c>
      <c r="AH8" s="63">
        <v>33.5</v>
      </c>
      <c r="AI8" s="63">
        <v>31</v>
      </c>
      <c r="AJ8" s="36">
        <f t="shared" si="0"/>
        <v>31</v>
      </c>
      <c r="AK8" s="21">
        <f t="shared" si="1"/>
        <v>35.1</v>
      </c>
      <c r="AL8" s="22">
        <v>36.9</v>
      </c>
      <c r="AM8" s="23">
        <f t="shared" si="2"/>
        <v>-1.7999999999999972</v>
      </c>
      <c r="AN8" s="23">
        <v>32.243805889046577</v>
      </c>
      <c r="AO8" s="23">
        <f t="shared" si="3"/>
        <v>33.532258064516128</v>
      </c>
      <c r="AP8" s="23">
        <f t="shared" si="4"/>
        <v>1.2884521754695513</v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63">
        <v>34.9</v>
      </c>
      <c r="P9" s="63">
        <v>37.700000000000003</v>
      </c>
      <c r="Q9" s="63">
        <v>36.700000000000003</v>
      </c>
      <c r="R9" s="63">
        <v>33.6</v>
      </c>
      <c r="S9" s="63">
        <v>34.5</v>
      </c>
      <c r="T9" s="63">
        <v>36.9</v>
      </c>
      <c r="U9" s="63">
        <v>31</v>
      </c>
      <c r="V9" s="63">
        <v>33</v>
      </c>
      <c r="W9" s="63">
        <v>34.799999999999997</v>
      </c>
      <c r="X9" s="63">
        <v>37.200000000000003</v>
      </c>
      <c r="Y9" s="63">
        <v>38</v>
      </c>
      <c r="Z9" s="63">
        <v>32.4</v>
      </c>
      <c r="AA9" s="63">
        <v>36.299999999999997</v>
      </c>
      <c r="AB9" s="63">
        <v>35.9</v>
      </c>
      <c r="AC9" s="63">
        <v>34.9</v>
      </c>
      <c r="AD9" s="63">
        <v>34.700000000000003</v>
      </c>
      <c r="AE9" s="63">
        <v>35.6</v>
      </c>
      <c r="AF9" s="63">
        <v>33.6</v>
      </c>
      <c r="AG9" s="63">
        <v>34.799999999999997</v>
      </c>
      <c r="AH9" s="63">
        <v>34.1</v>
      </c>
      <c r="AI9" s="63">
        <v>31.6</v>
      </c>
      <c r="AJ9" s="36">
        <f t="shared" si="0"/>
        <v>31.6</v>
      </c>
      <c r="AK9" s="21">
        <f t="shared" si="1"/>
        <v>38</v>
      </c>
      <c r="AL9" s="22">
        <v>38.700000000000003</v>
      </c>
      <c r="AM9" s="23">
        <f t="shared" si="2"/>
        <v>-0.70000000000000284</v>
      </c>
      <c r="AN9" s="23">
        <v>33.507160697070823</v>
      </c>
      <c r="AO9" s="23">
        <f t="shared" si="3"/>
        <v>34.79677419354838</v>
      </c>
      <c r="AP9" s="23">
        <f t="shared" si="4"/>
        <v>1.289613496477557</v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63">
        <v>37.9</v>
      </c>
      <c r="P10" s="63">
        <v>37.9</v>
      </c>
      <c r="Q10" s="63">
        <v>38.5</v>
      </c>
      <c r="R10" s="63">
        <v>37.1</v>
      </c>
      <c r="S10" s="63">
        <v>36.6</v>
      </c>
      <c r="T10" s="63">
        <v>38</v>
      </c>
      <c r="U10" s="63">
        <v>36.200000000000003</v>
      </c>
      <c r="V10" s="63">
        <v>35.5</v>
      </c>
      <c r="W10" s="63">
        <v>37.799999999999997</v>
      </c>
      <c r="X10" s="63">
        <v>38.299999999999997</v>
      </c>
      <c r="Y10" s="63">
        <v>37</v>
      </c>
      <c r="Z10" s="63">
        <v>34.5</v>
      </c>
      <c r="AA10" s="63">
        <v>36.200000000000003</v>
      </c>
      <c r="AB10" s="63">
        <v>37.700000000000003</v>
      </c>
      <c r="AC10" s="63">
        <v>37.4</v>
      </c>
      <c r="AD10" s="63">
        <v>37.200000000000003</v>
      </c>
      <c r="AE10" s="63">
        <v>36.799999999999997</v>
      </c>
      <c r="AF10" s="63">
        <v>36.799999999999997</v>
      </c>
      <c r="AG10" s="63">
        <v>36.4</v>
      </c>
      <c r="AH10" s="63">
        <v>36</v>
      </c>
      <c r="AI10" s="63">
        <v>33.1</v>
      </c>
      <c r="AJ10" s="36">
        <f t="shared" si="0"/>
        <v>33.1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>
        <f t="shared" si="3"/>
        <v>36.687096774193549</v>
      </c>
      <c r="AP10" s="23">
        <f t="shared" si="4"/>
        <v>1.6491497411389915</v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63">
        <v>42.4</v>
      </c>
      <c r="P11" s="63">
        <v>41.5</v>
      </c>
      <c r="Q11" s="63">
        <v>39</v>
      </c>
      <c r="R11" s="63">
        <v>39.200000000000003</v>
      </c>
      <c r="S11" s="63">
        <v>38.200000000000003</v>
      </c>
      <c r="T11" s="63">
        <v>38.799999999999997</v>
      </c>
      <c r="U11" s="63">
        <v>38.200000000000003</v>
      </c>
      <c r="V11" s="63">
        <v>38.200000000000003</v>
      </c>
      <c r="W11" s="63">
        <v>38.4</v>
      </c>
      <c r="X11" s="63">
        <v>39.4</v>
      </c>
      <c r="Y11" s="63">
        <v>39.5</v>
      </c>
      <c r="Z11" s="63">
        <v>38.299999999999997</v>
      </c>
      <c r="AA11" s="63">
        <v>37.799999999999997</v>
      </c>
      <c r="AB11" s="63">
        <v>38.6</v>
      </c>
      <c r="AC11" s="63">
        <v>39.200000000000003</v>
      </c>
      <c r="AD11" s="63">
        <v>39.700000000000003</v>
      </c>
      <c r="AE11" s="63">
        <v>39.200000000000003</v>
      </c>
      <c r="AF11" s="63">
        <v>40.9</v>
      </c>
      <c r="AG11" s="63">
        <v>38.6</v>
      </c>
      <c r="AH11" s="63">
        <v>37.200000000000003</v>
      </c>
      <c r="AI11" s="63">
        <v>35.200000000000003</v>
      </c>
      <c r="AJ11" s="36">
        <f t="shared" si="0"/>
        <v>35.200000000000003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>
        <f t="shared" si="3"/>
        <v>39.041935483870972</v>
      </c>
      <c r="AP11" s="23">
        <f t="shared" si="4"/>
        <v>3.8624731182795742</v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63">
        <v>37</v>
      </c>
      <c r="P12" s="63">
        <v>36.200000000000003</v>
      </c>
      <c r="Q12" s="63">
        <v>34.799999999999997</v>
      </c>
      <c r="R12" s="63">
        <v>36</v>
      </c>
      <c r="S12" s="63">
        <v>35.6</v>
      </c>
      <c r="T12" s="63">
        <v>34.200000000000003</v>
      </c>
      <c r="U12" s="63">
        <v>31.2</v>
      </c>
      <c r="V12" s="63">
        <v>30.6</v>
      </c>
      <c r="W12" s="63">
        <v>35.200000000000003</v>
      </c>
      <c r="X12" s="63">
        <v>36.4</v>
      </c>
      <c r="Y12" s="63">
        <v>36</v>
      </c>
      <c r="Z12" s="63">
        <v>32.4</v>
      </c>
      <c r="AA12" s="63">
        <v>35</v>
      </c>
      <c r="AB12" s="63">
        <v>34.4</v>
      </c>
      <c r="AC12" s="63">
        <v>35.6</v>
      </c>
      <c r="AD12" s="63">
        <v>33.4</v>
      </c>
      <c r="AE12" s="63">
        <v>35</v>
      </c>
      <c r="AF12" s="63">
        <v>34.4</v>
      </c>
      <c r="AG12" s="63">
        <v>34.200000000000003</v>
      </c>
      <c r="AH12" s="63">
        <v>33</v>
      </c>
      <c r="AI12" s="63">
        <v>29</v>
      </c>
      <c r="AJ12" s="36">
        <f t="shared" si="0"/>
        <v>29</v>
      </c>
      <c r="AK12" s="21">
        <f t="shared" si="1"/>
        <v>37</v>
      </c>
      <c r="AL12" s="22">
        <v>37.4</v>
      </c>
      <c r="AM12" s="23">
        <f t="shared" si="2"/>
        <v>-0.39999999999999858</v>
      </c>
      <c r="AN12" s="23">
        <v>32.131914371977928</v>
      </c>
      <c r="AO12" s="23">
        <f t="shared" si="3"/>
        <v>34.361290322580651</v>
      </c>
      <c r="AP12" s="23">
        <f t="shared" si="4"/>
        <v>2.2293759506027229</v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63">
        <v>37.4</v>
      </c>
      <c r="P13" s="63">
        <v>37</v>
      </c>
      <c r="Q13" s="63">
        <v>36</v>
      </c>
      <c r="R13" s="63">
        <v>36.6</v>
      </c>
      <c r="S13" s="63">
        <v>37.4</v>
      </c>
      <c r="T13" s="63">
        <v>35</v>
      </c>
      <c r="U13" s="63">
        <v>32.6</v>
      </c>
      <c r="V13" s="63">
        <v>32.200000000000003</v>
      </c>
      <c r="W13" s="63">
        <v>36</v>
      </c>
      <c r="X13" s="63">
        <v>37</v>
      </c>
      <c r="Y13" s="63">
        <v>36.6</v>
      </c>
      <c r="Z13" s="63">
        <v>33.6</v>
      </c>
      <c r="AA13" s="63">
        <v>35.6</v>
      </c>
      <c r="AB13" s="63">
        <v>35</v>
      </c>
      <c r="AC13" s="63">
        <v>36.4</v>
      </c>
      <c r="AD13" s="63">
        <v>36</v>
      </c>
      <c r="AE13" s="63">
        <v>36.4</v>
      </c>
      <c r="AF13" s="63">
        <v>35.6</v>
      </c>
      <c r="AG13" s="63">
        <v>34.799999999999997</v>
      </c>
      <c r="AH13" s="63">
        <v>34</v>
      </c>
      <c r="AI13" s="63">
        <v>32</v>
      </c>
      <c r="AJ13" s="36">
        <f t="shared" si="0"/>
        <v>32</v>
      </c>
      <c r="AK13" s="21">
        <f t="shared" si="1"/>
        <v>37.4</v>
      </c>
      <c r="AL13" s="22">
        <v>38.200000000000003</v>
      </c>
      <c r="AM13" s="23">
        <f t="shared" si="2"/>
        <v>-0.80000000000000426</v>
      </c>
      <c r="AN13" s="23">
        <v>32.923758320532507</v>
      </c>
      <c r="AO13" s="23">
        <f t="shared" si="3"/>
        <v>35.258064516129039</v>
      </c>
      <c r="AP13" s="23">
        <f t="shared" si="4"/>
        <v>2.3343061955965325</v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63">
        <v>37.1</v>
      </c>
      <c r="P14" s="63">
        <v>37</v>
      </c>
      <c r="Q14" s="63">
        <v>34.9</v>
      </c>
      <c r="R14" s="63">
        <v>35.5</v>
      </c>
      <c r="S14" s="63">
        <v>35.799999999999997</v>
      </c>
      <c r="T14" s="63">
        <v>33.299999999999997</v>
      </c>
      <c r="U14" s="63">
        <v>30.1</v>
      </c>
      <c r="V14" s="63">
        <v>32.4</v>
      </c>
      <c r="W14" s="63">
        <v>36</v>
      </c>
      <c r="X14" s="63">
        <v>35.200000000000003</v>
      </c>
      <c r="Y14" s="63">
        <v>36.6</v>
      </c>
      <c r="Z14" s="63">
        <v>31</v>
      </c>
      <c r="AA14" s="63">
        <v>35.700000000000003</v>
      </c>
      <c r="AB14" s="63">
        <v>34.700000000000003</v>
      </c>
      <c r="AC14" s="63">
        <v>36.200000000000003</v>
      </c>
      <c r="AD14" s="63">
        <v>35</v>
      </c>
      <c r="AE14" s="63">
        <v>36.6</v>
      </c>
      <c r="AF14" s="63">
        <v>35</v>
      </c>
      <c r="AG14" s="63">
        <v>34.9</v>
      </c>
      <c r="AH14" s="63">
        <v>35</v>
      </c>
      <c r="AI14" s="63">
        <v>31.1</v>
      </c>
      <c r="AJ14" s="36">
        <f t="shared" si="0"/>
        <v>31.1</v>
      </c>
      <c r="AK14" s="21">
        <f t="shared" si="1"/>
        <v>37.1</v>
      </c>
      <c r="AL14" s="22">
        <v>36.9</v>
      </c>
      <c r="AM14" s="23">
        <f t="shared" si="2"/>
        <v>0.20000000000000284</v>
      </c>
      <c r="AN14" s="23">
        <v>33.065084280874721</v>
      </c>
      <c r="AO14" s="23">
        <f t="shared" si="3"/>
        <v>34.6</v>
      </c>
      <c r="AP14" s="23">
        <f t="shared" si="4"/>
        <v>1.53491571912528</v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63">
        <v>34.299999999999997</v>
      </c>
      <c r="P15" s="63">
        <v>32.6</v>
      </c>
      <c r="Q15" s="63">
        <v>33.200000000000003</v>
      </c>
      <c r="R15" s="63">
        <v>32.5</v>
      </c>
      <c r="S15" s="63">
        <v>32.4</v>
      </c>
      <c r="T15" s="63">
        <v>32</v>
      </c>
      <c r="U15" s="63">
        <v>27.9</v>
      </c>
      <c r="V15" s="63">
        <v>31.3</v>
      </c>
      <c r="W15" s="63">
        <v>34.700000000000003</v>
      </c>
      <c r="X15" s="63">
        <v>33.9</v>
      </c>
      <c r="Y15" s="63">
        <v>34.4</v>
      </c>
      <c r="Z15" s="63">
        <v>28.7</v>
      </c>
      <c r="AA15" s="63">
        <v>33.9</v>
      </c>
      <c r="AB15" s="63">
        <v>33.299999999999997</v>
      </c>
      <c r="AC15" s="63">
        <v>33.6</v>
      </c>
      <c r="AD15" s="63">
        <v>31.1</v>
      </c>
      <c r="AE15" s="63">
        <v>32.4</v>
      </c>
      <c r="AF15" s="63">
        <v>30.6</v>
      </c>
      <c r="AG15" s="63">
        <v>32.700000000000003</v>
      </c>
      <c r="AH15" s="63">
        <v>32.9</v>
      </c>
      <c r="AI15" s="63">
        <v>31.3</v>
      </c>
      <c r="AJ15" s="36">
        <f t="shared" si="0"/>
        <v>31.3</v>
      </c>
      <c r="AK15" s="21">
        <f t="shared" si="1"/>
        <v>34.700000000000003</v>
      </c>
      <c r="AL15" s="22">
        <v>35</v>
      </c>
      <c r="AM15" s="23">
        <f t="shared" si="2"/>
        <v>-0.29999999999999716</v>
      </c>
      <c r="AN15" s="23">
        <v>31.919167946748601</v>
      </c>
      <c r="AO15" s="23">
        <f t="shared" si="3"/>
        <v>32.129032258064512</v>
      </c>
      <c r="AP15" s="23">
        <f t="shared" si="4"/>
        <v>0.20986431131591132</v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63">
        <v>38</v>
      </c>
      <c r="P17" s="63">
        <v>37.6</v>
      </c>
      <c r="Q17" s="63">
        <v>37.4</v>
      </c>
      <c r="R17" s="63">
        <v>36</v>
      </c>
      <c r="S17" s="63">
        <v>36.5</v>
      </c>
      <c r="T17" s="63">
        <v>35.5</v>
      </c>
      <c r="U17" s="63">
        <v>33</v>
      </c>
      <c r="V17" s="63">
        <v>32.200000000000003</v>
      </c>
      <c r="W17" s="63">
        <v>34.4</v>
      </c>
      <c r="X17" s="63">
        <v>36</v>
      </c>
      <c r="Y17" s="63">
        <v>34.6</v>
      </c>
      <c r="Z17" s="63">
        <v>32.9</v>
      </c>
      <c r="AA17" s="63">
        <v>32.6</v>
      </c>
      <c r="AB17" s="63">
        <v>35.200000000000003</v>
      </c>
      <c r="AC17" s="63">
        <v>32.6</v>
      </c>
      <c r="AD17" s="63">
        <v>35</v>
      </c>
      <c r="AE17" s="63">
        <v>36.6</v>
      </c>
      <c r="AF17" s="63">
        <v>34.4</v>
      </c>
      <c r="AG17" s="63">
        <v>35.200000000000003</v>
      </c>
      <c r="AH17" s="63">
        <v>34.799999999999997</v>
      </c>
      <c r="AI17" s="63">
        <v>33.799999999999997</v>
      </c>
      <c r="AJ17" s="36">
        <f t="shared" si="0"/>
        <v>33.799999999999997</v>
      </c>
      <c r="AK17" s="21">
        <f t="shared" si="1"/>
        <v>38</v>
      </c>
      <c r="AL17" s="22">
        <v>37.200000000000003</v>
      </c>
      <c r="AM17" s="23">
        <f t="shared" si="2"/>
        <v>0.79999999999999716</v>
      </c>
      <c r="AN17" s="23">
        <v>32.703385242862417</v>
      </c>
      <c r="AO17" s="23">
        <f>IF(COUNTIF(E17:AI17,"&gt;0")&gt;=15,AVERAGE(E17:AI17),"")</f>
        <v>35.129032258064527</v>
      </c>
      <c r="AP17" s="23">
        <f>IF(AN17&gt;0,IFERROR(AO17-AN17,""),"")</f>
        <v>2.4256470152021095</v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63">
        <v>31.4</v>
      </c>
      <c r="P18" s="63">
        <v>31.2</v>
      </c>
      <c r="Q18" s="63">
        <v>30.2</v>
      </c>
      <c r="R18" s="63">
        <v>30.5</v>
      </c>
      <c r="S18" s="63">
        <v>30</v>
      </c>
      <c r="T18" s="63">
        <v>27.5</v>
      </c>
      <c r="U18" s="63">
        <v>26.8</v>
      </c>
      <c r="V18" s="63">
        <v>25.6</v>
      </c>
      <c r="W18" s="63">
        <v>29</v>
      </c>
      <c r="X18" s="63">
        <v>30.3</v>
      </c>
      <c r="Y18" s="63">
        <v>27.6</v>
      </c>
      <c r="Z18" s="63">
        <v>27.4</v>
      </c>
      <c r="AA18" s="63">
        <v>28.7</v>
      </c>
      <c r="AB18" s="63">
        <v>30.2</v>
      </c>
      <c r="AC18" s="63">
        <v>30.2</v>
      </c>
      <c r="AD18" s="63">
        <v>27.6</v>
      </c>
      <c r="AE18" s="63">
        <v>30.1</v>
      </c>
      <c r="AF18" s="63">
        <v>29.4</v>
      </c>
      <c r="AG18" s="63">
        <v>28.1</v>
      </c>
      <c r="AH18" s="63">
        <v>30</v>
      </c>
      <c r="AI18" s="63">
        <v>27.4</v>
      </c>
      <c r="AJ18" s="36">
        <f t="shared" si="0"/>
        <v>27.4</v>
      </c>
      <c r="AK18" s="21">
        <f t="shared" si="1"/>
        <v>31.4</v>
      </c>
      <c r="AL18" s="22">
        <v>30.3</v>
      </c>
      <c r="AM18" s="23">
        <f t="shared" si="2"/>
        <v>1.0999999999999979</v>
      </c>
      <c r="AN18" s="23">
        <v>26.343645559538029</v>
      </c>
      <c r="AO18" s="23">
        <f t="shared" ref="AO18:AO33" si="5">IF(COUNTIF(E18:AI18,"&gt;0")&gt;=15,AVERAGE(E18:AI18),"")</f>
        <v>29.019354838709681</v>
      </c>
      <c r="AP18" s="23">
        <f t="shared" si="4"/>
        <v>2.6757092791716524</v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63">
        <v>35.200000000000003</v>
      </c>
      <c r="P19" s="63">
        <v>37.299999999999997</v>
      </c>
      <c r="Q19" s="63">
        <v>37.6</v>
      </c>
      <c r="R19" s="63">
        <v>35.700000000000003</v>
      </c>
      <c r="S19" s="63">
        <v>34.200000000000003</v>
      </c>
      <c r="T19" s="63">
        <v>35.200000000000003</v>
      </c>
      <c r="U19" s="63">
        <v>35.200000000000003</v>
      </c>
      <c r="V19" s="63">
        <v>35.1</v>
      </c>
      <c r="W19" s="63">
        <v>37.200000000000003</v>
      </c>
      <c r="X19" s="63">
        <v>35.9</v>
      </c>
      <c r="Y19" s="63">
        <v>37.6</v>
      </c>
      <c r="Z19" s="63">
        <v>36.5</v>
      </c>
      <c r="AA19" s="63">
        <v>30.9</v>
      </c>
      <c r="AB19" s="63">
        <v>36.299999999999997</v>
      </c>
      <c r="AC19" s="63">
        <v>36.799999999999997</v>
      </c>
      <c r="AD19" s="63">
        <v>30.6</v>
      </c>
      <c r="AE19" s="63">
        <v>36.200000000000003</v>
      </c>
      <c r="AF19" s="63">
        <v>37.299999999999997</v>
      </c>
      <c r="AG19" s="63">
        <v>36.5</v>
      </c>
      <c r="AH19" s="63">
        <v>32.1</v>
      </c>
      <c r="AI19" s="63">
        <v>37.200000000000003</v>
      </c>
      <c r="AJ19" s="36">
        <f t="shared" si="0"/>
        <v>37.200000000000003</v>
      </c>
      <c r="AK19" s="21">
        <f t="shared" si="1"/>
        <v>37.6</v>
      </c>
      <c r="AL19" s="22">
        <v>38.700000000000003</v>
      </c>
      <c r="AM19" s="23">
        <f t="shared" si="2"/>
        <v>-1.1000000000000014</v>
      </c>
      <c r="AN19" s="23">
        <v>34.207406451612897</v>
      </c>
      <c r="AO19" s="23">
        <f t="shared" si="5"/>
        <v>35.522580645161291</v>
      </c>
      <c r="AP19" s="23">
        <f t="shared" si="4"/>
        <v>1.315174193548394</v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63">
        <v>31.8</v>
      </c>
      <c r="P20" s="63">
        <v>31.8</v>
      </c>
      <c r="Q20" s="63">
        <v>31.9</v>
      </c>
      <c r="R20" s="63">
        <v>32.299999999999997</v>
      </c>
      <c r="S20" s="63">
        <v>32.5</v>
      </c>
      <c r="T20" s="63">
        <v>30.6</v>
      </c>
      <c r="U20" s="63">
        <v>26.1</v>
      </c>
      <c r="V20" s="63">
        <v>27.9</v>
      </c>
      <c r="W20" s="63">
        <v>32.299999999999997</v>
      </c>
      <c r="X20" s="63">
        <v>31.8</v>
      </c>
      <c r="Y20" s="63">
        <v>31.5</v>
      </c>
      <c r="Z20" s="63">
        <v>30</v>
      </c>
      <c r="AA20" s="63">
        <v>31.6</v>
      </c>
      <c r="AB20" s="63">
        <v>32.299999999999997</v>
      </c>
      <c r="AC20" s="63">
        <v>32.1</v>
      </c>
      <c r="AD20" s="63">
        <v>31.5</v>
      </c>
      <c r="AE20" s="63">
        <v>32.4</v>
      </c>
      <c r="AF20" s="63">
        <v>32</v>
      </c>
      <c r="AG20" s="63">
        <v>29.9</v>
      </c>
      <c r="AH20" s="63">
        <v>31.2</v>
      </c>
      <c r="AI20" s="63">
        <v>29.3</v>
      </c>
      <c r="AJ20" s="36">
        <f t="shared" si="0"/>
        <v>29.3</v>
      </c>
      <c r="AK20" s="21">
        <f t="shared" si="1"/>
        <v>32.5</v>
      </c>
      <c r="AL20" s="22">
        <v>33.6</v>
      </c>
      <c r="AM20" s="23">
        <f t="shared" si="2"/>
        <v>-1.1000000000000014</v>
      </c>
      <c r="AN20" s="23">
        <v>28.699699180747569</v>
      </c>
      <c r="AO20" s="23">
        <f t="shared" si="5"/>
        <v>31.048387096774189</v>
      </c>
      <c r="AP20" s="23">
        <f t="shared" si="4"/>
        <v>2.3486879160266199</v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63">
        <v>25.2</v>
      </c>
      <c r="P21" s="63">
        <v>25.2</v>
      </c>
      <c r="Q21" s="63">
        <v>25</v>
      </c>
      <c r="R21" s="63">
        <v>25.8</v>
      </c>
      <c r="S21" s="63">
        <v>25.9</v>
      </c>
      <c r="T21" s="63">
        <v>24.9</v>
      </c>
      <c r="U21" s="63">
        <v>22.1</v>
      </c>
      <c r="V21" s="63">
        <v>23</v>
      </c>
      <c r="W21" s="63">
        <v>25</v>
      </c>
      <c r="X21" s="63">
        <v>25.4</v>
      </c>
      <c r="Y21" s="63">
        <v>24.7</v>
      </c>
      <c r="Z21" s="63">
        <v>23.7</v>
      </c>
      <c r="AA21" s="63">
        <v>24.2</v>
      </c>
      <c r="AB21" s="63">
        <v>25.1</v>
      </c>
      <c r="AC21" s="63">
        <v>24.8</v>
      </c>
      <c r="AD21" s="63">
        <v>25.3</v>
      </c>
      <c r="AE21" s="63">
        <v>25.4</v>
      </c>
      <c r="AF21" s="63">
        <v>25.3</v>
      </c>
      <c r="AG21" s="63">
        <v>24.6</v>
      </c>
      <c r="AH21" s="63">
        <v>25</v>
      </c>
      <c r="AI21" s="63">
        <v>25.2</v>
      </c>
      <c r="AJ21" s="36">
        <f t="shared" si="0"/>
        <v>25.2</v>
      </c>
      <c r="AK21" s="21">
        <f t="shared" si="1"/>
        <v>25.9</v>
      </c>
      <c r="AL21" s="22">
        <v>25.9</v>
      </c>
      <c r="AM21" s="23">
        <f t="shared" si="2"/>
        <v>0</v>
      </c>
      <c r="AN21" s="23">
        <v>22.70234743584826</v>
      </c>
      <c r="AO21" s="23">
        <f t="shared" si="5"/>
        <v>24.641935483870967</v>
      </c>
      <c r="AP21" s="23">
        <f t="shared" si="4"/>
        <v>1.9395880480227063</v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68">
        <v>35</v>
      </c>
      <c r="P23" s="63">
        <v>31.1</v>
      </c>
      <c r="Q23" s="63">
        <v>31.2</v>
      </c>
      <c r="R23" s="63">
        <v>31</v>
      </c>
      <c r="S23" s="63">
        <v>28.8</v>
      </c>
      <c r="T23" s="63">
        <v>25.2</v>
      </c>
      <c r="U23" s="63">
        <v>21.7</v>
      </c>
      <c r="V23" s="63">
        <v>28.6</v>
      </c>
      <c r="W23" s="63">
        <v>29.4</v>
      </c>
      <c r="X23" s="63">
        <v>31.2</v>
      </c>
      <c r="Y23" s="63">
        <v>30.4</v>
      </c>
      <c r="Z23" s="63">
        <v>28.4</v>
      </c>
      <c r="AA23" s="63">
        <v>30.2</v>
      </c>
      <c r="AB23" s="63">
        <v>29</v>
      </c>
      <c r="AC23" s="63">
        <v>28.2</v>
      </c>
      <c r="AD23" s="63">
        <v>27.6</v>
      </c>
      <c r="AE23" s="63">
        <v>30.4</v>
      </c>
      <c r="AF23" s="63">
        <v>30.6</v>
      </c>
      <c r="AG23" s="63">
        <v>27.8</v>
      </c>
      <c r="AH23" s="63">
        <v>28</v>
      </c>
      <c r="AI23" s="63">
        <v>29</v>
      </c>
      <c r="AJ23" s="36">
        <f t="shared" si="0"/>
        <v>29</v>
      </c>
      <c r="AK23" s="21">
        <f t="shared" si="1"/>
        <v>35</v>
      </c>
      <c r="AL23" s="22">
        <v>32.6</v>
      </c>
      <c r="AM23" s="23">
        <f t="shared" si="2"/>
        <v>2.3999999999999986</v>
      </c>
      <c r="AN23" s="23">
        <v>27.308103225806452</v>
      </c>
      <c r="AO23" s="23">
        <f t="shared" si="5"/>
        <v>29.361290322580647</v>
      </c>
      <c r="AP23" s="23">
        <f t="shared" si="4"/>
        <v>2.0531870967741952</v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63">
        <v>33.299999999999997</v>
      </c>
      <c r="P24" s="63">
        <v>31.9</v>
      </c>
      <c r="Q24" s="63">
        <v>33.9</v>
      </c>
      <c r="R24" s="63">
        <v>31.8</v>
      </c>
      <c r="S24" s="63">
        <v>29.8</v>
      </c>
      <c r="T24" s="63">
        <v>26.8</v>
      </c>
      <c r="U24" s="63">
        <v>24</v>
      </c>
      <c r="V24" s="63">
        <v>29.9</v>
      </c>
      <c r="W24" s="63">
        <v>30.7</v>
      </c>
      <c r="X24" s="63">
        <v>33.5</v>
      </c>
      <c r="Y24" s="63">
        <v>32.1</v>
      </c>
      <c r="Z24" s="63">
        <v>30.1</v>
      </c>
      <c r="AA24" s="63">
        <v>32</v>
      </c>
      <c r="AB24" s="63">
        <v>29.5</v>
      </c>
      <c r="AC24" s="63">
        <v>30.7</v>
      </c>
      <c r="AD24" s="63">
        <v>31.4</v>
      </c>
      <c r="AE24" s="63">
        <v>31.7</v>
      </c>
      <c r="AF24" s="63">
        <v>31.2</v>
      </c>
      <c r="AG24" s="63">
        <v>27.7</v>
      </c>
      <c r="AH24" s="63">
        <v>28.5</v>
      </c>
      <c r="AI24" s="63">
        <v>30.7</v>
      </c>
      <c r="AJ24" s="36">
        <f t="shared" si="0"/>
        <v>30.7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>
        <f t="shared" si="5"/>
        <v>30.690322580645173</v>
      </c>
      <c r="AP24" s="23">
        <f t="shared" si="4"/>
        <v>1.868339307049002</v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63">
        <v>35</v>
      </c>
      <c r="P25" s="63">
        <v>34.799999999999997</v>
      </c>
      <c r="Q25" s="63">
        <v>35.799999999999997</v>
      </c>
      <c r="R25" s="63">
        <v>36.4</v>
      </c>
      <c r="S25" s="63">
        <v>35.4</v>
      </c>
      <c r="T25" s="63">
        <v>29</v>
      </c>
      <c r="U25" s="63">
        <v>27.6</v>
      </c>
      <c r="V25" s="63">
        <v>31.4</v>
      </c>
      <c r="W25" s="63">
        <v>34.9</v>
      </c>
      <c r="X25" s="63">
        <v>35.200000000000003</v>
      </c>
      <c r="Y25" s="63">
        <v>34.4</v>
      </c>
      <c r="Z25" s="63">
        <v>32.299999999999997</v>
      </c>
      <c r="AA25" s="63">
        <v>33.4</v>
      </c>
      <c r="AB25" s="63">
        <v>34.799999999999997</v>
      </c>
      <c r="AC25" s="63">
        <v>36.200000000000003</v>
      </c>
      <c r="AD25" s="63">
        <v>35</v>
      </c>
      <c r="AE25" s="63">
        <v>35</v>
      </c>
      <c r="AF25" s="63">
        <v>34.4</v>
      </c>
      <c r="AG25" s="63">
        <v>34</v>
      </c>
      <c r="AH25" s="63">
        <v>33</v>
      </c>
      <c r="AI25" s="63">
        <v>36.299999999999997</v>
      </c>
      <c r="AJ25" s="36">
        <f t="shared" si="0"/>
        <v>36.299999999999997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>
        <f t="shared" si="5"/>
        <v>34.267741935483869</v>
      </c>
      <c r="AP25" s="23">
        <f t="shared" si="4"/>
        <v>2.7092066844658973</v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63">
        <v>19.600000000000001</v>
      </c>
      <c r="P26" s="63">
        <v>20</v>
      </c>
      <c r="Q26" s="63">
        <v>19.899999999999999</v>
      </c>
      <c r="R26" s="63">
        <v>21.4</v>
      </c>
      <c r="S26" s="63">
        <v>21.5</v>
      </c>
      <c r="T26" s="63">
        <v>19.8</v>
      </c>
      <c r="U26" s="63">
        <v>18.5</v>
      </c>
      <c r="V26" s="63">
        <v>19.5</v>
      </c>
      <c r="W26" s="63">
        <v>21.4</v>
      </c>
      <c r="X26" s="63">
        <v>20.9</v>
      </c>
      <c r="Y26" s="63">
        <v>20.399999999999999</v>
      </c>
      <c r="Z26" s="63">
        <v>19.3</v>
      </c>
      <c r="AA26" s="63">
        <v>20.100000000000001</v>
      </c>
      <c r="AB26" s="63">
        <v>19.5</v>
      </c>
      <c r="AC26" s="63">
        <v>19.2</v>
      </c>
      <c r="AD26" s="63">
        <v>21.2</v>
      </c>
      <c r="AE26" s="63">
        <v>22.1</v>
      </c>
      <c r="AF26" s="63">
        <v>21.4</v>
      </c>
      <c r="AG26" s="63">
        <v>21.1</v>
      </c>
      <c r="AH26" s="63">
        <v>19.7</v>
      </c>
      <c r="AI26" s="63">
        <v>21</v>
      </c>
      <c r="AJ26" s="36">
        <f t="shared" si="0"/>
        <v>21</v>
      </c>
      <c r="AK26" s="21">
        <f t="shared" si="1"/>
        <v>22.1</v>
      </c>
      <c r="AL26" s="22">
        <v>23.6</v>
      </c>
      <c r="AM26" s="23">
        <f t="shared" si="2"/>
        <v>-1.5</v>
      </c>
      <c r="AN26" s="23">
        <v>18.772940161432931</v>
      </c>
      <c r="AO26" s="23">
        <f t="shared" si="5"/>
        <v>20.167741935483871</v>
      </c>
      <c r="AP26" s="23">
        <f t="shared" si="4"/>
        <v>1.39480177405094</v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63">
        <v>19.399999999999999</v>
      </c>
      <c r="P27" s="63">
        <v>21</v>
      </c>
      <c r="Q27" s="63">
        <v>21.6</v>
      </c>
      <c r="R27" s="63">
        <v>21.8</v>
      </c>
      <c r="S27" s="63">
        <v>21.4</v>
      </c>
      <c r="T27" s="63">
        <v>22.6</v>
      </c>
      <c r="U27" s="63">
        <v>20</v>
      </c>
      <c r="V27" s="63">
        <v>22</v>
      </c>
      <c r="W27" s="63">
        <v>21.6</v>
      </c>
      <c r="X27" s="63">
        <v>21</v>
      </c>
      <c r="Y27" s="63">
        <v>21.4</v>
      </c>
      <c r="Z27" s="63">
        <v>21</v>
      </c>
      <c r="AA27" s="63">
        <v>18.8</v>
      </c>
      <c r="AB27" s="63">
        <v>20.63</v>
      </c>
      <c r="AC27" s="63">
        <v>21.2</v>
      </c>
      <c r="AD27" s="63">
        <v>21.2</v>
      </c>
      <c r="AE27" s="63">
        <v>22.2</v>
      </c>
      <c r="AF27" s="63">
        <v>22.4</v>
      </c>
      <c r="AG27" s="63">
        <v>24.2</v>
      </c>
      <c r="AH27" s="63">
        <v>18.399999999999999</v>
      </c>
      <c r="AI27" s="63">
        <v>20.2</v>
      </c>
      <c r="AJ27" s="36">
        <f t="shared" si="0"/>
        <v>20.2</v>
      </c>
      <c r="AK27" s="21">
        <f t="shared" si="1"/>
        <v>24.2</v>
      </c>
      <c r="AL27" s="22">
        <v>22.4</v>
      </c>
      <c r="AM27" s="23">
        <f t="shared" si="2"/>
        <v>1.8000000000000007</v>
      </c>
      <c r="AN27" s="23">
        <v>17.087318670151451</v>
      </c>
      <c r="AO27" s="23">
        <f t="shared" si="5"/>
        <v>20.849354838709683</v>
      </c>
      <c r="AP27" s="23">
        <f t="shared" si="4"/>
        <v>3.7620361685582324</v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63">
        <v>35.4</v>
      </c>
      <c r="P28" s="63">
        <v>32.700000000000003</v>
      </c>
      <c r="Q28" s="63">
        <v>34.799999999999997</v>
      </c>
      <c r="R28" s="63">
        <v>32.5</v>
      </c>
      <c r="S28" s="63">
        <v>32</v>
      </c>
      <c r="T28" s="63">
        <v>28.3</v>
      </c>
      <c r="U28" s="63">
        <v>25.2</v>
      </c>
      <c r="V28" s="63">
        <v>31.8</v>
      </c>
      <c r="W28" s="63">
        <v>33.1</v>
      </c>
      <c r="X28" s="63">
        <v>34.700000000000003</v>
      </c>
      <c r="Y28" s="63">
        <v>33.9</v>
      </c>
      <c r="Z28" s="63">
        <v>32.799999999999997</v>
      </c>
      <c r="AA28" s="63">
        <v>32.9</v>
      </c>
      <c r="AB28" s="63">
        <v>33.9</v>
      </c>
      <c r="AC28" s="63">
        <v>33.9</v>
      </c>
      <c r="AD28" s="63">
        <v>31.6</v>
      </c>
      <c r="AE28" s="63">
        <v>33.299999999999997</v>
      </c>
      <c r="AF28" s="63">
        <v>32.799999999999997</v>
      </c>
      <c r="AG28" s="63">
        <v>33.1</v>
      </c>
      <c r="AH28" s="63">
        <v>30.9</v>
      </c>
      <c r="AI28" s="63">
        <v>32.9</v>
      </c>
      <c r="AJ28" s="36">
        <f t="shared" si="0"/>
        <v>32.9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>
        <f t="shared" si="5"/>
        <v>32.567741935483866</v>
      </c>
      <c r="AP28" s="23">
        <f t="shared" si="4"/>
        <v>1.449821815756696</v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63">
        <v>36</v>
      </c>
      <c r="P30" s="63">
        <v>34.200000000000003</v>
      </c>
      <c r="Q30" s="63">
        <v>36.700000000000003</v>
      </c>
      <c r="R30" s="63">
        <v>35</v>
      </c>
      <c r="S30" s="63">
        <v>36.5</v>
      </c>
      <c r="T30" s="63">
        <v>34.299999999999997</v>
      </c>
      <c r="U30" s="63">
        <v>32.299999999999997</v>
      </c>
      <c r="V30" s="63">
        <v>37</v>
      </c>
      <c r="W30" s="63">
        <v>37.200000000000003</v>
      </c>
      <c r="X30" s="63">
        <v>36.4</v>
      </c>
      <c r="Y30" s="63">
        <v>36.799999999999997</v>
      </c>
      <c r="Z30" s="63">
        <v>33</v>
      </c>
      <c r="AA30" s="63">
        <v>35.200000000000003</v>
      </c>
      <c r="AB30" s="63">
        <v>36.200000000000003</v>
      </c>
      <c r="AC30" s="63">
        <v>36.200000000000003</v>
      </c>
      <c r="AD30" s="63">
        <v>35.799999999999997</v>
      </c>
      <c r="AE30" s="63">
        <v>35.799999999999997</v>
      </c>
      <c r="AF30" s="63">
        <v>34.4</v>
      </c>
      <c r="AG30" s="63">
        <v>34.6</v>
      </c>
      <c r="AH30" s="63">
        <v>32.799999999999997</v>
      </c>
      <c r="AI30" s="63">
        <v>37</v>
      </c>
      <c r="AJ30" s="36">
        <f t="shared" si="0"/>
        <v>37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>
        <f t="shared" si="5"/>
        <v>35.748387096774188</v>
      </c>
      <c r="AP30" s="23">
        <f t="shared" si="4"/>
        <v>1.1293548387096806</v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63">
        <v>26.5</v>
      </c>
      <c r="P31" s="63">
        <v>26.8</v>
      </c>
      <c r="Q31" s="63">
        <v>27.6</v>
      </c>
      <c r="R31" s="63">
        <v>25.9</v>
      </c>
      <c r="S31" s="63">
        <v>28.3</v>
      </c>
      <c r="T31" s="63">
        <v>24.8</v>
      </c>
      <c r="U31" s="63">
        <v>25.2</v>
      </c>
      <c r="V31" s="63">
        <v>27.8</v>
      </c>
      <c r="W31" s="63">
        <v>28.6</v>
      </c>
      <c r="X31" s="63">
        <v>27.5</v>
      </c>
      <c r="Y31" s="63">
        <v>28.3</v>
      </c>
      <c r="Z31" s="63">
        <v>27</v>
      </c>
      <c r="AA31" s="63">
        <v>28.5</v>
      </c>
      <c r="AB31" s="63">
        <v>28.5</v>
      </c>
      <c r="AC31" s="63">
        <v>27.8</v>
      </c>
      <c r="AD31" s="63">
        <v>29.7</v>
      </c>
      <c r="AE31" s="63">
        <v>28.4</v>
      </c>
      <c r="AF31" s="63">
        <v>28.7</v>
      </c>
      <c r="AG31" s="63">
        <v>29</v>
      </c>
      <c r="AH31" s="63">
        <v>27</v>
      </c>
      <c r="AI31" s="63">
        <v>28.5</v>
      </c>
      <c r="AJ31" s="36">
        <f t="shared" si="0"/>
        <v>28.5</v>
      </c>
      <c r="AK31" s="21">
        <f t="shared" si="1"/>
        <v>29.7</v>
      </c>
      <c r="AL31" s="22">
        <v>31.3</v>
      </c>
      <c r="AM31" s="23">
        <f t="shared" si="2"/>
        <v>-1.6000000000000014</v>
      </c>
      <c r="AN31" s="23">
        <v>26.14732965766952</v>
      </c>
      <c r="AO31" s="23">
        <f t="shared" si="5"/>
        <v>27.548387096774192</v>
      </c>
      <c r="AP31" s="23">
        <f t="shared" si="4"/>
        <v>1.4010574391046724</v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63">
        <v>16.8</v>
      </c>
      <c r="P32" s="63">
        <v>15.6</v>
      </c>
      <c r="Q32" s="63">
        <v>16.600000000000001</v>
      </c>
      <c r="R32" s="63">
        <v>16.2</v>
      </c>
      <c r="S32" s="63">
        <v>16.600000000000001</v>
      </c>
      <c r="T32" s="63">
        <v>17.600000000000001</v>
      </c>
      <c r="U32" s="63">
        <v>16.399999999999999</v>
      </c>
      <c r="V32" s="63">
        <v>17</v>
      </c>
      <c r="W32" s="63">
        <v>17.2</v>
      </c>
      <c r="X32" s="63">
        <v>15</v>
      </c>
      <c r="Y32" s="63">
        <v>18.2</v>
      </c>
      <c r="Z32" s="63">
        <v>18</v>
      </c>
      <c r="AA32" s="63">
        <v>17.600000000000001</v>
      </c>
      <c r="AB32" s="63">
        <v>20</v>
      </c>
      <c r="AC32" s="63">
        <v>17.399999999999999</v>
      </c>
      <c r="AD32" s="63">
        <v>19.600000000000001</v>
      </c>
      <c r="AE32" s="63">
        <v>19</v>
      </c>
      <c r="AF32" s="63">
        <v>15.6</v>
      </c>
      <c r="AG32" s="63">
        <v>20.399999999999999</v>
      </c>
      <c r="AH32" s="63">
        <v>19.399999999999999</v>
      </c>
      <c r="AI32" s="63">
        <v>18.600000000000001</v>
      </c>
      <c r="AJ32" s="36">
        <f t="shared" si="0"/>
        <v>18.600000000000001</v>
      </c>
      <c r="AK32" s="21">
        <f t="shared" si="1"/>
        <v>20.399999999999999</v>
      </c>
      <c r="AL32" s="22">
        <v>22.2</v>
      </c>
      <c r="AM32" s="23">
        <f t="shared" si="2"/>
        <v>-1.8000000000000007</v>
      </c>
      <c r="AN32" s="27">
        <v>16.438135408145051</v>
      </c>
      <c r="AO32" s="23">
        <f t="shared" si="5"/>
        <v>17.477419354838709</v>
      </c>
      <c r="AP32" s="23">
        <f t="shared" si="4"/>
        <v>1.0392839466936579</v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63">
        <v>13.6</v>
      </c>
      <c r="P33" s="63">
        <v>15.2</v>
      </c>
      <c r="Q33" s="63">
        <v>15</v>
      </c>
      <c r="R33" s="63">
        <v>13.8</v>
      </c>
      <c r="S33" s="63">
        <v>16</v>
      </c>
      <c r="T33" s="63">
        <v>16.600000000000001</v>
      </c>
      <c r="U33" s="63">
        <v>17.600000000000001</v>
      </c>
      <c r="V33" s="63">
        <v>15.2</v>
      </c>
      <c r="W33" s="63">
        <v>15.6</v>
      </c>
      <c r="X33" s="63">
        <v>14.2</v>
      </c>
      <c r="Y33" s="63">
        <v>15.4</v>
      </c>
      <c r="Z33" s="63">
        <v>16.600000000000001</v>
      </c>
      <c r="AA33" s="63">
        <v>17.399999999999999</v>
      </c>
      <c r="AB33" s="63">
        <v>17</v>
      </c>
      <c r="AC33" s="63">
        <v>13.8</v>
      </c>
      <c r="AD33" s="63">
        <v>17.8</v>
      </c>
      <c r="AE33" s="63">
        <v>17</v>
      </c>
      <c r="AF33" s="63">
        <v>17</v>
      </c>
      <c r="AG33" s="63">
        <v>17.2</v>
      </c>
      <c r="AH33" s="63">
        <v>16</v>
      </c>
      <c r="AI33" s="63">
        <v>17</v>
      </c>
      <c r="AJ33" s="36">
        <f t="shared" si="0"/>
        <v>17</v>
      </c>
      <c r="AK33" s="21">
        <f t="shared" si="1"/>
        <v>17.8</v>
      </c>
      <c r="AL33" s="22">
        <v>20.6</v>
      </c>
      <c r="AM33" s="23">
        <f t="shared" si="2"/>
        <v>-2.8000000000000007</v>
      </c>
      <c r="AN33" s="23">
        <v>14.98521690767519</v>
      </c>
      <c r="AO33" s="23">
        <f t="shared" si="5"/>
        <v>15.825806451612902</v>
      </c>
      <c r="AP33" s="23">
        <f t="shared" si="4"/>
        <v>0.84058954393771224</v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63">
        <v>36</v>
      </c>
      <c r="P35" s="63">
        <v>31.8</v>
      </c>
      <c r="Q35" s="63">
        <v>34.700000000000003</v>
      </c>
      <c r="R35" s="63">
        <v>32.799999999999997</v>
      </c>
      <c r="S35" s="63">
        <v>30.4</v>
      </c>
      <c r="T35" s="63">
        <v>29</v>
      </c>
      <c r="U35" s="63">
        <v>28</v>
      </c>
      <c r="V35" s="63">
        <v>33</v>
      </c>
      <c r="W35" s="63">
        <v>33.700000000000003</v>
      </c>
      <c r="X35" s="63">
        <v>32.799999999999997</v>
      </c>
      <c r="Y35" s="63">
        <v>33.4</v>
      </c>
      <c r="Z35" s="63">
        <v>29.4</v>
      </c>
      <c r="AA35" s="63">
        <v>34</v>
      </c>
      <c r="AB35" s="63">
        <v>32.4</v>
      </c>
      <c r="AC35" s="63">
        <v>32.799999999999997</v>
      </c>
      <c r="AD35" s="63">
        <v>30.8</v>
      </c>
      <c r="AE35" s="63">
        <v>34.6</v>
      </c>
      <c r="AF35" s="63">
        <v>31</v>
      </c>
      <c r="AG35" s="63">
        <v>30.3</v>
      </c>
      <c r="AH35" s="63">
        <v>29.8</v>
      </c>
      <c r="AI35" s="63">
        <v>30.8</v>
      </c>
      <c r="AJ35" s="36">
        <f t="shared" si="0"/>
        <v>30.8</v>
      </c>
      <c r="AK35" s="21">
        <f t="shared" si="1"/>
        <v>36</v>
      </c>
      <c r="AL35" s="22">
        <v>35.200000000000003</v>
      </c>
      <c r="AM35" s="23">
        <f t="shared" si="2"/>
        <v>0.79999999999999716</v>
      </c>
      <c r="AN35" s="23">
        <v>31.229699666295879</v>
      </c>
      <c r="AO35" s="23">
        <f>IF(COUNTIF(E35:AI35,"&gt;0")&gt;=15,AVERAGE(E35:AI35),"")</f>
        <v>32.048387096774185</v>
      </c>
      <c r="AP35" s="23">
        <f t="shared" si="4"/>
        <v>0.81868743047830606</v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63">
        <v>32.4</v>
      </c>
      <c r="P38" s="63">
        <v>32.9</v>
      </c>
      <c r="Q38" s="63">
        <v>32.700000000000003</v>
      </c>
      <c r="R38" s="63">
        <v>32.4</v>
      </c>
      <c r="S38" s="63">
        <v>30.4</v>
      </c>
      <c r="T38" s="63">
        <v>29.4</v>
      </c>
      <c r="U38" s="63">
        <v>30.3</v>
      </c>
      <c r="V38" s="63">
        <v>31.9</v>
      </c>
      <c r="W38" s="63">
        <v>33.9</v>
      </c>
      <c r="X38" s="63">
        <v>33</v>
      </c>
      <c r="Y38" s="63">
        <v>32.299999999999997</v>
      </c>
      <c r="Z38" s="63">
        <v>33.299999999999997</v>
      </c>
      <c r="AA38" s="63">
        <v>28</v>
      </c>
      <c r="AB38" s="63">
        <v>33.200000000000003</v>
      </c>
      <c r="AC38" s="63">
        <v>33.9</v>
      </c>
      <c r="AD38" s="63">
        <v>28.1</v>
      </c>
      <c r="AE38" s="63">
        <v>32.9</v>
      </c>
      <c r="AF38" s="63">
        <v>34.4</v>
      </c>
      <c r="AG38" s="63">
        <v>29.9</v>
      </c>
      <c r="AH38" s="63">
        <v>30.2</v>
      </c>
      <c r="AI38" s="63">
        <v>31</v>
      </c>
      <c r="AJ38" s="36">
        <f t="shared" si="0"/>
        <v>31</v>
      </c>
      <c r="AK38" s="21">
        <f t="shared" si="1"/>
        <v>34.4</v>
      </c>
      <c r="AL38" s="22">
        <v>34.4</v>
      </c>
      <c r="AM38" s="23">
        <f t="shared" si="2"/>
        <v>0</v>
      </c>
      <c r="AN38" s="23">
        <v>30.80035842293907</v>
      </c>
      <c r="AO38" s="23">
        <f>IF(COUNTIF(E38:AI38,"&gt;0")&gt;=15,AVERAGE(E38:AI38),"")</f>
        <v>32.038709677419348</v>
      </c>
      <c r="AP38" s="23">
        <f t="shared" si="4"/>
        <v>1.2383512544802784</v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63">
        <v>34.799999999999997</v>
      </c>
      <c r="P39" s="63">
        <v>32.6</v>
      </c>
      <c r="Q39" s="63">
        <v>28.4</v>
      </c>
      <c r="R39" s="63">
        <v>33</v>
      </c>
      <c r="S39" s="63">
        <v>32.799999999999997</v>
      </c>
      <c r="T39" s="63">
        <v>30.4</v>
      </c>
      <c r="U39" s="63">
        <v>28.2</v>
      </c>
      <c r="V39" s="63">
        <v>32.6</v>
      </c>
      <c r="W39" s="63">
        <v>33</v>
      </c>
      <c r="X39" s="63">
        <v>33.6</v>
      </c>
      <c r="Y39" s="63">
        <v>29.4</v>
      </c>
      <c r="Z39" s="63">
        <v>32.6</v>
      </c>
      <c r="AA39" s="63">
        <v>30</v>
      </c>
      <c r="AB39" s="63">
        <v>31.8</v>
      </c>
      <c r="AC39" s="63">
        <v>33.799999999999997</v>
      </c>
      <c r="AD39" s="63">
        <v>30.8</v>
      </c>
      <c r="AE39" s="63">
        <v>34</v>
      </c>
      <c r="AF39" s="63">
        <v>35.4</v>
      </c>
      <c r="AG39" s="63">
        <v>34.799999999999997</v>
      </c>
      <c r="AH39" s="63">
        <v>34.5</v>
      </c>
      <c r="AI39" s="63">
        <v>32.4</v>
      </c>
      <c r="AJ39" s="36">
        <f t="shared" si="0"/>
        <v>32.4</v>
      </c>
      <c r="AK39" s="21">
        <f t="shared" si="1"/>
        <v>35.4</v>
      </c>
      <c r="AL39" s="22">
        <v>36.1</v>
      </c>
      <c r="AM39" s="23">
        <f t="shared" si="2"/>
        <v>-0.70000000000000284</v>
      </c>
      <c r="AN39" s="23">
        <v>31.513637374860959</v>
      </c>
      <c r="AO39" s="23">
        <f t="shared" ref="AO39:AO48" si="7">IF(COUNTIF(E39:AI39,"&gt;0")&gt;=15,AVERAGE(E39:AI39),"")</f>
        <v>32.348387096774189</v>
      </c>
      <c r="AP39" s="23">
        <f t="shared" si="4"/>
        <v>0.83474972191323005</v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63">
        <v>31.2</v>
      </c>
      <c r="P40" s="63">
        <v>32.799999999999997</v>
      </c>
      <c r="Q40" s="63">
        <v>31.4</v>
      </c>
      <c r="R40" s="63">
        <v>25.8</v>
      </c>
      <c r="S40" s="63">
        <v>29.4</v>
      </c>
      <c r="T40" s="63">
        <v>31.3</v>
      </c>
      <c r="U40" s="63">
        <v>26.3</v>
      </c>
      <c r="V40" s="63">
        <v>33.200000000000003</v>
      </c>
      <c r="W40" s="63">
        <v>32.6</v>
      </c>
      <c r="X40" s="63">
        <v>32.6</v>
      </c>
      <c r="Y40" s="63">
        <v>30.4</v>
      </c>
      <c r="Z40" s="63">
        <v>30</v>
      </c>
      <c r="AA40" s="63">
        <v>28</v>
      </c>
      <c r="AB40" s="63">
        <v>31.4</v>
      </c>
      <c r="AC40" s="63">
        <v>29.8</v>
      </c>
      <c r="AD40" s="63">
        <v>31.8</v>
      </c>
      <c r="AE40" s="63">
        <v>31.6</v>
      </c>
      <c r="AF40" s="63">
        <v>33.200000000000003</v>
      </c>
      <c r="AG40" s="63">
        <v>29.8</v>
      </c>
      <c r="AH40" s="63">
        <v>30.7</v>
      </c>
      <c r="AI40" s="63">
        <v>33.1</v>
      </c>
      <c r="AJ40" s="36">
        <f t="shared" si="0"/>
        <v>33.1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>
        <f t="shared" si="7"/>
        <v>30.890322580645158</v>
      </c>
      <c r="AP40" s="23">
        <f t="shared" si="4"/>
        <v>1.0827586206896598</v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63">
        <v>32</v>
      </c>
      <c r="P41" s="63">
        <v>33.6</v>
      </c>
      <c r="Q41" s="63">
        <v>32.6</v>
      </c>
      <c r="R41" s="63">
        <v>29.8</v>
      </c>
      <c r="S41" s="63">
        <v>30.8</v>
      </c>
      <c r="T41" s="63">
        <v>31.4</v>
      </c>
      <c r="U41" s="63">
        <v>31.2</v>
      </c>
      <c r="V41" s="63"/>
      <c r="W41" s="63">
        <v>33.200000000000003</v>
      </c>
      <c r="X41" s="63">
        <v>32.799999999999997</v>
      </c>
      <c r="Y41" s="63">
        <v>31.4</v>
      </c>
      <c r="Z41" s="63">
        <v>30.6</v>
      </c>
      <c r="AA41" s="63">
        <v>28.2</v>
      </c>
      <c r="AB41" s="63">
        <v>31.6</v>
      </c>
      <c r="AC41" s="63">
        <v>31.4</v>
      </c>
      <c r="AD41" s="63">
        <v>30</v>
      </c>
      <c r="AE41" s="63">
        <v>32.4</v>
      </c>
      <c r="AF41" s="63">
        <v>33.6</v>
      </c>
      <c r="AG41" s="63">
        <v>32</v>
      </c>
      <c r="AH41" s="63">
        <v>31.8</v>
      </c>
      <c r="AI41" s="63">
        <v>32.799999999999997</v>
      </c>
      <c r="AJ41" s="36">
        <f t="shared" si="0"/>
        <v>32.799999999999997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>
        <f t="shared" si="7"/>
        <v>31.860000000000003</v>
      </c>
      <c r="AP41" s="23">
        <f t="shared" si="4"/>
        <v>2.0086260454002343</v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>
        <v>34.200000000000003</v>
      </c>
      <c r="P43" s="63">
        <v>31.2</v>
      </c>
      <c r="Q43" s="63">
        <v>28.2</v>
      </c>
      <c r="R43" s="63">
        <v>32.4</v>
      </c>
      <c r="S43" s="63">
        <v>31.2</v>
      </c>
      <c r="T43" s="63">
        <v>31.8</v>
      </c>
      <c r="U43" s="63">
        <v>26.6</v>
      </c>
      <c r="V43" s="63">
        <v>32.799999999999997</v>
      </c>
      <c r="W43" s="63">
        <v>32.200000000000003</v>
      </c>
      <c r="X43" s="63">
        <v>33</v>
      </c>
      <c r="Y43" s="63">
        <v>30.4</v>
      </c>
      <c r="Z43" s="63">
        <v>31.8</v>
      </c>
      <c r="AA43" s="63">
        <v>31.4</v>
      </c>
      <c r="AB43" s="63">
        <v>33</v>
      </c>
      <c r="AC43" s="63">
        <v>31.6</v>
      </c>
      <c r="AD43" s="63">
        <v>32.200000000000003</v>
      </c>
      <c r="AE43" s="63">
        <v>33.6</v>
      </c>
      <c r="AF43" s="63">
        <v>33.4</v>
      </c>
      <c r="AG43" s="63">
        <v>29.4</v>
      </c>
      <c r="AH43" s="63"/>
      <c r="AI43" s="63">
        <v>34.200000000000003</v>
      </c>
      <c r="AJ43" s="36">
        <f t="shared" si="0"/>
        <v>34.200000000000003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>
        <f t="shared" si="7"/>
        <v>31.939999999999998</v>
      </c>
      <c r="AP43" s="23">
        <f t="shared" si="4"/>
        <v>0.91792562969240876</v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>
        <v>32</v>
      </c>
      <c r="P44" s="29">
        <v>31.2</v>
      </c>
      <c r="Q44" s="29">
        <v>32.1</v>
      </c>
      <c r="R44" s="29">
        <v>30.2</v>
      </c>
      <c r="S44" s="29">
        <v>31.2</v>
      </c>
      <c r="T44" s="29">
        <v>30.3</v>
      </c>
      <c r="U44" s="29">
        <v>31.4</v>
      </c>
      <c r="V44" s="29">
        <v>33.299999999999997</v>
      </c>
      <c r="W44" s="29">
        <v>31</v>
      </c>
      <c r="X44" s="29">
        <v>32.299999999999997</v>
      </c>
      <c r="Y44" s="29">
        <v>31</v>
      </c>
      <c r="Z44" s="29">
        <v>30.3</v>
      </c>
      <c r="AA44" s="29">
        <v>29.3</v>
      </c>
      <c r="AB44" s="29">
        <v>32.200000000000003</v>
      </c>
      <c r="AC44" s="29">
        <v>30.4</v>
      </c>
      <c r="AD44" s="29">
        <v>32</v>
      </c>
      <c r="AE44" s="63">
        <v>32.200000000000003</v>
      </c>
      <c r="AF44" s="63">
        <v>28.2</v>
      </c>
      <c r="AG44" s="63"/>
      <c r="AH44" s="63">
        <v>31.3</v>
      </c>
      <c r="AI44" s="63">
        <v>32.299999999999997</v>
      </c>
      <c r="AJ44" s="36">
        <f t="shared" si="0"/>
        <v>32.299999999999997</v>
      </c>
      <c r="AK44" s="21">
        <f t="shared" si="1"/>
        <v>33.299999999999997</v>
      </c>
      <c r="AL44" s="22">
        <v>34.4</v>
      </c>
      <c r="AM44" s="23">
        <f t="shared" si="2"/>
        <v>-1.1000000000000014</v>
      </c>
      <c r="AN44" s="23">
        <v>30.14398006331821</v>
      </c>
      <c r="AO44" s="23">
        <f t="shared" si="7"/>
        <v>31.249999999999993</v>
      </c>
      <c r="AP44" s="23">
        <f t="shared" si="4"/>
        <v>1.1060199366817827</v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>
        <v>33.4</v>
      </c>
      <c r="P45" s="63">
        <v>32.200000000000003</v>
      </c>
      <c r="Q45" s="63">
        <v>32.4</v>
      </c>
      <c r="R45" s="63">
        <v>31.4</v>
      </c>
      <c r="S45" s="63">
        <v>29.4</v>
      </c>
      <c r="T45" s="63">
        <v>31.8</v>
      </c>
      <c r="U45" s="63">
        <v>30</v>
      </c>
      <c r="V45" s="63">
        <v>33</v>
      </c>
      <c r="W45" s="63">
        <v>32.4</v>
      </c>
      <c r="X45" s="63">
        <v>33.200000000000003</v>
      </c>
      <c r="Y45" s="63">
        <v>28.2</v>
      </c>
      <c r="Z45" s="63">
        <v>31.6</v>
      </c>
      <c r="AA45" s="63">
        <v>28.6</v>
      </c>
      <c r="AB45" s="63">
        <v>33</v>
      </c>
      <c r="AC45" s="63">
        <v>30.8</v>
      </c>
      <c r="AD45" s="63">
        <v>31.6</v>
      </c>
      <c r="AE45" s="63">
        <v>31.4</v>
      </c>
      <c r="AF45" s="63">
        <v>33.4</v>
      </c>
      <c r="AG45" s="63">
        <v>31.6</v>
      </c>
      <c r="AH45" s="63">
        <v>32.200000000000003</v>
      </c>
      <c r="AI45" s="63">
        <v>33.200000000000003</v>
      </c>
      <c r="AJ45" s="36">
        <f t="shared" si="0"/>
        <v>33.200000000000003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>
        <f t="shared" si="7"/>
        <v>31.690322580645162</v>
      </c>
      <c r="AP45" s="23">
        <f t="shared" si="4"/>
        <v>1.2697454411292632</v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>
        <v>32</v>
      </c>
      <c r="P48" s="63">
        <v>32.6</v>
      </c>
      <c r="Q48" s="63">
        <v>33.299999999999997</v>
      </c>
      <c r="R48" s="63">
        <v>33.299999999999997</v>
      </c>
      <c r="S48" s="63">
        <v>30.5</v>
      </c>
      <c r="T48" s="63">
        <v>32.4</v>
      </c>
      <c r="U48" s="63">
        <v>31</v>
      </c>
      <c r="V48" s="63">
        <v>30.8</v>
      </c>
      <c r="W48" s="63">
        <v>31</v>
      </c>
      <c r="X48" s="63">
        <v>33.6</v>
      </c>
      <c r="Y48" s="63">
        <v>29.6</v>
      </c>
      <c r="Z48" s="63">
        <v>31.9</v>
      </c>
      <c r="AA48" s="63">
        <v>28.5</v>
      </c>
      <c r="AB48" s="63">
        <v>32.200000000000003</v>
      </c>
      <c r="AC48" s="63">
        <v>33.5</v>
      </c>
      <c r="AD48" s="63">
        <v>32</v>
      </c>
      <c r="AE48" s="63">
        <v>34</v>
      </c>
      <c r="AF48" s="63">
        <v>33.4</v>
      </c>
      <c r="AG48" s="63">
        <v>34</v>
      </c>
      <c r="AH48" s="63">
        <v>35.4</v>
      </c>
      <c r="AI48" s="63">
        <v>34.4</v>
      </c>
      <c r="AJ48" s="36">
        <f t="shared" si="0"/>
        <v>34.4</v>
      </c>
      <c r="AK48" s="21">
        <f t="shared" si="1"/>
        <v>35.4</v>
      </c>
      <c r="AL48" s="22">
        <v>35.700000000000003</v>
      </c>
      <c r="AM48" s="23">
        <f t="shared" si="2"/>
        <v>-0.30000000000000426</v>
      </c>
      <c r="AN48" s="23">
        <v>31.390004135649299</v>
      </c>
      <c r="AO48" s="23">
        <f t="shared" si="7"/>
        <v>32.177419354838712</v>
      </c>
      <c r="AP48" s="23">
        <f t="shared" si="4"/>
        <v>0.7874152191894126</v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3" t="s">
        <v>122</v>
      </c>
      <c r="I1" s="74"/>
      <c r="J1" s="75"/>
      <c r="K1" s="70" t="s">
        <v>123</v>
      </c>
      <c r="L1" s="71"/>
      <c r="M1" s="72"/>
      <c r="N1" s="73" t="s">
        <v>124</v>
      </c>
      <c r="O1" s="74"/>
      <c r="P1" s="75"/>
      <c r="Q1" s="70" t="s">
        <v>125</v>
      </c>
      <c r="R1" s="71"/>
      <c r="S1" s="72"/>
      <c r="T1" s="73" t="s">
        <v>126</v>
      </c>
      <c r="U1" s="74"/>
      <c r="V1" s="75"/>
      <c r="W1" s="70" t="s">
        <v>127</v>
      </c>
      <c r="X1" s="71"/>
      <c r="Y1" s="72"/>
      <c r="Z1" s="73" t="s">
        <v>128</v>
      </c>
      <c r="AA1" s="74"/>
      <c r="AB1" s="75"/>
      <c r="AC1" s="70" t="s">
        <v>129</v>
      </c>
      <c r="AD1" s="71"/>
      <c r="AE1" s="72"/>
      <c r="AF1" s="73" t="s">
        <v>130</v>
      </c>
      <c r="AG1" s="74"/>
      <c r="AH1" s="75"/>
      <c r="AI1" s="70" t="s">
        <v>131</v>
      </c>
      <c r="AJ1" s="71"/>
      <c r="AK1" s="72"/>
      <c r="AL1" s="73" t="s">
        <v>132</v>
      </c>
      <c r="AM1" s="74"/>
      <c r="AN1" s="75"/>
      <c r="AO1" s="70" t="s">
        <v>133</v>
      </c>
      <c r="AP1" s="71"/>
      <c r="AQ1" s="72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8" t="s">
        <v>1</v>
      </c>
      <c r="B1" s="80" t="s">
        <v>92</v>
      </c>
      <c r="C1" s="69" t="s">
        <v>93</v>
      </c>
      <c r="D1" s="76" t="s">
        <v>94</v>
      </c>
      <c r="E1" s="76" t="s">
        <v>95</v>
      </c>
      <c r="F1" s="76" t="s">
        <v>96</v>
      </c>
      <c r="G1" s="76" t="s">
        <v>97</v>
      </c>
      <c r="H1" s="76" t="s">
        <v>98</v>
      </c>
      <c r="I1" s="76" t="s">
        <v>99</v>
      </c>
      <c r="J1" s="76" t="s">
        <v>100</v>
      </c>
      <c r="K1" s="76" t="s">
        <v>101</v>
      </c>
      <c r="L1" s="76" t="s">
        <v>102</v>
      </c>
      <c r="M1" s="76" t="s">
        <v>103</v>
      </c>
      <c r="N1" s="76" t="s">
        <v>104</v>
      </c>
      <c r="O1" s="76" t="s">
        <v>105</v>
      </c>
    </row>
    <row r="2" spans="1:15" ht="12.75" customHeight="1" x14ac:dyDescent="0.2">
      <c r="A2" s="79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2022-10-25T13:14:52Z</cp:lastPrinted>
  <dcterms:created xsi:type="dcterms:W3CDTF">2007-01-09T17:41:42Z</dcterms:created>
  <dcterms:modified xsi:type="dcterms:W3CDTF">2026-09-01T13:40:48Z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