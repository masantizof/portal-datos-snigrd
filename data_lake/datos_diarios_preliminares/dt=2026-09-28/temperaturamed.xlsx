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29" firstSheet="0" activeTab="0" autoFilterDateGrouping="1"/>
  </bookViews>
  <sheets>
    <sheet xmlns:r="http://schemas.openxmlformats.org/officeDocument/2006/relationships" name="Temperatura" sheetId="1" state="visible" r:id="rId1"/>
    <sheet xmlns:r="http://schemas.openxmlformats.org/officeDocument/2006/relationships" name="DHIME" sheetId="2" state="visible" r:id="rId2"/>
    <sheet xmlns:r="http://schemas.openxmlformats.org/officeDocument/2006/relationships" name="Climatologia_TMED" sheetId="3" state="visible" r:id="rId3"/>
    <sheet xmlns:r="http://schemas.openxmlformats.org/officeDocument/2006/relationships" name="Control_Cambios" sheetId="4" state="visible" r:id="rId4"/>
  </sheets>
  <definedNames>
    <definedName name="_xlnm.Print_Area" localSheetId="0">'Temperatura'!$B$4:$R$29</definedName>
    <definedName name="_xlnm._FilterDatabase" localSheetId="1" hidden="1">'DHIME'!$A$1:$S$159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3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Courier"/>
      <family val="3"/>
      <sz val="12"/>
    </font>
    <font>
      <name val="Courier"/>
      <family val="3"/>
      <color indexed="18"/>
      <sz val="1"/>
    </font>
    <font>
      <name val="Courier"/>
      <family val="3"/>
      <color indexed="16"/>
      <sz val="1"/>
    </font>
    <font>
      <name val="Courier"/>
      <family val="3"/>
      <b val="1"/>
      <color indexed="16"/>
      <sz val="1"/>
    </font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0"/>
    </font>
    <font>
      <name val="Calibri"/>
      <family val="2"/>
      <b val="1"/>
      <color indexed="8"/>
      <sz val="12"/>
      <scheme val="minor"/>
    </font>
    <font>
      <name val="Calibri"/>
      <family val="2"/>
      <b val="1"/>
      <color indexed="8"/>
      <sz val="8"/>
      <scheme val="minor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color indexed="8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  <u val="single"/>
    </font>
    <font>
      <name val="Arial"/>
      <family val="2"/>
      <sz val="11"/>
    </font>
    <font>
      <name val="Arial"/>
      <family val="2"/>
      <sz val="11"/>
      <u val="single"/>
    </font>
    <font>
      <name val="Arial"/>
      <family val="2"/>
      <b val="1"/>
      <sz val="11"/>
    </font>
    <font>
      <name val="Calibri"/>
      <family val="2"/>
      <color rgb="FF000000"/>
      <sz val="10"/>
      <u val="single"/>
    </font>
    <font>
      <name val="Arial"/>
      <family val="2"/>
      <b val="1"/>
      <color theme="1"/>
      <sz val="11"/>
    </font>
  </fonts>
  <fills count="31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0" fontId="3" fillId="18" borderId="4" applyAlignment="1">
      <alignment horizontal="center" vertical="center" wrapText="1"/>
    </xf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 applyProtection="1">
      <protection locked="0" hidden="0"/>
    </xf>
    <xf numFmtId="171" fontId="23" fillId="0" borderId="11" applyProtection="1">
      <protection locked="0" hidden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pivotButton="0" quotePrefix="0" xfId="0"/>
    <xf numFmtId="0" fontId="32" fillId="27" borderId="22" applyAlignment="1" pivotButton="0" quotePrefix="0" xfId="0">
      <alignment horizontal="center" vertical="center"/>
    </xf>
    <xf numFmtId="0" fontId="32" fillId="27" borderId="23" applyAlignment="1" pivotButton="0" quotePrefix="0" xfId="0">
      <alignment horizontal="center" vertical="center"/>
    </xf>
    <xf numFmtId="164" fontId="32" fillId="27" borderId="23" applyAlignment="1" pivotButton="0" quotePrefix="0" xfId="0">
      <alignment horizontal="center" vertical="center"/>
    </xf>
    <xf numFmtId="2" fontId="32" fillId="27" borderId="23" applyAlignment="1" pivotButton="0" quotePrefix="0" xfId="0">
      <alignment horizontal="center" vertical="center"/>
    </xf>
    <xf numFmtId="2" fontId="32" fillId="27" borderId="24" applyAlignment="1" pivotButton="0" quotePrefix="0" xfId="0">
      <alignment horizontal="center" vertical="center"/>
    </xf>
    <xf numFmtId="0" fontId="32" fillId="27" borderId="25" applyAlignment="1" pivotButton="0" quotePrefix="0" xfId="0">
      <alignment horizontal="center" vertical="center"/>
    </xf>
    <xf numFmtId="0" fontId="32" fillId="27" borderId="24" applyAlignment="1" pivotButton="0" quotePrefix="0" xfId="0">
      <alignment horizontal="center" vertical="center"/>
    </xf>
    <xf numFmtId="165" fontId="33" fillId="27" borderId="25" applyAlignment="1" pivotButton="0" quotePrefix="0" xfId="0">
      <alignment horizontal="center" vertical="center" wrapText="1"/>
    </xf>
    <xf numFmtId="0" fontId="33" fillId="27" borderId="24" applyAlignment="1" pivotButton="0" quotePrefix="0" xfId="0">
      <alignment horizontal="center" vertical="center" wrapText="1"/>
    </xf>
    <xf numFmtId="0" fontId="34" fillId="0" borderId="26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/>
    </xf>
    <xf numFmtId="2" fontId="35" fillId="0" borderId="12" applyAlignment="1" pivotButton="0" quotePrefix="0" xfId="0">
      <alignment horizontal="center" vertical="center"/>
    </xf>
    <xf numFmtId="2" fontId="35" fillId="0" borderId="16" applyAlignment="1" pivotButton="0" quotePrefix="0" xfId="0">
      <alignment horizontal="center" vertical="center"/>
    </xf>
    <xf numFmtId="166" fontId="34" fillId="0" borderId="15" applyAlignment="1" pivotButton="0" quotePrefix="0" xfId="0">
      <alignment horizontal="center" vertical="center"/>
    </xf>
    <xf numFmtId="166" fontId="34" fillId="0" borderId="12" applyAlignment="1" pivotButton="0" quotePrefix="0" xfId="0">
      <alignment horizontal="center" vertical="center"/>
    </xf>
    <xf numFmtId="166" fontId="34" fillId="0" borderId="16" applyAlignment="1" pivotButton="0" quotePrefix="0" xfId="0">
      <alignment horizontal="center" vertical="center"/>
    </xf>
    <xf numFmtId="1" fontId="34" fillId="0" borderId="15" applyAlignment="1" pivotButton="0" quotePrefix="0" xfId="0">
      <alignment horizontal="center" vertical="center"/>
    </xf>
    <xf numFmtId="167" fontId="34" fillId="0" borderId="16" applyAlignment="1" pivotButton="0" quotePrefix="0" xfId="0">
      <alignment horizontal="center" vertical="center"/>
    </xf>
    <xf numFmtId="0" fontId="36" fillId="0" borderId="13" applyAlignment="1" pivotButton="0" quotePrefix="0" xfId="58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6" fillId="0" borderId="12" applyAlignment="1" pivotButton="0" quotePrefix="0" xfId="58">
      <alignment horizontal="center" vertical="center"/>
    </xf>
    <xf numFmtId="166" fontId="37" fillId="0" borderId="15" applyAlignment="1" pivotButton="0" quotePrefix="0" xfId="0">
      <alignment horizontal="center" vertical="center"/>
    </xf>
    <xf numFmtId="166" fontId="37" fillId="0" borderId="12" applyAlignment="1" pivotButton="0" quotePrefix="0" xfId="0">
      <alignment horizontal="center" vertical="center"/>
    </xf>
    <xf numFmtId="167" fontId="39" fillId="0" borderId="16" applyAlignment="1" pivotButton="0" quotePrefix="0" xfId="78">
      <alignment horizontal="center" vertical="center"/>
    </xf>
    <xf numFmtId="0" fontId="34" fillId="0" borderId="17" applyAlignment="1" pivotButton="0" quotePrefix="0" xfId="0">
      <alignment horizontal="center" vertical="center"/>
    </xf>
    <xf numFmtId="0" fontId="36" fillId="0" borderId="18" applyAlignment="1" pivotButton="0" quotePrefix="0" xfId="58">
      <alignment horizontal="center" vertical="center"/>
    </xf>
    <xf numFmtId="2" fontId="36" fillId="0" borderId="18" applyAlignment="1" pivotButton="0" quotePrefix="0" xfId="58">
      <alignment horizontal="center" vertical="center"/>
    </xf>
    <xf numFmtId="2" fontId="36" fillId="0" borderId="27" applyAlignment="1" pivotButton="0" quotePrefix="0" xfId="58">
      <alignment horizontal="center" vertical="center"/>
    </xf>
    <xf numFmtId="166" fontId="37" fillId="0" borderId="19" applyAlignment="1" pivotButton="0" quotePrefix="0" xfId="0">
      <alignment horizontal="center" vertical="center"/>
    </xf>
    <xf numFmtId="166" fontId="37" fillId="0" borderId="18" applyAlignment="1" pivotButton="0" quotePrefix="0" xfId="0">
      <alignment horizontal="center" vertical="center"/>
    </xf>
    <xf numFmtId="167" fontId="39" fillId="0" borderId="27" applyAlignment="1" pivotButton="0" quotePrefix="0" xfId="78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14" fontId="0" fillId="0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/>
    </xf>
    <xf numFmtId="2" fontId="38" fillId="0" borderId="12" applyAlignment="1" pivotButton="0" quotePrefix="0" xfId="0">
      <alignment horizontal="center" vertical="center"/>
    </xf>
    <xf numFmtId="2" fontId="38" fillId="0" borderId="16" applyAlignment="1" pivotButton="0" quotePrefix="0" xfId="0">
      <alignment horizontal="center" vertical="center"/>
    </xf>
    <xf numFmtId="166" fontId="37" fillId="0" borderId="16" applyAlignment="1" pivotButton="0" quotePrefix="0" xfId="0">
      <alignment horizontal="center" vertical="center"/>
    </xf>
    <xf numFmtId="166" fontId="37" fillId="0" borderId="27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1" fontId="38" fillId="0" borderId="26" applyAlignment="1" pivotButton="0" quotePrefix="0" xfId="0">
      <alignment horizontal="center" vertical="center"/>
    </xf>
    <xf numFmtId="2" fontId="36" fillId="0" borderId="12" applyAlignment="1" pivotButton="0" quotePrefix="0" xfId="58">
      <alignment horizontal="center" vertical="center"/>
    </xf>
    <xf numFmtId="2" fontId="36" fillId="0" borderId="16" applyAlignment="1" pivotButton="0" quotePrefix="0" xfId="58">
      <alignment horizontal="center" vertical="center"/>
    </xf>
    <xf numFmtId="166" fontId="39" fillId="0" borderId="15" applyAlignment="1" pivotButton="0" quotePrefix="0" xfId="0">
      <alignment horizontal="center" vertical="center"/>
    </xf>
    <xf numFmtId="166" fontId="39" fillId="0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/>
    </xf>
    <xf numFmtId="2" fontId="38" fillId="0" borderId="12" applyAlignment="1" pivotButton="0" quotePrefix="0" xfId="0">
      <alignment horizontal="center"/>
    </xf>
    <xf numFmtId="2" fontId="38" fillId="0" borderId="16" applyAlignment="1" pivotButton="0" quotePrefix="0" xfId="0">
      <alignment horizontal="center"/>
    </xf>
    <xf numFmtId="1" fontId="38" fillId="0" borderId="17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/>
    </xf>
    <xf numFmtId="166" fontId="42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right" vertical="center"/>
    </xf>
    <xf numFmtId="166" fontId="42" fillId="0" borderId="12" applyAlignment="1" pivotButton="0" quotePrefix="0" xfId="0">
      <alignment horizontal="right" vertical="center"/>
    </xf>
    <xf numFmtId="0" fontId="42" fillId="25" borderId="12" applyAlignment="1" pivotButton="0" quotePrefix="0" xfId="0">
      <alignment horizontal="left" vertical="center"/>
    </xf>
    <xf numFmtId="1" fontId="42" fillId="0" borderId="12" applyAlignment="1" pivotButton="0" quotePrefix="0" xfId="0">
      <alignment horizontal="center" vertical="center"/>
    </xf>
    <xf numFmtId="1" fontId="42" fillId="0" borderId="12" applyAlignment="1" pivotButton="0" quotePrefix="0" xfId="0">
      <alignment horizontal="left" vertical="center"/>
    </xf>
    <xf numFmtId="0" fontId="42" fillId="0" borderId="12" applyAlignment="1" pivotButton="0" quotePrefix="0" xfId="0">
      <alignment horizontal="left" vertical="center"/>
    </xf>
    <xf numFmtId="0" fontId="40" fillId="0" borderId="12" applyAlignment="1" pivotButton="0" quotePrefix="0" xfId="82">
      <alignment horizontal="center" vertical="center" wrapText="1"/>
    </xf>
    <xf numFmtId="0" fontId="1" fillId="0" borderId="12" applyAlignment="1" pivotButton="0" quotePrefix="0" xfId="82">
      <alignment horizontal="center"/>
    </xf>
    <xf numFmtId="0" fontId="1" fillId="0" borderId="12" applyAlignment="1" pivotButton="0" quotePrefix="0" xfId="82">
      <alignment horizontal="left"/>
    </xf>
    <xf numFmtId="0" fontId="1" fillId="0" borderId="12" applyAlignment="1" pivotButton="0" quotePrefix="0" xfId="82">
      <alignment vertical="center" wrapText="1"/>
    </xf>
    <xf numFmtId="14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 wrapText="1"/>
    </xf>
    <xf numFmtId="166" fontId="45" fillId="0" borderId="15" applyAlignment="1" pivotButton="0" quotePrefix="0" xfId="0">
      <alignment horizontal="center" vertical="center"/>
    </xf>
    <xf numFmtId="166" fontId="44" fillId="0" borderId="0" applyAlignment="1" pivotButton="0" quotePrefix="0" xfId="0">
      <alignment horizontal="center" vertical="center"/>
    </xf>
    <xf numFmtId="166" fontId="44" fillId="0" borderId="0" applyAlignment="1" pivotButton="0" quotePrefix="0" xfId="0">
      <alignment vertical="center"/>
    </xf>
    <xf numFmtId="166" fontId="42" fillId="0" borderId="12" applyAlignment="1" pivotButton="0" quotePrefix="0" xfId="0">
      <alignment horizontal="center" vertical="center"/>
    </xf>
    <xf numFmtId="168" fontId="42" fillId="25" borderId="12" applyAlignment="1" pivotButton="0" quotePrefix="0" xfId="0">
      <alignment horizontal="center" vertical="center"/>
    </xf>
    <xf numFmtId="168" fontId="42" fillId="0" borderId="12" applyAlignment="1" pivotButton="0" quotePrefix="0" xfId="0">
      <alignment horizontal="center" vertical="center"/>
    </xf>
    <xf numFmtId="1" fontId="42" fillId="25" borderId="12" applyAlignment="1" pivotButton="0" quotePrefix="0" xfId="0">
      <alignment horizontal="center" vertical="center"/>
    </xf>
    <xf numFmtId="1" fontId="44" fillId="28" borderId="12" applyAlignment="1" pivotButton="0" quotePrefix="0" xfId="0">
      <alignment horizontal="center" vertical="center"/>
    </xf>
    <xf numFmtId="0" fontId="44" fillId="28" borderId="12" applyAlignment="1" pivotButton="0" quotePrefix="0" xfId="0">
      <alignment horizontal="center" vertical="center"/>
    </xf>
    <xf numFmtId="49" fontId="44" fillId="28" borderId="12" applyAlignment="1" pivotButton="0" quotePrefix="0" xfId="0">
      <alignment horizontal="center" vertical="center"/>
    </xf>
    <xf numFmtId="0" fontId="46" fillId="28" borderId="12" applyAlignment="1" pivotButton="0" quotePrefix="0" xfId="0">
      <alignment horizontal="center" vertical="center"/>
    </xf>
    <xf numFmtId="1" fontId="44" fillId="26" borderId="12" applyAlignment="1" pivotButton="0" quotePrefix="0" xfId="0">
      <alignment horizontal="center" vertical="center" wrapText="1"/>
    </xf>
    <xf numFmtId="0" fontId="44" fillId="26" borderId="12" applyAlignment="1" pivotButton="0" quotePrefix="0" xfId="0">
      <alignment horizontal="center" vertical="center"/>
    </xf>
    <xf numFmtId="169" fontId="44" fillId="26" borderId="12" applyAlignment="1" pivotButton="0" quotePrefix="0" xfId="0">
      <alignment horizontal="center" vertical="center"/>
    </xf>
    <xf numFmtId="1" fontId="44" fillId="26" borderId="12" applyAlignment="1" pivotButton="0" quotePrefix="0" xfId="0">
      <alignment horizontal="center" vertical="center"/>
    </xf>
    <xf numFmtId="166" fontId="44" fillId="26" borderId="12" applyAlignment="1" pivotButton="0" quotePrefix="0" xfId="0">
      <alignment horizontal="center" vertical="center" wrapText="1"/>
    </xf>
    <xf numFmtId="0" fontId="44" fillId="26" borderId="12" applyAlignment="1" pivotButton="0" quotePrefix="0" xfId="0">
      <alignment horizontal="center" vertical="center" wrapText="1"/>
    </xf>
    <xf numFmtId="0" fontId="42" fillId="29" borderId="12" applyAlignment="1" pivotButton="0" quotePrefix="0" xfId="0">
      <alignment horizontal="left" vertical="center"/>
    </xf>
    <xf numFmtId="1" fontId="42" fillId="29" borderId="12" applyAlignment="1" pivotButton="0" quotePrefix="0" xfId="0">
      <alignment horizontal="left" vertical="center"/>
    </xf>
    <xf numFmtId="168" fontId="42" fillId="29" borderId="12" applyAlignment="1" pivotButton="0" quotePrefix="0" xfId="0">
      <alignment horizontal="center" vertical="center"/>
    </xf>
    <xf numFmtId="1" fontId="42" fillId="29" borderId="12" applyAlignment="1" pivotButton="0" quotePrefix="0" xfId="0">
      <alignment horizontal="center" vertical="center"/>
    </xf>
    <xf numFmtId="0" fontId="0" fillId="0" borderId="21" pivotButton="0" quotePrefix="0" xfId="0"/>
    <xf numFmtId="0" fontId="30" fillId="26" borderId="28" applyAlignment="1" pivotButton="0" quotePrefix="0" xfId="0">
      <alignment vertical="center"/>
    </xf>
    <xf numFmtId="0" fontId="0" fillId="0" borderId="14" pivotButton="0" quotePrefix="0" xfId="0"/>
    <xf numFmtId="0" fontId="28" fillId="26" borderId="28" applyAlignment="1" pivotButton="0" quotePrefix="0" xfId="0">
      <alignment vertical="center"/>
    </xf>
    <xf numFmtId="0" fontId="4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/>
    </xf>
    <xf numFmtId="0" fontId="42" fillId="29" borderId="12" applyAlignment="1" pivotButton="0" quotePrefix="0" xfId="0">
      <alignment horizontal="center" vertical="center"/>
    </xf>
    <xf numFmtId="1" fontId="42" fillId="0" borderId="0" applyAlignment="1" pivotButton="0" quotePrefix="0" xfId="0">
      <alignment horizontal="center" vertical="center"/>
    </xf>
    <xf numFmtId="166" fontId="42" fillId="29" borderId="12" applyAlignment="1" pivotButton="0" quotePrefix="0" xfId="0">
      <alignment horizontal="right" vertical="center"/>
    </xf>
    <xf numFmtId="166" fontId="42" fillId="30" borderId="12" applyAlignment="1" pivotButton="0" quotePrefix="0" xfId="0">
      <alignment horizontal="right" vertical="center"/>
    </xf>
    <xf numFmtId="170" fontId="31" fillId="26" borderId="21" applyAlignment="1" pivotButton="0" quotePrefix="0" xfId="81">
      <alignment horizontal="center" vertical="center" wrapText="1"/>
    </xf>
    <xf numFmtId="0" fontId="0" fillId="0" borderId="21" pivotButton="0" quotePrefix="0" xfId="0"/>
  </cellXfs>
  <cellStyles count="84">
    <cellStyle name="Normal" xfId="0" builtinId="0"/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Comma" xfId="23"/>
    <cellStyle name="Comma [0]" xfId="24"/>
    <cellStyle name="Comma [0] 2" xfId="25"/>
    <cellStyle name="Comma 2" xfId="26"/>
    <cellStyle name="Currency" xfId="27"/>
    <cellStyle name="Currency [0]" xfId="28"/>
    <cellStyle name="Currency [0] 2" xfId="29"/>
    <cellStyle name="Currency 2" xfId="30"/>
    <cellStyle name="D" xfId="31"/>
    <cellStyle name="Date" xfId="32"/>
    <cellStyle name="Date 2" xfId="33"/>
    <cellStyle name="Encabezado 4 2" xfId="34"/>
    <cellStyle name="Énfasis1 2" xfId="35"/>
    <cellStyle name="Énfasis2 2" xfId="36"/>
    <cellStyle name="Énfasis3 2" xfId="37"/>
    <cellStyle name="Énfasis4 2" xfId="38"/>
    <cellStyle name="Énfasis5 2" xfId="39"/>
    <cellStyle name="Énfasis6 2" xfId="40"/>
    <cellStyle name="Entrada 2" xfId="41"/>
    <cellStyle name="Euro" xfId="42"/>
    <cellStyle name="Euro 2" xfId="43"/>
    <cellStyle name="Fixed" xfId="44"/>
    <cellStyle name="Fixed 2" xfId="45"/>
    <cellStyle name="Heading1" xfId="46"/>
    <cellStyle name="Heading1 2" xfId="47"/>
    <cellStyle name="Heading2" xfId="48"/>
    <cellStyle name="Heading2 2" xfId="49"/>
    <cellStyle name="Incorrecto 2" xfId="50"/>
    <cellStyle name="Millares 2" xfId="51"/>
    <cellStyle name="Millares 3" xfId="52"/>
    <cellStyle name="Millares 4" xfId="53"/>
    <cellStyle name="Millares 5" xfId="54"/>
    <cellStyle name="Millares 6" xfId="55"/>
    <cellStyle name="Millares 7" xfId="56"/>
    <cellStyle name="Neutral 2" xfId="57"/>
    <cellStyle name="Normal 2" xfId="58"/>
    <cellStyle name="Normal 2 2" xfId="59"/>
    <cellStyle name="Normal 3" xfId="60"/>
    <cellStyle name="Normal 3 2" xfId="61"/>
    <cellStyle name="Normal 4" xfId="62"/>
    <cellStyle name="Normal 4 2" xfId="63"/>
    <cellStyle name="Notas 2" xfId="64"/>
    <cellStyle name="Percent" xfId="65"/>
    <cellStyle name="Percent 2" xfId="66"/>
    <cellStyle name="Porcentual 2" xfId="67"/>
    <cellStyle name="Salida 2" xfId="68"/>
    <cellStyle name="Texto de advertencia 2" xfId="69"/>
    <cellStyle name="Texto explicativo 2" xfId="70"/>
    <cellStyle name="Título 1 2" xfId="71"/>
    <cellStyle name="Título 2 2" xfId="72"/>
    <cellStyle name="Título 3 2" xfId="73"/>
    <cellStyle name="Título 4" xfId="74"/>
    <cellStyle name="Total 2" xfId="75"/>
    <cellStyle name="Total 2 2" xfId="76"/>
    <cellStyle name="Total 2 3" xfId="77"/>
    <cellStyle name="Porcentaje" xfId="78" builtinId="5"/>
    <cellStyle name="Normal 5" xfId="79"/>
    <cellStyle name="Normal 2 3" xfId="80"/>
    <cellStyle name="Millares [0] 2" xfId="81"/>
    <cellStyle name="Normal 7" xfId="82"/>
    <cellStyle name="Normal 6" xfId="83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b val="1"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AS212"/>
  <sheetViews>
    <sheetView tabSelected="1" topLeftCell="Q1" zoomScale="85" zoomScaleNormal="85" workbookViewId="0">
      <selection activeCell="AM13" sqref="AM13"/>
    </sheetView>
  </sheetViews>
  <sheetFormatPr baseColWidth="10" defaultColWidth="32.42578125" defaultRowHeight="15"/>
  <cols>
    <col width="16.7109375" customWidth="1" style="97" min="1" max="1"/>
    <col width="36.28515625" customWidth="1" style="50" min="2" max="2"/>
    <col width="59.42578125" bestFit="1" customWidth="1" style="50" min="3" max="3"/>
    <col width="15.140625" customWidth="1" style="50" min="4" max="4"/>
    <col width="11.7109375" customWidth="1" style="50" min="5" max="5"/>
    <col width="9.140625" customWidth="1" style="50" min="6" max="6"/>
    <col width="13.85546875" customWidth="1" style="50" min="7" max="7"/>
    <col width="19" customWidth="1" style="50" min="8" max="8"/>
    <col width="21" customWidth="1" style="50" min="9" max="9"/>
    <col width="21.42578125" customWidth="1" style="50" min="10" max="10"/>
    <col width="7.28515625" customWidth="1" style="50" min="11" max="41"/>
    <col width="15.5703125" customWidth="1" style="53" min="42" max="42"/>
    <col width="20.7109375" customWidth="1" style="53" min="43" max="43"/>
    <col width="24.85546875" customWidth="1" style="69" min="44" max="44"/>
    <col width="13.28515625" bestFit="1" customWidth="1" style="70" min="45" max="45"/>
    <col width="32.42578125" customWidth="1" style="50" min="46" max="176"/>
    <col width="32.42578125" customWidth="1" style="50" min="177" max="16384"/>
  </cols>
  <sheetData>
    <row r="1">
      <c r="A1" s="93" t="n"/>
      <c r="G1" s="51" t="n"/>
      <c r="H1" s="51" t="n"/>
      <c r="J1" s="51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</row>
    <row r="2" ht="16.5" customHeight="1">
      <c r="A2" s="75" t="inlineStr">
        <is>
          <t>VARIABLE</t>
        </is>
      </c>
      <c r="B2" s="76" t="inlineStr">
        <is>
          <t>TEMPERATURA MEDIA (°C)</t>
        </is>
      </c>
      <c r="C2" s="77" t="inlineStr">
        <is>
          <t>MES</t>
        </is>
      </c>
      <c r="D2" s="76">
        <f>VLOOKUP(E2,Climatologia_TMED!AA1:AC13,2,FALSE)</f>
        <v/>
      </c>
      <c r="E2" s="76" t="n">
        <v>9</v>
      </c>
      <c r="F2" s="76" t="inlineStr">
        <is>
          <t>AÑO</t>
        </is>
      </c>
      <c r="G2" s="76" t="n">
        <v>2026</v>
      </c>
      <c r="H2" s="78" t="inlineStr">
        <is>
          <t>DIAS</t>
        </is>
      </c>
      <c r="I2" s="78">
        <f>VLOOKUP(E2,Climatologia_TMED!AA1:AC13,3,FALSE)</f>
        <v/>
      </c>
      <c r="P2" s="53" t="n"/>
      <c r="X2" s="54" t="n"/>
      <c r="Y2" s="54" t="n"/>
      <c r="Z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5" t="n"/>
      <c r="AL2" s="54" t="n"/>
      <c r="AN2" s="54" t="n"/>
      <c r="AO2" s="54" t="n"/>
    </row>
    <row r="3" ht="16.5" customHeight="1">
      <c r="A3" s="94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P3" s="53" t="n"/>
      <c r="X3" s="54" t="n"/>
      <c r="Y3" s="54" t="n"/>
      <c r="Z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5" t="n"/>
      <c r="AL3" s="54" t="n"/>
      <c r="AN3" s="54" t="n"/>
      <c r="AO3" s="54" t="n"/>
    </row>
    <row r="4" ht="30" customHeight="1">
      <c r="A4" s="79" t="inlineStr">
        <is>
          <t>CODIGO</t>
        </is>
      </c>
      <c r="B4" s="80" t="inlineStr">
        <is>
          <t>ESTACION</t>
        </is>
      </c>
      <c r="C4" s="80" t="inlineStr">
        <is>
          <t>AREA_OP</t>
        </is>
      </c>
      <c r="D4" s="79" t="inlineStr">
        <is>
          <t>LON</t>
        </is>
      </c>
      <c r="E4" s="79" t="inlineStr">
        <is>
          <t>LAT</t>
        </is>
      </c>
      <c r="F4" s="79" t="inlineStr">
        <is>
          <t>ELEV</t>
        </is>
      </c>
      <c r="G4" s="80" t="inlineStr">
        <is>
          <t>COD_DPTO</t>
        </is>
      </c>
      <c r="H4" s="80" t="inlineStr">
        <is>
          <t>COD_MUNICIPIO</t>
        </is>
      </c>
      <c r="I4" s="80" t="inlineStr">
        <is>
          <t>DEPARTAMENTO</t>
        </is>
      </c>
      <c r="J4" s="80" t="inlineStr">
        <is>
          <t>MUNICIPIO</t>
        </is>
      </c>
      <c r="K4" s="80" t="n">
        <v>1</v>
      </c>
      <c r="L4" s="80" t="n">
        <v>2</v>
      </c>
      <c r="M4" s="80" t="n">
        <v>3</v>
      </c>
      <c r="N4" s="80" t="n">
        <v>4</v>
      </c>
      <c r="O4" s="80" t="n">
        <v>5</v>
      </c>
      <c r="P4" s="80" t="n">
        <v>6</v>
      </c>
      <c r="Q4" s="80" t="n">
        <v>7</v>
      </c>
      <c r="R4" s="80" t="n">
        <v>8</v>
      </c>
      <c r="S4" s="80" t="n">
        <v>9</v>
      </c>
      <c r="T4" s="80" t="n">
        <v>10</v>
      </c>
      <c r="U4" s="81" t="n">
        <v>11</v>
      </c>
      <c r="V4" s="80" t="n">
        <v>12</v>
      </c>
      <c r="W4" s="81" t="n">
        <v>13</v>
      </c>
      <c r="X4" s="80" t="n">
        <v>14</v>
      </c>
      <c r="Y4" s="81" t="n">
        <v>15</v>
      </c>
      <c r="Z4" s="80" t="n">
        <v>16</v>
      </c>
      <c r="AA4" s="81" t="n">
        <v>17</v>
      </c>
      <c r="AB4" s="80" t="n">
        <v>18</v>
      </c>
      <c r="AC4" s="81" t="n">
        <v>19</v>
      </c>
      <c r="AD4" s="80" t="n">
        <v>20</v>
      </c>
      <c r="AE4" s="81" t="n">
        <v>21</v>
      </c>
      <c r="AF4" s="82" t="n">
        <v>22</v>
      </c>
      <c r="AG4" s="82" t="n">
        <v>23</v>
      </c>
      <c r="AH4" s="81" t="n">
        <v>24</v>
      </c>
      <c r="AI4" s="81" t="n">
        <v>25</v>
      </c>
      <c r="AJ4" s="82" t="n">
        <v>26</v>
      </c>
      <c r="AK4" s="81" t="n">
        <v>27</v>
      </c>
      <c r="AL4" s="82" t="n">
        <v>28</v>
      </c>
      <c r="AM4" s="82" t="n">
        <v>29</v>
      </c>
      <c r="AN4" s="82" t="n">
        <v>30</v>
      </c>
      <c r="AO4" s="81" t="n">
        <v>31</v>
      </c>
      <c r="AP4" s="83" t="inlineStr">
        <is>
          <t>NUM_DATOS</t>
        </is>
      </c>
      <c r="AQ4" s="83" t="inlineStr">
        <is>
          <t>MEDIA_MENSUAL</t>
        </is>
      </c>
      <c r="AR4" s="83" t="inlineStr">
        <is>
          <t>MEDIA_MULTIANUAL</t>
        </is>
      </c>
      <c r="AS4" s="84" t="inlineStr">
        <is>
          <t>ANOMALIA</t>
        </is>
      </c>
    </row>
    <row r="5" ht="15" customHeight="1">
      <c r="A5" s="95" t="n">
        <v>17015010</v>
      </c>
      <c r="B5" s="57" t="inlineStr">
        <is>
          <t>Aeropuerto Sesquicentenario</t>
        </is>
      </c>
      <c r="C5" s="59" t="inlineStr">
        <is>
          <t>Grupo Observación y Monitoreo</t>
        </is>
      </c>
      <c r="D5" s="72" t="n">
        <v>-81.70399999999999</v>
      </c>
      <c r="E5" s="72" t="n">
        <v>12.587</v>
      </c>
      <c r="F5" s="74" t="n">
        <v>1</v>
      </c>
      <c r="G5" s="74" t="n">
        <v>88</v>
      </c>
      <c r="H5" s="74" t="n">
        <v>88001</v>
      </c>
      <c r="I5" s="57" t="inlineStr">
        <is>
          <t>Archipiélago de San Andres, Providencia y Santa Catalina</t>
        </is>
      </c>
      <c r="J5" s="57" t="inlineStr">
        <is>
          <t>Isla de San Andrés</t>
        </is>
      </c>
      <c r="K5" s="56" t="n">
        <v>28.6</v>
      </c>
      <c r="L5" s="56" t="n">
        <v>30.1</v>
      </c>
      <c r="M5" s="56" t="n">
        <v>30</v>
      </c>
      <c r="N5" s="56" t="n">
        <v>30.3</v>
      </c>
      <c r="O5" s="56" t="n">
        <v>29.9</v>
      </c>
      <c r="P5" s="56" t="n">
        <v>30</v>
      </c>
      <c r="Q5" s="56" t="n">
        <v>29</v>
      </c>
      <c r="R5" s="56" t="n">
        <v>30.3</v>
      </c>
      <c r="S5" s="56" t="n">
        <v>30.2</v>
      </c>
      <c r="T5" s="56" t="n">
        <v>30</v>
      </c>
      <c r="U5" s="56" t="n">
        <v>30.4</v>
      </c>
      <c r="V5" s="56" t="n">
        <v>29.9</v>
      </c>
      <c r="W5" s="56" t="n">
        <v>30.4</v>
      </c>
      <c r="X5" s="56" t="n">
        <v>29.7</v>
      </c>
      <c r="Y5" s="56" t="n">
        <v>28.3</v>
      </c>
      <c r="Z5" s="56" t="n">
        <v>29</v>
      </c>
      <c r="AA5" s="56" t="n">
        <v>28.9</v>
      </c>
      <c r="AB5" s="56" t="n">
        <v>30</v>
      </c>
      <c r="AC5" s="56" t="n">
        <v>29.8</v>
      </c>
      <c r="AD5" s="56" t="n">
        <v>28.7</v>
      </c>
      <c r="AE5" s="56" t="n">
        <v>28.9</v>
      </c>
      <c r="AF5" s="56" t="n">
        <v>29.8</v>
      </c>
      <c r="AG5" s="56" t="n">
        <v>30</v>
      </c>
      <c r="AH5" s="56" t="n">
        <v>30.1</v>
      </c>
      <c r="AI5" s="56" t="n">
        <v>29.5</v>
      </c>
      <c r="AJ5" s="56" t="n">
        <v>28.7</v>
      </c>
      <c r="AK5" s="56" t="n">
        <v>29.2</v>
      </c>
      <c r="AL5" s="56" t="n"/>
      <c r="AM5" s="56" t="n"/>
      <c r="AN5" s="56" t="n"/>
      <c r="AO5" s="56" t="n"/>
      <c r="AP5" s="58">
        <f>COUNTIF(K5:AO5,"&gt;0")</f>
        <v/>
      </c>
      <c r="AQ5" s="71">
        <f>IF(AP5&gt;14,AVERAGE(K5:AO5),"")</f>
        <v/>
      </c>
      <c r="AR5" s="71">
        <f>IFERROR(VLOOKUP(A5,Climatologia_TMED!A:U,9+$E$2,FALSE),"")</f>
        <v/>
      </c>
      <c r="AS5" s="71">
        <f>IF(OR(AQ5="",AR5=""),"",IFERROR(AQ5-AR5,""))</f>
        <v/>
      </c>
    </row>
    <row r="6" ht="15" customHeight="1">
      <c r="A6" s="95" t="n">
        <v>17025020</v>
      </c>
      <c r="B6" s="59" t="inlineStr">
        <is>
          <t>Aeropuerto El Embrujo</t>
        </is>
      </c>
      <c r="C6" s="59" t="inlineStr">
        <is>
          <t>Grupo Observación y Monitoreo</t>
        </is>
      </c>
      <c r="D6" s="73" t="n">
        <v>-81.358</v>
      </c>
      <c r="E6" s="73" t="n">
        <v>13.36</v>
      </c>
      <c r="F6" s="58" t="n">
        <v>7</v>
      </c>
      <c r="G6" s="58" t="n">
        <v>88</v>
      </c>
      <c r="H6" s="58" t="n">
        <v>88564</v>
      </c>
      <c r="I6" s="60" t="inlineStr">
        <is>
          <t>Archipiélago de San Andres, Providencia y Santa Catalina</t>
        </is>
      </c>
      <c r="J6" s="60" t="inlineStr">
        <is>
          <t>Isla de Providencia</t>
        </is>
      </c>
      <c r="K6" s="56" t="n">
        <v>28.2</v>
      </c>
      <c r="L6" s="56" t="n">
        <v>29.7</v>
      </c>
      <c r="M6" s="56" t="n">
        <v>29.8</v>
      </c>
      <c r="N6" s="56" t="n">
        <v>29.7</v>
      </c>
      <c r="O6" s="56" t="n">
        <v>29.9</v>
      </c>
      <c r="P6" s="56" t="n">
        <v>30.1</v>
      </c>
      <c r="Q6" s="56" t="n">
        <v>30.2</v>
      </c>
      <c r="R6" s="56" t="n">
        <v>30.6</v>
      </c>
      <c r="S6" s="56" t="n">
        <v>30.5</v>
      </c>
      <c r="T6" s="56" t="n">
        <v>30.1</v>
      </c>
      <c r="U6" s="56" t="n">
        <v>29.6</v>
      </c>
      <c r="V6" s="56" t="n">
        <v>30.1</v>
      </c>
      <c r="W6" s="56" t="n">
        <v>29.6</v>
      </c>
      <c r="X6" s="56" t="n">
        <v>30.1</v>
      </c>
      <c r="Y6" s="56" t="n">
        <v>29.7</v>
      </c>
      <c r="Z6" s="56" t="n">
        <v>29.9</v>
      </c>
      <c r="AA6" s="56" t="n">
        <v>29.2</v>
      </c>
      <c r="AB6" s="56" t="n">
        <v>30</v>
      </c>
      <c r="AC6" s="56" t="n">
        <v>30.3</v>
      </c>
      <c r="AD6" s="56" t="n">
        <v>28.7</v>
      </c>
      <c r="AE6" s="56" t="n">
        <v>27.7</v>
      </c>
      <c r="AF6" s="56" t="n">
        <v>29.9</v>
      </c>
      <c r="AG6" s="56" t="n">
        <v>29.6</v>
      </c>
      <c r="AH6" s="56" t="n">
        <v>30.3</v>
      </c>
      <c r="AI6" s="56" t="n">
        <v>30</v>
      </c>
      <c r="AJ6" s="56" t="n">
        <v>29.7</v>
      </c>
      <c r="AK6" s="56" t="n">
        <v>28.4</v>
      </c>
      <c r="AL6" s="56" t="n"/>
      <c r="AM6" s="56" t="n"/>
      <c r="AN6" s="56" t="n"/>
      <c r="AO6" s="56" t="n"/>
      <c r="AP6" s="58">
        <f>COUNTIF(K6:AO6,"&gt;0")</f>
        <v/>
      </c>
      <c r="AQ6" s="71">
        <f>IF(AP6&gt;14,AVERAGE(K6:AO6),"")</f>
        <v/>
      </c>
      <c r="AR6" s="71">
        <f>IFERROR(VLOOKUP(A6,Climatologia_TMED!A:U,9+$E$2,FALSE),"")</f>
        <v/>
      </c>
      <c r="AS6" s="71">
        <f>IF(OR(AQ6="",AR6=""),"",IFERROR(AQ6-AR6,""))</f>
        <v/>
      </c>
    </row>
    <row r="7" ht="15" customHeight="1">
      <c r="A7" s="95" t="n">
        <v>15015050</v>
      </c>
      <c r="B7" s="59" t="inlineStr">
        <is>
          <t>Aeropuerto Simón Bolívar</t>
        </is>
      </c>
      <c r="C7" s="59" t="inlineStr">
        <is>
          <t>Grupo Observación y Monitoreo</t>
        </is>
      </c>
      <c r="D7" s="73" t="n">
        <v>-74.229</v>
      </c>
      <c r="E7" s="73" t="n">
        <v>11.128</v>
      </c>
      <c r="F7" s="58" t="n">
        <v>4</v>
      </c>
      <c r="G7" s="58" t="n">
        <v>47</v>
      </c>
      <c r="H7" s="58" t="n">
        <v>47001</v>
      </c>
      <c r="I7" s="60" t="inlineStr">
        <is>
          <t>Magdalena</t>
        </is>
      </c>
      <c r="J7" s="60" t="inlineStr">
        <is>
          <t>Santa Marta</t>
        </is>
      </c>
      <c r="K7" s="56" t="n">
        <v>28.9</v>
      </c>
      <c r="L7" s="56" t="n">
        <v>31</v>
      </c>
      <c r="M7" s="56" t="n">
        <v>31.5</v>
      </c>
      <c r="N7" s="56" t="n">
        <v>31.4</v>
      </c>
      <c r="O7" s="56" t="n">
        <v>32.5</v>
      </c>
      <c r="P7" s="56" t="n">
        <v>31.2</v>
      </c>
      <c r="Q7" s="56" t="n">
        <v>30.7</v>
      </c>
      <c r="R7" s="56" t="n">
        <v>30.6</v>
      </c>
      <c r="S7" s="56" t="n">
        <v>32.8</v>
      </c>
      <c r="T7" s="56" t="n">
        <v>30.7</v>
      </c>
      <c r="U7" s="56" t="n">
        <v>31.5</v>
      </c>
      <c r="V7" s="56" t="n">
        <v>30.2</v>
      </c>
      <c r="W7" s="56" t="n">
        <v>31.5</v>
      </c>
      <c r="X7" s="56" t="n">
        <v>30.9</v>
      </c>
      <c r="Y7" s="56" t="n">
        <v>31.3</v>
      </c>
      <c r="Z7" s="56" t="n">
        <v>29.9</v>
      </c>
      <c r="AA7" s="56" t="n">
        <v>32.6</v>
      </c>
      <c r="AB7" s="56" t="n">
        <v>32.5</v>
      </c>
      <c r="AC7" s="56" t="n">
        <v>29.7</v>
      </c>
      <c r="AD7" s="56" t="n">
        <v>29.4</v>
      </c>
      <c r="AE7" s="56" t="n">
        <v>29.3</v>
      </c>
      <c r="AF7" s="56" t="n">
        <v>31</v>
      </c>
      <c r="AG7" s="56" t="n">
        <v>32.5</v>
      </c>
      <c r="AH7" s="56" t="n">
        <v>31</v>
      </c>
      <c r="AI7" s="56" t="n">
        <v>29.6</v>
      </c>
      <c r="AJ7" s="56" t="n">
        <v>28.6</v>
      </c>
      <c r="AK7" s="56" t="n">
        <v>28.9</v>
      </c>
      <c r="AL7" s="56" t="n"/>
      <c r="AM7" s="56" t="n"/>
      <c r="AN7" s="56" t="n"/>
      <c r="AO7" s="56" t="n"/>
      <c r="AP7" s="58">
        <f>COUNTIF(K7:AO7,"&gt;0")</f>
        <v/>
      </c>
      <c r="AQ7" s="71">
        <f>IF(AP7&gt;14,AVERAGE(K7:AO7),"")</f>
        <v/>
      </c>
      <c r="AR7" s="71">
        <f>IFERROR(VLOOKUP(A7,Climatologia_TMED!A:U,9+$E$2,FALSE),"")</f>
        <v/>
      </c>
      <c r="AS7" s="71">
        <f>IF(OR(AQ7="",AR7=""),"",IFERROR(AQ7-AR7,""))</f>
        <v/>
      </c>
    </row>
    <row r="8" ht="15" customHeight="1">
      <c r="A8" s="95" t="n">
        <v>14015080</v>
      </c>
      <c r="B8" s="57" t="inlineStr">
        <is>
          <t>Aeropuerto Rafael Nuñez</t>
        </is>
      </c>
      <c r="C8" s="59" t="inlineStr">
        <is>
          <t>Grupo Observación y Monitoreo</t>
        </is>
      </c>
      <c r="D8" s="72" t="n">
        <v>-75.51600000000001</v>
      </c>
      <c r="E8" s="72" t="n">
        <v>10.447</v>
      </c>
      <c r="F8" s="74" t="n">
        <v>2</v>
      </c>
      <c r="G8" s="74" t="n">
        <v>13</v>
      </c>
      <c r="H8" s="74" t="n">
        <v>13001</v>
      </c>
      <c r="I8" s="57" t="inlineStr">
        <is>
          <t>Bolívar</t>
        </is>
      </c>
      <c r="J8" s="57" t="inlineStr">
        <is>
          <t>Cartagena de Indias</t>
        </is>
      </c>
      <c r="K8" s="56" t="n">
        <v>29.8</v>
      </c>
      <c r="L8" s="56" t="n">
        <v>30.5</v>
      </c>
      <c r="M8" s="56" t="n">
        <v>30.5</v>
      </c>
      <c r="N8" s="56" t="n">
        <v>30.6</v>
      </c>
      <c r="O8" s="56" t="n">
        <v>31.7</v>
      </c>
      <c r="P8" s="56" t="n">
        <v>31.5</v>
      </c>
      <c r="Q8" s="56" t="n">
        <v>30.2</v>
      </c>
      <c r="R8" s="56" t="n">
        <v>31.1</v>
      </c>
      <c r="S8" s="56" t="n">
        <v>31.3</v>
      </c>
      <c r="T8" s="56" t="n">
        <v>31.2</v>
      </c>
      <c r="U8" s="56" t="n">
        <v>30.3</v>
      </c>
      <c r="V8" s="56" t="n">
        <v>30.6</v>
      </c>
      <c r="W8" s="56" t="n">
        <v>30.3</v>
      </c>
      <c r="X8" s="56" t="n">
        <v>29.8</v>
      </c>
      <c r="Y8" s="56" t="n">
        <v>29.5</v>
      </c>
      <c r="Z8" s="56" t="n">
        <v>29.7</v>
      </c>
      <c r="AA8" s="56" t="n">
        <v>30.2</v>
      </c>
      <c r="AB8" s="56" t="n">
        <v>31</v>
      </c>
      <c r="AC8" s="56" t="n"/>
      <c r="AD8" s="56" t="n">
        <v>29.9</v>
      </c>
      <c r="AE8" s="56" t="n">
        <v>29.2</v>
      </c>
      <c r="AF8" s="56" t="n">
        <v>29.8</v>
      </c>
      <c r="AG8" s="56" t="n">
        <v>30.9</v>
      </c>
      <c r="AH8" s="56" t="n">
        <v>30.9</v>
      </c>
      <c r="AI8" s="56" t="n">
        <v>30.6</v>
      </c>
      <c r="AJ8" s="56" t="n">
        <v>26.6</v>
      </c>
      <c r="AK8" s="56" t="n">
        <v>28.7</v>
      </c>
      <c r="AL8" s="56" t="n"/>
      <c r="AM8" s="56" t="n"/>
      <c r="AN8" s="56" t="n"/>
      <c r="AO8" s="56" t="n"/>
      <c r="AP8" s="58">
        <f>COUNTIF(K8:AO8,"&gt;0")</f>
        <v/>
      </c>
      <c r="AQ8" s="71">
        <f>IF(AP8&gt;14,AVERAGE(K8:AO8),"")</f>
        <v/>
      </c>
      <c r="AR8" s="71">
        <f>IFERROR(VLOOKUP(A8,Climatologia_TMED!A:U,9+$E$2,FALSE),"")</f>
        <v/>
      </c>
      <c r="AS8" s="71">
        <f>IF(OR(AQ8="",AR8=""),"",IFERROR(AQ8-AR8,""))</f>
        <v/>
      </c>
    </row>
    <row r="9" ht="15" customHeight="1">
      <c r="A9" s="95" t="n">
        <v>29045190</v>
      </c>
      <c r="B9" s="57" t="inlineStr">
        <is>
          <t xml:space="preserve">Aeropuerto Ernesto Cortissoz - AUT </t>
        </is>
      </c>
      <c r="C9" s="59" t="inlineStr">
        <is>
          <t>Grupo Observación y Monitoreo</t>
        </is>
      </c>
      <c r="D9" s="72" t="n">
        <v>-74.78</v>
      </c>
      <c r="E9" s="72" t="n">
        <v>10.918</v>
      </c>
      <c r="F9" s="74" t="n">
        <v>14</v>
      </c>
      <c r="G9" s="74" t="n">
        <v>8</v>
      </c>
      <c r="H9" s="74" t="n">
        <v>8758</v>
      </c>
      <c r="I9" s="57" t="inlineStr">
        <is>
          <t>Atlántico</t>
        </is>
      </c>
      <c r="J9" s="57" t="inlineStr">
        <is>
          <t>Soledad</t>
        </is>
      </c>
      <c r="K9" s="56" t="n">
        <v>29.8</v>
      </c>
      <c r="L9" s="56" t="n">
        <v>30.4</v>
      </c>
      <c r="M9" s="56" t="n">
        <v>30.4</v>
      </c>
      <c r="N9" s="56" t="n">
        <v>31</v>
      </c>
      <c r="O9" s="56" t="n">
        <v>29.6</v>
      </c>
      <c r="P9" s="56" t="n">
        <v>31.6</v>
      </c>
      <c r="Q9" s="56" t="n">
        <v>30.1</v>
      </c>
      <c r="R9" s="56" t="n">
        <v>30.7</v>
      </c>
      <c r="S9" s="56" t="n">
        <v>31</v>
      </c>
      <c r="T9" s="56" t="n">
        <v>30.8</v>
      </c>
      <c r="U9" s="56" t="n">
        <v>30.1</v>
      </c>
      <c r="V9" s="56" t="n">
        <v>30.1</v>
      </c>
      <c r="W9" s="56" t="n">
        <v>30.1</v>
      </c>
      <c r="X9" s="56" t="n">
        <v>29.8</v>
      </c>
      <c r="Y9" s="56" t="n">
        <v>30</v>
      </c>
      <c r="Z9" s="56" t="n">
        <v>29.2</v>
      </c>
      <c r="AA9" s="56" t="n">
        <v>29.4</v>
      </c>
      <c r="AB9" s="56" t="n">
        <v>32.5</v>
      </c>
      <c r="AC9" s="56" t="n">
        <v>28.6</v>
      </c>
      <c r="AD9" s="56" t="n">
        <v>29.9</v>
      </c>
      <c r="AE9" s="56" t="n"/>
      <c r="AF9" s="56" t="n">
        <v>30.1</v>
      </c>
      <c r="AG9" s="56" t="n">
        <v>30.7</v>
      </c>
      <c r="AH9" s="56" t="n">
        <v>30.4</v>
      </c>
      <c r="AI9" s="56" t="n">
        <v>29.5</v>
      </c>
      <c r="AJ9" s="56" t="n">
        <v>27</v>
      </c>
      <c r="AK9" s="56" t="n">
        <v>26.9</v>
      </c>
      <c r="AL9" s="56" t="n"/>
      <c r="AM9" s="56" t="n"/>
      <c r="AN9" s="56" t="n"/>
      <c r="AO9" s="56" t="n"/>
      <c r="AP9" s="58">
        <f>COUNTIF(K9:AO9,"&gt;0")</f>
        <v/>
      </c>
      <c r="AQ9" s="71">
        <f>IF(AP9&gt;14,AVERAGE(K9:AO9),"")</f>
        <v/>
      </c>
      <c r="AR9" s="71">
        <f>IFERROR(VLOOKUP(A9,Climatologia_TMED!A:U,9+$E$2,FALSE),"")</f>
        <v/>
      </c>
      <c r="AS9" s="71">
        <f>IF(OR(AQ9="",AR9=""),"",IFERROR(AQ9-AR9,""))</f>
        <v/>
      </c>
    </row>
    <row r="10" ht="15" customHeight="1">
      <c r="A10" s="95" t="n">
        <v>15065180</v>
      </c>
      <c r="B10" s="57" t="inlineStr">
        <is>
          <t xml:space="preserve">Aeropuerto Almirante Padilla </t>
        </is>
      </c>
      <c r="C10" s="59" t="inlineStr">
        <is>
          <t>Grupo Observación y Monitoreo</t>
        </is>
      </c>
      <c r="D10" s="72" t="n">
        <v>-72.91800000000001</v>
      </c>
      <c r="E10" s="72" t="n">
        <v>11.53</v>
      </c>
      <c r="F10" s="74" t="n">
        <v>4</v>
      </c>
      <c r="G10" s="74" t="n">
        <v>44</v>
      </c>
      <c r="H10" s="74" t="n">
        <v>44001</v>
      </c>
      <c r="I10" s="57" t="inlineStr">
        <is>
          <t>La Guajira</t>
        </is>
      </c>
      <c r="J10" s="57" t="inlineStr">
        <is>
          <t>Riohacha</t>
        </is>
      </c>
      <c r="K10" s="56" t="n">
        <v>29.7</v>
      </c>
      <c r="L10" s="56" t="n">
        <v>30.5</v>
      </c>
      <c r="M10" s="56" t="n">
        <v>33.3</v>
      </c>
      <c r="N10" s="56" t="n">
        <v>31.3</v>
      </c>
      <c r="O10" s="56" t="n">
        <v>32.5</v>
      </c>
      <c r="P10" s="56" t="n">
        <v>33.3</v>
      </c>
      <c r="Q10" s="56" t="n">
        <v>32.4</v>
      </c>
      <c r="R10" s="56" t="n">
        <v>33.9</v>
      </c>
      <c r="S10" s="56" t="n">
        <v>32.3</v>
      </c>
      <c r="T10" s="56" t="n">
        <v>32.5</v>
      </c>
      <c r="U10" s="56" t="n">
        <v>33.2</v>
      </c>
      <c r="V10" s="56" t="n">
        <v>32.9</v>
      </c>
      <c r="W10" s="56" t="n">
        <v>33.2</v>
      </c>
      <c r="X10" s="56" t="n">
        <v>31.4</v>
      </c>
      <c r="Y10" s="56" t="n">
        <v>30.3</v>
      </c>
      <c r="Z10" s="56" t="n">
        <v>32.5</v>
      </c>
      <c r="AA10" s="56" t="n">
        <v>30.4</v>
      </c>
      <c r="AB10" s="56" t="n">
        <v>33.1</v>
      </c>
      <c r="AC10" s="56" t="n">
        <v>28.7</v>
      </c>
      <c r="AD10" s="56" t="n">
        <v>28.8</v>
      </c>
      <c r="AE10" s="56" t="n">
        <v>29.6</v>
      </c>
      <c r="AF10" s="56" t="n">
        <v>29.8</v>
      </c>
      <c r="AG10" s="56" t="n">
        <v>30.5</v>
      </c>
      <c r="AH10" s="56" t="n">
        <v>31.7</v>
      </c>
      <c r="AI10" s="56" t="n">
        <v>31</v>
      </c>
      <c r="AJ10" s="56" t="n">
        <v>28.2</v>
      </c>
      <c r="AK10" s="56" t="n">
        <v>29.1</v>
      </c>
      <c r="AL10" s="56" t="n"/>
      <c r="AM10" s="56" t="n"/>
      <c r="AN10" s="56" t="n"/>
      <c r="AO10" s="56" t="n"/>
      <c r="AP10" s="58">
        <f>COUNTIF(K10:AO10,"&gt;0")</f>
        <v/>
      </c>
      <c r="AQ10" s="71">
        <f>IF(AP10&gt;14,AVERAGE(K10:AO10),"")</f>
        <v/>
      </c>
      <c r="AR10" s="71">
        <f>IFERROR(VLOOKUP(A10,Climatologia_TMED!A:U,9+$E$2,FALSE),"")</f>
        <v/>
      </c>
      <c r="AS10" s="71">
        <f>IF(OR(AQ10="",AR10=""),"",IFERROR(AQ10-AR10,""))</f>
        <v/>
      </c>
    </row>
    <row r="11" ht="15" customHeight="1">
      <c r="A11" s="95" t="n">
        <v>28025502</v>
      </c>
      <c r="B11" s="60" t="inlineStr">
        <is>
          <t>Aeropuerto Alfonso López</t>
        </is>
      </c>
      <c r="C11" s="59" t="inlineStr">
        <is>
          <t>Grupo Observación y Monitoreo</t>
        </is>
      </c>
      <c r="D11" s="73" t="n">
        <v>-73.248</v>
      </c>
      <c r="E11" s="73" t="n">
        <v>10.436</v>
      </c>
      <c r="F11" s="58" t="n">
        <v>138</v>
      </c>
      <c r="G11" s="58" t="n">
        <v>20</v>
      </c>
      <c r="H11" s="58" t="n">
        <v>20001</v>
      </c>
      <c r="I11" s="60" t="inlineStr">
        <is>
          <t>Cesar</t>
        </is>
      </c>
      <c r="J11" s="60" t="inlineStr">
        <is>
          <t>Valledupar</t>
        </is>
      </c>
      <c r="K11" s="56" t="n">
        <v>28.5</v>
      </c>
      <c r="L11" s="56" t="n">
        <v>31.6</v>
      </c>
      <c r="M11" s="56" t="n">
        <v>32.8</v>
      </c>
      <c r="N11" s="56" t="n">
        <v>33.5</v>
      </c>
      <c r="O11" s="56" t="n">
        <v>32.6</v>
      </c>
      <c r="P11" s="56" t="n">
        <v>31.5</v>
      </c>
      <c r="Q11" s="56" t="n">
        <v>30.9</v>
      </c>
      <c r="R11" s="56" t="n">
        <v>34.8</v>
      </c>
      <c r="S11" s="56" t="n">
        <v>34.5</v>
      </c>
      <c r="T11" s="56" t="n">
        <v>33.2</v>
      </c>
      <c r="U11" s="56" t="n">
        <v>32.9</v>
      </c>
      <c r="V11" s="56" t="n">
        <v>32.9</v>
      </c>
      <c r="W11" s="56" t="n">
        <v>32.9</v>
      </c>
      <c r="X11" s="56" t="n">
        <v>31.7</v>
      </c>
      <c r="Y11" s="56" t="n">
        <v>31.3</v>
      </c>
      <c r="Z11" s="56" t="n">
        <v>30.9</v>
      </c>
      <c r="AA11" s="56" t="n">
        <v>34.4</v>
      </c>
      <c r="AB11" s="56" t="n">
        <v>33.7</v>
      </c>
      <c r="AC11" s="56" t="n">
        <v>29.8</v>
      </c>
      <c r="AD11" s="56" t="n">
        <v>30.3</v>
      </c>
      <c r="AE11" s="56" t="n">
        <v>30</v>
      </c>
      <c r="AF11" s="56" t="n">
        <v>31.4</v>
      </c>
      <c r="AG11" s="56" t="n">
        <v>30.6</v>
      </c>
      <c r="AH11" s="56" t="n">
        <v>30.8</v>
      </c>
      <c r="AI11" s="56" t="n">
        <v>27.8</v>
      </c>
      <c r="AJ11" s="56" t="n">
        <v>28.4</v>
      </c>
      <c r="AK11" s="56" t="n">
        <v>26.6</v>
      </c>
      <c r="AL11" s="56" t="n"/>
      <c r="AM11" s="56" t="n"/>
      <c r="AN11" s="56" t="n"/>
      <c r="AO11" s="56" t="n"/>
      <c r="AP11" s="58">
        <f>COUNTIF(K11:AO11,"&gt;0")</f>
        <v/>
      </c>
      <c r="AQ11" s="71">
        <f>IF(AP11&gt;14,AVERAGE(K11:AO11),"")</f>
        <v/>
      </c>
      <c r="AR11" s="71">
        <f>IFERROR(VLOOKUP(A11,Climatologia_TMED!A:U,9+$E$2,FALSE),"")</f>
        <v/>
      </c>
      <c r="AS11" s="71">
        <f>IF(OR(AQ11="",AR11=""),"",IFERROR(AQ11-AR11,""))</f>
        <v/>
      </c>
    </row>
    <row r="12" ht="15" customHeight="1">
      <c r="A12" s="95" t="n">
        <v>13035501</v>
      </c>
      <c r="B12" s="57" t="inlineStr">
        <is>
          <t>Aeropuerto Los Garzones</t>
        </is>
      </c>
      <c r="C12" s="59" t="inlineStr">
        <is>
          <t>Grupo Observación y Monitoreo</t>
        </is>
      </c>
      <c r="D12" s="72" t="n">
        <v>-75.825</v>
      </c>
      <c r="E12" s="72" t="n">
        <v>8.826000000000001</v>
      </c>
      <c r="F12" s="74" t="n">
        <v>20</v>
      </c>
      <c r="G12" s="74" t="n">
        <v>23</v>
      </c>
      <c r="H12" s="74" t="n">
        <v>23001</v>
      </c>
      <c r="I12" s="57" t="inlineStr">
        <is>
          <t>Córdoba</t>
        </is>
      </c>
      <c r="J12" s="57" t="inlineStr">
        <is>
          <t>Montería</t>
        </is>
      </c>
      <c r="K12" s="56" t="n">
        <v>29.7</v>
      </c>
      <c r="L12" s="56" t="n">
        <v>29.9</v>
      </c>
      <c r="M12" s="56" t="n">
        <v>30.5</v>
      </c>
      <c r="N12" s="56" t="n">
        <v>30.3</v>
      </c>
      <c r="O12" s="56" t="n">
        <v>29.5</v>
      </c>
      <c r="P12" s="56" t="n">
        <v>28.2</v>
      </c>
      <c r="Q12" s="56" t="n">
        <v>29.4</v>
      </c>
      <c r="R12" s="56" t="n">
        <v>31.4</v>
      </c>
      <c r="S12" s="56" t="n">
        <v>30.3</v>
      </c>
      <c r="T12" s="56" t="n">
        <v>28.3</v>
      </c>
      <c r="U12" s="56" t="n">
        <v>28.1</v>
      </c>
      <c r="V12" s="56" t="n">
        <v>30.2</v>
      </c>
      <c r="W12" s="56" t="n">
        <v>28.1</v>
      </c>
      <c r="X12" s="56" t="n">
        <v>29.4</v>
      </c>
      <c r="Y12" s="56" t="n">
        <v>28.2</v>
      </c>
      <c r="Z12" s="56" t="n">
        <v>28.9</v>
      </c>
      <c r="AA12" s="56" t="n">
        <v>31.9</v>
      </c>
      <c r="AB12" s="56" t="n">
        <v>31.3</v>
      </c>
      <c r="AC12" s="56" t="n"/>
      <c r="AD12" s="56" t="n">
        <v>29</v>
      </c>
      <c r="AE12" s="56" t="n">
        <v>28.9</v>
      </c>
      <c r="AF12" s="56" t="n">
        <v>29.2</v>
      </c>
      <c r="AG12" s="56" t="n">
        <v>28.5</v>
      </c>
      <c r="AH12" s="56" t="n">
        <v>29.8</v>
      </c>
      <c r="AI12" s="56" t="n">
        <v>29.5</v>
      </c>
      <c r="AJ12" s="56" t="n">
        <v>26.7</v>
      </c>
      <c r="AK12" s="56" t="n">
        <v>28.4</v>
      </c>
      <c r="AL12" s="56" t="n"/>
      <c r="AM12" s="56" t="n"/>
      <c r="AN12" s="56" t="n"/>
      <c r="AO12" s="56" t="n"/>
      <c r="AP12" s="58">
        <f>COUNTIF(K12:AO12,"&gt;0")</f>
        <v/>
      </c>
      <c r="AQ12" s="71">
        <f>IF(AP12&gt;14,AVERAGE(K12:AO12),"")</f>
        <v/>
      </c>
      <c r="AR12" s="71">
        <f>IFERROR(VLOOKUP(A12,Climatologia_TMED!A:U,9+$E$2,FALSE),"")</f>
        <v/>
      </c>
      <c r="AS12" s="71">
        <f>IF(OR(AQ12="",AR12=""),"",IFERROR(AQ12-AR12,""))</f>
        <v/>
      </c>
    </row>
    <row r="13" ht="15" customHeight="1">
      <c r="A13" s="95" t="n">
        <v>23155030</v>
      </c>
      <c r="B13" s="59" t="inlineStr">
        <is>
          <t>Aeropuerto Yariguies</t>
        </is>
      </c>
      <c r="C13" s="59" t="inlineStr">
        <is>
          <t>Grupo Observación y Monitoreo</t>
        </is>
      </c>
      <c r="D13" s="73" t="n">
        <v>-73.809</v>
      </c>
      <c r="E13" s="73" t="n">
        <v>7.026</v>
      </c>
      <c r="F13" s="58" t="n">
        <v>126</v>
      </c>
      <c r="G13" s="58" t="n">
        <v>68</v>
      </c>
      <c r="H13" s="58" t="n">
        <v>68081</v>
      </c>
      <c r="I13" s="60" t="inlineStr">
        <is>
          <t>Santander</t>
        </is>
      </c>
      <c r="J13" s="60" t="inlineStr">
        <is>
          <t>Barrancabermeja</t>
        </is>
      </c>
      <c r="K13" s="56" t="n">
        <v>30.1</v>
      </c>
      <c r="L13" s="56" t="n">
        <v>29.9</v>
      </c>
      <c r="M13" s="56" t="n">
        <v>29.8</v>
      </c>
      <c r="N13" s="56" t="n">
        <v>31.1</v>
      </c>
      <c r="O13" s="56" t="n">
        <v>31.6</v>
      </c>
      <c r="P13" s="56" t="n">
        <v>29.5</v>
      </c>
      <c r="Q13" s="56" t="n">
        <v>30.7</v>
      </c>
      <c r="R13" s="56" t="n">
        <v>31</v>
      </c>
      <c r="S13" s="56" t="n">
        <v>32.9</v>
      </c>
      <c r="T13" s="56" t="n">
        <v>31.3</v>
      </c>
      <c r="U13" s="56" t="n">
        <v>28.5</v>
      </c>
      <c r="V13" s="56" t="n">
        <v>31.9</v>
      </c>
      <c r="W13" s="56" t="n">
        <v>28.5</v>
      </c>
      <c r="X13" s="56" t="n">
        <v>32.1</v>
      </c>
      <c r="Y13" s="56" t="n">
        <v>31</v>
      </c>
      <c r="Z13" s="56" t="n">
        <v>27.8</v>
      </c>
      <c r="AA13" s="56" t="n">
        <v>31.8</v>
      </c>
      <c r="AB13" s="56" t="n">
        <v>32.4</v>
      </c>
      <c r="AC13" s="56" t="n">
        <v>26.9</v>
      </c>
      <c r="AD13" s="56" t="n">
        <v>30.4</v>
      </c>
      <c r="AE13" s="56" t="n">
        <v>28.1</v>
      </c>
      <c r="AF13" s="56" t="n">
        <v>29.6</v>
      </c>
      <c r="AG13" s="56" t="n">
        <v>27.5</v>
      </c>
      <c r="AH13" s="56" t="n">
        <v>29.9</v>
      </c>
      <c r="AI13" s="56" t="n">
        <v>26.3</v>
      </c>
      <c r="AJ13" s="56" t="n">
        <v>28.6</v>
      </c>
      <c r="AK13" s="56" t="n">
        <v>27.4</v>
      </c>
      <c r="AL13" s="56" t="n"/>
      <c r="AM13" s="56" t="n"/>
      <c r="AN13" s="56" t="n"/>
      <c r="AO13" s="56" t="n"/>
      <c r="AP13" s="58">
        <f>COUNTIF(K13:AO13,"&gt;0")</f>
        <v/>
      </c>
      <c r="AQ13" s="71">
        <f>IF(AP13&gt;14,AVERAGE(K13:AO13),"")</f>
        <v/>
      </c>
      <c r="AR13" s="71">
        <f>IFERROR(VLOOKUP(A13,Climatologia_TMED!A:U,9+$E$2,FALSE),"")</f>
        <v/>
      </c>
      <c r="AS13" s="71">
        <f>IF(OR(AQ13="",AR13=""),"",IFERROR(AQ13-AR13,""))</f>
        <v/>
      </c>
    </row>
    <row r="14" ht="15" customHeight="1">
      <c r="A14" s="95" t="n">
        <v>23195502</v>
      </c>
      <c r="B14" s="59" t="inlineStr">
        <is>
          <t>Aeropuerto Palonegro</t>
        </is>
      </c>
      <c r="C14" s="59" t="inlineStr">
        <is>
          <t>Grupo Observación y Monitoreo</t>
        </is>
      </c>
      <c r="D14" s="73" t="n">
        <v>-73.185</v>
      </c>
      <c r="E14" s="73" t="n">
        <v>7.121</v>
      </c>
      <c r="F14" s="58" t="n">
        <v>1189</v>
      </c>
      <c r="G14" s="58" t="n">
        <v>68</v>
      </c>
      <c r="H14" s="58" t="n">
        <v>68406</v>
      </c>
      <c r="I14" s="60" t="inlineStr">
        <is>
          <t>Santander</t>
        </is>
      </c>
      <c r="J14" s="60" t="inlineStr">
        <is>
          <t>Lebrija</t>
        </is>
      </c>
      <c r="K14" s="56" t="n">
        <v>22.3</v>
      </c>
      <c r="L14" s="56" t="n">
        <v>23</v>
      </c>
      <c r="M14" s="56" t="n">
        <v>23.4</v>
      </c>
      <c r="N14" s="56" t="n">
        <v>24.3</v>
      </c>
      <c r="O14" s="56" t="n">
        <v>24.8</v>
      </c>
      <c r="P14" s="56" t="n">
        <v>23.5</v>
      </c>
      <c r="Q14" s="56" t="n">
        <v>22.7</v>
      </c>
      <c r="R14" s="56" t="n">
        <v>24.4</v>
      </c>
      <c r="S14" s="56" t="n">
        <v>24.8</v>
      </c>
      <c r="T14" s="56" t="n">
        <v>24.3</v>
      </c>
      <c r="U14" s="56" t="n">
        <v>23.6</v>
      </c>
      <c r="V14" s="56" t="n">
        <v>24.6</v>
      </c>
      <c r="W14" s="56" t="n">
        <v>23.6</v>
      </c>
      <c r="X14" s="56" t="n">
        <v>23.6</v>
      </c>
      <c r="Y14" s="56" t="n">
        <v>24.7</v>
      </c>
      <c r="Z14" s="56" t="n">
        <v>23.3</v>
      </c>
      <c r="AA14" s="56" t="n">
        <v>25.5</v>
      </c>
      <c r="AB14" s="56" t="n">
        <v>24.1</v>
      </c>
      <c r="AC14" s="56" t="n">
        <v>23.8</v>
      </c>
      <c r="AD14" s="56" t="n">
        <v>22.9</v>
      </c>
      <c r="AE14" s="56" t="n">
        <v>23.2</v>
      </c>
      <c r="AF14" s="56" t="n">
        <v>23.8</v>
      </c>
      <c r="AG14" s="56" t="n">
        <v>23.9</v>
      </c>
      <c r="AH14" s="56" t="n">
        <v>24.1</v>
      </c>
      <c r="AI14" s="56" t="n">
        <v>23.1</v>
      </c>
      <c r="AJ14" s="56" t="n">
        <v>23.1</v>
      </c>
      <c r="AK14" s="56" t="n">
        <v>22.4</v>
      </c>
      <c r="AL14" s="56" t="n"/>
      <c r="AM14" s="56" t="n"/>
      <c r="AN14" s="56" t="n"/>
      <c r="AO14" s="56" t="n"/>
      <c r="AP14" s="58">
        <f>COUNTIF(K14:AO14,"&gt;0")</f>
        <v/>
      </c>
      <c r="AQ14" s="71">
        <f>IF(AP14&gt;14,AVERAGE(K14:AO14),"")</f>
        <v/>
      </c>
      <c r="AR14" s="71">
        <f>IFERROR(VLOOKUP(A14,Climatologia_TMED!A:U,9+$E$2,FALSE),"")</f>
        <v/>
      </c>
      <c r="AS14" s="71">
        <f>IF(OR(AQ14="",AR14=""),"",IFERROR(AQ14-AR14,""))</f>
        <v/>
      </c>
    </row>
    <row r="15" ht="15" customHeight="1">
      <c r="A15" s="95" t="n">
        <v>16015010</v>
      </c>
      <c r="B15" s="57" t="inlineStr">
        <is>
          <t>Aeropuerto Camilo Daza</t>
        </is>
      </c>
      <c r="C15" s="59" t="inlineStr">
        <is>
          <t>Grupo Observación y Monitoreo</t>
        </is>
      </c>
      <c r="D15" s="72" t="n">
        <v>-72.509</v>
      </c>
      <c r="E15" s="72" t="n">
        <v>7.93</v>
      </c>
      <c r="F15" s="74" t="n">
        <v>250</v>
      </c>
      <c r="G15" s="74" t="n">
        <v>54</v>
      </c>
      <c r="H15" s="74" t="n">
        <v>54001</v>
      </c>
      <c r="I15" s="57" t="inlineStr">
        <is>
          <t>Norte de Santander</t>
        </is>
      </c>
      <c r="J15" s="57" t="inlineStr">
        <is>
          <t>Cúcuta</t>
        </is>
      </c>
      <c r="K15" s="56" t="n">
        <v>30.6</v>
      </c>
      <c r="L15" s="56" t="n">
        <v>29.6</v>
      </c>
      <c r="M15" s="56" t="n">
        <v>31.1</v>
      </c>
      <c r="N15" s="56" t="n">
        <v>31</v>
      </c>
      <c r="O15" s="56" t="n">
        <v>31.6</v>
      </c>
      <c r="P15" s="56" t="n">
        <v>29.8</v>
      </c>
      <c r="Q15" s="56" t="n">
        <v>31.3</v>
      </c>
      <c r="R15" s="56" t="n">
        <v>29.9</v>
      </c>
      <c r="S15" s="56" t="n">
        <v>31.9</v>
      </c>
      <c r="T15" s="56" t="n">
        <v>30</v>
      </c>
      <c r="U15" s="56" t="n">
        <v>30.5</v>
      </c>
      <c r="V15" s="56" t="n">
        <v>31.8</v>
      </c>
      <c r="W15" s="56" t="n">
        <v>30.5</v>
      </c>
      <c r="X15" s="56" t="n">
        <v>31.9</v>
      </c>
      <c r="Y15" s="56" t="n">
        <v>32</v>
      </c>
      <c r="Z15" s="56" t="n">
        <v>31.5</v>
      </c>
      <c r="AA15" s="56" t="n">
        <v>31.3</v>
      </c>
      <c r="AB15" s="56" t="n">
        <v>32.4</v>
      </c>
      <c r="AC15" s="56" t="n">
        <v>32</v>
      </c>
      <c r="AD15" s="56" t="n">
        <v>31</v>
      </c>
      <c r="AE15" s="56" t="n">
        <v>33.2</v>
      </c>
      <c r="AF15" s="56" t="n">
        <v>32.3</v>
      </c>
      <c r="AG15" s="56" t="n">
        <v>32.8</v>
      </c>
      <c r="AH15" s="56" t="n">
        <v>29.9</v>
      </c>
      <c r="AI15" s="56" t="n">
        <v>31.4</v>
      </c>
      <c r="AJ15" s="56" t="n">
        <v>32.1</v>
      </c>
      <c r="AK15" s="56" t="n">
        <v>28.5</v>
      </c>
      <c r="AL15" s="56" t="n"/>
      <c r="AM15" s="56" t="n"/>
      <c r="AN15" s="56" t="n"/>
      <c r="AO15" s="56" t="n"/>
      <c r="AP15" s="58">
        <f>COUNTIF(K15:AO15,"&gt;0")</f>
        <v/>
      </c>
      <c r="AQ15" s="71">
        <f>IF(AP15&gt;14,AVERAGE(K15:AO15),"")</f>
        <v/>
      </c>
      <c r="AR15" s="71">
        <f>IFERROR(VLOOKUP(A15,Climatologia_TMED!A:U,9+$E$2,FALSE),"")</f>
        <v/>
      </c>
      <c r="AS15" s="71">
        <f>IF(OR(AQ15="",AR15=""),"",IFERROR(AQ15-AR15,""))</f>
        <v/>
      </c>
    </row>
    <row r="16" ht="15" customHeight="1">
      <c r="A16" s="95" t="n">
        <v>12015070</v>
      </c>
      <c r="B16" s="59" t="inlineStr">
        <is>
          <t>Aeropuerto Los Cedros</t>
        </is>
      </c>
      <c r="C16" s="59" t="inlineStr">
        <is>
          <t>Grupo Observación y Monitoreo</t>
        </is>
      </c>
      <c r="D16" s="73" t="n">
        <v>-76.718</v>
      </c>
      <c r="E16" s="73" t="n">
        <v>7.816</v>
      </c>
      <c r="F16" s="58" t="n">
        <v>41</v>
      </c>
      <c r="G16" s="58" t="n">
        <v>5</v>
      </c>
      <c r="H16" s="58" t="n">
        <v>5147</v>
      </c>
      <c r="I16" s="60" t="inlineStr">
        <is>
          <t>Antioquia</t>
        </is>
      </c>
      <c r="J16" s="60" t="inlineStr">
        <is>
          <t>Carepa</t>
        </is>
      </c>
      <c r="K16" s="56" t="n">
        <v>28.4</v>
      </c>
      <c r="L16" s="56" t="n">
        <v>28.7</v>
      </c>
      <c r="M16" s="56" t="n">
        <v>29.1</v>
      </c>
      <c r="N16" s="56" t="n">
        <v>29.3</v>
      </c>
      <c r="O16" s="56" t="n">
        <v>28.4</v>
      </c>
      <c r="P16" s="56" t="n">
        <v>28.1</v>
      </c>
      <c r="Q16" s="56" t="n">
        <v>28.7</v>
      </c>
      <c r="R16" s="56" t="n">
        <v>29.3</v>
      </c>
      <c r="S16" s="56" t="n">
        <v>29.6</v>
      </c>
      <c r="T16" s="56" t="n">
        <v>28.3</v>
      </c>
      <c r="U16" s="56" t="n">
        <v>26.8</v>
      </c>
      <c r="V16" s="56" t="n">
        <v>28.5</v>
      </c>
      <c r="W16" s="56" t="n">
        <v>26.8</v>
      </c>
      <c r="X16" s="56" t="n">
        <v>28.8</v>
      </c>
      <c r="Y16" s="56" t="n">
        <v>28.3</v>
      </c>
      <c r="Z16" s="56" t="n">
        <v>29.6</v>
      </c>
      <c r="AA16" s="56" t="n">
        <v>30.7</v>
      </c>
      <c r="AB16" s="56" t="n">
        <v>29</v>
      </c>
      <c r="AC16" s="56" t="n">
        <v>28.6</v>
      </c>
      <c r="AD16" s="56" t="n">
        <v>28.3</v>
      </c>
      <c r="AE16" s="56" t="n">
        <v>28.1</v>
      </c>
      <c r="AF16" s="56" t="n">
        <v>29.8</v>
      </c>
      <c r="AG16" s="56" t="n">
        <v>28.8</v>
      </c>
      <c r="AH16" s="56" t="n">
        <v>28.7</v>
      </c>
      <c r="AI16" s="56" t="n">
        <v>27.6</v>
      </c>
      <c r="AJ16" s="56" t="n">
        <v>26.6</v>
      </c>
      <c r="AK16" s="56" t="n">
        <v>27.2</v>
      </c>
      <c r="AL16" s="56" t="n"/>
      <c r="AM16" s="56" t="n"/>
      <c r="AN16" s="56" t="n"/>
      <c r="AO16" s="56" t="n"/>
      <c r="AP16" s="58">
        <f>COUNTIF(K16:AO16,"&gt;0")</f>
        <v/>
      </c>
      <c r="AQ16" s="71">
        <f>IF(AP16&gt;14,AVERAGE(K16:AO16),"")</f>
        <v/>
      </c>
      <c r="AR16" s="71">
        <f>IFERROR(VLOOKUP(A16,Climatologia_TMED!A:U,9+$E$2,FALSE),"")</f>
        <v/>
      </c>
      <c r="AS16" s="71">
        <f>IF(OR(AQ16="",AR16=""),"",IFERROR(AQ16-AR16,""))</f>
        <v/>
      </c>
    </row>
    <row r="17" ht="15" customHeight="1">
      <c r="A17" s="95" t="n">
        <v>27015330</v>
      </c>
      <c r="B17" s="59" t="inlineStr">
        <is>
          <t xml:space="preserve">Aeropuerto Olaya Herrera - AUT </t>
        </is>
      </c>
      <c r="C17" s="59" t="inlineStr">
        <is>
          <t>Grupo Observación y Monitoreo</t>
        </is>
      </c>
      <c r="D17" s="73" t="n">
        <v>-75.59</v>
      </c>
      <c r="E17" s="73" t="n">
        <v>6.22</v>
      </c>
      <c r="F17" s="58" t="n">
        <v>1490</v>
      </c>
      <c r="G17" s="58" t="n">
        <v>5</v>
      </c>
      <c r="H17" s="58" t="n">
        <v>5001</v>
      </c>
      <c r="I17" s="60" t="inlineStr">
        <is>
          <t>Antioquia</t>
        </is>
      </c>
      <c r="J17" s="60" t="inlineStr">
        <is>
          <t>Medellín</t>
        </is>
      </c>
      <c r="K17" s="56" t="n">
        <v>24.3</v>
      </c>
      <c r="L17" s="56" t="n">
        <v>24.8</v>
      </c>
      <c r="M17" s="56" t="n">
        <v>26.5</v>
      </c>
      <c r="N17" s="56" t="n">
        <v>26.3</v>
      </c>
      <c r="O17" s="56" t="n">
        <v>26</v>
      </c>
      <c r="P17" s="56" t="n">
        <v>25.1</v>
      </c>
      <c r="Q17" s="56" t="n">
        <v>24.8</v>
      </c>
      <c r="R17" s="56" t="n">
        <v>26</v>
      </c>
      <c r="S17" s="56" t="n">
        <v>27.1</v>
      </c>
      <c r="T17" s="56" t="n">
        <v>26</v>
      </c>
      <c r="U17" s="56" t="n">
        <v>23.8</v>
      </c>
      <c r="V17" s="56" t="n">
        <v>26.6</v>
      </c>
      <c r="W17" s="56" t="n">
        <v>23.8</v>
      </c>
      <c r="X17" s="56" t="n">
        <v>26.2</v>
      </c>
      <c r="Y17" s="56" t="n">
        <v>25.8</v>
      </c>
      <c r="Z17" s="56" t="n">
        <v>25.3</v>
      </c>
      <c r="AA17" s="56" t="n">
        <v>26.1</v>
      </c>
      <c r="AB17" s="56" t="n">
        <v>26.9</v>
      </c>
      <c r="AC17" s="56" t="n">
        <v>24</v>
      </c>
      <c r="AD17" s="56" t="n">
        <v>24.5</v>
      </c>
      <c r="AE17" s="56" t="n">
        <v>25.4</v>
      </c>
      <c r="AF17" s="56" t="n">
        <v>26</v>
      </c>
      <c r="AG17" s="56" t="n">
        <v>24.7</v>
      </c>
      <c r="AH17" s="56" t="n">
        <v>24</v>
      </c>
      <c r="AI17" s="56" t="n">
        <v>23.4</v>
      </c>
      <c r="AJ17" s="56" t="n">
        <v>22.9</v>
      </c>
      <c r="AK17" s="56" t="n">
        <v>22.9</v>
      </c>
      <c r="AL17" s="56" t="n"/>
      <c r="AM17" s="56" t="n"/>
      <c r="AN17" s="56" t="n"/>
      <c r="AO17" s="56" t="n"/>
      <c r="AP17" s="58">
        <f>COUNTIF(K17:AO17,"&gt;0")</f>
        <v/>
      </c>
      <c r="AQ17" s="71">
        <f>IF(AP17&gt;14,AVERAGE(K17:AO17),"")</f>
        <v/>
      </c>
      <c r="AR17" s="71">
        <f>IFERROR(VLOOKUP(A17,Climatologia_TMED!A:U,9+$E$2,FALSE),"")</f>
        <v/>
      </c>
      <c r="AS17" s="71">
        <f>IF(OR(AQ17="",AR17=""),"",IFERROR(AQ17-AR17,""))</f>
        <v/>
      </c>
    </row>
    <row r="18" ht="15" customHeight="1">
      <c r="A18" s="95" t="n">
        <v>23085270</v>
      </c>
      <c r="B18" s="57" t="inlineStr">
        <is>
          <t xml:space="preserve">Aeropuerto José María Córdova - AUT </t>
        </is>
      </c>
      <c r="C18" s="59" t="inlineStr">
        <is>
          <t>Grupo Observación y Monitoreo</t>
        </is>
      </c>
      <c r="D18" s="72" t="n">
        <v>-75.43000000000001</v>
      </c>
      <c r="E18" s="72" t="n">
        <v>6.17</v>
      </c>
      <c r="F18" s="74" t="n">
        <v>2157</v>
      </c>
      <c r="G18" s="74" t="n">
        <v>5</v>
      </c>
      <c r="H18" s="74" t="n">
        <v>5615</v>
      </c>
      <c r="I18" s="57" t="inlineStr">
        <is>
          <t>Antioquia</t>
        </is>
      </c>
      <c r="J18" s="57" t="inlineStr">
        <is>
          <t>Rionegro</t>
        </is>
      </c>
      <c r="K18" s="56" t="n">
        <v>19.1</v>
      </c>
      <c r="L18" s="56" t="n">
        <v>18.5</v>
      </c>
      <c r="M18" s="56" t="n">
        <v>19.2</v>
      </c>
      <c r="N18" s="56" t="n">
        <v>19.8</v>
      </c>
      <c r="O18" s="56" t="n">
        <v>18.7</v>
      </c>
      <c r="P18" s="56" t="n">
        <v>19.6</v>
      </c>
      <c r="Q18" s="56" t="n">
        <v>17.9</v>
      </c>
      <c r="R18" s="56" t="n">
        <v>19.9</v>
      </c>
      <c r="S18" s="56" t="n">
        <v>19.8</v>
      </c>
      <c r="T18" s="56" t="n">
        <v>19.8</v>
      </c>
      <c r="U18" s="56" t="n">
        <v>20</v>
      </c>
      <c r="V18" s="56" t="n">
        <v>19.8</v>
      </c>
      <c r="W18" s="56" t="n">
        <v>20</v>
      </c>
      <c r="X18" s="56" t="n">
        <v>19.5</v>
      </c>
      <c r="Y18" s="56" t="n">
        <v>19.8</v>
      </c>
      <c r="Z18" s="56" t="n">
        <v>19.9</v>
      </c>
      <c r="AA18" s="56" t="n">
        <v>19.3</v>
      </c>
      <c r="AB18" s="56" t="n">
        <v>19.8</v>
      </c>
      <c r="AC18" s="56" t="n">
        <v>18.4</v>
      </c>
      <c r="AD18" s="56" t="n">
        <v>19</v>
      </c>
      <c r="AE18" s="56" t="n">
        <v>19.5</v>
      </c>
      <c r="AF18" s="56" t="n">
        <v>20.2</v>
      </c>
      <c r="AG18" s="56" t="n">
        <v>18.7</v>
      </c>
      <c r="AH18" s="56" t="n">
        <v>18.8</v>
      </c>
      <c r="AI18" s="56" t="n">
        <v>17.8</v>
      </c>
      <c r="AJ18" s="56" t="n">
        <v>18.5</v>
      </c>
      <c r="AK18" s="56" t="n">
        <v>17.9</v>
      </c>
      <c r="AL18" s="56" t="n"/>
      <c r="AM18" s="56" t="n"/>
      <c r="AN18" s="56" t="n"/>
      <c r="AO18" s="56" t="n"/>
      <c r="AP18" s="58">
        <f>COUNTIF(K18:AO18,"&gt;0")</f>
        <v/>
      </c>
      <c r="AQ18" s="71">
        <f>IF(AP18&gt;14,AVERAGE(K18:AO18),"")</f>
        <v/>
      </c>
      <c r="AR18" s="71">
        <f>IFERROR(VLOOKUP(A18,Climatologia_TMED!A:U,9+$E$2,FALSE),"")</f>
        <v/>
      </c>
      <c r="AS18" s="71">
        <f>IF(OR(AQ18="",AR18=""),"",IFERROR(AQ18-AR18,""))</f>
        <v/>
      </c>
    </row>
    <row r="19" ht="15" customHeight="1">
      <c r="A19" s="95" t="n">
        <v>26135040</v>
      </c>
      <c r="B19" s="57" t="inlineStr">
        <is>
          <t>Aeropuerto Matecaña</t>
        </is>
      </c>
      <c r="C19" s="59" t="inlineStr">
        <is>
          <t>Grupo Observación y Monitoreo</t>
        </is>
      </c>
      <c r="D19" s="72" t="n">
        <v>-75.73699999999999</v>
      </c>
      <c r="E19" s="72" t="n">
        <v>4.816</v>
      </c>
      <c r="F19" s="74" t="n">
        <v>1342</v>
      </c>
      <c r="G19" s="74" t="n">
        <v>66</v>
      </c>
      <c r="H19" s="74" t="n">
        <v>66001</v>
      </c>
      <c r="I19" s="57" t="inlineStr">
        <is>
          <t>Risaralda</t>
        </is>
      </c>
      <c r="J19" s="57" t="inlineStr">
        <is>
          <t>Pereira</t>
        </is>
      </c>
      <c r="K19" s="56" t="n">
        <v>23.8</v>
      </c>
      <c r="L19" s="56" t="n">
        <v>24</v>
      </c>
      <c r="M19" s="56" t="n">
        <v>25.1</v>
      </c>
      <c r="N19" s="56" t="n">
        <v>24.2</v>
      </c>
      <c r="O19" s="56" t="n">
        <v>25.3</v>
      </c>
      <c r="P19" s="56" t="n">
        <v>23.8</v>
      </c>
      <c r="Q19" s="56" t="n">
        <v>23.1</v>
      </c>
      <c r="R19" s="56" t="n">
        <v>27.2</v>
      </c>
      <c r="S19" s="56" t="n">
        <v>25.4</v>
      </c>
      <c r="T19" s="56" t="n">
        <v>25.9</v>
      </c>
      <c r="U19" s="56" t="n">
        <v>23.2</v>
      </c>
      <c r="V19" s="56" t="n">
        <v>24.2</v>
      </c>
      <c r="W19" s="56" t="n">
        <v>23.2</v>
      </c>
      <c r="X19" s="56" t="n">
        <v>24.8</v>
      </c>
      <c r="Y19" s="56" t="n">
        <v>25.8</v>
      </c>
      <c r="Z19" s="56" t="n">
        <v>25.6</v>
      </c>
      <c r="AA19" s="56" t="n">
        <v>27.8</v>
      </c>
      <c r="AB19" s="56" t="n">
        <v>26.3</v>
      </c>
      <c r="AC19" s="56" t="n">
        <v>25.1</v>
      </c>
      <c r="AD19" s="56" t="n">
        <v>23.6</v>
      </c>
      <c r="AE19" s="56" t="n">
        <v>24.1</v>
      </c>
      <c r="AF19" s="56" t="n">
        <v>23.8</v>
      </c>
      <c r="AG19" s="56" t="n">
        <v>25.1</v>
      </c>
      <c r="AH19" s="56" t="n">
        <v>23.3</v>
      </c>
      <c r="AI19" s="56" t="n">
        <v>23.1</v>
      </c>
      <c r="AJ19" s="56" t="n">
        <v>21.9</v>
      </c>
      <c r="AK19" s="56" t="n">
        <v>21.7</v>
      </c>
      <c r="AL19" s="56" t="n"/>
      <c r="AM19" s="56" t="n"/>
      <c r="AN19" s="56" t="n"/>
      <c r="AO19" s="56" t="n"/>
      <c r="AP19" s="58">
        <f>COUNTIF(K19:AO19,"&gt;0")</f>
        <v/>
      </c>
      <c r="AQ19" s="71">
        <f>IF(AP19&gt;14,AVERAGE(K19:AO19),"")</f>
        <v/>
      </c>
      <c r="AR19" s="71">
        <f>IFERROR(VLOOKUP(A19,Climatologia_TMED!A:U,9+$E$2,FALSE),"")</f>
        <v/>
      </c>
      <c r="AS19" s="71">
        <f>IF(OR(AQ19="",AR19=""),"",IFERROR(AQ19-AR19,""))</f>
        <v/>
      </c>
    </row>
    <row r="20" ht="15" customHeight="1">
      <c r="A20" s="95" t="n">
        <v>26125061</v>
      </c>
      <c r="B20" s="57" t="inlineStr">
        <is>
          <t xml:space="preserve">Aeropuerto El Edén - AUT </t>
        </is>
      </c>
      <c r="C20" s="59" t="inlineStr">
        <is>
          <t>Grupo Observación y Monitoreo</t>
        </is>
      </c>
      <c r="D20" s="72" t="n">
        <v>-75.76600000000001</v>
      </c>
      <c r="E20" s="72" t="n">
        <v>4.455</v>
      </c>
      <c r="F20" s="74" t="n">
        <v>1229</v>
      </c>
      <c r="G20" s="74" t="n">
        <v>63</v>
      </c>
      <c r="H20" s="74" t="n">
        <v>63001</v>
      </c>
      <c r="I20" s="57" t="inlineStr">
        <is>
          <t>Quindío</t>
        </is>
      </c>
      <c r="J20" s="57" t="inlineStr">
        <is>
          <t xml:space="preserve">Armenia </t>
        </is>
      </c>
      <c r="K20" s="56" t="n">
        <v>24.7</v>
      </c>
      <c r="L20" s="56" t="n">
        <v>25.1</v>
      </c>
      <c r="M20" s="56" t="n">
        <v>25.9</v>
      </c>
      <c r="N20" s="56" t="n">
        <v>25.3</v>
      </c>
      <c r="O20" s="56" t="n">
        <v>25.1</v>
      </c>
      <c r="P20" s="56" t="n">
        <v>26.3</v>
      </c>
      <c r="Q20" s="56" t="n">
        <v>23</v>
      </c>
      <c r="R20" s="56" t="n">
        <v>26.4</v>
      </c>
      <c r="S20" s="56" t="n">
        <v>24.7</v>
      </c>
      <c r="T20" s="56" t="n">
        <v>25.3</v>
      </c>
      <c r="U20" s="56" t="n">
        <v>24</v>
      </c>
      <c r="V20" s="56" t="n">
        <v>25.3</v>
      </c>
      <c r="W20" s="56" t="n">
        <v>24</v>
      </c>
      <c r="X20" s="56" t="n">
        <v>25.1</v>
      </c>
      <c r="Y20" s="56" t="n">
        <v>25</v>
      </c>
      <c r="Z20" s="56" t="n">
        <v>26.1</v>
      </c>
      <c r="AA20" s="56" t="n">
        <v>27.1</v>
      </c>
      <c r="AB20" s="56" t="n">
        <v>26.3</v>
      </c>
      <c r="AC20" s="56" t="n">
        <v>25</v>
      </c>
      <c r="AD20" s="56" t="n">
        <v>24.4</v>
      </c>
      <c r="AE20" s="56" t="n">
        <v>22.7</v>
      </c>
      <c r="AF20" s="56" t="n">
        <v>24.2</v>
      </c>
      <c r="AG20" s="56" t="n">
        <v>25.1</v>
      </c>
      <c r="AH20" s="56" t="n">
        <v>23.5</v>
      </c>
      <c r="AI20" s="56" t="n">
        <v>24.6</v>
      </c>
      <c r="AJ20" s="56" t="n">
        <v>22.5</v>
      </c>
      <c r="AK20" s="56" t="n">
        <v>21.5</v>
      </c>
      <c r="AL20" s="56" t="n"/>
      <c r="AM20" s="56" t="n"/>
      <c r="AN20" s="56" t="n"/>
      <c r="AO20" s="56" t="n"/>
      <c r="AP20" s="58">
        <f>COUNTIF(K20:AO20,"&gt;0")</f>
        <v/>
      </c>
      <c r="AQ20" s="71">
        <f>IF(AP20&gt;14,AVERAGE(K20:AO20),"")</f>
        <v/>
      </c>
      <c r="AR20" s="71">
        <f>IFERROR(VLOOKUP(A20,Climatologia_TMED!A:U,9+$E$2,FALSE),"")</f>
        <v/>
      </c>
      <c r="AS20" s="71">
        <f>IF(OR(AQ20="",AR20=""),"",IFERROR(AQ20-AR20,""))</f>
        <v/>
      </c>
    </row>
    <row r="21" ht="15" customHeight="1">
      <c r="A21" s="58" t="n">
        <v>21245040</v>
      </c>
      <c r="B21" s="60" t="inlineStr">
        <is>
          <t>Aeropuerto Perales</t>
        </is>
      </c>
      <c r="C21" s="59" t="inlineStr">
        <is>
          <t>Grupo Observación y Monitoreo</t>
        </is>
      </c>
      <c r="D21" s="73" t="n">
        <v>-75.139</v>
      </c>
      <c r="E21" s="73" t="n">
        <v>4.424</v>
      </c>
      <c r="F21" s="58" t="n">
        <v>943</v>
      </c>
      <c r="G21" s="58" t="n">
        <v>73</v>
      </c>
      <c r="H21" s="58" t="n">
        <v>73001</v>
      </c>
      <c r="I21" s="60" t="inlineStr">
        <is>
          <t>Tolima</t>
        </is>
      </c>
      <c r="J21" s="60" t="inlineStr">
        <is>
          <t>Ibagué</t>
        </is>
      </c>
      <c r="K21" s="56" t="n">
        <v>28.1</v>
      </c>
      <c r="L21" s="56" t="n">
        <v>26.8</v>
      </c>
      <c r="M21" s="56" t="n">
        <v>28.3</v>
      </c>
      <c r="N21" s="56" t="n">
        <v>28</v>
      </c>
      <c r="O21" s="56" t="n">
        <v>28.9</v>
      </c>
      <c r="P21" s="56" t="n">
        <v>28.4</v>
      </c>
      <c r="Q21" s="56" t="n">
        <v>27.6</v>
      </c>
      <c r="R21" s="56" t="n">
        <v>29.6</v>
      </c>
      <c r="S21" s="56" t="n">
        <v>29.1</v>
      </c>
      <c r="T21" s="56" t="n">
        <v>29.7</v>
      </c>
      <c r="U21" s="56" t="n">
        <v>27.8</v>
      </c>
      <c r="V21" s="56" t="n">
        <v>29.1</v>
      </c>
      <c r="W21" s="56" t="n">
        <v>27.8</v>
      </c>
      <c r="X21" s="56" t="n">
        <v>28.3</v>
      </c>
      <c r="Y21" s="56" t="n">
        <v>29.7</v>
      </c>
      <c r="Z21" s="56" t="n">
        <v>28.8</v>
      </c>
      <c r="AA21" s="56" t="n">
        <v>29.2</v>
      </c>
      <c r="AB21" s="56" t="n">
        <v>30</v>
      </c>
      <c r="AC21" s="56" t="n">
        <v>29.5</v>
      </c>
      <c r="AD21" s="56" t="n">
        <v>28.6</v>
      </c>
      <c r="AE21" s="56" t="n">
        <v>28.4</v>
      </c>
      <c r="AF21" s="56" t="n">
        <v>28</v>
      </c>
      <c r="AG21" s="56" t="n">
        <v>27.8</v>
      </c>
      <c r="AH21" s="56" t="n">
        <v>27.2</v>
      </c>
      <c r="AI21" s="56" t="n">
        <v>24</v>
      </c>
      <c r="AJ21" s="56" t="n">
        <v>26.1</v>
      </c>
      <c r="AK21" s="56" t="n">
        <v>26.5</v>
      </c>
      <c r="AL21" s="56" t="n"/>
      <c r="AM21" s="56" t="n"/>
      <c r="AN21" s="56" t="n"/>
      <c r="AO21" s="56" t="n"/>
      <c r="AP21" s="58">
        <f>COUNTIF(K21:AO21,"&gt;0")</f>
        <v/>
      </c>
      <c r="AQ21" s="71">
        <f>IF(AP21&gt;14,AVERAGE(K21:AO21),"")</f>
        <v/>
      </c>
      <c r="AR21" s="71">
        <f>IFERROR(VLOOKUP(A21,Climatologia_TMED!A:U,9+$E$2,FALSE),"")</f>
        <v/>
      </c>
      <c r="AS21" s="71">
        <f>IF(OR(AQ21="",AR21=""),"",IFERROR(AQ21-AR21,""))</f>
        <v/>
      </c>
    </row>
    <row r="22" ht="15" customHeight="1">
      <c r="A22" s="95" t="n">
        <v>21205791</v>
      </c>
      <c r="B22" s="59" t="inlineStr">
        <is>
          <t xml:space="preserve">Aeropuerto El Dorado Catam - AUT </t>
        </is>
      </c>
      <c r="C22" s="59" t="inlineStr">
        <is>
          <t>Grupo Observación y Monitoreo</t>
        </is>
      </c>
      <c r="D22" s="73" t="n">
        <v>-74.151</v>
      </c>
      <c r="E22" s="73" t="n">
        <v>4.706</v>
      </c>
      <c r="F22" s="58" t="n">
        <v>2547</v>
      </c>
      <c r="G22" s="58" t="n">
        <v>25</v>
      </c>
      <c r="H22" s="58" t="n">
        <v>11001</v>
      </c>
      <c r="I22" s="60" t="inlineStr">
        <is>
          <t>Cundinamarca</t>
        </is>
      </c>
      <c r="J22" s="60" t="inlineStr">
        <is>
          <t>Bogotá</t>
        </is>
      </c>
      <c r="K22" s="56" t="n">
        <v>16.2</v>
      </c>
      <c r="L22" s="56" t="n">
        <v>15.6</v>
      </c>
      <c r="M22" s="56" t="n">
        <v>16</v>
      </c>
      <c r="N22" s="56" t="n">
        <v>15.6</v>
      </c>
      <c r="O22" s="56" t="n">
        <v>15.7</v>
      </c>
      <c r="P22" s="56" t="n">
        <v>16.1</v>
      </c>
      <c r="Q22" s="56" t="n">
        <v>13.5</v>
      </c>
      <c r="R22" s="56" t="n">
        <v>15.6</v>
      </c>
      <c r="S22" s="56" t="n">
        <v>16.6</v>
      </c>
      <c r="T22" s="56" t="n">
        <v>15.1</v>
      </c>
      <c r="U22" s="56" t="n">
        <v>16</v>
      </c>
      <c r="V22" s="56" t="n">
        <v>16.2</v>
      </c>
      <c r="W22" s="56" t="n">
        <v>16</v>
      </c>
      <c r="X22" s="56" t="n">
        <v>16.6</v>
      </c>
      <c r="Y22" s="56" t="n">
        <v>15</v>
      </c>
      <c r="Z22" s="56" t="n">
        <v>15.6</v>
      </c>
      <c r="AA22" s="56" t="n">
        <v>15.3</v>
      </c>
      <c r="AB22" s="56" t="n">
        <v>15.2</v>
      </c>
      <c r="AC22" s="56" t="n">
        <v>16.1</v>
      </c>
      <c r="AD22" s="56" t="n">
        <v>16.2</v>
      </c>
      <c r="AE22" s="56" t="n">
        <v>15.7</v>
      </c>
      <c r="AF22" s="56" t="n">
        <v>15.7</v>
      </c>
      <c r="AG22" s="56" t="n">
        <v>16.7</v>
      </c>
      <c r="AH22" s="56" t="n">
        <v>15.3</v>
      </c>
      <c r="AI22" s="56" t="n">
        <v>14.9</v>
      </c>
      <c r="AJ22" s="56" t="n">
        <v>15.1</v>
      </c>
      <c r="AK22" s="56" t="n">
        <v>15.1</v>
      </c>
      <c r="AL22" s="56" t="n"/>
      <c r="AM22" s="56" t="n"/>
      <c r="AN22" s="56" t="n"/>
      <c r="AO22" s="56" t="n"/>
      <c r="AP22" s="58">
        <f>COUNTIF(K22:AO22,"&gt;0")</f>
        <v/>
      </c>
      <c r="AQ22" s="71">
        <f>IF(AP22&gt;14,AVERAGE(K22:AO22),"")</f>
        <v/>
      </c>
      <c r="AR22" s="71">
        <f>IFERROR(VLOOKUP(A22,Climatologia_TMED!A:U,9+$E$2,FALSE),"")</f>
        <v/>
      </c>
      <c r="AS22" s="71">
        <f>IF(OR(AQ22="",AR22=""),"",IFERROR(AQ22-AR22,""))</f>
        <v/>
      </c>
    </row>
    <row r="23" ht="15" customHeight="1">
      <c r="A23" s="95" t="n">
        <v>26075040</v>
      </c>
      <c r="B23" s="57" t="inlineStr">
        <is>
          <t>Aeropuerto Alfonso Bonilla</t>
        </is>
      </c>
      <c r="C23" s="59" t="inlineStr">
        <is>
          <t>Grupo Observación y Monitoreo</t>
        </is>
      </c>
      <c r="D23" s="72" t="n">
        <v>-76.387</v>
      </c>
      <c r="E23" s="72" t="n">
        <v>3.537</v>
      </c>
      <c r="F23" s="74" t="n">
        <v>970</v>
      </c>
      <c r="G23" s="58" t="n">
        <v>76</v>
      </c>
      <c r="H23" s="58" t="n">
        <v>76520</v>
      </c>
      <c r="I23" s="60" t="inlineStr">
        <is>
          <t>Valle del Cauca</t>
        </is>
      </c>
      <c r="J23" s="60" t="inlineStr">
        <is>
          <t>Palmira</t>
        </is>
      </c>
      <c r="K23" s="56" t="n">
        <v>26.5</v>
      </c>
      <c r="L23" s="56" t="n">
        <v>27.1</v>
      </c>
      <c r="M23" s="56" t="n">
        <v>27.5</v>
      </c>
      <c r="N23" s="56" t="n">
        <v>27.1</v>
      </c>
      <c r="O23" s="56" t="n">
        <v>26.3</v>
      </c>
      <c r="P23" s="56" t="n">
        <v>27</v>
      </c>
      <c r="Q23" s="56" t="n">
        <v>25.7</v>
      </c>
      <c r="R23" s="56" t="n">
        <v>26.7</v>
      </c>
      <c r="S23" s="56" t="n">
        <v>27.2</v>
      </c>
      <c r="T23" s="56" t="n">
        <v>27.2</v>
      </c>
      <c r="U23" s="56" t="n">
        <v>26.7</v>
      </c>
      <c r="V23" s="56" t="n">
        <v>26.9</v>
      </c>
      <c r="W23" s="56" t="n">
        <v>26.7</v>
      </c>
      <c r="X23" s="56" t="n">
        <v>27.4</v>
      </c>
      <c r="Y23" s="56" t="n">
        <v>27.9</v>
      </c>
      <c r="Z23" s="56" t="n">
        <v>27.1</v>
      </c>
      <c r="AA23" s="56" t="n">
        <v>27.4</v>
      </c>
      <c r="AB23" s="56" t="n">
        <v>27.2</v>
      </c>
      <c r="AC23" s="56" t="n">
        <v>27.5</v>
      </c>
      <c r="AD23" s="56" t="n">
        <v>26.7</v>
      </c>
      <c r="AE23" s="56" t="n">
        <v>27.4</v>
      </c>
      <c r="AF23" s="56" t="n">
        <v>27.3</v>
      </c>
      <c r="AG23" s="56" t="n">
        <v>26.3</v>
      </c>
      <c r="AH23" s="56" t="n">
        <v>26.6</v>
      </c>
      <c r="AI23" s="56" t="n">
        <v>24.9</v>
      </c>
      <c r="AJ23" s="56" t="n">
        <v>25.8</v>
      </c>
      <c r="AK23" s="56" t="n">
        <v>24.9</v>
      </c>
      <c r="AL23" s="56" t="n"/>
      <c r="AM23" s="56" t="n"/>
      <c r="AN23" s="56" t="n"/>
      <c r="AO23" s="56" t="n"/>
      <c r="AP23" s="58">
        <f>COUNTIF(K23:AO23,"&gt;0")</f>
        <v/>
      </c>
      <c r="AQ23" s="71">
        <f>IF(AP23&gt;14,AVERAGE(K23:AO23),"")</f>
        <v/>
      </c>
      <c r="AR23" s="71">
        <f>IFERROR(VLOOKUP(A23,Climatologia_TMED!A:U,9+$E$2,FALSE),"")</f>
        <v/>
      </c>
      <c r="AS23" s="71">
        <f>IF(OR(AQ23="",AR23=""),"",IFERROR(AQ23-AR23,""))</f>
        <v/>
      </c>
    </row>
    <row r="24" ht="15" customHeight="1">
      <c r="A24" s="95" t="n">
        <v>21115020</v>
      </c>
      <c r="B24" s="60" t="inlineStr">
        <is>
          <t>Aeropuerto Benito Salas</t>
        </is>
      </c>
      <c r="C24" s="59" t="inlineStr">
        <is>
          <t>Grupo Observación y Monitoreo</t>
        </is>
      </c>
      <c r="D24" s="73" t="n">
        <v>-75.29300000000001</v>
      </c>
      <c r="E24" s="73" t="n">
        <v>2.949</v>
      </c>
      <c r="F24" s="58" t="n">
        <v>439</v>
      </c>
      <c r="G24" s="58" t="n">
        <v>41</v>
      </c>
      <c r="H24" s="58" t="n">
        <v>41001</v>
      </c>
      <c r="I24" s="60" t="inlineStr">
        <is>
          <t>Huila</t>
        </is>
      </c>
      <c r="J24" s="60" t="inlineStr">
        <is>
          <t>Neiva</t>
        </is>
      </c>
      <c r="K24" s="56" t="n">
        <v>29.4</v>
      </c>
      <c r="L24" s="56" t="n">
        <v>30</v>
      </c>
      <c r="M24" s="56" t="n">
        <v>29.7</v>
      </c>
      <c r="N24" s="56" t="n">
        <v>31.5</v>
      </c>
      <c r="O24" s="56" t="n">
        <v>30.9</v>
      </c>
      <c r="P24" s="56" t="n">
        <v>31.7</v>
      </c>
      <c r="Q24" s="56" t="n">
        <v>31.2</v>
      </c>
      <c r="R24" s="56" t="n">
        <v>31.2</v>
      </c>
      <c r="S24" s="56" t="n">
        <v>32</v>
      </c>
      <c r="T24" s="56" t="n">
        <v>31.5</v>
      </c>
      <c r="U24" s="56" t="n">
        <v>30.6</v>
      </c>
      <c r="V24" s="56" t="n">
        <v>30.8</v>
      </c>
      <c r="W24" s="56" t="n">
        <v>30.6</v>
      </c>
      <c r="X24" s="56" t="n">
        <v>32.4</v>
      </c>
      <c r="Y24" s="56" t="n">
        <v>33.1</v>
      </c>
      <c r="Z24" s="56" t="n">
        <v>29.5</v>
      </c>
      <c r="AA24" s="56" t="n">
        <v>31.6</v>
      </c>
      <c r="AB24" s="56" t="n">
        <v>32.4</v>
      </c>
      <c r="AC24" s="56" t="n">
        <v>31.1</v>
      </c>
      <c r="AD24" s="56" t="n">
        <v>32</v>
      </c>
      <c r="AE24" s="56" t="n">
        <v>33</v>
      </c>
      <c r="AF24" s="56" t="n">
        <v>33.1</v>
      </c>
      <c r="AG24" s="56" t="n">
        <v>33.4</v>
      </c>
      <c r="AH24" s="56" t="n">
        <v>32.5</v>
      </c>
      <c r="AI24" s="56" t="n">
        <v>28.3</v>
      </c>
      <c r="AJ24" s="56" t="n">
        <v>29.3</v>
      </c>
      <c r="AK24" s="56" t="n">
        <v>30.6</v>
      </c>
      <c r="AL24" s="56" t="n"/>
      <c r="AM24" s="56" t="n"/>
      <c r="AN24" s="56" t="n"/>
      <c r="AO24" s="56" t="n"/>
      <c r="AP24" s="58">
        <f>COUNTIF(K24:AO24,"&gt;0")</f>
        <v/>
      </c>
      <c r="AQ24" s="71">
        <f>IF(AP24&gt;14,AVERAGE(K24:AO24),"")</f>
        <v/>
      </c>
      <c r="AR24" s="71">
        <f>IFERROR(VLOOKUP(A24,Climatologia_TMED!A:U,9+$E$2,FALSE),"")</f>
        <v/>
      </c>
      <c r="AS24" s="71">
        <f>IF(OR(AQ24="",AR24=""),"",IFERROR(AQ24-AR24,""))</f>
        <v/>
      </c>
    </row>
    <row r="25" ht="15" customHeight="1">
      <c r="A25" s="95" t="n">
        <v>52045020</v>
      </c>
      <c r="B25" s="59" t="inlineStr">
        <is>
          <t>Aeropuerto Antonio Nariño</t>
        </is>
      </c>
      <c r="C25" s="59" t="inlineStr">
        <is>
          <t>Grupo Observación y Monitoreo</t>
        </is>
      </c>
      <c r="D25" s="73" t="n">
        <v>-77.291</v>
      </c>
      <c r="E25" s="73" t="n">
        <v>1.394</v>
      </c>
      <c r="F25" s="58" t="n">
        <v>1796</v>
      </c>
      <c r="G25" s="58" t="n">
        <v>52</v>
      </c>
      <c r="H25" s="58" t="n">
        <v>52240</v>
      </c>
      <c r="I25" s="60" t="inlineStr">
        <is>
          <t>Nariño</t>
        </is>
      </c>
      <c r="J25" s="60" t="inlineStr">
        <is>
          <t>Chachaguí</t>
        </is>
      </c>
      <c r="K25" s="56" t="n">
        <v>21.2</v>
      </c>
      <c r="L25" s="56" t="n">
        <v>22.2</v>
      </c>
      <c r="M25" s="56" t="n">
        <v>23.6</v>
      </c>
      <c r="N25" s="56" t="n">
        <v>23.9</v>
      </c>
      <c r="O25" s="56" t="n">
        <v>22.3</v>
      </c>
      <c r="P25" s="56" t="n">
        <v>22.8</v>
      </c>
      <c r="Q25" s="56" t="n">
        <v>22.1</v>
      </c>
      <c r="R25" s="56" t="n">
        <v>23.5</v>
      </c>
      <c r="S25" s="56" t="n">
        <v>23</v>
      </c>
      <c r="T25" s="56" t="n">
        <v>24.8</v>
      </c>
      <c r="U25" s="56" t="n">
        <v>22.9</v>
      </c>
      <c r="V25" s="56" t="n">
        <v>23.2</v>
      </c>
      <c r="W25" s="56" t="n">
        <v>22.9</v>
      </c>
      <c r="X25" s="56" t="n">
        <v>24.3</v>
      </c>
      <c r="Y25" s="56" t="n">
        <v>23.9</v>
      </c>
      <c r="Z25" s="56" t="n">
        <v>23.7</v>
      </c>
      <c r="AA25" s="56" t="n">
        <v>23.9</v>
      </c>
      <c r="AB25" s="56" t="n">
        <v>23.6</v>
      </c>
      <c r="AC25" s="56" t="n">
        <v>22.5</v>
      </c>
      <c r="AD25" s="56" t="n">
        <v>22.9</v>
      </c>
      <c r="AE25" s="56" t="n">
        <v>21.1</v>
      </c>
      <c r="AF25" s="56" t="n">
        <v>20.2</v>
      </c>
      <c r="AG25" s="56" t="n">
        <v>21</v>
      </c>
      <c r="AH25" s="56" t="n">
        <v>19</v>
      </c>
      <c r="AI25" s="56" t="n">
        <v>20.7</v>
      </c>
      <c r="AJ25" s="56" t="n">
        <v>20.5</v>
      </c>
      <c r="AK25" s="56" t="n">
        <v>18.8</v>
      </c>
      <c r="AL25" s="56" t="n"/>
      <c r="AM25" s="56" t="n"/>
      <c r="AN25" s="56" t="n"/>
      <c r="AO25" s="56" t="n"/>
      <c r="AP25" s="58">
        <f>COUNTIF(K25:AO25,"&gt;0")</f>
        <v/>
      </c>
      <c r="AQ25" s="71">
        <f>IF(AP25&gt;14,AVERAGE(K25:AO25),"")</f>
        <v/>
      </c>
      <c r="AR25" s="71">
        <f>IFERROR(VLOOKUP(A25,Climatologia_TMED!A:U,9+$E$2,FALSE),"")</f>
        <v/>
      </c>
      <c r="AS25" s="71">
        <f>IF(OR(AQ25="",AR25=""),"",IFERROR(AQ25-AR25,""))</f>
        <v/>
      </c>
    </row>
    <row r="26" ht="15" customHeight="1">
      <c r="A26" s="95" t="n">
        <v>52055230</v>
      </c>
      <c r="B26" s="59" t="inlineStr">
        <is>
          <t xml:space="preserve">Aeropuerto San Luis - AUT </t>
        </is>
      </c>
      <c r="C26" s="59" t="inlineStr">
        <is>
          <t>Grupo Observación y Monitoreo</t>
        </is>
      </c>
      <c r="D26" s="73" t="n">
        <v>-77.678</v>
      </c>
      <c r="E26" s="73" t="n">
        <v>0.857</v>
      </c>
      <c r="F26" s="58" t="n">
        <v>2961</v>
      </c>
      <c r="G26" s="58" t="n">
        <v>52</v>
      </c>
      <c r="H26" s="58" t="n">
        <v>52022</v>
      </c>
      <c r="I26" s="60" t="inlineStr">
        <is>
          <t>Nariño</t>
        </is>
      </c>
      <c r="J26" s="60" t="inlineStr">
        <is>
          <t>Aldana</t>
        </is>
      </c>
      <c r="K26" s="56" t="n">
        <v>12.3</v>
      </c>
      <c r="L26" s="56" t="n">
        <v>10.7</v>
      </c>
      <c r="M26" s="56" t="n">
        <v>10.8</v>
      </c>
      <c r="N26" s="56" t="n">
        <v>10.9</v>
      </c>
      <c r="O26" s="56" t="n">
        <v>10.3</v>
      </c>
      <c r="P26" s="56" t="n">
        <v>10.7</v>
      </c>
      <c r="Q26" s="56" t="n">
        <v>10.5</v>
      </c>
      <c r="R26" s="56" t="n">
        <v>11.2</v>
      </c>
      <c r="S26" s="56" t="n">
        <v>12.5</v>
      </c>
      <c r="T26" s="56" t="n">
        <v>12.6</v>
      </c>
      <c r="U26" s="56" t="n">
        <v>12.1</v>
      </c>
      <c r="V26" s="56" t="n">
        <v>11</v>
      </c>
      <c r="W26" s="56" t="n">
        <v>12.1</v>
      </c>
      <c r="X26" s="56" t="n">
        <v>12.4</v>
      </c>
      <c r="Y26" s="56" t="n">
        <v>11.7</v>
      </c>
      <c r="Z26" s="56" t="n">
        <v>11</v>
      </c>
      <c r="AA26" s="56" t="n">
        <v>12</v>
      </c>
      <c r="AB26" s="56" t="n">
        <v>11.7</v>
      </c>
      <c r="AC26" s="56" t="n">
        <v>11.3</v>
      </c>
      <c r="AD26" s="56" t="n">
        <v>12.8</v>
      </c>
      <c r="AE26" s="56" t="n">
        <v>12.9</v>
      </c>
      <c r="AF26" s="56" t="n">
        <v>12.5</v>
      </c>
      <c r="AG26" s="56" t="n">
        <v>13.1</v>
      </c>
      <c r="AH26" s="56" t="n">
        <v>14.1</v>
      </c>
      <c r="AI26" s="56" t="n">
        <v>12.5</v>
      </c>
      <c r="AJ26" s="56" t="n">
        <v>12.3</v>
      </c>
      <c r="AK26" s="56" t="n">
        <v>11.4</v>
      </c>
      <c r="AL26" s="56" t="n"/>
      <c r="AM26" s="56" t="n"/>
      <c r="AN26" s="56" t="n"/>
      <c r="AO26" s="56" t="n"/>
      <c r="AP26" s="58">
        <f>COUNTIF(K26:AO26,"&gt;0")</f>
        <v/>
      </c>
      <c r="AQ26" s="71">
        <f>IF(AP26&gt;14,AVERAGE(K26:AO26),"")</f>
        <v/>
      </c>
      <c r="AR26" s="71">
        <f>IFERROR(VLOOKUP(A26,Climatologia_TMED!A:U,9+$E$2,FALSE),"")</f>
        <v/>
      </c>
      <c r="AS26" s="71">
        <f>IF(OR(AQ26="",AR26=""),"",IFERROR(AQ26-AR26,""))</f>
        <v/>
      </c>
    </row>
    <row r="27" ht="15" customHeight="1">
      <c r="A27" s="95" t="n">
        <v>11045010</v>
      </c>
      <c r="B27" s="60" t="inlineStr">
        <is>
          <t>Aeropuerto El Caraño</t>
        </is>
      </c>
      <c r="C27" s="59" t="inlineStr">
        <is>
          <t>Grupo Observación y Monitoreo</t>
        </is>
      </c>
      <c r="D27" s="73" t="n">
        <v>-76.64400000000001</v>
      </c>
      <c r="E27" s="73" t="n">
        <v>5.691</v>
      </c>
      <c r="F27" s="58" t="n">
        <v>75</v>
      </c>
      <c r="G27" s="58" t="n">
        <v>27</v>
      </c>
      <c r="H27" s="58" t="n">
        <v>27001</v>
      </c>
      <c r="I27" s="60" t="inlineStr">
        <is>
          <t>Chocó</t>
        </is>
      </c>
      <c r="J27" s="60" t="inlineStr">
        <is>
          <t>Quibdó</t>
        </is>
      </c>
      <c r="K27" s="56" t="n">
        <v>26.6</v>
      </c>
      <c r="L27" s="56" t="n">
        <v>26.7</v>
      </c>
      <c r="M27" s="56" t="n">
        <v>28.3</v>
      </c>
      <c r="N27" s="56" t="n">
        <v>28.3</v>
      </c>
      <c r="O27" s="56" t="n">
        <v>28</v>
      </c>
      <c r="P27" s="56" t="n">
        <v>26.6</v>
      </c>
      <c r="Q27" s="56" t="n">
        <v>27.1</v>
      </c>
      <c r="R27" s="56" t="n">
        <v>29.3</v>
      </c>
      <c r="S27" s="56" t="n">
        <v>28.3</v>
      </c>
      <c r="T27" s="56" t="n">
        <v>27.1</v>
      </c>
      <c r="U27" s="56" t="n">
        <v>26.4</v>
      </c>
      <c r="V27" s="56" t="n">
        <v>29.9</v>
      </c>
      <c r="W27" s="56" t="n">
        <v>26.4</v>
      </c>
      <c r="X27" s="56" t="n">
        <v>28.3</v>
      </c>
      <c r="Y27" s="56" t="n">
        <v>27.3</v>
      </c>
      <c r="Z27" s="56" t="n">
        <v>27.1</v>
      </c>
      <c r="AA27" s="56" t="n">
        <v>29.9</v>
      </c>
      <c r="AB27" s="56" t="n">
        <v>28.1</v>
      </c>
      <c r="AC27" s="56" t="n">
        <v>28.3</v>
      </c>
      <c r="AD27" s="56" t="n">
        <v>27.1</v>
      </c>
      <c r="AE27" s="56" t="n">
        <v>28.1</v>
      </c>
      <c r="AF27" s="56" t="n">
        <v>26.7</v>
      </c>
      <c r="AG27" s="56" t="n">
        <v>28.6</v>
      </c>
      <c r="AH27" s="56" t="n">
        <v>27.8</v>
      </c>
      <c r="AI27" s="56" t="n">
        <v>28.7</v>
      </c>
      <c r="AJ27" s="56" t="n">
        <v>27.2</v>
      </c>
      <c r="AK27" s="56" t="n">
        <v>25.7</v>
      </c>
      <c r="AL27" s="56" t="n"/>
      <c r="AM27" s="56" t="n"/>
      <c r="AN27" s="56" t="n"/>
      <c r="AO27" s="56" t="n"/>
      <c r="AP27" s="58">
        <f>COUNTIF(K27:AO27,"&gt;0")</f>
        <v/>
      </c>
      <c r="AQ27" s="71">
        <f>IF(AP27&gt;14,AVERAGE(K27:AO27),"")</f>
        <v/>
      </c>
      <c r="AR27" s="71">
        <f>IFERROR(VLOOKUP(A27,Climatologia_TMED!A:U,9+$E$2,FALSE),"")</f>
        <v/>
      </c>
      <c r="AS27" s="71">
        <f>IF(OR(AQ27="",AR27=""),"",IFERROR(AQ27-AR27,""))</f>
        <v/>
      </c>
    </row>
    <row r="28" ht="15" customHeight="1">
      <c r="A28" s="95" t="n">
        <v>37055010</v>
      </c>
      <c r="B28" s="60" t="inlineStr">
        <is>
          <t>Aeropuerto Santiago Pérez</t>
        </is>
      </c>
      <c r="C28" s="59" t="inlineStr">
        <is>
          <t>Grupo Observación y Monitoreo</t>
        </is>
      </c>
      <c r="D28" s="73" t="n">
        <v>-70.738</v>
      </c>
      <c r="E28" s="73" t="n">
        <v>7.069</v>
      </c>
      <c r="F28" s="58" t="n">
        <v>128</v>
      </c>
      <c r="G28" s="58" t="n">
        <v>81</v>
      </c>
      <c r="H28" s="58" t="n">
        <v>81001</v>
      </c>
      <c r="I28" s="60" t="inlineStr">
        <is>
          <t>Arauca</t>
        </is>
      </c>
      <c r="J28" s="60" t="inlineStr">
        <is>
          <t>Arauca</t>
        </is>
      </c>
      <c r="K28" s="56" t="n">
        <v>29.2</v>
      </c>
      <c r="L28" s="99" t="n"/>
      <c r="M28" s="56" t="n">
        <v>29.2</v>
      </c>
      <c r="N28" s="56" t="n">
        <v>26.8</v>
      </c>
      <c r="O28" s="56" t="n">
        <v>28.8</v>
      </c>
      <c r="P28" s="56" t="n">
        <v>23.1</v>
      </c>
      <c r="Q28" s="56" t="n">
        <v>27.5</v>
      </c>
      <c r="R28" s="56" t="n">
        <v>27.3</v>
      </c>
      <c r="S28" s="56" t="n">
        <v>29.1</v>
      </c>
      <c r="T28" s="56" t="n">
        <v>24.1</v>
      </c>
      <c r="U28" s="56" t="n">
        <v>28.9</v>
      </c>
      <c r="V28" s="56" t="n">
        <v>28.3</v>
      </c>
      <c r="W28" s="56" t="n">
        <v>28.9</v>
      </c>
      <c r="X28" s="56" t="n">
        <v>29.3</v>
      </c>
      <c r="Y28" s="56" t="n">
        <v>28.3</v>
      </c>
      <c r="Z28" s="56" t="n">
        <v>27.3</v>
      </c>
      <c r="AA28" s="56" t="n">
        <v>27.1</v>
      </c>
      <c r="AB28" s="56" t="n">
        <v>29.4</v>
      </c>
      <c r="AC28" s="56" t="n">
        <v>28.7</v>
      </c>
      <c r="AD28" s="56" t="n">
        <v>28.7</v>
      </c>
      <c r="AE28" s="56" t="n">
        <v>30.1</v>
      </c>
      <c r="AF28" s="56" t="n">
        <v>29.7</v>
      </c>
      <c r="AG28" s="56" t="n">
        <v>30.4</v>
      </c>
      <c r="AH28" s="99" t="n">
        <v>24.4</v>
      </c>
      <c r="AI28" s="56" t="n">
        <v>26.9</v>
      </c>
      <c r="AJ28" s="56" t="n">
        <v>29.5</v>
      </c>
      <c r="AK28" s="56" t="n">
        <v>27.6</v>
      </c>
      <c r="AL28" s="56" t="n"/>
      <c r="AM28" s="56" t="n"/>
      <c r="AN28" s="56" t="n"/>
      <c r="AO28" s="56" t="n"/>
      <c r="AP28" s="58">
        <f>COUNTIF(K28:AO28,"&gt;0")</f>
        <v/>
      </c>
      <c r="AQ28" s="71">
        <f>IF(AP28&gt;14,AVERAGE(K28:AO28),"")</f>
        <v/>
      </c>
      <c r="AR28" s="71">
        <f>IFERROR(VLOOKUP(A28,Climatologia_TMED!A:U,9+$E$2,FALSE),"")</f>
        <v/>
      </c>
      <c r="AS28" s="71">
        <f>IF(OR(AQ28="",AR28=""),"",IFERROR(AQ28-AR28,""))</f>
        <v/>
      </c>
    </row>
    <row r="29" ht="15" customHeight="1">
      <c r="A29" s="95" t="n">
        <v>38015030</v>
      </c>
      <c r="B29" s="60" t="inlineStr">
        <is>
          <t>Aeropuerto Puerto Carreño</t>
        </is>
      </c>
      <c r="C29" s="59" t="inlineStr">
        <is>
          <t>Grupo Observación y Monitoreo</t>
        </is>
      </c>
      <c r="D29" s="73" t="n">
        <v>-67.491</v>
      </c>
      <c r="E29" s="73" t="n">
        <v>6.182</v>
      </c>
      <c r="F29" s="58" t="n">
        <v>57</v>
      </c>
      <c r="G29" s="58" t="n">
        <v>99</v>
      </c>
      <c r="H29" s="58" t="n">
        <v>99001</v>
      </c>
      <c r="I29" s="60" t="inlineStr">
        <is>
          <t>Vichada</t>
        </is>
      </c>
      <c r="J29" s="60" t="inlineStr">
        <is>
          <t>Puerto Carreño</t>
        </is>
      </c>
      <c r="K29" s="56" t="n">
        <v>30</v>
      </c>
      <c r="L29" s="56" t="n">
        <v>27.3</v>
      </c>
      <c r="M29" s="56" t="n">
        <v>28.4</v>
      </c>
      <c r="N29" s="56" t="n">
        <v>29.9</v>
      </c>
      <c r="O29" s="56" t="n">
        <v>29.6</v>
      </c>
      <c r="P29" s="56" t="n">
        <v>27.4</v>
      </c>
      <c r="Q29" s="56" t="n">
        <v>28.1</v>
      </c>
      <c r="R29" s="56" t="n">
        <v>28.8</v>
      </c>
      <c r="S29" s="56" t="n">
        <v>30.2</v>
      </c>
      <c r="T29" s="56" t="n">
        <v>27.7</v>
      </c>
      <c r="U29" s="56" t="n">
        <v>30.1</v>
      </c>
      <c r="V29" s="56" t="n">
        <v>28.9</v>
      </c>
      <c r="W29" s="56" t="n">
        <v>30.1</v>
      </c>
      <c r="X29" s="56" t="n">
        <v>29.2</v>
      </c>
      <c r="Y29" s="56" t="n">
        <v>28.8</v>
      </c>
      <c r="Z29" s="56" t="n">
        <v>27.1</v>
      </c>
      <c r="AA29" s="56" t="n">
        <v>28.9</v>
      </c>
      <c r="AB29" s="56" t="n">
        <v>26.6</v>
      </c>
      <c r="AC29" s="56" t="n">
        <v>27.1</v>
      </c>
      <c r="AD29" s="56" t="n">
        <v>29.5</v>
      </c>
      <c r="AE29" s="56" t="n">
        <v>30.2</v>
      </c>
      <c r="AF29" s="56" t="n">
        <v>31.6</v>
      </c>
      <c r="AG29" s="56" t="n">
        <v>29.8</v>
      </c>
      <c r="AH29" s="56" t="n">
        <v>25.9</v>
      </c>
      <c r="AI29" s="56" t="n">
        <v>29.7</v>
      </c>
      <c r="AJ29" s="56" t="n">
        <v>29.1</v>
      </c>
      <c r="AK29" s="56" t="n">
        <v>28.4</v>
      </c>
      <c r="AL29" s="56" t="n"/>
      <c r="AM29" s="56" t="n"/>
      <c r="AN29" s="56" t="n"/>
      <c r="AO29" s="56" t="n"/>
      <c r="AP29" s="58">
        <f>COUNTIF(K29:AO29,"&gt;0")</f>
        <v/>
      </c>
      <c r="AQ29" s="71">
        <f>IF(AP29&gt;14,AVERAGE(K29:AO29),"")</f>
        <v/>
      </c>
      <c r="AR29" s="71">
        <f>IFERROR(VLOOKUP(A29,Climatologia_TMED!A:U,9+$E$2,FALSE),"")</f>
        <v/>
      </c>
      <c r="AS29" s="71">
        <f>IF(OR(AQ29="",AR29=""),"",IFERROR(AQ29-AR29,""))</f>
        <v/>
      </c>
    </row>
    <row r="30" ht="14.25" customHeight="1">
      <c r="A30" s="95" t="n">
        <v>35035020</v>
      </c>
      <c r="B30" s="57" t="inlineStr">
        <is>
          <t>Aeropuerto Vanguardia</t>
        </is>
      </c>
      <c r="C30" s="59" t="inlineStr">
        <is>
          <t>Grupo Observación y Monitoreo</t>
        </is>
      </c>
      <c r="D30" s="72" t="n">
        <v>-73.61799999999999</v>
      </c>
      <c r="E30" s="72" t="n">
        <v>4.162</v>
      </c>
      <c r="F30" s="74" t="n">
        <v>422</v>
      </c>
      <c r="G30" s="74" t="n">
        <v>50</v>
      </c>
      <c r="H30" s="74" t="n">
        <v>50001</v>
      </c>
      <c r="I30" s="57" t="inlineStr">
        <is>
          <t>Meta</t>
        </is>
      </c>
      <c r="J30" s="57" t="inlineStr">
        <is>
          <t>Villavicencio</t>
        </is>
      </c>
      <c r="K30" s="56" t="n">
        <v>27.3</v>
      </c>
      <c r="L30" s="56" t="n">
        <v>25.8</v>
      </c>
      <c r="M30" s="56" t="n">
        <v>27.8</v>
      </c>
      <c r="N30" s="56" t="n">
        <v>26.2</v>
      </c>
      <c r="O30" s="56" t="n">
        <v>25.3</v>
      </c>
      <c r="P30" s="56" t="n">
        <v>27.5</v>
      </c>
      <c r="Q30" s="56" t="n">
        <v>25.9</v>
      </c>
      <c r="R30" s="56" t="n">
        <v>24.1</v>
      </c>
      <c r="S30" s="56" t="n">
        <v>26.2</v>
      </c>
      <c r="T30" s="56" t="n">
        <v>24.9</v>
      </c>
      <c r="U30" s="56" t="n">
        <v>25.9</v>
      </c>
      <c r="V30" s="56" t="n">
        <v>26.6</v>
      </c>
      <c r="W30" s="56" t="n">
        <v>25.9</v>
      </c>
      <c r="X30" s="56" t="n">
        <v>26.5</v>
      </c>
      <c r="Y30" s="56" t="n">
        <v>26.2</v>
      </c>
      <c r="Z30" s="56" t="n">
        <v>26.1</v>
      </c>
      <c r="AA30" s="56" t="n">
        <v>26.4</v>
      </c>
      <c r="AB30" s="56" t="n">
        <v>24.7</v>
      </c>
      <c r="AC30" s="56" t="n">
        <v>25.3</v>
      </c>
      <c r="AD30" s="56" t="n">
        <v>27.4</v>
      </c>
      <c r="AE30" s="56" t="n">
        <v>27.3</v>
      </c>
      <c r="AF30" s="56" t="n">
        <v>28.8</v>
      </c>
      <c r="AG30" s="56" t="n">
        <v>27.8</v>
      </c>
      <c r="AH30" s="56" t="n">
        <v>25</v>
      </c>
      <c r="AI30" s="56" t="n">
        <v>27</v>
      </c>
      <c r="AJ30" s="56" t="n">
        <v>27.8</v>
      </c>
      <c r="AK30" s="56" t="n">
        <v>26.4</v>
      </c>
      <c r="AL30" s="56" t="n"/>
      <c r="AM30" s="56" t="n"/>
      <c r="AN30" s="56" t="n"/>
      <c r="AO30" s="56" t="n"/>
      <c r="AP30" s="58">
        <f>COUNTIF(K30:AO30,"&gt;0")</f>
        <v/>
      </c>
      <c r="AQ30" s="71">
        <f>IF(AP30&gt;14,AVERAGE(K30:AO30),"")</f>
        <v/>
      </c>
      <c r="AR30" s="71">
        <f>IFERROR(VLOOKUP(A30,Climatologia_TMED!A:U,9+$E$2,FALSE),"")</f>
        <v/>
      </c>
      <c r="AS30" s="71">
        <f>IF(OR(AQ30="",AR30=""),"",IFERROR(AQ30-AR30,""))</f>
        <v/>
      </c>
    </row>
    <row r="31" ht="16.15" customHeight="1">
      <c r="A31" s="96" t="n">
        <v>48015050</v>
      </c>
      <c r="B31" s="85" t="inlineStr">
        <is>
          <t>Aeropuerto Vásquez Cobo</t>
        </is>
      </c>
      <c r="C31" s="86" t="inlineStr">
        <is>
          <t>Grupo Observación y Monitoreo</t>
        </is>
      </c>
      <c r="D31" s="87" t="n">
        <v>-69.941</v>
      </c>
      <c r="E31" s="87" t="n">
        <v>-4.194</v>
      </c>
      <c r="F31" s="88" t="n">
        <v>84</v>
      </c>
      <c r="G31" s="88" t="n">
        <v>91</v>
      </c>
      <c r="H31" s="88" t="n">
        <v>91001</v>
      </c>
      <c r="I31" s="85" t="inlineStr">
        <is>
          <t>Amazonas</t>
        </is>
      </c>
      <c r="J31" s="85" t="inlineStr">
        <is>
          <t>Leticia</t>
        </is>
      </c>
      <c r="K31" s="98" t="n">
        <v>30.3</v>
      </c>
      <c r="L31" s="98" t="n">
        <v>28.5</v>
      </c>
      <c r="M31" s="98" t="n">
        <v>28.4</v>
      </c>
      <c r="N31" s="98" t="n">
        <v>28.7</v>
      </c>
      <c r="O31" s="98" t="n">
        <v>27.5</v>
      </c>
      <c r="P31" s="98" t="n">
        <v>27.8</v>
      </c>
      <c r="Q31" s="98" t="n">
        <v>27.4</v>
      </c>
      <c r="R31" s="98" t="n">
        <v>26.3</v>
      </c>
      <c r="S31" s="98" t="n">
        <v>28.6</v>
      </c>
      <c r="T31" s="98" t="n">
        <v>29</v>
      </c>
      <c r="U31" s="98" t="n">
        <v>28.1</v>
      </c>
      <c r="V31" s="98" t="n">
        <v>27.6</v>
      </c>
      <c r="W31" s="98" t="n">
        <v>28.1</v>
      </c>
      <c r="X31" s="98" t="n">
        <v>25.5</v>
      </c>
      <c r="Y31" s="98" t="n">
        <v>26</v>
      </c>
      <c r="Z31" s="98" t="n">
        <v>28</v>
      </c>
      <c r="AA31" s="98" t="n">
        <v>26.2</v>
      </c>
      <c r="AB31" s="98" t="n">
        <v>28.2</v>
      </c>
      <c r="AC31" s="98" t="n">
        <v>27.1</v>
      </c>
      <c r="AD31" s="98" t="n">
        <v>28.6</v>
      </c>
      <c r="AE31" s="98" t="n">
        <v>29.2</v>
      </c>
      <c r="AF31" s="98" t="n">
        <v>28.8</v>
      </c>
      <c r="AG31" s="98" t="n">
        <v>29</v>
      </c>
      <c r="AH31" s="98" t="n">
        <v>28</v>
      </c>
      <c r="AI31" s="98" t="n">
        <v>29.5</v>
      </c>
      <c r="AJ31" s="98" t="n">
        <v>26.5</v>
      </c>
      <c r="AK31" s="98" t="n">
        <v>27.2</v>
      </c>
      <c r="AL31" s="98" t="n"/>
      <c r="AM31" s="98" t="n"/>
      <c r="AN31" s="98" t="n"/>
      <c r="AO31" s="98" t="n"/>
      <c r="AP31" s="58">
        <f>COUNTIF(K31:AO31,"&gt;0")</f>
        <v/>
      </c>
      <c r="AQ31" s="71">
        <f>IF(AP31&gt;14,AVERAGE(K31:AO31),"")</f>
        <v/>
      </c>
      <c r="AR31" s="71">
        <f>IFERROR(VLOOKUP(A31,Climatologia_TMED!A:U,9+$E$2,FALSE),"")</f>
        <v/>
      </c>
      <c r="AS31" s="71">
        <f>IF(OR(AQ31="",AR31=""),"",IFERROR(AQ31-AR31,""))</f>
        <v/>
      </c>
    </row>
    <row r="32" ht="14.25" customHeight="1">
      <c r="A32" s="58" t="n">
        <v>11075020</v>
      </c>
      <c r="B32" s="59" t="inlineStr">
        <is>
          <t>Urrao</t>
        </is>
      </c>
      <c r="C32" s="59" t="inlineStr">
        <is>
          <t>Area Operativa 01 - Antioquia-Chocó</t>
        </is>
      </c>
      <c r="D32" s="73" t="n">
        <v>-76.143305556</v>
      </c>
      <c r="E32" s="73" t="n">
        <v>6.298305556</v>
      </c>
      <c r="F32" s="58" t="n">
        <v>1833</v>
      </c>
      <c r="G32" s="58" t="n">
        <v>5</v>
      </c>
      <c r="H32" s="58" t="n">
        <v>5847</v>
      </c>
      <c r="I32" s="60" t="inlineStr">
        <is>
          <t>Antioquia</t>
        </is>
      </c>
      <c r="J32" s="60" t="inlineStr">
        <is>
          <t>Urrao</t>
        </is>
      </c>
      <c r="K32" s="56" t="n">
        <v>19.53333333333333</v>
      </c>
      <c r="L32" s="56" t="n">
        <v>21.26666666666667</v>
      </c>
      <c r="M32" s="56" t="n">
        <v>20.1</v>
      </c>
      <c r="N32" s="56" t="n">
        <v>19.93333333333333</v>
      </c>
      <c r="O32" s="56" t="n">
        <v>20.2</v>
      </c>
      <c r="P32" s="56" t="n">
        <v>20.2</v>
      </c>
      <c r="Q32" s="56" t="n">
        <v>20.26666666666667</v>
      </c>
      <c r="R32" s="56" t="n">
        <v>21.4</v>
      </c>
      <c r="S32" s="56" t="n">
        <v>20</v>
      </c>
      <c r="T32" s="56" t="n">
        <v>20.53333333333333</v>
      </c>
      <c r="U32" s="56" t="n">
        <v>19.53333333333333</v>
      </c>
      <c r="V32" s="56" t="n">
        <v>19.73333333333333</v>
      </c>
      <c r="W32" s="56" t="n">
        <v>23.73333333333333</v>
      </c>
      <c r="X32" s="56" t="n">
        <v>20.2</v>
      </c>
      <c r="Y32" s="56" t="n">
        <v>20.13333333333334</v>
      </c>
      <c r="Z32" s="56" t="n">
        <v>21.13333333333334</v>
      </c>
      <c r="AA32" s="56" t="n">
        <v>20.66666666666667</v>
      </c>
      <c r="AB32" s="56" t="n">
        <v>20.93333333333333</v>
      </c>
      <c r="AC32" s="56" t="n">
        <v>20.93333333333333</v>
      </c>
      <c r="AD32" s="56" t="n">
        <v>21.13333333333334</v>
      </c>
      <c r="AE32" s="56" t="n">
        <v>19.86666666666666</v>
      </c>
      <c r="AF32" s="56" t="n">
        <v>19.53333333333333</v>
      </c>
      <c r="AG32" s="56" t="n">
        <v>19.46666666666667</v>
      </c>
      <c r="AH32" s="56" t="n">
        <v>19.93333333333333</v>
      </c>
      <c r="AI32" s="56" t="n">
        <v>20.26666666666667</v>
      </c>
      <c r="AJ32" s="56" t="n">
        <v>20.06666666666667</v>
      </c>
      <c r="AK32" s="56" t="n">
        <v>19.93333333333333</v>
      </c>
      <c r="AL32" s="56" t="n"/>
      <c r="AM32" s="56" t="n"/>
      <c r="AN32" s="56" t="n"/>
      <c r="AO32" s="56" t="n"/>
      <c r="AP32" s="58">
        <f>COUNTIF(K32:AO32,"&gt;0")</f>
        <v/>
      </c>
      <c r="AQ32" s="71">
        <f>IF(AP32&gt;14,AVERAGE(K32:AO32),"")</f>
        <v/>
      </c>
      <c r="AR32" s="71">
        <f>IFERROR(VLOOKUP(A32,Climatologia_TMED!A:U,9+$E$2,FALSE),"")</f>
        <v/>
      </c>
      <c r="AS32" s="71">
        <f>IF(OR(AQ32="",AR32=""),"",IFERROR(AQ32-AR32,""))</f>
        <v/>
      </c>
    </row>
    <row r="33" ht="14.25" customHeight="1">
      <c r="A33" s="58" t="n">
        <v>12015020</v>
      </c>
      <c r="B33" s="59" t="inlineStr">
        <is>
          <t>Uniban</t>
        </is>
      </c>
      <c r="C33" s="59" t="inlineStr">
        <is>
          <t>Area Operativa 01 - Antioquia-Chocó</t>
        </is>
      </c>
      <c r="D33" s="73" t="n">
        <v>-76.65133333</v>
      </c>
      <c r="E33" s="73" t="n">
        <v>7.825916667</v>
      </c>
      <c r="F33" s="58" t="n">
        <v>43</v>
      </c>
      <c r="G33" s="58" t="n">
        <v>5</v>
      </c>
      <c r="H33" s="58" t="n">
        <v>5045</v>
      </c>
      <c r="I33" s="60" t="inlineStr">
        <is>
          <t>Antioquia</t>
        </is>
      </c>
      <c r="J33" s="60" t="inlineStr">
        <is>
          <t>Apartadó</t>
        </is>
      </c>
      <c r="K33" s="56" t="n">
        <v>28</v>
      </c>
      <c r="L33" s="56" t="n">
        <v>28.65</v>
      </c>
      <c r="M33" s="56" t="n">
        <v>27.3</v>
      </c>
      <c r="N33" s="56" t="n">
        <v>28.4</v>
      </c>
      <c r="O33" s="56" t="n">
        <v>27.85</v>
      </c>
      <c r="P33" s="56" t="n">
        <v>28</v>
      </c>
      <c r="Q33" s="56" t="n">
        <v>27.55</v>
      </c>
      <c r="R33" s="56" t="n">
        <v>29.55</v>
      </c>
      <c r="S33" s="56" t="n">
        <v>29.35</v>
      </c>
      <c r="T33" s="56" t="n">
        <v>27.2</v>
      </c>
      <c r="U33" s="56" t="n">
        <v>27.05</v>
      </c>
      <c r="V33" s="56" t="n">
        <v>28.1</v>
      </c>
      <c r="W33" s="56" t="n">
        <v>28.1</v>
      </c>
      <c r="X33" s="56" t="n">
        <v>28.85</v>
      </c>
      <c r="Y33" s="56" t="n">
        <v>28.2</v>
      </c>
      <c r="Z33" s="56" t="n">
        <v>29.45</v>
      </c>
      <c r="AA33" s="56" t="n">
        <v>30.3</v>
      </c>
      <c r="AB33" s="56" t="n">
        <v>28.4</v>
      </c>
      <c r="AC33" s="56" t="n">
        <v>28.95</v>
      </c>
      <c r="AD33" s="56" t="n">
        <v>27.7</v>
      </c>
      <c r="AE33" s="56" t="n">
        <v>27.75</v>
      </c>
      <c r="AF33" s="56" t="n">
        <v>29</v>
      </c>
      <c r="AG33" s="56" t="n">
        <v>28.25</v>
      </c>
      <c r="AH33" s="56" t="n">
        <v>28.55</v>
      </c>
      <c r="AI33" s="56" t="n">
        <v>27.85</v>
      </c>
      <c r="AJ33" s="56" t="n">
        <v>28.9</v>
      </c>
      <c r="AK33" s="56" t="n">
        <v>27.05</v>
      </c>
      <c r="AL33" s="56" t="n"/>
      <c r="AM33" s="56" t="n"/>
      <c r="AN33" s="56" t="n"/>
      <c r="AO33" s="56" t="n"/>
      <c r="AP33" s="58">
        <f>COUNTIF(K33:AO33,"&gt;0")</f>
        <v/>
      </c>
      <c r="AQ33" s="71">
        <f>IF(AP33&gt;14,AVERAGE(K33:AO33),"")</f>
        <v/>
      </c>
      <c r="AR33" s="71">
        <f>IFERROR(VLOOKUP(A33,Climatologia_TMED!A:U,9+$E$2,FALSE),"")</f>
        <v/>
      </c>
      <c r="AS33" s="71">
        <f>IF(OR(AQ33="",AR33=""),"",IFERROR(AQ33-AR33,""))</f>
        <v/>
      </c>
    </row>
    <row r="34" ht="14.25" customHeight="1">
      <c r="A34" s="58" t="n">
        <v>23085030</v>
      </c>
      <c r="B34" s="59" t="inlineStr">
        <is>
          <t>Alejandria</t>
        </is>
      </c>
      <c r="C34" s="59" t="inlineStr">
        <is>
          <t>Area Operativa 01 - Antioquia-Chocó</t>
        </is>
      </c>
      <c r="D34" s="73" t="n">
        <v>-75.14338889</v>
      </c>
      <c r="E34" s="73" t="n">
        <v>6.37625</v>
      </c>
      <c r="F34" s="58" t="n">
        <v>1712</v>
      </c>
      <c r="G34" s="58" t="n">
        <v>5</v>
      </c>
      <c r="H34" s="58" t="n">
        <v>5021</v>
      </c>
      <c r="I34" s="60" t="inlineStr">
        <is>
          <t>Antioquia</t>
        </is>
      </c>
      <c r="J34" s="60" t="inlineStr">
        <is>
          <t>Alejandría</t>
        </is>
      </c>
      <c r="K34" s="56" t="n">
        <v>21.73333333333333</v>
      </c>
      <c r="L34" s="56" t="n">
        <v>21.26666666666667</v>
      </c>
      <c r="M34" s="56" t="n">
        <v>21.73333333333333</v>
      </c>
      <c r="N34" s="56" t="n">
        <v>21.8</v>
      </c>
      <c r="O34" s="56" t="n">
        <v>22.33333333333333</v>
      </c>
      <c r="P34" s="56" t="n">
        <v>21.2</v>
      </c>
      <c r="Q34" s="56" t="n">
        <v>20.4</v>
      </c>
      <c r="R34" s="56" t="n">
        <v>22.26666666666667</v>
      </c>
      <c r="S34" s="56" t="n">
        <v>22.73333333333333</v>
      </c>
      <c r="T34" s="56" t="n">
        <v>22</v>
      </c>
      <c r="U34" s="56" t="n">
        <v>22.26666666666667</v>
      </c>
      <c r="V34" s="56" t="n">
        <v>22.6</v>
      </c>
      <c r="W34" s="56" t="n">
        <v>21.33333333333333</v>
      </c>
      <c r="X34" s="56" t="n">
        <v>22.46666666666667</v>
      </c>
      <c r="Y34" s="56" t="n">
        <v>21.86666666666666</v>
      </c>
      <c r="Z34" s="56" t="n">
        <v>21.46666666666667</v>
      </c>
      <c r="AA34" s="56" t="n">
        <v>22.33333333333333</v>
      </c>
      <c r="AB34" s="56" t="n">
        <v>22</v>
      </c>
      <c r="AC34" s="56" t="n">
        <v>20.4</v>
      </c>
      <c r="AD34" s="56" t="n">
        <v>22.06666666666667</v>
      </c>
      <c r="AE34" s="56" t="n">
        <v>20.26666666666667</v>
      </c>
      <c r="AF34" s="56" t="n">
        <v>21.6</v>
      </c>
      <c r="AG34" s="56" t="n">
        <v>21.4</v>
      </c>
      <c r="AH34" s="56" t="n">
        <v>20.6</v>
      </c>
      <c r="AI34" s="56" t="n">
        <v>19.8</v>
      </c>
      <c r="AJ34" s="56" t="n">
        <v>20</v>
      </c>
      <c r="AK34" s="56" t="n">
        <v>19.93333333333333</v>
      </c>
      <c r="AL34" s="56" t="n"/>
      <c r="AM34" s="56" t="n"/>
      <c r="AN34" s="56" t="n"/>
      <c r="AO34" s="56" t="n"/>
      <c r="AP34" s="58">
        <f>COUNTIF(K34:AO34,"&gt;0")</f>
        <v/>
      </c>
      <c r="AQ34" s="71">
        <f>IF(AP34&gt;14,AVERAGE(K34:AO34),"")</f>
        <v/>
      </c>
      <c r="AR34" s="71">
        <f>IFERROR(VLOOKUP(A34,Climatologia_TMED!A:U,9+$E$2,FALSE),"")</f>
        <v/>
      </c>
      <c r="AS34" s="71">
        <f>IF(OR(AQ34="",AR34=""),"",IFERROR(AQ34-AR34,""))</f>
        <v/>
      </c>
    </row>
    <row r="35" ht="14.25" customHeight="1">
      <c r="A35" s="58" t="n">
        <v>23085080</v>
      </c>
      <c r="B35" s="59" t="inlineStr">
        <is>
          <t>Granja Experimental El Nus</t>
        </is>
      </c>
      <c r="C35" s="59" t="inlineStr">
        <is>
          <t>Area Operativa 01 - Antioquia-Chocó</t>
        </is>
      </c>
      <c r="D35" s="73" t="n">
        <v>-74.83669444</v>
      </c>
      <c r="E35" s="73" t="n">
        <v>6.483583333</v>
      </c>
      <c r="F35" s="58" t="n">
        <v>859</v>
      </c>
      <c r="G35" s="58" t="n">
        <v>5</v>
      </c>
      <c r="H35" s="58" t="n">
        <v>5670</v>
      </c>
      <c r="I35" s="60" t="inlineStr">
        <is>
          <t>Antioquia</t>
        </is>
      </c>
      <c r="J35" s="60" t="inlineStr">
        <is>
          <t>San Roque</t>
        </is>
      </c>
      <c r="K35" s="56" t="n">
        <v>26</v>
      </c>
      <c r="L35" s="56" t="n">
        <v>24.2</v>
      </c>
      <c r="M35" s="56" t="n">
        <v>24.8</v>
      </c>
      <c r="N35" s="56" t="n">
        <v>23.65</v>
      </c>
      <c r="O35" s="56" t="n">
        <v>26.6</v>
      </c>
      <c r="P35" s="56" t="n">
        <v>25.75</v>
      </c>
      <c r="Q35" s="56" t="n">
        <v>25.1</v>
      </c>
      <c r="R35" s="56" t="n">
        <v>26.3</v>
      </c>
      <c r="S35" s="56" t="n">
        <v>26.35</v>
      </c>
      <c r="T35" s="56" t="n">
        <v>25.2</v>
      </c>
      <c r="U35" s="56" t="n">
        <v>25.45</v>
      </c>
      <c r="V35" s="56" t="n">
        <v>26.6</v>
      </c>
      <c r="W35" s="56" t="n">
        <v>25.8</v>
      </c>
      <c r="X35" s="56" t="n">
        <v>25.95</v>
      </c>
      <c r="Y35" s="56" t="n">
        <v>24.95</v>
      </c>
      <c r="Z35" s="56" t="n">
        <v>24.05</v>
      </c>
      <c r="AA35" s="56" t="n">
        <v>24.9</v>
      </c>
      <c r="AB35" s="56" t="n">
        <v>25.65</v>
      </c>
      <c r="AC35" s="56" t="n">
        <v>23.65</v>
      </c>
      <c r="AD35" s="56" t="n">
        <v>25.05</v>
      </c>
      <c r="AE35" s="56" t="n">
        <v>23.8</v>
      </c>
      <c r="AF35" s="56" t="n">
        <v>25.15</v>
      </c>
      <c r="AG35" s="56" t="n">
        <v>25.55</v>
      </c>
      <c r="AH35" s="56" t="n">
        <v>25.55</v>
      </c>
      <c r="AI35" s="56" t="n">
        <v>23.15</v>
      </c>
      <c r="AJ35" s="56" t="n">
        <v>25.5</v>
      </c>
      <c r="AK35" s="56" t="n">
        <v>23.2</v>
      </c>
      <c r="AL35" s="56" t="n"/>
      <c r="AM35" s="56" t="n"/>
      <c r="AN35" s="56" t="n"/>
      <c r="AO35" s="56" t="n"/>
      <c r="AP35" s="58">
        <f>COUNTIF(K35:AO35,"&gt;0")</f>
        <v/>
      </c>
      <c r="AQ35" s="71">
        <f>IF(AP35&gt;14,AVERAGE(K35:AO35),"")</f>
        <v/>
      </c>
      <c r="AR35" s="71">
        <f>IFERROR(VLOOKUP(A35,Climatologia_TMED!A:U,9+$E$2,FALSE),"")</f>
        <v/>
      </c>
      <c r="AS35" s="71">
        <f>IF(OR(AQ35="",AR35=""),"",IFERROR(AQ35-AR35,""))</f>
        <v/>
      </c>
    </row>
    <row r="36" ht="14.25" customHeight="1">
      <c r="A36" s="58" t="n">
        <v>23085110</v>
      </c>
      <c r="B36" s="59" t="inlineStr">
        <is>
          <t>El Penol</t>
        </is>
      </c>
      <c r="C36" s="59" t="inlineStr">
        <is>
          <t>Area Operativa 01 - Antioquia-Chocó</t>
        </is>
      </c>
      <c r="D36" s="73" t="n">
        <v>-75.24138888900001</v>
      </c>
      <c r="E36" s="73" t="n">
        <v>6.2138889</v>
      </c>
      <c r="F36" s="58" t="n">
        <v>2022</v>
      </c>
      <c r="G36" s="58" t="n">
        <v>5</v>
      </c>
      <c r="H36" s="58" t="n">
        <v>5541</v>
      </c>
      <c r="I36" s="60" t="inlineStr">
        <is>
          <t>Antioquia</t>
        </is>
      </c>
      <c r="J36" s="60" t="inlineStr">
        <is>
          <t>Peñol</t>
        </is>
      </c>
      <c r="K36" s="56" t="n">
        <v>19.45</v>
      </c>
      <c r="L36" s="56" t="n">
        <v>19.65</v>
      </c>
      <c r="M36" s="56" t="n">
        <v>20.3</v>
      </c>
      <c r="N36" s="56" t="n">
        <v>20.4</v>
      </c>
      <c r="O36" s="56" t="n">
        <v>20</v>
      </c>
      <c r="P36" s="56" t="n">
        <v>19.55</v>
      </c>
      <c r="Q36" s="56" t="n">
        <v>19.75</v>
      </c>
      <c r="R36" s="56" t="n">
        <v>20.35</v>
      </c>
      <c r="S36" s="56" t="n">
        <v>21</v>
      </c>
      <c r="T36" s="56" t="n">
        <v>20</v>
      </c>
      <c r="U36" s="56" t="n">
        <v>19.6</v>
      </c>
      <c r="V36" s="56" t="n">
        <v>19.95</v>
      </c>
      <c r="W36" s="56" t="n">
        <v>18.15</v>
      </c>
      <c r="X36" s="56" t="n">
        <v>20.4</v>
      </c>
      <c r="Y36" s="56" t="n">
        <v>19.45</v>
      </c>
      <c r="Z36" s="56" t="n">
        <v>19.6</v>
      </c>
      <c r="AA36" s="56" t="n">
        <v>20.45</v>
      </c>
      <c r="AB36" s="56" t="n">
        <v>21</v>
      </c>
      <c r="AC36" s="56" t="n">
        <v>18.3</v>
      </c>
      <c r="AD36" s="56" t="n">
        <v>20.9</v>
      </c>
      <c r="AE36" s="56" t="n">
        <v>19.7</v>
      </c>
      <c r="AF36" s="56" t="n">
        <v>20.55</v>
      </c>
      <c r="AG36" s="56" t="n">
        <v>19.4</v>
      </c>
      <c r="AH36" s="56" t="n">
        <v>19.15</v>
      </c>
      <c r="AI36" s="56" t="n">
        <v>17.6</v>
      </c>
      <c r="AJ36" s="56" t="n">
        <v>18.35</v>
      </c>
      <c r="AK36" s="56" t="n">
        <v>18.55</v>
      </c>
      <c r="AL36" s="56" t="n"/>
      <c r="AM36" s="56" t="n"/>
      <c r="AN36" s="56" t="n"/>
      <c r="AO36" s="56" t="n"/>
      <c r="AP36" s="58">
        <f>COUNTIF(K36:AO36,"&gt;0")</f>
        <v/>
      </c>
      <c r="AQ36" s="71">
        <f>IF(AP36&gt;14,AVERAGE(K36:AO36),"")</f>
        <v/>
      </c>
      <c r="AR36" s="71">
        <f>IFERROR(VLOOKUP(A36,Climatologia_TMED!A:U,9+$E$2,FALSE),"")</f>
        <v/>
      </c>
      <c r="AS36" s="71">
        <f>IF(OR(AQ36="",AR36=""),"",IFERROR(AQ36-AR36,""))</f>
        <v/>
      </c>
    </row>
    <row r="37" ht="14.25" customHeight="1">
      <c r="A37" s="58" t="n">
        <v>26175040</v>
      </c>
      <c r="B37" s="59" t="inlineStr">
        <is>
          <t>Hacienda Tunez</t>
        </is>
      </c>
      <c r="C37" s="59" t="inlineStr">
        <is>
          <t>Area Operativa 01 - Antioquia-Chocó</t>
        </is>
      </c>
      <c r="D37" s="73" t="n">
        <v>-75.65097222</v>
      </c>
      <c r="E37" s="73" t="n">
        <v>5.80025</v>
      </c>
      <c r="F37" s="58" t="n">
        <v>604</v>
      </c>
      <c r="G37" s="58" t="n">
        <v>5</v>
      </c>
      <c r="H37" s="58" t="n">
        <v>5282</v>
      </c>
      <c r="I37" s="60" t="inlineStr">
        <is>
          <t>Antioquia</t>
        </is>
      </c>
      <c r="J37" s="60" t="inlineStr">
        <is>
          <t>Fredonia</t>
        </is>
      </c>
      <c r="K37" s="56" t="n">
        <v>27.7</v>
      </c>
      <c r="L37" s="56" t="n">
        <v>27.8</v>
      </c>
      <c r="M37" s="56" t="n">
        <v>28.5</v>
      </c>
      <c r="N37" s="56" t="n">
        <v>28.55</v>
      </c>
      <c r="O37" s="56" t="n">
        <v>28</v>
      </c>
      <c r="P37" s="56" t="n">
        <v>28.2</v>
      </c>
      <c r="Q37" s="56" t="n">
        <v>27.4</v>
      </c>
      <c r="R37" s="56" t="n">
        <v>28.95</v>
      </c>
      <c r="S37" s="56" t="n">
        <v>28.45</v>
      </c>
      <c r="T37" s="56" t="n">
        <v>28.75</v>
      </c>
      <c r="U37" s="56" t="n">
        <v>27.25</v>
      </c>
      <c r="V37" s="56" t="n">
        <v>28.6</v>
      </c>
      <c r="W37" s="56" t="n">
        <v>28.05</v>
      </c>
      <c r="X37" s="56" t="n">
        <v>28.8</v>
      </c>
      <c r="Y37" s="56" t="n">
        <v>28.45</v>
      </c>
      <c r="Z37" s="56" t="n">
        <v>27.45</v>
      </c>
      <c r="AA37" s="56" t="n">
        <v>29.45</v>
      </c>
      <c r="AB37" s="56" t="n">
        <v>28.5</v>
      </c>
      <c r="AC37" s="56" t="n">
        <v>27.9</v>
      </c>
      <c r="AD37" s="56" t="n">
        <v>26.15</v>
      </c>
      <c r="AE37" s="56" t="n">
        <v>25.4</v>
      </c>
      <c r="AF37" s="56" t="n">
        <v>26.55</v>
      </c>
      <c r="AG37" s="56" t="n">
        <v>27.7</v>
      </c>
      <c r="AH37" s="56" t="n">
        <v>28.7</v>
      </c>
      <c r="AI37" s="56" t="n">
        <v>28.75</v>
      </c>
      <c r="AJ37" s="56" t="n">
        <v>25.75</v>
      </c>
      <c r="AK37" s="56" t="n">
        <v>24.75</v>
      </c>
      <c r="AL37" s="56" t="n"/>
      <c r="AM37" s="56" t="n"/>
      <c r="AN37" s="56" t="n"/>
      <c r="AO37" s="56" t="n"/>
      <c r="AP37" s="58">
        <f>COUNTIF(K37:AO37,"&gt;0")</f>
        <v/>
      </c>
      <c r="AQ37" s="71">
        <f>IF(AP37&gt;14,AVERAGE(K37:AO37),"")</f>
        <v/>
      </c>
      <c r="AR37" s="71">
        <f>IFERROR(VLOOKUP(A37,Climatologia_TMED!A:U,9+$E$2,FALSE),"")</f>
        <v/>
      </c>
      <c r="AS37" s="71">
        <f>IF(OR(AQ37="",AR37=""),"",IFERROR(AQ37-AR37,""))</f>
        <v/>
      </c>
    </row>
    <row r="38" ht="14.25" customHeight="1">
      <c r="A38" s="58" t="n">
        <v>26185020</v>
      </c>
      <c r="B38" s="59" t="inlineStr">
        <is>
          <t>Mesopotamia</t>
        </is>
      </c>
      <c r="C38" s="59" t="inlineStr">
        <is>
          <t>Area Operativa 01 - Antioquia-Chocó</t>
        </is>
      </c>
      <c r="D38" s="73" t="n">
        <v>-75.31863889</v>
      </c>
      <c r="E38" s="73" t="n">
        <v>5.886361111</v>
      </c>
      <c r="F38" s="58" t="n">
        <v>2408</v>
      </c>
      <c r="G38" s="58" t="n">
        <v>5</v>
      </c>
      <c r="H38" s="58" t="n">
        <v>5400</v>
      </c>
      <c r="I38" s="60" t="inlineStr">
        <is>
          <t>Antioquia</t>
        </is>
      </c>
      <c r="J38" s="60" t="inlineStr">
        <is>
          <t>La Unión</t>
        </is>
      </c>
      <c r="K38" s="56" t="n">
        <v>16.45</v>
      </c>
      <c r="L38" s="56" t="n">
        <v>16.05</v>
      </c>
      <c r="M38" s="56" t="n">
        <v>16.5</v>
      </c>
      <c r="N38" s="56" t="n">
        <v>16.95</v>
      </c>
      <c r="O38" s="56" t="n">
        <v>16.7</v>
      </c>
      <c r="P38" s="56" t="n">
        <v>15.4</v>
      </c>
      <c r="Q38" s="56" t="n">
        <v>15.6</v>
      </c>
      <c r="R38" s="56" t="n">
        <v>16.85</v>
      </c>
      <c r="S38" s="56" t="n">
        <v>15.95</v>
      </c>
      <c r="T38" s="56" t="n">
        <v>16.05</v>
      </c>
      <c r="U38" s="56" t="n">
        <v>17.3</v>
      </c>
      <c r="V38" s="56" t="n">
        <v>17.1</v>
      </c>
      <c r="W38" s="56" t="n">
        <v>16</v>
      </c>
      <c r="X38" s="56" t="n">
        <v>17.2</v>
      </c>
      <c r="Y38" s="56" t="n">
        <v>17.15</v>
      </c>
      <c r="Z38" s="56" t="n">
        <v>16.95</v>
      </c>
      <c r="AA38" s="56" t="n">
        <v>15</v>
      </c>
      <c r="AB38" s="56" t="n">
        <v>17</v>
      </c>
      <c r="AC38" s="56" t="n">
        <v>15.35</v>
      </c>
      <c r="AD38" s="56" t="n">
        <v>16.35</v>
      </c>
      <c r="AE38" s="56" t="n">
        <v/>
      </c>
      <c r="AF38" s="56" t="n">
        <v/>
      </c>
      <c r="AG38" s="56" t="n">
        <v>15.5</v>
      </c>
      <c r="AH38" s="56" t="n">
        <v>15.35</v>
      </c>
      <c r="AI38" s="56" t="n">
        <v>14.8</v>
      </c>
      <c r="AJ38" s="56" t="n">
        <v>15.5</v>
      </c>
      <c r="AK38" s="56" t="n">
        <v>15.5</v>
      </c>
      <c r="AL38" s="56" t="n"/>
      <c r="AM38" s="56" t="n"/>
      <c r="AN38" s="56" t="n"/>
      <c r="AO38" s="56" t="n"/>
      <c r="AP38" s="58">
        <f>COUNTIF(K38:AO38,"&gt;0")</f>
        <v/>
      </c>
      <c r="AQ38" s="71">
        <f>IF(AP38&gt;14,AVERAGE(K38:AO38),"")</f>
        <v/>
      </c>
      <c r="AR38" s="71">
        <f>IFERROR(VLOOKUP(A38,Climatologia_TMED!A:U,9+$E$2,FALSE),"")</f>
        <v/>
      </c>
      <c r="AS38" s="71">
        <f>IF(OR(AQ38="",AR38=""),"",IFERROR(AQ38-AR38,""))</f>
        <v/>
      </c>
    </row>
    <row r="39" ht="14.25" customHeight="1">
      <c r="A39" s="58" t="n">
        <v>26205080</v>
      </c>
      <c r="B39" s="59" t="inlineStr">
        <is>
          <t>La Aldea</t>
        </is>
      </c>
      <c r="C39" s="59" t="inlineStr">
        <is>
          <t>Area Operativa 01 - Antioquia-Chocó</t>
        </is>
      </c>
      <c r="D39" s="73" t="n">
        <v>-75.70094444</v>
      </c>
      <c r="E39" s="73" t="n">
        <v>6.341055556</v>
      </c>
      <c r="F39" s="58" t="n">
        <v>1737</v>
      </c>
      <c r="G39" s="58" t="n">
        <v>5</v>
      </c>
      <c r="H39" s="58" t="n">
        <v>5001</v>
      </c>
      <c r="I39" s="60" t="inlineStr">
        <is>
          <t>Antioquia</t>
        </is>
      </c>
      <c r="J39" s="60" t="inlineStr">
        <is>
          <t>Medellín</t>
        </is>
      </c>
      <c r="K39" s="56" t="n">
        <v>20.66666666666667</v>
      </c>
      <c r="L39" s="56" t="n">
        <v>22.13333333333334</v>
      </c>
      <c r="M39" s="56" t="n">
        <v>23.13333333333334</v>
      </c>
      <c r="N39" s="56" t="n">
        <v>22.6</v>
      </c>
      <c r="O39" s="56" t="n">
        <v>22.66666666666667</v>
      </c>
      <c r="P39" s="56" t="n">
        <v>23.13333333333334</v>
      </c>
      <c r="Q39" s="56" t="n">
        <v>22.6</v>
      </c>
      <c r="R39" s="56" t="n">
        <v>24.06666666666667</v>
      </c>
      <c r="S39" s="56" t="n">
        <v>23.66666666666667</v>
      </c>
      <c r="T39" s="56" t="n">
        <v>24.13333333333334</v>
      </c>
      <c r="U39" s="56" t="n">
        <v>20.33333333333333</v>
      </c>
      <c r="V39" s="56" t="n">
        <v>22.06666666666666</v>
      </c>
      <c r="W39" s="56" t="n">
        <v>20.93333333333333</v>
      </c>
      <c r="X39" s="56" t="n">
        <v>23.46666666666667</v>
      </c>
      <c r="Y39" s="56" t="n">
        <v>23.13333333333334</v>
      </c>
      <c r="Z39" s="56" t="n">
        <v>23.2</v>
      </c>
      <c r="AA39" s="56" t="n">
        <v>24.13333333333334</v>
      </c>
      <c r="AB39" s="56" t="n">
        <v>24.2</v>
      </c>
      <c r="AC39" s="56" t="n">
        <v>21</v>
      </c>
      <c r="AD39" s="56" t="n">
        <v>22.13333333333334</v>
      </c>
      <c r="AE39" s="56" t="n">
        <v>21.93333333333333</v>
      </c>
      <c r="AF39" s="56" t="n">
        <v>21.86666666666667</v>
      </c>
      <c r="AG39" s="56" t="n">
        <v>21.73333333333333</v>
      </c>
      <c r="AH39" s="56" t="n">
        <v>22</v>
      </c>
      <c r="AI39" s="56" t="n">
        <v>21.2</v>
      </c>
      <c r="AJ39" s="56" t="n">
        <v>20.06666666666667</v>
      </c>
      <c r="AK39" s="56" t="n">
        <v>20.2</v>
      </c>
      <c r="AL39" s="56" t="n"/>
      <c r="AM39" s="56" t="n"/>
      <c r="AN39" s="56" t="n"/>
      <c r="AO39" s="56" t="n"/>
      <c r="AP39" s="58">
        <f>COUNTIF(K39:AO39,"&gt;0")</f>
        <v/>
      </c>
      <c r="AQ39" s="71">
        <f>IF(AP39&gt;14,AVERAGE(K39:AO39),"")</f>
        <v/>
      </c>
      <c r="AR39" s="71">
        <f>IFERROR(VLOOKUP(A39,Climatologia_TMED!A:U,9+$E$2,FALSE),"")</f>
        <v/>
      </c>
      <c r="AS39" s="71">
        <f>IF(OR(AQ39="",AR39=""),"",IFERROR(AQ39-AR39,""))</f>
        <v/>
      </c>
    </row>
    <row r="40" ht="14.25" customHeight="1">
      <c r="A40" s="58" t="n">
        <v>27015090</v>
      </c>
      <c r="B40" s="59" t="inlineStr">
        <is>
          <t>Tulio Ospina</t>
        </is>
      </c>
      <c r="C40" s="59" t="inlineStr">
        <is>
          <t>Area Operativa 01 - Antioquia-Chocó</t>
        </is>
      </c>
      <c r="D40" s="73" t="n">
        <v>-75.55325000000001</v>
      </c>
      <c r="E40" s="73" t="n">
        <v>6.319694444</v>
      </c>
      <c r="F40" s="58" t="n">
        <v>1453</v>
      </c>
      <c r="G40" s="58" t="n">
        <v>5</v>
      </c>
      <c r="H40" s="58" t="n">
        <v>5088</v>
      </c>
      <c r="I40" s="60" t="inlineStr">
        <is>
          <t>Antioquia</t>
        </is>
      </c>
      <c r="J40" s="60" t="inlineStr">
        <is>
          <t>Bello</t>
        </is>
      </c>
      <c r="K40" s="56" t="n">
        <v>24.2</v>
      </c>
      <c r="L40" s="56" t="n">
        <v>24.26666666666667</v>
      </c>
      <c r="M40" s="56" t="n">
        <v>26.13333333333334</v>
      </c>
      <c r="N40" s="56" t="n">
        <v>25.93333333333334</v>
      </c>
      <c r="O40" s="56" t="n">
        <v>25.6</v>
      </c>
      <c r="P40" s="56" t="n">
        <v>25.13333333333334</v>
      </c>
      <c r="Q40" s="56" t="n">
        <v>24.33333333333333</v>
      </c>
      <c r="R40" s="56" t="n">
        <v>26.13333333333334</v>
      </c>
      <c r="S40" s="56" t="n">
        <v/>
      </c>
      <c r="T40" s="56" t="n">
        <v>25.73333333333333</v>
      </c>
      <c r="U40" s="56" t="n">
        <v>24.26666666666667</v>
      </c>
      <c r="V40" s="56" t="n">
        <v/>
      </c>
      <c r="W40" s="56" t="n">
        <v>24.33333333333333</v>
      </c>
      <c r="X40" s="56" t="n">
        <v>25.6</v>
      </c>
      <c r="Y40" s="56" t="n">
        <v/>
      </c>
      <c r="Z40" s="56" t="n">
        <v>24.93333333333333</v>
      </c>
      <c r="AA40" s="56" t="n">
        <v>26.46666666666667</v>
      </c>
      <c r="AB40" s="56" t="n">
        <v>27.2</v>
      </c>
      <c r="AC40" s="56" t="n">
        <v>23</v>
      </c>
      <c r="AD40" s="56" t="n">
        <v>25.4</v>
      </c>
      <c r="AE40" s="56" t="n">
        <v>24.86666666666666</v>
      </c>
      <c r="AF40" s="56" t="n">
        <v>25.6</v>
      </c>
      <c r="AG40" s="56" t="n">
        <v>24.6</v>
      </c>
      <c r="AH40" s="56" t="n">
        <v>25.33333333333333</v>
      </c>
      <c r="AI40" s="56" t="n">
        <v>23.4</v>
      </c>
      <c r="AJ40" s="56" t="n">
        <v/>
      </c>
      <c r="AK40" s="56" t="n">
        <v>24.66666666666667</v>
      </c>
      <c r="AL40" s="56" t="n"/>
      <c r="AM40" s="56" t="n"/>
      <c r="AN40" s="56" t="n"/>
      <c r="AO40" s="56" t="n"/>
      <c r="AP40" s="58">
        <f>COUNTIF(K40:AO40,"&gt;0")</f>
        <v/>
      </c>
      <c r="AQ40" s="71">
        <f>IF(AP40&gt;14,AVERAGE(K40:AO40),"")</f>
        <v/>
      </c>
      <c r="AR40" s="71">
        <f>IFERROR(VLOOKUP(A40,Climatologia_TMED!A:U,9+$E$2,FALSE),"")</f>
        <v/>
      </c>
      <c r="AS40" s="71">
        <f>IF(OR(AQ40="",AR40=""),"",IFERROR(AQ40-AR40,""))</f>
        <v/>
      </c>
    </row>
    <row r="41" ht="14.25" customHeight="1">
      <c r="A41" s="58" t="n">
        <v>27015260</v>
      </c>
      <c r="B41" s="59" t="inlineStr">
        <is>
          <t>La Salada</t>
        </is>
      </c>
      <c r="C41" s="59" t="inlineStr">
        <is>
          <t>Area Operativa 01 - Antioquia-Chocó</t>
        </is>
      </c>
      <c r="D41" s="73" t="n">
        <v>-75.62466667</v>
      </c>
      <c r="E41" s="73" t="n">
        <v>6.048361111</v>
      </c>
      <c r="F41" s="58" t="n">
        <v>1923</v>
      </c>
      <c r="G41" s="58" t="n">
        <v>5</v>
      </c>
      <c r="H41" s="58" t="n">
        <v>5129</v>
      </c>
      <c r="I41" s="60" t="inlineStr">
        <is>
          <t>Antioquia</t>
        </is>
      </c>
      <c r="J41" s="60" t="inlineStr">
        <is>
          <t>Caldas</t>
        </is>
      </c>
      <c r="K41" s="56" t="n">
        <v>17.8</v>
      </c>
      <c r="L41" s="56" t="n">
        <v>18.66666666666667</v>
      </c>
      <c r="M41" s="56" t="n">
        <v>21.33333333333333</v>
      </c>
      <c r="N41" s="56" t="n">
        <v>19.06666666666667</v>
      </c>
      <c r="O41" s="56" t="n">
        <v>21.13333333333334</v>
      </c>
      <c r="P41" s="56" t="n">
        <v>20.43333333333333</v>
      </c>
      <c r="Q41" s="56" t="n">
        <v>20.76666666666667</v>
      </c>
      <c r="R41" s="56" t="n">
        <v>21.73333333333333</v>
      </c>
      <c r="S41" s="56" t="n">
        <v>21.93333333333334</v>
      </c>
      <c r="T41" s="56" t="n">
        <v>19.13333333333333</v>
      </c>
      <c r="U41" s="56" t="n">
        <v>19.33333333333333</v>
      </c>
      <c r="V41" s="56" t="n">
        <v>20.93333333333333</v>
      </c>
      <c r="W41" s="56" t="n">
        <v>19.33333333333333</v>
      </c>
      <c r="X41" s="56" t="n">
        <v>20.06666666666667</v>
      </c>
      <c r="Y41" s="56" t="n">
        <v>18.8</v>
      </c>
      <c r="Z41" s="56" t="n">
        <v>19.06666666666667</v>
      </c>
      <c r="AA41" s="56" t="n">
        <v>21.8</v>
      </c>
      <c r="AB41" s="56" t="n">
        <v>20.06666666666667</v>
      </c>
      <c r="AC41" s="56" t="n">
        <v/>
      </c>
      <c r="AD41" s="56" t="n">
        <v/>
      </c>
      <c r="AE41" s="56" t="n">
        <v>19.13333333333333</v>
      </c>
      <c r="AF41" s="56" t="n">
        <v>19.6</v>
      </c>
      <c r="AG41" s="56" t="n">
        <v>18.8</v>
      </c>
      <c r="AH41" s="56" t="n">
        <v>17.06666666666667</v>
      </c>
      <c r="AI41" s="56" t="n">
        <v>17.93333333333333</v>
      </c>
      <c r="AJ41" s="56" t="n">
        <v>17.93333333333333</v>
      </c>
      <c r="AK41" s="56" t="n">
        <v>18.6</v>
      </c>
      <c r="AL41" s="56" t="n"/>
      <c r="AM41" s="56" t="n"/>
      <c r="AN41" s="56" t="n"/>
      <c r="AO41" s="56" t="n"/>
      <c r="AP41" s="58">
        <f>COUNTIF(K41:AO41,"&gt;0")</f>
        <v/>
      </c>
      <c r="AQ41" s="71">
        <f>IF(AP41&gt;14,AVERAGE(K41:AO41),"")</f>
        <v/>
      </c>
      <c r="AR41" s="71">
        <f>IFERROR(VLOOKUP(A41,Climatologia_TMED!A:U,9+$E$2,FALSE),"")</f>
        <v/>
      </c>
      <c r="AS41" s="71">
        <f>IF(OR(AQ41="",AR41=""),"",IFERROR(AQ41-AR41,""))</f>
        <v/>
      </c>
    </row>
    <row r="42" ht="14.25" customHeight="1">
      <c r="A42" s="58" t="n">
        <v>12045010</v>
      </c>
      <c r="B42" s="59" t="inlineStr">
        <is>
          <t>Arboletes</t>
        </is>
      </c>
      <c r="C42" s="59" t="inlineStr">
        <is>
          <t>Area Operativa 02 - Atlántico-Bolivar-Sucre</t>
        </is>
      </c>
      <c r="D42" s="73" t="n">
        <v>-76.43194444</v>
      </c>
      <c r="E42" s="73" t="n">
        <v>8.846944444</v>
      </c>
      <c r="F42" s="58" t="n">
        <v>4</v>
      </c>
      <c r="G42" s="58" t="n">
        <v>5</v>
      </c>
      <c r="H42" s="58" t="n">
        <v>5051</v>
      </c>
      <c r="I42" s="60" t="inlineStr">
        <is>
          <t>Antioquia</t>
        </is>
      </c>
      <c r="J42" s="60" t="inlineStr">
        <is>
          <t>Arboletes</t>
        </is>
      </c>
      <c r="K42" s="56" t="n">
        <v>28.3</v>
      </c>
      <c r="L42" s="56" t="n">
        <v>28.1</v>
      </c>
      <c r="M42" s="56" t="n">
        <v>29.05</v>
      </c>
      <c r="N42" s="56" t="n">
        <v>28.6</v>
      </c>
      <c r="O42" s="56" t="n">
        <v>28.25</v>
      </c>
      <c r="P42" s="56" t="n">
        <v>28.2</v>
      </c>
      <c r="Q42" s="56" t="n">
        <v>27.35</v>
      </c>
      <c r="R42" s="56" t="n">
        <v>29.1</v>
      </c>
      <c r="S42" s="56" t="n">
        <v>28.8</v>
      </c>
      <c r="T42" s="56" t="n">
        <v>27.5</v>
      </c>
      <c r="U42" s="56" t="n">
        <v>26.4</v>
      </c>
      <c r="V42" s="56" t="n">
        <v>27.85</v>
      </c>
      <c r="W42" s="56" t="n">
        <v>27.45</v>
      </c>
      <c r="X42" s="56" t="n">
        <v>27.125</v>
      </c>
      <c r="Y42" s="56" t="n">
        <v>26.45</v>
      </c>
      <c r="Z42" s="56" t="n">
        <v>28.05</v>
      </c>
      <c r="AA42" s="56" t="n">
        <v>28.9</v>
      </c>
      <c r="AB42" s="56" t="n">
        <v>28.5</v>
      </c>
      <c r="AC42" s="56" t="n">
        <v>27.65</v>
      </c>
      <c r="AD42" s="56" t="n">
        <v>27.35</v>
      </c>
      <c r="AE42" s="56" t="n">
        <v>27.45</v>
      </c>
      <c r="AF42" s="56" t="n">
        <v>28.75</v>
      </c>
      <c r="AG42" s="56" t="n">
        <v>29.2</v>
      </c>
      <c r="AH42" s="56" t="n">
        <v>28.6</v>
      </c>
      <c r="AI42" s="56" t="n">
        <v>28.55</v>
      </c>
      <c r="AJ42" s="56" t="n">
        <v>26.3</v>
      </c>
      <c r="AK42" s="56" t="n">
        <v>27.4</v>
      </c>
      <c r="AL42" s="56" t="n"/>
      <c r="AM42" s="56" t="n"/>
      <c r="AN42" s="56" t="n"/>
      <c r="AO42" s="56" t="n"/>
      <c r="AP42" s="58">
        <f>COUNTIF(K42:AO42,"&gt;0")</f>
        <v/>
      </c>
      <c r="AQ42" s="71">
        <f>IF(AP42&gt;14,AVERAGE(K42:AO42),"")</f>
        <v/>
      </c>
      <c r="AR42" s="71">
        <f>IFERROR(VLOOKUP(A42,Climatologia_TMED!A:U,9+$E$2,FALSE),"")</f>
        <v/>
      </c>
      <c r="AS42" s="71">
        <f>IF(OR(AQ42="",AR42=""),"",IFERROR(AQ42-AR42,""))</f>
        <v/>
      </c>
    </row>
    <row r="43" ht="14.25" customHeight="1">
      <c r="A43" s="58" t="n">
        <v>12045020</v>
      </c>
      <c r="B43" s="59" t="inlineStr">
        <is>
          <t>Cristo Rey  - Aut</t>
        </is>
      </c>
      <c r="C43" s="59" t="inlineStr">
        <is>
          <t>Area Operativa 02 - Atlántico-Bolivar-Sucre</t>
        </is>
      </c>
      <c r="D43" s="73" t="n">
        <v>-76.22444444</v>
      </c>
      <c r="E43" s="73" t="n">
        <v>9.071111111</v>
      </c>
      <c r="F43" s="58" t="n">
        <v>15</v>
      </c>
      <c r="G43" s="58" t="n">
        <v>23</v>
      </c>
      <c r="H43" s="58" t="n">
        <v>23574</v>
      </c>
      <c r="I43" s="60" t="inlineStr">
        <is>
          <t>Córdoba</t>
        </is>
      </c>
      <c r="J43" s="60" t="inlineStr">
        <is>
          <t>Puerto Escondido</t>
        </is>
      </c>
      <c r="K43" s="56" t="n">
        <v>28.65</v>
      </c>
      <c r="L43" s="56" t="n">
        <v>30</v>
      </c>
      <c r="M43" s="56" t="n">
        <v>29</v>
      </c>
      <c r="N43" s="56" t="n">
        <v>30.35</v>
      </c>
      <c r="O43" s="56" t="n">
        <v>30.65</v>
      </c>
      <c r="P43" s="56" t="n">
        <v>28.85</v>
      </c>
      <c r="Q43" s="56" t="n">
        <v>28.3</v>
      </c>
      <c r="R43" s="56" t="n">
        <v>30.75</v>
      </c>
      <c r="S43" s="56" t="n">
        <v>31</v>
      </c>
      <c r="T43" s="56" t="n">
        <v>28.5</v>
      </c>
      <c r="U43" s="56" t="n">
        <v>27.4</v>
      </c>
      <c r="V43" s="56" t="n">
        <v>29.05</v>
      </c>
      <c r="W43" s="56" t="n">
        <v>26.8</v>
      </c>
      <c r="X43" s="56" t="n">
        <v>27.65</v>
      </c>
      <c r="Y43" s="56" t="n">
        <v>28.7</v>
      </c>
      <c r="Z43" s="56" t="n">
        <v>28.6</v>
      </c>
      <c r="AA43" s="56" t="n">
        <v>30.75</v>
      </c>
      <c r="AB43" s="56" t="n">
        <v>29.75</v>
      </c>
      <c r="AC43" s="56" t="n">
        <v>27.55</v>
      </c>
      <c r="AD43" s="56" t="n">
        <v>27.5</v>
      </c>
      <c r="AE43" s="56" t="n">
        <v>27.8</v>
      </c>
      <c r="AF43" s="56" t="n">
        <v>28.95</v>
      </c>
      <c r="AG43" s="56" t="n">
        <v>28.8</v>
      </c>
      <c r="AH43" s="56" t="n">
        <v>29.4</v>
      </c>
      <c r="AI43" s="56" t="n">
        <v>29.6</v>
      </c>
      <c r="AJ43" s="56" t="n">
        <v>26.6</v>
      </c>
      <c r="AK43" s="56" t="n">
        <v>27.7</v>
      </c>
      <c r="AL43" s="56" t="n"/>
      <c r="AM43" s="56" t="n"/>
      <c r="AN43" s="56" t="n"/>
      <c r="AO43" s="56" t="n"/>
      <c r="AP43" s="58">
        <f>COUNTIF(K43:AO43,"&gt;0")</f>
        <v/>
      </c>
      <c r="AQ43" s="71">
        <f>IF(AP43&gt;14,AVERAGE(K43:AO43),"")</f>
        <v/>
      </c>
      <c r="AR43" s="71">
        <f>IFERROR(VLOOKUP(A43,Climatologia_TMED!A:U,9+$E$2,FALSE),"")</f>
        <v/>
      </c>
      <c r="AS43" s="71">
        <f>IF(OR(AQ43="",AR43=""),"",IFERROR(AQ43-AR43,""))</f>
        <v/>
      </c>
    </row>
    <row r="44" ht="14.25" customHeight="1">
      <c r="A44" s="58" t="n">
        <v>13015040</v>
      </c>
      <c r="B44" s="59" t="inlineStr">
        <is>
          <t>Represa Urra</t>
        </is>
      </c>
      <c r="C44" s="59" t="inlineStr">
        <is>
          <t>Area Operativa 02 - Atlántico-Bolivar-Sucre</t>
        </is>
      </c>
      <c r="D44" s="73" t="n">
        <v>-76.20305556</v>
      </c>
      <c r="E44" s="73" t="n">
        <v>8.014166667</v>
      </c>
      <c r="F44" s="58" t="n">
        <v>300</v>
      </c>
      <c r="G44" s="58" t="n">
        <v>23</v>
      </c>
      <c r="H44" s="58" t="n">
        <v>23807</v>
      </c>
      <c r="I44" s="60" t="inlineStr">
        <is>
          <t>Córdoba</t>
        </is>
      </c>
      <c r="J44" s="60" t="inlineStr">
        <is>
          <t>Tierralta</t>
        </is>
      </c>
      <c r="K44" s="56" t="n">
        <v>27.3</v>
      </c>
      <c r="L44" s="56" t="n">
        <v>28.35</v>
      </c>
      <c r="M44" s="56" t="n">
        <v>29.25</v>
      </c>
      <c r="N44" s="56" t="n">
        <v>28.95</v>
      </c>
      <c r="O44" s="56" t="n">
        <v>29.1</v>
      </c>
      <c r="P44" s="56" t="n">
        <v>26.375</v>
      </c>
      <c r="Q44" s="56" t="n">
        <v>26.75</v>
      </c>
      <c r="R44" s="56" t="n">
        <v>29.55</v>
      </c>
      <c r="S44" s="56" t="n">
        <v>30.425</v>
      </c>
      <c r="T44" s="56" t="n">
        <v>27.75</v>
      </c>
      <c r="U44" s="56" t="n">
        <v>27.45</v>
      </c>
      <c r="V44" s="56" t="n">
        <v>28.325</v>
      </c>
      <c r="W44" s="56" t="n">
        <v>29</v>
      </c>
      <c r="X44" s="56" t="n">
        <v>27.375</v>
      </c>
      <c r="Y44" s="56" t="n">
        <v>27.65</v>
      </c>
      <c r="Z44" s="56" t="n">
        <v>28.975</v>
      </c>
      <c r="AA44" s="56" t="n">
        <v>29.625</v>
      </c>
      <c r="AB44" s="56" t="n">
        <v>28.825</v>
      </c>
      <c r="AC44" s="56" t="n">
        <v>27.55</v>
      </c>
      <c r="AD44" s="56" t="n">
        <v>29.475</v>
      </c>
      <c r="AE44" s="56" t="n">
        <v>28.1</v>
      </c>
      <c r="AF44" s="56" t="n">
        <v>28.5</v>
      </c>
      <c r="AG44" s="56" t="n">
        <v>28.075</v>
      </c>
      <c r="AH44" s="56" t="n">
        <v>28.975</v>
      </c>
      <c r="AI44" s="56" t="n">
        <v>27.9</v>
      </c>
      <c r="AJ44" s="56" t="n">
        <v>28.2</v>
      </c>
      <c r="AK44" s="56" t="n">
        <v>26.05</v>
      </c>
      <c r="AL44" s="56" t="n"/>
      <c r="AM44" s="56" t="n"/>
      <c r="AN44" s="56" t="n"/>
      <c r="AO44" s="56" t="n"/>
      <c r="AP44" s="58">
        <f>COUNTIF(K44:AO44,"&gt;0")</f>
        <v/>
      </c>
      <c r="AQ44" s="71">
        <f>IF(AP44&gt;14,AVERAGE(K44:AO44),"")</f>
        <v/>
      </c>
      <c r="AR44" s="71">
        <f>IFERROR(VLOOKUP(A44,Climatologia_TMED!A:U,9+$E$2,FALSE),"")</f>
        <v/>
      </c>
      <c r="AS44" s="71">
        <f>IF(OR(AQ44="",AR44=""),"",IFERROR(AQ44-AR44,""))</f>
        <v/>
      </c>
    </row>
    <row r="45" ht="14.25" customHeight="1">
      <c r="A45" s="58" t="n">
        <v>25025080</v>
      </c>
      <c r="B45" s="59" t="inlineStr">
        <is>
          <t>Aeropuerto Rafael Barvo</t>
        </is>
      </c>
      <c r="C45" s="59" t="inlineStr">
        <is>
          <t>Area Operativa 02 - Atlántico-Bolivar-Sucre</t>
        </is>
      </c>
      <c r="D45" s="73" t="n">
        <v>-75.28305555999999</v>
      </c>
      <c r="E45" s="73" t="n">
        <v>9.333888889000001</v>
      </c>
      <c r="F45" s="58" t="n">
        <v>166</v>
      </c>
      <c r="G45" s="58" t="n">
        <v>70</v>
      </c>
      <c r="H45" s="58" t="n">
        <v>70215</v>
      </c>
      <c r="I45" s="60" t="inlineStr">
        <is>
          <t>Sucre</t>
        </is>
      </c>
      <c r="J45" s="60" t="inlineStr">
        <is>
          <t>Corozal</t>
        </is>
      </c>
      <c r="K45" s="56" t="n">
        <v>27.3</v>
      </c>
      <c r="L45" s="56" t="n">
        <v>29</v>
      </c>
      <c r="M45" s="56" t="n">
        <v>28.95</v>
      </c>
      <c r="N45" s="56" t="n">
        <v>29.7</v>
      </c>
      <c r="O45" s="56" t="n">
        <v>30.45</v>
      </c>
      <c r="P45" s="56" t="n">
        <v>28.4</v>
      </c>
      <c r="Q45" s="56" t="n">
        <v>28.4</v>
      </c>
      <c r="R45" s="56" t="n">
        <v>30.35</v>
      </c>
      <c r="S45" s="56" t="n">
        <v>31</v>
      </c>
      <c r="T45" s="56" t="n">
        <v>28.8</v>
      </c>
      <c r="U45" s="56" t="n">
        <v>27.75</v>
      </c>
      <c r="V45" s="56" t="n">
        <v>28.65</v>
      </c>
      <c r="W45" s="56" t="n">
        <v>27.4</v>
      </c>
      <c r="X45" s="56" t="n">
        <v>28.5</v>
      </c>
      <c r="Y45" s="56" t="n">
        <v>28.6</v>
      </c>
      <c r="Z45" s="56" t="n">
        <v>27.95</v>
      </c>
      <c r="AA45" s="56" t="n">
        <v>30.45</v>
      </c>
      <c r="AB45" s="56" t="n">
        <v>30.4</v>
      </c>
      <c r="AC45" s="56" t="n">
        <v>26.15</v>
      </c>
      <c r="AD45" s="56" t="n">
        <v>28.45</v>
      </c>
      <c r="AE45" s="56" t="n">
        <v>27.95</v>
      </c>
      <c r="AF45" s="56" t="n">
        <v>29.3</v>
      </c>
      <c r="AG45" s="56" t="n">
        <v>29.5</v>
      </c>
      <c r="AH45" s="56" t="n">
        <v>28.75</v>
      </c>
      <c r="AI45" s="56" t="n">
        <v>27.25</v>
      </c>
      <c r="AJ45" s="56" t="n">
        <v>25.45</v>
      </c>
      <c r="AK45" s="56" t="n">
        <v>25.85</v>
      </c>
      <c r="AL45" s="56" t="n"/>
      <c r="AM45" s="56" t="n"/>
      <c r="AN45" s="56" t="n"/>
      <c r="AO45" s="56" t="n"/>
      <c r="AP45" s="58">
        <f>COUNTIF(K45:AO45,"&gt;0")</f>
        <v/>
      </c>
      <c r="AQ45" s="71">
        <f>IF(AP45&gt;14,AVERAGE(K45:AO45),"")</f>
        <v/>
      </c>
      <c r="AR45" s="71">
        <f>IFERROR(VLOOKUP(A45,Climatologia_TMED!A:U,9+$E$2,FALSE),"")</f>
        <v/>
      </c>
      <c r="AS45" s="71">
        <f>IF(OR(AQ45="",AR45=""),"",IFERROR(AQ45-AR45,""))</f>
        <v/>
      </c>
    </row>
    <row r="46" ht="14.25" customHeight="1">
      <c r="A46" s="58" t="n">
        <v>13075010</v>
      </c>
      <c r="B46" s="59" t="inlineStr">
        <is>
          <t>Chima</t>
        </is>
      </c>
      <c r="C46" s="59" t="inlineStr">
        <is>
          <t>Area Operativa 02 - Atlántico-Bolivar-Sucre</t>
        </is>
      </c>
      <c r="D46" s="73" t="n">
        <v>-75.62208333</v>
      </c>
      <c r="E46" s="73" t="n">
        <v>9.15075</v>
      </c>
      <c r="F46" s="58" t="n">
        <v>20</v>
      </c>
      <c r="G46" s="58" t="n">
        <v>5</v>
      </c>
      <c r="H46" s="58" t="n">
        <v>5172</v>
      </c>
      <c r="I46" s="60" t="inlineStr">
        <is>
          <t>Antioquia</t>
        </is>
      </c>
      <c r="J46" s="60" t="inlineStr">
        <is>
          <t>Chigorodó</t>
        </is>
      </c>
      <c r="K46" s="56" t="n">
        <v>27.75</v>
      </c>
      <c r="L46" s="56" t="n">
        <v>28.4</v>
      </c>
      <c r="M46" s="56" t="n">
        <v>28.9</v>
      </c>
      <c r="N46" s="56" t="n">
        <v>29.05</v>
      </c>
      <c r="O46" s="56" t="n">
        <v>29.5</v>
      </c>
      <c r="P46" s="56" t="n">
        <v>27.9</v>
      </c>
      <c r="Q46" s="56" t="n">
        <v>28.75</v>
      </c>
      <c r="R46" s="56" t="n">
        <v>29.05</v>
      </c>
      <c r="S46" s="56" t="n">
        <v>29.9</v>
      </c>
      <c r="T46" s="56" t="n">
        <v>28.55</v>
      </c>
      <c r="U46" s="56" t="n">
        <v>27.8</v>
      </c>
      <c r="V46" s="56" t="n">
        <v>29.3</v>
      </c>
      <c r="W46" s="56" t="n">
        <v>28.05</v>
      </c>
      <c r="X46" s="56" t="n">
        <v>28.85</v>
      </c>
      <c r="Y46" s="56" t="n">
        <v>28</v>
      </c>
      <c r="Z46" s="56" t="n">
        <v>28.2</v>
      </c>
      <c r="AA46" s="56" t="n">
        <v>28.15</v>
      </c>
      <c r="AB46" s="56" t="n">
        <v>28.8</v>
      </c>
      <c r="AC46" s="56" t="n">
        <v>27.4</v>
      </c>
      <c r="AD46" s="56" t="n">
        <v>28.45</v>
      </c>
      <c r="AE46" s="56" t="n">
        <v>27.55</v>
      </c>
      <c r="AF46" s="56" t="n">
        <v>28.7</v>
      </c>
      <c r="AG46" s="56" t="n">
        <v>28.5</v>
      </c>
      <c r="AH46" s="56" t="n">
        <v>28.7</v>
      </c>
      <c r="AI46" s="56" t="n">
        <v>29.2</v>
      </c>
      <c r="AJ46" s="56" t="n">
        <v>27</v>
      </c>
      <c r="AK46" s="56" t="n">
        <v/>
      </c>
      <c r="AL46" s="56" t="n"/>
      <c r="AM46" s="56" t="n"/>
      <c r="AN46" s="56" t="n"/>
      <c r="AO46" s="56" t="n"/>
      <c r="AP46" s="58">
        <f>COUNTIF(K46:AO46,"&gt;0")</f>
        <v/>
      </c>
      <c r="AQ46" s="71">
        <f>IF(AP46&gt;14,AVERAGE(K46:AO46),"")</f>
        <v/>
      </c>
      <c r="AR46" s="71">
        <f>IFERROR(VLOOKUP(A46,Climatologia_TMED!A:U,9+$E$2,FALSE),"")</f>
        <v/>
      </c>
      <c r="AS46" s="71">
        <f>IF(OR(AQ46="",AR46=""),"",IFERROR(AQ46-AR46,""))</f>
        <v/>
      </c>
    </row>
    <row r="47" ht="14.25" customHeight="1">
      <c r="A47" s="58" t="n">
        <v>13075020</v>
      </c>
      <c r="B47" s="59" t="inlineStr">
        <is>
          <t xml:space="preserve">El Salado </t>
        </is>
      </c>
      <c r="C47" s="59" t="inlineStr">
        <is>
          <t>Area Operativa 02 - Atlántico-Bolivar-Sucre</t>
        </is>
      </c>
      <c r="D47" s="73" t="n">
        <v>-75.58222222000001</v>
      </c>
      <c r="E47" s="73" t="n">
        <v>8.913888889000001</v>
      </c>
      <c r="F47" s="58" t="n">
        <v>40</v>
      </c>
      <c r="G47" s="58" t="n">
        <v>23</v>
      </c>
      <c r="H47" s="58" t="n">
        <v>23189</v>
      </c>
      <c r="I47" s="60" t="inlineStr">
        <is>
          <t>Córdoba</t>
        </is>
      </c>
      <c r="J47" s="60" t="inlineStr">
        <is>
          <t>Ciénaga De Oro</t>
        </is>
      </c>
      <c r="K47" s="56" t="n">
        <v>29.4</v>
      </c>
      <c r="L47" s="56" t="n">
        <v>30.26666666666667</v>
      </c>
      <c r="M47" s="56" t="n">
        <v>30.26666666666667</v>
      </c>
      <c r="N47" s="56" t="n">
        <v>30.73333333333333</v>
      </c>
      <c r="O47" s="56" t="n">
        <v>30.66666666666667</v>
      </c>
      <c r="P47" s="56" t="n">
        <v>28.26666666666667</v>
      </c>
      <c r="Q47" s="56" t="n">
        <v>29.2</v>
      </c>
      <c r="R47" s="56" t="n">
        <v>31.93333333333334</v>
      </c>
      <c r="S47" s="56" t="n">
        <v>31.06666666666667</v>
      </c>
      <c r="T47" s="56" t="n">
        <v>28.66666666666667</v>
      </c>
      <c r="U47" s="56" t="n">
        <v>28.2</v>
      </c>
      <c r="V47" s="56" t="n">
        <v>30.86666666666666</v>
      </c>
      <c r="W47" s="56" t="n">
        <v>26</v>
      </c>
      <c r="X47" s="56" t="n">
        <v>29.2</v>
      </c>
      <c r="Y47" s="56" t="n">
        <v>28.6</v>
      </c>
      <c r="Z47" s="56" t="n">
        <v/>
      </c>
      <c r="AA47" s="56" t="n">
        <v/>
      </c>
      <c r="AB47" s="56" t="n">
        <v/>
      </c>
      <c r="AC47" s="56" t="n">
        <v/>
      </c>
      <c r="AD47" s="56" t="n">
        <v/>
      </c>
      <c r="AE47" s="56" t="n">
        <v/>
      </c>
      <c r="AF47" s="56" t="n">
        <v/>
      </c>
      <c r="AG47" s="56" t="n">
        <v/>
      </c>
      <c r="AH47" s="56" t="n">
        <v/>
      </c>
      <c r="AI47" s="56" t="n">
        <v/>
      </c>
      <c r="AJ47" s="56" t="n">
        <v/>
      </c>
      <c r="AK47" s="56" t="n">
        <v/>
      </c>
      <c r="AL47" s="56" t="n"/>
      <c r="AM47" s="56" t="n"/>
      <c r="AN47" s="56" t="n"/>
      <c r="AO47" s="56" t="n"/>
      <c r="AP47" s="58">
        <f>COUNTIF(K47:AO47,"&gt;0")</f>
        <v/>
      </c>
      <c r="AQ47" s="71">
        <f>IF(AP47&gt;14,AVERAGE(K47:AO47),"")</f>
        <v/>
      </c>
      <c r="AR47" s="71">
        <f>IFERROR(VLOOKUP(A47,Climatologia_TMED!A:U,9+$E$2,FALSE),"")</f>
        <v/>
      </c>
      <c r="AS47" s="71">
        <f>IF(OR(AQ47="",AR47=""),"",IFERROR(AQ47-AR47,""))</f>
        <v/>
      </c>
    </row>
    <row r="48" ht="14.25" customHeight="1">
      <c r="A48" s="58" t="n">
        <v>13085010</v>
      </c>
      <c r="B48" s="59" t="inlineStr">
        <is>
          <t xml:space="preserve">La Doctrina </t>
        </is>
      </c>
      <c r="C48" s="59" t="inlineStr">
        <is>
          <t>Area Operativa 02 - Atlántico-Bolivar-Sucre</t>
        </is>
      </c>
      <c r="D48" s="73" t="n">
        <v>-75.89277778</v>
      </c>
      <c r="E48" s="73" t="n">
        <v>9.297222222</v>
      </c>
      <c r="F48" s="58" t="n">
        <v>20</v>
      </c>
      <c r="G48" s="58" t="n">
        <v>23</v>
      </c>
      <c r="H48" s="58" t="n">
        <v>23417</v>
      </c>
      <c r="I48" s="60" t="inlineStr">
        <is>
          <t>Córdoba</t>
        </is>
      </c>
      <c r="J48" s="60" t="inlineStr">
        <is>
          <t>Lorica</t>
        </is>
      </c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8">
        <f>COUNTIF(K48:AO48,"&gt;0")</f>
        <v/>
      </c>
      <c r="AQ48" s="71">
        <f>IF(AP48&gt;14,AVERAGE(K48:AO48),"")</f>
        <v/>
      </c>
      <c r="AR48" s="71">
        <f>IFERROR(VLOOKUP(A48,Climatologia_TMED!A:U,9+$E$2,FALSE),"")</f>
        <v/>
      </c>
      <c r="AS48" s="71">
        <f>IF(OR(AQ48="",AR48=""),"",IFERROR(AQ48-AR48,""))</f>
        <v/>
      </c>
    </row>
    <row r="49" ht="14.25" customHeight="1">
      <c r="A49" s="58" t="n">
        <v>13085030</v>
      </c>
      <c r="B49" s="59" t="inlineStr">
        <is>
          <t>San Bernardo Del Viento</t>
        </is>
      </c>
      <c r="C49" s="59" t="inlineStr">
        <is>
          <t>Area Operativa 02 - Atlántico-Bolivar-Sucre</t>
        </is>
      </c>
      <c r="D49" s="73" t="n">
        <v>-75.95</v>
      </c>
      <c r="E49" s="73" t="n">
        <v>9.369999999999999</v>
      </c>
      <c r="F49" s="58" t="n">
        <v>22</v>
      </c>
      <c r="G49" s="58" t="n">
        <v>23</v>
      </c>
      <c r="H49" s="58" t="n">
        <v>23675</v>
      </c>
      <c r="I49" s="60" t="inlineStr">
        <is>
          <t>Córdoba</t>
        </is>
      </c>
      <c r="J49" s="60" t="inlineStr">
        <is>
          <t>San Bernardo Del Viento</t>
        </is>
      </c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56" t="n"/>
      <c r="AL49" s="56" t="n"/>
      <c r="AM49" s="56" t="n"/>
      <c r="AN49" s="56" t="n"/>
      <c r="AO49" s="56" t="n"/>
      <c r="AP49" s="58">
        <f>COUNTIF(K49:AO49,"&gt;0")</f>
        <v/>
      </c>
      <c r="AQ49" s="71">
        <f>IF(AP49&gt;14,AVERAGE(K49:AO49),"")</f>
        <v/>
      </c>
      <c r="AR49" s="71">
        <f>IFERROR(VLOOKUP(A49,Climatologia_TMED!A:U,9+$E$2,FALSE),"")</f>
        <v/>
      </c>
      <c r="AS49" s="71">
        <f>IF(OR(AQ49="",AR49=""),"",IFERROR(AQ49-AR49,""))</f>
        <v/>
      </c>
    </row>
    <row r="50" ht="14.25" customHeight="1">
      <c r="A50" s="58" t="n">
        <v>25025160</v>
      </c>
      <c r="B50" s="59" t="inlineStr">
        <is>
          <t>Cuba Hacienda</t>
        </is>
      </c>
      <c r="C50" s="59" t="inlineStr">
        <is>
          <t>Area Operativa 02 - Atlántico-Bolivar-Sucre</t>
        </is>
      </c>
      <c r="D50" s="73" t="n">
        <v>-75.40277777999999</v>
      </c>
      <c r="E50" s="73" t="n">
        <v>8.003888889000001</v>
      </c>
      <c r="F50" s="58" t="n">
        <v>50</v>
      </c>
      <c r="G50" s="58" t="n">
        <v>23</v>
      </c>
      <c r="H50" s="58" t="n">
        <v>23466</v>
      </c>
      <c r="I50" s="60" t="inlineStr">
        <is>
          <t>Córdoba</t>
        </is>
      </c>
      <c r="J50" s="60" t="inlineStr">
        <is>
          <t>Montelíbano</t>
        </is>
      </c>
      <c r="K50" s="56" t="n">
        <v>28.8</v>
      </c>
      <c r="L50" s="56" t="n">
        <v>27.5</v>
      </c>
      <c r="M50" s="56" t="n">
        <v>29.45</v>
      </c>
      <c r="N50" s="56" t="n">
        <v>28.05</v>
      </c>
      <c r="O50" s="56" t="n">
        <v>27.6</v>
      </c>
      <c r="P50" s="56" t="n">
        <v>25.35</v>
      </c>
      <c r="Q50" s="56" t="n">
        <v>28.55</v>
      </c>
      <c r="R50" s="56" t="n">
        <v>30.4</v>
      </c>
      <c r="S50" s="56" t="n">
        <v>29.9</v>
      </c>
      <c r="T50" s="56" t="n">
        <v>28</v>
      </c>
      <c r="U50" s="56" t="n">
        <v>27.75</v>
      </c>
      <c r="V50" s="56" t="n">
        <v>29.05</v>
      </c>
      <c r="W50" s="56" t="n">
        <v>25.85</v>
      </c>
      <c r="X50" s="56" t="n">
        <v>29.2</v>
      </c>
      <c r="Y50" s="56" t="n">
        <v>27.55</v>
      </c>
      <c r="Z50" s="56" t="n">
        <v>28.55</v>
      </c>
      <c r="AA50" s="56" t="n">
        <v>30.4</v>
      </c>
      <c r="AB50" s="56" t="n">
        <v>29.8</v>
      </c>
      <c r="AC50" s="56" t="n">
        <v>25.75</v>
      </c>
      <c r="AD50" s="56" t="n">
        <v>28.05</v>
      </c>
      <c r="AE50" s="56" t="n">
        <v>28.95</v>
      </c>
      <c r="AF50" s="56" t="n">
        <v>30.3</v>
      </c>
      <c r="AG50" s="56" t="n">
        <v>28.85</v>
      </c>
      <c r="AH50" s="56" t="n">
        <v>30.9</v>
      </c>
      <c r="AI50" s="56" t="n">
        <v>29.9</v>
      </c>
      <c r="AJ50" s="56" t="n">
        <v>27.05</v>
      </c>
      <c r="AK50" s="56" t="n">
        <v>28.55</v>
      </c>
      <c r="AL50" s="56" t="n"/>
      <c r="AM50" s="56" t="n"/>
      <c r="AN50" s="56" t="n"/>
      <c r="AO50" s="56" t="n"/>
      <c r="AP50" s="58">
        <f>COUNTIF(K50:AO50,"&gt;0")</f>
        <v/>
      </c>
      <c r="AQ50" s="71">
        <f>IF(AP50&gt;14,AVERAGE(K50:AO50),"")</f>
        <v/>
      </c>
      <c r="AR50" s="71">
        <f>IFERROR(VLOOKUP(A50,Climatologia_TMED!A:U,9+$E$2,FALSE),"")</f>
        <v/>
      </c>
      <c r="AS50" s="71">
        <f>IF(OR(AQ50="",AR50=""),"",IFERROR(AQ50-AR50,""))</f>
        <v/>
      </c>
    </row>
    <row r="51" ht="14.25" customHeight="1">
      <c r="A51" s="58" t="n">
        <v>25025190</v>
      </c>
      <c r="B51" s="59" t="inlineStr">
        <is>
          <t>Planeta Rica  - Aut</t>
        </is>
      </c>
      <c r="C51" s="59" t="inlineStr">
        <is>
          <t>Area Operativa 02 - Atlántico-Bolivar-Sucre</t>
        </is>
      </c>
      <c r="D51" s="73" t="n">
        <v>-75.58372222</v>
      </c>
      <c r="E51" s="73" t="n">
        <v>8.399333333</v>
      </c>
      <c r="F51" s="58" t="n">
        <v>90</v>
      </c>
      <c r="G51" s="58" t="n">
        <v>23</v>
      </c>
      <c r="H51" s="58" t="n">
        <v>23555</v>
      </c>
      <c r="I51" s="60" t="inlineStr">
        <is>
          <t>Córdoba</t>
        </is>
      </c>
      <c r="J51" s="60" t="inlineStr">
        <is>
          <t>Planeta Rica</t>
        </is>
      </c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  <c r="AN51" s="56" t="n"/>
      <c r="AO51" s="56" t="n"/>
      <c r="AP51" s="58">
        <f>COUNTIF(K51:AO51,"&gt;0")</f>
        <v/>
      </c>
      <c r="AQ51" s="71">
        <f>IF(AP51&gt;14,AVERAGE(K51:AO51),"")</f>
        <v/>
      </c>
      <c r="AR51" s="71">
        <f>IFERROR(VLOOKUP(A51,Climatologia_TMED!A:U,9+$E$2,FALSE),"")</f>
        <v/>
      </c>
      <c r="AS51" s="71">
        <f>IF(OR(AQ51="",AR51=""),"",IFERROR(AQ51-AR51,""))</f>
        <v/>
      </c>
    </row>
    <row r="52" ht="14.25" customHeight="1">
      <c r="A52" s="58" t="n">
        <v>25025210</v>
      </c>
      <c r="B52" s="59" t="inlineStr">
        <is>
          <t>Pinillos</t>
        </is>
      </c>
      <c r="C52" s="59" t="inlineStr">
        <is>
          <t>Area Operativa 02 - Atlántico-Bolivar-Sucre</t>
        </is>
      </c>
      <c r="D52" s="73" t="n">
        <v>-74.45777778</v>
      </c>
      <c r="E52" s="73" t="n">
        <v>8.911388888999999</v>
      </c>
      <c r="F52" s="58" t="n">
        <v>10</v>
      </c>
      <c r="G52" s="58" t="n">
        <v>13</v>
      </c>
      <c r="H52" s="58" t="n">
        <v>13549</v>
      </c>
      <c r="I52" s="60" t="inlineStr">
        <is>
          <t>Bolívar</t>
        </is>
      </c>
      <c r="J52" s="60" t="inlineStr">
        <is>
          <t>Pinillos</t>
        </is>
      </c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n"/>
      <c r="AO52" s="56" t="n"/>
      <c r="AP52" s="58">
        <f>COUNTIF(K52:AO52,"&gt;0")</f>
        <v/>
      </c>
      <c r="AQ52" s="71">
        <f>IF(AP52&gt;14,AVERAGE(K52:AO52),"")</f>
        <v/>
      </c>
      <c r="AR52" s="71">
        <f>IFERROR(VLOOKUP(A52,Climatologia_TMED!A:U,9+$E$2,FALSE),"")</f>
        <v/>
      </c>
      <c r="AS52" s="71">
        <f>IF(OR(AQ52="",AR52=""),"",IFERROR(AQ52-AR52,""))</f>
        <v/>
      </c>
    </row>
    <row r="53" ht="14.25" customHeight="1">
      <c r="A53" s="58" t="n">
        <v>25025270</v>
      </c>
      <c r="B53" s="59" t="inlineStr">
        <is>
          <t>Unisucre Aut</t>
        </is>
      </c>
      <c r="C53" s="59" t="inlineStr">
        <is>
          <t>Area Operativa 02 - Atlántico-Bolivar-Sucre</t>
        </is>
      </c>
      <c r="D53" s="73" t="n">
        <v>-75.3875</v>
      </c>
      <c r="E53" s="73" t="n">
        <v>9.316388889000001</v>
      </c>
      <c r="F53" s="58" t="n">
        <v>160</v>
      </c>
      <c r="G53" s="58" t="n">
        <v>70</v>
      </c>
      <c r="H53" s="58" t="n">
        <v>70670</v>
      </c>
      <c r="I53" s="60" t="inlineStr">
        <is>
          <t>Sucre</t>
        </is>
      </c>
      <c r="J53" s="60" t="inlineStr">
        <is>
          <t>Sampués</t>
        </is>
      </c>
      <c r="K53" s="56" t="n">
        <v>27.85</v>
      </c>
      <c r="L53" s="56" t="n">
        <v>28.35</v>
      </c>
      <c r="M53" s="56" t="n">
        <v>28.7</v>
      </c>
      <c r="N53" s="56" t="n">
        <v>29.55</v>
      </c>
      <c r="O53" s="56" t="n">
        <v>30.15</v>
      </c>
      <c r="P53" s="56" t="n">
        <v>27.85</v>
      </c>
      <c r="Q53" s="56" t="n">
        <v>27.85</v>
      </c>
      <c r="R53" s="56" t="n">
        <v>29.5</v>
      </c>
      <c r="S53" s="56" t="n">
        <v>30.85</v>
      </c>
      <c r="T53" s="56" t="n">
        <v>29.55</v>
      </c>
      <c r="U53" s="56" t="n">
        <v>26.95</v>
      </c>
      <c r="V53" s="56" t="n">
        <v>29.35</v>
      </c>
      <c r="W53" s="56" t="n">
        <v>27.5</v>
      </c>
      <c r="X53" s="56" t="n">
        <v>27.5</v>
      </c>
      <c r="Y53" s="56" t="n">
        <v>28.3</v>
      </c>
      <c r="Z53" s="56" t="n">
        <v>26.95</v>
      </c>
      <c r="AA53" s="56" t="n">
        <v>30</v>
      </c>
      <c r="AB53" s="56" t="n">
        <v>30.4</v>
      </c>
      <c r="AC53" s="56" t="n">
        <v>26.85</v>
      </c>
      <c r="AD53" s="56" t="n">
        <v>27.4</v>
      </c>
      <c r="AE53" s="56" t="n">
        <v>26.8</v>
      </c>
      <c r="AF53" s="56" t="n">
        <v>28.75</v>
      </c>
      <c r="AG53" s="56" t="n">
        <v>28.1</v>
      </c>
      <c r="AH53" s="56" t="n">
        <v>27.7</v>
      </c>
      <c r="AI53" s="56" t="n">
        <v>27.9</v>
      </c>
      <c r="AJ53" s="56" t="n">
        <v>25.5</v>
      </c>
      <c r="AK53" s="56" t="n">
        <v>26.75</v>
      </c>
      <c r="AL53" s="56" t="n"/>
      <c r="AM53" s="56" t="n"/>
      <c r="AN53" s="56" t="n"/>
      <c r="AO53" s="56" t="n"/>
      <c r="AP53" s="58">
        <f>COUNTIF(K53:AO53,"&gt;0")</f>
        <v/>
      </c>
      <c r="AQ53" s="71">
        <f>IF(AP53&gt;14,AVERAGE(K53:AO53),"")</f>
        <v/>
      </c>
      <c r="AR53" s="71">
        <f>IFERROR(VLOOKUP(A53,Climatologia_TMED!A:U,9+$E$2,FALSE),"")</f>
        <v/>
      </c>
      <c r="AS53" s="71">
        <f>IF(OR(AQ53="",AR53=""),"",IFERROR(AQ53-AR53,""))</f>
        <v/>
      </c>
    </row>
    <row r="54" ht="14.25" customHeight="1">
      <c r="A54" s="58" t="n">
        <v>25025380</v>
      </c>
      <c r="B54" s="59" t="inlineStr">
        <is>
          <t>San Benito - Aut</t>
        </is>
      </c>
      <c r="C54" s="59" t="inlineStr">
        <is>
          <t>Area Operativa 02 - Atlántico-Bolivar-Sucre</t>
        </is>
      </c>
      <c r="D54" s="73" t="n">
        <v>-75.04472222</v>
      </c>
      <c r="E54" s="73" t="n">
        <v>9.163888889000001</v>
      </c>
      <c r="F54" s="58" t="n">
        <v>20</v>
      </c>
      <c r="G54" s="58" t="n">
        <v>70</v>
      </c>
      <c r="H54" s="58" t="n">
        <v>70678</v>
      </c>
      <c r="I54" s="60" t="inlineStr">
        <is>
          <t>Sucre</t>
        </is>
      </c>
      <c r="J54" s="60" t="inlineStr">
        <is>
          <t>San Benito Abad</t>
        </is>
      </c>
      <c r="K54" s="56" t="n">
        <v>28.25</v>
      </c>
      <c r="L54" s="56" t="n">
        <v>29.9</v>
      </c>
      <c r="M54" s="56" t="n">
        <v>30.7</v>
      </c>
      <c r="N54" s="56" t="n">
        <v>31.05</v>
      </c>
      <c r="O54" s="56" t="n">
        <v>31</v>
      </c>
      <c r="P54" s="56" t="n">
        <v>29.15</v>
      </c>
      <c r="Q54" s="56" t="n">
        <v>29.7</v>
      </c>
      <c r="R54" s="56" t="n">
        <v>31.5</v>
      </c>
      <c r="S54" s="56" t="n">
        <v>31.1</v>
      </c>
      <c r="T54" s="56" t="n">
        <v>29.45</v>
      </c>
      <c r="U54" s="56" t="n">
        <v>28.7</v>
      </c>
      <c r="V54" s="56" t="n">
        <v>30.9</v>
      </c>
      <c r="W54" s="56" t="n">
        <v>26.85</v>
      </c>
      <c r="X54" s="56" t="n">
        <v>30.1</v>
      </c>
      <c r="Y54" s="56" t="n">
        <v>29.3</v>
      </c>
      <c r="Z54" s="56" t="n">
        <v>29.1</v>
      </c>
      <c r="AA54" s="56" t="n">
        <v>30.6</v>
      </c>
      <c r="AB54" s="56" t="n">
        <v>31.6</v>
      </c>
      <c r="AC54" s="56" t="n">
        <v>26</v>
      </c>
      <c r="AD54" s="56" t="n">
        <v>29.85</v>
      </c>
      <c r="AE54" s="56" t="n">
        <v>28.25</v>
      </c>
      <c r="AF54" s="56" t="n">
        <v>29.6</v>
      </c>
      <c r="AG54" s="56" t="n">
        <v>29.1</v>
      </c>
      <c r="AH54" s="56" t="n">
        <v>30.1</v>
      </c>
      <c r="AI54" s="56" t="n">
        <v>28.85</v>
      </c>
      <c r="AJ54" s="56" t="n">
        <v>26.8</v>
      </c>
      <c r="AK54" s="56" t="n">
        <v>27.8</v>
      </c>
      <c r="AL54" s="56" t="n"/>
      <c r="AM54" s="56" t="n"/>
      <c r="AN54" s="56" t="n"/>
      <c r="AO54" s="56" t="n"/>
      <c r="AP54" s="58">
        <f>COUNTIF(K54:AO54,"&gt;0")</f>
        <v/>
      </c>
      <c r="AQ54" s="71">
        <f>IF(AP54&gt;14,AVERAGE(K54:AO54),"")</f>
        <v/>
      </c>
      <c r="AR54" s="71">
        <f>IFERROR(VLOOKUP(A54,Climatologia_TMED!A:U,9+$E$2,FALSE),"")</f>
        <v/>
      </c>
      <c r="AS54" s="71">
        <f>IF(OR(AQ54="",AR54=""),"",IFERROR(AQ54-AR54,""))</f>
        <v/>
      </c>
    </row>
    <row r="55" ht="14.25" customHeight="1">
      <c r="A55" s="58" t="n">
        <v>29015000</v>
      </c>
      <c r="B55" s="59" t="inlineStr">
        <is>
          <t>El Guamo - Aut</t>
        </is>
      </c>
      <c r="C55" s="59" t="inlineStr">
        <is>
          <t>Area Operativa 02 - Atlántico-Bolivar-Sucre</t>
        </is>
      </c>
      <c r="D55" s="73" t="n">
        <v>-74.97663799999999</v>
      </c>
      <c r="E55" s="73" t="n">
        <v>10.034607</v>
      </c>
      <c r="F55" s="58" t="n">
        <v>75</v>
      </c>
      <c r="G55" s="58" t="n">
        <v>13</v>
      </c>
      <c r="H55" s="58" t="n">
        <v>13248</v>
      </c>
      <c r="I55" s="60" t="inlineStr">
        <is>
          <t>Bolívar</t>
        </is>
      </c>
      <c r="J55" s="60" t="inlineStr">
        <is>
          <t>El Guamo</t>
        </is>
      </c>
      <c r="K55" s="56" t="n">
        <v/>
      </c>
      <c r="L55" s="56" t="n">
        <v>30.6</v>
      </c>
      <c r="M55" s="56" t="n">
        <v>30.6</v>
      </c>
      <c r="N55" s="56" t="n">
        <v>31.15</v>
      </c>
      <c r="O55" s="56" t="n">
        <v>31.55</v>
      </c>
      <c r="P55" s="56" t="n">
        <v/>
      </c>
      <c r="Q55" s="56" t="n">
        <v>28.9</v>
      </c>
      <c r="R55" s="56" t="n">
        <v>31.35</v>
      </c>
      <c r="S55" s="56" t="n">
        <v>31.25</v>
      </c>
      <c r="T55" s="56" t="n">
        <v>31.1</v>
      </c>
      <c r="U55" s="56" t="n">
        <v>30.65</v>
      </c>
      <c r="V55" s="56" t="n">
        <v/>
      </c>
      <c r="W55" s="56" t="n">
        <v/>
      </c>
      <c r="X55" s="56" t="n">
        <v/>
      </c>
      <c r="Y55" s="56" t="n">
        <v>30.1</v>
      </c>
      <c r="Z55" s="56" t="n">
        <v>30.1</v>
      </c>
      <c r="AA55" s="56" t="n">
        <v>32.15</v>
      </c>
      <c r="AB55" s="56" t="n">
        <v>32.1</v>
      </c>
      <c r="AC55" s="56" t="n">
        <v>26.6</v>
      </c>
      <c r="AD55" s="56" t="n">
        <v>29.75</v>
      </c>
      <c r="AE55" s="56" t="n">
        <v>30.05</v>
      </c>
      <c r="AF55" s="56" t="n">
        <v>29.9</v>
      </c>
      <c r="AG55" s="56" t="n">
        <v>31</v>
      </c>
      <c r="AH55" s="56" t="n">
        <v>30.25</v>
      </c>
      <c r="AI55" s="56" t="n">
        <v>28.45</v>
      </c>
      <c r="AJ55" s="56" t="n">
        <v>25.75</v>
      </c>
      <c r="AK55" s="56" t="n">
        <v>28.4</v>
      </c>
      <c r="AL55" s="56" t="n"/>
      <c r="AM55" s="56" t="n"/>
      <c r="AN55" s="56" t="n"/>
      <c r="AO55" s="56" t="n"/>
      <c r="AP55" s="58">
        <f>COUNTIF(K55:AO55,"&gt;0")</f>
        <v/>
      </c>
      <c r="AQ55" s="71">
        <f>IF(AP55&gt;14,AVERAGE(K55:AO55),"")</f>
        <v/>
      </c>
      <c r="AR55" s="71">
        <f>IFERROR(VLOOKUP(A55,Climatologia_TMED!A:U,9+$E$2,FALSE),"")</f>
        <v/>
      </c>
      <c r="AS55" s="71">
        <f>IF(OR(AQ55="",AR55=""),"",IFERROR(AQ55-AR55,""))</f>
        <v/>
      </c>
    </row>
    <row r="56" ht="14.25" customHeight="1">
      <c r="A56" s="58" t="n">
        <v>29035000</v>
      </c>
      <c r="B56" s="59" t="inlineStr">
        <is>
          <t>Sincerin  - Aut</t>
        </is>
      </c>
      <c r="C56" s="59" t="inlineStr">
        <is>
          <t>Area Operativa 02 - Atlántico-Bolivar-Sucre</t>
        </is>
      </c>
      <c r="D56" s="73" t="n">
        <v>-75.27827778</v>
      </c>
      <c r="E56" s="73" t="n">
        <v>10.14258333</v>
      </c>
      <c r="F56" s="58" t="n">
        <v>10</v>
      </c>
      <c r="G56" s="58" t="n">
        <v>13</v>
      </c>
      <c r="H56" s="58" t="n">
        <v>13052</v>
      </c>
      <c r="I56" s="60" t="inlineStr">
        <is>
          <t>Bolívar</t>
        </is>
      </c>
      <c r="J56" s="60" t="inlineStr">
        <is>
          <t>Arjona</t>
        </is>
      </c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56" t="n"/>
      <c r="AB56" s="56" t="n"/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8">
        <f>COUNTIF(K56:AO56,"&gt;0")</f>
        <v/>
      </c>
      <c r="AQ56" s="71">
        <f>IF(AP56&gt;14,AVERAGE(K56:AO56),"")</f>
        <v/>
      </c>
      <c r="AR56" s="71">
        <f>IFERROR(VLOOKUP(A56,Climatologia_TMED!A:U,9+$E$2,FALSE),"")</f>
        <v/>
      </c>
      <c r="AS56" s="71">
        <f>IF(OR(AQ56="",AR56=""),"",IFERROR(AQ56-AR56,""))</f>
        <v/>
      </c>
    </row>
    <row r="57" ht="14.25" customHeight="1">
      <c r="A57" s="58" t="n">
        <v>29035030</v>
      </c>
      <c r="B57" s="59" t="inlineStr">
        <is>
          <t>Presa Ay Grande</t>
        </is>
      </c>
      <c r="C57" s="59" t="inlineStr">
        <is>
          <t>Area Operativa 02 - Atlántico-Bolivar-Sucre</t>
        </is>
      </c>
      <c r="D57" s="73" t="n">
        <v>-75.326301</v>
      </c>
      <c r="E57" s="73" t="n">
        <v>9.879633999999999</v>
      </c>
      <c r="F57" s="58" t="n">
        <v>60</v>
      </c>
      <c r="G57" s="58" t="n">
        <v>13</v>
      </c>
      <c r="H57" s="58" t="n">
        <v>13442</v>
      </c>
      <c r="I57" s="60" t="inlineStr">
        <is>
          <t>Bolívar</t>
        </is>
      </c>
      <c r="J57" s="60" t="inlineStr">
        <is>
          <t>María La Baja</t>
        </is>
      </c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8">
        <f>COUNTIF(K57:AO57,"&gt;0")</f>
        <v/>
      </c>
      <c r="AQ57" s="71">
        <f>IF(AP57&gt;14,AVERAGE(K57:AO57),"")</f>
        <v/>
      </c>
      <c r="AR57" s="71">
        <f>IFERROR(VLOOKUP(A57,Climatologia_TMED!A:U,9+$E$2,FALSE),"")</f>
        <v/>
      </c>
      <c r="AS57" s="71">
        <f>IF(OR(AQ57="",AR57=""),"",IFERROR(AQ57-AR57,""))</f>
        <v/>
      </c>
    </row>
    <row r="58" ht="14.25" customHeight="1">
      <c r="A58" s="58" t="n">
        <v>29035080</v>
      </c>
      <c r="B58" s="59" t="inlineStr">
        <is>
          <t>Normal Manati  - Aut</t>
        </is>
      </c>
      <c r="C58" s="59" t="inlineStr">
        <is>
          <t>Area Operativa 02 - Atlántico-Bolivar-Sucre</t>
        </is>
      </c>
      <c r="D58" s="73" t="n">
        <v>-74.95472599999999</v>
      </c>
      <c r="E58" s="73" t="n">
        <v>10.453966</v>
      </c>
      <c r="F58" s="58" t="n">
        <v>10</v>
      </c>
      <c r="G58" s="58" t="n">
        <v>8</v>
      </c>
      <c r="H58" s="58" t="n">
        <v>8436</v>
      </c>
      <c r="I58" s="60" t="inlineStr">
        <is>
          <t>Atlántico</t>
        </is>
      </c>
      <c r="J58" s="60" t="inlineStr">
        <is>
          <t>Manatí</t>
        </is>
      </c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56" t="n"/>
      <c r="AI58" s="56" t="n"/>
      <c r="AJ58" s="56" t="n"/>
      <c r="AK58" s="56" t="n"/>
      <c r="AL58" s="56" t="n"/>
      <c r="AM58" s="56" t="n"/>
      <c r="AN58" s="56" t="n"/>
      <c r="AO58" s="56" t="n"/>
      <c r="AP58" s="58">
        <f>COUNTIF(K58:AO58,"&gt;0")</f>
        <v/>
      </c>
      <c r="AQ58" s="71">
        <f>IF(AP58&gt;14,AVERAGE(K58:AO58),"")</f>
        <v/>
      </c>
      <c r="AR58" s="71">
        <f>IFERROR(VLOOKUP(A58,Climatologia_TMED!A:U,9+$E$2,FALSE),"")</f>
        <v/>
      </c>
      <c r="AS58" s="71">
        <f>IF(OR(AQ58="",AR58=""),"",IFERROR(AQ58-AR58,""))</f>
        <v/>
      </c>
    </row>
    <row r="59" ht="14.25" customHeight="1">
      <c r="A59" s="58" t="n">
        <v>29035110</v>
      </c>
      <c r="B59" s="59" t="inlineStr">
        <is>
          <t>San Pablo</t>
        </is>
      </c>
      <c r="C59" s="59" t="inlineStr">
        <is>
          <t>Area Operativa 02 - Atlántico-Bolivar-Sucre</t>
        </is>
      </c>
      <c r="D59" s="73" t="n">
        <v>-75.25861111</v>
      </c>
      <c r="E59" s="73" t="n">
        <v>10.04316667</v>
      </c>
      <c r="F59" s="58" t="n">
        <v>20</v>
      </c>
      <c r="G59" s="58" t="n">
        <v>13</v>
      </c>
      <c r="H59" s="58" t="n">
        <v>13442</v>
      </c>
      <c r="I59" s="60" t="inlineStr">
        <is>
          <t>Bolívar</t>
        </is>
      </c>
      <c r="J59" s="60" t="inlineStr">
        <is>
          <t>María La Baja</t>
        </is>
      </c>
      <c r="K59" s="56" t="n">
        <v>27.95</v>
      </c>
      <c r="L59" s="56" t="n">
        <v>30.2</v>
      </c>
      <c r="M59" s="56" t="n">
        <v>28.1</v>
      </c>
      <c r="N59" s="56" t="n">
        <v>27.7</v>
      </c>
      <c r="O59" s="56" t="n">
        <v>28.95</v>
      </c>
      <c r="P59" s="56" t="n">
        <v>26.1</v>
      </c>
      <c r="Q59" s="56" t="n">
        <v>28.75</v>
      </c>
      <c r="R59" s="56" t="n">
        <v>30.7</v>
      </c>
      <c r="S59" s="56" t="n">
        <v>29.9</v>
      </c>
      <c r="T59" s="56" t="n">
        <v>28.75</v>
      </c>
      <c r="U59" s="56" t="n">
        <v>29.15</v>
      </c>
      <c r="V59" s="56" t="n">
        <v>29.9</v>
      </c>
      <c r="W59" s="56" t="n">
        <v>28.45</v>
      </c>
      <c r="X59" s="56" t="n">
        <v>29.9</v>
      </c>
      <c r="Y59" s="56" t="n">
        <v>31.3</v>
      </c>
      <c r="Z59" s="56" t="n">
        <v>29.7</v>
      </c>
      <c r="AA59" s="56" t="n">
        <v>34.09999999999999</v>
      </c>
      <c r="AB59" s="56" t="n">
        <v>29.55</v>
      </c>
      <c r="AC59" s="99" t="n">
        <v>25.15</v>
      </c>
      <c r="AD59" s="56" t="n">
        <v>29.35</v>
      </c>
      <c r="AE59" s="56" t="n">
        <v>29.1</v>
      </c>
      <c r="AF59" s="56" t="n">
        <v>29.05</v>
      </c>
      <c r="AG59" s="56" t="n">
        <v>30.85</v>
      </c>
      <c r="AH59" s="56" t="n">
        <v>29.2</v>
      </c>
      <c r="AI59" s="56" t="n">
        <v>27.95</v>
      </c>
      <c r="AJ59" s="56" t="n">
        <v>25.6</v>
      </c>
      <c r="AK59" s="56" t="n">
        <v>27.6</v>
      </c>
      <c r="AL59" s="56" t="n"/>
      <c r="AM59" s="56" t="n"/>
      <c r="AN59" s="56" t="n"/>
      <c r="AO59" s="56" t="n"/>
      <c r="AP59" s="58">
        <f>COUNTIF(K59:AO59,"&gt;0")</f>
        <v/>
      </c>
      <c r="AQ59" s="71">
        <f>IF(AP59&gt;14,AVERAGE(K59:AO59),"")</f>
        <v/>
      </c>
      <c r="AR59" s="71">
        <f>IFERROR(VLOOKUP(A59,Climatologia_TMED!A:U,9+$E$2,FALSE),"")</f>
        <v/>
      </c>
      <c r="AS59" s="71">
        <f>IF(OR(AQ59="",AR59=""),"",IFERROR(AQ59-AR59,""))</f>
        <v/>
      </c>
    </row>
    <row r="60" ht="14.25" customHeight="1">
      <c r="A60" s="58" t="n">
        <v>31015010</v>
      </c>
      <c r="B60" s="59" t="inlineStr">
        <is>
          <t>El Trueno</t>
        </is>
      </c>
      <c r="C60" s="59" t="inlineStr">
        <is>
          <t>Area Operativa 03 - Meta-Guaviare-Guainía</t>
        </is>
      </c>
      <c r="D60" s="73" t="n">
        <v>-72.639861</v>
      </c>
      <c r="E60" s="73" t="n">
        <v>2.372592</v>
      </c>
      <c r="F60" s="58" t="n">
        <v>216</v>
      </c>
      <c r="G60" s="58" t="n">
        <v>95</v>
      </c>
      <c r="H60" s="58" t="n">
        <v>95025</v>
      </c>
      <c r="I60" s="60" t="inlineStr">
        <is>
          <t>Guaviare</t>
        </is>
      </c>
      <c r="J60" s="60" t="inlineStr">
        <is>
          <t>El Retorno</t>
        </is>
      </c>
      <c r="K60" s="56" t="n">
        <v>27.15</v>
      </c>
      <c r="L60" s="56" t="n">
        <v/>
      </c>
      <c r="M60" s="56" t="n">
        <v>28.2</v>
      </c>
      <c r="N60" s="56" t="n">
        <v>26.65</v>
      </c>
      <c r="O60" s="56" t="n">
        <v>24.4</v>
      </c>
      <c r="P60" s="56" t="n">
        <v>26.35</v>
      </c>
      <c r="Q60" s="56" t="n">
        <v>26.1</v>
      </c>
      <c r="R60" s="56" t="n">
        <v>26.1</v>
      </c>
      <c r="S60" s="56" t="n">
        <v/>
      </c>
      <c r="T60" s="56" t="n">
        <v>25.35</v>
      </c>
      <c r="U60" s="56" t="n">
        <v>28.25</v>
      </c>
      <c r="V60" s="56" t="n">
        <v>27.5</v>
      </c>
      <c r="W60" s="56" t="n">
        <v>26.85</v>
      </c>
      <c r="X60" s="56" t="n">
        <v>25.25</v>
      </c>
      <c r="Y60" s="56" t="n">
        <v>24.45</v>
      </c>
      <c r="Z60" s="56" t="n">
        <v/>
      </c>
      <c r="AA60" s="56" t="n">
        <v>27</v>
      </c>
      <c r="AB60" s="56" t="n">
        <v>25.1</v>
      </c>
      <c r="AC60" s="56" t="n">
        <v>24.7</v>
      </c>
      <c r="AD60" s="56" t="n">
        <v>26.35</v>
      </c>
      <c r="AE60" s="56" t="n">
        <v/>
      </c>
      <c r="AF60" s="56" t="n">
        <v>26.9</v>
      </c>
      <c r="AG60" s="56" t="n">
        <v>25.85</v>
      </c>
      <c r="AH60" s="56" t="n">
        <v>27.2</v>
      </c>
      <c r="AI60" s="56" t="n">
        <v>26.45</v>
      </c>
      <c r="AJ60" s="56" t="n">
        <v>25.75</v>
      </c>
      <c r="AK60" s="56" t="n">
        <v>26.1</v>
      </c>
      <c r="AL60" s="56" t="n"/>
      <c r="AM60" s="56" t="n"/>
      <c r="AN60" s="56" t="n"/>
      <c r="AO60" s="56" t="n"/>
      <c r="AP60" s="58">
        <f>COUNTIF(K60:AO60,"&gt;0")</f>
        <v/>
      </c>
      <c r="AQ60" s="71">
        <f>IF(AP60&gt;14,AVERAGE(K60:AO60),"")</f>
        <v/>
      </c>
      <c r="AR60" s="71">
        <f>IFERROR(VLOOKUP(A60,Climatologia_TMED!A:U,9+$E$2,FALSE),"")</f>
        <v/>
      </c>
      <c r="AS60" s="71">
        <f>IF(OR(AQ60="",AR60=""),"",IFERROR(AQ60-AR60,""))</f>
        <v/>
      </c>
    </row>
    <row r="61" ht="14.25" customHeight="1">
      <c r="A61" s="58" t="n">
        <v>31095030</v>
      </c>
      <c r="B61" s="59" t="inlineStr">
        <is>
          <t>Puerto Inirida - Aut</t>
        </is>
      </c>
      <c r="C61" s="59" t="inlineStr">
        <is>
          <t>Area Operativa 03 - Meta-Guaviare-Guainía</t>
        </is>
      </c>
      <c r="D61" s="73" t="n">
        <v>-67.91911111</v>
      </c>
      <c r="E61" s="73" t="n">
        <v>3.874444</v>
      </c>
      <c r="F61" s="58" t="n">
        <v>98</v>
      </c>
      <c r="G61" s="58" t="n">
        <v>94</v>
      </c>
      <c r="H61" s="58" t="n">
        <v>94001</v>
      </c>
      <c r="I61" s="60" t="inlineStr">
        <is>
          <t>Guainía</t>
        </is>
      </c>
      <c r="J61" s="60" t="inlineStr">
        <is>
          <t>Inírida</t>
        </is>
      </c>
      <c r="K61" s="56" t="n">
        <v>27.95</v>
      </c>
      <c r="L61" s="56" t="n">
        <v>28.35</v>
      </c>
      <c r="M61" s="56" t="n">
        <v>28.25</v>
      </c>
      <c r="N61" s="56" t="n">
        <v>28.3</v>
      </c>
      <c r="O61" s="56" t="n">
        <v>28.15</v>
      </c>
      <c r="P61" s="56" t="n">
        <v>26.7</v>
      </c>
      <c r="Q61" s="56" t="n">
        <v>27.85</v>
      </c>
      <c r="R61" s="56" t="n">
        <v>27.05</v>
      </c>
      <c r="S61" s="56" t="n">
        <v>28.35</v>
      </c>
      <c r="T61" s="56" t="n">
        <v>26.5</v>
      </c>
      <c r="U61" s="56" t="n">
        <v>27.15</v>
      </c>
      <c r="V61" s="56" t="n">
        <v>26.95</v>
      </c>
      <c r="W61" s="56" t="n">
        <v>27.5</v>
      </c>
      <c r="X61" s="56" t="n">
        <v>29.4</v>
      </c>
      <c r="Y61" s="56" t="n">
        <v>26.9</v>
      </c>
      <c r="Z61" s="56" t="n">
        <v>26.9</v>
      </c>
      <c r="AA61" s="56" t="n">
        <v>28.25</v>
      </c>
      <c r="AB61" s="56" t="n">
        <v>27.15</v>
      </c>
      <c r="AC61" s="56" t="n">
        <v>28.8</v>
      </c>
      <c r="AD61" s="56" t="n">
        <v>26.4</v>
      </c>
      <c r="AE61" s="56" t="n">
        <v>29.75</v>
      </c>
      <c r="AF61" s="56" t="n">
        <v>29.65</v>
      </c>
      <c r="AG61" s="56" t="n">
        <v>27.8</v>
      </c>
      <c r="AH61" s="56" t="n">
        <v>25.3</v>
      </c>
      <c r="AI61" s="56" t="n">
        <v>28.55</v>
      </c>
      <c r="AJ61" s="56" t="n">
        <v>26.5</v>
      </c>
      <c r="AK61" s="56" t="n">
        <v>26.65</v>
      </c>
      <c r="AL61" s="56" t="n"/>
      <c r="AM61" s="56" t="n"/>
      <c r="AN61" s="56" t="n"/>
      <c r="AO61" s="56" t="n"/>
      <c r="AP61" s="58">
        <f>COUNTIF(K61:AO61,"&gt;0")</f>
        <v/>
      </c>
      <c r="AQ61" s="71">
        <f>IF(AP61&gt;14,AVERAGE(K61:AO61),"")</f>
        <v/>
      </c>
      <c r="AR61" s="71">
        <f>IFERROR(VLOOKUP(A61,Climatologia_TMED!A:U,9+$E$2,FALSE),"")</f>
        <v/>
      </c>
      <c r="AS61" s="71">
        <f>IF(OR(AQ61="",AR61=""),"",IFERROR(AQ61-AR61,""))</f>
        <v/>
      </c>
    </row>
    <row r="62" ht="14.25" customHeight="1">
      <c r="A62" s="58" t="n">
        <v>32035010</v>
      </c>
      <c r="B62" s="59" t="inlineStr">
        <is>
          <t>La Macarena</t>
        </is>
      </c>
      <c r="C62" s="59" t="inlineStr">
        <is>
          <t>Area Operativa 03 - Meta-Guaviare-Guainía</t>
        </is>
      </c>
      <c r="D62" s="73" t="n">
        <v>-73.79347199999999</v>
      </c>
      <c r="E62" s="73" t="n">
        <v>2.176139</v>
      </c>
      <c r="F62" s="58" t="n">
        <v>227</v>
      </c>
      <c r="G62" s="58" t="n">
        <v>50</v>
      </c>
      <c r="H62" s="58" t="n">
        <v>50350</v>
      </c>
      <c r="I62" s="60" t="inlineStr">
        <is>
          <t>Meta</t>
        </is>
      </c>
      <c r="J62" s="60" t="inlineStr">
        <is>
          <t>La Macarena</t>
        </is>
      </c>
      <c r="K62" s="56" t="n">
        <v>29</v>
      </c>
      <c r="L62" s="56" t="n">
        <v>28.26666666666667</v>
      </c>
      <c r="M62" s="56" t="n">
        <v>29</v>
      </c>
      <c r="N62" s="56" t="n">
        <v>27.86666666666666</v>
      </c>
      <c r="O62" s="56" t="n">
        <v>28</v>
      </c>
      <c r="P62" s="56" t="n">
        <v>26.86666666666666</v>
      </c>
      <c r="Q62" s="56" t="n">
        <v>27.93333333333333</v>
      </c>
      <c r="R62" s="56" t="n">
        <v>27.33333333333333</v>
      </c>
      <c r="S62" s="56" t="n">
        <v>26.06666666666666</v>
      </c>
      <c r="T62" s="56" t="n">
        <v>26.66666666666667</v>
      </c>
      <c r="U62" s="56" t="n">
        <v>27.26666666666667</v>
      </c>
      <c r="V62" s="56" t="n">
        <v>26.33333333333333</v>
      </c>
      <c r="W62" s="56" t="n">
        <v>27.2</v>
      </c>
      <c r="X62" s="56" t="n">
        <v>26.86666666666666</v>
      </c>
      <c r="Y62" s="56" t="n">
        <v>26.6</v>
      </c>
      <c r="Z62" s="56" t="n">
        <v>27.53333333333333</v>
      </c>
      <c r="AA62" s="56" t="n">
        <v>27.33333333333333</v>
      </c>
      <c r="AB62" s="56" t="n">
        <v>28.2</v>
      </c>
      <c r="AC62" s="56" t="n">
        <v>26.13333333333334</v>
      </c>
      <c r="AD62" s="56" t="n">
        <v>29.13333333333334</v>
      </c>
      <c r="AE62" s="56" t="n">
        <v>28.53333333333333</v>
      </c>
      <c r="AF62" s="56" t="n">
        <v>29</v>
      </c>
      <c r="AG62" s="56" t="n">
        <v>28.33333333333333</v>
      </c>
      <c r="AH62" s="56" t="n">
        <v>26.66666666666667</v>
      </c>
      <c r="AI62" s="56" t="n">
        <v>27.93333333333333</v>
      </c>
      <c r="AJ62" s="56" t="n">
        <v/>
      </c>
      <c r="AK62" s="56" t="n">
        <v/>
      </c>
      <c r="AL62" s="56" t="n"/>
      <c r="AM62" s="56" t="n"/>
      <c r="AN62" s="56" t="n"/>
      <c r="AO62" s="56" t="n"/>
      <c r="AP62" s="58">
        <f>COUNTIF(K62:AO62,"&gt;0")</f>
        <v/>
      </c>
      <c r="AQ62" s="71">
        <f>IF(AP62&gt;14,AVERAGE(K62:AO62),"")</f>
        <v/>
      </c>
      <c r="AR62" s="71">
        <f>IFERROR(VLOOKUP(A62,Climatologia_TMED!A:U,9+$E$2,FALSE),"")</f>
        <v/>
      </c>
      <c r="AS62" s="71">
        <f>IF(OR(AQ62="",AR62=""),"",IFERROR(AQ62-AR62,""))</f>
        <v/>
      </c>
    </row>
    <row r="63" ht="14.25" customHeight="1">
      <c r="A63" s="58" t="n">
        <v>32075050</v>
      </c>
      <c r="B63" s="59" t="inlineStr">
        <is>
          <t>Mesetas</t>
        </is>
      </c>
      <c r="C63" s="59" t="inlineStr">
        <is>
          <t>Area Operativa 03 - Meta-Guaviare-Guainía</t>
        </is>
      </c>
      <c r="D63" s="73" t="n">
        <v>-74.04300000000001</v>
      </c>
      <c r="E63" s="73" t="n">
        <v>3.38008</v>
      </c>
      <c r="F63" s="58" t="n">
        <v>556</v>
      </c>
      <c r="G63" s="58" t="n">
        <v>50</v>
      </c>
      <c r="H63" s="58" t="n">
        <v>50330</v>
      </c>
      <c r="I63" s="60" t="inlineStr">
        <is>
          <t>Meta</t>
        </is>
      </c>
      <c r="J63" s="60" t="inlineStr">
        <is>
          <t>Mesetas</t>
        </is>
      </c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8">
        <f>COUNTIF(K63:AO63,"&gt;0")</f>
        <v/>
      </c>
      <c r="AQ63" s="71">
        <f>IF(AP63&gt;14,AVERAGE(K63:AO63),"")</f>
        <v/>
      </c>
      <c r="AR63" s="71">
        <f>IFERROR(VLOOKUP(A63,Climatologia_TMED!A:U,9+$E$2,FALSE),"")</f>
        <v/>
      </c>
      <c r="AS63" s="71">
        <f>IF(OR(AQ63="",AR63=""),"",IFERROR(AQ63-AR63,""))</f>
        <v/>
      </c>
    </row>
    <row r="64" ht="14.25" customHeight="1">
      <c r="A64" s="58" t="n">
        <v>32155010</v>
      </c>
      <c r="B64" s="59" t="inlineStr">
        <is>
          <t>Mapiripana</t>
        </is>
      </c>
      <c r="C64" s="59" t="inlineStr">
        <is>
          <t>Area Operativa 03 - Meta-Guaviare-Guainía</t>
        </is>
      </c>
      <c r="D64" s="73" t="n">
        <v>-70.475139</v>
      </c>
      <c r="E64" s="73" t="n">
        <v>2.811778</v>
      </c>
      <c r="F64" s="58" t="n">
        <v>154</v>
      </c>
      <c r="G64" s="58" t="n">
        <v>94</v>
      </c>
      <c r="H64" s="58" t="n">
        <v>94343</v>
      </c>
      <c r="I64" s="60" t="inlineStr">
        <is>
          <t>Guainía</t>
        </is>
      </c>
      <c r="J64" s="60" t="inlineStr">
        <is>
          <t>Barrancominas</t>
        </is>
      </c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  <c r="AA64" s="56" t="n"/>
      <c r="AB64" s="56" t="n"/>
      <c r="AC64" s="56" t="n"/>
      <c r="AD64" s="56" t="n"/>
      <c r="AE64" s="56" t="n"/>
      <c r="AF64" s="56" t="n"/>
      <c r="AG64" s="56" t="n"/>
      <c r="AH64" s="56" t="n"/>
      <c r="AI64" s="56" t="n"/>
      <c r="AJ64" s="56" t="n"/>
      <c r="AK64" s="56" t="n"/>
      <c r="AL64" s="56" t="n"/>
      <c r="AM64" s="56" t="n"/>
      <c r="AN64" s="56" t="n"/>
      <c r="AO64" s="56" t="n"/>
      <c r="AP64" s="58">
        <f>COUNTIF(K64:AO64,"&gt;0")</f>
        <v/>
      </c>
      <c r="AQ64" s="71">
        <f>IF(AP64&gt;14,AVERAGE(K64:AO64),"")</f>
        <v/>
      </c>
      <c r="AR64" s="71">
        <f>IFERROR(VLOOKUP(A64,Climatologia_TMED!A:U,9+$E$2,FALSE),"")</f>
        <v/>
      </c>
      <c r="AS64" s="71">
        <f>IF(OR(AQ64="",AR64=""),"",IFERROR(AQ64-AR64,""))</f>
        <v/>
      </c>
    </row>
    <row r="65" ht="14.25" customHeight="1">
      <c r="A65" s="58" t="n">
        <v>33055010</v>
      </c>
      <c r="B65" s="59" t="inlineStr">
        <is>
          <t>Cumaribo</t>
        </is>
      </c>
      <c r="C65" s="59" t="inlineStr">
        <is>
          <t>Area Operativa 03 - Meta-Guaviare-Guainía</t>
        </is>
      </c>
      <c r="D65" s="73" t="n">
        <v>-69.81230600000001</v>
      </c>
      <c r="E65" s="73" t="n">
        <v>4.494806</v>
      </c>
      <c r="F65" s="58" t="n">
        <v>158</v>
      </c>
      <c r="G65" s="58" t="n">
        <v>99</v>
      </c>
      <c r="H65" s="58" t="n">
        <v>99773</v>
      </c>
      <c r="I65" s="60" t="inlineStr">
        <is>
          <t>Vichada</t>
        </is>
      </c>
      <c r="J65" s="60" t="inlineStr">
        <is>
          <t>Cumaribo</t>
        </is>
      </c>
      <c r="K65" s="56" t="n">
        <v>26.65</v>
      </c>
      <c r="L65" s="56" t="n">
        <v>26.35</v>
      </c>
      <c r="M65" s="56" t="n">
        <v>26.3</v>
      </c>
      <c r="N65" s="56" t="n">
        <v>26.6</v>
      </c>
      <c r="O65" s="56" t="n">
        <v>27.95</v>
      </c>
      <c r="P65" s="56" t="n">
        <v>25.5</v>
      </c>
      <c r="Q65" s="56" t="n">
        <v>25.9</v>
      </c>
      <c r="R65" s="56" t="n">
        <v>26.4</v>
      </c>
      <c r="S65" s="56" t="n">
        <v>27.1</v>
      </c>
      <c r="T65" s="56" t="n">
        <v>23.85</v>
      </c>
      <c r="U65" s="56" t="n">
        <v/>
      </c>
      <c r="V65" s="56" t="n">
        <v/>
      </c>
      <c r="W65" s="56" t="n">
        <v>25.4</v>
      </c>
      <c r="X65" s="56" t="n">
        <v>27.05</v>
      </c>
      <c r="Y65" s="56" t="n">
        <v>23.85</v>
      </c>
      <c r="Z65" s="56" t="n">
        <v>25.9</v>
      </c>
      <c r="AA65" s="56" t="n">
        <v>27.15</v>
      </c>
      <c r="AB65" s="56" t="n">
        <v>26.55</v>
      </c>
      <c r="AC65" s="56" t="n">
        <v>26.8</v>
      </c>
      <c r="AD65" s="56" t="n">
        <v>27.75</v>
      </c>
      <c r="AE65" s="56" t="n">
        <v>27.175</v>
      </c>
      <c r="AF65" s="56" t="n">
        <v>28.45</v>
      </c>
      <c r="AG65" s="56" t="n">
        <v>28.1</v>
      </c>
      <c r="AH65" s="56" t="n">
        <v>25.8</v>
      </c>
      <c r="AI65" s="56" t="n">
        <v>27.5</v>
      </c>
      <c r="AJ65" s="56" t="n">
        <v>27.05</v>
      </c>
      <c r="AK65" s="56" t="n">
        <v>24.8</v>
      </c>
      <c r="AL65" s="56" t="n"/>
      <c r="AM65" s="56" t="n"/>
      <c r="AN65" s="56" t="n"/>
      <c r="AO65" s="56" t="n"/>
      <c r="AP65" s="58">
        <f>COUNTIF(K65:AO65,"&gt;0")</f>
        <v/>
      </c>
      <c r="AQ65" s="71">
        <f>IF(AP65&gt;14,AVERAGE(K65:AO65),"")</f>
        <v/>
      </c>
      <c r="AR65" s="71">
        <f>IFERROR(VLOOKUP(A65,Climatologia_TMED!A:U,9+$E$2,FALSE),"")</f>
        <v/>
      </c>
      <c r="AS65" s="71">
        <f>IF(OR(AQ65="",AR65=""),"",IFERROR(AQ65-AR65,""))</f>
        <v/>
      </c>
    </row>
    <row r="66" ht="14.25" customHeight="1">
      <c r="A66" s="58" t="n">
        <v>34015010</v>
      </c>
      <c r="B66" s="59" t="inlineStr">
        <is>
          <t>Las Gaviotas</t>
        </is>
      </c>
      <c r="C66" s="59" t="inlineStr">
        <is>
          <t>Area Operativa 03 - Meta-Guaviare-Guainía</t>
        </is>
      </c>
      <c r="D66" s="73" t="n">
        <v>-70.93022499999999</v>
      </c>
      <c r="E66" s="73" t="n">
        <v>4.553891</v>
      </c>
      <c r="F66" s="58" t="n">
        <v>173</v>
      </c>
      <c r="G66" s="58" t="n">
        <v>99</v>
      </c>
      <c r="H66" s="58" t="n">
        <v>99773</v>
      </c>
      <c r="I66" s="60" t="inlineStr">
        <is>
          <t>Vichada</t>
        </is>
      </c>
      <c r="J66" s="60" t="inlineStr">
        <is>
          <t>Cumaribo</t>
        </is>
      </c>
      <c r="K66" s="56" t="n">
        <v>26.95</v>
      </c>
      <c r="L66" s="56" t="n">
        <v>27.9</v>
      </c>
      <c r="M66" s="56" t="n">
        <v>26.6</v>
      </c>
      <c r="N66" s="56" t="n">
        <v>27.05</v>
      </c>
      <c r="O66" s="56" t="n">
        <v>26.9</v>
      </c>
      <c r="P66" s="56" t="n">
        <v>25.6</v>
      </c>
      <c r="Q66" s="56" t="n">
        <v>25.95</v>
      </c>
      <c r="R66" s="56" t="n">
        <v>27.05</v>
      </c>
      <c r="S66" s="56" t="n">
        <v>26.35</v>
      </c>
      <c r="T66" s="56" t="n">
        <v>23.85</v>
      </c>
      <c r="U66" s="56" t="n">
        <v>26.3</v>
      </c>
      <c r="V66" s="56" t="n">
        <v>28</v>
      </c>
      <c r="W66" s="56" t="n">
        <v>26.1</v>
      </c>
      <c r="X66" s="56" t="n">
        <v>26.95</v>
      </c>
      <c r="Y66" s="56" t="n">
        <v>24.15</v>
      </c>
      <c r="Z66" s="56" t="n">
        <v>25.9</v>
      </c>
      <c r="AA66" s="56" t="n">
        <v>27.6</v>
      </c>
      <c r="AB66" s="56" t="n">
        <v>26.8</v>
      </c>
      <c r="AC66" s="56" t="n">
        <v>26.65</v>
      </c>
      <c r="AD66" s="56" t="n">
        <v>26.7</v>
      </c>
      <c r="AE66" s="56" t="n">
        <v>28.85</v>
      </c>
      <c r="AF66" s="56" t="n">
        <v>27.65</v>
      </c>
      <c r="AG66" s="56" t="n">
        <v>27.35</v>
      </c>
      <c r="AH66" s="56" t="n">
        <v>25.65</v>
      </c>
      <c r="AI66" s="56" t="n">
        <v>27.35</v>
      </c>
      <c r="AJ66" s="56" t="n">
        <v>27.15</v>
      </c>
      <c r="AK66" s="56" t="n">
        <v>25.1</v>
      </c>
      <c r="AL66" s="56" t="n"/>
      <c r="AM66" s="56" t="n"/>
      <c r="AN66" s="56" t="n"/>
      <c r="AO66" s="56" t="n"/>
      <c r="AP66" s="58">
        <f>COUNTIF(K66:AO66,"&gt;0")</f>
        <v/>
      </c>
      <c r="AQ66" s="71">
        <f>IF(AP66&gt;14,AVERAGE(K66:AO66),"")</f>
        <v/>
      </c>
      <c r="AR66" s="71">
        <f>IFERROR(VLOOKUP(A66,Climatologia_TMED!A:U,9+$E$2,FALSE),"")</f>
        <v/>
      </c>
      <c r="AS66" s="71">
        <f>IF(OR(AQ66="",AR66=""),"",IFERROR(AQ66-AR66,""))</f>
        <v/>
      </c>
    </row>
    <row r="67" ht="14.25" customHeight="1">
      <c r="A67" s="58" t="n">
        <v>35025110</v>
      </c>
      <c r="B67" s="59" t="inlineStr">
        <is>
          <t>La Libertad - Aut</t>
        </is>
      </c>
      <c r="C67" s="59" t="inlineStr">
        <is>
          <t>Area Operativa 03 - Meta-Guaviare-Guainía</t>
        </is>
      </c>
      <c r="D67" s="73" t="n">
        <v>-73.467865</v>
      </c>
      <c r="E67" s="73" t="n">
        <v>4.057415</v>
      </c>
      <c r="F67" s="58" t="n">
        <v>340</v>
      </c>
      <c r="G67" s="58" t="n">
        <v>50</v>
      </c>
      <c r="H67" s="58" t="n">
        <v>50001</v>
      </c>
      <c r="I67" s="60" t="inlineStr">
        <is>
          <t>Meta</t>
        </is>
      </c>
      <c r="J67" s="60" t="inlineStr">
        <is>
          <t>Villavicencio</t>
        </is>
      </c>
      <c r="K67" s="56" t="n">
        <v>28.2</v>
      </c>
      <c r="L67" s="56" t="n">
        <v>26.9</v>
      </c>
      <c r="M67" s="56" t="n">
        <v>26.75</v>
      </c>
      <c r="N67" s="56" t="n">
        <v>26.75</v>
      </c>
      <c r="O67" s="56" t="n">
        <v>26.55</v>
      </c>
      <c r="P67" s="56" t="n">
        <v>27.65</v>
      </c>
      <c r="Q67" s="56" t="n">
        <v>27.15</v>
      </c>
      <c r="R67" s="56" t="n">
        <v>25.9</v>
      </c>
      <c r="S67" s="56" t="n">
        <v>25.375</v>
      </c>
      <c r="T67" s="56" t="n">
        <v>26.3</v>
      </c>
      <c r="U67" s="56" t="n">
        <v>27.7</v>
      </c>
      <c r="V67" s="56" t="n">
        <v>27.1</v>
      </c>
      <c r="W67" s="56" t="n">
        <v/>
      </c>
      <c r="X67" s="56" t="n">
        <v>26.45</v>
      </c>
      <c r="Y67" s="56" t="n">
        <v>25.55</v>
      </c>
      <c r="Z67" s="56" t="n">
        <v>26.55</v>
      </c>
      <c r="AA67" s="56" t="n">
        <v>26.35</v>
      </c>
      <c r="AB67" s="56" t="n">
        <v>25.2</v>
      </c>
      <c r="AC67" s="56" t="n">
        <v>25.9</v>
      </c>
      <c r="AD67" s="56" t="n">
        <v>27.7</v>
      </c>
      <c r="AE67" s="56" t="n">
        <v>28.95</v>
      </c>
      <c r="AF67" s="56" t="n">
        <v>30.4</v>
      </c>
      <c r="AG67" s="56" t="n">
        <v>29.3</v>
      </c>
      <c r="AH67" s="56" t="n">
        <v>25.35</v>
      </c>
      <c r="AI67" s="56" t="n">
        <v>27.85</v>
      </c>
      <c r="AJ67" s="56" t="n">
        <v>27</v>
      </c>
      <c r="AK67" s="56" t="n">
        <v>28.3</v>
      </c>
      <c r="AL67" s="56" t="n"/>
      <c r="AM67" s="56" t="n"/>
      <c r="AN67" s="56" t="n"/>
      <c r="AO67" s="56" t="n"/>
      <c r="AP67" s="58">
        <f>COUNTIF(K67:AO67,"&gt;0")</f>
        <v/>
      </c>
      <c r="AQ67" s="71">
        <f>IF(AP67&gt;14,AVERAGE(K67:AO67),"")</f>
        <v/>
      </c>
      <c r="AR67" s="71">
        <f>IFERROR(VLOOKUP(A67,Climatologia_TMED!A:U,9+$E$2,FALSE),"")</f>
        <v/>
      </c>
      <c r="AS67" s="71">
        <f>IF(OR(AQ67="",AR67=""),"",IFERROR(AQ67-AR67,""))</f>
        <v/>
      </c>
    </row>
    <row r="68" ht="14.25" customHeight="1">
      <c r="A68" s="58" t="n">
        <v>35045020</v>
      </c>
      <c r="B68" s="59" t="inlineStr">
        <is>
          <t>Hacienda La Cabaña</t>
        </is>
      </c>
      <c r="C68" s="59" t="inlineStr">
        <is>
          <t>Area Operativa 03 - Meta-Guaviare-Guainía</t>
        </is>
      </c>
      <c r="D68" s="73" t="n">
        <v>-73.3575</v>
      </c>
      <c r="E68" s="73" t="n">
        <v>4.300444444</v>
      </c>
      <c r="F68" s="58" t="n">
        <v>310</v>
      </c>
      <c r="G68" s="58" t="n">
        <v>50</v>
      </c>
      <c r="H68" s="58" t="n">
        <v>50226</v>
      </c>
      <c r="I68" s="60" t="inlineStr">
        <is>
          <t>Meta</t>
        </is>
      </c>
      <c r="J68" s="60" t="inlineStr">
        <is>
          <t>Cumaral</t>
        </is>
      </c>
      <c r="K68" s="56" t="n">
        <v>26.25</v>
      </c>
      <c r="L68" s="56" t="n">
        <v>24.75</v>
      </c>
      <c r="M68" s="56" t="n">
        <v>26.15</v>
      </c>
      <c r="N68" s="56" t="n">
        <v>26.1</v>
      </c>
      <c r="O68" s="56" t="n">
        <v>24.85</v>
      </c>
      <c r="P68" s="56" t="n">
        <v>25.3</v>
      </c>
      <c r="Q68" s="56" t="n">
        <v>24.9</v>
      </c>
      <c r="R68" s="56" t="n">
        <v>25.05</v>
      </c>
      <c r="S68" s="56" t="n">
        <v>25.15</v>
      </c>
      <c r="T68" s="56" t="n">
        <v>26.75</v>
      </c>
      <c r="U68" s="56" t="n">
        <v>25.5</v>
      </c>
      <c r="V68" s="56" t="n">
        <v>26.1</v>
      </c>
      <c r="W68" s="56" t="n">
        <v>26</v>
      </c>
      <c r="X68" s="56" t="n">
        <v>26.1</v>
      </c>
      <c r="Y68" s="56" t="n">
        <v>25</v>
      </c>
      <c r="Z68" s="56" t="n">
        <v>25.7</v>
      </c>
      <c r="AA68" s="56" t="n">
        <v>24.95</v>
      </c>
      <c r="AB68" s="56" t="n">
        <v>24.25</v>
      </c>
      <c r="AC68" s="56" t="n">
        <v>25.55</v>
      </c>
      <c r="AD68" s="56" t="n">
        <v>25.9</v>
      </c>
      <c r="AE68" s="56" t="n">
        <v>26.75</v>
      </c>
      <c r="AF68" s="56" t="n">
        <v>27.4</v>
      </c>
      <c r="AG68" s="56" t="n">
        <v>28.3</v>
      </c>
      <c r="AH68" s="56" t="n">
        <v>25.1</v>
      </c>
      <c r="AI68" s="56" t="n">
        <v>25.75</v>
      </c>
      <c r="AJ68" s="56" t="n">
        <v>26.05</v>
      </c>
      <c r="AK68" s="56" t="n">
        <v>27.95</v>
      </c>
      <c r="AL68" s="56" t="n"/>
      <c r="AM68" s="56" t="n"/>
      <c r="AN68" s="56" t="n"/>
      <c r="AO68" s="56" t="n"/>
      <c r="AP68" s="58">
        <f>COUNTIF(K68:AO68,"&gt;0")</f>
        <v/>
      </c>
      <c r="AQ68" s="71">
        <f>IF(AP68&gt;14,AVERAGE(K68:AO68),"")</f>
        <v/>
      </c>
      <c r="AR68" s="71">
        <f>IFERROR(VLOOKUP(A68,Climatologia_TMED!A:U,9+$E$2,FALSE),"")</f>
        <v/>
      </c>
      <c r="AS68" s="71">
        <f>IF(OR(AQ68="",AR68=""),"",IFERROR(AQ68-AR68,""))</f>
        <v/>
      </c>
    </row>
    <row r="69" ht="14.25" customHeight="1">
      <c r="A69" s="58" t="n">
        <v>35095110</v>
      </c>
      <c r="B69" s="59" t="inlineStr">
        <is>
          <t>Huerta La Grande</t>
        </is>
      </c>
      <c r="C69" s="59" t="inlineStr">
        <is>
          <t>Area Operativa 03 - Meta-Guaviare-Guainía</t>
        </is>
      </c>
      <c r="D69" s="73" t="n">
        <v>-72.915458</v>
      </c>
      <c r="E69" s="73" t="n">
        <v>4.65144</v>
      </c>
      <c r="F69" s="58" t="n">
        <v>345</v>
      </c>
      <c r="G69" s="58" t="n">
        <v>85</v>
      </c>
      <c r="H69" s="58" t="n">
        <v>85440</v>
      </c>
      <c r="I69" s="60" t="inlineStr">
        <is>
          <t>Casanare</t>
        </is>
      </c>
      <c r="J69" s="60" t="inlineStr">
        <is>
          <t>Villanueva</t>
        </is>
      </c>
      <c r="K69" s="56" t="n">
        <v>27.35</v>
      </c>
      <c r="L69" s="56" t="n">
        <v>27.35</v>
      </c>
      <c r="M69" s="56" t="n">
        <v>26.65</v>
      </c>
      <c r="N69" s="56" t="n">
        <v>26.1</v>
      </c>
      <c r="O69" s="56" t="n">
        <v>25.55</v>
      </c>
      <c r="P69" s="56" t="n">
        <v>26.5</v>
      </c>
      <c r="Q69" s="56" t="n">
        <v>24.8</v>
      </c>
      <c r="R69" s="56" t="n">
        <v>26.5</v>
      </c>
      <c r="S69" s="56" t="n">
        <v>24.95</v>
      </c>
      <c r="T69" s="56" t="n">
        <v>24.85</v>
      </c>
      <c r="U69" s="56" t="n">
        <v>26.4</v>
      </c>
      <c r="V69" s="56" t="n">
        <v>25.2</v>
      </c>
      <c r="W69" s="56" t="n">
        <v>25.05</v>
      </c>
      <c r="X69" s="56" t="n">
        <v>26.65</v>
      </c>
      <c r="Y69" s="56" t="n">
        <v>24</v>
      </c>
      <c r="Z69" s="56" t="n">
        <v>25.7</v>
      </c>
      <c r="AA69" s="56" t="n">
        <v>26.75</v>
      </c>
      <c r="AB69" s="56" t="n">
        <v>24.55</v>
      </c>
      <c r="AC69" s="56" t="n">
        <v>25.8</v>
      </c>
      <c r="AD69" s="56" t="n">
        <v>27</v>
      </c>
      <c r="AE69" s="56" t="n">
        <v>27.35</v>
      </c>
      <c r="AF69" s="56" t="n">
        <v>28.05</v>
      </c>
      <c r="AG69" s="56" t="n">
        <v>27.45</v>
      </c>
      <c r="AH69" s="56" t="n">
        <v>23.4</v>
      </c>
      <c r="AI69" s="56" t="n">
        <v>25.525</v>
      </c>
      <c r="AJ69" s="56" t="n">
        <v>27</v>
      </c>
      <c r="AK69" s="56" t="n">
        <v>25.75</v>
      </c>
      <c r="AL69" s="56" t="n"/>
      <c r="AM69" s="56" t="n"/>
      <c r="AN69" s="56" t="n"/>
      <c r="AO69" s="56" t="n"/>
      <c r="AP69" s="58">
        <f>COUNTIF(K69:AO69,"&gt;0")</f>
        <v/>
      </c>
      <c r="AQ69" s="71">
        <f>IF(AP69&gt;14,AVERAGE(K69:AO69),"")</f>
        <v/>
      </c>
      <c r="AR69" s="71">
        <f>IFERROR(VLOOKUP(A69,Climatologia_TMED!A:U,9+$E$2,FALSE),"")</f>
        <v/>
      </c>
      <c r="AS69" s="71">
        <f>IF(OR(AQ69="",AR69=""),"",IFERROR(AQ69-AR69,""))</f>
        <v/>
      </c>
    </row>
    <row r="70" ht="14.25" customHeight="1">
      <c r="A70" s="58" t="n">
        <v>35105050</v>
      </c>
      <c r="B70" s="59" t="inlineStr">
        <is>
          <t>Guaicaramo</t>
        </is>
      </c>
      <c r="C70" s="59" t="inlineStr">
        <is>
          <t>Area Operativa 03 - Meta-Guaviare-Guainía</t>
        </is>
      </c>
      <c r="D70" s="73" t="n">
        <v>-72.95363999999999</v>
      </c>
      <c r="E70" s="73" t="n">
        <v>4.46865</v>
      </c>
      <c r="F70" s="58" t="n">
        <v>199</v>
      </c>
      <c r="G70" s="58" t="n">
        <v>50</v>
      </c>
      <c r="H70" s="58" t="n">
        <v>50110</v>
      </c>
      <c r="I70" s="60" t="inlineStr">
        <is>
          <t>Meta</t>
        </is>
      </c>
      <c r="J70" s="60" t="inlineStr">
        <is>
          <t>Barranca De Upía</t>
        </is>
      </c>
      <c r="K70" s="56" t="n">
        <v>28.93333333333334</v>
      </c>
      <c r="L70" s="56" t="n">
        <v>28.13333333333334</v>
      </c>
      <c r="M70" s="56" t="n">
        <v>28.2</v>
      </c>
      <c r="N70" s="56" t="n">
        <v>27.86666666666666</v>
      </c>
      <c r="O70" s="56" t="n">
        <v>26.13333333333334</v>
      </c>
      <c r="P70" s="56" t="n">
        <v>27.66666666666667</v>
      </c>
      <c r="Q70" s="56" t="n">
        <v>26.53333333333333</v>
      </c>
      <c r="R70" s="56" t="n">
        <v>28.33333333333333</v>
      </c>
      <c r="S70" s="56" t="n">
        <v>25.53333333333333</v>
      </c>
      <c r="T70" s="56" t="n">
        <v>25.46666666666667</v>
      </c>
      <c r="U70" s="56" t="n">
        <v>27.8</v>
      </c>
      <c r="V70" s="56" t="n">
        <v>28.46666666666667</v>
      </c>
      <c r="W70" s="56" t="n">
        <v>25.4</v>
      </c>
      <c r="X70" s="56" t="n">
        <v>27.6</v>
      </c>
      <c r="Y70" s="56" t="n">
        <v>27.26666666666667</v>
      </c>
      <c r="Z70" s="56" t="n">
        <v>27.26666666666667</v>
      </c>
      <c r="AA70" s="56" t="n">
        <v>28.13333333333334</v>
      </c>
      <c r="AB70" s="56" t="n">
        <v>26.6</v>
      </c>
      <c r="AC70" s="56" t="n">
        <v>27.6</v>
      </c>
      <c r="AD70" s="56" t="n">
        <v>28.73333333333333</v>
      </c>
      <c r="AE70" s="56" t="n">
        <v>29.86666666666666</v>
      </c>
      <c r="AF70" s="56" t="n">
        <v>29.26666666666667</v>
      </c>
      <c r="AG70" s="56" t="n">
        <v>29.46666666666667</v>
      </c>
      <c r="AH70" s="56" t="n">
        <v>25.6</v>
      </c>
      <c r="AI70" s="56" t="n">
        <v>28.4</v>
      </c>
      <c r="AJ70" s="56" t="n">
        <v/>
      </c>
      <c r="AK70" s="56" t="n">
        <v/>
      </c>
      <c r="AL70" s="56" t="n"/>
      <c r="AM70" s="56" t="n"/>
      <c r="AN70" s="56" t="n"/>
      <c r="AO70" s="56" t="n"/>
      <c r="AP70" s="58">
        <f>COUNTIF(K70:AO70,"&gt;0")</f>
        <v/>
      </c>
      <c r="AQ70" s="71">
        <f>IF(AP70&gt;14,AVERAGE(K70:AO70),"")</f>
        <v/>
      </c>
      <c r="AR70" s="71">
        <f>IFERROR(VLOOKUP(A70,Climatologia_TMED!A:U,9+$E$2,FALSE),"")</f>
        <v/>
      </c>
      <c r="AS70" s="71">
        <f>IF(OR(AQ70="",AR70=""),"",IFERROR(AQ70-AR70,""))</f>
        <v/>
      </c>
    </row>
    <row r="71" ht="14.25" customHeight="1">
      <c r="A71" s="58" t="n">
        <v>35225030</v>
      </c>
      <c r="B71" s="59" t="inlineStr">
        <is>
          <t>Modulos - Aut</t>
        </is>
      </c>
      <c r="C71" s="59" t="inlineStr">
        <is>
          <t>Area Operativa 03 - Meta-Guaviare-Guainía</t>
        </is>
      </c>
      <c r="D71" s="73" t="n">
        <v>-71.433083</v>
      </c>
      <c r="E71" s="73" t="n">
        <v>4.910528</v>
      </c>
      <c r="F71" s="58" t="n">
        <v>139</v>
      </c>
      <c r="G71" s="58" t="n">
        <v>85</v>
      </c>
      <c r="H71" s="58" t="n">
        <v>85230</v>
      </c>
      <c r="I71" s="60" t="inlineStr">
        <is>
          <t>Casanare</t>
        </is>
      </c>
      <c r="J71" s="60" t="inlineStr">
        <is>
          <t>Orocué</t>
        </is>
      </c>
      <c r="K71" s="56" t="n">
        <v>27.5</v>
      </c>
      <c r="L71" s="56" t="n">
        <v>27.23333333333333</v>
      </c>
      <c r="M71" s="56" t="n">
        <v>27.76666666666667</v>
      </c>
      <c r="N71" s="56" t="n">
        <v>26.6</v>
      </c>
      <c r="O71" s="56" t="n">
        <v/>
      </c>
      <c r="P71" s="56" t="n">
        <v/>
      </c>
      <c r="Q71" s="56" t="n">
        <v>27.4</v>
      </c>
      <c r="R71" s="56" t="n">
        <v>27.96666666666667</v>
      </c>
      <c r="S71" s="56" t="n">
        <v>27.3</v>
      </c>
      <c r="T71" s="56" t="n">
        <v>25.23333333333333</v>
      </c>
      <c r="U71" s="56" t="n">
        <v>27.03333333333333</v>
      </c>
      <c r="V71" s="56" t="n">
        <v>27.63333333333334</v>
      </c>
      <c r="W71" s="56" t="n">
        <v>26.56666666666666</v>
      </c>
      <c r="X71" s="56" t="n">
        <v>27.53333333333333</v>
      </c>
      <c r="Y71" s="56" t="n">
        <v>27.26666666666667</v>
      </c>
      <c r="Z71" s="56" t="n">
        <v>27.5</v>
      </c>
      <c r="AA71" s="56" t="n">
        <v>27.8</v>
      </c>
      <c r="AB71" s="56" t="n">
        <v>27.6</v>
      </c>
      <c r="AC71" s="56" t="n">
        <v>26.7</v>
      </c>
      <c r="AD71" s="56" t="n">
        <v>27.63333333333333</v>
      </c>
      <c r="AE71" s="56" t="n">
        <v>28.53333333333333</v>
      </c>
      <c r="AF71" s="56" t="n">
        <v>29.36666666666666</v>
      </c>
      <c r="AG71" s="56" t="n">
        <v>27.93333333333333</v>
      </c>
      <c r="AH71" s="56" t="n">
        <v>25.4</v>
      </c>
      <c r="AI71" s="56" t="n">
        <v>26.63333333333334</v>
      </c>
      <c r="AJ71" s="56" t="n">
        <v>27.6</v>
      </c>
      <c r="AK71" s="56" t="n">
        <v>26.86666666666666</v>
      </c>
      <c r="AL71" s="56" t="n"/>
      <c r="AM71" s="56" t="n"/>
      <c r="AN71" s="56" t="n"/>
      <c r="AO71" s="56" t="n"/>
      <c r="AP71" s="58">
        <f>COUNTIF(K71:AO71,"&gt;0")</f>
        <v/>
      </c>
      <c r="AQ71" s="71">
        <f>IF(AP71&gt;14,AVERAGE(K71:AO71),"")</f>
        <v/>
      </c>
      <c r="AR71" s="71">
        <f>IFERROR(VLOOKUP(A71,Climatologia_TMED!A:U,9+$E$2,FALSE),"")</f>
        <v/>
      </c>
      <c r="AS71" s="71">
        <f>IF(OR(AQ71="",AR71=""),"",IFERROR(AQ71-AR71,""))</f>
        <v/>
      </c>
    </row>
    <row r="72" ht="14.25" customHeight="1">
      <c r="A72" s="58" t="n">
        <v>42075010</v>
      </c>
      <c r="B72" s="59" t="inlineStr">
        <is>
          <t>Mitu</t>
        </is>
      </c>
      <c r="C72" s="59" t="inlineStr">
        <is>
          <t>Area Operativa 03 - Meta-Guaviare-Guainía</t>
        </is>
      </c>
      <c r="D72" s="73" t="n">
        <v>-70.239204</v>
      </c>
      <c r="E72" s="73" t="n">
        <v>1.259702</v>
      </c>
      <c r="F72" s="58" t="n">
        <v>168</v>
      </c>
      <c r="G72" s="58" t="n">
        <v>97</v>
      </c>
      <c r="H72" s="58" t="n">
        <v>97001</v>
      </c>
      <c r="I72" s="60" t="inlineStr">
        <is>
          <t>Vaupés</t>
        </is>
      </c>
      <c r="J72" s="60" t="inlineStr">
        <is>
          <t>Mitú</t>
        </is>
      </c>
      <c r="K72" s="56" t="n">
        <v>27.2</v>
      </c>
      <c r="L72" s="56" t="n">
        <v>26.16666666666667</v>
      </c>
      <c r="M72" s="56" t="n">
        <v>26.96666666666667</v>
      </c>
      <c r="N72" s="56" t="n">
        <v>25.73333333333333</v>
      </c>
      <c r="O72" s="56" t="n">
        <v>25.7</v>
      </c>
      <c r="P72" s="56" t="n">
        <v>26.23333333333333</v>
      </c>
      <c r="Q72" s="56" t="n">
        <v>26.53333333333333</v>
      </c>
      <c r="R72" s="56" t="n">
        <v>23.83333333333333</v>
      </c>
      <c r="S72" s="56" t="n">
        <v>27.16666666666667</v>
      </c>
      <c r="T72" s="56" t="n">
        <v>26.3</v>
      </c>
      <c r="U72" s="56" t="n">
        <v>25.6</v>
      </c>
      <c r="V72" s="56" t="n">
        <v>26.6</v>
      </c>
      <c r="W72" s="56" t="n">
        <v>26.86666666666666</v>
      </c>
      <c r="X72" s="56" t="n">
        <v>25.1</v>
      </c>
      <c r="Y72" s="56" t="n">
        <v>24.13333333333334</v>
      </c>
      <c r="Z72" s="56" t="n">
        <v>26.9</v>
      </c>
      <c r="AA72" s="56" t="n">
        <v>25.53333333333333</v>
      </c>
      <c r="AB72" s="56" t="n">
        <v>26.46666666666667</v>
      </c>
      <c r="AC72" s="56" t="n">
        <v>25.46666666666667</v>
      </c>
      <c r="AD72" s="56" t="n">
        <v>26.83333333333333</v>
      </c>
      <c r="AE72" s="56" t="n">
        <v>28.56666666666667</v>
      </c>
      <c r="AF72" s="56" t="n">
        <v>24.03333333333333</v>
      </c>
      <c r="AG72" s="56" t="n">
        <v>23.2</v>
      </c>
      <c r="AH72" s="56" t="n">
        <v>26.16666666666667</v>
      </c>
      <c r="AI72" s="56" t="n">
        <v>24.43333333333333</v>
      </c>
      <c r="AJ72" s="56" t="n">
        <v>25.86666666666666</v>
      </c>
      <c r="AK72" s="56" t="n">
        <v>25.23333333333333</v>
      </c>
      <c r="AL72" s="56" t="n"/>
      <c r="AM72" s="56" t="n"/>
      <c r="AN72" s="56" t="n"/>
      <c r="AO72" s="56" t="n"/>
      <c r="AP72" s="58">
        <f>COUNTIF(K72:AO72,"&gt;0")</f>
        <v/>
      </c>
      <c r="AQ72" s="71">
        <f>IF(AP72&gt;14,AVERAGE(K72:AO72),"")</f>
        <v/>
      </c>
      <c r="AR72" s="71">
        <f>IFERROR(VLOOKUP(A72,Climatologia_TMED!A:U,9+$E$2,FALSE),"")</f>
        <v/>
      </c>
      <c r="AS72" s="71">
        <f>IF(OR(AQ72="",AR72=""),"",IFERROR(AQ72-AR72,""))</f>
        <v/>
      </c>
    </row>
    <row r="73" ht="14.25" customHeight="1">
      <c r="A73" s="58" t="n">
        <v>3502500006</v>
      </c>
      <c r="B73" s="59" t="inlineStr">
        <is>
          <t>Morichal</t>
        </is>
      </c>
      <c r="C73" s="59" t="inlineStr">
        <is>
          <t>Area Operativa 03 - Meta-Guaviare-Guainía</t>
        </is>
      </c>
      <c r="D73" s="73" t="n">
        <v>-73.24296388899999</v>
      </c>
      <c r="E73" s="73" t="n">
        <v>3.932547222</v>
      </c>
      <c r="F73" s="58" t="n">
        <v>277</v>
      </c>
      <c r="G73" s="58" t="n">
        <v>50</v>
      </c>
      <c r="H73" s="58" t="n">
        <v>50680</v>
      </c>
      <c r="I73" s="60" t="inlineStr">
        <is>
          <t>Meta</t>
        </is>
      </c>
      <c r="J73" s="60" t="inlineStr">
        <is>
          <t>San Carlos De Guaroa</t>
        </is>
      </c>
      <c r="K73" s="56" t="n">
        <v>27</v>
      </c>
      <c r="L73" s="56" t="n">
        <v>26.9</v>
      </c>
      <c r="M73" s="56" t="n">
        <v>25.55</v>
      </c>
      <c r="N73" s="56" t="n">
        <v>27.25</v>
      </c>
      <c r="O73" s="56" t="n">
        <v>25.6</v>
      </c>
      <c r="P73" s="56" t="n">
        <v/>
      </c>
      <c r="Q73" s="56" t="n">
        <v/>
      </c>
      <c r="R73" s="56" t="n">
        <v>26.5</v>
      </c>
      <c r="S73" s="56" t="n">
        <v>26.1</v>
      </c>
      <c r="T73" s="56" t="n">
        <v>24.3</v>
      </c>
      <c r="U73" s="56" t="n">
        <v>28.4</v>
      </c>
      <c r="V73" s="56" t="n">
        <v/>
      </c>
      <c r="W73" s="56" t="n">
        <v/>
      </c>
      <c r="X73" s="56" t="n">
        <v/>
      </c>
      <c r="Y73" s="56" t="n">
        <v>25.45</v>
      </c>
      <c r="Z73" s="56" t="n">
        <v>25.65</v>
      </c>
      <c r="AA73" s="56" t="n">
        <v>26.3</v>
      </c>
      <c r="AB73" s="56" t="n">
        <v>23.95</v>
      </c>
      <c r="AC73" s="56" t="n">
        <v/>
      </c>
      <c r="AD73" s="56" t="n">
        <v/>
      </c>
      <c r="AE73" s="56" t="n">
        <v/>
      </c>
      <c r="AF73" s="56" t="n">
        <v>26.95</v>
      </c>
      <c r="AG73" s="56" t="n">
        <v>27.65</v>
      </c>
      <c r="AH73" s="56" t="n">
        <v>25.25</v>
      </c>
      <c r="AI73" s="56" t="n">
        <v>26.35</v>
      </c>
      <c r="AJ73" s="56" t="n">
        <v/>
      </c>
      <c r="AK73" s="56" t="n">
        <v/>
      </c>
      <c r="AL73" s="56" t="n"/>
      <c r="AM73" s="56" t="n"/>
      <c r="AN73" s="56" t="n"/>
      <c r="AO73" s="56" t="n"/>
      <c r="AP73" s="58">
        <f>COUNTIF(K73:AO73,"&gt;0")</f>
        <v/>
      </c>
      <c r="AQ73" s="71">
        <f>IF(AP73&gt;14,AVERAGE(K73:AO73),"")</f>
        <v/>
      </c>
      <c r="AR73" s="71">
        <f>IFERROR(VLOOKUP(A73,Climatologia_TMED!A:U,9+$E$2,FALSE),"")</f>
        <v/>
      </c>
      <c r="AS73" s="71">
        <f>IF(OR(AQ73="",AR73=""),"",IFERROR(AQ73-AR73,""))</f>
        <v/>
      </c>
    </row>
    <row r="74" ht="14.25" customHeight="1">
      <c r="A74" s="58" t="n">
        <v>21025030</v>
      </c>
      <c r="B74" s="59" t="inlineStr">
        <is>
          <t>Altamira El Grifo Aut</t>
        </is>
      </c>
      <c r="C74" s="59" t="inlineStr">
        <is>
          <t>Area Operativa 04 - Huila-Caquetá</t>
        </is>
      </c>
      <c r="D74" s="73" t="n">
        <v>-75.73622222</v>
      </c>
      <c r="E74" s="73" t="n">
        <v>2.079166667</v>
      </c>
      <c r="F74" s="58" t="n">
        <v>1368</v>
      </c>
      <c r="G74" s="58" t="n">
        <v>41</v>
      </c>
      <c r="H74" s="58" t="n">
        <v>41026</v>
      </c>
      <c r="I74" s="60" t="inlineStr">
        <is>
          <t>Huila</t>
        </is>
      </c>
      <c r="J74" s="60" t="inlineStr">
        <is>
          <t>Altamira</t>
        </is>
      </c>
      <c r="K74" s="56" t="n">
        <v>22.65</v>
      </c>
      <c r="L74" s="56" t="n">
        <v>20.6</v>
      </c>
      <c r="M74" s="56" t="n">
        <v>21.95</v>
      </c>
      <c r="N74" s="56" t="n">
        <v>22.55</v>
      </c>
      <c r="O74" s="56" t="n">
        <v>20.85</v>
      </c>
      <c r="P74" s="56" t="n">
        <v>21.9</v>
      </c>
      <c r="Q74" s="56" t="n">
        <v>22.3</v>
      </c>
      <c r="R74" s="56" t="n">
        <v>22.95</v>
      </c>
      <c r="S74" s="56" t="n">
        <v>21.3</v>
      </c>
      <c r="T74" s="56" t="n">
        <v>21.55</v>
      </c>
      <c r="U74" s="56" t="n">
        <v>22.25</v>
      </c>
      <c r="V74" s="56" t="n">
        <v>21.65</v>
      </c>
      <c r="W74" s="56" t="n">
        <v>22.85</v>
      </c>
      <c r="X74" s="56" t="n">
        <v>23</v>
      </c>
      <c r="Y74" s="56" t="n">
        <v>22.8</v>
      </c>
      <c r="Z74" s="56" t="n">
        <v>21.65</v>
      </c>
      <c r="AA74" s="56" t="n">
        <v>21.9</v>
      </c>
      <c r="AB74" s="56" t="n">
        <v>22.65</v>
      </c>
      <c r="AC74" s="56" t="n">
        <v>21.1</v>
      </c>
      <c r="AD74" s="56" t="n">
        <v>23.4</v>
      </c>
      <c r="AE74" s="56" t="n">
        <v>24.5</v>
      </c>
      <c r="AF74" s="56" t="n">
        <v>24.25</v>
      </c>
      <c r="AG74" s="56" t="n">
        <v>23.2</v>
      </c>
      <c r="AH74" s="56" t="n">
        <v>23.5</v>
      </c>
      <c r="AI74" s="56" t="n">
        <v>21.5</v>
      </c>
      <c r="AJ74" s="56" t="n">
        <v>22.95</v>
      </c>
      <c r="AK74" s="56" t="n">
        <v>23.2</v>
      </c>
      <c r="AL74" s="56" t="n"/>
      <c r="AM74" s="56" t="n"/>
      <c r="AN74" s="56" t="n"/>
      <c r="AO74" s="56" t="n"/>
      <c r="AP74" s="58">
        <f>COUNTIF(K74:AO74,"&gt;0")</f>
        <v/>
      </c>
      <c r="AQ74" s="71">
        <f>IF(AP74&gt;14,AVERAGE(K74:AO74),"")</f>
        <v/>
      </c>
      <c r="AR74" s="71">
        <f>IFERROR(VLOOKUP(A74,Climatologia_TMED!A:U,9+$E$2,FALSE),"")</f>
        <v/>
      </c>
      <c r="AS74" s="71">
        <f>IF(OR(AQ74="",AR74=""),"",IFERROR(AQ74-AR74,""))</f>
        <v/>
      </c>
    </row>
    <row r="75" ht="14.25" customHeight="1">
      <c r="A75" s="58" t="n">
        <v>21055030</v>
      </c>
      <c r="B75" s="59" t="inlineStr">
        <is>
          <t>Santa Leticia</t>
        </is>
      </c>
      <c r="C75" s="59" t="inlineStr">
        <is>
          <t>Area Operativa 04 - Huila-Caquetá</t>
        </is>
      </c>
      <c r="D75" s="73" t="n">
        <v>-76.16</v>
      </c>
      <c r="E75" s="73" t="n">
        <v>2.24</v>
      </c>
      <c r="F75" s="58" t="n">
        <v>2085</v>
      </c>
      <c r="G75" s="58" t="n">
        <v>19</v>
      </c>
      <c r="H75" s="58" t="n">
        <v>19355</v>
      </c>
      <c r="I75" s="60" t="inlineStr">
        <is>
          <t>Cauca</t>
        </is>
      </c>
      <c r="J75" s="60" t="inlineStr">
        <is>
          <t>Inzá</t>
        </is>
      </c>
      <c r="K75" s="56" t="n">
        <v>15.93333333333333</v>
      </c>
      <c r="L75" s="56" t="n">
        <v>16.46666666666667</v>
      </c>
      <c r="M75" s="56" t="n">
        <v>15.6</v>
      </c>
      <c r="N75" s="56" t="n">
        <v>15.86666666666667</v>
      </c>
      <c r="O75" s="56" t="n">
        <v>15.86666666666667</v>
      </c>
      <c r="P75" s="56" t="n">
        <v>15.8</v>
      </c>
      <c r="Q75" s="56" t="n">
        <v>14.53333333333333</v>
      </c>
      <c r="R75" s="56" t="n">
        <v>16.93333333333333</v>
      </c>
      <c r="S75" s="56" t="n">
        <v>17.33333333333333</v>
      </c>
      <c r="T75" s="56" t="n">
        <v>20.06666666666667</v>
      </c>
      <c r="U75" s="56" t="n">
        <v>17.66666666666667</v>
      </c>
      <c r="V75" s="56" t="n">
        <v>15</v>
      </c>
      <c r="W75" s="56" t="n">
        <v>16.66666666666667</v>
      </c>
      <c r="X75" s="56" t="n">
        <v>16.06666666666667</v>
      </c>
      <c r="Y75" s="56" t="n">
        <v>17.06666666666667</v>
      </c>
      <c r="Z75" s="56" t="n">
        <v>15.4</v>
      </c>
      <c r="AA75" s="56" t="n">
        <v>16.06666666666667</v>
      </c>
      <c r="AB75" s="56" t="n">
        <v>15.8</v>
      </c>
      <c r="AC75" s="56" t="n">
        <v>15.6</v>
      </c>
      <c r="AD75" s="56" t="n">
        <v>16.6</v>
      </c>
      <c r="AE75" s="56" t="n">
        <v>16.53333333333333</v>
      </c>
      <c r="AF75" s="56" t="n">
        <v>17.86666666666667</v>
      </c>
      <c r="AG75" s="56" t="n">
        <v>17.4</v>
      </c>
      <c r="AH75" s="56" t="n">
        <v>16.93333333333333</v>
      </c>
      <c r="AI75" s="56" t="n">
        <v>16.33333333333333</v>
      </c>
      <c r="AJ75" s="56" t="n">
        <v>15.8</v>
      </c>
      <c r="AK75" s="56" t="n">
        <v>17.13333333333334</v>
      </c>
      <c r="AL75" s="56" t="n"/>
      <c r="AM75" s="56" t="n"/>
      <c r="AN75" s="56" t="n"/>
      <c r="AO75" s="56" t="n"/>
      <c r="AP75" s="58">
        <f>COUNTIF(K75:AO75,"&gt;0")</f>
        <v/>
      </c>
      <c r="AQ75" s="71">
        <f>IF(AP75&gt;14,AVERAGE(K75:AO75),"")</f>
        <v/>
      </c>
      <c r="AR75" s="71">
        <f>IFERROR(VLOOKUP(A75,Climatologia_TMED!A:U,9+$E$2,FALSE),"")</f>
        <v/>
      </c>
      <c r="AS75" s="71">
        <f>IF(OR(AQ75="",AR75=""),"",IFERROR(AQ75-AR75,""))</f>
        <v/>
      </c>
    </row>
    <row r="76" ht="14.25" customHeight="1">
      <c r="A76" s="58" t="n">
        <v>21065040</v>
      </c>
      <c r="B76" s="59" t="inlineStr">
        <is>
          <t>Zuluaga Aut</t>
        </is>
      </c>
      <c r="C76" s="59" t="inlineStr">
        <is>
          <t>Area Operativa 04 - Huila-Caquetá</t>
        </is>
      </c>
      <c r="D76" s="73" t="n">
        <v>-75.52944444000001</v>
      </c>
      <c r="E76" s="73" t="n">
        <v>2.2525</v>
      </c>
      <c r="F76" s="58" t="n">
        <v>1270</v>
      </c>
      <c r="G76" s="58" t="n">
        <v>41</v>
      </c>
      <c r="H76" s="58" t="n">
        <v>41298</v>
      </c>
      <c r="I76" s="60" t="inlineStr">
        <is>
          <t>Huila</t>
        </is>
      </c>
      <c r="J76" s="60" t="inlineStr">
        <is>
          <t>Garzón</t>
        </is>
      </c>
      <c r="K76" s="56" t="n">
        <v>22.1</v>
      </c>
      <c r="L76" s="56" t="n">
        <v>20.95</v>
      </c>
      <c r="M76" s="56" t="n">
        <v>21.55</v>
      </c>
      <c r="N76" s="56" t="n">
        <v>21.6</v>
      </c>
      <c r="O76" s="56" t="n">
        <v>20.85</v>
      </c>
      <c r="P76" s="56" t="n">
        <v>20.35</v>
      </c>
      <c r="Q76" s="56" t="n">
        <v>21.9</v>
      </c>
      <c r="R76" s="56" t="n">
        <v>23.5</v>
      </c>
      <c r="S76" s="56" t="n">
        <v>22.15</v>
      </c>
      <c r="T76" s="56" t="n">
        <v>20.7</v>
      </c>
      <c r="U76" s="56" t="n">
        <v>20.9</v>
      </c>
      <c r="V76" s="56" t="n">
        <v>20.65</v>
      </c>
      <c r="W76" s="56" t="n">
        <v>21.45</v>
      </c>
      <c r="X76" s="56" t="n">
        <v>21.85</v>
      </c>
      <c r="Y76" s="56" t="n">
        <v>21.8</v>
      </c>
      <c r="Z76" s="56" t="n">
        <v>19.85</v>
      </c>
      <c r="AA76" s="56" t="n">
        <v>22.25</v>
      </c>
      <c r="AB76" s="56" t="n">
        <v>22.85</v>
      </c>
      <c r="AC76" s="56" t="n">
        <v>20.8</v>
      </c>
      <c r="AD76" s="56" t="n">
        <v>21.55</v>
      </c>
      <c r="AE76" s="56" t="n">
        <v>24.75</v>
      </c>
      <c r="AF76" s="56" t="n">
        <v>24.05</v>
      </c>
      <c r="AG76" s="56" t="n">
        <v>21.05</v>
      </c>
      <c r="AH76" s="56" t="n">
        <v>22.55</v>
      </c>
      <c r="AI76" s="56" t="n">
        <v>22.15</v>
      </c>
      <c r="AJ76" s="56" t="n">
        <v>22.15</v>
      </c>
      <c r="AK76" s="56" t="n">
        <v>22.2</v>
      </c>
      <c r="AL76" s="56" t="n"/>
      <c r="AM76" s="56" t="n"/>
      <c r="AN76" s="56" t="n"/>
      <c r="AO76" s="56" t="n"/>
      <c r="AP76" s="58">
        <f>COUNTIF(K76:AO76,"&gt;0")</f>
        <v/>
      </c>
      <c r="AQ76" s="71">
        <f>IF(AP76&gt;14,AVERAGE(K76:AO76),"")</f>
        <v/>
      </c>
      <c r="AR76" s="71">
        <f>IFERROR(VLOOKUP(A76,Climatologia_TMED!A:U,9+$E$2,FALSE),"")</f>
        <v/>
      </c>
      <c r="AS76" s="71">
        <f>IF(OR(AQ76="",AR76=""),"",IFERROR(AQ76-AR76,""))</f>
        <v/>
      </c>
    </row>
    <row r="77" ht="14.25" customHeight="1">
      <c r="A77" s="58" t="n">
        <v>21115100</v>
      </c>
      <c r="B77" s="59" t="inlineStr">
        <is>
          <t>Palacio-Vegalarga</t>
        </is>
      </c>
      <c r="C77" s="59" t="inlineStr">
        <is>
          <t>Area Operativa 04 - Huila-Caquetá</t>
        </is>
      </c>
      <c r="D77" s="73" t="n">
        <v>-75.06638889</v>
      </c>
      <c r="E77" s="73" t="n">
        <v>2.942638889</v>
      </c>
      <c r="F77" s="58" t="n">
        <v>1100</v>
      </c>
      <c r="G77" s="58" t="n">
        <v>41</v>
      </c>
      <c r="H77" s="58" t="n">
        <v>41001</v>
      </c>
      <c r="I77" s="60" t="inlineStr">
        <is>
          <t>Huila</t>
        </is>
      </c>
      <c r="J77" s="60" t="inlineStr">
        <is>
          <t>Neiva</t>
        </is>
      </c>
      <c r="K77" s="56" t="n">
        <v>24.53333333333333</v>
      </c>
      <c r="L77" s="56" t="n">
        <v>24.06666666666667</v>
      </c>
      <c r="M77" s="56" t="n">
        <v>24.6</v>
      </c>
      <c r="N77" s="56" t="n">
        <v>25.26666666666667</v>
      </c>
      <c r="O77" s="56" t="n">
        <v>24.26666666666667</v>
      </c>
      <c r="P77" s="56" t="n">
        <v>25.6</v>
      </c>
      <c r="Q77" s="56" t="n">
        <v>25</v>
      </c>
      <c r="R77" s="56" t="n">
        <v>25.26666666666667</v>
      </c>
      <c r="S77" s="56" t="n">
        <v>25.46666666666667</v>
      </c>
      <c r="T77" s="56" t="n">
        <v>25.4</v>
      </c>
      <c r="U77" s="56" t="n">
        <v>24.2</v>
      </c>
      <c r="V77" s="56" t="n">
        <v>25.66666666666667</v>
      </c>
      <c r="W77" s="56" t="n">
        <v>25.8</v>
      </c>
      <c r="X77" s="56" t="n">
        <v>25.4</v>
      </c>
      <c r="Y77" s="56" t="n">
        <v>25.66666666666667</v>
      </c>
      <c r="Z77" s="56" t="n">
        <v>23.6</v>
      </c>
      <c r="AA77" s="56" t="n">
        <v>24.93333333333333</v>
      </c>
      <c r="AB77" s="56" t="n">
        <v>26</v>
      </c>
      <c r="AC77" s="56" t="n">
        <v>25.6</v>
      </c>
      <c r="AD77" s="56" t="n">
        <v>26.33333333333333</v>
      </c>
      <c r="AE77" s="56" t="n">
        <v>26.66666666666667</v>
      </c>
      <c r="AF77" s="56" t="n">
        <v>25.73333333333333</v>
      </c>
      <c r="AG77" s="56" t="n">
        <v>25.46666666666667</v>
      </c>
      <c r="AH77" s="56" t="n">
        <v>25.26666666666667</v>
      </c>
      <c r="AI77" s="56" t="n">
        <v>24</v>
      </c>
      <c r="AJ77" s="56" t="n">
        <v>24.8</v>
      </c>
      <c r="AK77" s="56" t="n">
        <v>25.2</v>
      </c>
      <c r="AL77" s="56" t="n"/>
      <c r="AM77" s="56" t="n"/>
      <c r="AN77" s="56" t="n"/>
      <c r="AO77" s="56" t="n"/>
      <c r="AP77" s="58">
        <f>COUNTIF(K77:AO77,"&gt;0")</f>
        <v/>
      </c>
      <c r="AQ77" s="71">
        <f>IF(AP77&gt;14,AVERAGE(K77:AO77),"")</f>
        <v/>
      </c>
      <c r="AR77" s="71">
        <f>IFERROR(VLOOKUP(A77,Climatologia_TMED!A:U,9+$E$2,FALSE),"")</f>
        <v/>
      </c>
      <c r="AS77" s="71">
        <f>IF(OR(AQ77="",AR77=""),"",IFERROR(AQ77-AR77,""))</f>
        <v/>
      </c>
    </row>
    <row r="78" ht="14.25" customHeight="1">
      <c r="A78" s="58" t="n">
        <v>21135030</v>
      </c>
      <c r="B78" s="59" t="inlineStr">
        <is>
          <t>Anchique</t>
        </is>
      </c>
      <c r="C78" s="59" t="inlineStr">
        <is>
          <t>Area Operativa 04 - Huila-Caquetá</t>
        </is>
      </c>
      <c r="D78" s="73" t="n">
        <v>-75.10899999999999</v>
      </c>
      <c r="E78" s="73" t="n">
        <v>3.573833333</v>
      </c>
      <c r="F78" s="58" t="n">
        <v>415</v>
      </c>
      <c r="G78" s="58" t="n">
        <v>73</v>
      </c>
      <c r="H78" s="58" t="n">
        <v>73483</v>
      </c>
      <c r="I78" s="60" t="inlineStr">
        <is>
          <t>Tolima</t>
        </is>
      </c>
      <c r="J78" s="60" t="inlineStr">
        <is>
          <t>Natagaima</t>
        </is>
      </c>
      <c r="K78" s="56" t="n">
        <v>31.1</v>
      </c>
      <c r="L78" s="56" t="n">
        <v>31.9</v>
      </c>
      <c r="M78" s="56" t="n">
        <v>31.3</v>
      </c>
      <c r="N78" s="56" t="n">
        <v>33.1</v>
      </c>
      <c r="O78" s="56" t="n">
        <v>33.6</v>
      </c>
      <c r="P78" s="56" t="n">
        <v>33.65</v>
      </c>
      <c r="Q78" s="56" t="n">
        <v/>
      </c>
      <c r="R78" s="56" t="n">
        <v>33.90000000000001</v>
      </c>
      <c r="S78" s="56" t="n">
        <v>32.7</v>
      </c>
      <c r="T78" s="56" t="n">
        <v>34.05</v>
      </c>
      <c r="U78" s="56" t="n">
        <v>33.2</v>
      </c>
      <c r="V78" s="56" t="n">
        <v>33.4</v>
      </c>
      <c r="W78" s="56" t="n">
        <v>32.59999999999999</v>
      </c>
      <c r="X78" s="56" t="n">
        <v>34.7</v>
      </c>
      <c r="Y78" s="56" t="n">
        <v>33.84999999999999</v>
      </c>
      <c r="Z78" s="56" t="n">
        <v>32.05</v>
      </c>
      <c r="AA78" s="56" t="n">
        <v>33.7</v>
      </c>
      <c r="AB78" s="56" t="n">
        <v>34.6</v>
      </c>
      <c r="AC78" s="56" t="n">
        <v>32.25</v>
      </c>
      <c r="AD78" s="56" t="n">
        <v>32.75</v>
      </c>
      <c r="AE78" s="56" t="n">
        <v>34.6</v>
      </c>
      <c r="AF78" s="56" t="n">
        <v>33.84999999999999</v>
      </c>
      <c r="AG78" s="56" t="n">
        <v>33.75</v>
      </c>
      <c r="AH78" s="56" t="n">
        <v>31.1</v>
      </c>
      <c r="AI78" s="56" t="n">
        <v>30.5</v>
      </c>
      <c r="AJ78" s="56" t="n">
        <v>28.95</v>
      </c>
      <c r="AK78" s="56" t="n">
        <v>31.6</v>
      </c>
      <c r="AL78" s="56" t="n"/>
      <c r="AM78" s="56" t="n"/>
      <c r="AN78" s="56" t="n"/>
      <c r="AO78" s="56" t="n"/>
      <c r="AP78" s="58">
        <f>COUNTIF(K78:AO78,"&gt;0")</f>
        <v/>
      </c>
      <c r="AQ78" s="71">
        <f>IF(AP78&gt;14,AVERAGE(K78:AO78),"")</f>
        <v/>
      </c>
      <c r="AR78" s="71">
        <f>IFERROR(VLOOKUP(A78,Climatologia_TMED!A:U,9+$E$2,FALSE),"")</f>
        <v/>
      </c>
      <c r="AS78" s="71">
        <f>IF(OR(AQ78="",AR78=""),"",IFERROR(AQ78-AR78,""))</f>
        <v/>
      </c>
    </row>
    <row r="79" ht="14.25" customHeight="1">
      <c r="A79" s="58" t="n">
        <v>21145040</v>
      </c>
      <c r="B79" s="59" t="inlineStr">
        <is>
          <t>San Alfonso</t>
        </is>
      </c>
      <c r="C79" s="59" t="inlineStr">
        <is>
          <t>Area Operativa 04 - Huila-Caquetá</t>
        </is>
      </c>
      <c r="D79" s="73" t="n">
        <v>-75.11011111000001</v>
      </c>
      <c r="E79" s="73" t="n">
        <v>3.373361111</v>
      </c>
      <c r="F79" s="58" t="n">
        <v>440</v>
      </c>
      <c r="G79" s="58" t="n">
        <v>41</v>
      </c>
      <c r="H79" s="58" t="n">
        <v>41872</v>
      </c>
      <c r="I79" s="60" t="inlineStr">
        <is>
          <t>Huila</t>
        </is>
      </c>
      <c r="J79" s="60" t="inlineStr">
        <is>
          <t>Villavieja</t>
        </is>
      </c>
      <c r="K79" s="56" t="n">
        <v>32.4</v>
      </c>
      <c r="L79" s="56" t="n">
        <v>32.13333333333333</v>
      </c>
      <c r="M79" s="56" t="n">
        <v>31.46666666666667</v>
      </c>
      <c r="N79" s="56" t="n">
        <v>33.26666666666667</v>
      </c>
      <c r="O79" s="56" t="n">
        <v>33.73333333333333</v>
      </c>
      <c r="P79" s="56" t="n">
        <v>33.7</v>
      </c>
      <c r="Q79" s="56" t="n">
        <v>32.46666666666667</v>
      </c>
      <c r="R79" s="56" t="n">
        <v>33.6</v>
      </c>
      <c r="S79" s="56" t="n">
        <v>33.66666666666666</v>
      </c>
      <c r="T79" s="56" t="n">
        <v>33</v>
      </c>
      <c r="U79" s="56" t="n">
        <v>32.6</v>
      </c>
      <c r="V79" s="56" t="n">
        <v>32.8</v>
      </c>
      <c r="W79" s="56" t="n">
        <v>32.8</v>
      </c>
      <c r="X79" s="56" t="n">
        <v>34.33333333333334</v>
      </c>
      <c r="Y79" s="56" t="n">
        <v>32.8</v>
      </c>
      <c r="Z79" s="56" t="n">
        <v>31.46666666666667</v>
      </c>
      <c r="AA79" s="56" t="n">
        <v>33.13333333333333</v>
      </c>
      <c r="AB79" s="56" t="n">
        <v>33.06666666666667</v>
      </c>
      <c r="AC79" s="56" t="n">
        <v>31.6</v>
      </c>
      <c r="AD79" s="56" t="n">
        <v>33.4</v>
      </c>
      <c r="AE79" s="56" t="n">
        <v>33.6</v>
      </c>
      <c r="AF79" s="56" t="n">
        <v>33.66666666666666</v>
      </c>
      <c r="AG79" s="56" t="n">
        <v>33.46666666666667</v>
      </c>
      <c r="AH79" s="56" t="n">
        <v>32.86666666666667</v>
      </c>
      <c r="AI79" s="56" t="n">
        <v>32</v>
      </c>
      <c r="AJ79" s="56" t="n">
        <v>32.2</v>
      </c>
      <c r="AK79" s="56" t="n">
        <v>31.93333333333333</v>
      </c>
      <c r="AL79" s="56" t="n"/>
      <c r="AM79" s="56" t="n"/>
      <c r="AN79" s="56" t="n"/>
      <c r="AO79" s="56" t="n"/>
      <c r="AP79" s="58">
        <f>COUNTIF(K79:AO79,"&gt;0")</f>
        <v/>
      </c>
      <c r="AQ79" s="71">
        <f>IF(AP79&gt;14,AVERAGE(K79:AO79),"")</f>
        <v/>
      </c>
      <c r="AR79" s="71">
        <f>IFERROR(VLOOKUP(A79,Climatologia_TMED!A:U,9+$E$2,FALSE),"")</f>
        <v/>
      </c>
      <c r="AS79" s="71">
        <f>IF(OR(AQ79="",AR79=""),"",IFERROR(AQ79-AR79,""))</f>
        <v/>
      </c>
    </row>
    <row r="80" ht="14.25" customHeight="1">
      <c r="A80" s="58" t="n">
        <v>21145080</v>
      </c>
      <c r="B80" s="59" t="inlineStr">
        <is>
          <t>Santa Ana - Aut</t>
        </is>
      </c>
      <c r="C80" s="59" t="inlineStr">
        <is>
          <t>Area Operativa 04 - Huila-Caquetá</t>
        </is>
      </c>
      <c r="D80" s="73" t="n">
        <v>-74.70294444</v>
      </c>
      <c r="E80" s="73" t="n">
        <v>3.589777778</v>
      </c>
      <c r="F80" s="58" t="n">
        <v>1410</v>
      </c>
      <c r="G80" s="58" t="n">
        <v>41</v>
      </c>
      <c r="H80" s="58" t="n">
        <v>41206</v>
      </c>
      <c r="I80" s="60" t="inlineStr">
        <is>
          <t>Huila</t>
        </is>
      </c>
      <c r="J80" s="60" t="inlineStr">
        <is>
          <t>Colombia</t>
        </is>
      </c>
      <c r="K80" s="56" t="n">
        <v>20.93333333333333</v>
      </c>
      <c r="L80" s="56" t="n">
        <v>20.6</v>
      </c>
      <c r="M80" s="56" t="n">
        <v>20.4</v>
      </c>
      <c r="N80" s="56" t="n">
        <v>21.06666666666667</v>
      </c>
      <c r="O80" s="56" t="n">
        <v>22.86666666666667</v>
      </c>
      <c r="P80" s="56" t="n">
        <v>22.26666666666667</v>
      </c>
      <c r="Q80" s="56" t="n">
        <v>20.53333333333333</v>
      </c>
      <c r="R80" s="56" t="n">
        <v>22.06666666666667</v>
      </c>
      <c r="S80" s="56" t="n">
        <v>22.53333333333333</v>
      </c>
      <c r="T80" s="56" t="n">
        <v>22.26666666666667</v>
      </c>
      <c r="U80" s="56" t="n">
        <v>21.73333333333333</v>
      </c>
      <c r="V80" s="56" t="n">
        <v>22.4</v>
      </c>
      <c r="W80" s="56" t="n">
        <v>22.93333333333333</v>
      </c>
      <c r="X80" s="56" t="n">
        <v>23.13333333333334</v>
      </c>
      <c r="Y80" s="56" t="n">
        <v>22.6</v>
      </c>
      <c r="Z80" s="56" t="n">
        <v>20.73333333333333</v>
      </c>
      <c r="AA80" s="56" t="n">
        <v>21.6</v>
      </c>
      <c r="AB80" s="56" t="n">
        <v>22.4</v>
      </c>
      <c r="AC80" s="56" t="n">
        <v>22.06666666666667</v>
      </c>
      <c r="AD80" s="56" t="n">
        <v>23.06666666666667</v>
      </c>
      <c r="AE80" s="56" t="n">
        <v>23.66666666666667</v>
      </c>
      <c r="AF80" s="56" t="n">
        <v>23.06666666666666</v>
      </c>
      <c r="AG80" s="56" t="n">
        <v>24.06666666666666</v>
      </c>
      <c r="AH80" s="56" t="n">
        <v>21.46666666666667</v>
      </c>
      <c r="AI80" s="56" t="n">
        <v>22.2</v>
      </c>
      <c r="AJ80" s="56" t="n">
        <v>21</v>
      </c>
      <c r="AK80" s="56" t="n">
        <v>22.13333333333334</v>
      </c>
      <c r="AL80" s="56" t="n"/>
      <c r="AM80" s="56" t="n"/>
      <c r="AN80" s="56" t="n"/>
      <c r="AO80" s="56" t="n"/>
      <c r="AP80" s="58">
        <f>COUNTIF(K80:AO80,"&gt;0")</f>
        <v/>
      </c>
      <c r="AQ80" s="71">
        <f>IF(AP80&gt;14,AVERAGE(K80:AO80),"")</f>
        <v/>
      </c>
      <c r="AR80" s="71">
        <f>IFERROR(VLOOKUP(A80,Climatologia_TMED!A:U,9+$E$2,FALSE),"")</f>
        <v/>
      </c>
      <c r="AS80" s="71">
        <f>IF(OR(AQ80="",AR80=""),"",IFERROR(AQ80-AR80,""))</f>
        <v/>
      </c>
    </row>
    <row r="81" ht="14.25" customHeight="1">
      <c r="A81" s="58" t="n">
        <v>44045010</v>
      </c>
      <c r="B81" s="59" t="inlineStr">
        <is>
          <t>San Jose De Fragua</t>
        </is>
      </c>
      <c r="C81" s="59" t="inlineStr">
        <is>
          <t>Area Operativa 04 - Huila-Caquetá</t>
        </is>
      </c>
      <c r="D81" s="73" t="n">
        <v>-75.9615</v>
      </c>
      <c r="E81" s="73" t="n">
        <v>1.325138889</v>
      </c>
      <c r="F81" s="58" t="n">
        <v>320</v>
      </c>
      <c r="G81" s="58" t="n">
        <v>18</v>
      </c>
      <c r="H81" s="58" t="n">
        <v>18610</v>
      </c>
      <c r="I81" s="60" t="inlineStr">
        <is>
          <t>Caquetá</t>
        </is>
      </c>
      <c r="J81" s="60" t="inlineStr">
        <is>
          <t>San José Del Fragua</t>
        </is>
      </c>
      <c r="K81" s="56" t="n">
        <v>28.1</v>
      </c>
      <c r="L81" s="56" t="n">
        <v>25.5</v>
      </c>
      <c r="M81" s="56" t="n">
        <v>26.3</v>
      </c>
      <c r="N81" s="56" t="n">
        <v>26</v>
      </c>
      <c r="O81" s="56" t="n">
        <v>26.25</v>
      </c>
      <c r="P81" s="56" t="n">
        <v>26.35</v>
      </c>
      <c r="Q81" s="56" t="n">
        <v>26.05</v>
      </c>
      <c r="R81" s="56" t="n">
        <v>25.5</v>
      </c>
      <c r="S81" s="56" t="n">
        <v>24.4</v>
      </c>
      <c r="T81" s="56" t="n">
        <v>26.1</v>
      </c>
      <c r="U81" s="56" t="n">
        <v>25.85</v>
      </c>
      <c r="V81" s="56" t="n">
        <v>25.65</v>
      </c>
      <c r="W81" s="56" t="n">
        <v>25.15</v>
      </c>
      <c r="X81" s="56" t="n">
        <v>24.8</v>
      </c>
      <c r="Y81" s="56" t="n">
        <v>26.55</v>
      </c>
      <c r="Z81" s="56" t="n">
        <v>25.35</v>
      </c>
      <c r="AA81" s="56" t="n">
        <v>26.05</v>
      </c>
      <c r="AB81" s="56" t="n">
        <v>25.05</v>
      </c>
      <c r="AC81" s="56" t="n">
        <v/>
      </c>
      <c r="AD81" s="56" t="n">
        <v>26.15</v>
      </c>
      <c r="AE81" s="56" t="n">
        <v>28.35</v>
      </c>
      <c r="AF81" s="56" t="n">
        <v>27.8</v>
      </c>
      <c r="AG81" s="56" t="n">
        <v>25.3</v>
      </c>
      <c r="AH81" s="56" t="n">
        <v>27.2</v>
      </c>
      <c r="AI81" s="56" t="n">
        <v>25</v>
      </c>
      <c r="AJ81" s="56" t="n">
        <v>25.8</v>
      </c>
      <c r="AK81" s="56" t="n">
        <v>24.45</v>
      </c>
      <c r="AL81" s="56" t="n"/>
      <c r="AM81" s="56" t="n"/>
      <c r="AN81" s="56" t="n"/>
      <c r="AO81" s="56" t="n"/>
      <c r="AP81" s="58">
        <f>COUNTIF(K81:AO81,"&gt;0")</f>
        <v/>
      </c>
      <c r="AQ81" s="71">
        <f>IF(AP81&gt;14,AVERAGE(K81:AO81),"")</f>
        <v/>
      </c>
      <c r="AR81" s="71">
        <f>IFERROR(VLOOKUP(A81,Climatologia_TMED!A:U,9+$E$2,FALSE),"")</f>
        <v/>
      </c>
      <c r="AS81" s="71">
        <f>IF(OR(AQ81="",AR81=""),"",IFERROR(AQ81-AR81,""))</f>
        <v/>
      </c>
    </row>
    <row r="82" ht="14.25" customHeight="1">
      <c r="A82" s="58" t="n">
        <v>44045020</v>
      </c>
      <c r="B82" s="59" t="inlineStr">
        <is>
          <t>Valparaiso</t>
        </is>
      </c>
      <c r="C82" s="59" t="inlineStr">
        <is>
          <t>Area Operativa 04 - Huila-Caquetá</t>
        </is>
      </c>
      <c r="D82" s="73" t="n">
        <v>-75.70447222</v>
      </c>
      <c r="E82" s="73" t="n">
        <v>1.19525</v>
      </c>
      <c r="F82" s="58" t="n">
        <v>270</v>
      </c>
      <c r="G82" s="58" t="n">
        <v>18</v>
      </c>
      <c r="H82" s="58" t="n">
        <v>18860</v>
      </c>
      <c r="I82" s="60" t="inlineStr">
        <is>
          <t>Caquetá</t>
        </is>
      </c>
      <c r="J82" s="60" t="inlineStr">
        <is>
          <t>Valparaíso</t>
        </is>
      </c>
      <c r="K82" s="56" t="n">
        <v>29.06666666666667</v>
      </c>
      <c r="L82" s="56" t="n">
        <v>27.13333333333334</v>
      </c>
      <c r="M82" s="56" t="n">
        <v>27.93333333333334</v>
      </c>
      <c r="N82" s="56" t="n">
        <v>27.8</v>
      </c>
      <c r="O82" s="56" t="n">
        <v>27.9</v>
      </c>
      <c r="P82" s="56" t="n">
        <v>28.06666666666667</v>
      </c>
      <c r="Q82" s="56" t="n">
        <v>27.4</v>
      </c>
      <c r="R82" s="56" t="n">
        <v>27.33333333333333</v>
      </c>
      <c r="S82" s="56" t="n">
        <v>27.06666666666666</v>
      </c>
      <c r="T82" s="56" t="n">
        <v>27.26666666666667</v>
      </c>
      <c r="U82" s="56" t="n">
        <v>26.53333333333333</v>
      </c>
      <c r="V82" s="56" t="n">
        <v>27.66666666666667</v>
      </c>
      <c r="W82" s="56" t="n">
        <v>27.33333333333333</v>
      </c>
      <c r="X82" s="56" t="n">
        <v>25.13333333333334</v>
      </c>
      <c r="Y82" s="56" t="n">
        <v>27.33333333333333</v>
      </c>
      <c r="Z82" s="56" t="n">
        <v>26.6</v>
      </c>
      <c r="AA82" s="56" t="n">
        <v>27.26666666666667</v>
      </c>
      <c r="AB82" s="56" t="n">
        <v>27.4</v>
      </c>
      <c r="AC82" s="56" t="n">
        <v>27.93333333333333</v>
      </c>
      <c r="AD82" s="56" t="n">
        <v>28.06666666666667</v>
      </c>
      <c r="AE82" s="56" t="n">
        <v>28</v>
      </c>
      <c r="AF82" s="56" t="n">
        <v>28.8</v>
      </c>
      <c r="AG82" s="56" t="n">
        <v>28.13333333333334</v>
      </c>
      <c r="AH82" s="56" t="n">
        <v>28.46666666666667</v>
      </c>
      <c r="AI82" s="56" t="n">
        <v>27.93333333333333</v>
      </c>
      <c r="AJ82" s="56" t="n">
        <v>27.73333333333333</v>
      </c>
      <c r="AK82" s="56" t="n">
        <v>26.26666666666667</v>
      </c>
      <c r="AL82" s="56" t="n"/>
      <c r="AM82" s="56" t="n"/>
      <c r="AN82" s="56" t="n"/>
      <c r="AO82" s="56" t="n"/>
      <c r="AP82" s="58">
        <f>COUNTIF(K82:AO82,"&gt;0")</f>
        <v/>
      </c>
      <c r="AQ82" s="71">
        <f>IF(AP82&gt;14,AVERAGE(K82:AO82),"")</f>
        <v/>
      </c>
      <c r="AR82" s="71">
        <f>IFERROR(VLOOKUP(A82,Climatologia_TMED!A:U,9+$E$2,FALSE),"")</f>
        <v/>
      </c>
      <c r="AS82" s="71">
        <f>IF(OR(AQ82="",AR82=""),"",IFERROR(AQ82-AR82,""))</f>
        <v/>
      </c>
    </row>
    <row r="83" ht="14.25" customHeight="1">
      <c r="A83" s="58" t="n">
        <v>15045010</v>
      </c>
      <c r="B83" s="59" t="inlineStr">
        <is>
          <t>Matitas</t>
        </is>
      </c>
      <c r="C83" s="59" t="inlineStr">
        <is>
          <t>Area Operativa 05 - Magdalena-Cesar-Guajira-San Andrés</t>
        </is>
      </c>
      <c r="D83" s="73" t="n">
        <v>-73.03027778000001</v>
      </c>
      <c r="E83" s="73" t="n">
        <v>11.26388889</v>
      </c>
      <c r="F83" s="58" t="n">
        <v>20</v>
      </c>
      <c r="G83" s="58" t="n">
        <v>44</v>
      </c>
      <c r="H83" s="58" t="n">
        <v>44001</v>
      </c>
      <c r="I83" s="60" t="inlineStr">
        <is>
          <t>La Guajira</t>
        </is>
      </c>
      <c r="J83" s="60" t="inlineStr">
        <is>
          <t>Riohacha</t>
        </is>
      </c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  <c r="AC83" s="56" t="n"/>
      <c r="AD83" s="56" t="n"/>
      <c r="AE83" s="56" t="n"/>
      <c r="AF83" s="56" t="n"/>
      <c r="AG83" s="56" t="n"/>
      <c r="AH83" s="56" t="n"/>
      <c r="AI83" s="56" t="n"/>
      <c r="AJ83" s="56" t="n"/>
      <c r="AK83" s="56" t="n"/>
      <c r="AL83" s="56" t="n"/>
      <c r="AM83" s="56" t="n"/>
      <c r="AN83" s="56" t="n"/>
      <c r="AO83" s="56" t="n"/>
      <c r="AP83" s="58">
        <f>COUNTIF(K83:AO83,"&gt;0")</f>
        <v/>
      </c>
      <c r="AQ83" s="71">
        <f>IF(AP83&gt;14,AVERAGE(K83:AO83),"")</f>
        <v/>
      </c>
      <c r="AR83" s="71">
        <f>IFERROR(VLOOKUP(A83,Climatologia_TMED!A:U,9+$E$2,FALSE),"")</f>
        <v/>
      </c>
      <c r="AS83" s="71">
        <f>IF(OR(AQ83="",AR83=""),"",IFERROR(AQ83-AR83,""))</f>
        <v/>
      </c>
    </row>
    <row r="84" ht="14.25" customHeight="1">
      <c r="A84" s="58" t="n">
        <v>15065501</v>
      </c>
      <c r="B84" s="59" t="inlineStr">
        <is>
          <t>La Mina Cerrejon  - Aut</t>
        </is>
      </c>
      <c r="C84" s="59" t="inlineStr">
        <is>
          <t>Area Operativa 05 - Magdalena-Cesar-Guajira-San Andrés</t>
        </is>
      </c>
      <c r="D84" s="73" t="n">
        <v>-72.61594444000001</v>
      </c>
      <c r="E84" s="73" t="n">
        <v>11.13758333</v>
      </c>
      <c r="F84" s="58" t="n">
        <v>80</v>
      </c>
      <c r="G84" s="58" t="n">
        <v>44</v>
      </c>
      <c r="H84" s="58" t="n">
        <v>44035</v>
      </c>
      <c r="I84" s="60" t="inlineStr">
        <is>
          <t>La Guajira</t>
        </is>
      </c>
      <c r="J84" s="60" t="inlineStr">
        <is>
          <t>Albania</t>
        </is>
      </c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  <c r="AA84" s="56" t="n"/>
      <c r="AB84" s="56" t="n"/>
      <c r="AC84" s="56" t="n"/>
      <c r="AD84" s="56" t="n"/>
      <c r="AE84" s="56" t="n"/>
      <c r="AF84" s="56" t="n"/>
      <c r="AG84" s="56" t="n"/>
      <c r="AH84" s="56" t="n"/>
      <c r="AI84" s="56" t="n"/>
      <c r="AJ84" s="56" t="n"/>
      <c r="AK84" s="56" t="n"/>
      <c r="AL84" s="56" t="n"/>
      <c r="AM84" s="56" t="n"/>
      <c r="AN84" s="56" t="n"/>
      <c r="AO84" s="56" t="n"/>
      <c r="AP84" s="58">
        <f>COUNTIF(K84:AO84,"&gt;0")</f>
        <v/>
      </c>
      <c r="AQ84" s="71">
        <f>IF(AP84&gt;14,AVERAGE(K84:AO84),"")</f>
        <v/>
      </c>
      <c r="AR84" s="71">
        <f>IFERROR(VLOOKUP(A84,Climatologia_TMED!A:U,9+$E$2,FALSE),"")</f>
        <v/>
      </c>
      <c r="AS84" s="71">
        <f>IF(OR(AQ84="",AR84=""),"",IFERROR(AQ84-AR84,""))</f>
        <v/>
      </c>
    </row>
    <row r="85" ht="14.25" customHeight="1">
      <c r="A85" s="58" t="n">
        <v>15075030</v>
      </c>
      <c r="B85" s="59" t="inlineStr">
        <is>
          <t>Manaure</t>
        </is>
      </c>
      <c r="C85" s="59" t="inlineStr">
        <is>
          <t>Area Operativa 05 - Magdalena-Cesar-Guajira-San Andrés</t>
        </is>
      </c>
      <c r="D85" s="73" t="n">
        <v>-72.4635</v>
      </c>
      <c r="E85" s="73" t="n">
        <v>11.78105556</v>
      </c>
      <c r="F85" s="58" t="n">
        <v>1</v>
      </c>
      <c r="G85" s="58" t="n">
        <v>44</v>
      </c>
      <c r="H85" s="58" t="n">
        <v>44560</v>
      </c>
      <c r="I85" s="60" t="inlineStr">
        <is>
          <t>La Guajira</t>
        </is>
      </c>
      <c r="J85" s="60" t="inlineStr">
        <is>
          <t>Manaure</t>
        </is>
      </c>
      <c r="K85" s="56" t="n">
        <v>29.2</v>
      </c>
      <c r="L85" s="56" t="n">
        <v>29.85</v>
      </c>
      <c r="M85" s="56" t="n">
        <v>32.5</v>
      </c>
      <c r="N85" s="56" t="n">
        <v>32.05</v>
      </c>
      <c r="O85" s="56" t="n">
        <v>32.55</v>
      </c>
      <c r="P85" s="56" t="n">
        <v>33.40000000000001</v>
      </c>
      <c r="Q85" s="56" t="n">
        <v>32.1</v>
      </c>
      <c r="R85" s="56" t="n">
        <v>32.73333333333333</v>
      </c>
      <c r="S85" s="56" t="n">
        <v>32.1</v>
      </c>
      <c r="T85" s="56" t="n">
        <v>33.05</v>
      </c>
      <c r="U85" s="56" t="n">
        <v>32.35</v>
      </c>
      <c r="V85" s="56" t="n">
        <v>31.25</v>
      </c>
      <c r="W85" s="56" t="n">
        <v>31.1</v>
      </c>
      <c r="X85" s="56" t="n">
        <v>30.7</v>
      </c>
      <c r="Y85" s="56" t="n">
        <v>31.7</v>
      </c>
      <c r="Z85" s="56" t="n">
        <v>31.4</v>
      </c>
      <c r="AA85" s="56" t="n">
        <v>32.55</v>
      </c>
      <c r="AB85" s="56" t="n">
        <v>33.2</v>
      </c>
      <c r="AC85" s="56" t="n">
        <v>31.65</v>
      </c>
      <c r="AD85" s="56" t="n">
        <v>30.3</v>
      </c>
      <c r="AE85" s="56" t="n">
        <v>28.9</v>
      </c>
      <c r="AF85" s="56" t="n">
        <v>29.2</v>
      </c>
      <c r="AG85" s="56" t="n">
        <v>31.75</v>
      </c>
      <c r="AH85" s="56" t="n">
        <v>32.45</v>
      </c>
      <c r="AI85" s="56" t="n">
        <v>32.55</v>
      </c>
      <c r="AJ85" s="56" t="n">
        <v>31.65</v>
      </c>
      <c r="AK85" s="56" t="n">
        <v>31.15</v>
      </c>
      <c r="AL85" s="56" t="n"/>
      <c r="AM85" s="56" t="n"/>
      <c r="AN85" s="56" t="n"/>
      <c r="AO85" s="56" t="n"/>
      <c r="AP85" s="58">
        <f>COUNTIF(K85:AO85,"&gt;0")</f>
        <v/>
      </c>
      <c r="AQ85" s="71">
        <f>IF(AP85&gt;14,AVERAGE(K85:AO85),"")</f>
        <v/>
      </c>
      <c r="AR85" s="71">
        <f>IFERROR(VLOOKUP(A85,Climatologia_TMED!A:U,9+$E$2,FALSE),"")</f>
        <v/>
      </c>
      <c r="AS85" s="71">
        <f>IF(OR(AQ85="",AR85=""),"",IFERROR(AQ85-AR85,""))</f>
        <v/>
      </c>
    </row>
    <row r="86" ht="14.25" customHeight="1">
      <c r="A86" s="58" t="n">
        <v>15085030</v>
      </c>
      <c r="B86" s="59" t="inlineStr">
        <is>
          <t>Escuela Agricola Carraipia  - Aut</t>
        </is>
      </c>
      <c r="C86" s="59" t="inlineStr">
        <is>
          <t>Area Operativa 05 - Magdalena-Cesar-Guajira-San Andrés</t>
        </is>
      </c>
      <c r="D86" s="73" t="n">
        <v>-72.35994444000001</v>
      </c>
      <c r="E86" s="73" t="n">
        <v>11.21675</v>
      </c>
      <c r="F86" s="58" t="n">
        <v>118</v>
      </c>
      <c r="G86" s="58" t="n">
        <v>44</v>
      </c>
      <c r="H86" s="58" t="n">
        <v>44430</v>
      </c>
      <c r="I86" s="60" t="inlineStr">
        <is>
          <t>La Guajira</t>
        </is>
      </c>
      <c r="J86" s="60" t="inlineStr">
        <is>
          <t>Maicao</t>
        </is>
      </c>
      <c r="K86" s="56" t="n">
        <v>30.5</v>
      </c>
      <c r="L86" s="56" t="n">
        <v>29.75</v>
      </c>
      <c r="M86" s="56" t="n">
        <v>30</v>
      </c>
      <c r="N86" s="56" t="n">
        <v>30.25</v>
      </c>
      <c r="O86" s="56" t="n">
        <v>30.55</v>
      </c>
      <c r="P86" s="56" t="n">
        <v>30.85</v>
      </c>
      <c r="Q86" s="56" t="n">
        <v>30.35</v>
      </c>
      <c r="R86" s="56" t="n">
        <v>29.9</v>
      </c>
      <c r="S86" s="56" t="n">
        <v>30.35</v>
      </c>
      <c r="T86" s="56" t="n">
        <v>30.7</v>
      </c>
      <c r="U86" s="56" t="n">
        <v>30.45</v>
      </c>
      <c r="V86" s="56" t="n">
        <v>30.6</v>
      </c>
      <c r="W86" s="56" t="n">
        <v>30.75</v>
      </c>
      <c r="X86" s="56" t="n">
        <v>29.45</v>
      </c>
      <c r="Y86" s="56" t="n">
        <v>30.6</v>
      </c>
      <c r="Z86" s="56" t="n">
        <v>29.8</v>
      </c>
      <c r="AA86" s="56" t="n">
        <v>32.09999999999999</v>
      </c>
      <c r="AB86" s="56" t="n">
        <v/>
      </c>
      <c r="AC86" s="56" t="n">
        <v>31.45</v>
      </c>
      <c r="AD86" s="56" t="n">
        <v>31.8</v>
      </c>
      <c r="AE86" s="56" t="n">
        <v>30.3</v>
      </c>
      <c r="AF86" s="56" t="n">
        <v>28.95</v>
      </c>
      <c r="AG86" s="56" t="n">
        <v>30.15</v>
      </c>
      <c r="AH86" s="56" t="n">
        <v>29.85</v>
      </c>
      <c r="AI86" s="56" t="n">
        <v>29.65</v>
      </c>
      <c r="AJ86" s="56" t="n">
        <v>29.7</v>
      </c>
      <c r="AK86" s="56" t="n">
        <v>29</v>
      </c>
      <c r="AL86" s="56" t="n"/>
      <c r="AM86" s="56" t="n"/>
      <c r="AN86" s="56" t="n"/>
      <c r="AO86" s="56" t="n"/>
      <c r="AP86" s="58">
        <f>COUNTIF(K86:AO86,"&gt;0")</f>
        <v/>
      </c>
      <c r="AQ86" s="71">
        <f>IF(AP86&gt;14,AVERAGE(K86:AO86),"")</f>
        <v/>
      </c>
      <c r="AR86" s="71">
        <f>IFERROR(VLOOKUP(A86,Climatologia_TMED!A:U,9+$E$2,FALSE),"")</f>
        <v/>
      </c>
      <c r="AS86" s="71">
        <f>IF(OR(AQ86="",AR86=""),"",IFERROR(AQ86-AR86,""))</f>
        <v/>
      </c>
    </row>
    <row r="87" ht="14.25" customHeight="1">
      <c r="A87" s="58" t="n">
        <v>25025002</v>
      </c>
      <c r="B87" s="59" t="inlineStr">
        <is>
          <t>Los Alamos - Aut</t>
        </is>
      </c>
      <c r="C87" s="59" t="inlineStr">
        <is>
          <t>Area Operativa 05 - Magdalena-Cesar-Guajira-San Andrés</t>
        </is>
      </c>
      <c r="D87" s="73" t="n">
        <v>-74.27363889</v>
      </c>
      <c r="E87" s="73" t="n">
        <v>9.304055556</v>
      </c>
      <c r="F87" s="58" t="n">
        <v>25</v>
      </c>
      <c r="G87" s="58" t="n">
        <v>47</v>
      </c>
      <c r="H87" s="58" t="n">
        <v>47692</v>
      </c>
      <c r="I87" s="60" t="inlineStr">
        <is>
          <t>Magdalena</t>
        </is>
      </c>
      <c r="J87" s="60" t="inlineStr">
        <is>
          <t>San Sebastián De Buenavista</t>
        </is>
      </c>
      <c r="K87" s="56" t="n">
        <v>29</v>
      </c>
      <c r="L87" s="56" t="n">
        <v>30.7</v>
      </c>
      <c r="M87" s="56" t="n">
        <v>31.2</v>
      </c>
      <c r="N87" s="56" t="n">
        <v>30.45</v>
      </c>
      <c r="O87" s="56" t="n">
        <v>31.15</v>
      </c>
      <c r="P87" s="56" t="n">
        <v>30.15</v>
      </c>
      <c r="Q87" s="56" t="n">
        <v>29.15</v>
      </c>
      <c r="R87" s="56" t="n">
        <v>32</v>
      </c>
      <c r="S87" s="56" t="n">
        <v>32.75</v>
      </c>
      <c r="T87" s="56" t="n">
        <v>31.75</v>
      </c>
      <c r="U87" s="56" t="n">
        <v>30.6</v>
      </c>
      <c r="V87" s="56" t="n">
        <v>31.6</v>
      </c>
      <c r="W87" s="56" t="n">
        <v>30.6</v>
      </c>
      <c r="X87" s="56" t="n">
        <v>29.9</v>
      </c>
      <c r="Y87" s="56" t="n">
        <v>30.3</v>
      </c>
      <c r="Z87" s="56" t="n">
        <v>28.2</v>
      </c>
      <c r="AA87" s="56" t="n">
        <v>32.35</v>
      </c>
      <c r="AB87" s="56" t="n">
        <v/>
      </c>
      <c r="AC87" s="56" t="n">
        <v>27.9</v>
      </c>
      <c r="AD87" s="56" t="n">
        <v>29.95</v>
      </c>
      <c r="AE87" s="56" t="n">
        <v>27</v>
      </c>
      <c r="AF87" s="56" t="n">
        <v>29.15</v>
      </c>
      <c r="AG87" s="56" t="n">
        <v>29.85</v>
      </c>
      <c r="AH87" s="56" t="n">
        <v>29.75</v>
      </c>
      <c r="AI87" s="56" t="n">
        <v/>
      </c>
      <c r="AJ87" s="56" t="n">
        <v/>
      </c>
      <c r="AK87" s="56" t="n">
        <v/>
      </c>
      <c r="AL87" s="56" t="n"/>
      <c r="AM87" s="56" t="n"/>
      <c r="AN87" s="56" t="n"/>
      <c r="AO87" s="56" t="n"/>
      <c r="AP87" s="58">
        <f>COUNTIF(K87:AO87,"&gt;0")</f>
        <v/>
      </c>
      <c r="AQ87" s="71">
        <f>IF(AP87&gt;14,AVERAGE(K87:AO87),"")</f>
        <v/>
      </c>
      <c r="AR87" s="71">
        <f>IFERROR(VLOOKUP(A87,Climatologia_TMED!A:U,9+$E$2,FALSE),"")</f>
        <v/>
      </c>
      <c r="AS87" s="71">
        <f>IF(OR(AQ87="",AR87=""),"",IFERROR(AQ87-AR87,""))</f>
        <v/>
      </c>
    </row>
    <row r="88" ht="14.25" customHeight="1">
      <c r="A88" s="58" t="n">
        <v>28015070</v>
      </c>
      <c r="B88" s="59" t="inlineStr">
        <is>
          <t>Urumita Aut</t>
        </is>
      </c>
      <c r="C88" s="59" t="inlineStr">
        <is>
          <t>Area Operativa 05 - Magdalena-Cesar-Guajira-San Andrés</t>
        </is>
      </c>
      <c r="D88" s="73" t="n">
        <v>-73.01638889</v>
      </c>
      <c r="E88" s="73" t="n">
        <v>10.56638889</v>
      </c>
      <c r="F88" s="58" t="n">
        <v>255</v>
      </c>
      <c r="G88" s="58" t="n">
        <v>44</v>
      </c>
      <c r="H88" s="58" t="n">
        <v>44855</v>
      </c>
      <c r="I88" s="60" t="inlineStr">
        <is>
          <t>La Guajira</t>
        </is>
      </c>
      <c r="J88" s="60" t="inlineStr">
        <is>
          <t>Urumita</t>
        </is>
      </c>
      <c r="K88" s="56" t="n">
        <v>26.7</v>
      </c>
      <c r="L88" s="56" t="n">
        <v>29.65</v>
      </c>
      <c r="M88" s="56" t="n">
        <v>29.65</v>
      </c>
      <c r="N88" s="56" t="n">
        <v>31.9</v>
      </c>
      <c r="O88" s="56" t="n">
        <v>30.65</v>
      </c>
      <c r="P88" s="56" t="n">
        <v>27.8</v>
      </c>
      <c r="Q88" s="56" t="n">
        <v>30.3</v>
      </c>
      <c r="R88" s="56" t="n">
        <v>31.75</v>
      </c>
      <c r="S88" s="56" t="n">
        <v>32</v>
      </c>
      <c r="T88" s="56" t="n">
        <v>30.2</v>
      </c>
      <c r="U88" s="56" t="n">
        <v>29.8</v>
      </c>
      <c r="V88" s="56" t="n">
        <v>30.85</v>
      </c>
      <c r="W88" s="56" t="n">
        <v>30.5</v>
      </c>
      <c r="X88" s="56" t="n">
        <v>29.55</v>
      </c>
      <c r="Y88" s="56" t="n">
        <v>29.65</v>
      </c>
      <c r="Z88" s="56" t="n">
        <v>31.05</v>
      </c>
      <c r="AA88" s="56" t="n">
        <v>31.8</v>
      </c>
      <c r="AB88" s="56" t="n">
        <v>31.35</v>
      </c>
      <c r="AC88" s="56" t="n">
        <v>27.55</v>
      </c>
      <c r="AD88" s="56" t="n">
        <v>29</v>
      </c>
      <c r="AE88" s="56" t="n">
        <v>25.8</v>
      </c>
      <c r="AF88" s="56" t="n">
        <v>29.45</v>
      </c>
      <c r="AG88" s="56" t="n">
        <v>31.4</v>
      </c>
      <c r="AH88" s="56" t="n">
        <v>29.85</v>
      </c>
      <c r="AI88" s="56" t="n">
        <v>25.45</v>
      </c>
      <c r="AJ88" s="56" t="n">
        <v>25.7</v>
      </c>
      <c r="AK88" s="56" t="n">
        <v>26.9</v>
      </c>
      <c r="AL88" s="56" t="n"/>
      <c r="AM88" s="56" t="n"/>
      <c r="AN88" s="56" t="n"/>
      <c r="AO88" s="56" t="n"/>
      <c r="AP88" s="58">
        <f>COUNTIF(K88:AO88,"&gt;0")</f>
        <v/>
      </c>
      <c r="AQ88" s="71">
        <f>IF(AP88&gt;14,AVERAGE(K88:AO88),"")</f>
        <v/>
      </c>
      <c r="AR88" s="71">
        <f>IFERROR(VLOOKUP(A88,Climatologia_TMED!A:U,9+$E$2,FALSE),"")</f>
        <v/>
      </c>
      <c r="AS88" s="71">
        <f>IF(OR(AQ88="",AR88=""),"",IFERROR(AQ88-AR88,""))</f>
        <v/>
      </c>
    </row>
    <row r="89" ht="14.25" customHeight="1">
      <c r="A89" s="58" t="n">
        <v>28035010</v>
      </c>
      <c r="B89" s="59" t="inlineStr">
        <is>
          <t>Villa Rosa</t>
        </is>
      </c>
      <c r="C89" s="59" t="inlineStr">
        <is>
          <t>Area Operativa 05 - Magdalena-Cesar-Guajira-San Andrés</t>
        </is>
      </c>
      <c r="D89" s="73" t="n">
        <v>-73.54738888999999</v>
      </c>
      <c r="E89" s="73" t="n">
        <v>10.19066667</v>
      </c>
      <c r="F89" s="58" t="n">
        <v>70</v>
      </c>
      <c r="G89" s="58" t="n">
        <v>20</v>
      </c>
      <c r="H89" s="58" t="n">
        <v>20001</v>
      </c>
      <c r="I89" s="60" t="inlineStr">
        <is>
          <t>Cesar</t>
        </is>
      </c>
      <c r="J89" s="60" t="inlineStr">
        <is>
          <t>Valledupar</t>
        </is>
      </c>
      <c r="K89" s="56" t="n">
        <v>26.8</v>
      </c>
      <c r="L89" s="56" t="n">
        <v/>
      </c>
      <c r="M89" s="56" t="n">
        <v>31.05</v>
      </c>
      <c r="N89" s="56" t="n">
        <v>31.5</v>
      </c>
      <c r="O89" s="56" t="n">
        <v>31.05</v>
      </c>
      <c r="P89" s="56" t="n">
        <v>28.7</v>
      </c>
      <c r="Q89" s="56" t="n">
        <v>29.4</v>
      </c>
      <c r="R89" s="56" t="n">
        <v>32.75</v>
      </c>
      <c r="S89" s="56" t="n">
        <v>34.55</v>
      </c>
      <c r="T89" s="56" t="n">
        <v>32.35</v>
      </c>
      <c r="U89" s="56" t="n">
        <v/>
      </c>
      <c r="V89" s="56" t="n">
        <v>33.09999999999999</v>
      </c>
      <c r="W89" s="56" t="n">
        <v/>
      </c>
      <c r="X89" s="56" t="n">
        <v>33.09999999999999</v>
      </c>
      <c r="Y89" s="56" t="n">
        <v>30.2</v>
      </c>
      <c r="Z89" s="56" t="n">
        <v>29.55</v>
      </c>
      <c r="AA89" s="56" t="n">
        <v>32.75</v>
      </c>
      <c r="AB89" s="56" t="n">
        <v>32.84999999999999</v>
      </c>
      <c r="AC89" s="56" t="n">
        <v>26.8</v>
      </c>
      <c r="AD89" s="56" t="n">
        <v>27.7</v>
      </c>
      <c r="AE89" s="56" t="n">
        <v>30.25</v>
      </c>
      <c r="AF89" s="56" t="n">
        <v>29.65</v>
      </c>
      <c r="AG89" s="56" t="n">
        <v>29</v>
      </c>
      <c r="AH89" s="56" t="n">
        <v/>
      </c>
      <c r="AI89" s="56" t="n">
        <v>29.2</v>
      </c>
      <c r="AJ89" s="56" t="n">
        <v>27.85</v>
      </c>
      <c r="AK89" s="56" t="n">
        <v>26.7</v>
      </c>
      <c r="AL89" s="56" t="n"/>
      <c r="AM89" s="56" t="n"/>
      <c r="AN89" s="56" t="n"/>
      <c r="AO89" s="56" t="n"/>
      <c r="AP89" s="58">
        <f>COUNTIF(K89:AO89,"&gt;0")</f>
        <v/>
      </c>
      <c r="AQ89" s="71">
        <f>IF(AP89&gt;14,AVERAGE(K89:AO89),"")</f>
        <v/>
      </c>
      <c r="AR89" s="71">
        <f>IFERROR(VLOOKUP(A89,Climatologia_TMED!A:U,9+$E$2,FALSE),"")</f>
        <v/>
      </c>
      <c r="AS89" s="71">
        <f>IF(OR(AQ89="",AR89=""),"",IFERROR(AQ89-AR89,""))</f>
        <v/>
      </c>
    </row>
    <row r="90" ht="14.25" customHeight="1">
      <c r="A90" s="58" t="n">
        <v>28035020</v>
      </c>
      <c r="B90" s="59" t="inlineStr">
        <is>
          <t>El Callao</t>
        </is>
      </c>
      <c r="C90" s="59" t="inlineStr">
        <is>
          <t>Area Operativa 05 - Magdalena-Cesar-Guajira-San Andrés</t>
        </is>
      </c>
      <c r="D90" s="73" t="n">
        <v>-73.31944444</v>
      </c>
      <c r="E90" s="73" t="n">
        <v>10.36305556</v>
      </c>
      <c r="F90" s="58" t="n">
        <v>110</v>
      </c>
      <c r="G90" s="58" t="n">
        <v>20</v>
      </c>
      <c r="H90" s="58" t="n">
        <v>20001</v>
      </c>
      <c r="I90" s="60" t="inlineStr">
        <is>
          <t>Cesar</t>
        </is>
      </c>
      <c r="J90" s="60" t="inlineStr">
        <is>
          <t>Valledupar</t>
        </is>
      </c>
      <c r="K90" s="56" t="n">
        <v>29.5</v>
      </c>
      <c r="L90" s="56" t="n">
        <v>30.05</v>
      </c>
      <c r="M90" s="56" t="n">
        <v>30.8</v>
      </c>
      <c r="N90" s="56" t="n">
        <v>32.09999999999999</v>
      </c>
      <c r="O90" s="56" t="n">
        <v>32</v>
      </c>
      <c r="P90" s="56" t="n">
        <v>31.9</v>
      </c>
      <c r="Q90" s="56" t="n">
        <v>29.8</v>
      </c>
      <c r="R90" s="56" t="n">
        <v>32.9</v>
      </c>
      <c r="S90" s="56" t="n">
        <v>33.95</v>
      </c>
      <c r="T90" s="56" t="n">
        <v>32.15</v>
      </c>
      <c r="U90" s="56" t="n">
        <v>32.5</v>
      </c>
      <c r="V90" s="56" t="n">
        <v>32.5</v>
      </c>
      <c r="W90" s="56" t="n">
        <v>33.45</v>
      </c>
      <c r="X90" s="56" t="n">
        <v>31.9</v>
      </c>
      <c r="Y90" s="56" t="n">
        <v>30.55</v>
      </c>
      <c r="Z90" s="56" t="n">
        <v>32.8</v>
      </c>
      <c r="AA90" s="56" t="n">
        <v>33.7</v>
      </c>
      <c r="AB90" s="56" t="n">
        <v>34.2</v>
      </c>
      <c r="AC90" s="56" t="n">
        <v>31.25</v>
      </c>
      <c r="AD90" s="56" t="n">
        <v>30.15</v>
      </c>
      <c r="AE90" s="56" t="n">
        <v>31.55</v>
      </c>
      <c r="AF90" s="56" t="n">
        <v>32.3</v>
      </c>
      <c r="AG90" s="56" t="n">
        <v>32.35</v>
      </c>
      <c r="AH90" s="56" t="n">
        <v>32.6</v>
      </c>
      <c r="AI90" s="56" t="n">
        <v>30.25</v>
      </c>
      <c r="AJ90" s="56" t="n">
        <v>29.95</v>
      </c>
      <c r="AK90" s="56" t="n">
        <v>26.5</v>
      </c>
      <c r="AL90" s="56" t="n"/>
      <c r="AM90" s="56" t="n"/>
      <c r="AN90" s="56" t="n"/>
      <c r="AO90" s="56" t="n"/>
      <c r="AP90" s="58">
        <f>COUNTIF(K90:AO90,"&gt;0")</f>
        <v/>
      </c>
      <c r="AQ90" s="71">
        <f>IF(AP90&gt;14,AVERAGE(K90:AO90),"")</f>
        <v/>
      </c>
      <c r="AR90" s="71">
        <f>IFERROR(VLOOKUP(A90,Climatologia_TMED!A:U,9+$E$2,FALSE),"")</f>
        <v/>
      </c>
      <c r="AS90" s="71">
        <f>IF(OR(AQ90="",AR90=""),"",IFERROR(AQ90-AR90,""))</f>
        <v/>
      </c>
    </row>
    <row r="91" ht="14.25" customHeight="1">
      <c r="A91" s="58" t="n">
        <v>25025330</v>
      </c>
      <c r="B91" s="59" t="inlineStr">
        <is>
          <t>Colegio Agropecuario Pailitas</t>
        </is>
      </c>
      <c r="C91" s="59" t="inlineStr">
        <is>
          <t>Area Operativa 05 - Magdalena-Cesar-Guajira-San Andrés</t>
        </is>
      </c>
      <c r="D91" s="73" t="n">
        <v>-73.63008333000001</v>
      </c>
      <c r="E91" s="73" t="n">
        <v>8.954222222</v>
      </c>
      <c r="F91" s="58" t="n">
        <v>50</v>
      </c>
      <c r="G91" s="58" t="n">
        <v>20</v>
      </c>
      <c r="H91" s="58" t="n">
        <v>20517</v>
      </c>
      <c r="I91" s="60" t="inlineStr">
        <is>
          <t>Cesar</t>
        </is>
      </c>
      <c r="J91" s="60" t="inlineStr">
        <is>
          <t>Pailitas</t>
        </is>
      </c>
      <c r="K91" s="56" t="n">
        <v>30.55</v>
      </c>
      <c r="L91" s="56" t="n">
        <v>30.875</v>
      </c>
      <c r="M91" s="56" t="n">
        <v>30.25</v>
      </c>
      <c r="N91" s="56" t="n">
        <v>28.45</v>
      </c>
      <c r="O91" s="56" t="n">
        <v>31.45</v>
      </c>
      <c r="P91" s="56" t="n">
        <v>32.09999999999999</v>
      </c>
      <c r="Q91" s="56" t="n">
        <v>31.05</v>
      </c>
      <c r="R91" s="56" t="n">
        <v>32.65000000000001</v>
      </c>
      <c r="S91" s="56" t="n">
        <v>34</v>
      </c>
      <c r="T91" s="56" t="n">
        <v>33.1</v>
      </c>
      <c r="U91" s="56" t="n">
        <v>31.05</v>
      </c>
      <c r="V91" s="56" t="n">
        <v>34.3</v>
      </c>
      <c r="W91" s="56" t="n">
        <v>31.55</v>
      </c>
      <c r="X91" s="56" t="n">
        <v>28.65</v>
      </c>
      <c r="Y91" s="56" t="n">
        <v>31.4</v>
      </c>
      <c r="Z91" s="56" t="n">
        <v>28.6</v>
      </c>
      <c r="AA91" s="56" t="n">
        <v>27.95</v>
      </c>
      <c r="AB91" s="56" t="n">
        <v>30.375</v>
      </c>
      <c r="AC91" s="56" t="n">
        <v>31.1</v>
      </c>
      <c r="AD91" s="56" t="n">
        <v>27.75</v>
      </c>
      <c r="AE91" s="56" t="n">
        <v>29.05</v>
      </c>
      <c r="AF91" s="56" t="n">
        <v>30.65</v>
      </c>
      <c r="AG91" s="56" t="n">
        <v>31.7</v>
      </c>
      <c r="AH91" s="56" t="n">
        <v>29.35</v>
      </c>
      <c r="AI91" s="56" t="n">
        <v>27.8</v>
      </c>
      <c r="AJ91" s="56" t="n">
        <v>27.4</v>
      </c>
      <c r="AK91" s="56" t="n">
        <v>27.15</v>
      </c>
      <c r="AL91" s="56" t="n"/>
      <c r="AM91" s="56" t="n"/>
      <c r="AN91" s="56" t="n"/>
      <c r="AO91" s="56" t="n"/>
      <c r="AP91" s="58">
        <f>COUNTIF(K91:AO91,"&gt;0")</f>
        <v/>
      </c>
      <c r="AQ91" s="71">
        <f>IF(AP91&gt;14,AVERAGE(K91:AO91),"")</f>
        <v/>
      </c>
      <c r="AR91" s="71">
        <f>IFERROR(VLOOKUP(A91,Climatologia_TMED!A:U,9+$E$2,FALSE),"")</f>
        <v/>
      </c>
      <c r="AS91" s="71">
        <f>IF(OR(AQ91="",AR91=""),"",IFERROR(AQ91-AR91,""))</f>
        <v/>
      </c>
    </row>
    <row r="92" ht="14.25" customHeight="1">
      <c r="A92" s="58" t="n">
        <v>23125100</v>
      </c>
      <c r="B92" s="59" t="inlineStr">
        <is>
          <t>Buenavista</t>
        </is>
      </c>
      <c r="C92" s="59" t="inlineStr">
        <is>
          <t>Area Operativa 06 - Boyacá-Casanare-Vichada</t>
        </is>
      </c>
      <c r="D92" s="73" t="n">
        <v>-73.94311111</v>
      </c>
      <c r="E92" s="73" t="n">
        <v>5.514916667</v>
      </c>
      <c r="F92" s="58" t="n">
        <v>2200</v>
      </c>
      <c r="G92" s="58" t="n">
        <v>15</v>
      </c>
      <c r="H92" s="58" t="n">
        <v>15109</v>
      </c>
      <c r="I92" s="60" t="inlineStr">
        <is>
          <t>Boyacá</t>
        </is>
      </c>
      <c r="J92" s="60" t="inlineStr">
        <is>
          <t>Buenavista</t>
        </is>
      </c>
      <c r="K92" s="56" t="n">
        <v>16.45</v>
      </c>
      <c r="L92" s="56" t="n">
        <v>17.95</v>
      </c>
      <c r="M92" s="56" t="n">
        <v>18.55</v>
      </c>
      <c r="N92" s="56" t="n">
        <v>17.2</v>
      </c>
      <c r="O92" s="56" t="n">
        <v>18.275</v>
      </c>
      <c r="P92" s="56" t="n">
        <v>19.3</v>
      </c>
      <c r="Q92" s="56" t="n">
        <v>18.025</v>
      </c>
      <c r="R92" s="56" t="n">
        <v>19.75</v>
      </c>
      <c r="S92" s="56" t="n">
        <v>19.1</v>
      </c>
      <c r="T92" s="56" t="n">
        <v>19.15</v>
      </c>
      <c r="U92" s="56" t="n">
        <v>18.55</v>
      </c>
      <c r="V92" s="56" t="n">
        <v>17.9</v>
      </c>
      <c r="W92" s="56" t="n">
        <v>18.1</v>
      </c>
      <c r="X92" s="56" t="n">
        <v>19.5</v>
      </c>
      <c r="Y92" s="56" t="n">
        <v>17.25</v>
      </c>
      <c r="Z92" s="56" t="n">
        <v>18.95</v>
      </c>
      <c r="AA92" s="56" t="n">
        <v>19.6</v>
      </c>
      <c r="AB92" s="56" t="n">
        <v>19.7</v>
      </c>
      <c r="AC92" s="56" t="n">
        <v>18.15</v>
      </c>
      <c r="AD92" s="56" t="n">
        <v>17.55</v>
      </c>
      <c r="AE92" s="56" t="n">
        <v>17.85</v>
      </c>
      <c r="AF92" s="56" t="n">
        <v>17.95</v>
      </c>
      <c r="AG92" s="56" t="n">
        <v>17.05</v>
      </c>
      <c r="AH92" s="56" t="n">
        <v>17.45</v>
      </c>
      <c r="AI92" s="56" t="n">
        <v>16.35</v>
      </c>
      <c r="AJ92" s="56" t="n">
        <v>16.4</v>
      </c>
      <c r="AK92" s="56" t="n">
        <v>16.4</v>
      </c>
      <c r="AL92" s="56" t="n"/>
      <c r="AM92" s="56" t="n"/>
      <c r="AN92" s="56" t="n"/>
      <c r="AO92" s="56" t="n"/>
      <c r="AP92" s="58">
        <f>COUNTIF(K92:AO92,"&gt;0")</f>
        <v/>
      </c>
      <c r="AQ92" s="71">
        <f>IF(AP92&gt;14,AVERAGE(K92:AO92),"")</f>
        <v/>
      </c>
      <c r="AR92" s="71">
        <f>IFERROR(VLOOKUP(A92,Climatologia_TMED!A:U,9+$E$2,FALSE),"")</f>
        <v/>
      </c>
      <c r="AS92" s="71">
        <f>IF(OR(AQ92="",AR92=""),"",IFERROR(AQ92-AR92,""))</f>
        <v/>
      </c>
    </row>
    <row r="93" ht="14.25" customHeight="1">
      <c r="A93" s="58" t="n">
        <v>23125140</v>
      </c>
      <c r="B93" s="59" t="inlineStr">
        <is>
          <t>Aeropuerto Furatena  - Aut</t>
        </is>
      </c>
      <c r="C93" s="59" t="inlineStr">
        <is>
          <t>Area Operativa 06 - Boyacá-Casanare-Vichada</t>
        </is>
      </c>
      <c r="D93" s="73" t="n">
        <v>-74.18241666999999</v>
      </c>
      <c r="E93" s="73" t="n">
        <v>5.520833333</v>
      </c>
      <c r="F93" s="58" t="n">
        <v>1250</v>
      </c>
      <c r="G93" s="58" t="n">
        <v>15</v>
      </c>
      <c r="H93" s="58" t="n">
        <v>15580</v>
      </c>
      <c r="I93" s="60" t="inlineStr">
        <is>
          <t>Boyacá</t>
        </is>
      </c>
      <c r="J93" s="60" t="inlineStr">
        <is>
          <t>Quípama</t>
        </is>
      </c>
      <c r="K93" s="56" t="n">
        <v>24.46666666666667</v>
      </c>
      <c r="L93" s="56" t="n">
        <v>24.8</v>
      </c>
      <c r="M93" s="56" t="n">
        <v>25.4</v>
      </c>
      <c r="N93" s="56" t="n">
        <v>25</v>
      </c>
      <c r="O93" s="56" t="n">
        <v>25.86666666666666</v>
      </c>
      <c r="P93" s="56" t="n">
        <v>25.06666666666667</v>
      </c>
      <c r="Q93" s="56" t="n">
        <v>23.33333333333333</v>
      </c>
      <c r="R93" s="56" t="n">
        <v>24.46666666666667</v>
      </c>
      <c r="S93" s="56" t="n">
        <v>25.26666666666667</v>
      </c>
      <c r="T93" s="56" t="n">
        <v>25.46666666666667</v>
      </c>
      <c r="U93" s="56" t="n">
        <v>25.86666666666666</v>
      </c>
      <c r="V93" s="56" t="n">
        <v>25.73333333333333</v>
      </c>
      <c r="W93" s="56" t="n">
        <v>25.4</v>
      </c>
      <c r="X93" s="56" t="n">
        <v>26</v>
      </c>
      <c r="Y93" s="56" t="n">
        <v>26.4</v>
      </c>
      <c r="Z93" s="56" t="n">
        <v>24.6</v>
      </c>
      <c r="AA93" s="56" t="n">
        <v>26.33333333333333</v>
      </c>
      <c r="AB93" s="56" t="n">
        <v>26.6</v>
      </c>
      <c r="AC93" s="56" t="n">
        <v>25</v>
      </c>
      <c r="AD93" s="56" t="n">
        <v>26.33333333333333</v>
      </c>
      <c r="AE93" s="56" t="n">
        <v>25</v>
      </c>
      <c r="AF93" s="56" t="n">
        <v>25.66666666666667</v>
      </c>
      <c r="AG93" s="56" t="n">
        <v>23.2</v>
      </c>
      <c r="AH93" s="56" t="n">
        <v>23.33333333333333</v>
      </c>
      <c r="AI93" s="56" t="n">
        <v>23.46666666666667</v>
      </c>
      <c r="AJ93" s="56" t="n">
        <v>22.93333333333334</v>
      </c>
      <c r="AK93" s="56" t="n">
        <v>22.46666666666667</v>
      </c>
      <c r="AL93" s="56" t="n"/>
      <c r="AM93" s="56" t="n"/>
      <c r="AN93" s="56" t="n"/>
      <c r="AO93" s="56" t="n"/>
      <c r="AP93" s="58">
        <f>COUNTIF(K93:AO93,"&gt;0")</f>
        <v/>
      </c>
      <c r="AQ93" s="71">
        <f>IF(AP93&gt;14,AVERAGE(K93:AO93),"")</f>
        <v/>
      </c>
      <c r="AR93" s="71">
        <f>IFERROR(VLOOKUP(A93,Climatologia_TMED!A:U,9+$E$2,FALSE),"")</f>
        <v/>
      </c>
      <c r="AS93" s="71">
        <f>IF(OR(AQ93="",AR93=""),"",IFERROR(AQ93-AR93,""))</f>
        <v/>
      </c>
    </row>
    <row r="94" ht="14.25" customHeight="1">
      <c r="A94" s="58" t="n">
        <v>24015090</v>
      </c>
      <c r="B94" s="59" t="inlineStr">
        <is>
          <t>Institucion Agricola Santa Sofia</t>
        </is>
      </c>
      <c r="C94" s="59" t="inlineStr">
        <is>
          <t>Area Operativa 06 - Boyacá-Casanare-Vichada</t>
        </is>
      </c>
      <c r="D94" s="73" t="n">
        <v>-73.60227777999999</v>
      </c>
      <c r="E94" s="73" t="n">
        <v>5.710666667</v>
      </c>
      <c r="F94" s="58" t="n">
        <v>2300</v>
      </c>
      <c r="G94" s="58" t="n">
        <v>15</v>
      </c>
      <c r="H94" s="58" t="n">
        <v>15696</v>
      </c>
      <c r="I94" s="60" t="inlineStr">
        <is>
          <t>Boyacá</t>
        </is>
      </c>
      <c r="J94" s="60" t="inlineStr">
        <is>
          <t>Santa Sofía</t>
        </is>
      </c>
      <c r="K94" s="56" t="n">
        <v>18.05</v>
      </c>
      <c r="L94" s="56" t="n">
        <v>17.45</v>
      </c>
      <c r="M94" s="56" t="n">
        <v>18</v>
      </c>
      <c r="N94" s="56" t="n">
        <v/>
      </c>
      <c r="O94" s="56" t="n">
        <v/>
      </c>
      <c r="P94" s="56" t="n">
        <v/>
      </c>
      <c r="Q94" s="56" t="n">
        <v>17.8</v>
      </c>
      <c r="R94" s="56" t="n">
        <v>18</v>
      </c>
      <c r="S94" s="56" t="n">
        <v>17.75</v>
      </c>
      <c r="T94" s="56" t="n">
        <v>17.1</v>
      </c>
      <c r="U94" s="56" t="n">
        <v>18.45</v>
      </c>
      <c r="V94" s="56" t="n">
        <v>17.3</v>
      </c>
      <c r="W94" s="56" t="n">
        <v>17.5</v>
      </c>
      <c r="X94" s="56" t="n">
        <v>18.5</v>
      </c>
      <c r="Y94" s="56" t="n">
        <v>18.3</v>
      </c>
      <c r="Z94" s="56" t="n">
        <v>18</v>
      </c>
      <c r="AA94" s="56" t="n">
        <v>17.7</v>
      </c>
      <c r="AB94" s="56" t="n">
        <v>17.5</v>
      </c>
      <c r="AC94" s="56" t="n">
        <v>18.35</v>
      </c>
      <c r="AD94" s="56" t="n">
        <v>17.65</v>
      </c>
      <c r="AE94" s="56" t="n">
        <v>17.2</v>
      </c>
      <c r="AF94" s="56" t="n">
        <v>18.4</v>
      </c>
      <c r="AG94" s="56" t="n">
        <v>17.95</v>
      </c>
      <c r="AH94" s="56" t="n">
        <v>17.6</v>
      </c>
      <c r="AI94" s="56" t="n">
        <v>17.45</v>
      </c>
      <c r="AJ94" s="56" t="n">
        <v>17.85</v>
      </c>
      <c r="AK94" s="56" t="n">
        <v>16.85</v>
      </c>
      <c r="AL94" s="56" t="n"/>
      <c r="AM94" s="56" t="n"/>
      <c r="AN94" s="56" t="n"/>
      <c r="AO94" s="56" t="n"/>
      <c r="AP94" s="58">
        <f>COUNTIF(K94:AO94,"&gt;0")</f>
        <v/>
      </c>
      <c r="AQ94" s="71">
        <f>IF(AP94&gt;14,AVERAGE(K94:AO94),"")</f>
        <v/>
      </c>
      <c r="AR94" s="71">
        <f>IFERROR(VLOOKUP(A94,Climatologia_TMED!A:U,9+$E$2,FALSE),"")</f>
        <v/>
      </c>
      <c r="AS94" s="71">
        <f>IF(OR(AQ94="",AR94=""),"",IFERROR(AQ94-AR94,""))</f>
        <v/>
      </c>
    </row>
    <row r="95" ht="14.25" customHeight="1">
      <c r="A95" s="58" t="n">
        <v>24015220</v>
      </c>
      <c r="B95" s="59" t="inlineStr">
        <is>
          <t>Villa Carmen</t>
        </is>
      </c>
      <c r="C95" s="59" t="inlineStr">
        <is>
          <t>Area Operativa 06 - Boyacá-Casanare-Vichada</t>
        </is>
      </c>
      <c r="D95" s="73" t="n">
        <v>-73.49577778</v>
      </c>
      <c r="E95" s="73" t="n">
        <v>5.509388889</v>
      </c>
      <c r="F95" s="58" t="n">
        <v>2600</v>
      </c>
      <c r="G95" s="58" t="n">
        <v>15</v>
      </c>
      <c r="H95" s="58" t="n">
        <v>15646</v>
      </c>
      <c r="I95" s="60" t="inlineStr">
        <is>
          <t>Boyacá</t>
        </is>
      </c>
      <c r="J95" s="60" t="inlineStr">
        <is>
          <t>Samacá</t>
        </is>
      </c>
      <c r="K95" s="56" t="n">
        <v>15</v>
      </c>
      <c r="L95" s="56" t="n">
        <v>14.6</v>
      </c>
      <c r="M95" s="56" t="n">
        <v>13.35</v>
      </c>
      <c r="N95" s="56" t="n">
        <v>14.95</v>
      </c>
      <c r="O95" s="56" t="n">
        <v>14.45</v>
      </c>
      <c r="P95" s="56" t="n">
        <v>14.15</v>
      </c>
      <c r="Q95" s="56" t="n">
        <v>13.8</v>
      </c>
      <c r="R95" s="56" t="n">
        <v>14.75</v>
      </c>
      <c r="S95" s="56" t="n">
        <v>15.65</v>
      </c>
      <c r="T95" s="56" t="n">
        <v>14.55</v>
      </c>
      <c r="U95" s="56" t="n">
        <v>14.6</v>
      </c>
      <c r="V95" s="56" t="n">
        <v>16.2</v>
      </c>
      <c r="W95" s="56" t="n">
        <v>14.5</v>
      </c>
      <c r="X95" s="56" t="n">
        <v>14.6</v>
      </c>
      <c r="Y95" s="56" t="n">
        <v>15.95</v>
      </c>
      <c r="Z95" s="56" t="n">
        <v>14.45</v>
      </c>
      <c r="AA95" s="56" t="n">
        <v>14.7</v>
      </c>
      <c r="AB95" s="56" t="n">
        <v>14.3</v>
      </c>
      <c r="AC95" s="56" t="n">
        <v>14.7</v>
      </c>
      <c r="AD95" s="56" t="n">
        <v>15.35</v>
      </c>
      <c r="AE95" s="56" t="n">
        <v>15.55</v>
      </c>
      <c r="AF95" s="56" t="n">
        <v>17</v>
      </c>
      <c r="AG95" s="56" t="n">
        <v>16.5</v>
      </c>
      <c r="AH95" s="56" t="n">
        <v>15.75</v>
      </c>
      <c r="AI95" s="56" t="n">
        <v>15.35</v>
      </c>
      <c r="AJ95" s="56" t="n">
        <v>15.05</v>
      </c>
      <c r="AK95" s="56" t="n">
        <v>16.15</v>
      </c>
      <c r="AL95" s="56" t="n"/>
      <c r="AM95" s="56" t="n"/>
      <c r="AN95" s="56" t="n"/>
      <c r="AO95" s="56" t="n"/>
      <c r="AP95" s="58">
        <f>COUNTIF(K95:AO95,"&gt;0")</f>
        <v/>
      </c>
      <c r="AQ95" s="71">
        <f>IF(AP95&gt;14,AVERAGE(K95:AO95),"")</f>
        <v/>
      </c>
      <c r="AR95" s="71">
        <f>IFERROR(VLOOKUP(A95,Climatologia_TMED!A:U,9+$E$2,FALSE),"")</f>
        <v/>
      </c>
      <c r="AS95" s="71">
        <f>IF(OR(AQ95="",AR95=""),"",IFERROR(AQ95-AR95,""))</f>
        <v/>
      </c>
    </row>
    <row r="96" ht="14.25" customHeight="1">
      <c r="A96" s="58" t="n">
        <v>24015300</v>
      </c>
      <c r="B96" s="59" t="inlineStr">
        <is>
          <t>Villa De Leiva  - Aut</t>
        </is>
      </c>
      <c r="C96" s="59" t="inlineStr">
        <is>
          <t>Area Operativa 06 - Boyacá-Casanare-Vichada</t>
        </is>
      </c>
      <c r="D96" s="73" t="n">
        <v>-73.51774</v>
      </c>
      <c r="E96" s="73" t="n">
        <v>5.64326</v>
      </c>
      <c r="F96" s="58" t="n">
        <v>2174</v>
      </c>
      <c r="G96" s="58" t="n">
        <v>15</v>
      </c>
      <c r="H96" s="58" t="n">
        <v>15407</v>
      </c>
      <c r="I96" s="60" t="inlineStr">
        <is>
          <t>Boyacá</t>
        </is>
      </c>
      <c r="J96" s="60" t="inlineStr">
        <is>
          <t>Villa De Leyva</t>
        </is>
      </c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  <c r="AA96" s="56" t="n"/>
      <c r="AB96" s="56" t="n"/>
      <c r="AC96" s="56" t="n"/>
      <c r="AD96" s="56" t="n"/>
      <c r="AE96" s="56" t="n"/>
      <c r="AF96" s="56" t="n"/>
      <c r="AG96" s="56" t="n"/>
      <c r="AH96" s="56" t="n"/>
      <c r="AI96" s="56" t="n"/>
      <c r="AJ96" s="56" t="n"/>
      <c r="AK96" s="56" t="n"/>
      <c r="AL96" s="56" t="n"/>
      <c r="AM96" s="56" t="n"/>
      <c r="AN96" s="56" t="n"/>
      <c r="AO96" s="56" t="n"/>
      <c r="AP96" s="58">
        <f>COUNTIF(K96:AO96,"&gt;0")</f>
        <v/>
      </c>
      <c r="AQ96" s="71">
        <f>IF(AP96&gt;14,AVERAGE(K96:AO96),"")</f>
        <v/>
      </c>
      <c r="AR96" s="71">
        <f>IFERROR(VLOOKUP(A96,Climatologia_TMED!A:U,9+$E$2,FALSE),"")</f>
        <v/>
      </c>
      <c r="AS96" s="71">
        <f>IF(OR(AQ96="",AR96=""),"",IFERROR(AQ96-AR96,""))</f>
        <v/>
      </c>
    </row>
    <row r="97" ht="14.25" customHeight="1">
      <c r="A97" s="58" t="n">
        <v>24015360</v>
      </c>
      <c r="B97" s="59" t="inlineStr">
        <is>
          <t>Saboya La Granja</t>
        </is>
      </c>
      <c r="C97" s="59" t="inlineStr">
        <is>
          <t>Area Operativa 06 - Boyacá-Casanare-Vichada</t>
        </is>
      </c>
      <c r="D97" s="73" t="n">
        <v>-73.759</v>
      </c>
      <c r="E97" s="73" t="n">
        <v>5.696222222</v>
      </c>
      <c r="F97" s="58" t="n">
        <v>2550</v>
      </c>
      <c r="G97" s="58" t="n">
        <v>15</v>
      </c>
      <c r="H97" s="58" t="n">
        <v>15632</v>
      </c>
      <c r="I97" s="60" t="inlineStr">
        <is>
          <t>Boyacá</t>
        </is>
      </c>
      <c r="J97" s="60" t="inlineStr">
        <is>
          <t>Saboyá</t>
        </is>
      </c>
      <c r="K97" s="56" t="n">
        <v>17.73333333333333</v>
      </c>
      <c r="L97" s="56" t="n">
        <v>17.33333333333333</v>
      </c>
      <c r="M97" s="56" t="n">
        <v>18</v>
      </c>
      <c r="N97" s="56" t="n">
        <v>13.9</v>
      </c>
      <c r="O97" s="56" t="n">
        <v>14.73333333333333</v>
      </c>
      <c r="P97" s="56" t="n">
        <v>14.93333333333333</v>
      </c>
      <c r="Q97" s="56" t="n">
        <v>16.73333333333333</v>
      </c>
      <c r="R97" s="56" t="n">
        <v>17.33333333333333</v>
      </c>
      <c r="S97" s="56" t="n">
        <v>18.33333333333333</v>
      </c>
      <c r="T97" s="56" t="n">
        <v>16.6</v>
      </c>
      <c r="U97" s="56" t="n">
        <v>16.66666666666666</v>
      </c>
      <c r="V97" s="56" t="n">
        <v>15.93333333333333</v>
      </c>
      <c r="W97" s="56" t="n">
        <v>17.33333333333333</v>
      </c>
      <c r="X97" s="56" t="n">
        <v/>
      </c>
      <c r="Y97" s="56" t="n">
        <v>17.53333333333333</v>
      </c>
      <c r="Z97" s="56" t="n">
        <v>16.93333333333333</v>
      </c>
      <c r="AA97" s="56" t="n">
        <v>16.93333333333333</v>
      </c>
      <c r="AB97" s="56" t="n">
        <v>15.53333333333333</v>
      </c>
      <c r="AC97" s="56" t="n">
        <v>15</v>
      </c>
      <c r="AD97" s="56" t="n">
        <v>16.4</v>
      </c>
      <c r="AE97" s="56" t="n">
        <v>17.53333333333333</v>
      </c>
      <c r="AF97" s="56" t="n">
        <v>17.26666666666667</v>
      </c>
      <c r="AG97" s="56" t="n">
        <v>18.53333333333333</v>
      </c>
      <c r="AH97" s="56" t="n">
        <v/>
      </c>
      <c r="AI97" s="56" t="n">
        <v>15.6</v>
      </c>
      <c r="AJ97" s="56" t="n">
        <v>16.26666666666667</v>
      </c>
      <c r="AK97" s="56" t="n">
        <v>15.55</v>
      </c>
      <c r="AL97" s="56" t="n"/>
      <c r="AM97" s="56" t="n"/>
      <c r="AN97" s="56" t="n"/>
      <c r="AO97" s="56" t="n"/>
      <c r="AP97" s="58">
        <f>COUNTIF(K97:AO97,"&gt;0")</f>
        <v/>
      </c>
      <c r="AQ97" s="71">
        <f>IF(AP97&gt;14,AVERAGE(K97:AO97),"")</f>
        <v/>
      </c>
      <c r="AR97" s="71">
        <f>IFERROR(VLOOKUP(A97,Climatologia_TMED!A:U,9+$E$2,FALSE),"")</f>
        <v/>
      </c>
      <c r="AS97" s="71">
        <f>IF(OR(AQ97="",AR97=""),"",IFERROR(AQ97-AR97,""))</f>
        <v/>
      </c>
    </row>
    <row r="98" ht="14.25" customHeight="1">
      <c r="A98" s="58" t="n">
        <v>24035040</v>
      </c>
      <c r="B98" s="59" t="inlineStr">
        <is>
          <t>La Copa</t>
        </is>
      </c>
      <c r="C98" s="59" t="inlineStr">
        <is>
          <t>Area Operativa 06 - Boyacá-Casanare-Vichada</t>
        </is>
      </c>
      <c r="D98" s="73" t="n">
        <v>-73.208777778</v>
      </c>
      <c r="E98" s="73" t="n">
        <v>5.579194444</v>
      </c>
      <c r="F98" s="58" t="n">
        <v>2700</v>
      </c>
      <c r="G98" s="58" t="n">
        <v>15</v>
      </c>
      <c r="H98" s="58" t="n">
        <v>15814</v>
      </c>
      <c r="I98" s="60" t="inlineStr">
        <is>
          <t>Boyacá</t>
        </is>
      </c>
      <c r="J98" s="60" t="inlineStr">
        <is>
          <t>Toca</t>
        </is>
      </c>
      <c r="K98" s="56" t="n">
        <v>11.7</v>
      </c>
      <c r="L98" s="56" t="n">
        <v>13.15</v>
      </c>
      <c r="M98" s="56" t="n">
        <v>12.95</v>
      </c>
      <c r="N98" s="56" t="n">
        <v>13.1</v>
      </c>
      <c r="O98" s="56" t="n">
        <v>11.95</v>
      </c>
      <c r="P98" s="56" t="n">
        <v>12.2</v>
      </c>
      <c r="Q98" s="56" t="n">
        <v>12.1</v>
      </c>
      <c r="R98" s="56" t="n">
        <v>13.2</v>
      </c>
      <c r="S98" s="56" t="n">
        <v>14.35</v>
      </c>
      <c r="T98" s="56" t="n">
        <v>14.2</v>
      </c>
      <c r="U98" s="56" t="n">
        <v>13.8</v>
      </c>
      <c r="V98" s="56" t="n">
        <v>13.2</v>
      </c>
      <c r="W98" s="56" t="n">
        <v>12.25</v>
      </c>
      <c r="X98" s="56" t="n">
        <v>12.8</v>
      </c>
      <c r="Y98" s="56" t="n">
        <v>13.2</v>
      </c>
      <c r="Z98" s="56" t="n">
        <v>13.8</v>
      </c>
      <c r="AA98" s="56" t="n">
        <v>13.85</v>
      </c>
      <c r="AB98" s="56" t="n">
        <v>13.8</v>
      </c>
      <c r="AC98" s="56" t="n">
        <v>12.3</v>
      </c>
      <c r="AD98" s="56" t="n">
        <v>12.55</v>
      </c>
      <c r="AE98" s="56" t="n">
        <v>11.95</v>
      </c>
      <c r="AF98" s="56" t="n">
        <v>12.65</v>
      </c>
      <c r="AG98" s="56" t="n">
        <v>13.5</v>
      </c>
      <c r="AH98" s="56" t="n">
        <v>12.85</v>
      </c>
      <c r="AI98" s="56" t="n">
        <v>12.35</v>
      </c>
      <c r="AJ98" s="56" t="n">
        <v>12.65</v>
      </c>
      <c r="AK98" s="56" t="n">
        <v>12.85</v>
      </c>
      <c r="AL98" s="56" t="n"/>
      <c r="AM98" s="56" t="n"/>
      <c r="AN98" s="56" t="n"/>
      <c r="AO98" s="56" t="n"/>
      <c r="AP98" s="58">
        <f>COUNTIF(K98:AO98,"&gt;0")</f>
        <v/>
      </c>
      <c r="AQ98" s="71">
        <f>IF(AP98&gt;14,AVERAGE(K98:AO98),"")</f>
        <v/>
      </c>
      <c r="AR98" s="71">
        <f>IFERROR(VLOOKUP(A98,Climatologia_TMED!A:U,9+$E$2,FALSE),"")</f>
        <v/>
      </c>
      <c r="AS98" s="71">
        <f>IF(OR(AQ98="",AR98=""),"",IFERROR(AQ98-AR98,""))</f>
        <v/>
      </c>
    </row>
    <row r="99" ht="14.25" customHeight="1">
      <c r="A99" s="58" t="n">
        <v>24035070</v>
      </c>
      <c r="B99" s="59" t="inlineStr">
        <is>
          <t>Guican</t>
        </is>
      </c>
      <c r="C99" s="59" t="inlineStr">
        <is>
          <t>Area Operativa 06 - Boyacá-Casanare-Vichada</t>
        </is>
      </c>
      <c r="D99" s="73" t="n">
        <v>-72.40919443999999</v>
      </c>
      <c r="E99" s="73" t="n">
        <v>6.463472222</v>
      </c>
      <c r="F99" s="58" t="n">
        <v>2963</v>
      </c>
      <c r="G99" s="58" t="n">
        <v>15</v>
      </c>
      <c r="H99" s="58" t="n">
        <v>15332</v>
      </c>
      <c r="I99" s="60" t="inlineStr">
        <is>
          <t>Boyacá</t>
        </is>
      </c>
      <c r="J99" s="60" t="inlineStr">
        <is>
          <t>Güicán De La Sierra</t>
        </is>
      </c>
      <c r="K99" s="56" t="n">
        <v>14.83333333333333</v>
      </c>
      <c r="L99" s="56" t="n">
        <v>14.93333333333333</v>
      </c>
      <c r="M99" s="56" t="n">
        <v>15.5</v>
      </c>
      <c r="N99" s="56" t="n">
        <v>15.6</v>
      </c>
      <c r="O99" s="56" t="n">
        <v>14.63333333333333</v>
      </c>
      <c r="P99" s="56" t="n">
        <v>14.66666666666667</v>
      </c>
      <c r="Q99" s="56" t="n">
        <v>13.6</v>
      </c>
      <c r="R99" s="56" t="n">
        <v>15.56666666666667</v>
      </c>
      <c r="S99" s="56" t="n">
        <v>16.23333333333333</v>
      </c>
      <c r="T99" s="56" t="n">
        <v>15.66666666666667</v>
      </c>
      <c r="U99" s="56" t="n">
        <v>14.8</v>
      </c>
      <c r="V99" s="56" t="n">
        <v>16.3</v>
      </c>
      <c r="W99" s="56" t="n">
        <v>15.33333333333333</v>
      </c>
      <c r="X99" s="56" t="n">
        <v>15.7</v>
      </c>
      <c r="Y99" s="56" t="n">
        <v>15.46666666666667</v>
      </c>
      <c r="Z99" s="56" t="n">
        <v>15.46666666666667</v>
      </c>
      <c r="AA99" s="56" t="n">
        <v/>
      </c>
      <c r="AB99" s="56" t="n">
        <v>16.53333333333333</v>
      </c>
      <c r="AC99" s="56" t="n">
        <v>14.93333333333333</v>
      </c>
      <c r="AD99" s="56" t="n">
        <v>15.26666666666667</v>
      </c>
      <c r="AE99" s="56" t="n">
        <v>14.63333333333333</v>
      </c>
      <c r="AF99" s="56" t="n">
        <v>15.06666666666667</v>
      </c>
      <c r="AG99" s="56" t="n">
        <v>15.43333333333333</v>
      </c>
      <c r="AH99" s="56" t="n">
        <v>15.33333333333333</v>
      </c>
      <c r="AI99" s="56" t="n">
        <v>14.53333333333333</v>
      </c>
      <c r="AJ99" s="56" t="n">
        <v>14.46666666666667</v>
      </c>
      <c r="AK99" s="56" t="n">
        <v>14.26666666666667</v>
      </c>
      <c r="AL99" s="56" t="n"/>
      <c r="AM99" s="56" t="n"/>
      <c r="AN99" s="56" t="n"/>
      <c r="AO99" s="56" t="n"/>
      <c r="AP99" s="58">
        <f>COUNTIF(K99:AO99,"&gt;0")</f>
        <v/>
      </c>
      <c r="AQ99" s="71">
        <f>IF(AP99&gt;14,AVERAGE(K99:AO99),"")</f>
        <v/>
      </c>
      <c r="AR99" s="71">
        <f>IFERROR(VLOOKUP(A99,Climatologia_TMED!A:U,9+$E$2,FALSE),"")</f>
        <v/>
      </c>
      <c r="AS99" s="71">
        <f>IF(OR(AQ99="",AR99=""),"",IFERROR(AQ99-AR99,""))</f>
        <v/>
      </c>
    </row>
    <row r="100" ht="14.25" customHeight="1">
      <c r="A100" s="58" t="n">
        <v>24035120</v>
      </c>
      <c r="B100" s="59" t="inlineStr">
        <is>
          <t>Surbata Bonza</t>
        </is>
      </c>
      <c r="C100" s="59" t="inlineStr">
        <is>
          <t>Area Operativa 06 - Boyacá-Casanare-Vichada</t>
        </is>
      </c>
      <c r="D100" s="73" t="n">
        <v>-73.07447222</v>
      </c>
      <c r="E100" s="73" t="n">
        <v>5.802444444</v>
      </c>
      <c r="F100" s="58" t="n">
        <v>2485</v>
      </c>
      <c r="G100" s="58" t="n">
        <v>15</v>
      </c>
      <c r="H100" s="58" t="n">
        <v>15238</v>
      </c>
      <c r="I100" s="60" t="inlineStr">
        <is>
          <t>Boyacá</t>
        </is>
      </c>
      <c r="J100" s="60" t="inlineStr">
        <is>
          <t>Duitama</t>
        </is>
      </c>
      <c r="K100" s="56" t="n">
        <v>15.46666666666667</v>
      </c>
      <c r="L100" s="56" t="n">
        <v>16.33333333333333</v>
      </c>
      <c r="M100" s="56" t="n">
        <v>15.73333333333333</v>
      </c>
      <c r="N100" s="56" t="n">
        <v>15.73333333333333</v>
      </c>
      <c r="O100" s="56" t="n">
        <v>15.46666666666667</v>
      </c>
      <c r="P100" s="56" t="n">
        <v>15.6</v>
      </c>
      <c r="Q100" s="56" t="n">
        <v>15.33333333333333</v>
      </c>
      <c r="R100" s="56" t="n">
        <v>15</v>
      </c>
      <c r="S100" s="56" t="n">
        <v>17.66666666666667</v>
      </c>
      <c r="T100" s="56" t="n">
        <v>17.46666666666667</v>
      </c>
      <c r="U100" s="56" t="n">
        <v>16.6</v>
      </c>
      <c r="V100" s="56" t="n">
        <v>16.53333333333333</v>
      </c>
      <c r="W100" s="56" t="n">
        <v>14.8</v>
      </c>
      <c r="X100" s="56" t="n">
        <v>16.66666666666667</v>
      </c>
      <c r="Y100" s="56" t="n">
        <v>17.26666666666667</v>
      </c>
      <c r="Z100" s="56" t="n">
        <v>16.66666666666667</v>
      </c>
      <c r="AA100" s="56" t="n">
        <v>16.4</v>
      </c>
      <c r="AB100" s="56" t="n">
        <v>16.2</v>
      </c>
      <c r="AC100" s="56" t="n">
        <v>15.86666666666667</v>
      </c>
      <c r="AD100" s="56" t="n">
        <v>15.26666666666667</v>
      </c>
      <c r="AE100" s="56" t="n">
        <v>14.86666666666667</v>
      </c>
      <c r="AF100" s="56" t="n">
        <v>16.9</v>
      </c>
      <c r="AG100" s="56" t="n">
        <v>17.93333333333333</v>
      </c>
      <c r="AH100" s="56" t="n">
        <v>14.53333333333333</v>
      </c>
      <c r="AI100" s="56" t="n">
        <v>17.8</v>
      </c>
      <c r="AJ100" s="56" t="n">
        <v/>
      </c>
      <c r="AK100" s="56" t="n">
        <v>16.46666666666667</v>
      </c>
      <c r="AL100" s="56" t="n"/>
      <c r="AM100" s="56" t="n"/>
      <c r="AN100" s="56" t="n"/>
      <c r="AO100" s="56" t="n"/>
      <c r="AP100" s="58">
        <f>COUNTIF(K100:AO100,"&gt;0")</f>
        <v/>
      </c>
      <c r="AQ100" s="71">
        <f>IF(AP100&gt;14,AVERAGE(K100:AO100),"")</f>
        <v/>
      </c>
      <c r="AR100" s="71">
        <f>IFERROR(VLOOKUP(A100,Climatologia_TMED!A:U,9+$E$2,FALSE),"")</f>
        <v/>
      </c>
      <c r="AS100" s="71">
        <f>IF(OR(AQ100="",AR100=""),"",IFERROR(AQ100-AR100,""))</f>
        <v/>
      </c>
    </row>
    <row r="101" ht="14.25" customHeight="1">
      <c r="A101" s="58" t="n">
        <v>24035130</v>
      </c>
      <c r="B101" s="59" t="inlineStr">
        <is>
          <t>U P T C</t>
        </is>
      </c>
      <c r="C101" s="59" t="inlineStr">
        <is>
          <t>Area Operativa 06 - Boyacá-Casanare-Vichada</t>
        </is>
      </c>
      <c r="D101" s="73" t="n">
        <v>-73.36081306</v>
      </c>
      <c r="E101" s="73" t="n">
        <v>5.5430775</v>
      </c>
      <c r="F101" s="58" t="n">
        <v>2690</v>
      </c>
      <c r="G101" s="58" t="n">
        <v>15</v>
      </c>
      <c r="H101" s="58" t="n">
        <v>15001</v>
      </c>
      <c r="I101" s="60" t="inlineStr">
        <is>
          <t>Boyacá</t>
        </is>
      </c>
      <c r="J101" s="60" t="inlineStr">
        <is>
          <t>Tunja</t>
        </is>
      </c>
      <c r="K101" s="56" t="n">
        <v>13.2</v>
      </c>
      <c r="L101" s="56" t="n">
        <v>13</v>
      </c>
      <c r="M101" s="56" t="n">
        <v>13.3</v>
      </c>
      <c r="N101" s="56" t="n">
        <v>14.2</v>
      </c>
      <c r="O101" s="56" t="n">
        <v>12.65</v>
      </c>
      <c r="P101" s="56" t="n">
        <v>13.2</v>
      </c>
      <c r="Q101" s="56" t="n">
        <v>12.95</v>
      </c>
      <c r="R101" s="56" t="n">
        <v>13.6</v>
      </c>
      <c r="S101" s="56" t="n">
        <v>14.45</v>
      </c>
      <c r="T101" s="56" t="n">
        <v>14.25</v>
      </c>
      <c r="U101" s="56" t="n">
        <v>14.05</v>
      </c>
      <c r="V101" s="56" t="n">
        <v>15.2</v>
      </c>
      <c r="W101" s="56" t="n">
        <v>13.6</v>
      </c>
      <c r="X101" s="56" t="n">
        <v>14.2</v>
      </c>
      <c r="Y101" s="56" t="n">
        <v>13.65</v>
      </c>
      <c r="Z101" s="56" t="n">
        <v>13.45</v>
      </c>
      <c r="AA101" s="56" t="n">
        <v>13.25</v>
      </c>
      <c r="AB101" s="56" t="n">
        <v>14.05</v>
      </c>
      <c r="AC101" s="56" t="n">
        <v>13.5</v>
      </c>
      <c r="AD101" s="56" t="n">
        <v>14.05</v>
      </c>
      <c r="AE101" s="56" t="n">
        <v>13.65</v>
      </c>
      <c r="AF101" s="56" t="n">
        <v>14.9</v>
      </c>
      <c r="AG101" s="56" t="n">
        <v>13.4</v>
      </c>
      <c r="AH101" s="56" t="n">
        <v>13.8</v>
      </c>
      <c r="AI101" s="56" t="n">
        <v>13.75</v>
      </c>
      <c r="AJ101" s="56" t="n">
        <v>14.15</v>
      </c>
      <c r="AK101" s="56" t="n">
        <v>14.6</v>
      </c>
      <c r="AL101" s="56" t="n"/>
      <c r="AM101" s="56" t="n"/>
      <c r="AN101" s="56" t="n"/>
      <c r="AO101" s="56" t="n"/>
      <c r="AP101" s="58">
        <f>COUNTIF(K101:AO101,"&gt;0")</f>
        <v/>
      </c>
      <c r="AQ101" s="71">
        <f>IF(AP101&gt;14,AVERAGE(K101:AO101),"")</f>
        <v/>
      </c>
      <c r="AR101" s="71">
        <f>IFERROR(VLOOKUP(A101,Climatologia_TMED!A:U,9+$E$2,FALSE),"")</f>
        <v/>
      </c>
      <c r="AS101" s="71">
        <f>IF(OR(AQ101="",AR101=""),"",IFERROR(AQ101-AR101,""))</f>
        <v/>
      </c>
    </row>
    <row r="102" ht="14.25" customHeight="1">
      <c r="A102" s="58" t="n">
        <v>24035250</v>
      </c>
      <c r="B102" s="59" t="inlineStr">
        <is>
          <t>Chita  - Aut</t>
        </is>
      </c>
      <c r="C102" s="59" t="inlineStr">
        <is>
          <t>Area Operativa 06 - Boyacá-Casanare-Vichada</t>
        </is>
      </c>
      <c r="D102" s="73" t="n">
        <v>-72.46556</v>
      </c>
      <c r="E102" s="73" t="n">
        <v>6.18778</v>
      </c>
      <c r="F102" s="58" t="n">
        <v>2961</v>
      </c>
      <c r="G102" s="58" t="n">
        <v>15</v>
      </c>
      <c r="H102" s="58" t="n">
        <v>15183</v>
      </c>
      <c r="I102" s="60" t="inlineStr">
        <is>
          <t>Boyacá</t>
        </is>
      </c>
      <c r="J102" s="60" t="inlineStr">
        <is>
          <t>Chita</t>
        </is>
      </c>
      <c r="K102" s="56" t="n">
        <v/>
      </c>
      <c r="L102" s="56" t="n">
        <v/>
      </c>
      <c r="M102" s="56" t="n">
        <v>14</v>
      </c>
      <c r="N102" s="56" t="n">
        <v/>
      </c>
      <c r="O102" s="56" t="n">
        <v/>
      </c>
      <c r="P102" s="56" t="n">
        <v/>
      </c>
      <c r="Q102" s="56" t="n">
        <v/>
      </c>
      <c r="R102" s="56" t="n">
        <v>13.33333333333333</v>
      </c>
      <c r="S102" s="56" t="n">
        <v>13.46666666666667</v>
      </c>
      <c r="T102" s="56" t="n">
        <v>13.2</v>
      </c>
      <c r="U102" s="56" t="n">
        <v>13.86666666666667</v>
      </c>
      <c r="V102" s="56" t="n">
        <v>15.2</v>
      </c>
      <c r="W102" s="56" t="n">
        <v>13.13333333333333</v>
      </c>
      <c r="X102" s="56" t="n">
        <v>13.8</v>
      </c>
      <c r="Y102" s="56" t="n">
        <v>14.06666666666666</v>
      </c>
      <c r="Z102" s="56" t="n">
        <v>13.53333333333333</v>
      </c>
      <c r="AA102" s="56" t="n">
        <v>13.53333333333333</v>
      </c>
      <c r="AB102" s="56" t="n">
        <v>13.06666666666667</v>
      </c>
      <c r="AC102" s="56" t="n">
        <v>13.93333333333333</v>
      </c>
      <c r="AD102" s="56" t="n">
        <v>13.4</v>
      </c>
      <c r="AE102" s="56" t="n">
        <v>13.13333333333333</v>
      </c>
      <c r="AF102" s="56" t="n">
        <v>14.66666666666667</v>
      </c>
      <c r="AG102" s="56" t="n">
        <v>14.26666666666667</v>
      </c>
      <c r="AH102" s="56" t="n">
        <v>12.4</v>
      </c>
      <c r="AI102" s="56" t="n">
        <v>14.26666666666667</v>
      </c>
      <c r="AJ102" s="56" t="n">
        <v>14.33333333333333</v>
      </c>
      <c r="AK102" s="56" t="n">
        <v>14.2</v>
      </c>
      <c r="AL102" s="56" t="n"/>
      <c r="AM102" s="56" t="n"/>
      <c r="AN102" s="56" t="n"/>
      <c r="AO102" s="56" t="n"/>
      <c r="AP102" s="58">
        <f>COUNTIF(K102:AO102,"&gt;0")</f>
        <v/>
      </c>
      <c r="AQ102" s="71">
        <f>IF(AP102&gt;14,AVERAGE(K102:AO102),"")</f>
        <v/>
      </c>
      <c r="AR102" s="71">
        <f>IFERROR(VLOOKUP(A102,Climatologia_TMED!A:U,9+$E$2,FALSE),"")</f>
        <v/>
      </c>
      <c r="AS102" s="71">
        <f>IF(OR(AQ102="",AR102=""),"",IFERROR(AQ102-AR102,""))</f>
        <v/>
      </c>
    </row>
    <row r="103" ht="14.25" customHeight="1">
      <c r="A103" s="58" t="n">
        <v>24035260</v>
      </c>
      <c r="B103" s="59" t="inlineStr">
        <is>
          <t>Capitanejo</t>
        </is>
      </c>
      <c r="C103" s="59" t="inlineStr">
        <is>
          <t>Area Operativa 06 - Boyacá-Casanare-Vichada</t>
        </is>
      </c>
      <c r="D103" s="73" t="n">
        <v>-72.69661111000001</v>
      </c>
      <c r="E103" s="73" t="n">
        <v>6.520722222</v>
      </c>
      <c r="F103" s="58" t="n">
        <v>1160</v>
      </c>
      <c r="G103" s="58" t="n">
        <v>68</v>
      </c>
      <c r="H103" s="58" t="n">
        <v>68147</v>
      </c>
      <c r="I103" s="60" t="inlineStr">
        <is>
          <t>Santander</t>
        </is>
      </c>
      <c r="J103" s="60" t="inlineStr">
        <is>
          <t>Capitanejo</t>
        </is>
      </c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8">
        <f>COUNTIF(K103:AO103,"&gt;0")</f>
        <v/>
      </c>
      <c r="AQ103" s="71">
        <f>IF(AP103&gt;14,AVERAGE(K103:AO103),"")</f>
        <v/>
      </c>
      <c r="AR103" s="71">
        <f>IFERROR(VLOOKUP(A103,Climatologia_TMED!A:U,9+$E$2,FALSE),"")</f>
        <v/>
      </c>
      <c r="AS103" s="71">
        <f>IF(OR(AQ103="",AR103=""),"",IFERROR(AQ103-AR103,""))</f>
        <v/>
      </c>
    </row>
    <row r="104" ht="14.25" customHeight="1">
      <c r="A104" s="58" t="n">
        <v>24035310</v>
      </c>
      <c r="B104" s="59" t="inlineStr">
        <is>
          <t>Chiscas</t>
        </is>
      </c>
      <c r="C104" s="59" t="inlineStr">
        <is>
          <t>Area Operativa 06 - Boyacá-Casanare-Vichada</t>
        </is>
      </c>
      <c r="D104" s="73" t="n">
        <v>-72.50472222</v>
      </c>
      <c r="E104" s="73" t="n">
        <v>6.549527778</v>
      </c>
      <c r="F104" s="58" t="n">
        <v>2350</v>
      </c>
      <c r="G104" s="58" t="n">
        <v>15</v>
      </c>
      <c r="H104" s="58" t="n">
        <v>15180</v>
      </c>
      <c r="I104" s="60" t="inlineStr">
        <is>
          <t>Boyacá</t>
        </is>
      </c>
      <c r="J104" s="60" t="inlineStr">
        <is>
          <t>Chiscas</t>
        </is>
      </c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  <c r="AA104" s="56" t="n"/>
      <c r="AB104" s="56" t="n"/>
      <c r="AC104" s="56" t="n"/>
      <c r="AD104" s="56" t="n"/>
      <c r="AE104" s="56" t="n"/>
      <c r="AF104" s="56" t="n"/>
      <c r="AG104" s="56" t="n"/>
      <c r="AH104" s="56" t="n"/>
      <c r="AI104" s="56" t="n"/>
      <c r="AJ104" s="56" t="n"/>
      <c r="AK104" s="56" t="n"/>
      <c r="AL104" s="56" t="n"/>
      <c r="AM104" s="56" t="n"/>
      <c r="AN104" s="56" t="n"/>
      <c r="AO104" s="56" t="n"/>
      <c r="AP104" s="58">
        <f>COUNTIF(K104:AO104,"&gt;0")</f>
        <v/>
      </c>
      <c r="AQ104" s="71">
        <f>IF(AP104&gt;14,AVERAGE(K104:AO104),"")</f>
        <v/>
      </c>
      <c r="AR104" s="71">
        <f>IFERROR(VLOOKUP(A104,Climatologia_TMED!A:U,9+$E$2,FALSE),"")</f>
        <v/>
      </c>
      <c r="AS104" s="71">
        <f>IF(OR(AQ104="",AR104=""),"",IFERROR(AQ104-AR104,""))</f>
        <v/>
      </c>
    </row>
    <row r="105" ht="14.25" customHeight="1">
      <c r="A105" s="58" t="n">
        <v>24035330</v>
      </c>
      <c r="B105" s="59" t="inlineStr">
        <is>
          <t>Boavita</t>
        </is>
      </c>
      <c r="C105" s="59" t="inlineStr">
        <is>
          <t>Area Operativa 06 - Boyacá-Casanare-Vichada</t>
        </is>
      </c>
      <c r="D105" s="73" t="n">
        <v>-72.58227778</v>
      </c>
      <c r="E105" s="73" t="n">
        <v>6.328972222</v>
      </c>
      <c r="F105" s="58" t="n">
        <v>2150</v>
      </c>
      <c r="G105" s="58" t="n">
        <v>15</v>
      </c>
      <c r="H105" s="58" t="n">
        <v>15097</v>
      </c>
      <c r="I105" s="60" t="inlineStr">
        <is>
          <t>Boyacá</t>
        </is>
      </c>
      <c r="J105" s="60" t="inlineStr">
        <is>
          <t>Boavita</t>
        </is>
      </c>
      <c r="K105" s="56" t="n">
        <v>19.06666666666667</v>
      </c>
      <c r="L105" s="56" t="n">
        <v>20.2</v>
      </c>
      <c r="M105" s="56" t="n">
        <v>20.73333333333333</v>
      </c>
      <c r="N105" s="56" t="n">
        <v>20.6</v>
      </c>
      <c r="O105" s="56" t="n">
        <v>19.53333333333333</v>
      </c>
      <c r="P105" s="56" t="n">
        <v>19.13333333333333</v>
      </c>
      <c r="Q105" s="56" t="n">
        <v>20.06666666666667</v>
      </c>
      <c r="R105" s="56" t="n">
        <v>19.4</v>
      </c>
      <c r="S105" s="56" t="n">
        <v>20.93333333333333</v>
      </c>
      <c r="T105" s="56" t="n">
        <v>19.6</v>
      </c>
      <c r="U105" s="56" t="n">
        <v>18.66666666666667</v>
      </c>
      <c r="V105" s="56" t="n">
        <v>19.2</v>
      </c>
      <c r="W105" s="56" t="n">
        <v>17.8</v>
      </c>
      <c r="X105" s="56" t="n">
        <v>20.46666666666667</v>
      </c>
      <c r="Y105" s="56" t="n">
        <v>20.73333333333333</v>
      </c>
      <c r="Z105" s="56" t="n">
        <v>20.26666666666667</v>
      </c>
      <c r="AA105" s="56" t="n">
        <v>19.66666666666667</v>
      </c>
      <c r="AB105" s="56" t="n">
        <v>20.8</v>
      </c>
      <c r="AC105" s="56" t="n">
        <v>19.33333333333333</v>
      </c>
      <c r="AD105" s="56" t="n">
        <v>20</v>
      </c>
      <c r="AE105" s="56" t="n">
        <v>20.6</v>
      </c>
      <c r="AF105" s="56" t="n">
        <v>20.73333333333333</v>
      </c>
      <c r="AG105" s="56" t="n">
        <v>19.26666666666667</v>
      </c>
      <c r="AH105" s="56" t="n">
        <v>18.53333333333333</v>
      </c>
      <c r="AI105" s="56" t="n">
        <v>17.66666666666667</v>
      </c>
      <c r="AJ105" s="56" t="n">
        <v>18.93333333333333</v>
      </c>
      <c r="AK105" s="56" t="n">
        <v>16.6</v>
      </c>
      <c r="AL105" s="56" t="n"/>
      <c r="AM105" s="56" t="n"/>
      <c r="AN105" s="56" t="n"/>
      <c r="AO105" s="56" t="n"/>
      <c r="AP105" s="58">
        <f>COUNTIF(K105:AO105,"&gt;0")</f>
        <v/>
      </c>
      <c r="AQ105" s="71">
        <f>IF(AP105&gt;14,AVERAGE(K105:AO105),"")</f>
        <v/>
      </c>
      <c r="AR105" s="71">
        <f>IFERROR(VLOOKUP(A105,Climatologia_TMED!A:U,9+$E$2,FALSE),"")</f>
        <v/>
      </c>
      <c r="AS105" s="71">
        <f>IF(OR(AQ105="",AR105=""),"",IFERROR(AQ105-AR105,""))</f>
        <v/>
      </c>
    </row>
    <row r="106" ht="14.25" customHeight="1">
      <c r="A106" s="58" t="n">
        <v>24035340</v>
      </c>
      <c r="B106" s="59" t="inlineStr">
        <is>
          <t>Aeropuerto A Lleras C Aut</t>
        </is>
      </c>
      <c r="C106" s="59" t="inlineStr">
        <is>
          <t>Area Operativa 06 - Boyacá-Casanare-Vichada</t>
        </is>
      </c>
      <c r="D106" s="73" t="n">
        <v>-72.96791666999999</v>
      </c>
      <c r="E106" s="73" t="n">
        <v>5.676944444</v>
      </c>
      <c r="F106" s="58" t="n">
        <v>2500</v>
      </c>
      <c r="G106" s="58" t="n">
        <v>15</v>
      </c>
      <c r="H106" s="58" t="n">
        <v>15759</v>
      </c>
      <c r="I106" s="60" t="inlineStr">
        <is>
          <t>Boyacá</t>
        </is>
      </c>
      <c r="J106" s="60" t="inlineStr">
        <is>
          <t>Sogamoso</t>
        </is>
      </c>
      <c r="K106" s="56" t="n">
        <v/>
      </c>
      <c r="L106" s="56" t="n">
        <v/>
      </c>
      <c r="M106" s="56" t="n">
        <v/>
      </c>
      <c r="N106" s="56" t="n">
        <v/>
      </c>
      <c r="O106" s="56" t="n">
        <v/>
      </c>
      <c r="P106" s="56" t="n">
        <v/>
      </c>
      <c r="Q106" s="56" t="n">
        <v/>
      </c>
      <c r="R106" s="56" t="n">
        <v/>
      </c>
      <c r="S106" s="56" t="n">
        <v/>
      </c>
      <c r="T106" s="56" t="n">
        <v/>
      </c>
      <c r="U106" s="56" t="n">
        <v/>
      </c>
      <c r="V106" s="56" t="n">
        <v/>
      </c>
      <c r="W106" s="56" t="n">
        <v/>
      </c>
      <c r="X106" s="56" t="n">
        <v/>
      </c>
      <c r="Y106" s="56" t="n">
        <v>13.85</v>
      </c>
      <c r="Z106" s="56" t="n">
        <v>13.45</v>
      </c>
      <c r="AA106" s="56" t="n">
        <v>13.8</v>
      </c>
      <c r="AB106" s="56" t="n">
        <v>14.1</v>
      </c>
      <c r="AC106" s="56" t="n">
        <v>14.5</v>
      </c>
      <c r="AD106" s="56" t="n">
        <v>11.85</v>
      </c>
      <c r="AE106" s="56" t="n">
        <v>15.15</v>
      </c>
      <c r="AF106" s="56" t="n">
        <v>14.8</v>
      </c>
      <c r="AG106" s="56" t="n">
        <v>16.1</v>
      </c>
      <c r="AH106" s="56" t="n">
        <v>14.5</v>
      </c>
      <c r="AI106" s="56" t="n">
        <v>15.45</v>
      </c>
      <c r="AJ106" s="56" t="n">
        <v>13.35</v>
      </c>
      <c r="AK106" s="56" t="n">
        <v>14.9</v>
      </c>
      <c r="AL106" s="56" t="n"/>
      <c r="AM106" s="56" t="n"/>
      <c r="AN106" s="56" t="n"/>
      <c r="AO106" s="56" t="n"/>
      <c r="AP106" s="58">
        <f>COUNTIF(K106:AO106,"&gt;0")</f>
        <v/>
      </c>
      <c r="AQ106" s="71">
        <f>IF(AP106&gt;14,AVERAGE(K106:AO106),"")</f>
        <v/>
      </c>
      <c r="AR106" s="71">
        <f>IFERROR(VLOOKUP(A106,Climatologia_TMED!A:U,9+$E$2,FALSE),"")</f>
        <v/>
      </c>
      <c r="AS106" s="71">
        <f>IF(OR(AQ106="",AR106=""),"",IFERROR(AQ106-AR106,""))</f>
        <v/>
      </c>
    </row>
    <row r="107" ht="14.25" customHeight="1">
      <c r="A107" s="58" t="n">
        <v>24035420</v>
      </c>
      <c r="B107" s="59" t="inlineStr">
        <is>
          <t>Cerinza</t>
        </is>
      </c>
      <c r="C107" s="59" t="inlineStr">
        <is>
          <t>Area Operativa 06 - Boyacá-Casanare-Vichada</t>
        </is>
      </c>
      <c r="D107" s="73" t="n">
        <v>-72.9385</v>
      </c>
      <c r="E107" s="73" t="n">
        <v>5.96225</v>
      </c>
      <c r="F107" s="58" t="n">
        <v>2643</v>
      </c>
      <c r="G107" s="58" t="n">
        <v>15</v>
      </c>
      <c r="H107" s="58" t="n">
        <v>15162</v>
      </c>
      <c r="I107" s="60" t="inlineStr">
        <is>
          <t>Boyacá</t>
        </is>
      </c>
      <c r="J107" s="60" t="inlineStr">
        <is>
          <t>Cerinza</t>
        </is>
      </c>
      <c r="K107" s="56" t="n">
        <v>14.33333333333333</v>
      </c>
      <c r="L107" s="56" t="n">
        <v/>
      </c>
      <c r="M107" s="56" t="n">
        <v/>
      </c>
      <c r="N107" s="56" t="n">
        <v/>
      </c>
      <c r="O107" s="56" t="n">
        <v/>
      </c>
      <c r="P107" s="56" t="n">
        <v/>
      </c>
      <c r="Q107" s="56" t="n">
        <v/>
      </c>
      <c r="R107" s="56" t="n">
        <v/>
      </c>
      <c r="S107" s="56" t="n">
        <v/>
      </c>
      <c r="T107" s="56" t="n">
        <v/>
      </c>
      <c r="U107" s="56" t="n">
        <v/>
      </c>
      <c r="V107" s="56" t="n">
        <v/>
      </c>
      <c r="W107" s="56" t="n">
        <v/>
      </c>
      <c r="X107" s="56" t="n">
        <v/>
      </c>
      <c r="Y107" s="56" t="n">
        <v/>
      </c>
      <c r="Z107" s="56" t="n">
        <v>13.5</v>
      </c>
      <c r="AA107" s="56" t="n">
        <v/>
      </c>
      <c r="AB107" s="56" t="n">
        <v/>
      </c>
      <c r="AC107" s="56" t="n">
        <v/>
      </c>
      <c r="AD107" s="56" t="n">
        <v/>
      </c>
      <c r="AE107" s="56" t="n">
        <v/>
      </c>
      <c r="AF107" s="56" t="n">
        <v>15.35</v>
      </c>
      <c r="AG107" s="56" t="n">
        <v>15.35</v>
      </c>
      <c r="AH107" s="56" t="n">
        <v/>
      </c>
      <c r="AI107" s="56" t="n">
        <v>14.45</v>
      </c>
      <c r="AJ107" s="56" t="n">
        <v>15.86666666666667</v>
      </c>
      <c r="AK107" s="56" t="n">
        <v/>
      </c>
      <c r="AL107" s="56" t="n"/>
      <c r="AM107" s="56" t="n"/>
      <c r="AN107" s="56" t="n"/>
      <c r="AO107" s="56" t="n"/>
      <c r="AP107" s="58">
        <f>COUNTIF(K107:AO107,"&gt;0")</f>
        <v/>
      </c>
      <c r="AQ107" s="71">
        <f>IF(AP107&gt;14,AVERAGE(K107:AO107),"")</f>
        <v/>
      </c>
      <c r="AR107" s="71">
        <f>IFERROR(VLOOKUP(A107,Climatologia_TMED!A:U,9+$E$2,FALSE),"")</f>
        <v/>
      </c>
      <c r="AS107" s="71">
        <f>IF(OR(AQ107="",AR107=""),"",IFERROR(AQ107-AR107,""))</f>
        <v/>
      </c>
    </row>
    <row r="108" ht="14.25" customHeight="1">
      <c r="A108" s="58" t="n">
        <v>24035430</v>
      </c>
      <c r="B108" s="59" t="inlineStr">
        <is>
          <t>Tunguavita - Aut</t>
        </is>
      </c>
      <c r="C108" s="59" t="inlineStr">
        <is>
          <t>Area Operativa 06 - Boyacá-Casanare-Vichada</t>
        </is>
      </c>
      <c r="D108" s="73" t="n">
        <v>-73.11636</v>
      </c>
      <c r="E108" s="73" t="n">
        <v>5.74583</v>
      </c>
      <c r="F108" s="58" t="n">
        <v>2521</v>
      </c>
      <c r="G108" s="58" t="n">
        <v>15</v>
      </c>
      <c r="H108" s="58" t="n">
        <v>15516</v>
      </c>
      <c r="I108" s="60" t="inlineStr">
        <is>
          <t>Boyacá</t>
        </is>
      </c>
      <c r="J108" s="60" t="inlineStr">
        <is>
          <t>Paipa</t>
        </is>
      </c>
      <c r="K108" s="56" t="n">
        <v>13.2</v>
      </c>
      <c r="L108" s="56" t="n">
        <v>13.45</v>
      </c>
      <c r="M108" s="56" t="n">
        <v>13.05</v>
      </c>
      <c r="N108" s="56" t="n">
        <v>15.4</v>
      </c>
      <c r="O108" s="56" t="n">
        <v>12.1</v>
      </c>
      <c r="P108" s="56" t="n">
        <v>14.1</v>
      </c>
      <c r="Q108" s="56" t="n">
        <v>13.2</v>
      </c>
      <c r="R108" s="56" t="n">
        <v>14.9</v>
      </c>
      <c r="S108" s="56" t="n">
        <v>14</v>
      </c>
      <c r="T108" s="56" t="n">
        <v>15.2</v>
      </c>
      <c r="U108" s="56" t="n">
        <v>13.75</v>
      </c>
      <c r="V108" s="56" t="n">
        <v>13.85</v>
      </c>
      <c r="W108" s="56" t="n">
        <v>11.6</v>
      </c>
      <c r="X108" s="56" t="n">
        <v>13.2</v>
      </c>
      <c r="Y108" s="56" t="n">
        <v>14.3</v>
      </c>
      <c r="Z108" s="56" t="n">
        <v>15.15</v>
      </c>
      <c r="AA108" s="56" t="n">
        <v>13.6</v>
      </c>
      <c r="AB108" s="56" t="n">
        <v>12.4</v>
      </c>
      <c r="AC108" s="56" t="n">
        <v>14.25</v>
      </c>
      <c r="AD108" s="56" t="n">
        <v>13.6</v>
      </c>
      <c r="AE108" s="56" t="n">
        <v>14.325</v>
      </c>
      <c r="AF108" s="56" t="n">
        <v>13.7</v>
      </c>
      <c r="AG108" s="56" t="n">
        <v>15.45</v>
      </c>
      <c r="AH108" s="56" t="n">
        <v>14.75</v>
      </c>
      <c r="AI108" s="56" t="n">
        <v>14.3</v>
      </c>
      <c r="AJ108" s="56" t="n">
        <v>14.3</v>
      </c>
      <c r="AK108" s="56" t="n">
        <v>14.95</v>
      </c>
      <c r="AL108" s="56" t="n"/>
      <c r="AM108" s="56" t="n"/>
      <c r="AN108" s="56" t="n"/>
      <c r="AO108" s="56" t="n"/>
      <c r="AP108" s="58">
        <f>COUNTIF(K108:AO108,"&gt;0")</f>
        <v/>
      </c>
      <c r="AQ108" s="71">
        <f>IF(AP108&gt;14,AVERAGE(K108:AO108),"")</f>
        <v/>
      </c>
      <c r="AR108" s="71">
        <f>IFERROR(VLOOKUP(A108,Climatologia_TMED!A:U,9+$E$2,FALSE),"")</f>
        <v/>
      </c>
      <c r="AS108" s="71">
        <f>IF(OR(AQ108="",AR108=""),"",IFERROR(AQ108-AR108,""))</f>
        <v/>
      </c>
    </row>
    <row r="109" ht="14.25" customHeight="1">
      <c r="A109" s="58" t="n">
        <v>35075010</v>
      </c>
      <c r="B109" s="59" t="inlineStr">
        <is>
          <t>Nuevo Colon</t>
        </is>
      </c>
      <c r="C109" s="59" t="inlineStr">
        <is>
          <t>Area Operativa 06 - Boyacá-Casanare-Vichada</t>
        </is>
      </c>
      <c r="D109" s="73" t="n">
        <v>-73.45377778</v>
      </c>
      <c r="E109" s="73" t="n">
        <v>5.352694444</v>
      </c>
      <c r="F109" s="58" t="n">
        <v>2438</v>
      </c>
      <c r="G109" s="58" t="n">
        <v>15</v>
      </c>
      <c r="H109" s="58" t="n">
        <v>15494</v>
      </c>
      <c r="I109" s="60" t="inlineStr">
        <is>
          <t>Boyacá</t>
        </is>
      </c>
      <c r="J109" s="60" t="inlineStr">
        <is>
          <t>Nuevo Colón</t>
        </is>
      </c>
      <c r="K109" s="56" t="n">
        <v>15</v>
      </c>
      <c r="L109" s="56" t="n">
        <v>14.65</v>
      </c>
      <c r="M109" s="56" t="n">
        <v>14.35</v>
      </c>
      <c r="N109" s="56" t="n">
        <v>13.8</v>
      </c>
      <c r="O109" s="56" t="n">
        <v>14.3</v>
      </c>
      <c r="P109" s="56" t="n">
        <v>14.35</v>
      </c>
      <c r="Q109" s="56" t="n">
        <v>14.15</v>
      </c>
      <c r="R109" s="56" t="n">
        <v>13.85</v>
      </c>
      <c r="S109" s="56" t="n">
        <v>15.8</v>
      </c>
      <c r="T109" s="56" t="n">
        <v>14.45</v>
      </c>
      <c r="U109" s="56" t="n">
        <v>15.2</v>
      </c>
      <c r="V109" s="56" t="n">
        <v>15.85</v>
      </c>
      <c r="W109" s="56" t="n">
        <v>14.25</v>
      </c>
      <c r="X109" s="56" t="n">
        <v>15.9</v>
      </c>
      <c r="Y109" s="56" t="n">
        <v>16.55</v>
      </c>
      <c r="Z109" s="56" t="n">
        <v>14.65</v>
      </c>
      <c r="AA109" s="56" t="n">
        <v>13.4</v>
      </c>
      <c r="AB109" s="56" t="n">
        <v>15.25</v>
      </c>
      <c r="AC109" s="56" t="n">
        <v>13.35</v>
      </c>
      <c r="AD109" s="56" t="n">
        <v>15.7</v>
      </c>
      <c r="AE109" s="56" t="n">
        <v>14.95</v>
      </c>
      <c r="AF109" s="56" t="n">
        <v>15.05</v>
      </c>
      <c r="AG109" s="56" t="n">
        <v>15.8</v>
      </c>
      <c r="AH109" s="56" t="n">
        <v>16</v>
      </c>
      <c r="AI109" s="56" t="n">
        <v>15.1</v>
      </c>
      <c r="AJ109" s="56" t="n">
        <v>15.65</v>
      </c>
      <c r="AK109" s="56" t="n">
        <v>15.65</v>
      </c>
      <c r="AL109" s="56" t="n"/>
      <c r="AM109" s="56" t="n"/>
      <c r="AN109" s="56" t="n"/>
      <c r="AO109" s="56" t="n"/>
      <c r="AP109" s="58">
        <f>COUNTIF(K109:AO109,"&gt;0")</f>
        <v/>
      </c>
      <c r="AQ109" s="71">
        <f>IF(AP109&gt;14,AVERAGE(K109:AO109),"")</f>
        <v/>
      </c>
      <c r="AR109" s="71">
        <f>IFERROR(VLOOKUP(A109,Climatologia_TMED!A:U,9+$E$2,FALSE),"")</f>
        <v/>
      </c>
      <c r="AS109" s="71">
        <f>IF(OR(AQ109="",AR109=""),"",IFERROR(AQ109-AR109,""))</f>
        <v/>
      </c>
    </row>
    <row r="110" ht="14.25" customHeight="1">
      <c r="A110" s="58" t="n">
        <v>35075020</v>
      </c>
      <c r="B110" s="59" t="inlineStr">
        <is>
          <t>Sutatenza</t>
        </is>
      </c>
      <c r="C110" s="59" t="inlineStr">
        <is>
          <t>Area Operativa 06 - Boyacá-Casanare-Vichada</t>
        </is>
      </c>
      <c r="D110" s="73" t="n">
        <v>-73.44916667</v>
      </c>
      <c r="E110" s="73" t="n">
        <v>5.022277778</v>
      </c>
      <c r="F110" s="58" t="n">
        <v>1930</v>
      </c>
      <c r="G110" s="58" t="n">
        <v>15</v>
      </c>
      <c r="H110" s="58" t="n">
        <v>15778</v>
      </c>
      <c r="I110" s="60" t="inlineStr">
        <is>
          <t>Boyacá</t>
        </is>
      </c>
      <c r="J110" s="60" t="inlineStr">
        <is>
          <t>Sutatenza</t>
        </is>
      </c>
      <c r="K110" s="56" t="n">
        <v/>
      </c>
      <c r="L110" s="56" t="n">
        <v>18.13333333333334</v>
      </c>
      <c r="M110" s="56" t="n">
        <v>17</v>
      </c>
      <c r="N110" s="56" t="n">
        <v>17.4</v>
      </c>
      <c r="O110" s="56" t="n">
        <v>18.46666666666667</v>
      </c>
      <c r="P110" s="56" t="n">
        <v/>
      </c>
      <c r="Q110" s="56" t="n">
        <v/>
      </c>
      <c r="R110" s="56" t="n">
        <v>17.06666666666667</v>
      </c>
      <c r="S110" s="56" t="n">
        <v>18</v>
      </c>
      <c r="T110" s="56" t="n">
        <v>17.13333333333334</v>
      </c>
      <c r="U110" s="56" t="n">
        <v>18.13333333333333</v>
      </c>
      <c r="V110" s="56" t="n">
        <v>18.6</v>
      </c>
      <c r="W110" s="56" t="n">
        <v>17.2</v>
      </c>
      <c r="X110" s="56" t="n">
        <v>19.06666666666667</v>
      </c>
      <c r="Y110" s="56" t="n">
        <v>18.6</v>
      </c>
      <c r="Z110" s="56" t="n">
        <v>18.06666666666667</v>
      </c>
      <c r="AA110" s="56" t="n">
        <v>18.4</v>
      </c>
      <c r="AB110" s="56" t="n">
        <v>17.46666666666667</v>
      </c>
      <c r="AC110" s="56" t="n">
        <v>17.13333333333334</v>
      </c>
      <c r="AD110" s="56" t="n">
        <v>18.86666666666667</v>
      </c>
      <c r="AE110" s="56" t="n">
        <v>17.73333333333333</v>
      </c>
      <c r="AF110" s="56" t="n">
        <v>19.53333333333333</v>
      </c>
      <c r="AG110" s="56" t="n">
        <v>18.73333333333333</v>
      </c>
      <c r="AH110" s="56" t="n">
        <v>18</v>
      </c>
      <c r="AI110" s="56" t="n">
        <v>18.86666666666667</v>
      </c>
      <c r="AJ110" s="56" t="n">
        <v>18.66666666666667</v>
      </c>
      <c r="AK110" s="56" t="n">
        <v>18.73333333333333</v>
      </c>
      <c r="AL110" s="56" t="n"/>
      <c r="AM110" s="56" t="n"/>
      <c r="AN110" s="56" t="n"/>
      <c r="AO110" s="56" t="n"/>
      <c r="AP110" s="58">
        <f>COUNTIF(K110:AO110,"&gt;0")</f>
        <v/>
      </c>
      <c r="AQ110" s="71">
        <f>IF(AP110&gt;14,AVERAGE(K110:AO110),"")</f>
        <v/>
      </c>
      <c r="AR110" s="71">
        <f>IFERROR(VLOOKUP(A110,Climatologia_TMED!A:U,9+$E$2,FALSE),"")</f>
        <v/>
      </c>
      <c r="AS110" s="71">
        <f>IF(OR(AQ110="",AR110=""),"",IFERROR(AQ110-AR110,""))</f>
        <v/>
      </c>
    </row>
    <row r="111" ht="14.25" customHeight="1">
      <c r="A111" s="58" t="n">
        <v>35075030</v>
      </c>
      <c r="B111" s="59" t="inlineStr">
        <is>
          <t>Villa Luisa</t>
        </is>
      </c>
      <c r="C111" s="59" t="inlineStr">
        <is>
          <t>Area Operativa 06 - Boyacá-Casanare-Vichada</t>
        </is>
      </c>
      <c r="D111" s="73" t="n">
        <v>-73.34941667</v>
      </c>
      <c r="E111" s="73" t="n">
        <v>5.422222222</v>
      </c>
      <c r="F111" s="58" t="n">
        <v>2200</v>
      </c>
      <c r="G111" s="58" t="n">
        <v>15</v>
      </c>
      <c r="H111" s="58" t="n">
        <v>15599</v>
      </c>
      <c r="I111" s="60" t="inlineStr">
        <is>
          <t>Boyacá</t>
        </is>
      </c>
      <c r="J111" s="60" t="inlineStr">
        <is>
          <t>Ramiriquí</t>
        </is>
      </c>
      <c r="K111" s="56" t="n">
        <v>15</v>
      </c>
      <c r="L111" s="56" t="n">
        <v>16</v>
      </c>
      <c r="M111" s="56" t="n">
        <v>15.26666666666667</v>
      </c>
      <c r="N111" s="56" t="n">
        <v>16.73333333333333</v>
      </c>
      <c r="O111" s="56" t="n">
        <v>14.93333333333333</v>
      </c>
      <c r="P111" s="56" t="n">
        <v>15.13333333333333</v>
      </c>
      <c r="Q111" s="56" t="n">
        <v>15.13333333333333</v>
      </c>
      <c r="R111" s="56" t="n">
        <v>14.8</v>
      </c>
      <c r="S111" s="56" t="n">
        <v>17</v>
      </c>
      <c r="T111" s="56" t="n">
        <v>15.66666666666667</v>
      </c>
      <c r="U111" s="56" t="n">
        <v>16.26666666666667</v>
      </c>
      <c r="V111" s="56" t="n">
        <v>17.73333333333333</v>
      </c>
      <c r="W111" s="56" t="n">
        <v>16.6</v>
      </c>
      <c r="X111" s="56" t="n">
        <v>15.53333333333333</v>
      </c>
      <c r="Y111" s="56" t="n">
        <v>16.8</v>
      </c>
      <c r="Z111" s="56" t="n">
        <v>15.6</v>
      </c>
      <c r="AA111" s="56" t="n">
        <v>16.46666666666667</v>
      </c>
      <c r="AB111" s="56" t="n">
        <v>15.73333333333333</v>
      </c>
      <c r="AC111" s="56" t="n">
        <v>15.73333333333333</v>
      </c>
      <c r="AD111" s="56" t="n">
        <v>16.33333333333333</v>
      </c>
      <c r="AE111" s="56" t="n">
        <v>16.9</v>
      </c>
      <c r="AF111" s="56" t="n">
        <v>15.95</v>
      </c>
      <c r="AG111" s="56" t="n">
        <v>17.4</v>
      </c>
      <c r="AH111" s="56" t="n">
        <v>16.7</v>
      </c>
      <c r="AI111" s="56" t="n">
        <v>16</v>
      </c>
      <c r="AJ111" s="56" t="n">
        <v>16.6</v>
      </c>
      <c r="AK111" s="56" t="n">
        <v>17.25</v>
      </c>
      <c r="AL111" s="56" t="n"/>
      <c r="AM111" s="56" t="n"/>
      <c r="AN111" s="56" t="n"/>
      <c r="AO111" s="56" t="n"/>
      <c r="AP111" s="58">
        <f>COUNTIF(K111:AO111,"&gt;0")</f>
        <v/>
      </c>
      <c r="AQ111" s="71">
        <f>IF(AP111&gt;14,AVERAGE(K111:AO111),"")</f>
        <v/>
      </c>
      <c r="AR111" s="71">
        <f>IFERROR(VLOOKUP(A111,Climatologia_TMED!A:U,9+$E$2,FALSE),"")</f>
        <v/>
      </c>
      <c r="AS111" s="71">
        <f>IF(OR(AQ111="",AR111=""),"",IFERROR(AQ111-AR111,""))</f>
        <v/>
      </c>
    </row>
    <row r="112" ht="14.25" customHeight="1">
      <c r="A112" s="58" t="n">
        <v>35075040</v>
      </c>
      <c r="B112" s="59" t="inlineStr">
        <is>
          <t>Institucion Agricola Macanal</t>
        </is>
      </c>
      <c r="C112" s="59" t="inlineStr">
        <is>
          <t>Area Operativa 06 - Boyacá-Casanare-Vichada</t>
        </is>
      </c>
      <c r="D112" s="73" t="n">
        <v>-73.31675</v>
      </c>
      <c r="E112" s="73" t="n">
        <v>4.974361111</v>
      </c>
      <c r="F112" s="58" t="n">
        <v>1300</v>
      </c>
      <c r="G112" s="58" t="n">
        <v>15</v>
      </c>
      <c r="H112" s="58" t="n">
        <v>15425</v>
      </c>
      <c r="I112" s="60" t="inlineStr">
        <is>
          <t>Boyacá</t>
        </is>
      </c>
      <c r="J112" s="60" t="inlineStr">
        <is>
          <t>Macanal</t>
        </is>
      </c>
      <c r="K112" s="56" t="n">
        <v>19.53333333333333</v>
      </c>
      <c r="L112" s="56" t="n">
        <v>18.86666666666667</v>
      </c>
      <c r="M112" s="56" t="n">
        <v>18.2</v>
      </c>
      <c r="N112" s="56" t="n">
        <v>18.46666666666667</v>
      </c>
      <c r="O112" s="56" t="n">
        <v>18.8</v>
      </c>
      <c r="P112" s="56" t="n">
        <v>18.66666666666667</v>
      </c>
      <c r="Q112" s="56" t="n">
        <v>18.8</v>
      </c>
      <c r="R112" s="56" t="n">
        <v>17</v>
      </c>
      <c r="S112" s="56" t="n">
        <v>18.46666666666667</v>
      </c>
      <c r="T112" s="56" t="n">
        <v>17.73333333333333</v>
      </c>
      <c r="U112" s="56" t="n">
        <v>18.53333333333333</v>
      </c>
      <c r="V112" s="56" t="n">
        <v>18.6</v>
      </c>
      <c r="W112" s="56" t="n">
        <v>18.6</v>
      </c>
      <c r="X112" s="56" t="n">
        <v>19.53333333333333</v>
      </c>
      <c r="Y112" s="56" t="n">
        <v>19.13333333333334</v>
      </c>
      <c r="Z112" s="56" t="n">
        <v>18.8</v>
      </c>
      <c r="AA112" s="56" t="n">
        <v>19.2</v>
      </c>
      <c r="AB112" s="56" t="n">
        <v>18</v>
      </c>
      <c r="AC112" s="56" t="n">
        <v>18.66666666666667</v>
      </c>
      <c r="AD112" s="56" t="n">
        <v>20</v>
      </c>
      <c r="AE112" s="56" t="n">
        <v>19.06666666666667</v>
      </c>
      <c r="AF112" s="56" t="n">
        <v>19.86666666666666</v>
      </c>
      <c r="AG112" s="56" t="n">
        <v>20.13333333333333</v>
      </c>
      <c r="AH112" s="56" t="n">
        <v>17.33333333333333</v>
      </c>
      <c r="AI112" s="56" t="n">
        <v>18.26666666666667</v>
      </c>
      <c r="AJ112" s="56" t="n">
        <v>18.66666666666667</v>
      </c>
      <c r="AK112" s="56" t="n">
        <v>18.66666666666667</v>
      </c>
      <c r="AL112" s="56" t="n"/>
      <c r="AM112" s="56" t="n"/>
      <c r="AN112" s="56" t="n"/>
      <c r="AO112" s="56" t="n"/>
      <c r="AP112" s="58">
        <f>COUNTIF(K112:AO112,"&gt;0")</f>
        <v/>
      </c>
      <c r="AQ112" s="71">
        <f>IF(AP112&gt;14,AVERAGE(K112:AO112),"")</f>
        <v/>
      </c>
      <c r="AR112" s="71">
        <f>IFERROR(VLOOKUP(A112,Climatologia_TMED!A:U,9+$E$2,FALSE),"")</f>
        <v/>
      </c>
      <c r="AS112" s="71">
        <f>IF(OR(AQ112="",AR112=""),"",IFERROR(AQ112-AR112,""))</f>
        <v/>
      </c>
    </row>
    <row r="113" ht="14.25" customHeight="1">
      <c r="A113" s="58" t="n">
        <v>35085040</v>
      </c>
      <c r="B113" s="59" t="inlineStr">
        <is>
          <t xml:space="preserve">El Vivero </t>
        </is>
      </c>
      <c r="C113" s="59" t="inlineStr">
        <is>
          <t>Area Operativa 06 - Boyacá-Casanare-Vichada</t>
        </is>
      </c>
      <c r="D113" s="73" t="n">
        <v>-73.14477778</v>
      </c>
      <c r="E113" s="73" t="n">
        <v>5.192555556</v>
      </c>
      <c r="F113" s="58" t="n">
        <v>1640</v>
      </c>
      <c r="G113" s="58" t="n">
        <v>15</v>
      </c>
      <c r="H113" s="58" t="n">
        <v>15455</v>
      </c>
      <c r="I113" s="60" t="inlineStr">
        <is>
          <t>Boyacá</t>
        </is>
      </c>
      <c r="J113" s="60" t="inlineStr">
        <is>
          <t>Miraflores</t>
        </is>
      </c>
      <c r="K113" s="56" t="n">
        <v/>
      </c>
      <c r="L113" s="56" t="n">
        <v>18.6</v>
      </c>
      <c r="M113" s="56" t="n">
        <v/>
      </c>
      <c r="N113" s="56" t="n">
        <v>18.13333333333333</v>
      </c>
      <c r="O113" s="56" t="n">
        <v>20.26666666666667</v>
      </c>
      <c r="P113" s="56" t="n">
        <v>19</v>
      </c>
      <c r="Q113" s="56" t="n">
        <v>20</v>
      </c>
      <c r="R113" s="56" t="n">
        <v>19.66666666666667</v>
      </c>
      <c r="S113" s="56" t="n">
        <v/>
      </c>
      <c r="T113" s="56" t="n">
        <v>18.4</v>
      </c>
      <c r="U113" s="56" t="n">
        <v>19.8</v>
      </c>
      <c r="V113" s="56" t="n">
        <v/>
      </c>
      <c r="W113" s="56" t="n">
        <v>19.53333333333333</v>
      </c>
      <c r="X113" s="56" t="n">
        <v>21.2</v>
      </c>
      <c r="Y113" s="56" t="n">
        <v>20.46666666666667</v>
      </c>
      <c r="Z113" s="56" t="n">
        <v>18.93333333333333</v>
      </c>
      <c r="AA113" s="56" t="n">
        <v>18.66666666666667</v>
      </c>
      <c r="AB113" s="56" t="n">
        <v>17.6</v>
      </c>
      <c r="AC113" s="56" t="n">
        <v>19.06666666666667</v>
      </c>
      <c r="AD113" s="56" t="n">
        <v>20.73333333333333</v>
      </c>
      <c r="AE113" s="56" t="n">
        <v/>
      </c>
      <c r="AF113" s="56" t="n">
        <v>21.6</v>
      </c>
      <c r="AG113" s="56" t="n">
        <v>21.73333333333333</v>
      </c>
      <c r="AH113" s="56" t="n">
        <v/>
      </c>
      <c r="AI113" s="56" t="n">
        <v>20.86666666666667</v>
      </c>
      <c r="AJ113" s="56" t="n">
        <v>21.13333333333334</v>
      </c>
      <c r="AK113" s="56" t="n">
        <v>21.26666666666667</v>
      </c>
      <c r="AL113" s="56" t="n"/>
      <c r="AM113" s="56" t="n"/>
      <c r="AN113" s="56" t="n"/>
      <c r="AO113" s="56" t="n"/>
      <c r="AP113" s="58">
        <f>COUNTIF(K113:AO113,"&gt;0")</f>
        <v/>
      </c>
      <c r="AQ113" s="71">
        <f>IF(AP113&gt;14,AVERAGE(K113:AO113),"")</f>
        <v/>
      </c>
      <c r="AR113" s="71">
        <f>IFERROR(VLOOKUP(A113,Climatologia_TMED!A:U,9+$E$2,FALSE),"")</f>
        <v/>
      </c>
      <c r="AS113" s="71">
        <f>IF(OR(AQ113="",AR113=""),"",IFERROR(AQ113-AR113,""))</f>
        <v/>
      </c>
    </row>
    <row r="114" ht="14.25" customHeight="1">
      <c r="A114" s="58" t="n">
        <v>35085050</v>
      </c>
      <c r="B114" s="59" t="inlineStr">
        <is>
          <t>Campohermoso</t>
        </is>
      </c>
      <c r="C114" s="59" t="inlineStr">
        <is>
          <t>Area Operativa 06 - Boyacá-Casanare-Vichada</t>
        </is>
      </c>
      <c r="D114" s="73" t="n">
        <v>-73.10366667</v>
      </c>
      <c r="E114" s="73" t="n">
        <v>5.0345</v>
      </c>
      <c r="F114" s="58" t="n">
        <v>1300</v>
      </c>
      <c r="G114" s="58" t="n">
        <v>15</v>
      </c>
      <c r="H114" s="58" t="n">
        <v>15135</v>
      </c>
      <c r="I114" s="60" t="inlineStr">
        <is>
          <t>Boyacá</t>
        </is>
      </c>
      <c r="J114" s="60" t="inlineStr">
        <is>
          <t>Campohermoso</t>
        </is>
      </c>
      <c r="K114" s="56" t="n">
        <v>22.73333333333333</v>
      </c>
      <c r="L114" s="56" t="n">
        <v>22.33333333333333</v>
      </c>
      <c r="M114" s="56" t="n">
        <v>22.2</v>
      </c>
      <c r="N114" s="56" t="n">
        <v/>
      </c>
      <c r="O114" s="56" t="n">
        <v/>
      </c>
      <c r="P114" s="56" t="n">
        <v/>
      </c>
      <c r="Q114" s="56" t="n">
        <v>22.33333333333333</v>
      </c>
      <c r="R114" s="56" t="n">
        <v>21.8</v>
      </c>
      <c r="S114" s="56" t="n">
        <v>22.53333333333333</v>
      </c>
      <c r="T114" s="56" t="n">
        <v>21.33333333333333</v>
      </c>
      <c r="U114" s="56" t="n">
        <v/>
      </c>
      <c r="V114" s="56" t="n">
        <v/>
      </c>
      <c r="W114" s="56" t="n">
        <v/>
      </c>
      <c r="X114" s="56" t="n">
        <v>24.33333333333333</v>
      </c>
      <c r="Y114" s="56" t="n">
        <v>23.26666666666667</v>
      </c>
      <c r="Z114" s="56" t="n">
        <v>23.13333333333334</v>
      </c>
      <c r="AA114" s="56" t="n">
        <v>23.13333333333334</v>
      </c>
      <c r="AB114" s="56" t="n">
        <v>21.8</v>
      </c>
      <c r="AC114" s="56" t="n">
        <v>22.66666666666667</v>
      </c>
      <c r="AD114" s="56" t="n">
        <v/>
      </c>
      <c r="AE114" s="56" t="n">
        <v>23.53333333333333</v>
      </c>
      <c r="AF114" s="56" t="n">
        <v>24.13333333333334</v>
      </c>
      <c r="AG114" s="56" t="n">
        <v>24.6</v>
      </c>
      <c r="AH114" s="56" t="n">
        <v/>
      </c>
      <c r="AI114" s="56" t="n">
        <v/>
      </c>
      <c r="AJ114" s="56" t="n">
        <v/>
      </c>
      <c r="AK114" s="56" t="n">
        <v/>
      </c>
      <c r="AL114" s="56" t="n"/>
      <c r="AM114" s="56" t="n"/>
      <c r="AN114" s="56" t="n"/>
      <c r="AO114" s="56" t="n"/>
      <c r="AP114" s="58">
        <f>COUNTIF(K114:AO114,"&gt;0")</f>
        <v/>
      </c>
      <c r="AQ114" s="71">
        <f>IF(AP114&gt;14,AVERAGE(K114:AO114),"")</f>
        <v/>
      </c>
      <c r="AR114" s="71">
        <f>IFERROR(VLOOKUP(A114,Climatologia_TMED!A:U,9+$E$2,FALSE),"")</f>
        <v/>
      </c>
      <c r="AS114" s="71">
        <f>IF(OR(AQ114="",AR114=""),"",IFERROR(AQ114-AR114,""))</f>
        <v/>
      </c>
    </row>
    <row r="115" ht="14.25" customHeight="1">
      <c r="A115" s="58" t="n">
        <v>35195030</v>
      </c>
      <c r="B115" s="59" t="inlineStr">
        <is>
          <t>Aguazul</t>
        </is>
      </c>
      <c r="C115" s="59" t="inlineStr">
        <is>
          <t>Area Operativa 06 - Boyacá-Casanare-Vichada</t>
        </is>
      </c>
      <c r="D115" s="73" t="n">
        <v>-72.54738888999999</v>
      </c>
      <c r="E115" s="73" t="n">
        <v>5.177083333</v>
      </c>
      <c r="F115" s="58" t="n">
        <v>380</v>
      </c>
      <c r="G115" s="58" t="n">
        <v>85</v>
      </c>
      <c r="H115" s="58" t="n">
        <v>85010</v>
      </c>
      <c r="I115" s="60" t="inlineStr">
        <is>
          <t>Casanare</t>
        </is>
      </c>
      <c r="J115" s="60" t="inlineStr">
        <is>
          <t>Aguazul</t>
        </is>
      </c>
      <c r="K115" s="56" t="n">
        <v>29.4</v>
      </c>
      <c r="L115" s="56" t="n">
        <v>27.55</v>
      </c>
      <c r="M115" s="56" t="n">
        <v>28.35</v>
      </c>
      <c r="N115" s="56" t="n">
        <v>27.45</v>
      </c>
      <c r="O115" s="56" t="n">
        <v>28.45</v>
      </c>
      <c r="P115" s="56" t="n">
        <v>26.9</v>
      </c>
      <c r="Q115" s="56" t="n">
        <v>27.95</v>
      </c>
      <c r="R115" s="56" t="n">
        <v>27.85</v>
      </c>
      <c r="S115" s="56" t="n">
        <v>27.1</v>
      </c>
      <c r="T115" s="56" t="n">
        <v>26.15</v>
      </c>
      <c r="U115" s="56" t="n">
        <v>27.2</v>
      </c>
      <c r="V115" s="56" t="n">
        <v>28.85</v>
      </c>
      <c r="W115" s="56" t="n">
        <v>26.25</v>
      </c>
      <c r="X115" s="56" t="n">
        <v>28.55</v>
      </c>
      <c r="Y115" s="56" t="n">
        <v>26.85</v>
      </c>
      <c r="Z115" s="56" t="n">
        <v>28.1</v>
      </c>
      <c r="AA115" s="56" t="n">
        <v>27.4</v>
      </c>
      <c r="AB115" s="56" t="n">
        <v>27.25</v>
      </c>
      <c r="AC115" s="56" t="n">
        <v>27</v>
      </c>
      <c r="AD115" s="56" t="n">
        <v>28.35</v>
      </c>
      <c r="AE115" s="56" t="n">
        <v>29.4</v>
      </c>
      <c r="AF115" s="56" t="n">
        <v>29</v>
      </c>
      <c r="AG115" s="56" t="n">
        <v>29.95</v>
      </c>
      <c r="AH115" s="56" t="n">
        <v>26</v>
      </c>
      <c r="AI115" s="56" t="n">
        <v>27.3</v>
      </c>
      <c r="AJ115" s="56" t="n">
        <v>28.45</v>
      </c>
      <c r="AK115" s="56" t="n">
        <v>26.95</v>
      </c>
      <c r="AL115" s="56" t="n"/>
      <c r="AM115" s="56" t="n"/>
      <c r="AN115" s="56" t="n"/>
      <c r="AO115" s="56" t="n"/>
      <c r="AP115" s="58">
        <f>COUNTIF(K115:AO115,"&gt;0")</f>
        <v/>
      </c>
      <c r="AQ115" s="71">
        <f>IF(AP115&gt;14,AVERAGE(K115:AO115),"")</f>
        <v/>
      </c>
      <c r="AR115" s="71">
        <f>IFERROR(VLOOKUP(A115,Climatologia_TMED!A:U,9+$E$2,FALSE),"")</f>
        <v/>
      </c>
      <c r="AS115" s="71">
        <f>IF(OR(AQ115="",AR115=""),"",IFERROR(AQ115-AR115,""))</f>
        <v/>
      </c>
    </row>
    <row r="116" ht="14.25" customHeight="1">
      <c r="A116" s="58" t="n">
        <v>35195050</v>
      </c>
      <c r="B116" s="59" t="inlineStr">
        <is>
          <t>Corinto</t>
        </is>
      </c>
      <c r="C116" s="59" t="inlineStr">
        <is>
          <t>Area Operativa 06 - Boyacá-Casanare-Vichada</t>
        </is>
      </c>
      <c r="D116" s="73" t="n">
        <v>-72.71722222</v>
      </c>
      <c r="E116" s="73" t="n">
        <v>5.407277778</v>
      </c>
      <c r="F116" s="58" t="n">
        <v>1550</v>
      </c>
      <c r="G116" s="58" t="n">
        <v>15</v>
      </c>
      <c r="H116" s="58" t="n">
        <v>15518</v>
      </c>
      <c r="I116" s="60" t="inlineStr">
        <is>
          <t>Boyacá</t>
        </is>
      </c>
      <c r="J116" s="60" t="inlineStr">
        <is>
          <t>Pajarito</t>
        </is>
      </c>
      <c r="K116" s="56" t="n">
        <v>19.53333333333333</v>
      </c>
      <c r="L116" s="56" t="n">
        <v>19.26666666666667</v>
      </c>
      <c r="M116" s="56" t="n">
        <v>20</v>
      </c>
      <c r="N116" s="56" t="n">
        <v>19.26666666666667</v>
      </c>
      <c r="O116" s="56" t="n">
        <v>20.13333333333333</v>
      </c>
      <c r="P116" s="56" t="n">
        <v>19.46666666666667</v>
      </c>
      <c r="Q116" s="56" t="n">
        <v>19.93333333333333</v>
      </c>
      <c r="R116" s="56" t="n">
        <v>19.46666666666667</v>
      </c>
      <c r="S116" s="56" t="n">
        <v>18.93333333333333</v>
      </c>
      <c r="T116" s="56" t="n">
        <v>19.2</v>
      </c>
      <c r="U116" s="56" t="n">
        <v>19.93333333333333</v>
      </c>
      <c r="V116" s="56" t="n">
        <v>20</v>
      </c>
      <c r="W116" s="56" t="n">
        <v>18.43333333333333</v>
      </c>
      <c r="X116" s="56" t="n">
        <v>20</v>
      </c>
      <c r="Y116" s="56" t="n">
        <v>19.46666666666667</v>
      </c>
      <c r="Z116" s="56" t="n">
        <v>19.6</v>
      </c>
      <c r="AA116" s="56" t="n">
        <v>19.93333333333333</v>
      </c>
      <c r="AB116" s="56" t="n">
        <v>19.26666666666667</v>
      </c>
      <c r="AC116" s="56" t="n">
        <v>19.73333333333333</v>
      </c>
      <c r="AD116" s="56" t="n">
        <v>20</v>
      </c>
      <c r="AE116" s="56" t="n">
        <v>19.53333333333333</v>
      </c>
      <c r="AF116" s="56" t="n">
        <v>20</v>
      </c>
      <c r="AG116" s="56" t="n">
        <v>19.8</v>
      </c>
      <c r="AH116" s="56" t="n">
        <v>20.06666666666667</v>
      </c>
      <c r="AI116" s="56" t="n">
        <v>20.06666666666667</v>
      </c>
      <c r="AJ116" s="56" t="n">
        <v>19.73333333333333</v>
      </c>
      <c r="AK116" s="56" t="n">
        <v>18.86666666666666</v>
      </c>
      <c r="AL116" s="56" t="n"/>
      <c r="AM116" s="56" t="n"/>
      <c r="AN116" s="56" t="n"/>
      <c r="AO116" s="56" t="n"/>
      <c r="AP116" s="58">
        <f>COUNTIF(K116:AO116,"&gt;0")</f>
        <v/>
      </c>
      <c r="AQ116" s="71">
        <f>IF(AP116&gt;14,AVERAGE(K116:AO116),"")</f>
        <v/>
      </c>
      <c r="AR116" s="71">
        <f>IFERROR(VLOOKUP(A116,Climatologia_TMED!A:U,9+$E$2,FALSE),"")</f>
        <v/>
      </c>
      <c r="AS116" s="71">
        <f>IF(OR(AQ116="",AR116=""),"",IFERROR(AQ116-AR116,""))</f>
        <v/>
      </c>
    </row>
    <row r="117" ht="14.25" customHeight="1">
      <c r="A117" s="58" t="n">
        <v>35215020</v>
      </c>
      <c r="B117" s="59" t="inlineStr">
        <is>
          <t>Aeropuerto Yopal - Aut</t>
        </is>
      </c>
      <c r="C117" s="59" t="inlineStr">
        <is>
          <t>Area Operativa 06 - Boyacá-Casanare-Vichada</t>
        </is>
      </c>
      <c r="D117" s="73" t="n">
        <v>-72.3875</v>
      </c>
      <c r="E117" s="73" t="n">
        <v>5.320444444</v>
      </c>
      <c r="F117" s="58" t="n">
        <v>325</v>
      </c>
      <c r="G117" s="58" t="n">
        <v>85</v>
      </c>
      <c r="H117" s="58" t="n">
        <v>85001</v>
      </c>
      <c r="I117" s="60" t="inlineStr">
        <is>
          <t>Casanare</t>
        </is>
      </c>
      <c r="J117" s="60" t="inlineStr">
        <is>
          <t>Yopal</t>
        </is>
      </c>
      <c r="K117" s="56" t="n">
        <v>28.73333333333333</v>
      </c>
      <c r="L117" s="56" t="n">
        <v>26.93333333333334</v>
      </c>
      <c r="M117" s="56" t="n">
        <v>27.93333333333333</v>
      </c>
      <c r="N117" s="56" t="n">
        <v>26.26666666666667</v>
      </c>
      <c r="O117" s="56" t="n">
        <v>27.6</v>
      </c>
      <c r="P117" s="56" t="n">
        <v>26.26666666666667</v>
      </c>
      <c r="Q117" s="56" t="n">
        <v>27.86666666666666</v>
      </c>
      <c r="R117" s="56" t="n">
        <v>27.26666666666667</v>
      </c>
      <c r="S117" s="56" t="n">
        <v>27</v>
      </c>
      <c r="T117" s="56" t="n">
        <v>25.6</v>
      </c>
      <c r="U117" s="56" t="n">
        <v>27.2</v>
      </c>
      <c r="V117" s="56" t="n">
        <v/>
      </c>
      <c r="W117" s="56" t="n">
        <v>25.66666666666667</v>
      </c>
      <c r="X117" s="56" t="n">
        <v>27.93333333333334</v>
      </c>
      <c r="Y117" s="56" t="n">
        <v>26.66666666666667</v>
      </c>
      <c r="Z117" s="56" t="n">
        <v>27.6</v>
      </c>
      <c r="AA117" s="56" t="n">
        <v>26.86666666666666</v>
      </c>
      <c r="AB117" s="56" t="n">
        <v>27.66666666666667</v>
      </c>
      <c r="AC117" s="56" t="n">
        <v>27</v>
      </c>
      <c r="AD117" s="56" t="n">
        <v>28.6</v>
      </c>
      <c r="AE117" s="56" t="n">
        <v>29.46666666666667</v>
      </c>
      <c r="AF117" s="56" t="n">
        <v>29.46666666666667</v>
      </c>
      <c r="AG117" s="56" t="n">
        <v>28.86666666666666</v>
      </c>
      <c r="AH117" s="56" t="n">
        <v>25.6</v>
      </c>
      <c r="AI117" s="56" t="n">
        <v>27.06666666666667</v>
      </c>
      <c r="AJ117" s="56" t="n">
        <v>28.66666666666667</v>
      </c>
      <c r="AK117" s="56" t="n">
        <v>26.4</v>
      </c>
      <c r="AL117" s="56" t="n"/>
      <c r="AM117" s="56" t="n"/>
      <c r="AN117" s="56" t="n"/>
      <c r="AO117" s="56" t="n"/>
      <c r="AP117" s="58">
        <f>COUNTIF(K117:AO117,"&gt;0")</f>
        <v/>
      </c>
      <c r="AQ117" s="71">
        <f>IF(AP117&gt;14,AVERAGE(K117:AO117),"")</f>
        <v/>
      </c>
      <c r="AR117" s="71">
        <f>IFERROR(VLOOKUP(A117,Climatologia_TMED!A:U,9+$E$2,FALSE),"")</f>
        <v/>
      </c>
      <c r="AS117" s="71">
        <f>IF(OR(AQ117="",AR117=""),"",IFERROR(AQ117-AR117,""))</f>
        <v/>
      </c>
    </row>
    <row r="118" ht="14.25" customHeight="1">
      <c r="A118" s="58" t="n">
        <v>35235040</v>
      </c>
      <c r="B118" s="59" t="inlineStr">
        <is>
          <t>Trinidad - Aut</t>
        </is>
      </c>
      <c r="C118" s="59" t="inlineStr">
        <is>
          <t>Area Operativa 06 - Boyacá-Casanare-Vichada</t>
        </is>
      </c>
      <c r="D118" s="73" t="n">
        <v>-71.66616667</v>
      </c>
      <c r="E118" s="73" t="n">
        <v>5.419027778</v>
      </c>
      <c r="F118" s="58" t="n">
        <v>265</v>
      </c>
      <c r="G118" s="58" t="n">
        <v>85</v>
      </c>
      <c r="H118" s="58" t="n">
        <v>85430</v>
      </c>
      <c r="I118" s="60" t="inlineStr">
        <is>
          <t>Casanare</t>
        </is>
      </c>
      <c r="J118" s="60" t="inlineStr">
        <is>
          <t>Trinidad</t>
        </is>
      </c>
      <c r="K118" s="56" t="n">
        <v/>
      </c>
      <c r="L118" s="56" t="n">
        <v/>
      </c>
      <c r="M118" s="56" t="n">
        <v/>
      </c>
      <c r="N118" s="56" t="n">
        <v/>
      </c>
      <c r="O118" s="56" t="n">
        <v/>
      </c>
      <c r="P118" s="56" t="n">
        <v>29</v>
      </c>
      <c r="Q118" s="56" t="n">
        <v>29.73333333333333</v>
      </c>
      <c r="R118" s="56" t="n">
        <v>29.46666666666667</v>
      </c>
      <c r="S118" s="56" t="n">
        <v>30.8</v>
      </c>
      <c r="T118" s="56" t="n">
        <v>29.4</v>
      </c>
      <c r="U118" s="56" t="n">
        <v>29.26666666666667</v>
      </c>
      <c r="V118" s="56" t="n">
        <v>29.4</v>
      </c>
      <c r="W118" s="56" t="n">
        <v>29.33333333333333</v>
      </c>
      <c r="X118" s="56" t="n">
        <v>30.13333333333334</v>
      </c>
      <c r="Y118" s="56" t="n">
        <v>30.93333333333333</v>
      </c>
      <c r="Z118" s="56" t="n">
        <v>29.93333333333334</v>
      </c>
      <c r="AA118" s="56" t="n">
        <v>30</v>
      </c>
      <c r="AB118" s="56" t="n">
        <v>30.8</v>
      </c>
      <c r="AC118" s="56" t="n">
        <v>28.06666666666667</v>
      </c>
      <c r="AD118" s="56" t="n">
        <v>29.93333333333334</v>
      </c>
      <c r="AE118" s="56" t="n">
        <v>30.66666666666667</v>
      </c>
      <c r="AF118" s="56" t="n">
        <v>30.4</v>
      </c>
      <c r="AG118" s="56" t="n">
        <v>29.86666666666666</v>
      </c>
      <c r="AH118" s="56" t="n">
        <v/>
      </c>
      <c r="AI118" s="56" t="n">
        <v>29.4</v>
      </c>
      <c r="AJ118" s="56" t="n">
        <v>29.86666666666666</v>
      </c>
      <c r="AK118" s="56" t="n">
        <v>29.66666666666667</v>
      </c>
      <c r="AL118" s="56" t="n"/>
      <c r="AM118" s="56" t="n"/>
      <c r="AN118" s="56" t="n"/>
      <c r="AO118" s="56" t="n"/>
      <c r="AP118" s="58">
        <f>COUNTIF(K118:AO118,"&gt;0")</f>
        <v/>
      </c>
      <c r="AQ118" s="71">
        <f>IF(AP118&gt;14,AVERAGE(K118:AO118),"")</f>
        <v/>
      </c>
      <c r="AR118" s="71">
        <f>IFERROR(VLOOKUP(A118,Climatologia_TMED!A:U,9+$E$2,FALSE),"")</f>
        <v/>
      </c>
      <c r="AS118" s="71">
        <f>IF(OR(AQ118="",AR118=""),"",IFERROR(AQ118-AR118,""))</f>
        <v/>
      </c>
    </row>
    <row r="119" ht="14.25" customHeight="1">
      <c r="A119" s="58" t="n">
        <v>35235050</v>
      </c>
      <c r="B119" s="59" t="inlineStr">
        <is>
          <t>Tamara - Aut</t>
        </is>
      </c>
      <c r="C119" s="59" t="inlineStr">
        <is>
          <t>Area Operativa 06 - Boyacá-Casanare-Vichada</t>
        </is>
      </c>
      <c r="D119" s="73" t="n">
        <v>-72.16677778</v>
      </c>
      <c r="E119" s="73" t="n">
        <v>5.818583333</v>
      </c>
      <c r="F119" s="58" t="n">
        <v>117</v>
      </c>
      <c r="G119" s="58" t="n">
        <v>85</v>
      </c>
      <c r="H119" s="58" t="n">
        <v>85400</v>
      </c>
      <c r="I119" s="60" t="inlineStr">
        <is>
          <t>Casanare</t>
        </is>
      </c>
      <c r="J119" s="60" t="inlineStr">
        <is>
          <t>Támara</t>
        </is>
      </c>
      <c r="K119" s="56" t="n">
        <v>24.33333333333333</v>
      </c>
      <c r="L119" s="56" t="n">
        <v>23.93333333333333</v>
      </c>
      <c r="M119" s="56" t="n">
        <v>25</v>
      </c>
      <c r="N119" s="56" t="n">
        <v>24.73333333333333</v>
      </c>
      <c r="O119" s="56" t="n">
        <v>24.33333333333333</v>
      </c>
      <c r="P119" s="56" t="n">
        <v>23.73333333333333</v>
      </c>
      <c r="Q119" s="56" t="n">
        <v>23.73333333333333</v>
      </c>
      <c r="R119" s="56" t="n">
        <v>23.4</v>
      </c>
      <c r="S119" s="56" t="n">
        <v>23.6</v>
      </c>
      <c r="T119" s="56" t="n">
        <v/>
      </c>
      <c r="U119" s="56" t="n">
        <v/>
      </c>
      <c r="V119" s="56" t="n">
        <v>24.06666666666666</v>
      </c>
      <c r="W119" s="56" t="n">
        <v>24.6</v>
      </c>
      <c r="X119" s="56" t="n">
        <v>24.26666666666667</v>
      </c>
      <c r="Y119" s="56" t="n">
        <v/>
      </c>
      <c r="Z119" s="56" t="n">
        <v/>
      </c>
      <c r="AA119" s="56" t="n">
        <v/>
      </c>
      <c r="AB119" s="56" t="n">
        <v/>
      </c>
      <c r="AC119" s="56" t="n">
        <v/>
      </c>
      <c r="AD119" s="56" t="n">
        <v>24.26666666666667</v>
      </c>
      <c r="AE119" s="56" t="n">
        <v>24</v>
      </c>
      <c r="AF119" s="56" t="n">
        <v>24.26666666666667</v>
      </c>
      <c r="AG119" s="56" t="n">
        <v>25</v>
      </c>
      <c r="AH119" s="56" t="n">
        <v>24.06666666666666</v>
      </c>
      <c r="AI119" s="56" t="n">
        <v>23.93333333333333</v>
      </c>
      <c r="AJ119" s="56" t="n">
        <v>23.66666666666667</v>
      </c>
      <c r="AK119" s="56" t="n">
        <v>23.66666666666667</v>
      </c>
      <c r="AL119" s="56" t="n"/>
      <c r="AM119" s="56" t="n"/>
      <c r="AN119" s="56" t="n"/>
      <c r="AO119" s="56" t="n"/>
      <c r="AP119" s="58">
        <f>COUNTIF(K119:AO119,"&gt;0")</f>
        <v/>
      </c>
      <c r="AQ119" s="71">
        <f>IF(AP119&gt;14,AVERAGE(K119:AO119),"")</f>
        <v/>
      </c>
      <c r="AR119" s="71">
        <f>IFERROR(VLOOKUP(A119,Climatologia_TMED!A:U,9+$E$2,FALSE),"")</f>
        <v/>
      </c>
      <c r="AS119" s="71">
        <f>IF(OR(AQ119="",AR119=""),"",IFERROR(AQ119-AR119,""))</f>
        <v/>
      </c>
    </row>
    <row r="120" ht="14.25" customHeight="1">
      <c r="A120" s="58" t="n">
        <v>36015010</v>
      </c>
      <c r="B120" s="59" t="inlineStr">
        <is>
          <t>Paz De Ariporo</t>
        </is>
      </c>
      <c r="C120" s="59" t="inlineStr">
        <is>
          <t>Area Operativa 06 - Boyacá-Casanare-Vichada</t>
        </is>
      </c>
      <c r="D120" s="73" t="n">
        <v>-71.88719444</v>
      </c>
      <c r="E120" s="73" t="n">
        <v>5.878527778</v>
      </c>
      <c r="F120" s="58" t="n">
        <v>342</v>
      </c>
      <c r="G120" s="58" t="n">
        <v>85</v>
      </c>
      <c r="H120" s="58" t="n">
        <v>85250</v>
      </c>
      <c r="I120" s="60" t="inlineStr">
        <is>
          <t>Casanare</t>
        </is>
      </c>
      <c r="J120" s="60" t="inlineStr">
        <is>
          <t>Paz De Ariporo</t>
        </is>
      </c>
      <c r="K120" s="56" t="n">
        <v/>
      </c>
      <c r="L120" s="56" t="n">
        <v/>
      </c>
      <c r="M120" s="56" t="n">
        <v>29.2</v>
      </c>
      <c r="N120" s="56" t="n">
        <v>29.13333333333334</v>
      </c>
      <c r="O120" s="56" t="n">
        <v/>
      </c>
      <c r="P120" s="56" t="n">
        <v/>
      </c>
      <c r="Q120" s="56" t="n">
        <v/>
      </c>
      <c r="R120" s="56" t="n">
        <v>28.06666666666667</v>
      </c>
      <c r="S120" s="56" t="n">
        <v>28.26666666666667</v>
      </c>
      <c r="T120" s="56" t="n">
        <v>27.13333333333334</v>
      </c>
      <c r="U120" s="56" t="n">
        <v>27.8</v>
      </c>
      <c r="V120" s="56" t="n">
        <v>28.26666666666667</v>
      </c>
      <c r="W120" s="56" t="n">
        <v/>
      </c>
      <c r="X120" s="56" t="n">
        <v/>
      </c>
      <c r="Y120" s="56" t="n">
        <v>28.33333333333333</v>
      </c>
      <c r="Z120" s="56" t="n">
        <v>28.33333333333333</v>
      </c>
      <c r="AA120" s="56" t="n">
        <v>29</v>
      </c>
      <c r="AB120" s="56" t="n">
        <v>28.73333333333333</v>
      </c>
      <c r="AC120" s="56" t="n">
        <v>29.4</v>
      </c>
      <c r="AD120" s="56" t="n">
        <v/>
      </c>
      <c r="AE120" s="56" t="n">
        <v>29.53333333333333</v>
      </c>
      <c r="AF120" s="56" t="n">
        <v>29.06666666666667</v>
      </c>
      <c r="AG120" s="56" t="n">
        <v/>
      </c>
      <c r="AH120" s="56" t="n">
        <v/>
      </c>
      <c r="AI120" s="56" t="n">
        <v/>
      </c>
      <c r="AJ120" s="56" t="n">
        <v/>
      </c>
      <c r="AK120" s="56" t="n">
        <v/>
      </c>
      <c r="AL120" s="56" t="n"/>
      <c r="AM120" s="56" t="n"/>
      <c r="AN120" s="56" t="n"/>
      <c r="AO120" s="56" t="n"/>
      <c r="AP120" s="58">
        <f>COUNTIF(K120:AO120,"&gt;0")</f>
        <v/>
      </c>
      <c r="AQ120" s="71">
        <f>IF(AP120&gt;14,AVERAGE(K120:AO120),"")</f>
        <v/>
      </c>
      <c r="AR120" s="71">
        <f>IFERROR(VLOOKUP(A120,Climatologia_TMED!A:U,9+$E$2,FALSE),"")</f>
        <v/>
      </c>
      <c r="AS120" s="71">
        <f>IF(OR(AQ120="",AR120=""),"",IFERROR(AQ120-AR120,""))</f>
        <v/>
      </c>
    </row>
    <row r="121" ht="14.25" customHeight="1">
      <c r="A121" s="58" t="n">
        <v>36025010</v>
      </c>
      <c r="B121" s="59" t="inlineStr">
        <is>
          <t>Tame</t>
        </is>
      </c>
      <c r="C121" s="59" t="inlineStr">
        <is>
          <t>Area Operativa 06 - Boyacá-Casanare-Vichada</t>
        </is>
      </c>
      <c r="D121" s="73" t="n">
        <v>-71.74502778</v>
      </c>
      <c r="E121" s="73" t="n">
        <v>6.456194444</v>
      </c>
      <c r="F121" s="58" t="n">
        <v>350</v>
      </c>
      <c r="G121" s="58" t="n">
        <v>81</v>
      </c>
      <c r="H121" s="58" t="n">
        <v>81794</v>
      </c>
      <c r="I121" s="60" t="inlineStr">
        <is>
          <t>Arauca</t>
        </is>
      </c>
      <c r="J121" s="60" t="inlineStr">
        <is>
          <t>Tame</t>
        </is>
      </c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  <c r="AC121" s="56" t="n"/>
      <c r="AD121" s="56" t="n"/>
      <c r="AE121" s="56" t="n"/>
      <c r="AF121" s="56" t="n"/>
      <c r="AG121" s="56" t="n"/>
      <c r="AH121" s="56" t="n"/>
      <c r="AI121" s="56" t="n"/>
      <c r="AJ121" s="56" t="n"/>
      <c r="AK121" s="56" t="n"/>
      <c r="AL121" s="56" t="n"/>
      <c r="AM121" s="56" t="n"/>
      <c r="AN121" s="56" t="n"/>
      <c r="AO121" s="56" t="n"/>
      <c r="AP121" s="58">
        <f>COUNTIF(K121:AO121,"&gt;0")</f>
        <v/>
      </c>
      <c r="AQ121" s="71">
        <f>IF(AP121&gt;14,AVERAGE(K121:AO121),"")</f>
        <v/>
      </c>
      <c r="AR121" s="71">
        <f>IFERROR(VLOOKUP(A121,Climatologia_TMED!A:U,9+$E$2,FALSE),"")</f>
        <v/>
      </c>
      <c r="AS121" s="71">
        <f>IF(OR(AQ121="",AR121=""),"",IFERROR(AQ121-AR121,""))</f>
        <v/>
      </c>
    </row>
    <row r="122" ht="14.25" customHeight="1">
      <c r="A122" s="58" t="n">
        <v>44015030</v>
      </c>
      <c r="B122" s="59" t="inlineStr">
        <is>
          <t>Valencia</t>
        </is>
      </c>
      <c r="C122" s="59" t="inlineStr">
        <is>
          <t>Area Operativa 07 - Nariño-Putumayo</t>
        </is>
      </c>
      <c r="D122" s="73" t="n">
        <v>-76.66875</v>
      </c>
      <c r="E122" s="73" t="n">
        <v>1.900416667</v>
      </c>
      <c r="F122" s="58" t="n">
        <v>2900</v>
      </c>
      <c r="G122" s="58" t="n">
        <v>19</v>
      </c>
      <c r="H122" s="58" t="n">
        <v>19693</v>
      </c>
      <c r="I122" s="60" t="inlineStr">
        <is>
          <t>Cauca</t>
        </is>
      </c>
      <c r="J122" s="60" t="inlineStr">
        <is>
          <t>San Sebastián</t>
        </is>
      </c>
      <c r="K122" s="56" t="n">
        <v>12.93333333333333</v>
      </c>
      <c r="L122" s="56" t="n">
        <v>13</v>
      </c>
      <c r="M122" s="56" t="n">
        <v>11.86666666666667</v>
      </c>
      <c r="N122" s="56" t="n">
        <v>13.66666666666667</v>
      </c>
      <c r="O122" s="56" t="n">
        <v>11.93333333333333</v>
      </c>
      <c r="P122" s="56" t="n">
        <v>12.06666666666667</v>
      </c>
      <c r="Q122" s="56" t="n">
        <v>11.06666666666666</v>
      </c>
      <c r="R122" s="56" t="n">
        <v>13</v>
      </c>
      <c r="S122" s="56" t="n">
        <v>13.06666666666666</v>
      </c>
      <c r="T122" s="56" t="n">
        <v>14.26666666666667</v>
      </c>
      <c r="U122" s="56" t="n">
        <v>12.93333333333333</v>
      </c>
      <c r="V122" s="56" t="n">
        <v>13</v>
      </c>
      <c r="W122" s="56" t="n">
        <v>13.73333333333333</v>
      </c>
      <c r="X122" s="56" t="n">
        <v>13.13333333333333</v>
      </c>
      <c r="Y122" s="56" t="n">
        <v>13.73333333333333</v>
      </c>
      <c r="Z122" s="56" t="n">
        <v>12.26666666666667</v>
      </c>
      <c r="AA122" s="56" t="n">
        <v>13.93333333333333</v>
      </c>
      <c r="AB122" s="56" t="n">
        <v>12.73333333333333</v>
      </c>
      <c r="AC122" s="56" t="n">
        <v>12.4</v>
      </c>
      <c r="AD122" s="56" t="n">
        <v>11.53333333333333</v>
      </c>
      <c r="AE122" s="56" t="n">
        <v>12.66666666666667</v>
      </c>
      <c r="AF122" s="56" t="n">
        <v>13</v>
      </c>
      <c r="AG122" s="56" t="n">
        <v>13.33333333333333</v>
      </c>
      <c r="AH122" s="56" t="n">
        <v>13.53333333333333</v>
      </c>
      <c r="AI122" s="56" t="n">
        <v>12.26666666666667</v>
      </c>
      <c r="AJ122" s="56" t="n">
        <v>12</v>
      </c>
      <c r="AK122" s="56" t="n">
        <v>12.73333333333333</v>
      </c>
      <c r="AL122" s="56" t="n"/>
      <c r="AM122" s="56" t="n"/>
      <c r="AN122" s="56" t="n"/>
      <c r="AO122" s="56" t="n"/>
      <c r="AP122" s="58">
        <f>COUNTIF(K122:AO122,"&gt;0")</f>
        <v/>
      </c>
      <c r="AQ122" s="71">
        <f>IF(AP122&gt;14,AVERAGE(K122:AO122),"")</f>
        <v/>
      </c>
      <c r="AR122" s="71">
        <f>IFERROR(VLOOKUP(A122,Climatologia_TMED!A:U,9+$E$2,FALSE),"")</f>
        <v/>
      </c>
      <c r="AS122" s="71">
        <f>IF(OR(AQ122="",AR122=""),"",IFERROR(AQ122-AR122,""))</f>
        <v/>
      </c>
    </row>
    <row r="123" ht="14.25" customHeight="1">
      <c r="A123" s="58" t="n">
        <v>44015060</v>
      </c>
      <c r="B123" s="59" t="inlineStr">
        <is>
          <t>Acueducto Mocoa - Aut</t>
        </is>
      </c>
      <c r="C123" s="59" t="inlineStr">
        <is>
          <t>Area Operativa 07 - Nariño-Putumayo</t>
        </is>
      </c>
      <c r="D123" s="73" t="n">
        <v>-76.65183333</v>
      </c>
      <c r="E123" s="73" t="n">
        <v>1.157333333</v>
      </c>
      <c r="F123" s="58" t="n">
        <v>650</v>
      </c>
      <c r="G123" s="58" t="n">
        <v>86</v>
      </c>
      <c r="H123" s="58" t="n">
        <v>86001</v>
      </c>
      <c r="I123" s="60" t="inlineStr">
        <is>
          <t>Putumayo</t>
        </is>
      </c>
      <c r="J123" s="60" t="inlineStr">
        <is>
          <t>Mocoa</t>
        </is>
      </c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  <c r="AC123" s="56" t="n"/>
      <c r="AD123" s="56" t="n"/>
      <c r="AE123" s="56" t="n"/>
      <c r="AF123" s="56" t="n"/>
      <c r="AG123" s="56" t="n"/>
      <c r="AH123" s="56" t="n"/>
      <c r="AI123" s="56" t="n"/>
      <c r="AJ123" s="56" t="n"/>
      <c r="AK123" s="56" t="n"/>
      <c r="AL123" s="56" t="n"/>
      <c r="AM123" s="56" t="n"/>
      <c r="AN123" s="56" t="n"/>
      <c r="AO123" s="56" t="n"/>
      <c r="AP123" s="58">
        <f>COUNTIF(K123:AO123,"&gt;0")</f>
        <v/>
      </c>
      <c r="AQ123" s="71">
        <f>IF(AP123&gt;14,AVERAGE(K123:AO123),"")</f>
        <v/>
      </c>
      <c r="AR123" s="71">
        <f>IFERROR(VLOOKUP(A123,Climatologia_TMED!A:U,9+$E$2,FALSE),"")</f>
        <v/>
      </c>
      <c r="AS123" s="71">
        <f>IF(OR(AQ123="",AR123=""),"",IFERROR(AQ123-AR123,""))</f>
        <v/>
      </c>
    </row>
    <row r="124" ht="14.25" customHeight="1">
      <c r="A124" s="58" t="n">
        <v>47015040</v>
      </c>
      <c r="B124" s="59" t="inlineStr">
        <is>
          <t>Michoacan</t>
        </is>
      </c>
      <c r="C124" s="59" t="inlineStr">
        <is>
          <t>Area Operativa 07 - Nariño-Putumayo</t>
        </is>
      </c>
      <c r="D124" s="73" t="n">
        <v>-76.96097222</v>
      </c>
      <c r="E124" s="73" t="n">
        <v>1.198277778</v>
      </c>
      <c r="F124" s="58" t="n">
        <v>2100</v>
      </c>
      <c r="G124" s="58" t="n">
        <v>86</v>
      </c>
      <c r="H124" s="58" t="n">
        <v>86219</v>
      </c>
      <c r="I124" s="60" t="inlineStr">
        <is>
          <t>Putumayo</t>
        </is>
      </c>
      <c r="J124" s="60" t="inlineStr">
        <is>
          <t>Colón</t>
        </is>
      </c>
      <c r="K124" s="56" t="n">
        <v>16.06666666666667</v>
      </c>
      <c r="L124" s="56" t="n">
        <v>15.6</v>
      </c>
      <c r="M124" s="56" t="n">
        <v>16.13333333333334</v>
      </c>
      <c r="N124" s="56" t="n">
        <v>17.4</v>
      </c>
      <c r="O124" s="56" t="n">
        <v>16.33333333333333</v>
      </c>
      <c r="P124" s="56" t="n">
        <v>16.66666666666667</v>
      </c>
      <c r="Q124" s="56" t="n">
        <v>16.46666666666667</v>
      </c>
      <c r="R124" s="56" t="n">
        <v>16.73333333333333</v>
      </c>
      <c r="S124" s="56" t="n">
        <v>17.53333333333333</v>
      </c>
      <c r="T124" s="56" t="n">
        <v>17.73333333333333</v>
      </c>
      <c r="U124" s="56" t="n">
        <v>16.4</v>
      </c>
      <c r="V124" s="56" t="n">
        <v>14.53333333333333</v>
      </c>
      <c r="W124" s="56" t="n">
        <v>16.96666666666667</v>
      </c>
      <c r="X124" s="56" t="n">
        <v>17.06666666666667</v>
      </c>
      <c r="Y124" s="56" t="n">
        <v>16.33333333333333</v>
      </c>
      <c r="Z124" s="56" t="n">
        <v>14.53333333333333</v>
      </c>
      <c r="AA124" s="56" t="n">
        <v>18</v>
      </c>
      <c r="AB124" s="56" t="n">
        <v>16.2</v>
      </c>
      <c r="AC124" s="56" t="n">
        <v>15.4</v>
      </c>
      <c r="AD124" s="56" t="n">
        <v>17.46666666666667</v>
      </c>
      <c r="AE124" s="56" t="n">
        <v>17.13333333333333</v>
      </c>
      <c r="AF124" s="56" t="n">
        <v>17.4</v>
      </c>
      <c r="AG124" s="56" t="n">
        <v>18</v>
      </c>
      <c r="AH124" s="56" t="n">
        <v>18.6</v>
      </c>
      <c r="AI124" s="56" t="n">
        <v>17.26666666666667</v>
      </c>
      <c r="AJ124" s="56" t="n">
        <v/>
      </c>
      <c r="AK124" s="56" t="n">
        <v/>
      </c>
      <c r="AL124" s="56" t="n"/>
      <c r="AM124" s="56" t="n"/>
      <c r="AN124" s="56" t="n"/>
      <c r="AO124" s="56" t="n"/>
      <c r="AP124" s="58">
        <f>COUNTIF(K124:AO124,"&gt;0")</f>
        <v/>
      </c>
      <c r="AQ124" s="71">
        <f>IF(AP124&gt;14,AVERAGE(K124:AO124),"")</f>
        <v/>
      </c>
      <c r="AR124" s="71">
        <f>IFERROR(VLOOKUP(A124,Climatologia_TMED!A:U,9+$E$2,FALSE),"")</f>
        <v/>
      </c>
      <c r="AS124" s="71">
        <f>IF(OR(AQ124="",AR124=""),"",IFERROR(AQ124-AR124,""))</f>
        <v/>
      </c>
    </row>
    <row r="125" ht="14.25" customHeight="1">
      <c r="A125" s="58" t="n">
        <v>47015080</v>
      </c>
      <c r="B125" s="59" t="inlineStr">
        <is>
          <t>Monopamba</t>
        </is>
      </c>
      <c r="C125" s="59" t="inlineStr">
        <is>
          <t>Area Operativa 07 - Nariño-Putumayo</t>
        </is>
      </c>
      <c r="D125" s="73" t="n">
        <v>-77.30361111000001</v>
      </c>
      <c r="E125" s="73" t="n">
        <v>0.804916667</v>
      </c>
      <c r="F125" s="58" t="n">
        <v>1776</v>
      </c>
      <c r="G125" s="58" t="n">
        <v>52</v>
      </c>
      <c r="H125" s="58" t="n">
        <v>52573</v>
      </c>
      <c r="I125" s="60" t="inlineStr">
        <is>
          <t>Nariño</t>
        </is>
      </c>
      <c r="J125" s="60" t="inlineStr">
        <is>
          <t>Puerres</t>
        </is>
      </c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n"/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n"/>
      <c r="AM125" s="56" t="n"/>
      <c r="AN125" s="56" t="n"/>
      <c r="AO125" s="56" t="n"/>
      <c r="AP125" s="58">
        <f>COUNTIF(K125:AO125,"&gt;0")</f>
        <v/>
      </c>
      <c r="AQ125" s="71">
        <f>IF(AP125&gt;14,AVERAGE(K125:AO125),"")</f>
        <v/>
      </c>
      <c r="AR125" s="71">
        <f>IFERROR(VLOOKUP(A125,Climatologia_TMED!A:U,9+$E$2,FALSE),"")</f>
        <v/>
      </c>
      <c r="AS125" s="71">
        <f>IF(OR(AQ125="",AR125=""),"",IFERROR(AQ125-AR125,""))</f>
        <v/>
      </c>
    </row>
    <row r="126" ht="14.25" customHeight="1">
      <c r="A126" s="58" t="n">
        <v>47015100</v>
      </c>
      <c r="B126" s="59" t="inlineStr">
        <is>
          <t>El Encano - Aut</t>
        </is>
      </c>
      <c r="C126" s="59" t="inlineStr">
        <is>
          <t>Area Operativa 07 - Nariño-Putumayo</t>
        </is>
      </c>
      <c r="D126" s="73" t="n">
        <v>-77.16147221999999</v>
      </c>
      <c r="E126" s="73" t="n">
        <v>1.159944444</v>
      </c>
      <c r="F126" s="58" t="n">
        <v>2830</v>
      </c>
      <c r="G126" s="58" t="n">
        <v>52</v>
      </c>
      <c r="H126" s="58" t="n">
        <v>52001</v>
      </c>
      <c r="I126" s="60" t="inlineStr">
        <is>
          <t>Nariño</t>
        </is>
      </c>
      <c r="J126" s="60" t="inlineStr">
        <is>
          <t>Pasto</t>
        </is>
      </c>
      <c r="K126" s="56" t="n">
        <v>12.33333333333333</v>
      </c>
      <c r="L126" s="56" t="n">
        <v>11.46666666666667</v>
      </c>
      <c r="M126" s="56" t="n">
        <v/>
      </c>
      <c r="N126" s="56" t="n">
        <v>12</v>
      </c>
      <c r="O126" s="56" t="n">
        <v>11.6</v>
      </c>
      <c r="P126" s="56" t="n">
        <v>11.33333333333333</v>
      </c>
      <c r="Q126" s="56" t="n">
        <v/>
      </c>
      <c r="R126" s="56" t="n">
        <v>10.63333333333333</v>
      </c>
      <c r="S126" s="56" t="n">
        <v>11.93333333333333</v>
      </c>
      <c r="T126" s="56" t="n">
        <v>13</v>
      </c>
      <c r="U126" s="56" t="n">
        <v>12.73333333333333</v>
      </c>
      <c r="V126" s="56" t="n">
        <v>11.73333333333333</v>
      </c>
      <c r="W126" s="56" t="n">
        <v>12.66666666666667</v>
      </c>
      <c r="X126" s="56" t="n">
        <v>12.66666666666667</v>
      </c>
      <c r="Y126" s="56" t="n">
        <v/>
      </c>
      <c r="Z126" s="56" t="n">
        <v>11.53333333333333</v>
      </c>
      <c r="AA126" s="56" t="n">
        <v>12.33333333333333</v>
      </c>
      <c r="AB126" s="56" t="n">
        <v>11.8</v>
      </c>
      <c r="AC126" s="56" t="n">
        <v>12.13333333333333</v>
      </c>
      <c r="AD126" s="56" t="n">
        <v/>
      </c>
      <c r="AE126" s="56" t="n">
        <v/>
      </c>
      <c r="AF126" s="56" t="n">
        <v>12.66666666666667</v>
      </c>
      <c r="AG126" s="56" t="n">
        <v>13.66666666666667</v>
      </c>
      <c r="AH126" s="56" t="n">
        <v>13.53333333333333</v>
      </c>
      <c r="AI126" s="56" t="n">
        <v>12.6</v>
      </c>
      <c r="AJ126" s="56" t="n">
        <v>12.86666666666667</v>
      </c>
      <c r="AK126" s="56" t="n">
        <v>11.53333333333333</v>
      </c>
      <c r="AL126" s="56" t="n"/>
      <c r="AM126" s="56" t="n"/>
      <c r="AN126" s="56" t="n"/>
      <c r="AO126" s="56" t="n"/>
      <c r="AP126" s="58">
        <f>COUNTIF(K126:AO126,"&gt;0")</f>
        <v/>
      </c>
      <c r="AQ126" s="71">
        <f>IF(AP126&gt;14,AVERAGE(K126:AO126),"")</f>
        <v/>
      </c>
      <c r="AR126" s="71">
        <f>IFERROR(VLOOKUP(A126,Climatologia_TMED!A:U,9+$E$2,FALSE),"")</f>
        <v/>
      </c>
      <c r="AS126" s="71">
        <f>IF(OR(AQ126="",AR126=""),"",IFERROR(AQ126-AR126,""))</f>
        <v/>
      </c>
    </row>
    <row r="127" ht="14.25" customHeight="1">
      <c r="A127" s="58" t="n">
        <v>47035020</v>
      </c>
      <c r="B127" s="59" t="inlineStr">
        <is>
          <t>Puerto Ospina</t>
        </is>
      </c>
      <c r="C127" s="59" t="inlineStr">
        <is>
          <t>Area Operativa 07 - Nariño-Putumayo</t>
        </is>
      </c>
      <c r="D127" s="73" t="n">
        <v>-75.85111111000001</v>
      </c>
      <c r="E127" s="73" t="n">
        <v>0.132861111</v>
      </c>
      <c r="F127" s="58" t="n">
        <v>190</v>
      </c>
      <c r="G127" s="58" t="n">
        <v>86</v>
      </c>
      <c r="H127" s="58" t="n">
        <v>86573</v>
      </c>
      <c r="I127" s="60" t="inlineStr">
        <is>
          <t>Putumayo</t>
        </is>
      </c>
      <c r="J127" s="60" t="inlineStr">
        <is>
          <t>Puerto Leguízamo</t>
        </is>
      </c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  <c r="AC127" s="56" t="n"/>
      <c r="AD127" s="56" t="n"/>
      <c r="AE127" s="56" t="n"/>
      <c r="AF127" s="56" t="n"/>
      <c r="AG127" s="56" t="n"/>
      <c r="AH127" s="56" t="n"/>
      <c r="AI127" s="56" t="n"/>
      <c r="AJ127" s="56" t="n"/>
      <c r="AK127" s="56" t="n"/>
      <c r="AL127" s="56" t="n"/>
      <c r="AM127" s="56" t="n"/>
      <c r="AN127" s="56" t="n"/>
      <c r="AO127" s="56" t="n"/>
      <c r="AP127" s="58">
        <f>COUNTIF(K127:AO127,"&gt;0")</f>
        <v/>
      </c>
      <c r="AQ127" s="71">
        <f>IF(AP127&gt;14,AVERAGE(K127:AO127),"")</f>
        <v/>
      </c>
      <c r="AR127" s="71">
        <f>IFERROR(VLOOKUP(A127,Climatologia_TMED!A:U,9+$E$2,FALSE),"")</f>
        <v/>
      </c>
      <c r="AS127" s="71">
        <f>IF(OR(AQ127="",AR127=""),"",IFERROR(AQ127-AR127,""))</f>
        <v/>
      </c>
    </row>
    <row r="128" ht="14.25" customHeight="1">
      <c r="A128" s="58" t="n">
        <v>47045010</v>
      </c>
      <c r="B128" s="59" t="inlineStr">
        <is>
          <t>Puerto Leguizamo</t>
        </is>
      </c>
      <c r="C128" s="59" t="inlineStr">
        <is>
          <t>Area Operativa 07 - Nariño-Putumayo</t>
        </is>
      </c>
      <c r="D128" s="73" t="n">
        <v>-74.77627778</v>
      </c>
      <c r="E128" s="73" t="n">
        <v>-0.180611111</v>
      </c>
      <c r="F128" s="58" t="n">
        <v>147</v>
      </c>
      <c r="G128" s="58" t="n">
        <v>86</v>
      </c>
      <c r="H128" s="58" t="n">
        <v>86573</v>
      </c>
      <c r="I128" s="60" t="inlineStr">
        <is>
          <t>Putumayo</t>
        </is>
      </c>
      <c r="J128" s="60" t="inlineStr">
        <is>
          <t>Puerto Leguízamo</t>
        </is>
      </c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  <c r="AA128" s="56" t="n"/>
      <c r="AB128" s="56" t="n"/>
      <c r="AC128" s="56" t="n"/>
      <c r="AD128" s="56" t="n"/>
      <c r="AE128" s="56" t="n"/>
      <c r="AF128" s="56" t="n"/>
      <c r="AG128" s="56" t="n"/>
      <c r="AH128" s="56" t="n"/>
      <c r="AI128" s="56" t="n"/>
      <c r="AJ128" s="56" t="n"/>
      <c r="AK128" s="56" t="n"/>
      <c r="AL128" s="56" t="n"/>
      <c r="AM128" s="56" t="n"/>
      <c r="AN128" s="56" t="n"/>
      <c r="AO128" s="56" t="n"/>
      <c r="AP128" s="58">
        <f>COUNTIF(K128:AO128,"&gt;0")</f>
        <v/>
      </c>
      <c r="AQ128" s="71">
        <f>IF(AP128&gt;14,AVERAGE(K128:AO128),"")</f>
        <v/>
      </c>
      <c r="AR128" s="71">
        <f>IFERROR(VLOOKUP(A128,Climatologia_TMED!A:U,9+$E$2,FALSE),"")</f>
        <v/>
      </c>
      <c r="AS128" s="71">
        <f>IF(OR(AQ128="",AR128=""),"",IFERROR(AQ128-AR128,""))</f>
        <v/>
      </c>
    </row>
    <row r="129" ht="14.25" customHeight="1">
      <c r="A129" s="58" t="n">
        <v>51025090</v>
      </c>
      <c r="B129" s="59" t="inlineStr">
        <is>
          <t>Granja El Mira - - Aut</t>
        </is>
      </c>
      <c r="C129" s="59" t="inlineStr">
        <is>
          <t>Area Operativa 07 - Nariño-Putumayo</t>
        </is>
      </c>
      <c r="D129" s="73" t="n">
        <v>-78.69558333000001</v>
      </c>
      <c r="E129" s="73" t="n">
        <v>1.550194444</v>
      </c>
      <c r="F129" s="58" t="n">
        <v>16</v>
      </c>
      <c r="G129" s="58" t="n">
        <v>52</v>
      </c>
      <c r="H129" s="58" t="n">
        <v>52835</v>
      </c>
      <c r="I129" s="60" t="inlineStr">
        <is>
          <t>Nariño</t>
        </is>
      </c>
      <c r="J129" s="60" t="inlineStr">
        <is>
          <t>San Andrés De Tumaco</t>
        </is>
      </c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  <c r="AC129" s="56" t="n"/>
      <c r="AD129" s="56" t="n"/>
      <c r="AE129" s="56" t="n"/>
      <c r="AF129" s="56" t="n"/>
      <c r="AG129" s="56" t="n"/>
      <c r="AH129" s="56" t="n"/>
      <c r="AI129" s="56" t="n"/>
      <c r="AJ129" s="56" t="n"/>
      <c r="AK129" s="56" t="n"/>
      <c r="AL129" s="56" t="n"/>
      <c r="AM129" s="56" t="n"/>
      <c r="AN129" s="56" t="n"/>
      <c r="AO129" s="56" t="n"/>
      <c r="AP129" s="58">
        <f>COUNTIF(K129:AO129,"&gt;0")</f>
        <v/>
      </c>
      <c r="AQ129" s="71">
        <f>IF(AP129&gt;14,AVERAGE(K129:AO129),"")</f>
        <v/>
      </c>
      <c r="AR129" s="71">
        <f>IFERROR(VLOOKUP(A129,Climatologia_TMED!A:U,9+$E$2,FALSE),"")</f>
        <v/>
      </c>
      <c r="AS129" s="71">
        <f>IF(OR(AQ129="",AR129=""),"",IFERROR(AQ129-AR129,""))</f>
        <v/>
      </c>
    </row>
    <row r="130" ht="14.25" customHeight="1">
      <c r="A130" s="58" t="n">
        <v>52015010</v>
      </c>
      <c r="B130" s="59" t="inlineStr">
        <is>
          <t>Paispamba</t>
        </is>
      </c>
      <c r="C130" s="59" t="inlineStr">
        <is>
          <t>Area Operativa 07 - Nariño-Putumayo</t>
        </is>
      </c>
      <c r="D130" s="73" t="n">
        <v>-76.61194444</v>
      </c>
      <c r="E130" s="73" t="n">
        <v>2.249722222</v>
      </c>
      <c r="F130" s="58" t="n">
        <v>2450</v>
      </c>
      <c r="G130" s="58" t="n">
        <v>19</v>
      </c>
      <c r="H130" s="58" t="n">
        <v>19760</v>
      </c>
      <c r="I130" s="60" t="inlineStr">
        <is>
          <t>Cauca</t>
        </is>
      </c>
      <c r="J130" s="60" t="inlineStr">
        <is>
          <t>Sotará Paispamba</t>
        </is>
      </c>
      <c r="K130" s="56" t="n">
        <v>16.26666666666667</v>
      </c>
      <c r="L130" s="56" t="n">
        <v>15.6</v>
      </c>
      <c r="M130" s="56" t="n">
        <v>15.7</v>
      </c>
      <c r="N130" s="56" t="n">
        <v>16.86666666666667</v>
      </c>
      <c r="O130" s="56" t="n">
        <v>15.53333333333333</v>
      </c>
      <c r="P130" s="56" t="n">
        <v>14.9</v>
      </c>
      <c r="Q130" s="56" t="n">
        <v>15.73333333333333</v>
      </c>
      <c r="R130" s="56" t="n">
        <v>15.86666666666667</v>
      </c>
      <c r="S130" s="56" t="n">
        <v>17.73333333333333</v>
      </c>
      <c r="T130" s="56" t="n">
        <v>16.8</v>
      </c>
      <c r="U130" s="56" t="n">
        <v>16.03333333333333</v>
      </c>
      <c r="V130" s="56" t="n">
        <v>15.63333333333333</v>
      </c>
      <c r="W130" s="56" t="n">
        <v>16.86666666666666</v>
      </c>
      <c r="X130" s="56" t="n">
        <v>16.23333333333333</v>
      </c>
      <c r="Y130" s="56" t="n">
        <v>16.06666666666667</v>
      </c>
      <c r="Z130" s="56" t="n">
        <v>15.86666666666667</v>
      </c>
      <c r="AA130" s="56" t="n">
        <v>17.5</v>
      </c>
      <c r="AB130" s="56" t="n">
        <v>16.3</v>
      </c>
      <c r="AC130" s="56" t="n">
        <v>17.06666666666667</v>
      </c>
      <c r="AD130" s="56" t="n">
        <v>16.73333333333333</v>
      </c>
      <c r="AE130" s="56" t="n">
        <v>16.9</v>
      </c>
      <c r="AF130" s="56" t="n">
        <v>15.8</v>
      </c>
      <c r="AG130" s="56" t="n">
        <v>15</v>
      </c>
      <c r="AH130" s="56" t="n">
        <v>14.1</v>
      </c>
      <c r="AI130" s="56" t="n">
        <v>14.23333333333333</v>
      </c>
      <c r="AJ130" s="56" t="n">
        <v>15.6</v>
      </c>
      <c r="AK130" s="56" t="n">
        <v>14.5</v>
      </c>
      <c r="AL130" s="56" t="n"/>
      <c r="AM130" s="56" t="n"/>
      <c r="AN130" s="56" t="n"/>
      <c r="AO130" s="56" t="n"/>
      <c r="AP130" s="58">
        <f>COUNTIF(K130:AO130,"&gt;0")</f>
        <v/>
      </c>
      <c r="AQ130" s="71">
        <f>IF(AP130&gt;14,AVERAGE(K130:AO130),"")</f>
        <v/>
      </c>
      <c r="AR130" s="71">
        <f>IFERROR(VLOOKUP(A130,Climatologia_TMED!A:U,9+$E$2,FALSE),"")</f>
        <v/>
      </c>
      <c r="AS130" s="71">
        <f>IF(OR(AQ130="",AR130=""),"",IFERROR(AQ130-AR130,""))</f>
        <v/>
      </c>
    </row>
    <row r="131" ht="14.25" customHeight="1">
      <c r="A131" s="58" t="n">
        <v>52025020</v>
      </c>
      <c r="B131" s="59" t="inlineStr">
        <is>
          <t>Milagros Los</t>
        </is>
      </c>
      <c r="C131" s="59" t="inlineStr">
        <is>
          <t>Area Operativa 07 - Nariño-Putumayo</t>
        </is>
      </c>
      <c r="D131" s="73" t="n">
        <v>-76.89166667000001</v>
      </c>
      <c r="E131" s="73" t="n">
        <v>1.753333333</v>
      </c>
      <c r="F131" s="58" t="n">
        <v>2300</v>
      </c>
      <c r="G131" s="58" t="n">
        <v>19</v>
      </c>
      <c r="H131" s="58" t="n">
        <v>19100</v>
      </c>
      <c r="I131" s="60" t="inlineStr">
        <is>
          <t>Cauca</t>
        </is>
      </c>
      <c r="J131" s="60" t="inlineStr">
        <is>
          <t>Bolívar</t>
        </is>
      </c>
      <c r="K131" s="56" t="n">
        <v>19.25</v>
      </c>
      <c r="L131" s="56" t="n">
        <v>19.35</v>
      </c>
      <c r="M131" s="56" t="n">
        <v>18.05</v>
      </c>
      <c r="N131" s="56" t="n">
        <v>19.3</v>
      </c>
      <c r="O131" s="56" t="n">
        <v>17.75</v>
      </c>
      <c r="P131" s="56" t="n">
        <v>18.25</v>
      </c>
      <c r="Q131" s="56" t="n">
        <v>18.1</v>
      </c>
      <c r="R131" s="56" t="n">
        <v>18.65</v>
      </c>
      <c r="S131" s="56" t="n">
        <v>18.55</v>
      </c>
      <c r="T131" s="56" t="n">
        <v>19</v>
      </c>
      <c r="U131" s="56" t="n">
        <v>19.2</v>
      </c>
      <c r="V131" s="56" t="n">
        <v>19.35</v>
      </c>
      <c r="W131" s="56" t="n">
        <v>19.25</v>
      </c>
      <c r="X131" s="56" t="n">
        <v>19.45</v>
      </c>
      <c r="Y131" s="56" t="n">
        <v>19.5</v>
      </c>
      <c r="Z131" s="56" t="n">
        <v>18.25</v>
      </c>
      <c r="AA131" s="56" t="n">
        <v>18.85</v>
      </c>
      <c r="AB131" s="56" t="n">
        <v>18.5</v>
      </c>
      <c r="AC131" s="56" t="n">
        <v>18.5</v>
      </c>
      <c r="AD131" s="56" t="n">
        <v>19.25</v>
      </c>
      <c r="AE131" s="56" t="n">
        <v>19.7</v>
      </c>
      <c r="AF131" s="56" t="n">
        <v>18.45</v>
      </c>
      <c r="AG131" s="56" t="n">
        <v>19.3</v>
      </c>
      <c r="AH131" s="56" t="n">
        <v>17.8</v>
      </c>
      <c r="AI131" s="56" t="n">
        <v>17.65</v>
      </c>
      <c r="AJ131" s="56" t="n">
        <v>18.1</v>
      </c>
      <c r="AK131" s="56" t="n">
        <v>16.7</v>
      </c>
      <c r="AL131" s="56" t="n"/>
      <c r="AM131" s="56" t="n"/>
      <c r="AN131" s="56" t="n"/>
      <c r="AO131" s="56" t="n"/>
      <c r="AP131" s="58">
        <f>COUNTIF(K131:AO131,"&gt;0")</f>
        <v/>
      </c>
      <c r="AQ131" s="71">
        <f>IF(AP131&gt;14,AVERAGE(K131:AO131),"")</f>
        <v/>
      </c>
      <c r="AR131" s="71">
        <f>IFERROR(VLOOKUP(A131,Climatologia_TMED!A:U,9+$E$2,FALSE),"")</f>
        <v/>
      </c>
      <c r="AS131" s="71">
        <f>IF(OR(AQ131="",AR131=""),"",IFERROR(AQ131-AR131,""))</f>
        <v/>
      </c>
    </row>
    <row r="132" ht="14.25" customHeight="1">
      <c r="A132" s="58" t="n">
        <v>52025090</v>
      </c>
      <c r="B132" s="59" t="inlineStr">
        <is>
          <t>La Sierra - Aut</t>
        </is>
      </c>
      <c r="C132" s="59" t="inlineStr">
        <is>
          <t>Area Operativa 07 - Nariño-Putumayo</t>
        </is>
      </c>
      <c r="D132" s="73" t="n">
        <v>-76.75033333</v>
      </c>
      <c r="E132" s="73" t="n">
        <v>2.193833333</v>
      </c>
      <c r="F132" s="58" t="n">
        <v>1870</v>
      </c>
      <c r="G132" s="58" t="n">
        <v>19</v>
      </c>
      <c r="H132" s="58" t="n">
        <v>19392</v>
      </c>
      <c r="I132" s="60" t="inlineStr">
        <is>
          <t>Cauca</t>
        </is>
      </c>
      <c r="J132" s="60" t="inlineStr">
        <is>
          <t>La Sierra</t>
        </is>
      </c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  <c r="AA132" s="56" t="n"/>
      <c r="AB132" s="56" t="n"/>
      <c r="AC132" s="56" t="n"/>
      <c r="AD132" s="56" t="n"/>
      <c r="AE132" s="56" t="n"/>
      <c r="AF132" s="56" t="n"/>
      <c r="AG132" s="56" t="n"/>
      <c r="AH132" s="56" t="n"/>
      <c r="AI132" s="56" t="n"/>
      <c r="AJ132" s="56" t="n"/>
      <c r="AK132" s="56" t="n"/>
      <c r="AL132" s="56" t="n"/>
      <c r="AM132" s="56" t="n"/>
      <c r="AN132" s="56" t="n"/>
      <c r="AO132" s="56" t="n"/>
      <c r="AP132" s="58">
        <f>COUNTIF(K132:AO132,"&gt;0")</f>
        <v/>
      </c>
      <c r="AQ132" s="71">
        <f>IF(AP132&gt;14,AVERAGE(K132:AO132),"")</f>
        <v/>
      </c>
      <c r="AR132" s="71">
        <f>IFERROR(VLOOKUP(A132,Climatologia_TMED!A:U,9+$E$2,FALSE),"")</f>
        <v/>
      </c>
      <c r="AS132" s="71">
        <f>IF(OR(AQ132="",AR132=""),"",IFERROR(AQ132-AR132,""))</f>
        <v/>
      </c>
    </row>
    <row r="133" ht="14.25" customHeight="1">
      <c r="A133" s="58" t="n">
        <v>52045010</v>
      </c>
      <c r="B133" s="59" t="inlineStr">
        <is>
          <t>Obonuco</t>
        </is>
      </c>
      <c r="C133" s="59" t="inlineStr">
        <is>
          <t>Area Operativa 07 - Nariño-Putumayo</t>
        </is>
      </c>
      <c r="D133" s="73" t="n">
        <v>-77.30308333000001</v>
      </c>
      <c r="E133" s="73" t="n">
        <v>1.198222222</v>
      </c>
      <c r="F133" s="58" t="n">
        <v>2710</v>
      </c>
      <c r="G133" s="58" t="n">
        <v>52</v>
      </c>
      <c r="H133" s="58" t="n">
        <v>52001</v>
      </c>
      <c r="I133" s="60" t="inlineStr">
        <is>
          <t>Nariño</t>
        </is>
      </c>
      <c r="J133" s="60" t="inlineStr">
        <is>
          <t>Pasto</t>
        </is>
      </c>
      <c r="K133" s="56" t="n">
        <v>14.93333333333333</v>
      </c>
      <c r="L133" s="56" t="n">
        <v>14.36666666666667</v>
      </c>
      <c r="M133" s="56" t="n">
        <v>13.73333333333333</v>
      </c>
      <c r="N133" s="56" t="n">
        <v>13.8</v>
      </c>
      <c r="O133" s="56" t="n">
        <v>13.56666666666667</v>
      </c>
      <c r="P133" s="56" t="n">
        <v>12.73333333333333</v>
      </c>
      <c r="Q133" s="56" t="n">
        <v>13.4</v>
      </c>
      <c r="R133" s="56" t="n">
        <v>13.63333333333333</v>
      </c>
      <c r="S133" s="56" t="n">
        <v>13.16666666666667</v>
      </c>
      <c r="T133" s="56" t="n">
        <v>14.53333333333333</v>
      </c>
      <c r="U133" s="56" t="n">
        <v>14.2</v>
      </c>
      <c r="V133" s="56" t="n">
        <v>14.43333333333333</v>
      </c>
      <c r="W133" s="56" t="n">
        <v>14.73333333333333</v>
      </c>
      <c r="X133" s="56" t="n">
        <v>14.2</v>
      </c>
      <c r="Y133" s="56" t="n">
        <v>14</v>
      </c>
      <c r="Z133" s="56" t="n">
        <v>14.06666666666667</v>
      </c>
      <c r="AA133" s="56" t="n">
        <v>14.63333333333333</v>
      </c>
      <c r="AB133" s="56" t="n">
        <v>14</v>
      </c>
      <c r="AC133" s="56" t="n">
        <v>14.46666666666667</v>
      </c>
      <c r="AD133" s="56" t="n">
        <v>14.5</v>
      </c>
      <c r="AE133" s="56" t="n">
        <v>14.13333333333333</v>
      </c>
      <c r="AF133" s="56" t="n">
        <v>15.26666666666667</v>
      </c>
      <c r="AG133" s="56" t="n">
        <v>15</v>
      </c>
      <c r="AH133" s="56" t="n">
        <v>15.4</v>
      </c>
      <c r="AI133" s="56" t="n">
        <v>13.73333333333333</v>
      </c>
      <c r="AJ133" s="56" t="n">
        <v>14.13333333333333</v>
      </c>
      <c r="AK133" s="56" t="n">
        <v>13.66666666666667</v>
      </c>
      <c r="AL133" s="56" t="n"/>
      <c r="AM133" s="56" t="n"/>
      <c r="AN133" s="56" t="n"/>
      <c r="AO133" s="56" t="n"/>
      <c r="AP133" s="58">
        <f>COUNTIF(K133:AO133,"&gt;0")</f>
        <v/>
      </c>
      <c r="AQ133" s="71">
        <f>IF(AP133&gt;14,AVERAGE(K133:AO133),"")</f>
        <v/>
      </c>
      <c r="AR133" s="71">
        <f>IFERROR(VLOOKUP(A133,Climatologia_TMED!A:U,9+$E$2,FALSE),"")</f>
        <v/>
      </c>
      <c r="AS133" s="71">
        <f>IF(OR(AQ133="",AR133=""),"",IFERROR(AQ133-AR133,""))</f>
        <v/>
      </c>
    </row>
    <row r="134" ht="14.25" customHeight="1">
      <c r="A134" s="58" t="n">
        <v>52045030</v>
      </c>
      <c r="B134" s="59" t="inlineStr">
        <is>
          <t>San Bernardo</t>
        </is>
      </c>
      <c r="C134" s="59" t="inlineStr">
        <is>
          <t>Area Operativa 07 - Nariño-Putumayo</t>
        </is>
      </c>
      <c r="D134" s="73" t="n">
        <v>-77.03261111</v>
      </c>
      <c r="E134" s="73" t="n">
        <v>1.538722222</v>
      </c>
      <c r="F134" s="58" t="n">
        <v>2190</v>
      </c>
      <c r="G134" s="58" t="n">
        <v>52</v>
      </c>
      <c r="H134" s="58" t="n">
        <v>52685</v>
      </c>
      <c r="I134" s="60" t="inlineStr">
        <is>
          <t>Nariño</t>
        </is>
      </c>
      <c r="J134" s="60" t="inlineStr">
        <is>
          <t>San Bernardo</t>
        </is>
      </c>
      <c r="K134" s="56" t="n">
        <v>18.46666666666667</v>
      </c>
      <c r="L134" s="56" t="n">
        <v>18.4</v>
      </c>
      <c r="M134" s="56" t="n">
        <v>17.2</v>
      </c>
      <c r="N134" s="56" t="n">
        <v>19.46666666666667</v>
      </c>
      <c r="O134" s="56" t="n">
        <v>18.26666666666667</v>
      </c>
      <c r="P134" s="56" t="n">
        <v>18.2</v>
      </c>
      <c r="Q134" s="56" t="n">
        <v>17.13333333333333</v>
      </c>
      <c r="R134" s="56" t="n">
        <v>18.2</v>
      </c>
      <c r="S134" s="56" t="n">
        <v>19.66666666666667</v>
      </c>
      <c r="T134" s="56" t="n">
        <v>18.46666666666667</v>
      </c>
      <c r="U134" s="56" t="n">
        <v>18.53333333333333</v>
      </c>
      <c r="V134" s="56" t="n">
        <v>17.8</v>
      </c>
      <c r="W134" s="56" t="n">
        <v>17.6</v>
      </c>
      <c r="X134" s="56" t="n">
        <v>19.73333333333333</v>
      </c>
      <c r="Y134" s="56" t="n">
        <v>18.4</v>
      </c>
      <c r="Z134" s="56" t="n">
        <v>18.73333333333333</v>
      </c>
      <c r="AA134" s="56" t="n">
        <v>18.93333333333333</v>
      </c>
      <c r="AB134" s="56" t="n">
        <v>18.53333333333333</v>
      </c>
      <c r="AC134" s="56" t="n">
        <v>18.53333333333333</v>
      </c>
      <c r="AD134" s="56" t="n">
        <v>18.26666666666667</v>
      </c>
      <c r="AE134" s="56" t="n">
        <v>19.73333333333333</v>
      </c>
      <c r="AF134" s="56" t="n">
        <v>18.46666666666667</v>
      </c>
      <c r="AG134" s="56" t="n">
        <v>18.6</v>
      </c>
      <c r="AH134" s="56" t="n">
        <v>18.26666666666667</v>
      </c>
      <c r="AI134" s="56" t="n">
        <v>19.2</v>
      </c>
      <c r="AJ134" s="56" t="n">
        <v>18.4</v>
      </c>
      <c r="AK134" s="56" t="n">
        <v>17.06666666666667</v>
      </c>
      <c r="AL134" s="56" t="n"/>
      <c r="AM134" s="56" t="n"/>
      <c r="AN134" s="56" t="n"/>
      <c r="AO134" s="56" t="n"/>
      <c r="AP134" s="58">
        <f>COUNTIF(K134:AO134,"&gt;0")</f>
        <v/>
      </c>
      <c r="AQ134" s="71">
        <f>IF(AP134&gt;14,AVERAGE(K134:AO134),"")</f>
        <v/>
      </c>
      <c r="AR134" s="71">
        <f>IFERROR(VLOOKUP(A134,Climatologia_TMED!A:U,9+$E$2,FALSE),"")</f>
        <v/>
      </c>
      <c r="AS134" s="71">
        <f>IF(OR(AQ134="",AR134=""),"",IFERROR(AQ134-AR134,""))</f>
        <v/>
      </c>
    </row>
    <row r="135" ht="14.25" customHeight="1">
      <c r="A135" s="58" t="n">
        <v>52045040</v>
      </c>
      <c r="B135" s="59" t="inlineStr">
        <is>
          <t>Taminango</t>
        </is>
      </c>
      <c r="C135" s="59" t="inlineStr">
        <is>
          <t>Area Operativa 07 - Nariño-Putumayo</t>
        </is>
      </c>
      <c r="D135" s="73" t="n">
        <v>-77.2675</v>
      </c>
      <c r="E135" s="73" t="n">
        <v>1.549166667</v>
      </c>
      <c r="F135" s="58" t="n">
        <v>1875</v>
      </c>
      <c r="G135" s="58" t="n">
        <v>52</v>
      </c>
      <c r="H135" s="58" t="n">
        <v>52786</v>
      </c>
      <c r="I135" s="60" t="inlineStr">
        <is>
          <t>Nariño</t>
        </is>
      </c>
      <c r="J135" s="60" t="inlineStr">
        <is>
          <t>Taminango</t>
        </is>
      </c>
      <c r="K135" s="56" t="n">
        <v>19.65</v>
      </c>
      <c r="L135" s="56" t="n">
        <v>19.9</v>
      </c>
      <c r="M135" s="56" t="n">
        <v>22.65</v>
      </c>
      <c r="N135" s="56" t="n">
        <v>22.4</v>
      </c>
      <c r="O135" s="56" t="n">
        <v>21.95</v>
      </c>
      <c r="P135" s="56" t="n">
        <v>21.9</v>
      </c>
      <c r="Q135" s="56" t="n">
        <v>20.7</v>
      </c>
      <c r="R135" s="56" t="n">
        <v>22.25</v>
      </c>
      <c r="S135" s="56" t="n">
        <v>22.6</v>
      </c>
      <c r="T135" s="56" t="n">
        <v>20.2</v>
      </c>
      <c r="U135" s="56" t="n">
        <v>19.1</v>
      </c>
      <c r="V135" s="56" t="n">
        <v>22.05</v>
      </c>
      <c r="W135" s="56" t="n">
        <v>22.8</v>
      </c>
      <c r="X135" s="56" t="n">
        <v>21.7</v>
      </c>
      <c r="Y135" s="56" t="n">
        <v>22.55</v>
      </c>
      <c r="Z135" s="56" t="n">
        <v>22.3</v>
      </c>
      <c r="AA135" s="56" t="n">
        <v>23.15</v>
      </c>
      <c r="AB135" s="56" t="n">
        <v>22.7</v>
      </c>
      <c r="AC135" s="56" t="n">
        <v>21.65</v>
      </c>
      <c r="AD135" s="56" t="n">
        <v>21.6</v>
      </c>
      <c r="AE135" s="56" t="n">
        <v>19.9</v>
      </c>
      <c r="AF135" s="56" t="n">
        <v>18.4</v>
      </c>
      <c r="AG135" s="56" t="n">
        <v>19.75</v>
      </c>
      <c r="AH135" s="56" t="n">
        <v>17.8</v>
      </c>
      <c r="AI135" s="56" t="n">
        <v>20.15</v>
      </c>
      <c r="AJ135" s="56" t="n">
        <v>18.2</v>
      </c>
      <c r="AK135" s="56" t="n">
        <v>17.65</v>
      </c>
      <c r="AL135" s="56" t="n"/>
      <c r="AM135" s="56" t="n"/>
      <c r="AN135" s="56" t="n"/>
      <c r="AO135" s="56" t="n"/>
      <c r="AP135" s="58">
        <f>COUNTIF(K135:AO135,"&gt;0")</f>
        <v/>
      </c>
      <c r="AQ135" s="71">
        <f>IF(AP135&gt;14,AVERAGE(K135:AO135),"")</f>
        <v/>
      </c>
      <c r="AR135" s="71">
        <f>IFERROR(VLOOKUP(A135,Climatologia_TMED!A:U,9+$E$2,FALSE),"")</f>
        <v/>
      </c>
      <c r="AS135" s="71">
        <f>IF(OR(AQ135="",AR135=""),"",IFERROR(AQ135-AR135,""))</f>
        <v/>
      </c>
    </row>
    <row r="136" ht="14.25" customHeight="1">
      <c r="A136" s="58" t="n">
        <v>52045090</v>
      </c>
      <c r="B136" s="59" t="inlineStr">
        <is>
          <t>El Comun</t>
        </is>
      </c>
      <c r="C136" s="59" t="inlineStr">
        <is>
          <t>Area Operativa 07 - Nariño-Putumayo</t>
        </is>
      </c>
      <c r="D136" s="73" t="n">
        <v>-77.62958333</v>
      </c>
      <c r="E136" s="73" t="n">
        <v>0.932638889</v>
      </c>
      <c r="F136" s="58" t="n">
        <v>3141</v>
      </c>
      <c r="G136" s="58" t="n">
        <v>52</v>
      </c>
      <c r="H136" s="58" t="n">
        <v>52585</v>
      </c>
      <c r="I136" s="60" t="inlineStr">
        <is>
          <t>Nariño</t>
        </is>
      </c>
      <c r="J136" s="60" t="inlineStr">
        <is>
          <t>Pupiales</t>
        </is>
      </c>
      <c r="K136" s="56" t="n">
        <v>11.6</v>
      </c>
      <c r="L136" s="56" t="n">
        <v>11</v>
      </c>
      <c r="M136" s="56" t="n">
        <v>11.66666666666667</v>
      </c>
      <c r="N136" s="56" t="n">
        <v>11.8</v>
      </c>
      <c r="O136" s="56" t="n">
        <v>11</v>
      </c>
      <c r="P136" s="56" t="n">
        <v>10.73333333333333</v>
      </c>
      <c r="Q136" s="56" t="n">
        <v>11.13333333333333</v>
      </c>
      <c r="R136" s="56" t="n">
        <v>11.06666666666667</v>
      </c>
      <c r="S136" s="56" t="n">
        <v>11.33333333333333</v>
      </c>
      <c r="T136" s="56" t="n">
        <v>11.6</v>
      </c>
      <c r="U136" s="56" t="n">
        <v>11.6</v>
      </c>
      <c r="V136" s="56" t="n">
        <v/>
      </c>
      <c r="W136" s="56" t="n">
        <v>10.73333333333333</v>
      </c>
      <c r="X136" s="56" t="n">
        <v>11.46666666666667</v>
      </c>
      <c r="Y136" s="56" t="n">
        <v>12.06666666666667</v>
      </c>
      <c r="Z136" s="56" t="n">
        <v>11.8</v>
      </c>
      <c r="AA136" s="56" t="n">
        <v>11.73333333333333</v>
      </c>
      <c r="AB136" s="56" t="n">
        <v>11.33333333333333</v>
      </c>
      <c r="AC136" s="56" t="n">
        <v>10.06666666666667</v>
      </c>
      <c r="AD136" s="56" t="n">
        <v>10.93333333333333</v>
      </c>
      <c r="AE136" s="56" t="n">
        <v>12.8</v>
      </c>
      <c r="AF136" s="56" t="n">
        <v>12.13333333333333</v>
      </c>
      <c r="AG136" s="56" t="n">
        <v>12.46666666666667</v>
      </c>
      <c r="AH136" s="56" t="n">
        <v>13.06666666666667</v>
      </c>
      <c r="AI136" s="56" t="n">
        <v>11.86666666666667</v>
      </c>
      <c r="AJ136" s="56" t="n">
        <v>12.26666666666667</v>
      </c>
      <c r="AK136" s="56" t="n">
        <v>11.8</v>
      </c>
      <c r="AL136" s="56" t="n"/>
      <c r="AM136" s="56" t="n"/>
      <c r="AN136" s="56" t="n"/>
      <c r="AO136" s="56" t="n"/>
      <c r="AP136" s="58">
        <f>COUNTIF(K136:AO136,"&gt;0")</f>
        <v/>
      </c>
      <c r="AQ136" s="71">
        <f>IF(AP136&gt;14,AVERAGE(K136:AO136),"")</f>
        <v/>
      </c>
      <c r="AR136" s="71">
        <f>IFERROR(VLOOKUP(A136,Climatologia_TMED!A:U,9+$E$2,FALSE),"")</f>
        <v/>
      </c>
      <c r="AS136" s="71">
        <f>IF(OR(AQ136="",AR136=""),"",IFERROR(AQ136-AR136,""))</f>
        <v/>
      </c>
    </row>
    <row r="137" ht="14.25" customHeight="1">
      <c r="A137" s="58" t="n">
        <v>52055030</v>
      </c>
      <c r="B137" s="59" t="inlineStr">
        <is>
          <t>Bombona</t>
        </is>
      </c>
      <c r="C137" s="59" t="inlineStr">
        <is>
          <t>Area Operativa 07 - Nariño-Putumayo</t>
        </is>
      </c>
      <c r="D137" s="73" t="n">
        <v>-77.46511111</v>
      </c>
      <c r="E137" s="73" t="n">
        <v>1.184361111</v>
      </c>
      <c r="F137" s="58" t="n">
        <v>1493</v>
      </c>
      <c r="G137" s="58" t="n">
        <v>52</v>
      </c>
      <c r="H137" s="58" t="n">
        <v>52207</v>
      </c>
      <c r="I137" s="60" t="inlineStr">
        <is>
          <t>Nariño</t>
        </is>
      </c>
      <c r="J137" s="60" t="inlineStr">
        <is>
          <t>Consacá</t>
        </is>
      </c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  <c r="AC137" s="56" t="n"/>
      <c r="AD137" s="56" t="n"/>
      <c r="AE137" s="56" t="n"/>
      <c r="AF137" s="56" t="n"/>
      <c r="AG137" s="56" t="n"/>
      <c r="AH137" s="56" t="n"/>
      <c r="AI137" s="56" t="n"/>
      <c r="AJ137" s="56" t="n"/>
      <c r="AK137" s="56" t="n"/>
      <c r="AL137" s="56" t="n"/>
      <c r="AM137" s="56" t="n"/>
      <c r="AN137" s="56" t="n"/>
      <c r="AO137" s="56" t="n"/>
      <c r="AP137" s="58">
        <f>COUNTIF(K137:AO137,"&gt;0")</f>
        <v/>
      </c>
      <c r="AQ137" s="71">
        <f>IF(AP137&gt;14,AVERAGE(K137:AO137),"")</f>
        <v/>
      </c>
      <c r="AR137" s="71">
        <f>IFERROR(VLOOKUP(A137,Climatologia_TMED!A:U,9+$E$2,FALSE),"")</f>
        <v/>
      </c>
      <c r="AS137" s="71">
        <f>IF(OR(AQ137="",AR137=""),"",IFERROR(AQ137-AR137,""))</f>
        <v/>
      </c>
    </row>
    <row r="138" ht="14.25" customHeight="1">
      <c r="A138" s="58" t="n">
        <v>52055060</v>
      </c>
      <c r="B138" s="59" t="inlineStr">
        <is>
          <t>Tanama</t>
        </is>
      </c>
      <c r="C138" s="59" t="inlineStr">
        <is>
          <t>Area Operativa 07 - Nariño-Putumayo</t>
        </is>
      </c>
      <c r="D138" s="73" t="n">
        <v>-77.58305556000001</v>
      </c>
      <c r="E138" s="73" t="n">
        <v>1.373555556</v>
      </c>
      <c r="F138" s="58" t="n">
        <v>1500</v>
      </c>
      <c r="G138" s="58" t="n">
        <v>52</v>
      </c>
      <c r="H138" s="58" t="n">
        <v>52678</v>
      </c>
      <c r="I138" s="60" t="inlineStr">
        <is>
          <t>Nariño</t>
        </is>
      </c>
      <c r="J138" s="60" t="inlineStr">
        <is>
          <t>Samaniego</t>
        </is>
      </c>
      <c r="K138" s="56" t="n">
        <v>22.66666666666667</v>
      </c>
      <c r="L138" s="56" t="n">
        <v>21.73333333333333</v>
      </c>
      <c r="M138" s="56" t="n">
        <v>22.6</v>
      </c>
      <c r="N138" s="56" t="n">
        <v>22.93333333333333</v>
      </c>
      <c r="O138" s="56" t="n">
        <v>22.26666666666667</v>
      </c>
      <c r="P138" s="56" t="n">
        <v>23.86666666666666</v>
      </c>
      <c r="Q138" s="56" t="n">
        <v>21.73333333333333</v>
      </c>
      <c r="R138" s="56" t="n">
        <v>23.53333333333333</v>
      </c>
      <c r="S138" s="56" t="n">
        <v>23.73333333333333</v>
      </c>
      <c r="T138" s="56" t="n">
        <v>23.46666666666667</v>
      </c>
      <c r="U138" s="56" t="n">
        <v>22.93333333333333</v>
      </c>
      <c r="V138" s="56" t="n">
        <v>24.86666666666666</v>
      </c>
      <c r="W138" s="56" t="n">
        <v>23.26666666666667</v>
      </c>
      <c r="X138" s="56" t="n">
        <v>23.2</v>
      </c>
      <c r="Y138" s="56" t="n">
        <v>24.06666666666667</v>
      </c>
      <c r="Z138" s="56" t="n">
        <v>22.13333333333333</v>
      </c>
      <c r="AA138" s="56" t="n">
        <v>24.2</v>
      </c>
      <c r="AB138" s="56" t="n">
        <v>23.33333333333333</v>
      </c>
      <c r="AC138" s="56" t="n">
        <v>22.4</v>
      </c>
      <c r="AD138" s="56" t="n">
        <v>23.6</v>
      </c>
      <c r="AE138" s="56" t="n">
        <v>22.86666666666666</v>
      </c>
      <c r="AF138" s="56" t="n">
        <v>23.13333333333334</v>
      </c>
      <c r="AG138" s="56" t="n">
        <v>23.2</v>
      </c>
      <c r="AH138" s="56" t="n">
        <v>21.13333333333334</v>
      </c>
      <c r="AI138" s="56" t="n">
        <v>22.2</v>
      </c>
      <c r="AJ138" s="56" t="n">
        <v>22.46666666666667</v>
      </c>
      <c r="AK138" s="56" t="n">
        <v>20.4</v>
      </c>
      <c r="AL138" s="56" t="n"/>
      <c r="AM138" s="56" t="n"/>
      <c r="AN138" s="56" t="n"/>
      <c r="AO138" s="56" t="n"/>
      <c r="AP138" s="58">
        <f>COUNTIF(K138:AO138,"&gt;0")</f>
        <v/>
      </c>
      <c r="AQ138" s="71">
        <f>IF(AP138&gt;14,AVERAGE(K138:AO138),"")</f>
        <v/>
      </c>
      <c r="AR138" s="71">
        <f>IFERROR(VLOOKUP(A138,Climatologia_TMED!A:U,9+$E$2,FALSE),"")</f>
        <v/>
      </c>
      <c r="AS138" s="71">
        <f>IF(OR(AQ138="",AR138=""),"",IFERROR(AQ138-AR138,""))</f>
        <v/>
      </c>
    </row>
    <row r="139" ht="14.25" customHeight="1">
      <c r="A139" s="58" t="n">
        <v>52055090</v>
      </c>
      <c r="B139" s="59" t="inlineStr">
        <is>
          <t>Sindagua</t>
        </is>
      </c>
      <c r="C139" s="59" t="inlineStr">
        <is>
          <t>Area Operativa 07 - Nariño-Putumayo</t>
        </is>
      </c>
      <c r="D139" s="73" t="n">
        <v>-77.38936111</v>
      </c>
      <c r="E139" s="73" t="n">
        <v>1.107583333</v>
      </c>
      <c r="F139" s="58" t="n">
        <v>2800</v>
      </c>
      <c r="G139" s="58" t="n">
        <v>52</v>
      </c>
      <c r="H139" s="58" t="n">
        <v>52788</v>
      </c>
      <c r="I139" s="60" t="inlineStr">
        <is>
          <t>Nariño</t>
        </is>
      </c>
      <c r="J139" s="60" t="inlineStr">
        <is>
          <t>Tangua</t>
        </is>
      </c>
      <c r="K139" s="56" t="n">
        <v>14.1</v>
      </c>
      <c r="L139" s="56" t="n">
        <v>14.75</v>
      </c>
      <c r="M139" s="56" t="n">
        <v>13.275</v>
      </c>
      <c r="N139" s="56" t="n">
        <v/>
      </c>
      <c r="O139" s="56" t="n">
        <v/>
      </c>
      <c r="P139" s="56" t="n">
        <v/>
      </c>
      <c r="Q139" s="56" t="n">
        <v>13.025</v>
      </c>
      <c r="R139" s="56" t="n">
        <v>13.975</v>
      </c>
      <c r="S139" s="56" t="n">
        <v>14</v>
      </c>
      <c r="T139" s="56" t="n">
        <v>14.85</v>
      </c>
      <c r="U139" s="56" t="n">
        <v>15.4</v>
      </c>
      <c r="V139" s="56" t="n">
        <v>15.325</v>
      </c>
      <c r="W139" s="56" t="n">
        <v>15.2</v>
      </c>
      <c r="X139" s="56" t="n">
        <v>14.85</v>
      </c>
      <c r="Y139" s="56" t="n">
        <v>13.65</v>
      </c>
      <c r="Z139" s="56" t="n">
        <v>13.35</v>
      </c>
      <c r="AA139" s="56" t="n">
        <v>13.95</v>
      </c>
      <c r="AB139" s="56" t="n">
        <v>14.225</v>
      </c>
      <c r="AC139" s="56" t="n">
        <v>14.775</v>
      </c>
      <c r="AD139" s="56" t="n">
        <v>12.95</v>
      </c>
      <c r="AE139" s="56" t="n">
        <v>14.6</v>
      </c>
      <c r="AF139" s="56" t="n">
        <v>14.4</v>
      </c>
      <c r="AG139" s="56" t="n">
        <v>15.525</v>
      </c>
      <c r="AH139" s="56" t="n">
        <v>14.925</v>
      </c>
      <c r="AI139" s="56" t="n">
        <v>15.1</v>
      </c>
      <c r="AJ139" s="56" t="n">
        <v>15.125</v>
      </c>
      <c r="AK139" s="56" t="n">
        <v>14</v>
      </c>
      <c r="AL139" s="56" t="n"/>
      <c r="AM139" s="56" t="n"/>
      <c r="AN139" s="56" t="n"/>
      <c r="AO139" s="56" t="n"/>
      <c r="AP139" s="58">
        <f>COUNTIF(K139:AO139,"&gt;0")</f>
        <v/>
      </c>
      <c r="AQ139" s="71">
        <f>IF(AP139&gt;14,AVERAGE(K139:AO139),"")</f>
        <v/>
      </c>
      <c r="AR139" s="71">
        <f>IFERROR(VLOOKUP(A139,Climatologia_TMED!A:U,9+$E$2,FALSE),"")</f>
        <v/>
      </c>
      <c r="AS139" s="71">
        <f>IF(OR(AQ139="",AR139=""),"",IFERROR(AQ139-AR139,""))</f>
        <v/>
      </c>
    </row>
    <row r="140" ht="14.25" customHeight="1">
      <c r="A140" s="58" t="n">
        <v>52055200</v>
      </c>
      <c r="B140" s="59" t="inlineStr">
        <is>
          <t>Funes</t>
        </is>
      </c>
      <c r="C140" s="59" t="inlineStr">
        <is>
          <t>Area Operativa 07 - Nariño-Putumayo</t>
        </is>
      </c>
      <c r="D140" s="73" t="n">
        <v>-77.44580556</v>
      </c>
      <c r="E140" s="73" t="n">
        <v>1.004222222</v>
      </c>
      <c r="F140" s="58" t="n">
        <v>2181</v>
      </c>
      <c r="G140" s="58" t="n">
        <v>52</v>
      </c>
      <c r="H140" s="58" t="n">
        <v>52287</v>
      </c>
      <c r="I140" s="60" t="inlineStr">
        <is>
          <t>Nariño</t>
        </is>
      </c>
      <c r="J140" s="60" t="inlineStr">
        <is>
          <t>Funes</t>
        </is>
      </c>
      <c r="K140" s="56" t="n">
        <v>15.85</v>
      </c>
      <c r="L140" s="56" t="n">
        <v>16</v>
      </c>
      <c r="M140" s="56" t="n">
        <v>15.4</v>
      </c>
      <c r="N140" s="56" t="n">
        <v>17.35</v>
      </c>
      <c r="O140" s="56" t="n">
        <v>17.2</v>
      </c>
      <c r="P140" s="56" t="n">
        <v>15.75</v>
      </c>
      <c r="Q140" s="56" t="n">
        <v>15.75</v>
      </c>
      <c r="R140" s="56" t="n">
        <v>17.9</v>
      </c>
      <c r="S140" s="56" t="n">
        <v>16.55</v>
      </c>
      <c r="T140" s="56" t="n">
        <v>16.05</v>
      </c>
      <c r="U140" s="56" t="n">
        <v>15.95</v>
      </c>
      <c r="V140" s="56" t="n">
        <v>17.3</v>
      </c>
      <c r="W140" s="56" t="n">
        <v>17.4</v>
      </c>
      <c r="X140" s="56" t="n">
        <v>16.55</v>
      </c>
      <c r="Y140" s="56" t="n">
        <v>17.15</v>
      </c>
      <c r="Z140" s="56" t="n">
        <v>15.25</v>
      </c>
      <c r="AA140" s="56" t="n">
        <v>15.4</v>
      </c>
      <c r="AB140" s="56" t="n">
        <v>16.4</v>
      </c>
      <c r="AC140" s="56" t="n">
        <v>16.2</v>
      </c>
      <c r="AD140" s="56" t="n">
        <v>16.3</v>
      </c>
      <c r="AE140" s="56" t="n">
        <v>15.8</v>
      </c>
      <c r="AF140" s="56" t="n">
        <v>16.35</v>
      </c>
      <c r="AG140" s="56" t="n">
        <v>16.85</v>
      </c>
      <c r="AH140" s="56" t="n">
        <v>16.3</v>
      </c>
      <c r="AI140" s="56" t="n">
        <v>15.1</v>
      </c>
      <c r="AJ140" s="56" t="n">
        <v>16.05</v>
      </c>
      <c r="AK140" s="56" t="n">
        <v>15.75</v>
      </c>
      <c r="AL140" s="56" t="n"/>
      <c r="AM140" s="56" t="n"/>
      <c r="AN140" s="56" t="n"/>
      <c r="AO140" s="56" t="n"/>
      <c r="AP140" s="58">
        <f>COUNTIF(K140:AO140,"&gt;0")</f>
        <v/>
      </c>
      <c r="AQ140" s="71">
        <f>IF(AP140&gt;14,AVERAGE(K140:AO140),"")</f>
        <v/>
      </c>
      <c r="AR140" s="71">
        <f>IFERROR(VLOOKUP(A140,Climatologia_TMED!A:U,9+$E$2,FALSE),"")</f>
        <v/>
      </c>
      <c r="AS140" s="71">
        <f>IF(OR(AQ140="",AR140=""),"",IFERROR(AQ140-AR140,""))</f>
        <v/>
      </c>
    </row>
    <row r="141" ht="14.25" customHeight="1">
      <c r="A141" s="58" t="n">
        <v>52055210</v>
      </c>
      <c r="B141" s="59" t="inlineStr">
        <is>
          <t>Botana - Aut</t>
        </is>
      </c>
      <c r="C141" s="59" t="inlineStr">
        <is>
          <t>Area Operativa 07 - Nariño-Putumayo</t>
        </is>
      </c>
      <c r="D141" s="73" t="n">
        <v>-77.27880556</v>
      </c>
      <c r="E141" s="73" t="n">
        <v>1.16</v>
      </c>
      <c r="F141" s="58" t="n">
        <v>2820</v>
      </c>
      <c r="G141" s="58" t="n">
        <v>52</v>
      </c>
      <c r="H141" s="58" t="n">
        <v>52001</v>
      </c>
      <c r="I141" s="60" t="inlineStr">
        <is>
          <t>Nariño</t>
        </is>
      </c>
      <c r="J141" s="60" t="inlineStr">
        <is>
          <t>Pasto</t>
        </is>
      </c>
      <c r="K141" s="56" t="n">
        <v>13.73333333333333</v>
      </c>
      <c r="L141" s="56" t="n">
        <v>13.66666666666667</v>
      </c>
      <c r="M141" s="56" t="n">
        <v>13.13333333333333</v>
      </c>
      <c r="N141" s="56" t="n">
        <v>13.4</v>
      </c>
      <c r="O141" s="56" t="n">
        <v>13.13333333333333</v>
      </c>
      <c r="P141" s="56" t="n">
        <v>11.86666666666667</v>
      </c>
      <c r="Q141" s="56" t="n">
        <v>12.4</v>
      </c>
      <c r="R141" s="56" t="n">
        <v>13.2</v>
      </c>
      <c r="S141" s="56" t="n">
        <v>13.53333333333333</v>
      </c>
      <c r="T141" s="56" t="n">
        <v>14.73333333333333</v>
      </c>
      <c r="U141" s="56" t="n">
        <v>13.46666666666667</v>
      </c>
      <c r="V141" s="56" t="n">
        <v>14.6</v>
      </c>
      <c r="W141" s="56" t="n">
        <v>14.06666666666667</v>
      </c>
      <c r="X141" s="56" t="n">
        <v>13.8</v>
      </c>
      <c r="Y141" s="56" t="n">
        <v>14.06666666666667</v>
      </c>
      <c r="Z141" s="56" t="n">
        <v>13.86666666666667</v>
      </c>
      <c r="AA141" s="56" t="n">
        <v>14.06666666666667</v>
      </c>
      <c r="AB141" s="56" t="n">
        <v>13.46666666666667</v>
      </c>
      <c r="AC141" s="56" t="n">
        <v>13.66666666666667</v>
      </c>
      <c r="AD141" s="56" t="n">
        <v>14.8</v>
      </c>
      <c r="AE141" s="56" t="n">
        <v>13.26666666666667</v>
      </c>
      <c r="AF141" s="56" t="n">
        <v>13.86666666666667</v>
      </c>
      <c r="AG141" s="56" t="n">
        <v>15.66666666666667</v>
      </c>
      <c r="AH141" s="56" t="n">
        <v>15.6</v>
      </c>
      <c r="AI141" s="56" t="n">
        <v>14</v>
      </c>
      <c r="AJ141" s="56" t="n">
        <v>14.86666666666667</v>
      </c>
      <c r="AK141" s="56" t="n">
        <v>14</v>
      </c>
      <c r="AL141" s="56" t="n"/>
      <c r="AM141" s="56" t="n"/>
      <c r="AN141" s="56" t="n"/>
      <c r="AO141" s="56" t="n"/>
      <c r="AP141" s="58">
        <f>COUNTIF(K141:AO141,"&gt;0")</f>
        <v/>
      </c>
      <c r="AQ141" s="71">
        <f>IF(AP141&gt;14,AVERAGE(K141:AO141),"")</f>
        <v/>
      </c>
      <c r="AR141" s="71">
        <f>IFERROR(VLOOKUP(A141,Climatologia_TMED!A:U,9+$E$2,FALSE),"")</f>
        <v/>
      </c>
      <c r="AS141" s="71">
        <f>IF(OR(AQ141="",AR141=""),"",IFERROR(AQ141-AR141,""))</f>
        <v/>
      </c>
    </row>
    <row r="142" ht="14.25" customHeight="1">
      <c r="A142" s="58" t="n">
        <v>52055220</v>
      </c>
      <c r="B142" s="59" t="inlineStr">
        <is>
          <t>El Paraiso - Aut</t>
        </is>
      </c>
      <c r="C142" s="59" t="inlineStr">
        <is>
          <t>Area Operativa 07 - Nariño-Putumayo</t>
        </is>
      </c>
      <c r="D142" s="73" t="n">
        <v>-77.636935689</v>
      </c>
      <c r="E142" s="73" t="n">
        <v>1.070707855</v>
      </c>
      <c r="F142" s="58" t="n">
        <v>3033</v>
      </c>
      <c r="G142" s="58" t="n">
        <v>52</v>
      </c>
      <c r="H142" s="58" t="n">
        <v>52838</v>
      </c>
      <c r="I142" s="60" t="inlineStr">
        <is>
          <t>Nariño</t>
        </is>
      </c>
      <c r="J142" s="60" t="inlineStr">
        <is>
          <t>Túquerres</t>
        </is>
      </c>
      <c r="K142" s="56" t="n">
        <v>13.2</v>
      </c>
      <c r="L142" s="56" t="n">
        <v>12.2</v>
      </c>
      <c r="M142" s="56" t="n">
        <v>11.475</v>
      </c>
      <c r="N142" s="56" t="n">
        <v>11.375</v>
      </c>
      <c r="O142" s="56" t="n">
        <v>10.8</v>
      </c>
      <c r="P142" s="56" t="n">
        <v>10.5</v>
      </c>
      <c r="Q142" s="56" t="n">
        <v>10.1</v>
      </c>
      <c r="R142" s="56" t="n">
        <v>11.25</v>
      </c>
      <c r="S142" s="56" t="n">
        <v>12</v>
      </c>
      <c r="T142" s="56" t="n">
        <v>11.55</v>
      </c>
      <c r="U142" s="56" t="n">
        <v>12.1</v>
      </c>
      <c r="V142" s="56" t="n">
        <v>11.75</v>
      </c>
      <c r="W142" s="56" t="n">
        <v>11.35</v>
      </c>
      <c r="X142" s="56" t="n">
        <v>12.3</v>
      </c>
      <c r="Y142" s="56" t="n">
        <v>10.85</v>
      </c>
      <c r="Z142" s="56" t="n">
        <v>11.75</v>
      </c>
      <c r="AA142" s="56" t="n">
        <v>11.575</v>
      </c>
      <c r="AB142" s="56" t="n">
        <v>11.4</v>
      </c>
      <c r="AC142" s="56" t="n">
        <v>11.35</v>
      </c>
      <c r="AD142" s="56" t="n">
        <v>11.85</v>
      </c>
      <c r="AE142" s="56" t="n">
        <v>12.15</v>
      </c>
      <c r="AF142" s="56" t="n">
        <v>12.85</v>
      </c>
      <c r="AG142" s="56" t="n">
        <v>14.1</v>
      </c>
      <c r="AH142" s="56" t="n">
        <v>12.4</v>
      </c>
      <c r="AI142" s="56" t="n">
        <v>12.1</v>
      </c>
      <c r="AJ142" s="56" t="n">
        <v>11.9</v>
      </c>
      <c r="AK142" s="56" t="n">
        <v>11.5</v>
      </c>
      <c r="AL142" s="56" t="n"/>
      <c r="AM142" s="56" t="n"/>
      <c r="AN142" s="56" t="n"/>
      <c r="AO142" s="56" t="n"/>
      <c r="AP142" s="58">
        <f>COUNTIF(K142:AO142,"&gt;0")</f>
        <v/>
      </c>
      <c r="AQ142" s="71">
        <f>IF(AP142&gt;14,AVERAGE(K142:AO142),"")</f>
        <v/>
      </c>
      <c r="AR142" s="71">
        <f>IFERROR(VLOOKUP(A142,Climatologia_TMED!A:U,9+$E$2,FALSE),"")</f>
        <v/>
      </c>
      <c r="AS142" s="71">
        <f>IF(OR(AQ142="",AR142=""),"",IFERROR(AQ142-AR142,""))</f>
        <v/>
      </c>
    </row>
    <row r="143" ht="14.25" customHeight="1">
      <c r="A143" s="58" t="n">
        <v>53045040</v>
      </c>
      <c r="B143" s="59" t="inlineStr">
        <is>
          <t>Aeropuerto Guapi - Aut</t>
        </is>
      </c>
      <c r="C143" s="59" t="inlineStr">
        <is>
          <t>Area Operativa 07 - Nariño-Putumayo</t>
        </is>
      </c>
      <c r="D143" s="73" t="n">
        <v>-77.89475</v>
      </c>
      <c r="E143" s="73" t="n">
        <v>2.574416667</v>
      </c>
      <c r="F143" s="58" t="n">
        <v>42</v>
      </c>
      <c r="G143" s="58" t="n">
        <v>19</v>
      </c>
      <c r="H143" s="58" t="n">
        <v>19318</v>
      </c>
      <c r="I143" s="60" t="inlineStr">
        <is>
          <t>Cauca</t>
        </is>
      </c>
      <c r="J143" s="60" t="inlineStr">
        <is>
          <t>Guapi</t>
        </is>
      </c>
      <c r="K143" s="56" t="n">
        <v>28.06666666666667</v>
      </c>
      <c r="L143" s="56" t="n">
        <v>28.53333333333333</v>
      </c>
      <c r="M143" s="56" t="n">
        <v>28.06666666666666</v>
      </c>
      <c r="N143" s="56" t="n">
        <v>27.66666666666667</v>
      </c>
      <c r="O143" s="56" t="n">
        <v>27.33333333333333</v>
      </c>
      <c r="P143" s="56" t="n">
        <v>27</v>
      </c>
      <c r="Q143" s="56" t="n">
        <v>27.13333333333334</v>
      </c>
      <c r="R143" s="56" t="n">
        <v>27.53333333333333</v>
      </c>
      <c r="S143" s="56" t="n">
        <v>28.66666666666667</v>
      </c>
      <c r="T143" s="56" t="n">
        <v>28.33333333333333</v>
      </c>
      <c r="U143" s="56" t="n">
        <v>26.8</v>
      </c>
      <c r="V143" s="56" t="n">
        <v>28.46666666666667</v>
      </c>
      <c r="W143" s="56" t="n">
        <v>27.73333333333333</v>
      </c>
      <c r="X143" s="56" t="n">
        <v>27.13333333333334</v>
      </c>
      <c r="Y143" s="56" t="n">
        <v>27.93333333333334</v>
      </c>
      <c r="Z143" s="56" t="n">
        <v>28.46666666666667</v>
      </c>
      <c r="AA143" s="56" t="n">
        <v>28.86666666666666</v>
      </c>
      <c r="AB143" s="56" t="n">
        <v>28.4</v>
      </c>
      <c r="AC143" s="56" t="n">
        <v>26.46666666666667</v>
      </c>
      <c r="AD143" s="56" t="n">
        <v>26.93333333333333</v>
      </c>
      <c r="AE143" s="56" t="n">
        <v>27.6</v>
      </c>
      <c r="AF143" s="56" t="n">
        <v>28.4</v>
      </c>
      <c r="AG143" s="56" t="n">
        <v>28.33333333333333</v>
      </c>
      <c r="AH143" s="56" t="n">
        <v>26.26666666666667</v>
      </c>
      <c r="AI143" s="56" t="n">
        <v>28.13333333333334</v>
      </c>
      <c r="AJ143" s="56" t="n">
        <v>27.73333333333333</v>
      </c>
      <c r="AK143" s="56" t="n">
        <v>26.86666666666666</v>
      </c>
      <c r="AL143" s="56" t="n"/>
      <c r="AM143" s="56" t="n"/>
      <c r="AN143" s="56" t="n"/>
      <c r="AO143" s="56" t="n"/>
      <c r="AP143" s="58">
        <f>COUNTIF(K143:AO143,"&gt;0")</f>
        <v/>
      </c>
      <c r="AQ143" s="71">
        <f>IF(AP143&gt;14,AVERAGE(K143:AO143),"")</f>
        <v/>
      </c>
      <c r="AR143" s="71">
        <f>IFERROR(VLOOKUP(A143,Climatologia_TMED!A:U,9+$E$2,FALSE),"")</f>
        <v/>
      </c>
      <c r="AS143" s="71">
        <f>IF(OR(AQ143="",AR143=""),"",IFERROR(AQ143-AR143,""))</f>
        <v/>
      </c>
    </row>
    <row r="144" ht="14.25" customHeight="1">
      <c r="A144" s="58" t="n">
        <v>16015020</v>
      </c>
      <c r="B144" s="59" t="inlineStr">
        <is>
          <t>Iser Pamplona</t>
        </is>
      </c>
      <c r="C144" s="59" t="inlineStr">
        <is>
          <t>Area Operativa 08 - Santanderes-Arauca</t>
        </is>
      </c>
      <c r="D144" s="73" t="n">
        <v>-72.645</v>
      </c>
      <c r="E144" s="73" t="n">
        <v>7.373111111</v>
      </c>
      <c r="F144" s="58" t="n">
        <v>2340</v>
      </c>
      <c r="G144" s="58" t="n">
        <v>54</v>
      </c>
      <c r="H144" s="58" t="n">
        <v>54518</v>
      </c>
      <c r="I144" s="60" t="inlineStr">
        <is>
          <t>Norte De Santander</t>
        </is>
      </c>
      <c r="J144" s="60" t="inlineStr">
        <is>
          <t>Pamplona</t>
        </is>
      </c>
      <c r="K144" s="56" t="n">
        <v>17.66666666666667</v>
      </c>
      <c r="L144" s="56" t="n">
        <v>16.2</v>
      </c>
      <c r="M144" s="56" t="n">
        <v>16.2</v>
      </c>
      <c r="N144" s="56" t="n">
        <v>16.36666666666666</v>
      </c>
      <c r="O144" s="56" t="n">
        <v>15.73333333333333</v>
      </c>
      <c r="P144" s="56" t="n">
        <v>15.33333333333333</v>
      </c>
      <c r="Q144" s="56" t="n">
        <v>15.6</v>
      </c>
      <c r="R144" s="56" t="n">
        <v>14.33333333333333</v>
      </c>
      <c r="S144" s="56" t="n">
        <v>16.26666666666667</v>
      </c>
      <c r="T144" s="56" t="n">
        <v>15.53333333333333</v>
      </c>
      <c r="U144" s="56" t="n">
        <v>15.93333333333333</v>
      </c>
      <c r="V144" s="56" t="n">
        <v>16.53333333333333</v>
      </c>
      <c r="W144" s="56" t="n">
        <v>15.66666666666667</v>
      </c>
      <c r="X144" s="56" t="n">
        <v>16.8</v>
      </c>
      <c r="Y144" s="56" t="n">
        <v>15.46666666666667</v>
      </c>
      <c r="Z144" s="56" t="n">
        <v>15.06666666666667</v>
      </c>
      <c r="AA144" s="56" t="n">
        <v>16.46666666666667</v>
      </c>
      <c r="AB144" s="56" t="n">
        <v>15.6</v>
      </c>
      <c r="AC144" s="56" t="n">
        <v>16.6</v>
      </c>
      <c r="AD144" s="56" t="n">
        <v>17.06666666666667</v>
      </c>
      <c r="AE144" s="56" t="n">
        <v>17.66666666666667</v>
      </c>
      <c r="AF144" s="56" t="n">
        <v>17.2</v>
      </c>
      <c r="AG144" s="56" t="n">
        <v>18</v>
      </c>
      <c r="AH144" s="56" t="n">
        <v>17.8</v>
      </c>
      <c r="AI144" s="56" t="n">
        <v>16.4</v>
      </c>
      <c r="AJ144" s="56" t="n">
        <v>17.8</v>
      </c>
      <c r="AK144" s="56" t="n">
        <v>17.13333333333333</v>
      </c>
      <c r="AL144" s="56" t="n"/>
      <c r="AM144" s="56" t="n"/>
      <c r="AN144" s="56" t="n"/>
      <c r="AO144" s="56" t="n"/>
      <c r="AP144" s="58">
        <f>COUNTIF(K144:AO144,"&gt;0")</f>
        <v/>
      </c>
      <c r="AQ144" s="71">
        <f>IF(AP144&gt;14,AVERAGE(K144:AO144),"")</f>
        <v/>
      </c>
      <c r="AR144" s="71">
        <f>IFERROR(VLOOKUP(A144,Climatologia_TMED!A:U,9+$E$2,FALSE),"")</f>
        <v/>
      </c>
      <c r="AS144" s="71">
        <f>IF(OR(AQ144="",AR144=""),"",IFERROR(AQ144-AR144,""))</f>
        <v/>
      </c>
    </row>
    <row r="145" ht="14.25" customHeight="1">
      <c r="A145" s="58" t="n">
        <v>16015100</v>
      </c>
      <c r="B145" s="59" t="inlineStr">
        <is>
          <t>Ragonvalia</t>
        </is>
      </c>
      <c r="C145" s="59" t="inlineStr">
        <is>
          <t>Area Operativa 08 - Santanderes-Arauca</t>
        </is>
      </c>
      <c r="D145" s="73" t="n">
        <v>-72.48388889</v>
      </c>
      <c r="E145" s="73" t="n">
        <v>7.576666667</v>
      </c>
      <c r="F145" s="58" t="n">
        <v>1550</v>
      </c>
      <c r="G145" s="58" t="n">
        <v>54</v>
      </c>
      <c r="H145" s="58" t="n">
        <v>54599</v>
      </c>
      <c r="I145" s="60" t="inlineStr">
        <is>
          <t>Norte De Santander</t>
        </is>
      </c>
      <c r="J145" s="60" t="inlineStr">
        <is>
          <t>Ragonvalia</t>
        </is>
      </c>
      <c r="K145" s="56" t="n">
        <v>20.53333333333333</v>
      </c>
      <c r="L145" s="56" t="n">
        <v>19.6</v>
      </c>
      <c r="M145" s="56" t="n">
        <v>21.46666666666667</v>
      </c>
      <c r="N145" s="56" t="n">
        <v>21.2</v>
      </c>
      <c r="O145" s="56" t="n">
        <v>21</v>
      </c>
      <c r="P145" s="56" t="n">
        <v>21</v>
      </c>
      <c r="Q145" s="56" t="n">
        <v>20.73333333333333</v>
      </c>
      <c r="R145" s="56" t="n">
        <v>19.53333333333333</v>
      </c>
      <c r="S145" s="56" t="n">
        <v>20.33333333333333</v>
      </c>
      <c r="T145" s="56" t="n">
        <v>20.6</v>
      </c>
      <c r="U145" s="56" t="n">
        <v>20.13333333333333</v>
      </c>
      <c r="V145" s="56" t="n">
        <v>20.53333333333333</v>
      </c>
      <c r="W145" s="56" t="n">
        <v>19.8</v>
      </c>
      <c r="X145" s="56" t="n">
        <v>20.46666666666667</v>
      </c>
      <c r="Y145" s="56" t="n">
        <v>21.6</v>
      </c>
      <c r="Z145" s="56" t="n">
        <v>21.93333333333333</v>
      </c>
      <c r="AA145" s="56" t="n">
        <v>21.06666666666667</v>
      </c>
      <c r="AB145" s="56" t="n">
        <v>20.93333333333333</v>
      </c>
      <c r="AC145" s="56" t="n">
        <v>20.8</v>
      </c>
      <c r="AD145" s="56" t="n">
        <v>21.13333333333333</v>
      </c>
      <c r="AE145" s="56" t="n">
        <v>21.86666666666666</v>
      </c>
      <c r="AF145" s="56" t="n">
        <v>24.53333333333333</v>
      </c>
      <c r="AG145" s="56" t="n">
        <v>23.6</v>
      </c>
      <c r="AH145" s="56" t="n">
        <v>20</v>
      </c>
      <c r="AI145" s="56" t="n">
        <v>19.73333333333333</v>
      </c>
      <c r="AJ145" s="56" t="n">
        <v>21</v>
      </c>
      <c r="AK145" s="56" t="n">
        <v>20.53333333333333</v>
      </c>
      <c r="AL145" s="56" t="n"/>
      <c r="AM145" s="56" t="n"/>
      <c r="AN145" s="56" t="n"/>
      <c r="AO145" s="56" t="n"/>
      <c r="AP145" s="58">
        <f>COUNTIF(K145:AO145,"&gt;0")</f>
        <v/>
      </c>
      <c r="AQ145" s="71">
        <f>IF(AP145&gt;14,AVERAGE(K145:AO145),"")</f>
        <v/>
      </c>
      <c r="AR145" s="71">
        <f>IFERROR(VLOOKUP(A145,Climatologia_TMED!A:U,9+$E$2,FALSE),"")</f>
        <v/>
      </c>
      <c r="AS145" s="71">
        <f>IF(OR(AQ145="",AR145=""),"",IFERROR(AQ145-AR145,""))</f>
        <v/>
      </c>
    </row>
    <row r="146" ht="14.25" customHeight="1">
      <c r="A146" s="58" t="n">
        <v>16025010</v>
      </c>
      <c r="B146" s="59" t="inlineStr">
        <is>
          <t>Carmen De Tonchala</t>
        </is>
      </c>
      <c r="C146" s="59" t="inlineStr">
        <is>
          <t>Area Operativa 08 - Santanderes-Arauca</t>
        </is>
      </c>
      <c r="D146" s="73" t="n">
        <v>-72.56611110999999</v>
      </c>
      <c r="E146" s="73" t="n">
        <v>7.848888889</v>
      </c>
      <c r="F146" s="58" t="n">
        <v>285</v>
      </c>
      <c r="G146" s="58" t="n">
        <v>54</v>
      </c>
      <c r="H146" s="58" t="n">
        <v>54001</v>
      </c>
      <c r="I146" s="60" t="inlineStr">
        <is>
          <t>Norte De Santander</t>
        </is>
      </c>
      <c r="J146" s="60" t="inlineStr">
        <is>
          <t>San José De Cúcuta</t>
        </is>
      </c>
      <c r="K146" s="56" t="n">
        <v>30.53333333333333</v>
      </c>
      <c r="L146" s="56" t="n">
        <v>30.46666666666667</v>
      </c>
      <c r="M146" s="56" t="n">
        <v>31.06666666666667</v>
      </c>
      <c r="N146" s="56" t="n">
        <v>31.63333333333334</v>
      </c>
      <c r="O146" s="56" t="n">
        <v>31.06666666666666</v>
      </c>
      <c r="P146" s="56" t="n">
        <v>30.66666666666667</v>
      </c>
      <c r="Q146" s="56" t="n">
        <v>32.6</v>
      </c>
      <c r="R146" s="56" t="n">
        <v>30.46666666666667</v>
      </c>
      <c r="S146" s="56" t="n">
        <v>31.33333333333333</v>
      </c>
      <c r="T146" s="56" t="n">
        <v>29.73333333333333</v>
      </c>
      <c r="U146" s="56" t="n">
        <v>31.06666666666667</v>
      </c>
      <c r="V146" s="56" t="n">
        <v>32</v>
      </c>
      <c r="W146" s="56" t="n">
        <v>29</v>
      </c>
      <c r="X146" s="56" t="n">
        <v>31.2</v>
      </c>
      <c r="Y146" s="56" t="n">
        <v>32.93333333333333</v>
      </c>
      <c r="Z146" s="56" t="n">
        <v>31.4</v>
      </c>
      <c r="AA146" s="56" t="n">
        <v>31.6</v>
      </c>
      <c r="AB146" s="56" t="n">
        <v>33.26666666666667</v>
      </c>
      <c r="AC146" s="56" t="n">
        <v>31.6</v>
      </c>
      <c r="AD146" s="56" t="n">
        <v>31.46666666666667</v>
      </c>
      <c r="AE146" s="56" t="n">
        <v>32</v>
      </c>
      <c r="AF146" s="56" t="n">
        <v>33.06666666666667</v>
      </c>
      <c r="AG146" s="56" t="n">
        <v>33.13333333333333</v>
      </c>
      <c r="AH146" s="56" t="n">
        <v>29.26666666666667</v>
      </c>
      <c r="AI146" s="56" t="n">
        <v>31</v>
      </c>
      <c r="AJ146" s="56" t="n">
        <v>32.73333333333333</v>
      </c>
      <c r="AK146" s="56" t="n">
        <v>29.46666666666667</v>
      </c>
      <c r="AL146" s="56" t="n"/>
      <c r="AM146" s="56" t="n"/>
      <c r="AN146" s="56" t="n"/>
      <c r="AO146" s="56" t="n"/>
      <c r="AP146" s="58">
        <f>COUNTIF(K146:AO146,"&gt;0")</f>
        <v/>
      </c>
      <c r="AQ146" s="71">
        <f>IF(AP146&gt;14,AVERAGE(K146:AO146),"")</f>
        <v/>
      </c>
      <c r="AR146" s="71">
        <f>IFERROR(VLOOKUP(A146,Climatologia_TMED!A:U,9+$E$2,FALSE),"")</f>
        <v/>
      </c>
      <c r="AS146" s="71">
        <f>IF(OR(AQ146="",AR146=""),"",IFERROR(AQ146-AR146,""))</f>
        <v/>
      </c>
    </row>
    <row r="147" ht="14.25" customHeight="1">
      <c r="A147" s="58" t="n">
        <v>16025030</v>
      </c>
      <c r="B147" s="59" t="inlineStr">
        <is>
          <t>Salazar</t>
        </is>
      </c>
      <c r="C147" s="59" t="inlineStr">
        <is>
          <t>Area Operativa 08 - Santanderes-Arauca</t>
        </is>
      </c>
      <c r="D147" s="73" t="n">
        <v>-72.83055555999999</v>
      </c>
      <c r="E147" s="73" t="n">
        <v>7.774583333</v>
      </c>
      <c r="F147" s="58" t="n">
        <v>860</v>
      </c>
      <c r="G147" s="58" t="n">
        <v>54</v>
      </c>
      <c r="H147" s="58" t="n">
        <v>54660</v>
      </c>
      <c r="I147" s="60" t="inlineStr">
        <is>
          <t>Norte De Santander</t>
        </is>
      </c>
      <c r="J147" s="60" t="inlineStr">
        <is>
          <t>Salazar</t>
        </is>
      </c>
      <c r="K147" s="56" t="n">
        <v>25.66666666666667</v>
      </c>
      <c r="L147" s="56" t="n">
        <v>26</v>
      </c>
      <c r="M147" s="56" t="n">
        <v>26.93333333333333</v>
      </c>
      <c r="N147" s="56" t="n">
        <v>26.4</v>
      </c>
      <c r="O147" s="56" t="n">
        <v>27.13333333333334</v>
      </c>
      <c r="P147" s="56" t="n">
        <v>25.73333333333333</v>
      </c>
      <c r="Q147" s="56" t="n">
        <v>27.33333333333333</v>
      </c>
      <c r="R147" s="56" t="n">
        <v>24.53333333333333</v>
      </c>
      <c r="S147" s="56" t="n">
        <v>27.33333333333333</v>
      </c>
      <c r="T147" s="56" t="n">
        <v>26.06666666666666</v>
      </c>
      <c r="U147" s="56" t="n">
        <v>26.46666666666667</v>
      </c>
      <c r="V147" s="56" t="n">
        <v>27.46666666666667</v>
      </c>
      <c r="W147" s="56" t="n">
        <v>24.66666666666667</v>
      </c>
      <c r="X147" s="56" t="n">
        <v>27.46666666666667</v>
      </c>
      <c r="Y147" s="56" t="n">
        <v>28.26666666666667</v>
      </c>
      <c r="Z147" s="56" t="n">
        <v>26.8</v>
      </c>
      <c r="AA147" s="56" t="n">
        <v>27.26666666666667</v>
      </c>
      <c r="AB147" s="56" t="n">
        <v>28</v>
      </c>
      <c r="AC147" s="56" t="n">
        <v>26.4</v>
      </c>
      <c r="AD147" s="56" t="n">
        <v>28.26666666666667</v>
      </c>
      <c r="AE147" s="56" t="n">
        <v>28</v>
      </c>
      <c r="AF147" s="56" t="n">
        <v>28.73333333333333</v>
      </c>
      <c r="AG147" s="56" t="n">
        <v>29.53333333333333</v>
      </c>
      <c r="AH147" s="56" t="n">
        <v>26.93333333333333</v>
      </c>
      <c r="AI147" s="56" t="n">
        <v>25.8</v>
      </c>
      <c r="AJ147" s="56" t="n">
        <v>28.13333333333334</v>
      </c>
      <c r="AK147" s="56" t="n">
        <v>24.53333333333333</v>
      </c>
      <c r="AL147" s="56" t="n"/>
      <c r="AM147" s="56" t="n"/>
      <c r="AN147" s="56" t="n"/>
      <c r="AO147" s="56" t="n"/>
      <c r="AP147" s="58">
        <f>COUNTIF(K147:AO147,"&gt;0")</f>
        <v/>
      </c>
      <c r="AQ147" s="71">
        <f>IF(AP147&gt;14,AVERAGE(K147:AO147),"")</f>
        <v/>
      </c>
      <c r="AR147" s="71">
        <f>IFERROR(VLOOKUP(A147,Climatologia_TMED!A:U,9+$E$2,FALSE),"")</f>
        <v/>
      </c>
      <c r="AS147" s="71">
        <f>IF(OR(AQ147="",AR147=""),"",IFERROR(AQ147-AR147,""))</f>
        <v/>
      </c>
    </row>
    <row r="148" ht="14.25" customHeight="1">
      <c r="A148" s="58" t="n">
        <v>16025040</v>
      </c>
      <c r="B148" s="59" t="inlineStr">
        <is>
          <t>Cinera-Villa Olga Aut</t>
        </is>
      </c>
      <c r="C148" s="59" t="inlineStr">
        <is>
          <t>Area Operativa 08 - Santanderes-Arauca</t>
        </is>
      </c>
      <c r="D148" s="73" t="n">
        <v>-72.47878</v>
      </c>
      <c r="E148" s="73" t="n">
        <v>8.16728</v>
      </c>
      <c r="F148" s="58" t="n">
        <v>96</v>
      </c>
      <c r="G148" s="58" t="n">
        <v>54</v>
      </c>
      <c r="H148" s="58" t="n">
        <v>54001</v>
      </c>
      <c r="I148" s="60" t="inlineStr">
        <is>
          <t>Norte De Santander</t>
        </is>
      </c>
      <c r="J148" s="60" t="inlineStr">
        <is>
          <t>San José De Cúcuta</t>
        </is>
      </c>
      <c r="K148" s="56" t="n">
        <v>29.4</v>
      </c>
      <c r="L148" s="56" t="n">
        <v>30.66666666666667</v>
      </c>
      <c r="M148" s="56" t="n">
        <v>29.4</v>
      </c>
      <c r="N148" s="56" t="n">
        <v>29.8</v>
      </c>
      <c r="O148" s="56" t="n">
        <v>32.13333333333333</v>
      </c>
      <c r="P148" s="56" t="n">
        <v>31.66666666666667</v>
      </c>
      <c r="Q148" s="56" t="n">
        <v>31.66666666666667</v>
      </c>
      <c r="R148" s="56" t="n">
        <v>30.6</v>
      </c>
      <c r="S148" s="56" t="n">
        <v>30.6</v>
      </c>
      <c r="T148" s="56" t="n">
        <v>30.13333333333334</v>
      </c>
      <c r="U148" s="56" t="n">
        <v>28.73333333333333</v>
      </c>
      <c r="V148" s="56" t="n">
        <v>31.26666666666667</v>
      </c>
      <c r="W148" s="56" t="n">
        <v>28.66666666666667</v>
      </c>
      <c r="X148" s="56" t="n">
        <v>32</v>
      </c>
      <c r="Y148" s="56" t="n">
        <v>31.46666666666667</v>
      </c>
      <c r="Z148" s="56" t="n">
        <v>30.26666666666667</v>
      </c>
      <c r="AA148" s="56" t="n">
        <v>31.4</v>
      </c>
      <c r="AB148" s="56" t="n">
        <v>34.8</v>
      </c>
      <c r="AC148" s="56" t="n">
        <v>33.53333333333333</v>
      </c>
      <c r="AD148" s="56" t="n">
        <v>30.93333333333333</v>
      </c>
      <c r="AE148" s="56" t="n">
        <v>32</v>
      </c>
      <c r="AF148" s="56" t="n">
        <v>32.33333333333334</v>
      </c>
      <c r="AG148" s="56" t="n">
        <v>32.66666666666666</v>
      </c>
      <c r="AH148" s="56" t="n">
        <v>33</v>
      </c>
      <c r="AI148" s="56" t="n">
        <v>30.53333333333333</v>
      </c>
      <c r="AJ148" s="56" t="n">
        <v>31.6</v>
      </c>
      <c r="AK148" s="56" t="n">
        <v/>
      </c>
      <c r="AL148" s="56" t="n"/>
      <c r="AM148" s="56" t="n"/>
      <c r="AN148" s="56" t="n"/>
      <c r="AO148" s="56" t="n"/>
      <c r="AP148" s="58">
        <f>COUNTIF(K148:AO148,"&gt;0")</f>
        <v/>
      </c>
      <c r="AQ148" s="71">
        <f>IF(AP148&gt;14,AVERAGE(K148:AO148),"")</f>
        <v/>
      </c>
      <c r="AR148" s="71">
        <f>IFERROR(VLOOKUP(A148,Climatologia_TMED!A:U,9+$E$2,FALSE),"")</f>
        <v/>
      </c>
      <c r="AS148" s="71">
        <f>IF(OR(AQ148="",AR148=""),"",IFERROR(AQ148-AR148,""))</f>
        <v/>
      </c>
    </row>
    <row r="149" ht="14.25" customHeight="1">
      <c r="A149" s="58" t="n">
        <v>16055010</v>
      </c>
      <c r="B149" s="59" t="inlineStr">
        <is>
          <t>Aeropuerto Aguas Claras</t>
        </is>
      </c>
      <c r="C149" s="59" t="inlineStr">
        <is>
          <t>Area Operativa 08 - Santanderes-Arauca</t>
        </is>
      </c>
      <c r="D149" s="73" t="n">
        <v>-73.3575</v>
      </c>
      <c r="E149" s="73" t="n">
        <v>8.315277778</v>
      </c>
      <c r="F149" s="58" t="n">
        <v>1435</v>
      </c>
      <c r="G149" s="58" t="n">
        <v>54</v>
      </c>
      <c r="H149" s="58" t="n">
        <v>54498</v>
      </c>
      <c r="I149" s="60" t="inlineStr">
        <is>
          <t>Norte De Santander</t>
        </is>
      </c>
      <c r="J149" s="60" t="inlineStr">
        <is>
          <t>Ocaña</t>
        </is>
      </c>
      <c r="K149" s="56" t="n">
        <v>22.8</v>
      </c>
      <c r="L149" s="56" t="n">
        <v>21.73333333333333</v>
      </c>
      <c r="M149" s="56" t="n">
        <v>23.4</v>
      </c>
      <c r="N149" s="56" t="n">
        <v>23.73333333333333</v>
      </c>
      <c r="O149" s="56" t="n">
        <v>23.93333333333333</v>
      </c>
      <c r="P149" s="56" t="n">
        <v>23.53333333333333</v>
      </c>
      <c r="Q149" s="56" t="n">
        <v>23.66666666666667</v>
      </c>
      <c r="R149" s="56" t="n">
        <v>27.06666666666666</v>
      </c>
      <c r="S149" s="56" t="n">
        <v>24.93333333333333</v>
      </c>
      <c r="T149" s="56" t="n">
        <v>24.4</v>
      </c>
      <c r="U149" s="56" t="n">
        <v>23.4</v>
      </c>
      <c r="V149" s="56" t="n">
        <v>23.8</v>
      </c>
      <c r="W149" s="56" t="n">
        <v>23.26666666666667</v>
      </c>
      <c r="X149" s="56" t="n">
        <v>23.53333333333333</v>
      </c>
      <c r="Y149" s="56" t="n">
        <v>23.8</v>
      </c>
      <c r="Z149" s="56" t="n">
        <v>23.66666666666667</v>
      </c>
      <c r="AA149" s="56" t="n">
        <v>24.56666666666667</v>
      </c>
      <c r="AB149" s="56" t="n">
        <v>24.06666666666667</v>
      </c>
      <c r="AC149" s="56" t="n">
        <v>23.26666666666667</v>
      </c>
      <c r="AD149" s="56" t="n">
        <v>23.2</v>
      </c>
      <c r="AE149" s="56" t="n">
        <v>24.06666666666667</v>
      </c>
      <c r="AF149" s="56" t="n"/>
      <c r="AG149" s="56" t="n"/>
      <c r="AH149" s="56" t="n"/>
      <c r="AI149" s="56" t="n"/>
      <c r="AJ149" s="56" t="n"/>
      <c r="AK149" s="56" t="n"/>
      <c r="AL149" s="56" t="n"/>
      <c r="AM149" s="56" t="n"/>
      <c r="AN149" s="56" t="n"/>
      <c r="AO149" s="56" t="n"/>
      <c r="AP149" s="58">
        <f>COUNTIF(K149:AO149,"&gt;0")</f>
        <v/>
      </c>
      <c r="AQ149" s="71">
        <f>IF(AP149&gt;14,AVERAGE(K149:AO149),"")</f>
        <v/>
      </c>
      <c r="AR149" s="71">
        <f>IFERROR(VLOOKUP(A149,Climatologia_TMED!A:U,9+$E$2,FALSE),"")</f>
        <v/>
      </c>
      <c r="AS149" s="71">
        <f>IF(OR(AQ149="",AR149=""),"",IFERROR(AQ149-AR149,""))</f>
        <v/>
      </c>
    </row>
    <row r="150" ht="14.25" customHeight="1">
      <c r="A150" s="58" t="n">
        <v>16055020</v>
      </c>
      <c r="B150" s="59" t="inlineStr">
        <is>
          <t>Teorama</t>
        </is>
      </c>
      <c r="C150" s="59" t="inlineStr">
        <is>
          <t>Area Operativa 08 - Santanderes-Arauca</t>
        </is>
      </c>
      <c r="D150" s="73" t="n">
        <v>-73.28527778</v>
      </c>
      <c r="E150" s="73" t="n">
        <v>8.442222222</v>
      </c>
      <c r="F150" s="58" t="n">
        <v>1160</v>
      </c>
      <c r="G150" s="58" t="n">
        <v>54</v>
      </c>
      <c r="H150" s="58" t="n">
        <v>54800</v>
      </c>
      <c r="I150" s="60" t="inlineStr">
        <is>
          <t>Norte De Santander</t>
        </is>
      </c>
      <c r="J150" s="60" t="inlineStr">
        <is>
          <t>Teorama</t>
        </is>
      </c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56" t="n"/>
      <c r="AB150" s="56" t="n"/>
      <c r="AC150" s="56" t="n"/>
      <c r="AD150" s="56" t="n"/>
      <c r="AE150" s="56" t="n"/>
      <c r="AF150" s="56" t="n"/>
      <c r="AG150" s="56" t="n"/>
      <c r="AH150" s="56" t="n"/>
      <c r="AI150" s="56" t="n"/>
      <c r="AJ150" s="56" t="n"/>
      <c r="AK150" s="56" t="n"/>
      <c r="AL150" s="56" t="n"/>
      <c r="AM150" s="56" t="n"/>
      <c r="AN150" s="56" t="n"/>
      <c r="AO150" s="56" t="n"/>
      <c r="AP150" s="58">
        <f>COUNTIF(K150:AO150,"&gt;0")</f>
        <v/>
      </c>
      <c r="AQ150" s="71">
        <f>IF(AP150&gt;14,AVERAGE(K150:AO150),"")</f>
        <v/>
      </c>
      <c r="AR150" s="71">
        <f>IFERROR(VLOOKUP(A150,Climatologia_TMED!A:U,9+$E$2,FALSE),"")</f>
        <v/>
      </c>
      <c r="AS150" s="71">
        <f>IF(OR(AQ150="",AR150=""),"",IFERROR(AQ150-AR150,""))</f>
        <v/>
      </c>
    </row>
    <row r="151" ht="14.25" customHeight="1">
      <c r="A151" s="58" t="n">
        <v>16055040</v>
      </c>
      <c r="B151" s="59" t="inlineStr">
        <is>
          <t>Abrego Centro Admo</t>
        </is>
      </c>
      <c r="C151" s="59" t="inlineStr">
        <is>
          <t>Area Operativa 08 - Santanderes-Arauca</t>
        </is>
      </c>
      <c r="D151" s="73" t="n">
        <v>-73.22305556000001</v>
      </c>
      <c r="E151" s="73" t="n">
        <v>8.087222221999999</v>
      </c>
      <c r="F151" s="58" t="n">
        <v>1430</v>
      </c>
      <c r="G151" s="58" t="n">
        <v>54</v>
      </c>
      <c r="H151" s="58" t="n">
        <v>54003</v>
      </c>
      <c r="I151" s="60" t="inlineStr">
        <is>
          <t>Norte De Santander</t>
        </is>
      </c>
      <c r="J151" s="60" t="inlineStr">
        <is>
          <t>Ábrego</t>
        </is>
      </c>
      <c r="K151" s="56" t="n">
        <v>22.53333333333333</v>
      </c>
      <c r="L151" s="56" t="n">
        <v>22.33333333333333</v>
      </c>
      <c r="M151" s="56" t="n">
        <v>23.53333333333333</v>
      </c>
      <c r="N151" s="56" t="n">
        <v>23.73333333333333</v>
      </c>
      <c r="O151" s="56" t="n">
        <v>23.93333333333334</v>
      </c>
      <c r="P151" s="56" t="n">
        <v>23.13333333333334</v>
      </c>
      <c r="Q151" s="56" t="n">
        <v>23.8</v>
      </c>
      <c r="R151" s="56" t="n">
        <v>25.93333333333333</v>
      </c>
      <c r="S151" s="56" t="n">
        <v>24</v>
      </c>
      <c r="T151" s="56" t="n">
        <v>23.66666666666667</v>
      </c>
      <c r="U151" s="56" t="n">
        <v>25.46666666666667</v>
      </c>
      <c r="V151" s="56" t="n">
        <v>22.33333333333333</v>
      </c>
      <c r="W151" s="56" t="n">
        <v>22.33333333333333</v>
      </c>
      <c r="X151" s="56" t="n">
        <v>24.93333333333333</v>
      </c>
      <c r="Y151" s="56" t="n">
        <v>24.66666666666667</v>
      </c>
      <c r="Z151" s="56" t="n">
        <v>24.2</v>
      </c>
      <c r="AA151" s="56" t="n">
        <v>25.4</v>
      </c>
      <c r="AB151" s="56" t="n">
        <v/>
      </c>
      <c r="AC151" s="56" t="n">
        <v>23.13333333333334</v>
      </c>
      <c r="AD151" s="56" t="n">
        <v>23.53333333333333</v>
      </c>
      <c r="AE151" s="56" t="n">
        <v>23.4</v>
      </c>
      <c r="AF151" s="56" t="n">
        <v>23.53333333333333</v>
      </c>
      <c r="AG151" s="56" t="n">
        <v>23.93333333333333</v>
      </c>
      <c r="AH151" s="56" t="n">
        <v>22.8</v>
      </c>
      <c r="AI151" s="56" t="n">
        <v>21.86666666666666</v>
      </c>
      <c r="AJ151" s="56" t="n">
        <v>22.46666666666667</v>
      </c>
      <c r="AK151" s="56" t="n">
        <v>22.86666666666666</v>
      </c>
      <c r="AL151" s="56" t="n"/>
      <c r="AM151" s="56" t="n"/>
      <c r="AN151" s="56" t="n"/>
      <c r="AO151" s="56" t="n"/>
      <c r="AP151" s="58">
        <f>COUNTIF(K151:AO151,"&gt;0")</f>
        <v/>
      </c>
      <c r="AQ151" s="71">
        <f>IF(AP151&gt;14,AVERAGE(K151:AO151),"")</f>
        <v/>
      </c>
      <c r="AR151" s="71">
        <f>IFERROR(VLOOKUP(A151,Climatologia_TMED!A:U,9+$E$2,FALSE),"")</f>
        <v/>
      </c>
      <c r="AS151" s="71">
        <f>IF(OR(AQ151="",AR151=""),"",IFERROR(AQ151-AR151,""))</f>
        <v/>
      </c>
    </row>
    <row r="152" ht="14.25" customHeight="1">
      <c r="A152" s="58" t="n">
        <v>16055100</v>
      </c>
      <c r="B152" s="59" t="inlineStr">
        <is>
          <t>Universidad Francisco De Paula Santander</t>
        </is>
      </c>
      <c r="C152" s="59" t="inlineStr">
        <is>
          <t>Area Operativa 08 - Santanderes-Arauca</t>
        </is>
      </c>
      <c r="D152" s="73" t="n">
        <v>-73.32222222</v>
      </c>
      <c r="E152" s="73" t="n">
        <v>8.237777778</v>
      </c>
      <c r="F152" s="58" t="n">
        <v>1150</v>
      </c>
      <c r="G152" s="58" t="n">
        <v>54</v>
      </c>
      <c r="H152" s="58" t="n">
        <v>54498</v>
      </c>
      <c r="I152" s="60" t="inlineStr">
        <is>
          <t>Norte De Santander</t>
        </is>
      </c>
      <c r="J152" s="60" t="inlineStr">
        <is>
          <t>Ocaña</t>
        </is>
      </c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  <c r="AA152" s="56" t="n"/>
      <c r="AB152" s="56" t="n"/>
      <c r="AC152" s="56" t="n"/>
      <c r="AD152" s="56" t="n"/>
      <c r="AE152" s="56" t="n"/>
      <c r="AF152" s="56" t="n"/>
      <c r="AG152" s="56" t="n"/>
      <c r="AH152" s="56" t="n"/>
      <c r="AI152" s="56" t="n"/>
      <c r="AJ152" s="56" t="n"/>
      <c r="AK152" s="56" t="n"/>
      <c r="AL152" s="56" t="n"/>
      <c r="AM152" s="56" t="n"/>
      <c r="AN152" s="56" t="n"/>
      <c r="AO152" s="56" t="n"/>
      <c r="AP152" s="58">
        <f>COUNTIF(K152:AO152,"&gt;0")</f>
        <v/>
      </c>
      <c r="AQ152" s="71">
        <f>IF(AP152&gt;14,AVERAGE(K152:AO152),"")</f>
        <v/>
      </c>
      <c r="AR152" s="71">
        <f>IFERROR(VLOOKUP(A152,Climatologia_TMED!A:U,9+$E$2,FALSE),"")</f>
        <v/>
      </c>
      <c r="AS152" s="71">
        <f>IF(OR(AQ152="",AR152=""),"",IFERROR(AQ152-AR152,""))</f>
        <v/>
      </c>
    </row>
    <row r="153" ht="14.25" customHeight="1">
      <c r="A153" s="58" t="n">
        <v>23125050</v>
      </c>
      <c r="B153" s="59" t="inlineStr">
        <is>
          <t>Carare</t>
        </is>
      </c>
      <c r="C153" s="59" t="inlineStr">
        <is>
          <t>Area Operativa 08 - Santanderes-Arauca</t>
        </is>
      </c>
      <c r="D153" s="73" t="n">
        <v>-74.06138889</v>
      </c>
      <c r="E153" s="73" t="n">
        <v>6.649444444</v>
      </c>
      <c r="F153" s="58" t="n">
        <v>168</v>
      </c>
      <c r="G153" s="58" t="n">
        <v>68</v>
      </c>
      <c r="H153" s="58" t="n">
        <v>68573</v>
      </c>
      <c r="I153" s="60" t="inlineStr">
        <is>
          <t>Santander</t>
        </is>
      </c>
      <c r="J153" s="60" t="inlineStr">
        <is>
          <t>Puerto Parra</t>
        </is>
      </c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  <c r="AC153" s="56" t="n"/>
      <c r="AD153" s="56" t="n"/>
      <c r="AE153" s="56" t="n"/>
      <c r="AF153" s="56" t="n"/>
      <c r="AG153" s="56" t="n"/>
      <c r="AH153" s="56" t="n"/>
      <c r="AI153" s="56" t="n"/>
      <c r="AJ153" s="56" t="n"/>
      <c r="AK153" s="56" t="n"/>
      <c r="AL153" s="56" t="n"/>
      <c r="AM153" s="56" t="n"/>
      <c r="AN153" s="56" t="n"/>
      <c r="AO153" s="56" t="n"/>
      <c r="AP153" s="58">
        <f>COUNTIF(K153:AO153,"&gt;0")</f>
        <v/>
      </c>
      <c r="AQ153" s="71">
        <f>IF(AP153&gt;14,AVERAGE(K153:AO153),"")</f>
        <v/>
      </c>
      <c r="AR153" s="71">
        <f>IFERROR(VLOOKUP(A153,Climatologia_TMED!A:U,9+$E$2,FALSE),"")</f>
        <v/>
      </c>
      <c r="AS153" s="71">
        <f>IF(OR(AQ153="",AR153=""),"",IFERROR(AQ153-AR153,""))</f>
        <v/>
      </c>
    </row>
    <row r="154" ht="14.25" customHeight="1">
      <c r="A154" s="58" t="n">
        <v>23125060</v>
      </c>
      <c r="B154" s="59" t="inlineStr">
        <is>
          <t>Albania</t>
        </is>
      </c>
      <c r="C154" s="59" t="inlineStr">
        <is>
          <t>Area Operativa 08 - Santanderes-Arauca</t>
        </is>
      </c>
      <c r="D154" s="73" t="n">
        <v>-73.91333333</v>
      </c>
      <c r="E154" s="73" t="n">
        <v>5.758333333</v>
      </c>
      <c r="F154" s="58" t="n">
        <v>1690</v>
      </c>
      <c r="G154" s="58" t="n">
        <v>68</v>
      </c>
      <c r="H154" s="58" t="n">
        <v>68020</v>
      </c>
      <c r="I154" s="60" t="inlineStr">
        <is>
          <t>Santander</t>
        </is>
      </c>
      <c r="J154" s="60" t="inlineStr">
        <is>
          <t>Albania</t>
        </is>
      </c>
      <c r="K154" s="56" t="n">
        <v>19.85</v>
      </c>
      <c r="L154" s="56" t="n">
        <v>19.75</v>
      </c>
      <c r="M154" s="56" t="n">
        <v>21.55</v>
      </c>
      <c r="N154" s="56" t="n">
        <v>21.6</v>
      </c>
      <c r="O154" s="56" t="n">
        <v>22.55</v>
      </c>
      <c r="P154" s="56" t="n">
        <v>22.5</v>
      </c>
      <c r="Q154" s="56" t="n">
        <v>20.1</v>
      </c>
      <c r="R154" s="56" t="n">
        <v/>
      </c>
      <c r="S154" s="56" t="n">
        <v/>
      </c>
      <c r="T154" s="56" t="n">
        <v/>
      </c>
      <c r="U154" s="56" t="n">
        <v/>
      </c>
      <c r="V154" s="56" t="n">
        <v/>
      </c>
      <c r="W154" s="56" t="n">
        <v>20.6</v>
      </c>
      <c r="X154" s="56" t="n">
        <v/>
      </c>
      <c r="Y154" s="56" t="n">
        <v>21.85</v>
      </c>
      <c r="Z154" s="56" t="n">
        <v>21.2</v>
      </c>
      <c r="AA154" s="56" t="n">
        <v>24.85</v>
      </c>
      <c r="AB154" s="56" t="n">
        <v>22.75</v>
      </c>
      <c r="AC154" s="56" t="n">
        <v>20.6</v>
      </c>
      <c r="AD154" s="56" t="n">
        <v>20.95</v>
      </c>
      <c r="AE154" s="56" t="n">
        <v>20.95</v>
      </c>
      <c r="AF154" s="56" t="n">
        <v>20.75</v>
      </c>
      <c r="AG154" s="56" t="n">
        <v>20.4</v>
      </c>
      <c r="AH154" s="56" t="n">
        <v>20.35</v>
      </c>
      <c r="AI154" s="56" t="n">
        <v>19.75</v>
      </c>
      <c r="AJ154" s="56" t="n">
        <v>19.95</v>
      </c>
      <c r="AK154" s="56" t="n">
        <v>19</v>
      </c>
      <c r="AL154" s="56" t="n"/>
      <c r="AM154" s="56" t="n"/>
      <c r="AN154" s="56" t="n"/>
      <c r="AO154" s="56" t="n"/>
      <c r="AP154" s="58">
        <f>COUNTIF(K154:AO154,"&gt;0")</f>
        <v/>
      </c>
      <c r="AQ154" s="71">
        <f>IF(AP154&gt;14,AVERAGE(K154:AO154),"")</f>
        <v/>
      </c>
      <c r="AR154" s="71">
        <f>IFERROR(VLOOKUP(A154,Climatologia_TMED!A:U,9+$E$2,FALSE),"")</f>
        <v/>
      </c>
      <c r="AS154" s="71">
        <f>IF(OR(AQ154="",AR154=""),"",IFERROR(AQ154-AR154,""))</f>
        <v/>
      </c>
    </row>
    <row r="155" ht="14.25" customHeight="1">
      <c r="A155" s="58" t="n">
        <v>23125120</v>
      </c>
      <c r="B155" s="59" t="inlineStr">
        <is>
          <t>Cimitarra</t>
        </is>
      </c>
      <c r="C155" s="59" t="inlineStr">
        <is>
          <t>Area Operativa 08 - Santanderes-Arauca</t>
        </is>
      </c>
      <c r="D155" s="73" t="n">
        <v>-73.95222222</v>
      </c>
      <c r="E155" s="73" t="n">
        <v>6.308611111</v>
      </c>
      <c r="F155" s="58" t="n">
        <v>198</v>
      </c>
      <c r="G155" s="58" t="n">
        <v>68</v>
      </c>
      <c r="H155" s="58" t="n">
        <v>68190</v>
      </c>
      <c r="I155" s="60" t="inlineStr">
        <is>
          <t>Santander</t>
        </is>
      </c>
      <c r="J155" s="60" t="inlineStr">
        <is>
          <t>Cimitarra</t>
        </is>
      </c>
      <c r="K155" s="56" t="n">
        <v>28.13333333333334</v>
      </c>
      <c r="L155" s="56" t="n">
        <v>28.73333333333333</v>
      </c>
      <c r="M155" s="56" t="n">
        <v>29.46666666666667</v>
      </c>
      <c r="N155" s="56" t="n">
        <v>29.06666666666667</v>
      </c>
      <c r="O155" s="56" t="n">
        <v>28.6</v>
      </c>
      <c r="P155" s="56" t="n">
        <v>27.93333333333334</v>
      </c>
      <c r="Q155" s="56" t="n">
        <v>29.4</v>
      </c>
      <c r="R155" s="56" t="n">
        <v>30.33333333333333</v>
      </c>
      <c r="S155" s="56" t="n">
        <v>30.86666666666666</v>
      </c>
      <c r="T155" s="56" t="n">
        <v>29.4</v>
      </c>
      <c r="U155" s="56" t="n">
        <v>28.13333333333334</v>
      </c>
      <c r="V155" s="56" t="n">
        <v>30.06666666666666</v>
      </c>
      <c r="W155" s="56" t="n">
        <v>28</v>
      </c>
      <c r="X155" s="56" t="n">
        <v>30.33333333333333</v>
      </c>
      <c r="Y155" s="56" t="n">
        <v>29.46666666666667</v>
      </c>
      <c r="Z155" s="56" t="n">
        <v>27.8</v>
      </c>
      <c r="AA155" s="56" t="n">
        <v>29.73333333333333</v>
      </c>
      <c r="AB155" s="56" t="n">
        <v>28.46666666666667</v>
      </c>
      <c r="AC155" s="56" t="n">
        <v>26.86666666666666</v>
      </c>
      <c r="AD155" s="56" t="n">
        <v>28.53333333333333</v>
      </c>
      <c r="AE155" s="56" t="n">
        <v>27.33333333333333</v>
      </c>
      <c r="AF155" s="56" t="n">
        <v>28.8</v>
      </c>
      <c r="AG155" s="56" t="n">
        <v>28.73333333333333</v>
      </c>
      <c r="AH155" s="56" t="n">
        <v>29.4</v>
      </c>
      <c r="AI155" s="56" t="n">
        <v>26.66666666666667</v>
      </c>
      <c r="AJ155" s="56" t="n">
        <v>29.53333333333333</v>
      </c>
      <c r="AK155" s="56" t="n">
        <v>26.4</v>
      </c>
      <c r="AL155" s="56" t="n"/>
      <c r="AM155" s="56" t="n"/>
      <c r="AN155" s="56" t="n"/>
      <c r="AO155" s="56" t="n"/>
      <c r="AP155" s="58">
        <f>COUNTIF(K155:AO155,"&gt;0")</f>
        <v/>
      </c>
      <c r="AQ155" s="71">
        <f>IF(AP155&gt;14,AVERAGE(K155:AO155),"")</f>
        <v/>
      </c>
      <c r="AR155" s="71">
        <f>IFERROR(VLOOKUP(A155,Climatologia_TMED!A:U,9+$E$2,FALSE),"")</f>
        <v/>
      </c>
      <c r="AS155" s="71">
        <f>IF(OR(AQ155="",AR155=""),"",IFERROR(AQ155-AR155,""))</f>
        <v/>
      </c>
    </row>
    <row r="156" ht="14.25" customHeight="1">
      <c r="A156" s="58" t="n">
        <v>23145020</v>
      </c>
      <c r="B156" s="59" t="inlineStr">
        <is>
          <t>El Carmen</t>
        </is>
      </c>
      <c r="C156" s="59" t="inlineStr">
        <is>
          <t>Area Operativa 08 - Santanderes-Arauca</t>
        </is>
      </c>
      <c r="D156" s="73" t="n">
        <v>-73.51000000000001</v>
      </c>
      <c r="E156" s="73" t="n">
        <v>6.696388889</v>
      </c>
      <c r="F156" s="58" t="n">
        <v>805</v>
      </c>
      <c r="G156" s="58" t="n">
        <v>68</v>
      </c>
      <c r="H156" s="58" t="n">
        <v>68235</v>
      </c>
      <c r="I156" s="60" t="inlineStr">
        <is>
          <t>Santander</t>
        </is>
      </c>
      <c r="J156" s="60" t="inlineStr">
        <is>
          <t>El Carmen De Chucurí</t>
        </is>
      </c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  <c r="AA156" s="56" t="n"/>
      <c r="AB156" s="56" t="n"/>
      <c r="AC156" s="56" t="n"/>
      <c r="AD156" s="56" t="n"/>
      <c r="AE156" s="56" t="n"/>
      <c r="AF156" s="56" t="n"/>
      <c r="AG156" s="56" t="n"/>
      <c r="AH156" s="56" t="n"/>
      <c r="AI156" s="56" t="n"/>
      <c r="AJ156" s="56" t="n"/>
      <c r="AK156" s="56" t="n"/>
      <c r="AL156" s="56" t="n"/>
      <c r="AM156" s="56" t="n"/>
      <c r="AN156" s="56" t="n"/>
      <c r="AO156" s="56" t="n"/>
      <c r="AP156" s="58">
        <f>COUNTIF(K156:AO156,"&gt;0")</f>
        <v/>
      </c>
      <c r="AQ156" s="71">
        <f>IF(AP156&gt;14,AVERAGE(K156:AO156),"")</f>
        <v/>
      </c>
      <c r="AR156" s="71">
        <f>IFERROR(VLOOKUP(A156,Climatologia_TMED!A:U,9+$E$2,FALSE),"")</f>
        <v/>
      </c>
      <c r="AS156" s="71">
        <f>IF(OR(AQ156="",AR156=""),"",IFERROR(AQ156-AR156,""))</f>
        <v/>
      </c>
    </row>
    <row r="157" ht="14.25" customHeight="1">
      <c r="A157" s="58" t="n">
        <v>23155040</v>
      </c>
      <c r="B157" s="59" t="inlineStr">
        <is>
          <t xml:space="preserve">El Centro </t>
        </is>
      </c>
      <c r="C157" s="59" t="inlineStr">
        <is>
          <t>Area Operativa 08 - Santanderes-Arauca</t>
        </is>
      </c>
      <c r="D157" s="73" t="n">
        <v>-73.76508333</v>
      </c>
      <c r="E157" s="73" t="n">
        <v>6.859555556</v>
      </c>
      <c r="F157" s="58" t="n">
        <v>114</v>
      </c>
      <c r="G157" s="58" t="n">
        <v>68</v>
      </c>
      <c r="H157" s="58" t="n">
        <v>68081</v>
      </c>
      <c r="I157" s="60" t="inlineStr">
        <is>
          <t>Santander</t>
        </is>
      </c>
      <c r="J157" s="60" t="inlineStr">
        <is>
          <t>Barrancabermeja</t>
        </is>
      </c>
      <c r="K157" s="56" t="n">
        <v>29.86666666666666</v>
      </c>
      <c r="L157" s="56" t="n">
        <v>29.46666666666667</v>
      </c>
      <c r="M157" s="56" t="n">
        <v>30.46666666666667</v>
      </c>
      <c r="N157" s="56" t="n">
        <v>30.06666666666667</v>
      </c>
      <c r="O157" s="56" t="n">
        <v/>
      </c>
      <c r="P157" s="56" t="n">
        <v>30.93333333333333</v>
      </c>
      <c r="Q157" s="56" t="n">
        <v>30.26666666666667</v>
      </c>
      <c r="R157" s="56" t="n">
        <v>30.53333333333333</v>
      </c>
      <c r="S157" s="56" t="n">
        <v>32.73333333333333</v>
      </c>
      <c r="T157" s="56" t="n">
        <v>31.53333333333333</v>
      </c>
      <c r="U157" s="56" t="n">
        <v>29.06666666666666</v>
      </c>
      <c r="V157" s="56" t="n">
        <v/>
      </c>
      <c r="W157" s="56" t="n">
        <v>30.53333333333333</v>
      </c>
      <c r="X157" s="56" t="n">
        <v>30.8</v>
      </c>
      <c r="Y157" s="56" t="n">
        <v>30.53333333333333</v>
      </c>
      <c r="Z157" s="56" t="n">
        <v>27.73333333333333</v>
      </c>
      <c r="AA157" s="56" t="n">
        <v>30.53333333333333</v>
      </c>
      <c r="AB157" s="56" t="n">
        <v/>
      </c>
      <c r="AC157" s="56" t="n">
        <v/>
      </c>
      <c r="AD157" s="56" t="n">
        <v>30.33333333333333</v>
      </c>
      <c r="AE157" s="56" t="n">
        <v>27.86666666666667</v>
      </c>
      <c r="AF157" s="56" t="n">
        <v>29.4</v>
      </c>
      <c r="AG157" s="56" t="n">
        <v>27.33333333333333</v>
      </c>
      <c r="AH157" s="56" t="n">
        <v>28.4</v>
      </c>
      <c r="AI157" s="56" t="n">
        <v>26.46666666666667</v>
      </c>
      <c r="AJ157" s="56" t="n">
        <v/>
      </c>
      <c r="AK157" s="56" t="n">
        <v>27.73333333333333</v>
      </c>
      <c r="AL157" s="56" t="n"/>
      <c r="AM157" s="56" t="n"/>
      <c r="AN157" s="56" t="n"/>
      <c r="AO157" s="56" t="n"/>
      <c r="AP157" s="58">
        <f>COUNTIF(K157:AO157,"&gt;0")</f>
        <v/>
      </c>
      <c r="AQ157" s="71">
        <f>IF(AP157&gt;14,AVERAGE(K157:AO157),"")</f>
        <v/>
      </c>
      <c r="AR157" s="71">
        <f>IFERROR(VLOOKUP(A157,Climatologia_TMED!A:U,9+$E$2,FALSE),"")</f>
        <v/>
      </c>
      <c r="AS157" s="71">
        <f>IF(OR(AQ157="",AR157=""),"",IFERROR(AQ157-AR157,""))</f>
        <v/>
      </c>
    </row>
    <row r="158" ht="14.25" customHeight="1">
      <c r="A158" s="58" t="n">
        <v>23185010</v>
      </c>
      <c r="B158" s="59" t="inlineStr">
        <is>
          <t>Villa Leiva</t>
        </is>
      </c>
      <c r="C158" s="59" t="inlineStr">
        <is>
          <t>Area Operativa 08 - Santanderes-Arauca</t>
        </is>
      </c>
      <c r="D158" s="73" t="n">
        <v>-73.53722222</v>
      </c>
      <c r="E158" s="73" t="n">
        <v>7.456111111</v>
      </c>
      <c r="F158" s="58" t="n">
        <v>328</v>
      </c>
      <c r="G158" s="58" t="n">
        <v>68</v>
      </c>
      <c r="H158" s="58" t="n">
        <v>68655</v>
      </c>
      <c r="I158" s="60" t="inlineStr">
        <is>
          <t>Santander</t>
        </is>
      </c>
      <c r="J158" s="60" t="inlineStr">
        <is>
          <t>Sabana De Torres</t>
        </is>
      </c>
      <c r="K158" s="56" t="n">
        <v>30.73333333333333</v>
      </c>
      <c r="L158" s="56" t="n">
        <v>30.86666666666666</v>
      </c>
      <c r="M158" s="56" t="n">
        <v>30</v>
      </c>
      <c r="N158" s="56" t="n">
        <v>30.06666666666667</v>
      </c>
      <c r="O158" s="56" t="n">
        <v>31.33333333333333</v>
      </c>
      <c r="P158" s="56" t="n">
        <v>31.13333333333334</v>
      </c>
      <c r="Q158" s="56" t="n">
        <v>30.4</v>
      </c>
      <c r="R158" s="56" t="n">
        <v>31.66666666666667</v>
      </c>
      <c r="S158" s="56" t="n">
        <v>31.6</v>
      </c>
      <c r="T158" s="56" t="n">
        <v>32.06666666666667</v>
      </c>
      <c r="U158" s="56" t="n">
        <v>31.46666666666667</v>
      </c>
      <c r="V158" s="56" t="n">
        <v>31.06666666666667</v>
      </c>
      <c r="W158" s="56" t="n">
        <v>31.26666666666667</v>
      </c>
      <c r="X158" s="56" t="n">
        <v>30.86666666666666</v>
      </c>
      <c r="Y158" s="56" t="n">
        <v>32</v>
      </c>
      <c r="Z158" s="56" t="n">
        <v>28.33333333333333</v>
      </c>
      <c r="AA158" s="56" t="n">
        <v>31.93333333333333</v>
      </c>
      <c r="AB158" s="56" t="n">
        <v>32.2</v>
      </c>
      <c r="AC158" s="56" t="n">
        <v>28.13333333333334</v>
      </c>
      <c r="AD158" s="56" t="n">
        <v>30.8</v>
      </c>
      <c r="AE158" s="56" t="n">
        <v>29.66666666666667</v>
      </c>
      <c r="AF158" s="56" t="n">
        <v>31.53333333333333</v>
      </c>
      <c r="AG158" s="56" t="n">
        <v>29.73333333333333</v>
      </c>
      <c r="AH158" s="56" t="n">
        <v>31</v>
      </c>
      <c r="AI158" s="56" t="n">
        <v>28.33333333333333</v>
      </c>
      <c r="AJ158" s="56" t="n">
        <v>29.6</v>
      </c>
      <c r="AK158" s="56" t="n">
        <v>27.4</v>
      </c>
      <c r="AL158" s="56" t="n"/>
      <c r="AM158" s="56" t="n"/>
      <c r="AN158" s="56" t="n"/>
      <c r="AO158" s="56" t="n"/>
      <c r="AP158" s="58">
        <f>COUNTIF(K158:AO158,"&gt;0")</f>
        <v/>
      </c>
      <c r="AQ158" s="71">
        <f>IF(AP158&gt;14,AVERAGE(K158:AO158),"")</f>
        <v/>
      </c>
      <c r="AR158" s="71">
        <f>IFERROR(VLOOKUP(A158,Climatologia_TMED!A:U,9+$E$2,FALSE),"")</f>
        <v/>
      </c>
      <c r="AS158" s="71">
        <f>IF(OR(AQ158="",AR158=""),"",IFERROR(AQ158-AR158,""))</f>
        <v/>
      </c>
    </row>
    <row r="159" ht="14.25" customHeight="1">
      <c r="A159" s="58" t="n">
        <v>23195090</v>
      </c>
      <c r="B159" s="59" t="inlineStr">
        <is>
          <t>Vivero Surata  - Aut</t>
        </is>
      </c>
      <c r="C159" s="59" t="inlineStr">
        <is>
          <t>Area Operativa 08 - Santanderes-Arauca</t>
        </is>
      </c>
      <c r="D159" s="73" t="n">
        <v>-72.9875</v>
      </c>
      <c r="E159" s="73" t="n">
        <v>7.36583</v>
      </c>
      <c r="F159" s="58" t="n">
        <v>1791</v>
      </c>
      <c r="G159" s="58" t="n">
        <v>68</v>
      </c>
      <c r="H159" s="58" t="n">
        <v>68780</v>
      </c>
      <c r="I159" s="60" t="inlineStr">
        <is>
          <t>Santander</t>
        </is>
      </c>
      <c r="J159" s="60" t="inlineStr">
        <is>
          <t>Suratá</t>
        </is>
      </c>
      <c r="K159" s="56" t="n">
        <v>19.86666666666666</v>
      </c>
      <c r="L159" s="56" t="n">
        <v>20.13333333333333</v>
      </c>
      <c r="M159" s="56" t="n">
        <v>21.33333333333333</v>
      </c>
      <c r="N159" s="56" t="n">
        <v>20.26666666666667</v>
      </c>
      <c r="O159" s="56" t="n">
        <v>21.46666666666667</v>
      </c>
      <c r="P159" s="56" t="n">
        <v>20.33333333333333</v>
      </c>
      <c r="Q159" s="56" t="n">
        <v>21</v>
      </c>
      <c r="R159" s="56" t="n">
        <v>20.8</v>
      </c>
      <c r="S159" s="56" t="n">
        <v>22.33333333333333</v>
      </c>
      <c r="T159" s="56" t="n">
        <v>22.66666666666667</v>
      </c>
      <c r="U159" s="56" t="n">
        <v>21.33333333333333</v>
      </c>
      <c r="V159" s="56" t="n">
        <v>21.4</v>
      </c>
      <c r="W159" s="56" t="n">
        <v>20.93333333333333</v>
      </c>
      <c r="X159" s="56" t="n">
        <v>20.93333333333333</v>
      </c>
      <c r="Y159" s="56" t="n">
        <v>22.4</v>
      </c>
      <c r="Z159" s="56" t="n">
        <v>21.6</v>
      </c>
      <c r="AA159" s="56" t="n">
        <v>22.6</v>
      </c>
      <c r="AB159" s="56" t="n">
        <v>22.46666666666667</v>
      </c>
      <c r="AC159" s="56" t="n">
        <v>21.13333333333333</v>
      </c>
      <c r="AD159" s="56" t="n">
        <v>21.26666666666667</v>
      </c>
      <c r="AE159" s="56" t="n">
        <v>20.66666666666667</v>
      </c>
      <c r="AF159" s="56" t="n">
        <v>20.93333333333333</v>
      </c>
      <c r="AG159" s="56" t="n">
        <v>21.4</v>
      </c>
      <c r="AH159" s="56" t="n">
        <v>21.53333333333333</v>
      </c>
      <c r="AI159" s="56" t="n">
        <v>18.26666666666667</v>
      </c>
      <c r="AJ159" s="56" t="n">
        <v>20.4</v>
      </c>
      <c r="AK159" s="56" t="n">
        <v>19.13333333333334</v>
      </c>
      <c r="AL159" s="56" t="n"/>
      <c r="AM159" s="56" t="n"/>
      <c r="AN159" s="56" t="n"/>
      <c r="AO159" s="56" t="n"/>
      <c r="AP159" s="58">
        <f>COUNTIF(K159:AO159,"&gt;0")</f>
        <v/>
      </c>
      <c r="AQ159" s="71">
        <f>IF(AP159&gt;14,AVERAGE(K159:AO159),"")</f>
        <v/>
      </c>
      <c r="AR159" s="71">
        <f>IFERROR(VLOOKUP(A159,Climatologia_TMED!A:U,9+$E$2,FALSE),"")</f>
        <v/>
      </c>
      <c r="AS159" s="71">
        <f>IF(OR(AQ159="",AR159=""),"",IFERROR(AQ159-AR159,""))</f>
        <v/>
      </c>
    </row>
    <row r="160" ht="14.25" customHeight="1">
      <c r="A160" s="58" t="n">
        <v>23195110</v>
      </c>
      <c r="B160" s="59" t="inlineStr">
        <is>
          <t>Llano Grande  - Aut</t>
        </is>
      </c>
      <c r="C160" s="59" t="inlineStr">
        <is>
          <t>Area Operativa 08 - Santanderes-Arauca</t>
        </is>
      </c>
      <c r="D160" s="73" t="n">
        <v>-73.16722222</v>
      </c>
      <c r="E160" s="73" t="n">
        <v>7.025555556</v>
      </c>
      <c r="F160" s="58" t="n">
        <v>777</v>
      </c>
      <c r="G160" s="58" t="n">
        <v>68</v>
      </c>
      <c r="H160" s="58" t="n">
        <v>68307</v>
      </c>
      <c r="I160" s="60" t="inlineStr">
        <is>
          <t>Santander</t>
        </is>
      </c>
      <c r="J160" s="60" t="inlineStr">
        <is>
          <t>Girón</t>
        </is>
      </c>
      <c r="K160" s="56" t="n">
        <v>27.13333333333334</v>
      </c>
      <c r="L160" s="56" t="n">
        <v>27.26666666666667</v>
      </c>
      <c r="M160" s="56" t="n">
        <v>26.86666666666666</v>
      </c>
      <c r="N160" s="56" t="n">
        <v>27.53333333333333</v>
      </c>
      <c r="O160" s="56" t="n">
        <v>28.93333333333333</v>
      </c>
      <c r="P160" s="56" t="n">
        <v/>
      </c>
      <c r="Q160" s="56" t="n">
        <v>26.13333333333334</v>
      </c>
      <c r="R160" s="56" t="n">
        <v>26.93333333333333</v>
      </c>
      <c r="S160" s="56" t="n">
        <v>28.26666666666667</v>
      </c>
      <c r="T160" s="56" t="n">
        <v>27.53333333333333</v>
      </c>
      <c r="U160" s="56" t="n">
        <v>27.26666666666667</v>
      </c>
      <c r="V160" s="56" t="n">
        <v>28.33333333333333</v>
      </c>
      <c r="W160" s="56" t="n">
        <v>27.13333333333333</v>
      </c>
      <c r="X160" s="56" t="n">
        <v>26.53333333333333</v>
      </c>
      <c r="Y160" s="56" t="n">
        <v>28</v>
      </c>
      <c r="Z160" s="56" t="n">
        <v>27.86666666666667</v>
      </c>
      <c r="AA160" s="56" t="n">
        <v>28.4</v>
      </c>
      <c r="AB160" s="56" t="n">
        <v>27.26666666666667</v>
      </c>
      <c r="AC160" s="56" t="n">
        <v>27.33333333333333</v>
      </c>
      <c r="AD160" s="56" t="n">
        <v>25.73333333333333</v>
      </c>
      <c r="AE160" s="56" t="n">
        <v>26.73333333333333</v>
      </c>
      <c r="AF160" s="56" t="n">
        <v>28.33333333333333</v>
      </c>
      <c r="AG160" s="56" t="n">
        <v>27.93333333333333</v>
      </c>
      <c r="AH160" s="56" t="n">
        <v>27.73333333333333</v>
      </c>
      <c r="AI160" s="56" t="n">
        <v/>
      </c>
      <c r="AJ160" s="56" t="n">
        <v>27.4</v>
      </c>
      <c r="AK160" s="56" t="n">
        <v>26.93333333333333</v>
      </c>
      <c r="AL160" s="56" t="n"/>
      <c r="AM160" s="56" t="n"/>
      <c r="AN160" s="56" t="n"/>
      <c r="AO160" s="56" t="n"/>
      <c r="AP160" s="58">
        <f>COUNTIF(K160:AO160,"&gt;0")</f>
        <v/>
      </c>
      <c r="AQ160" s="71">
        <f>IF(AP160&gt;14,AVERAGE(K160:AO160),"")</f>
        <v/>
      </c>
      <c r="AR160" s="71">
        <f>IFERROR(VLOOKUP(A160,Climatologia_TMED!A:U,9+$E$2,FALSE),"")</f>
        <v/>
      </c>
      <c r="AS160" s="71">
        <f>IF(OR(AQ160="",AR160=""),"",IFERROR(AQ160-AR160,""))</f>
        <v/>
      </c>
    </row>
    <row r="161" ht="14.25" customHeight="1">
      <c r="A161" s="58" t="n">
        <v>23195180</v>
      </c>
      <c r="B161" s="59" t="inlineStr">
        <is>
          <t>Escuela Agricola Cachira</t>
        </is>
      </c>
      <c r="C161" s="59" t="inlineStr">
        <is>
          <t>Area Operativa 08 - Santanderes-Arauca</t>
        </is>
      </c>
      <c r="D161" s="73" t="n">
        <v>-73.05166667</v>
      </c>
      <c r="E161" s="73" t="n">
        <v>7.735277778</v>
      </c>
      <c r="F161" s="58" t="n">
        <v>1882</v>
      </c>
      <c r="G161" s="58" t="n">
        <v>54</v>
      </c>
      <c r="H161" s="58" t="n">
        <v>54128</v>
      </c>
      <c r="I161" s="60" t="inlineStr">
        <is>
          <t>Norte De Santander</t>
        </is>
      </c>
      <c r="J161" s="60" t="inlineStr">
        <is>
          <t>Cáchira</t>
        </is>
      </c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  <c r="AC161" s="56" t="n"/>
      <c r="AD161" s="56" t="n"/>
      <c r="AE161" s="56" t="n"/>
      <c r="AF161" s="56" t="n"/>
      <c r="AG161" s="56" t="n"/>
      <c r="AH161" s="56" t="n"/>
      <c r="AI161" s="56" t="n"/>
      <c r="AJ161" s="56" t="n"/>
      <c r="AK161" s="56" t="n"/>
      <c r="AL161" s="56" t="n"/>
      <c r="AM161" s="56" t="n"/>
      <c r="AN161" s="56" t="n"/>
      <c r="AO161" s="56" t="n"/>
      <c r="AP161" s="58">
        <f>COUNTIF(K161:AO161,"&gt;0")</f>
        <v/>
      </c>
      <c r="AQ161" s="71">
        <f>IF(AP161&gt;14,AVERAGE(K161:AO161),"")</f>
        <v/>
      </c>
      <c r="AR161" s="71">
        <f>IFERROR(VLOOKUP(A161,Climatologia_TMED!A:U,9+$E$2,FALSE),"")</f>
        <v/>
      </c>
      <c r="AS161" s="71">
        <f>IF(OR(AQ161="",AR161=""),"",IFERROR(AQ161-AR161,""))</f>
        <v/>
      </c>
    </row>
    <row r="162" ht="14.25" customHeight="1">
      <c r="A162" s="58" t="n">
        <v>23205020</v>
      </c>
      <c r="B162" s="59" t="inlineStr">
        <is>
          <t>Colegio Cooperativo</t>
        </is>
      </c>
      <c r="C162" s="59" t="inlineStr">
        <is>
          <t>Area Operativa 08 - Santanderes-Arauca</t>
        </is>
      </c>
      <c r="D162" s="73" t="n">
        <v>-73.92555556000001</v>
      </c>
      <c r="E162" s="73" t="n">
        <v>7.475</v>
      </c>
      <c r="F162" s="58" t="n">
        <v>165</v>
      </c>
      <c r="G162" s="58" t="n">
        <v>13</v>
      </c>
      <c r="H162" s="58" t="n">
        <v>13670</v>
      </c>
      <c r="I162" s="60" t="inlineStr">
        <is>
          <t>Bolívar</t>
        </is>
      </c>
      <c r="J162" s="60" t="inlineStr">
        <is>
          <t>San Pablo</t>
        </is>
      </c>
      <c r="K162" s="56" t="n">
        <v>28.6</v>
      </c>
      <c r="L162" s="56" t="n">
        <v>28.53333333333333</v>
      </c>
      <c r="M162" s="56" t="n">
        <v>29.26666666666667</v>
      </c>
      <c r="N162" s="56" t="n">
        <v>30</v>
      </c>
      <c r="O162" s="56" t="n">
        <v>29.93333333333333</v>
      </c>
      <c r="P162" s="56" t="n">
        <v>28.13333333333334</v>
      </c>
      <c r="Q162" s="56" t="n">
        <v>28.66666666666667</v>
      </c>
      <c r="R162" s="56" t="n">
        <v>30</v>
      </c>
      <c r="S162" s="56" t="n">
        <v>29.73333333333333</v>
      </c>
      <c r="T162" s="56" t="n">
        <v>28.8</v>
      </c>
      <c r="U162" s="56" t="n">
        <v>28</v>
      </c>
      <c r="V162" s="56" t="n">
        <v>28.93333333333334</v>
      </c>
      <c r="W162" s="56" t="n">
        <v>28.86666666666666</v>
      </c>
      <c r="X162" s="56" t="n">
        <v>29</v>
      </c>
      <c r="Y162" s="56" t="n">
        <v>29.86666666666667</v>
      </c>
      <c r="Z162" s="56" t="n">
        <v>27.93333333333334</v>
      </c>
      <c r="AA162" s="56" t="n">
        <v>29.53333333333333</v>
      </c>
      <c r="AB162" s="56" t="n">
        <v>30.26666666666667</v>
      </c>
      <c r="AC162" s="56" t="n">
        <v>26.26666666666667</v>
      </c>
      <c r="AD162" s="56" t="n">
        <v>29</v>
      </c>
      <c r="AE162" s="56" t="n">
        <v>27.66666666666667</v>
      </c>
      <c r="AF162" s="56" t="n">
        <v>28.8</v>
      </c>
      <c r="AG162" s="56" t="n">
        <v>28.06666666666667</v>
      </c>
      <c r="AH162" s="56" t="n">
        <v>28.46666666666667</v>
      </c>
      <c r="AI162" s="56" t="n">
        <v>27.46666666666667</v>
      </c>
      <c r="AJ162" s="56" t="n">
        <v>27.06666666666667</v>
      </c>
      <c r="AK162" s="56" t="n">
        <v>28</v>
      </c>
      <c r="AL162" s="56" t="n"/>
      <c r="AM162" s="56" t="n"/>
      <c r="AN162" s="56" t="n"/>
      <c r="AO162" s="56" t="n"/>
      <c r="AP162" s="58">
        <f>COUNTIF(K162:AO162,"&gt;0")</f>
        <v/>
      </c>
      <c r="AQ162" s="71">
        <f>IF(AP162&gt;14,AVERAGE(K162:AO162),"")</f>
        <v/>
      </c>
      <c r="AR162" s="71">
        <f>IFERROR(VLOOKUP(A162,Climatologia_TMED!A:U,9+$E$2,FALSE),"")</f>
        <v/>
      </c>
      <c r="AS162" s="71">
        <f>IF(OR(AQ162="",AR162=""),"",IFERROR(AQ162-AR162,""))</f>
        <v/>
      </c>
    </row>
    <row r="163" ht="14.25" customHeight="1">
      <c r="A163" s="58" t="n">
        <v>24015250</v>
      </c>
      <c r="B163" s="59" t="inlineStr">
        <is>
          <t xml:space="preserve">La Laja </t>
        </is>
      </c>
      <c r="C163" s="59" t="inlineStr">
        <is>
          <t>Area Operativa 08 - Santanderes-Arauca</t>
        </is>
      </c>
      <c r="D163" s="73" t="n">
        <v>-73.41538889</v>
      </c>
      <c r="E163" s="73" t="n">
        <v>6.237166667</v>
      </c>
      <c r="F163" s="58" t="n">
        <v>1400</v>
      </c>
      <c r="G163" s="58" t="n">
        <v>68</v>
      </c>
      <c r="H163" s="58" t="n">
        <v>68320</v>
      </c>
      <c r="I163" s="60" t="inlineStr">
        <is>
          <t>Santander</t>
        </is>
      </c>
      <c r="J163" s="60" t="inlineStr">
        <is>
          <t>Guadalupe</t>
        </is>
      </c>
      <c r="K163" s="56" t="n">
        <v>21.06666666666667</v>
      </c>
      <c r="L163" s="56" t="n">
        <v>21.46666666666667</v>
      </c>
      <c r="M163" s="56" t="n">
        <v>22.13333333333334</v>
      </c>
      <c r="N163" s="56" t="n">
        <v>21.13333333333333</v>
      </c>
      <c r="O163" s="56" t="n">
        <v>21.66666666666667</v>
      </c>
      <c r="P163" s="56" t="n">
        <v>20.06666666666667</v>
      </c>
      <c r="Q163" s="56" t="n">
        <v>21</v>
      </c>
      <c r="R163" s="56" t="n">
        <v>21.86666666666666</v>
      </c>
      <c r="S163" s="56" t="n">
        <v>21.93333333333334</v>
      </c>
      <c r="T163" s="56" t="n">
        <v>21.53333333333333</v>
      </c>
      <c r="U163" s="56" t="n">
        <v>21.53333333333333</v>
      </c>
      <c r="V163" s="56" t="n">
        <v>22.2</v>
      </c>
      <c r="W163" s="56" t="n">
        <v>20.86666666666667</v>
      </c>
      <c r="X163" s="56" t="n">
        <v>22.26666666666667</v>
      </c>
      <c r="Y163" s="56" t="n">
        <v>22</v>
      </c>
      <c r="Z163" s="56" t="n">
        <v>21.93333333333333</v>
      </c>
      <c r="AA163" s="56" t="n">
        <v>22.2</v>
      </c>
      <c r="AB163" s="56" t="n">
        <v>23</v>
      </c>
      <c r="AC163" s="56" t="n">
        <v>20.6</v>
      </c>
      <c r="AD163" s="56" t="n">
        <v>21.66666666666667</v>
      </c>
      <c r="AE163" s="56" t="n">
        <v>20.53333333333333</v>
      </c>
      <c r="AF163" s="56" t="n">
        <v>22.46666666666667</v>
      </c>
      <c r="AG163" s="56" t="n">
        <v>20.6</v>
      </c>
      <c r="AH163" s="56" t="n">
        <v>21.4</v>
      </c>
      <c r="AI163" s="56" t="n">
        <v>20.86666666666667</v>
      </c>
      <c r="AJ163" s="56" t="n">
        <v>21.33333333333333</v>
      </c>
      <c r="AK163" s="56" t="n">
        <v>20.8</v>
      </c>
      <c r="AL163" s="56" t="n"/>
      <c r="AM163" s="56" t="n"/>
      <c r="AN163" s="56" t="n"/>
      <c r="AO163" s="56" t="n"/>
      <c r="AP163" s="58">
        <f>COUNTIF(K163:AO163,"&gt;0")</f>
        <v/>
      </c>
      <c r="AQ163" s="71">
        <f>IF(AP163&gt;14,AVERAGE(K163:AO163),"")</f>
        <v/>
      </c>
      <c r="AR163" s="71">
        <f>IFERROR(VLOOKUP(A163,Climatologia_TMED!A:U,9+$E$2,FALSE),"")</f>
        <v/>
      </c>
      <c r="AS163" s="71">
        <f>IF(OR(AQ163="",AR163=""),"",IFERROR(AQ163-AR163,""))</f>
        <v/>
      </c>
    </row>
    <row r="164" ht="14.25" customHeight="1">
      <c r="A164" s="58" t="n">
        <v>24015260</v>
      </c>
      <c r="B164" s="59" t="inlineStr">
        <is>
          <t>Chima</t>
        </is>
      </c>
      <c r="C164" s="59" t="inlineStr">
        <is>
          <t>Area Operativa 08 - Santanderes-Arauca</t>
        </is>
      </c>
      <c r="D164" s="73" t="n">
        <v>-73.36833333</v>
      </c>
      <c r="E164" s="73" t="n">
        <v>6.355</v>
      </c>
      <c r="F164" s="58" t="n">
        <v>190</v>
      </c>
      <c r="G164" s="58" t="n">
        <v>68</v>
      </c>
      <c r="H164" s="58" t="n">
        <v>68176</v>
      </c>
      <c r="I164" s="60" t="inlineStr">
        <is>
          <t>Santander</t>
        </is>
      </c>
      <c r="J164" s="60" t="inlineStr">
        <is>
          <t>Chima</t>
        </is>
      </c>
      <c r="K164" s="56" t="n">
        <v>25.2</v>
      </c>
      <c r="L164" s="56" t="n">
        <v>25.9</v>
      </c>
      <c r="M164" s="56" t="n">
        <v>25.3</v>
      </c>
      <c r="N164" s="56" t="n">
        <v>25.7</v>
      </c>
      <c r="O164" s="56" t="n">
        <v>26.5</v>
      </c>
      <c r="P164" s="56" t="n">
        <v>24.05</v>
      </c>
      <c r="Q164" s="56" t="n">
        <v>25.1</v>
      </c>
      <c r="R164" s="56" t="n">
        <v>25.9</v>
      </c>
      <c r="S164" s="56" t="n">
        <v>26.55</v>
      </c>
      <c r="T164" s="56" t="n">
        <v>25.75</v>
      </c>
      <c r="U164" s="56" t="n">
        <v>25.2</v>
      </c>
      <c r="V164" s="56" t="n">
        <v>25.25</v>
      </c>
      <c r="W164" s="56" t="n">
        <v>23.95</v>
      </c>
      <c r="X164" s="56" t="n">
        <v>26.2</v>
      </c>
      <c r="Y164" s="56" t="n">
        <v>26.5</v>
      </c>
      <c r="Z164" s="56" t="n">
        <v>26.15</v>
      </c>
      <c r="AA164" s="56" t="n">
        <v>26.9</v>
      </c>
      <c r="AB164" s="56" t="n">
        <v>26.1</v>
      </c>
      <c r="AC164" s="56" t="n">
        <v>25.2</v>
      </c>
      <c r="AD164" s="56" t="n">
        <v>26.15</v>
      </c>
      <c r="AE164" s="56" t="n">
        <v>24.45</v>
      </c>
      <c r="AF164" s="56" t="n">
        <v>25.55</v>
      </c>
      <c r="AG164" s="56" t="n">
        <v>23.75</v>
      </c>
      <c r="AH164" s="56" t="n">
        <v>25.2</v>
      </c>
      <c r="AI164" s="56" t="n">
        <v>23.85</v>
      </c>
      <c r="AJ164" s="56" t="n">
        <v>24.25</v>
      </c>
      <c r="AK164" s="56" t="n">
        <v>23.8</v>
      </c>
      <c r="AL164" s="56" t="n"/>
      <c r="AM164" s="56" t="n"/>
      <c r="AN164" s="56" t="n"/>
      <c r="AO164" s="56" t="n"/>
      <c r="AP164" s="58">
        <f>COUNTIF(K164:AO164,"&gt;0")</f>
        <v/>
      </c>
      <c r="AQ164" s="71">
        <f>IF(AP164&gt;14,AVERAGE(K164:AO164),"")</f>
        <v/>
      </c>
      <c r="AR164" s="71">
        <f>IFERROR(VLOOKUP(A164,Climatologia_TMED!A:U,9+$E$2,FALSE),"")</f>
        <v/>
      </c>
      <c r="AS164" s="71">
        <f>IF(OR(AQ164="",AR164=""),"",IFERROR(AQ164-AR164,""))</f>
        <v/>
      </c>
    </row>
    <row r="165" ht="14.25" customHeight="1">
      <c r="A165" s="58" t="n">
        <v>24025040</v>
      </c>
      <c r="B165" s="59" t="inlineStr">
        <is>
          <t>Escuela Agricola Mogotes</t>
        </is>
      </c>
      <c r="C165" s="59" t="inlineStr">
        <is>
          <t>Area Operativa 08 - Santanderes-Arauca</t>
        </is>
      </c>
      <c r="D165" s="73" t="n">
        <v>-72.96888889</v>
      </c>
      <c r="E165" s="73" t="n">
        <v>6.47</v>
      </c>
      <c r="F165" s="58" t="n">
        <v>1673</v>
      </c>
      <c r="G165" s="58" t="n">
        <v>68</v>
      </c>
      <c r="H165" s="58" t="n">
        <v>68464</v>
      </c>
      <c r="I165" s="60" t="inlineStr">
        <is>
          <t>Santander</t>
        </is>
      </c>
      <c r="J165" s="60" t="inlineStr">
        <is>
          <t>Mogotes</t>
        </is>
      </c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  <c r="AC165" s="56" t="n"/>
      <c r="AD165" s="56" t="n"/>
      <c r="AE165" s="56" t="n"/>
      <c r="AF165" s="56" t="n"/>
      <c r="AG165" s="56" t="n"/>
      <c r="AH165" s="56" t="n"/>
      <c r="AI165" s="56" t="n"/>
      <c r="AJ165" s="56" t="n"/>
      <c r="AK165" s="56" t="n"/>
      <c r="AL165" s="56" t="n"/>
      <c r="AM165" s="56" t="n"/>
      <c r="AN165" s="56" t="n"/>
      <c r="AO165" s="56" t="n"/>
      <c r="AP165" s="58">
        <f>COUNTIF(K165:AO165,"&gt;0")</f>
        <v/>
      </c>
      <c r="AQ165" s="71">
        <f>IF(AP165&gt;14,AVERAGE(K165:AO165),"")</f>
        <v/>
      </c>
      <c r="AR165" s="71">
        <f>IFERROR(VLOOKUP(A165,Climatologia_TMED!A:U,9+$E$2,FALSE),"")</f>
        <v/>
      </c>
      <c r="AS165" s="71">
        <f>IF(OR(AQ165="",AR165=""),"",IFERROR(AQ165-AR165,""))</f>
        <v/>
      </c>
    </row>
    <row r="166" ht="14.25" customHeight="1">
      <c r="A166" s="58" t="n">
        <v>24035400</v>
      </c>
      <c r="B166" s="59" t="inlineStr">
        <is>
          <t xml:space="preserve">El Volcan </t>
        </is>
      </c>
      <c r="C166" s="59" t="inlineStr">
        <is>
          <t>Area Operativa 08 - Santanderes-Arauca</t>
        </is>
      </c>
      <c r="D166" s="73" t="n">
        <v>-72.67777778</v>
      </c>
      <c r="E166" s="73" t="n">
        <v>6.845277778</v>
      </c>
      <c r="F166" s="58" t="n">
        <v>2841</v>
      </c>
      <c r="G166" s="58" t="n">
        <v>68</v>
      </c>
      <c r="H166" s="58" t="n">
        <v>68162</v>
      </c>
      <c r="I166" s="60" t="inlineStr">
        <is>
          <t>Santander</t>
        </is>
      </c>
      <c r="J166" s="60" t="inlineStr">
        <is>
          <t>Cerrito</t>
        </is>
      </c>
      <c r="K166" s="56" t="n">
        <v>14.93333333333333</v>
      </c>
      <c r="L166" s="56" t="n">
        <v>14.6</v>
      </c>
      <c r="M166" s="56" t="n">
        <v>14.7</v>
      </c>
      <c r="N166" s="56" t="n">
        <v>15.13333333333333</v>
      </c>
      <c r="O166" s="56" t="n">
        <v>14.06666666666667</v>
      </c>
      <c r="P166" s="56" t="n">
        <v>14.13333333333333</v>
      </c>
      <c r="Q166" s="56" t="n">
        <v>14.13333333333333</v>
      </c>
      <c r="R166" s="56" t="n">
        <v>14.53333333333333</v>
      </c>
      <c r="S166" s="56" t="n">
        <v>15.8</v>
      </c>
      <c r="T166" s="56" t="n">
        <v>14.93333333333333</v>
      </c>
      <c r="U166" s="56" t="n">
        <v>14.8</v>
      </c>
      <c r="V166" s="56" t="n">
        <v>15</v>
      </c>
      <c r="W166" s="56" t="n">
        <v>14.73333333333333</v>
      </c>
      <c r="X166" s="56" t="n">
        <v>15.33333333333333</v>
      </c>
      <c r="Y166" s="56" t="n">
        <v>14.8</v>
      </c>
      <c r="Z166" s="56" t="n">
        <v>14.86666666666667</v>
      </c>
      <c r="AA166" s="56" t="n">
        <v>15.66666666666667</v>
      </c>
      <c r="AB166" s="56" t="n">
        <v>15.4</v>
      </c>
      <c r="AC166" s="56" t="n">
        <v>14.8</v>
      </c>
      <c r="AD166" s="56" t="n">
        <v>13.93333333333333</v>
      </c>
      <c r="AE166" s="56" t="n">
        <v>15.26666666666667</v>
      </c>
      <c r="AF166" s="56" t="n">
        <v>16.13333333333334</v>
      </c>
      <c r="AG166" s="56" t="n">
        <v>16.2</v>
      </c>
      <c r="AH166" s="56" t="n">
        <v>15.4</v>
      </c>
      <c r="AI166" s="56" t="n">
        <v>14.2</v>
      </c>
      <c r="AJ166" s="56" t="n">
        <v>14.46666666666667</v>
      </c>
      <c r="AK166" s="56" t="n">
        <v>13.6</v>
      </c>
      <c r="AL166" s="56" t="n"/>
      <c r="AM166" s="56" t="n"/>
      <c r="AN166" s="56" t="n"/>
      <c r="AO166" s="56" t="n"/>
      <c r="AP166" s="58">
        <f>COUNTIF(K166:AO166,"&gt;0")</f>
        <v/>
      </c>
      <c r="AQ166" s="71">
        <f>IF(AP166&gt;14,AVERAGE(K166:AO166),"")</f>
        <v/>
      </c>
      <c r="AR166" s="71">
        <f>IFERROR(VLOOKUP(A166,Climatologia_TMED!A:U,9+$E$2,FALSE),"")</f>
        <v/>
      </c>
      <c r="AS166" s="71">
        <f>IF(OR(AQ166="",AR166=""),"",IFERROR(AQ166-AR166,""))</f>
        <v/>
      </c>
    </row>
    <row r="167" ht="14.25" customHeight="1">
      <c r="A167" s="58" t="n">
        <v>24055030</v>
      </c>
      <c r="B167" s="59" t="inlineStr">
        <is>
          <t>Zapatoca</t>
        </is>
      </c>
      <c r="C167" s="59" t="inlineStr">
        <is>
          <t>Area Operativa 08 - Santanderes-Arauca</t>
        </is>
      </c>
      <c r="D167" s="73" t="n">
        <v>-73.28274999999999</v>
      </c>
      <c r="E167" s="73" t="n">
        <v>6.792777778</v>
      </c>
      <c r="F167" s="58" t="n">
        <v>1810</v>
      </c>
      <c r="G167" s="58" t="n">
        <v>68</v>
      </c>
      <c r="H167" s="58" t="n">
        <v>68895</v>
      </c>
      <c r="I167" s="60" t="inlineStr">
        <is>
          <t>Santander</t>
        </is>
      </c>
      <c r="J167" s="60" t="inlineStr">
        <is>
          <t>Zapatoca</t>
        </is>
      </c>
      <c r="K167" s="56" t="n">
        <v>20.66666666666667</v>
      </c>
      <c r="L167" s="56" t="n">
        <v>20.73333333333333</v>
      </c>
      <c r="M167" s="56" t="n">
        <v>20.4</v>
      </c>
      <c r="N167" s="56" t="n">
        <v>21.26666666666667</v>
      </c>
      <c r="O167" s="56" t="n">
        <v>21.33333333333333</v>
      </c>
      <c r="P167" s="56" t="n">
        <v>22.33333333333333</v>
      </c>
      <c r="Q167" s="56" t="n">
        <v>20.73333333333333</v>
      </c>
      <c r="R167" s="56" t="n">
        <v>21.6</v>
      </c>
      <c r="S167" s="56" t="n">
        <v>23.06666666666667</v>
      </c>
      <c r="T167" s="56" t="n">
        <v>21.93333333333334</v>
      </c>
      <c r="U167" s="56" t="n">
        <v>20.93333333333333</v>
      </c>
      <c r="V167" s="56" t="n">
        <v>21.66666666666667</v>
      </c>
      <c r="W167" s="56" t="n">
        <v>21.6</v>
      </c>
      <c r="X167" s="56" t="n">
        <v>21.2</v>
      </c>
      <c r="Y167" s="56" t="n">
        <v>22</v>
      </c>
      <c r="Z167" s="56" t="n">
        <v>20.6</v>
      </c>
      <c r="AA167" s="56" t="n">
        <v>21.93333333333334</v>
      </c>
      <c r="AB167" s="56" t="n">
        <v>21.8</v>
      </c>
      <c r="AC167" s="56" t="n">
        <v>21.06666666666667</v>
      </c>
      <c r="AD167" s="56" t="n">
        <v>21.46666666666667</v>
      </c>
      <c r="AE167" s="56" t="n">
        <v>19.8</v>
      </c>
      <c r="AF167" s="56" t="n">
        <v>21.2</v>
      </c>
      <c r="AG167" s="56" t="n">
        <v>20.93333333333333</v>
      </c>
      <c r="AH167" s="56" t="n">
        <v>21.26666666666667</v>
      </c>
      <c r="AI167" s="56" t="n">
        <v>21.06666666666667</v>
      </c>
      <c r="AJ167" s="56" t="n">
        <v>20.73333333333333</v>
      </c>
      <c r="AK167" s="56" t="n">
        <v>20.73333333333333</v>
      </c>
      <c r="AL167" s="56" t="n"/>
      <c r="AM167" s="56" t="n"/>
      <c r="AN167" s="56" t="n"/>
      <c r="AO167" s="56" t="n"/>
      <c r="AP167" s="58">
        <f>COUNTIF(K167:AO167,"&gt;0")</f>
        <v/>
      </c>
      <c r="AQ167" s="71">
        <f>IF(AP167&gt;14,AVERAGE(K167:AO167),"")</f>
        <v/>
      </c>
      <c r="AR167" s="71">
        <f>IFERROR(VLOOKUP(A167,Climatologia_TMED!A:U,9+$E$2,FALSE),"")</f>
        <v/>
      </c>
      <c r="AS167" s="71">
        <f>IF(OR(AQ167="",AR167=""),"",IFERROR(AQ167-AR167,""))</f>
        <v/>
      </c>
    </row>
    <row r="168" ht="14.25" customHeight="1">
      <c r="A168" s="58" t="n">
        <v>24055040</v>
      </c>
      <c r="B168" s="59" t="inlineStr">
        <is>
          <t xml:space="preserve">El Palmar </t>
        </is>
      </c>
      <c r="C168" s="59" t="inlineStr">
        <is>
          <t>Area Operativa 08 - Santanderes-Arauca</t>
        </is>
      </c>
      <c r="D168" s="73" t="n">
        <v>-73.292</v>
      </c>
      <c r="E168" s="73" t="n">
        <v>6.549722222</v>
      </c>
      <c r="F168" s="58" t="n">
        <v>940</v>
      </c>
      <c r="G168" s="58" t="n">
        <v>68</v>
      </c>
      <c r="H168" s="58" t="n">
        <v>68522</v>
      </c>
      <c r="I168" s="60" t="inlineStr">
        <is>
          <t>Santander</t>
        </is>
      </c>
      <c r="J168" s="60" t="inlineStr">
        <is>
          <t>Palmar</t>
        </is>
      </c>
      <c r="K168" s="56" t="n">
        <v>27.8</v>
      </c>
      <c r="L168" s="56" t="n">
        <v>28.3</v>
      </c>
      <c r="M168" s="56" t="n">
        <v>28.35</v>
      </c>
      <c r="N168" s="56" t="n">
        <v>28.7</v>
      </c>
      <c r="O168" s="56" t="n">
        <v>29.55</v>
      </c>
      <c r="P168" s="56" t="n">
        <v>27.6</v>
      </c>
      <c r="Q168" s="56" t="n">
        <v>27.75</v>
      </c>
      <c r="R168" s="56" t="n">
        <v>29.05</v>
      </c>
      <c r="S168" s="56" t="n">
        <v>30.5</v>
      </c>
      <c r="T168" s="56" t="n">
        <v>27.55</v>
      </c>
      <c r="U168" s="56" t="n">
        <v>28.05</v>
      </c>
      <c r="V168" s="56" t="n">
        <v>29.1</v>
      </c>
      <c r="W168" s="56" t="n">
        <v>28</v>
      </c>
      <c r="X168" s="56" t="n">
        <v>29</v>
      </c>
      <c r="Y168" s="56" t="n">
        <v>29.6</v>
      </c>
      <c r="Z168" s="56" t="n">
        <v>28.2</v>
      </c>
      <c r="AA168" s="56" t="n">
        <v>29.35</v>
      </c>
      <c r="AB168" s="56" t="n">
        <v>30.25</v>
      </c>
      <c r="AC168" s="56" t="n">
        <v>27</v>
      </c>
      <c r="AD168" s="56" t="n">
        <v>28.55</v>
      </c>
      <c r="AE168" s="56" t="n">
        <v>27.8</v>
      </c>
      <c r="AF168" s="56" t="n">
        <v>28.95</v>
      </c>
      <c r="AG168" s="56" t="n">
        <v>27.75</v>
      </c>
      <c r="AH168" s="56" t="n">
        <v>26.1</v>
      </c>
      <c r="AI168" s="56" t="n">
        <v>26.35</v>
      </c>
      <c r="AJ168" s="56" t="n">
        <v>27.7</v>
      </c>
      <c r="AK168" s="56" t="n">
        <v>27.6</v>
      </c>
      <c r="AL168" s="56" t="n"/>
      <c r="AM168" s="56" t="n"/>
      <c r="AN168" s="56" t="n"/>
      <c r="AO168" s="56" t="n"/>
      <c r="AP168" s="58">
        <f>COUNTIF(K168:AO168,"&gt;0")</f>
        <v/>
      </c>
      <c r="AQ168" s="71">
        <f>IF(AP168&gt;14,AVERAGE(K168:AO168),"")</f>
        <v/>
      </c>
      <c r="AR168" s="71">
        <f>IFERROR(VLOOKUP(A168,Climatologia_TMED!A:U,9+$E$2,FALSE),"")</f>
        <v/>
      </c>
      <c r="AS168" s="71">
        <f>IF(OR(AQ168="",AR168=""),"",IFERROR(AQ168-AR168,""))</f>
        <v/>
      </c>
    </row>
    <row r="169" ht="14.25" customHeight="1">
      <c r="A169" s="58" t="n">
        <v>37015020</v>
      </c>
      <c r="B169" s="59" t="inlineStr">
        <is>
          <t>Berlin</t>
        </is>
      </c>
      <c r="C169" s="59" t="inlineStr">
        <is>
          <t>Area Operativa 08 - Santanderes-Arauca</t>
        </is>
      </c>
      <c r="D169" s="73" t="n">
        <v>-72.86861111</v>
      </c>
      <c r="E169" s="73" t="n">
        <v>7.186944444</v>
      </c>
      <c r="F169" s="58" t="n">
        <v>3214</v>
      </c>
      <c r="G169" s="58" t="n">
        <v>68</v>
      </c>
      <c r="H169" s="58" t="n">
        <v>68820</v>
      </c>
      <c r="I169" s="60" t="inlineStr">
        <is>
          <t>Santander</t>
        </is>
      </c>
      <c r="J169" s="60" t="inlineStr">
        <is>
          <t>Tona</t>
        </is>
      </c>
      <c r="K169" s="56" t="n">
        <v>10.65</v>
      </c>
      <c r="L169" s="56" t="n">
        <v>10</v>
      </c>
      <c r="M169" s="56" t="n">
        <v>9.700000000000001</v>
      </c>
      <c r="N169" s="56" t="n">
        <v>9.100000000000001</v>
      </c>
      <c r="O169" s="56" t="n">
        <v>9.399999999999999</v>
      </c>
      <c r="P169" s="56" t="n">
        <v>8.25</v>
      </c>
      <c r="Q169" s="56" t="n">
        <v>8.300000000000001</v>
      </c>
      <c r="R169" s="56" t="n">
        <v>8.25</v>
      </c>
      <c r="S169" s="56" t="n">
        <v>9.25</v>
      </c>
      <c r="T169" s="56" t="n">
        <v>9.600000000000001</v>
      </c>
      <c r="U169" s="56" t="n">
        <v>8.399999999999999</v>
      </c>
      <c r="V169" s="56" t="n">
        <v>10.2</v>
      </c>
      <c r="W169" s="56" t="n">
        <v>10.1</v>
      </c>
      <c r="X169" s="56" t="n">
        <v>9.899999999999999</v>
      </c>
      <c r="Y169" s="56" t="n">
        <v>10.2</v>
      </c>
      <c r="Z169" s="56" t="n">
        <v>9.449999999999999</v>
      </c>
      <c r="AA169" s="56" t="n">
        <v>9.949999999999999</v>
      </c>
      <c r="AB169" s="56" t="n">
        <v>9.149999999999999</v>
      </c>
      <c r="AC169" s="56" t="n">
        <v>9.699999999999999</v>
      </c>
      <c r="AD169" s="56" t="n">
        <v>9.350000000000001</v>
      </c>
      <c r="AE169" s="56" t="n">
        <v>9.850000000000001</v>
      </c>
      <c r="AF169" s="56" t="n">
        <v>10.45</v>
      </c>
      <c r="AG169" s="56" t="n">
        <v>10.5</v>
      </c>
      <c r="AH169" s="56" t="n">
        <v>10.15</v>
      </c>
      <c r="AI169" s="56" t="n">
        <v>9.85</v>
      </c>
      <c r="AJ169" s="56" t="n">
        <v>10.7</v>
      </c>
      <c r="AK169" s="56" t="n">
        <v>10.9</v>
      </c>
      <c r="AL169" s="56" t="n"/>
      <c r="AM169" s="56" t="n"/>
      <c r="AN169" s="56" t="n"/>
      <c r="AO169" s="56" t="n"/>
      <c r="AP169" s="58">
        <f>COUNTIF(K169:AO169,"&gt;0")</f>
        <v/>
      </c>
      <c r="AQ169" s="71">
        <f>IF(AP169&gt;14,AVERAGE(K169:AO169),"")</f>
        <v/>
      </c>
      <c r="AR169" s="71">
        <f>IFERROR(VLOOKUP(A169,Climatologia_TMED!A:U,9+$E$2,FALSE),"")</f>
        <v/>
      </c>
      <c r="AS169" s="71">
        <f>IF(OR(AQ169="",AR169=""),"",IFERROR(AQ169-AR169,""))</f>
        <v/>
      </c>
    </row>
    <row r="170" ht="14.25" customHeight="1">
      <c r="A170" s="58" t="n">
        <v>37035010</v>
      </c>
      <c r="B170" s="59" t="inlineStr">
        <is>
          <t>Tunebia</t>
        </is>
      </c>
      <c r="C170" s="59" t="inlineStr">
        <is>
          <t>Area Operativa 08 - Santanderes-Arauca</t>
        </is>
      </c>
      <c r="D170" s="73" t="n">
        <v>-72.11583333</v>
      </c>
      <c r="E170" s="73" t="n">
        <v>7.006111111</v>
      </c>
      <c r="F170" s="58" t="n">
        <v>370</v>
      </c>
      <c r="G170" s="58" t="n">
        <v>54</v>
      </c>
      <c r="H170" s="58" t="n">
        <v>54820</v>
      </c>
      <c r="I170" s="60" t="inlineStr">
        <is>
          <t>Norte De Santander</t>
        </is>
      </c>
      <c r="J170" s="60" t="inlineStr">
        <is>
          <t>Toledo</t>
        </is>
      </c>
      <c r="K170" s="56" t="n">
        <v>25.26666666666667</v>
      </c>
      <c r="L170" s="56" t="n">
        <v>23.86666666666666</v>
      </c>
      <c r="M170" s="56" t="n">
        <v>26.6</v>
      </c>
      <c r="N170" s="56" t="n">
        <v>27.06666666666667</v>
      </c>
      <c r="O170" s="56" t="n">
        <v>25.53333333333333</v>
      </c>
      <c r="P170" s="56" t="n">
        <v>25.6</v>
      </c>
      <c r="Q170" s="56" t="n">
        <v>27.26666666666667</v>
      </c>
      <c r="R170" s="56" t="n">
        <v>23.13333333333334</v>
      </c>
      <c r="S170" s="56" t="n">
        <v>26.93333333333333</v>
      </c>
      <c r="T170" s="56" t="n">
        <v>26.66666666666667</v>
      </c>
      <c r="U170" s="56" t="n">
        <v>24.2</v>
      </c>
      <c r="V170" s="56" t="n">
        <v>26.33333333333333</v>
      </c>
      <c r="W170" s="56" t="n">
        <v>24.33333333333333</v>
      </c>
      <c r="X170" s="56" t="n">
        <v>26.26666666666667</v>
      </c>
      <c r="Y170" s="56" t="n">
        <v>23.2</v>
      </c>
      <c r="Z170" s="56" t="n">
        <v>25.2</v>
      </c>
      <c r="AA170" s="56" t="n">
        <v>26.33333333333333</v>
      </c>
      <c r="AB170" s="56" t="n">
        <v>27.2</v>
      </c>
      <c r="AC170" s="56" t="n">
        <v>25.33333333333333</v>
      </c>
      <c r="AD170" s="56" t="n">
        <v>25.73333333333333</v>
      </c>
      <c r="AE170" s="56" t="n">
        <v>26.53333333333333</v>
      </c>
      <c r="AF170" s="56" t="n">
        <v>27.4</v>
      </c>
      <c r="AG170" s="56" t="n">
        <v>27.86666666666667</v>
      </c>
      <c r="AH170" s="56" t="n">
        <v>22.93333333333333</v>
      </c>
      <c r="AI170" s="56" t="n">
        <v>26.2</v>
      </c>
      <c r="AJ170" s="56" t="n">
        <v>27.2</v>
      </c>
      <c r="AK170" s="56" t="n">
        <v>28.33333333333333</v>
      </c>
      <c r="AL170" s="56" t="n"/>
      <c r="AM170" s="56" t="n"/>
      <c r="AN170" s="56" t="n"/>
      <c r="AO170" s="56" t="n"/>
      <c r="AP170" s="58">
        <f>COUNTIF(K170:AO170,"&gt;0")</f>
        <v/>
      </c>
      <c r="AQ170" s="71">
        <f>IF(AP170&gt;14,AVERAGE(K170:AO170),"")</f>
        <v/>
      </c>
      <c r="AR170" s="71">
        <f>IFERROR(VLOOKUP(A170,Climatologia_TMED!A:U,9+$E$2,FALSE),"")</f>
        <v/>
      </c>
      <c r="AS170" s="71">
        <f>IF(OR(AQ170="",AR170=""),"",IFERROR(AQ170-AR170,""))</f>
        <v/>
      </c>
    </row>
    <row r="171" ht="14.25" customHeight="1">
      <c r="A171" s="58" t="n">
        <v>26025090</v>
      </c>
      <c r="B171" s="59" t="inlineStr">
        <is>
          <t>Venta De Cajibio</t>
        </is>
      </c>
      <c r="C171" s="59" t="inlineStr">
        <is>
          <t>Area Operativa 09 - Cauca-Valle-Caldas</t>
        </is>
      </c>
      <c r="D171" s="73" t="n">
        <v>-76.561833333</v>
      </c>
      <c r="E171" s="73" t="n">
        <v>2.58475</v>
      </c>
      <c r="F171" s="58" t="n">
        <v>1850</v>
      </c>
      <c r="G171" s="58" t="n">
        <v>19</v>
      </c>
      <c r="H171" s="58" t="n">
        <v>19130</v>
      </c>
      <c r="I171" s="60" t="inlineStr">
        <is>
          <t>Cauca</t>
        </is>
      </c>
      <c r="J171" s="60" t="inlineStr">
        <is>
          <t>Cajibío</t>
        </is>
      </c>
      <c r="K171" s="56" t="n">
        <v>22.13333333333334</v>
      </c>
      <c r="L171" s="56" t="n">
        <v>22.13333333333334</v>
      </c>
      <c r="M171" s="56" t="n">
        <v>20.86666666666666</v>
      </c>
      <c r="N171" s="56" t="n">
        <v>22.53333333333333</v>
      </c>
      <c r="O171" s="56" t="n">
        <v/>
      </c>
      <c r="P171" s="56" t="n">
        <v/>
      </c>
      <c r="Q171" s="56" t="n">
        <v>21.4</v>
      </c>
      <c r="R171" s="56" t="n">
        <v>22.86666666666666</v>
      </c>
      <c r="S171" s="56" t="n">
        <v>22.13333333333334</v>
      </c>
      <c r="T171" s="56" t="n">
        <v>23.26666666666667</v>
      </c>
      <c r="U171" s="56" t="n">
        <v>22.26666666666667</v>
      </c>
      <c r="V171" s="56" t="n">
        <v>22.73333333333333</v>
      </c>
      <c r="W171" s="56" t="n">
        <v>23.06666666666667</v>
      </c>
      <c r="X171" s="56" t="n">
        <v>22.26666666666667</v>
      </c>
      <c r="Y171" s="56" t="n">
        <v>22.06666666666667</v>
      </c>
      <c r="Z171" s="56" t="n">
        <v>21.26666666666667</v>
      </c>
      <c r="AA171" s="56" t="n">
        <v>23.13333333333334</v>
      </c>
      <c r="AB171" s="56" t="n">
        <v>22.2</v>
      </c>
      <c r="AC171" s="56" t="n">
        <v>23.33333333333333</v>
      </c>
      <c r="AD171" s="56" t="n">
        <v>22</v>
      </c>
      <c r="AE171" s="56" t="n">
        <v>22.4</v>
      </c>
      <c r="AF171" s="56" t="n">
        <v>19.6</v>
      </c>
      <c r="AG171" s="56" t="n">
        <v>20.53333333333333</v>
      </c>
      <c r="AH171" s="56" t="n">
        <v>18.93333333333333</v>
      </c>
      <c r="AI171" s="56" t="n">
        <v>19.8</v>
      </c>
      <c r="AJ171" s="56" t="n">
        <v>19.13333333333334</v>
      </c>
      <c r="AK171" s="56" t="n">
        <v>18.46666666666667</v>
      </c>
      <c r="AL171" s="56" t="n"/>
      <c r="AM171" s="56" t="n"/>
      <c r="AN171" s="56" t="n"/>
      <c r="AO171" s="56" t="n"/>
      <c r="AP171" s="58">
        <f>COUNTIF(K171:AO171,"&gt;0")</f>
        <v/>
      </c>
      <c r="AQ171" s="71">
        <f>IF(AP171&gt;14,AVERAGE(K171:AO171),"")</f>
        <v/>
      </c>
      <c r="AR171" s="71">
        <f>IFERROR(VLOOKUP(A171,Climatologia_TMED!A:U,9+$E$2,FALSE),"")</f>
        <v/>
      </c>
      <c r="AS171" s="71">
        <f>IF(OR(AQ171="",AR171=""),"",IFERROR(AQ171-AR171,""))</f>
        <v/>
      </c>
    </row>
    <row r="172" ht="14.25" customHeight="1">
      <c r="A172" s="58" t="n">
        <v>26025110</v>
      </c>
      <c r="B172" s="59" t="inlineStr">
        <is>
          <t>Lomitas</t>
        </is>
      </c>
      <c r="C172" s="59" t="inlineStr">
        <is>
          <t>Area Operativa 09 - Cauca-Valle-Caldas</t>
        </is>
      </c>
      <c r="D172" s="73" t="n">
        <v>-76.55625000000001</v>
      </c>
      <c r="E172" s="73" t="n">
        <v>3.075388889</v>
      </c>
      <c r="F172" s="58" t="n">
        <v>1009</v>
      </c>
      <c r="G172" s="58" t="n">
        <v>19</v>
      </c>
      <c r="H172" s="58" t="n">
        <v>19698</v>
      </c>
      <c r="I172" s="60" t="inlineStr">
        <is>
          <t>Cauca</t>
        </is>
      </c>
      <c r="J172" s="60" t="inlineStr">
        <is>
          <t>Santander De Quilichao</t>
        </is>
      </c>
      <c r="K172" s="56" t="n">
        <v>26.85</v>
      </c>
      <c r="L172" s="56" t="n">
        <v>26.45</v>
      </c>
      <c r="M172" s="56" t="n">
        <v>26.75</v>
      </c>
      <c r="N172" s="56" t="n">
        <v>23.75</v>
      </c>
      <c r="O172" s="56" t="n">
        <v>27.1</v>
      </c>
      <c r="P172" s="56" t="n">
        <v>26.45</v>
      </c>
      <c r="Q172" s="56" t="n">
        <v>25.85</v>
      </c>
      <c r="R172" s="56" t="n">
        <v>26.75</v>
      </c>
      <c r="S172" s="56" t="n">
        <v>26.6</v>
      </c>
      <c r="T172" s="56" t="n">
        <v>25.95</v>
      </c>
      <c r="U172" s="56" t="n">
        <v>25.3</v>
      </c>
      <c r="V172" s="56" t="n">
        <v>26.3</v>
      </c>
      <c r="W172" s="56" t="n">
        <v>26.6</v>
      </c>
      <c r="X172" s="56" t="n">
        <v>26.05</v>
      </c>
      <c r="Y172" s="56" t="n">
        <v>27.4</v>
      </c>
      <c r="Z172" s="56" t="n">
        <v>26.35</v>
      </c>
      <c r="AA172" s="56" t="n">
        <v>25.55</v>
      </c>
      <c r="AB172" s="56" t="n">
        <v>27.1</v>
      </c>
      <c r="AC172" s="56" t="n">
        <v>26.1</v>
      </c>
      <c r="AD172" s="56" t="n">
        <v>25.65</v>
      </c>
      <c r="AE172" s="56" t="n">
        <v>28.1</v>
      </c>
      <c r="AF172" s="56" t="n">
        <v>25.75</v>
      </c>
      <c r="AG172" s="56" t="n">
        <v>27</v>
      </c>
      <c r="AH172" s="56" t="n">
        <v>24.65</v>
      </c>
      <c r="AI172" s="56" t="n">
        <v>25.65</v>
      </c>
      <c r="AJ172" s="56" t="n">
        <v>26.45</v>
      </c>
      <c r="AK172" s="56" t="n">
        <v>24.65</v>
      </c>
      <c r="AL172" s="56" t="n"/>
      <c r="AM172" s="56" t="n"/>
      <c r="AN172" s="56" t="n"/>
      <c r="AO172" s="56" t="n"/>
      <c r="AP172" s="58">
        <f>COUNTIF(K172:AO172,"&gt;0")</f>
        <v/>
      </c>
      <c r="AQ172" s="71">
        <f>IF(AP172&gt;14,AVERAGE(K172:AO172),"")</f>
        <v/>
      </c>
      <c r="AR172" s="71">
        <f>IFERROR(VLOOKUP(A172,Climatologia_TMED!A:U,9+$E$2,FALSE),"")</f>
        <v/>
      </c>
      <c r="AS172" s="71">
        <f>IF(OR(AQ172="",AR172=""),"",IFERROR(AQ172-AR172,""))</f>
        <v/>
      </c>
    </row>
    <row r="173" ht="14.25" customHeight="1">
      <c r="A173" s="58" t="n">
        <v>26075010</v>
      </c>
      <c r="B173" s="59" t="inlineStr">
        <is>
          <t>Palmira Ica</t>
        </is>
      </c>
      <c r="C173" s="59" t="inlineStr">
        <is>
          <t>Area Operativa 09 - Cauca-Valle-Caldas</t>
        </is>
      </c>
      <c r="D173" s="73" t="n">
        <v>-76.314888889</v>
      </c>
      <c r="E173" s="73" t="n">
        <v>3.513472222</v>
      </c>
      <c r="F173" s="58" t="n">
        <v>1018</v>
      </c>
      <c r="G173" s="58" t="n">
        <v>76</v>
      </c>
      <c r="H173" s="58" t="n">
        <v>76520</v>
      </c>
      <c r="I173" s="60" t="inlineStr">
        <is>
          <t>Valle Del Cauca</t>
        </is>
      </c>
      <c r="J173" s="60" t="inlineStr">
        <is>
          <t>Palmira</t>
        </is>
      </c>
      <c r="K173" s="56" t="n">
        <v>25.45</v>
      </c>
      <c r="L173" s="56" t="n">
        <v>26.1</v>
      </c>
      <c r="M173" s="56" t="n">
        <v>25.95</v>
      </c>
      <c r="N173" s="56" t="n">
        <v>25.85</v>
      </c>
      <c r="O173" s="56" t="n">
        <v>25.75</v>
      </c>
      <c r="P173" s="56" t="n">
        <v>25.9</v>
      </c>
      <c r="Q173" s="56" t="n">
        <v>24.95</v>
      </c>
      <c r="R173" s="56" t="n">
        <v>25.55</v>
      </c>
      <c r="S173" s="56" t="n">
        <v>26.05</v>
      </c>
      <c r="T173" s="56" t="n">
        <v>26.15</v>
      </c>
      <c r="U173" s="56" t="n">
        <v>25.05</v>
      </c>
      <c r="V173" s="56" t="n">
        <v>25.95</v>
      </c>
      <c r="W173" s="56" t="n">
        <v>26.2</v>
      </c>
      <c r="X173" s="56" t="n">
        <v>26.1</v>
      </c>
      <c r="Y173" s="56" t="n">
        <v>26.75</v>
      </c>
      <c r="Z173" s="56" t="n">
        <v>26.5</v>
      </c>
      <c r="AA173" s="56" t="n">
        <v>26.45</v>
      </c>
      <c r="AB173" s="56" t="n">
        <v>26.35</v>
      </c>
      <c r="AC173" s="56" t="n">
        <v>26.75</v>
      </c>
      <c r="AD173" s="56" t="n">
        <v>26.15</v>
      </c>
      <c r="AE173" s="56" t="n">
        <v>26.6</v>
      </c>
      <c r="AF173" s="56" t="n">
        <v>26.1</v>
      </c>
      <c r="AG173" s="56" t="n">
        <v>25.3</v>
      </c>
      <c r="AH173" s="56" t="n">
        <v>25.2</v>
      </c>
      <c r="AI173" s="56" t="n">
        <v>24.1</v>
      </c>
      <c r="AJ173" s="56" t="n">
        <v>24.4</v>
      </c>
      <c r="AK173" s="56" t="n">
        <v>23.75</v>
      </c>
      <c r="AL173" s="56" t="n"/>
      <c r="AM173" s="56" t="n"/>
      <c r="AN173" s="56" t="n"/>
      <c r="AO173" s="56" t="n"/>
      <c r="AP173" s="58">
        <f>COUNTIF(K173:AO173,"&gt;0")</f>
        <v/>
      </c>
      <c r="AQ173" s="71">
        <f>IF(AP173&gt;14,AVERAGE(K173:AO173),"")</f>
        <v/>
      </c>
      <c r="AR173" s="71">
        <f>IFERROR(VLOOKUP(A173,Climatologia_TMED!A:U,9+$E$2,FALSE),"")</f>
        <v/>
      </c>
      <c r="AS173" s="71">
        <f>IF(OR(AQ173="",AR173=""),"",IFERROR(AQ173-AR173,""))</f>
        <v/>
      </c>
    </row>
    <row r="174" ht="14.25" customHeight="1">
      <c r="A174" s="58" t="n">
        <v>26105140</v>
      </c>
      <c r="B174" s="59" t="inlineStr">
        <is>
          <t>Barragan</t>
        </is>
      </c>
      <c r="C174" s="59" t="inlineStr">
        <is>
          <t>Area Operativa 09 - Cauca-Valle-Caldas</t>
        </is>
      </c>
      <c r="D174" s="73" t="n">
        <v>-75.88802777799999</v>
      </c>
      <c r="E174" s="73" t="n">
        <v>4.033055556</v>
      </c>
      <c r="F174" s="58" t="n">
        <v>2902</v>
      </c>
      <c r="G174" s="58" t="n">
        <v>76</v>
      </c>
      <c r="H174" s="58" t="n">
        <v>76834</v>
      </c>
      <c r="I174" s="60" t="inlineStr">
        <is>
          <t>Valle Del Cauca</t>
        </is>
      </c>
      <c r="J174" s="60" t="inlineStr">
        <is>
          <t>Tuluá</t>
        </is>
      </c>
      <c r="K174" s="56" t="n">
        <v>12.46666666666667</v>
      </c>
      <c r="L174" s="56" t="n">
        <v>12.26666666666667</v>
      </c>
      <c r="M174" s="56" t="n">
        <v>12.26666666666667</v>
      </c>
      <c r="N174" s="56" t="n">
        <v>11.66666666666667</v>
      </c>
      <c r="O174" s="56" t="n">
        <v>14.26666666666667</v>
      </c>
      <c r="P174" s="56" t="n">
        <v>12.86666666666667</v>
      </c>
      <c r="Q174" s="56" t="n">
        <v>11.33333333333333</v>
      </c>
      <c r="R174" s="56" t="n">
        <v/>
      </c>
      <c r="S174" s="56" t="n">
        <v/>
      </c>
      <c r="T174" s="56" t="n">
        <v/>
      </c>
      <c r="U174" s="56" t="n">
        <v/>
      </c>
      <c r="V174" s="56" t="n">
        <v/>
      </c>
      <c r="W174" s="56" t="n">
        <v/>
      </c>
      <c r="X174" s="56" t="n">
        <v/>
      </c>
      <c r="Y174" s="56" t="n">
        <v/>
      </c>
      <c r="Z174" s="56" t="n">
        <v/>
      </c>
      <c r="AA174" s="56" t="n">
        <v/>
      </c>
      <c r="AB174" s="56" t="n">
        <v/>
      </c>
      <c r="AC174" s="56" t="n">
        <v/>
      </c>
      <c r="AD174" s="56" t="n">
        <v/>
      </c>
      <c r="AE174" s="56" t="n">
        <v/>
      </c>
      <c r="AF174" s="56" t="n">
        <v/>
      </c>
      <c r="AG174" s="56" t="n">
        <v/>
      </c>
      <c r="AH174" s="56" t="n">
        <v/>
      </c>
      <c r="AI174" s="56" t="n">
        <v/>
      </c>
      <c r="AJ174" s="56" t="n">
        <v/>
      </c>
      <c r="AK174" s="56" t="n">
        <v/>
      </c>
      <c r="AL174" s="56" t="n"/>
      <c r="AM174" s="56" t="n"/>
      <c r="AN174" s="56" t="n"/>
      <c r="AO174" s="56" t="n"/>
      <c r="AP174" s="58">
        <f>COUNTIF(K174:AO174,"&gt;0")</f>
        <v/>
      </c>
      <c r="AQ174" s="71">
        <f>IF(AP174&gt;14,AVERAGE(K174:AO174),"")</f>
        <v/>
      </c>
      <c r="AR174" s="71">
        <f>IFERROR(VLOOKUP(A174,Climatologia_TMED!A:U,9+$E$2,FALSE),"")</f>
        <v/>
      </c>
      <c r="AS174" s="71">
        <f>IF(OR(AQ174="",AR174=""),"",IFERROR(AQ174-AR174,""))</f>
        <v/>
      </c>
    </row>
    <row r="175" ht="14.25" customHeight="1">
      <c r="A175" s="58" t="n">
        <v>26105150</v>
      </c>
      <c r="B175" s="59" t="inlineStr">
        <is>
          <t>San Marcos</t>
        </is>
      </c>
      <c r="C175" s="59" t="inlineStr">
        <is>
          <t>Area Operativa 09 - Cauca-Valle-Caldas</t>
        </is>
      </c>
      <c r="D175" s="73" t="n">
        <v>-76.03305555599999</v>
      </c>
      <c r="E175" s="73" t="n">
        <v>4.238916667</v>
      </c>
      <c r="F175" s="58" t="n">
        <v>1011</v>
      </c>
      <c r="G175" s="58" t="n">
        <v>76</v>
      </c>
      <c r="H175" s="58" t="n">
        <v>76113</v>
      </c>
      <c r="I175" s="60" t="inlineStr">
        <is>
          <t>Valle Del Cauca</t>
        </is>
      </c>
      <c r="J175" s="60" t="inlineStr">
        <is>
          <t>Bugalagrande</t>
        </is>
      </c>
      <c r="K175" s="56" t="n">
        <v>24.66666666666667</v>
      </c>
      <c r="L175" s="56" t="n">
        <v>24.93333333333333</v>
      </c>
      <c r="M175" s="56" t="n">
        <v>25.4</v>
      </c>
      <c r="N175" s="56" t="n">
        <v/>
      </c>
      <c r="O175" s="56" t="n">
        <v>26.2</v>
      </c>
      <c r="P175" s="56" t="n">
        <v>25.73333333333333</v>
      </c>
      <c r="Q175" s="56" t="n">
        <v>24.2</v>
      </c>
      <c r="R175" s="56" t="n">
        <v>25.06666666666666</v>
      </c>
      <c r="S175" s="56" t="n">
        <v>25.4</v>
      </c>
      <c r="T175" s="56" t="n">
        <v>25.6</v>
      </c>
      <c r="U175" s="56" t="n">
        <v>24.93333333333334</v>
      </c>
      <c r="V175" s="56" t="n">
        <v>24.93333333333333</v>
      </c>
      <c r="W175" s="56" t="n">
        <v>26.4</v>
      </c>
      <c r="X175" s="56" t="n">
        <v>24.6</v>
      </c>
      <c r="Y175" s="56" t="n">
        <v>25.86666666666666</v>
      </c>
      <c r="Z175" s="56" t="n">
        <v>25.46666666666667</v>
      </c>
      <c r="AA175" s="56" t="n">
        <v>25.2</v>
      </c>
      <c r="AB175" s="56" t="n">
        <v>24.6</v>
      </c>
      <c r="AC175" s="56" t="n">
        <v>25.13333333333334</v>
      </c>
      <c r="AD175" s="56" t="n">
        <v>24.73333333333333</v>
      </c>
      <c r="AE175" s="56" t="n">
        <v>25.86666666666666</v>
      </c>
      <c r="AF175" s="56" t="n">
        <v>24.26666666666667</v>
      </c>
      <c r="AG175" s="56" t="n">
        <v>25.13333333333334</v>
      </c>
      <c r="AH175" s="56" t="n">
        <v/>
      </c>
      <c r="AI175" s="56" t="n">
        <v/>
      </c>
      <c r="AJ175" s="56" t="n">
        <v/>
      </c>
      <c r="AK175" s="56" t="n">
        <v/>
      </c>
      <c r="AL175" s="56" t="n"/>
      <c r="AM175" s="56" t="n"/>
      <c r="AN175" s="56" t="n"/>
      <c r="AO175" s="56" t="n"/>
      <c r="AP175" s="58">
        <f>COUNTIF(K175:AO175,"&gt;0")</f>
        <v/>
      </c>
      <c r="AQ175" s="71">
        <f>IF(AP175&gt;14,AVERAGE(K175:AO175),"")</f>
        <v/>
      </c>
      <c r="AR175" s="71">
        <f>IFERROR(VLOOKUP(A175,Climatologia_TMED!A:U,9+$E$2,FALSE),"")</f>
        <v/>
      </c>
      <c r="AS175" s="71">
        <f>IF(OR(AQ175="",AR175=""),"",IFERROR(AQ175-AR175,""))</f>
        <v/>
      </c>
    </row>
    <row r="176" ht="14.25" customHeight="1">
      <c r="A176" s="58" t="n">
        <v>26105230</v>
      </c>
      <c r="B176" s="59" t="inlineStr">
        <is>
          <t>Mateguadua</t>
        </is>
      </c>
      <c r="C176" s="59" t="inlineStr">
        <is>
          <t>Area Operativa 09 - Cauca-Valle-Caldas</t>
        </is>
      </c>
      <c r="D176" s="73" t="n">
        <v>-76.16852778000001</v>
      </c>
      <c r="E176" s="73" t="n">
        <v>4.028333333</v>
      </c>
      <c r="F176" s="58" t="n">
        <v>1119</v>
      </c>
      <c r="G176" s="58" t="n">
        <v>76</v>
      </c>
      <c r="H176" s="58" t="n">
        <v>76834</v>
      </c>
      <c r="I176" s="60" t="inlineStr">
        <is>
          <t>Valle Del Cauca</t>
        </is>
      </c>
      <c r="J176" s="60" t="inlineStr">
        <is>
          <t>Tuluá</t>
        </is>
      </c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56" t="n"/>
      <c r="AB176" s="56" t="n"/>
      <c r="AC176" s="56" t="n"/>
      <c r="AD176" s="56" t="n"/>
      <c r="AE176" s="56" t="n"/>
      <c r="AF176" s="56" t="n"/>
      <c r="AG176" s="56" t="n"/>
      <c r="AH176" s="56" t="n"/>
      <c r="AI176" s="56" t="n"/>
      <c r="AJ176" s="56" t="n"/>
      <c r="AK176" s="56" t="n"/>
      <c r="AL176" s="56" t="n"/>
      <c r="AM176" s="56" t="n"/>
      <c r="AN176" s="56" t="n"/>
      <c r="AO176" s="56" t="n"/>
      <c r="AP176" s="58">
        <f>COUNTIF(K176:AO176,"&gt;0")</f>
        <v/>
      </c>
      <c r="AQ176" s="71">
        <f>IF(AP176&gt;14,AVERAGE(K176:AO176),"")</f>
        <v/>
      </c>
      <c r="AR176" s="71">
        <f>IFERROR(VLOOKUP(A176,Climatologia_TMED!A:U,9+$E$2,FALSE),"")</f>
        <v/>
      </c>
      <c r="AS176" s="71">
        <f>IF(OR(AQ176="",AR176=""),"",IFERROR(AQ176-AR176,""))</f>
        <v/>
      </c>
    </row>
    <row r="177" ht="14.25" customHeight="1">
      <c r="A177" s="58" t="n">
        <v>26125130</v>
      </c>
      <c r="B177" s="59" t="inlineStr">
        <is>
          <t>Cumbarco</t>
        </is>
      </c>
      <c r="C177" s="59" t="inlineStr">
        <is>
          <t>Area Operativa 09 - Cauca-Valle-Caldas</t>
        </is>
      </c>
      <c r="D177" s="73" t="n">
        <v>-75.83236110999999</v>
      </c>
      <c r="E177" s="73" t="n">
        <v>4.185055556</v>
      </c>
      <c r="F177" s="58" t="n">
        <v>1749</v>
      </c>
      <c r="G177" s="58" t="n">
        <v>76</v>
      </c>
      <c r="H177" s="58" t="n">
        <v>76736</v>
      </c>
      <c r="I177" s="60" t="inlineStr">
        <is>
          <t>Valle Del Cauca</t>
        </is>
      </c>
      <c r="J177" s="60" t="inlineStr">
        <is>
          <t>Sevilla</t>
        </is>
      </c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  <c r="AC177" s="56" t="n"/>
      <c r="AD177" s="56" t="n"/>
      <c r="AE177" s="56" t="n"/>
      <c r="AF177" s="56" t="n"/>
      <c r="AG177" s="56" t="n"/>
      <c r="AH177" s="56" t="n"/>
      <c r="AI177" s="56" t="n"/>
      <c r="AJ177" s="56" t="n"/>
      <c r="AK177" s="56" t="n"/>
      <c r="AL177" s="56" t="n"/>
      <c r="AM177" s="56" t="n"/>
      <c r="AN177" s="56" t="n"/>
      <c r="AO177" s="56" t="n"/>
      <c r="AP177" s="58">
        <f>COUNTIF(K177:AO177,"&gt;0")</f>
        <v/>
      </c>
      <c r="AQ177" s="71">
        <f>IF(AP177&gt;14,AVERAGE(K177:AO177),"")</f>
        <v/>
      </c>
      <c r="AR177" s="71">
        <f>IFERROR(VLOOKUP(A177,Climatologia_TMED!A:U,9+$E$2,FALSE),"")</f>
        <v/>
      </c>
      <c r="AS177" s="71">
        <f>IF(OR(AQ177="",AR177=""),"",IFERROR(AQ177-AR177,""))</f>
        <v/>
      </c>
    </row>
    <row r="178" ht="14.25" customHeight="1">
      <c r="A178" s="58" t="n">
        <v>26135100</v>
      </c>
      <c r="B178" s="59" t="inlineStr">
        <is>
          <t>La Bohemia</t>
        </is>
      </c>
      <c r="C178" s="59" t="inlineStr">
        <is>
          <t>Area Operativa 09 - Cauca-Valle-Caldas</t>
        </is>
      </c>
      <c r="D178" s="73" t="n">
        <v>-75.87755556</v>
      </c>
      <c r="E178" s="73" t="n">
        <v>4.878027778</v>
      </c>
      <c r="F178" s="58" t="n">
        <v>995</v>
      </c>
      <c r="G178" s="58" t="n">
        <v>66</v>
      </c>
      <c r="H178" s="58" t="n">
        <v>66001</v>
      </c>
      <c r="I178" s="60" t="inlineStr">
        <is>
          <t>Risaralda</t>
        </is>
      </c>
      <c r="J178" s="60" t="inlineStr">
        <is>
          <t>Pereira</t>
        </is>
      </c>
      <c r="K178" s="56" t="n">
        <v>24.46666666666667</v>
      </c>
      <c r="L178" s="56" t="n">
        <v>25.4</v>
      </c>
      <c r="M178" s="56" t="n">
        <v>25.4</v>
      </c>
      <c r="N178" s="56" t="n">
        <v>25.86666666666666</v>
      </c>
      <c r="O178" s="56" t="n">
        <v>26.4</v>
      </c>
      <c r="P178" s="56" t="n">
        <v>24.86666666666666</v>
      </c>
      <c r="Q178" s="56" t="n">
        <v>25.4</v>
      </c>
      <c r="R178" s="56" t="n">
        <v>26.13333333333333</v>
      </c>
      <c r="S178" s="56" t="n">
        <v>24.8</v>
      </c>
      <c r="T178" s="56" t="n">
        <v>25.86666666666666</v>
      </c>
      <c r="U178" s="56" t="n">
        <v>24.53333333333333</v>
      </c>
      <c r="V178" s="56" t="n">
        <v>26.33333333333333</v>
      </c>
      <c r="W178" s="56" t="n">
        <v>23.4</v>
      </c>
      <c r="X178" s="56" t="n">
        <v>24.46666666666667</v>
      </c>
      <c r="Y178" s="56" t="n">
        <v>25.6</v>
      </c>
      <c r="Z178" s="56" t="n">
        <v>26.86666666666667</v>
      </c>
      <c r="AA178" s="56" t="n">
        <v>27.6</v>
      </c>
      <c r="AB178" s="56" t="n">
        <v>26.8</v>
      </c>
      <c r="AC178" s="56" t="n">
        <v>25.93333333333334</v>
      </c>
      <c r="AD178" s="56" t="n">
        <v>24.8</v>
      </c>
      <c r="AE178" s="56" t="n">
        <v>25.86666666666666</v>
      </c>
      <c r="AF178" s="56" t="n">
        <v>24.4</v>
      </c>
      <c r="AG178" s="56" t="n">
        <v>26.6</v>
      </c>
      <c r="AH178" s="56" t="n">
        <v>25.26666666666667</v>
      </c>
      <c r="AI178" s="56" t="n">
        <v>24.2</v>
      </c>
      <c r="AJ178" s="56" t="n">
        <v>23.53333333333333</v>
      </c>
      <c r="AK178" s="56" t="n">
        <v>23.2</v>
      </c>
      <c r="AL178" s="56" t="n"/>
      <c r="AM178" s="56" t="n"/>
      <c r="AN178" s="56" t="n"/>
      <c r="AO178" s="56" t="n"/>
      <c r="AP178" s="58">
        <f>COUNTIF(K178:AO178,"&gt;0")</f>
        <v/>
      </c>
      <c r="AQ178" s="71">
        <f>IF(AP178&gt;14,AVERAGE(K178:AO178),"")</f>
        <v/>
      </c>
      <c r="AR178" s="71">
        <f>IFERROR(VLOOKUP(A178,Climatologia_TMED!A:U,9+$E$2,FALSE),"")</f>
        <v/>
      </c>
      <c r="AS178" s="71">
        <f>IF(OR(AQ178="",AR178=""),"",IFERROR(AQ178-AR178,""))</f>
        <v/>
      </c>
    </row>
    <row r="179" ht="14.25" customHeight="1">
      <c r="A179" s="58" t="n">
        <v>26145020</v>
      </c>
      <c r="B179" s="59" t="inlineStr">
        <is>
          <t>Bellavista</t>
        </is>
      </c>
      <c r="C179" s="59" t="inlineStr">
        <is>
          <t>Area Operativa 09 - Cauca-Valle-Caldas</t>
        </is>
      </c>
      <c r="D179" s="73" t="n">
        <v>-75.800138889</v>
      </c>
      <c r="E179" s="73" t="n">
        <v>5.275944444</v>
      </c>
      <c r="F179" s="58" t="n">
        <v>1984</v>
      </c>
      <c r="G179" s="58" t="n">
        <v>17</v>
      </c>
      <c r="H179" s="58" t="n">
        <v>17042</v>
      </c>
      <c r="I179" s="60" t="inlineStr">
        <is>
          <t>Caldas</t>
        </is>
      </c>
      <c r="J179" s="60" t="inlineStr">
        <is>
          <t>Anserma</t>
        </is>
      </c>
      <c r="K179" s="56" t="n">
        <v>18.05</v>
      </c>
      <c r="L179" s="56" t="n">
        <v>18.8</v>
      </c>
      <c r="M179" s="56" t="n">
        <v>18.65</v>
      </c>
      <c r="N179" s="56" t="n">
        <v>20.1</v>
      </c>
      <c r="O179" s="56" t="n">
        <v>19.8</v>
      </c>
      <c r="P179" s="56" t="n">
        <v>17.85</v>
      </c>
      <c r="Q179" s="56" t="n">
        <v>18.35</v>
      </c>
      <c r="R179" s="56" t="n">
        <v>19.7</v>
      </c>
      <c r="S179" s="56" t="n">
        <v>18.65</v>
      </c>
      <c r="T179" s="56" t="n">
        <v>18.45</v>
      </c>
      <c r="U179" s="56" t="n">
        <v>18.55</v>
      </c>
      <c r="V179" s="56" t="n">
        <v>18.8</v>
      </c>
      <c r="W179" s="56" t="n">
        <v>18.65</v>
      </c>
      <c r="X179" s="56" t="n">
        <v>18.35</v>
      </c>
      <c r="Y179" s="56" t="n">
        <v>19.4</v>
      </c>
      <c r="Z179" s="56" t="n">
        <v>18.4</v>
      </c>
      <c r="AA179" s="56" t="n">
        <v>20.25</v>
      </c>
      <c r="AB179" s="56" t="n">
        <v>19.85</v>
      </c>
      <c r="AC179" s="56" t="n">
        <v>18.8</v>
      </c>
      <c r="AD179" s="56" t="n">
        <v>18.05</v>
      </c>
      <c r="AE179" s="56" t="n">
        <v>18.4</v>
      </c>
      <c r="AF179" s="56" t="n">
        <v>17.1</v>
      </c>
      <c r="AG179" s="56" t="n">
        <v>18.15</v>
      </c>
      <c r="AH179" s="56" t="n">
        <v>18.25</v>
      </c>
      <c r="AI179" s="56" t="n">
        <v>17.85</v>
      </c>
      <c r="AJ179" s="56" t="n">
        <v>17.5</v>
      </c>
      <c r="AK179" s="56" t="n">
        <v>15.75</v>
      </c>
      <c r="AL179" s="56" t="n"/>
      <c r="AM179" s="56" t="n"/>
      <c r="AN179" s="56" t="n"/>
      <c r="AO179" s="56" t="n"/>
      <c r="AP179" s="58">
        <f>COUNTIF(K179:AO179,"&gt;0")</f>
        <v/>
      </c>
      <c r="AQ179" s="71">
        <f>IF(AP179&gt;14,AVERAGE(K179:AO179),"")</f>
        <v/>
      </c>
      <c r="AR179" s="71">
        <f>IFERROR(VLOOKUP(A179,Climatologia_TMED!A:U,9+$E$2,FALSE),"")</f>
        <v/>
      </c>
      <c r="AS179" s="71">
        <f>IF(OR(AQ179="",AR179=""),"",IFERROR(AQ179-AR179,""))</f>
        <v/>
      </c>
    </row>
    <row r="180" ht="14.25" customHeight="1">
      <c r="A180" s="58" t="n">
        <v>26155170</v>
      </c>
      <c r="B180" s="59" t="inlineStr">
        <is>
          <t>Tesorito Finca  - Aut</t>
        </is>
      </c>
      <c r="C180" s="59" t="inlineStr">
        <is>
          <t>Area Operativa 09 - Cauca-Valle-Caldas</t>
        </is>
      </c>
      <c r="D180" s="73" t="n">
        <v>-75.43833333000001</v>
      </c>
      <c r="E180" s="73" t="n">
        <v>5.032222222</v>
      </c>
      <c r="F180" s="58" t="n">
        <v>2325</v>
      </c>
      <c r="G180" s="58" t="n">
        <v>17</v>
      </c>
      <c r="H180" s="58" t="n">
        <v>17001</v>
      </c>
      <c r="I180" s="60" t="inlineStr">
        <is>
          <t>Caldas</t>
        </is>
      </c>
      <c r="J180" s="60" t="inlineStr">
        <is>
          <t>Manizales</t>
        </is>
      </c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  <c r="AA180" s="56" t="n"/>
      <c r="AB180" s="56" t="n"/>
      <c r="AC180" s="56" t="n"/>
      <c r="AD180" s="56" t="n"/>
      <c r="AE180" s="56" t="n"/>
      <c r="AF180" s="56" t="n"/>
      <c r="AG180" s="56" t="n"/>
      <c r="AH180" s="56" t="n"/>
      <c r="AI180" s="56" t="n"/>
      <c r="AJ180" s="56" t="n"/>
      <c r="AK180" s="56" t="n"/>
      <c r="AL180" s="56" t="n"/>
      <c r="AM180" s="56" t="n"/>
      <c r="AN180" s="56" t="n"/>
      <c r="AO180" s="56" t="n"/>
      <c r="AP180" s="58">
        <f>COUNTIF(K180:AO180,"&gt;0")</f>
        <v/>
      </c>
      <c r="AQ180" s="71">
        <f>IF(AP180&gt;14,AVERAGE(K180:AO180),"")</f>
        <v/>
      </c>
      <c r="AR180" s="71">
        <f>IFERROR(VLOOKUP(A180,Climatologia_TMED!A:U,9+$E$2,FALSE),"")</f>
        <v/>
      </c>
      <c r="AS180" s="71">
        <f>IF(OR(AQ180="",AR180=""),"",IFERROR(AQ180-AR180,""))</f>
        <v/>
      </c>
    </row>
    <row r="181" ht="14.25" customHeight="1">
      <c r="A181" s="58" t="n">
        <v>21135020</v>
      </c>
      <c r="B181" s="59" t="inlineStr">
        <is>
          <t>Jabalcon</t>
        </is>
      </c>
      <c r="C181" s="59" t="inlineStr">
        <is>
          <t>Area Operativa 10 - Tolima</t>
        </is>
      </c>
      <c r="D181" s="73" t="n">
        <v>-75.01575</v>
      </c>
      <c r="E181" s="73" t="n">
        <v>3.85575</v>
      </c>
      <c r="F181" s="58" t="n">
        <v>313</v>
      </c>
      <c r="G181" s="58" t="n">
        <v>73</v>
      </c>
      <c r="H181" s="58" t="n">
        <v>73671</v>
      </c>
      <c r="I181" s="60" t="inlineStr">
        <is>
          <t>Tolima</t>
        </is>
      </c>
      <c r="J181" s="60" t="inlineStr">
        <is>
          <t>Saldaña</t>
        </is>
      </c>
      <c r="K181" s="56" t="n">
        <v>30.66666666666667</v>
      </c>
      <c r="L181" s="56" t="n">
        <v>32.4</v>
      </c>
      <c r="M181" s="56" t="n">
        <v>30.93333333333333</v>
      </c>
      <c r="N181" s="56" t="n">
        <v>32.46666666666667</v>
      </c>
      <c r="O181" s="56" t="n">
        <v>34.26666666666667</v>
      </c>
      <c r="P181" s="56" t="n">
        <v>32.06666666666667</v>
      </c>
      <c r="Q181" s="56" t="n">
        <v>32.73333333333333</v>
      </c>
      <c r="R181" s="56" t="n">
        <v>32.86666666666667</v>
      </c>
      <c r="S181" s="56" t="n">
        <v>32.93333333333334</v>
      </c>
      <c r="T181" s="56" t="n">
        <v>34</v>
      </c>
      <c r="U181" s="56" t="n">
        <v>33.2</v>
      </c>
      <c r="V181" s="56" t="n">
        <v>33.66666666666666</v>
      </c>
      <c r="W181" s="56" t="n">
        <v>33.93333333333334</v>
      </c>
      <c r="X181" s="56" t="n">
        <v>32.53333333333333</v>
      </c>
      <c r="Y181" s="56" t="n">
        <v>34.53333333333334</v>
      </c>
      <c r="Z181" s="56" t="n">
        <v>33.2</v>
      </c>
      <c r="AA181" s="56" t="n">
        <v/>
      </c>
      <c r="AB181" s="56" t="n">
        <v/>
      </c>
      <c r="AC181" s="56" t="n">
        <v>33.46666666666667</v>
      </c>
      <c r="AD181" s="56" t="n">
        <v>33.4</v>
      </c>
      <c r="AE181" s="56" t="n">
        <v>33.66666666666666</v>
      </c>
      <c r="AF181" s="56" t="n">
        <v>32.46666666666667</v>
      </c>
      <c r="AG181" s="56" t="n">
        <v>32.13333333333333</v>
      </c>
      <c r="AH181" s="56" t="n">
        <v>30.73333333333333</v>
      </c>
      <c r="AI181" s="56" t="n">
        <v>29.26666666666667</v>
      </c>
      <c r="AJ181" s="56" t="n">
        <v>30.4</v>
      </c>
      <c r="AK181" s="56" t="n">
        <v>31.53333333333333</v>
      </c>
      <c r="AL181" s="56" t="n"/>
      <c r="AM181" s="56" t="n"/>
      <c r="AN181" s="56" t="n"/>
      <c r="AO181" s="56" t="n"/>
      <c r="AP181" s="58">
        <f>COUNTIF(K181:AO181,"&gt;0")</f>
        <v/>
      </c>
      <c r="AQ181" s="71">
        <f>IF(AP181&gt;14,AVERAGE(K181:AO181),"")</f>
        <v/>
      </c>
      <c r="AR181" s="71">
        <f>IFERROR(VLOOKUP(A181,Climatologia_TMED!A:U,9+$E$2,FALSE),"")</f>
        <v/>
      </c>
      <c r="AS181" s="71">
        <f>IF(OR(AQ181="",AR181=""),"",IFERROR(AQ181-AR181,""))</f>
        <v/>
      </c>
    </row>
    <row r="182" ht="14.25" customHeight="1">
      <c r="A182" s="58" t="n">
        <v>21165010</v>
      </c>
      <c r="B182" s="59" t="inlineStr">
        <is>
          <t>Pst De Monta</t>
        </is>
      </c>
      <c r="C182" s="59" t="inlineStr">
        <is>
          <t>Area Operativa 10 - Tolima</t>
        </is>
      </c>
      <c r="D182" s="73" t="n">
        <v>-74.91702778</v>
      </c>
      <c r="E182" s="73" t="n">
        <v>3.787611111</v>
      </c>
      <c r="F182" s="58" t="n">
        <v>311</v>
      </c>
      <c r="G182" s="58" t="n">
        <v>73</v>
      </c>
      <c r="H182" s="58" t="n">
        <v>73563</v>
      </c>
      <c r="I182" s="60" t="inlineStr">
        <is>
          <t>Tolima</t>
        </is>
      </c>
      <c r="J182" s="60" t="inlineStr">
        <is>
          <t>Prado</t>
        </is>
      </c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  <c r="AA182" s="56" t="n"/>
      <c r="AB182" s="56" t="n"/>
      <c r="AC182" s="56" t="n"/>
      <c r="AD182" s="56" t="n"/>
      <c r="AE182" s="56" t="n"/>
      <c r="AF182" s="56" t="n"/>
      <c r="AG182" s="56" t="n"/>
      <c r="AH182" s="56" t="n"/>
      <c r="AI182" s="56" t="n"/>
      <c r="AJ182" s="56" t="n"/>
      <c r="AK182" s="56" t="n"/>
      <c r="AL182" s="56" t="n"/>
      <c r="AM182" s="56" t="n"/>
      <c r="AN182" s="56" t="n"/>
      <c r="AO182" s="56" t="n"/>
      <c r="AP182" s="58">
        <f>COUNTIF(K182:AO182,"&gt;0")</f>
        <v/>
      </c>
      <c r="AQ182" s="71">
        <f>IF(AP182&gt;14,AVERAGE(K182:AO182),"")</f>
        <v/>
      </c>
      <c r="AR182" s="71">
        <f>IFERROR(VLOOKUP(A182,Climatologia_TMED!A:U,9+$E$2,FALSE),"")</f>
        <v/>
      </c>
      <c r="AS182" s="71">
        <f>IF(OR(AQ182="",AR182=""),"",IFERROR(AQ182-AR182,""))</f>
        <v/>
      </c>
    </row>
    <row r="183" ht="14.25" customHeight="1">
      <c r="A183" s="58" t="n">
        <v>21185030</v>
      </c>
      <c r="B183" s="59" t="inlineStr">
        <is>
          <t>Guamo</t>
        </is>
      </c>
      <c r="C183" s="59" t="inlineStr">
        <is>
          <t>Area Operativa 10 - Tolima</t>
        </is>
      </c>
      <c r="D183" s="73" t="n">
        <v>-74.98138889000001</v>
      </c>
      <c r="E183" s="73" t="n">
        <v>4.008833333</v>
      </c>
      <c r="F183" s="58" t="n">
        <v>332</v>
      </c>
      <c r="G183" s="58" t="n">
        <v>73</v>
      </c>
      <c r="H183" s="58" t="n">
        <v>73319</v>
      </c>
      <c r="I183" s="60" t="inlineStr">
        <is>
          <t>Tolima</t>
        </is>
      </c>
      <c r="J183" s="60" t="inlineStr">
        <is>
          <t>Guamo</t>
        </is>
      </c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  <c r="AC183" s="56" t="n"/>
      <c r="AD183" s="56" t="n"/>
      <c r="AE183" s="56" t="n"/>
      <c r="AF183" s="56" t="n"/>
      <c r="AG183" s="56" t="n"/>
      <c r="AH183" s="56" t="n"/>
      <c r="AI183" s="56" t="n"/>
      <c r="AJ183" s="56" t="n"/>
      <c r="AK183" s="56" t="n"/>
      <c r="AL183" s="56" t="n"/>
      <c r="AM183" s="56" t="n"/>
      <c r="AN183" s="56" t="n"/>
      <c r="AO183" s="56" t="n"/>
      <c r="AP183" s="58">
        <f>COUNTIF(K183:AO183,"&gt;0")</f>
        <v/>
      </c>
      <c r="AQ183" s="71">
        <f>IF(AP183&gt;14,AVERAGE(K183:AO183),"")</f>
        <v/>
      </c>
      <c r="AR183" s="71">
        <f>IFERROR(VLOOKUP(A183,Climatologia_TMED!A:U,9+$E$2,FALSE),"")</f>
        <v/>
      </c>
      <c r="AS183" s="71">
        <f>IF(OR(AQ183="",AR183=""),"",IFERROR(AQ183-AR183,""))</f>
        <v/>
      </c>
    </row>
    <row r="184" ht="14.25" customHeight="1">
      <c r="A184" s="58" t="n">
        <v>21185080</v>
      </c>
      <c r="B184" s="59" t="inlineStr">
        <is>
          <t>Valle De San Juan</t>
        </is>
      </c>
      <c r="C184" s="59" t="inlineStr">
        <is>
          <t>Area Operativa 10 - Tolima</t>
        </is>
      </c>
      <c r="D184" s="73" t="n">
        <v>-75.104611111</v>
      </c>
      <c r="E184" s="73" t="n">
        <v>4.216458333</v>
      </c>
      <c r="F184" s="58" t="n">
        <v>591</v>
      </c>
      <c r="G184" s="58" t="n">
        <v>73</v>
      </c>
      <c r="H184" s="58" t="n">
        <v>73854</v>
      </c>
      <c r="I184" s="60" t="inlineStr">
        <is>
          <t>Tolima</t>
        </is>
      </c>
      <c r="J184" s="60" t="inlineStr">
        <is>
          <t>Valle De San Juan</t>
        </is>
      </c>
      <c r="K184" s="56" t="n">
        <v>29.33333333333333</v>
      </c>
      <c r="L184" s="56" t="n">
        <v>27.66666666666667</v>
      </c>
      <c r="M184" s="56" t="n">
        <v>27.6</v>
      </c>
      <c r="N184" s="56" t="n">
        <v>30.8</v>
      </c>
      <c r="O184" s="56" t="n">
        <v>29.06666666666667</v>
      </c>
      <c r="P184" s="56" t="n">
        <v>28.53333333333333</v>
      </c>
      <c r="Q184" s="56" t="n">
        <v>28.2</v>
      </c>
      <c r="R184" s="56" t="n">
        <v>28.6</v>
      </c>
      <c r="S184" s="56" t="n">
        <v>28.33333333333333</v>
      </c>
      <c r="T184" s="56" t="n">
        <v>28.73333333333333</v>
      </c>
      <c r="U184" s="56" t="n">
        <v>28.53333333333333</v>
      </c>
      <c r="V184" s="56" t="n">
        <v>29</v>
      </c>
      <c r="W184" s="56" t="n">
        <v/>
      </c>
      <c r="X184" s="56" t="n">
        <v/>
      </c>
      <c r="Y184" s="56" t="n">
        <v/>
      </c>
      <c r="Z184" s="56" t="n">
        <v>30.86666666666666</v>
      </c>
      <c r="AA184" s="56" t="n">
        <v/>
      </c>
      <c r="AB184" s="56" t="n">
        <v/>
      </c>
      <c r="AC184" s="56" t="n">
        <v>31.93333333333333</v>
      </c>
      <c r="AD184" s="56" t="n">
        <v>31.73333333333333</v>
      </c>
      <c r="AE184" s="56" t="n">
        <v>31.73333333333333</v>
      </c>
      <c r="AF184" s="56" t="n">
        <v>30.46666666666667</v>
      </c>
      <c r="AG184" s="56" t="n">
        <v>28.93333333333333</v>
      </c>
      <c r="AH184" s="56" t="n">
        <v>29.93333333333333</v>
      </c>
      <c r="AI184" s="56" t="n">
        <v>28.46666666666667</v>
      </c>
      <c r="AJ184" s="56" t="n">
        <v>27.73333333333333</v>
      </c>
      <c r="AK184" s="56" t="n">
        <v>31</v>
      </c>
      <c r="AL184" s="56" t="n"/>
      <c r="AM184" s="56" t="n"/>
      <c r="AN184" s="56" t="n"/>
      <c r="AO184" s="56" t="n"/>
      <c r="AP184" s="58">
        <f>COUNTIF(K184:AO184,"&gt;0")</f>
        <v/>
      </c>
      <c r="AQ184" s="71">
        <f>IF(AP184&gt;14,AVERAGE(K184:AO184),"")</f>
        <v/>
      </c>
      <c r="AR184" s="71">
        <f>IFERROR(VLOOKUP(A184,Climatologia_TMED!A:U,9+$E$2,FALSE),"")</f>
        <v/>
      </c>
      <c r="AS184" s="71">
        <f>IF(OR(AQ184="",AR184=""),"",IFERROR(AQ184-AR184,""))</f>
        <v/>
      </c>
    </row>
    <row r="185" ht="14.25" customHeight="1">
      <c r="A185" s="58" t="n">
        <v>21215080</v>
      </c>
      <c r="B185" s="59" t="inlineStr">
        <is>
          <t>Chicoral</t>
        </is>
      </c>
      <c r="C185" s="59" t="inlineStr">
        <is>
          <t>Area Operativa 10 - Tolima</t>
        </is>
      </c>
      <c r="D185" s="73" t="n">
        <v>-74.99536111</v>
      </c>
      <c r="E185" s="73" t="n">
        <v>4.231527778</v>
      </c>
      <c r="F185" s="58" t="n">
        <v>432</v>
      </c>
      <c r="G185" s="58" t="n">
        <v>73</v>
      </c>
      <c r="H185" s="58" t="n">
        <v>73268</v>
      </c>
      <c r="I185" s="60" t="inlineStr">
        <is>
          <t>Tolima</t>
        </is>
      </c>
      <c r="J185" s="60" t="inlineStr">
        <is>
          <t>Espinal</t>
        </is>
      </c>
      <c r="K185" s="56" t="n">
        <v>30</v>
      </c>
      <c r="L185" s="56" t="n">
        <v>30.8</v>
      </c>
      <c r="M185" s="56" t="n">
        <v>30.2</v>
      </c>
      <c r="N185" s="56" t="n">
        <v>31.4</v>
      </c>
      <c r="O185" s="56" t="n">
        <v>32.93333333333334</v>
      </c>
      <c r="P185" s="56" t="n">
        <v/>
      </c>
      <c r="Q185" s="56" t="n">
        <v>31.2</v>
      </c>
      <c r="R185" s="56" t="n">
        <v>31.66666666666667</v>
      </c>
      <c r="S185" s="56" t="n">
        <v>30.33333333333333</v>
      </c>
      <c r="T185" s="56" t="n">
        <v>31.26666666666667</v>
      </c>
      <c r="U185" s="56" t="n">
        <v>30.4</v>
      </c>
      <c r="V185" s="56" t="n">
        <v>32.26666666666667</v>
      </c>
      <c r="W185" s="56" t="n">
        <v/>
      </c>
      <c r="X185" s="56" t="n">
        <v>33.13333333333333</v>
      </c>
      <c r="Y185" s="56" t="n">
        <v>30.8</v>
      </c>
      <c r="Z185" s="56" t="n">
        <v/>
      </c>
      <c r="AA185" s="56" t="n">
        <v>32.66666666666666</v>
      </c>
      <c r="AB185" s="56" t="n">
        <v>32.4</v>
      </c>
      <c r="AC185" s="56" t="n">
        <v>31.86666666666666</v>
      </c>
      <c r="AD185" s="56" t="n">
        <v>32</v>
      </c>
      <c r="AE185" s="56" t="n">
        <v>31.73333333333333</v>
      </c>
      <c r="AF185" s="56" t="n">
        <v>31.66666666666667</v>
      </c>
      <c r="AG185" s="56" t="n">
        <v>31.93333333333333</v>
      </c>
      <c r="AH185" s="56" t="n">
        <v>31</v>
      </c>
      <c r="AI185" s="56" t="n">
        <v>28.93333333333333</v>
      </c>
      <c r="AJ185" s="56" t="n">
        <v>30.6</v>
      </c>
      <c r="AK185" s="56" t="n">
        <v>30.86666666666666</v>
      </c>
      <c r="AL185" s="56" t="n"/>
      <c r="AM185" s="56" t="n"/>
      <c r="AN185" s="56" t="n"/>
      <c r="AO185" s="56" t="n"/>
      <c r="AP185" s="58">
        <f>COUNTIF(K185:AO185,"&gt;0")</f>
        <v/>
      </c>
      <c r="AQ185" s="71">
        <f>IF(AP185&gt;14,AVERAGE(K185:AO185),"")</f>
        <v/>
      </c>
      <c r="AR185" s="71">
        <f>IFERROR(VLOOKUP(A185,Climatologia_TMED!A:U,9+$E$2,FALSE),"")</f>
        <v/>
      </c>
      <c r="AS185" s="71">
        <f>IF(OR(AQ185="",AR185=""),"",IFERROR(AQ185-AR185,""))</f>
        <v/>
      </c>
    </row>
    <row r="186" ht="14.25" customHeight="1">
      <c r="A186" s="58" t="n">
        <v>21235010</v>
      </c>
      <c r="B186" s="59" t="inlineStr">
        <is>
          <t>Jerusalen</t>
        </is>
      </c>
      <c r="C186" s="59" t="inlineStr">
        <is>
          <t>Area Operativa 10 - Tolima</t>
        </is>
      </c>
      <c r="D186" s="73" t="n">
        <v>-74.70238888999999</v>
      </c>
      <c r="E186" s="73" t="n">
        <v>4.561805556</v>
      </c>
      <c r="F186" s="58" t="n">
        <v>297</v>
      </c>
      <c r="G186" s="58" t="n">
        <v>25</v>
      </c>
      <c r="H186" s="58" t="n">
        <v>25368</v>
      </c>
      <c r="I186" s="60" t="inlineStr">
        <is>
          <t>Cundinamarca</t>
        </is>
      </c>
      <c r="J186" s="60" t="inlineStr">
        <is>
          <t>Jerusalén</t>
        </is>
      </c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  <c r="AA186" s="56" t="n"/>
      <c r="AB186" s="56" t="n"/>
      <c r="AC186" s="56" t="n"/>
      <c r="AD186" s="56" t="n"/>
      <c r="AE186" s="56" t="n"/>
      <c r="AF186" s="56" t="n"/>
      <c r="AG186" s="56" t="n"/>
      <c r="AH186" s="56" t="n"/>
      <c r="AI186" s="56" t="n"/>
      <c r="AJ186" s="56" t="n"/>
      <c r="AK186" s="56" t="n"/>
      <c r="AL186" s="56" t="n"/>
      <c r="AM186" s="56" t="n"/>
      <c r="AN186" s="56" t="n"/>
      <c r="AO186" s="56" t="n"/>
      <c r="AP186" s="58">
        <f>COUNTIF(K186:AO186,"&gt;0")</f>
        <v/>
      </c>
      <c r="AQ186" s="71">
        <f>IF(AP186&gt;14,AVERAGE(K186:AO186),"")</f>
        <v/>
      </c>
      <c r="AR186" s="71">
        <f>IFERROR(VLOOKUP(A186,Climatologia_TMED!A:U,9+$E$2,FALSE),"")</f>
        <v/>
      </c>
      <c r="AS186" s="71">
        <f>IF(OR(AQ186="",AR186=""),"",IFERROR(AQ186-AR186,""))</f>
        <v/>
      </c>
    </row>
    <row r="187" ht="14.25" customHeight="1">
      <c r="A187" s="58" t="n">
        <v>21245010</v>
      </c>
      <c r="B187" s="59" t="inlineStr">
        <is>
          <t>Perales Hato Opia</t>
        </is>
      </c>
      <c r="C187" s="59" t="inlineStr">
        <is>
          <t>Area Operativa 10 - Tolima</t>
        </is>
      </c>
      <c r="D187" s="73" t="n">
        <v>-75.20052222</v>
      </c>
      <c r="E187" s="73" t="n">
        <v>4.429666667</v>
      </c>
      <c r="F187" s="58" t="n">
        <v>826</v>
      </c>
      <c r="G187" s="58" t="n">
        <v>73</v>
      </c>
      <c r="H187" s="58" t="n">
        <v>73001</v>
      </c>
      <c r="I187" s="60" t="inlineStr">
        <is>
          <t>Tolima</t>
        </is>
      </c>
      <c r="J187" s="60" t="inlineStr">
        <is>
          <t>Ibagué</t>
        </is>
      </c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  <c r="AC187" s="56" t="n"/>
      <c r="AD187" s="56" t="n"/>
      <c r="AE187" s="56" t="n"/>
      <c r="AF187" s="56" t="n"/>
      <c r="AG187" s="56" t="n"/>
      <c r="AH187" s="56" t="n"/>
      <c r="AI187" s="56" t="n"/>
      <c r="AJ187" s="56" t="n"/>
      <c r="AK187" s="56" t="n"/>
      <c r="AL187" s="56" t="n"/>
      <c r="AM187" s="56" t="n"/>
      <c r="AN187" s="56" t="n"/>
      <c r="AO187" s="56" t="n"/>
      <c r="AP187" s="58">
        <f>COUNTIF(K187:AO187,"&gt;0")</f>
        <v/>
      </c>
      <c r="AQ187" s="71">
        <f>IF(AP187&gt;14,AVERAGE(K187:AO187),"")</f>
        <v/>
      </c>
      <c r="AR187" s="71">
        <f>IFERROR(VLOOKUP(A187,Climatologia_TMED!A:U,9+$E$2,FALSE),"")</f>
        <v/>
      </c>
      <c r="AS187" s="71">
        <f>IF(OR(AQ187="",AR187=""),"",IFERROR(AQ187-AR187,""))</f>
        <v/>
      </c>
    </row>
    <row r="188" ht="14.25" customHeight="1">
      <c r="A188" s="58" t="n">
        <v>21245140</v>
      </c>
      <c r="B188" s="59" t="inlineStr">
        <is>
          <t>Santa Isabel</t>
        </is>
      </c>
      <c r="C188" s="59" t="inlineStr">
        <is>
          <t>Area Operativa 10 - Tolima</t>
        </is>
      </c>
      <c r="D188" s="73" t="n">
        <v>-75.09445556</v>
      </c>
      <c r="E188" s="73" t="n">
        <v>4.711861111</v>
      </c>
      <c r="F188" s="58" t="n">
        <v>2288</v>
      </c>
      <c r="G188" s="58" t="n">
        <v>73</v>
      </c>
      <c r="H188" s="58" t="n">
        <v>73686</v>
      </c>
      <c r="I188" s="60" t="inlineStr">
        <is>
          <t>Tolima</t>
        </is>
      </c>
      <c r="J188" s="60" t="inlineStr">
        <is>
          <t>Santa Isabel</t>
        </is>
      </c>
      <c r="K188" s="56" t="n">
        <v>16.8</v>
      </c>
      <c r="L188" s="56" t="n">
        <v>17.06666666666667</v>
      </c>
      <c r="M188" s="56" t="n">
        <v>17.46666666666667</v>
      </c>
      <c r="N188" s="56" t="n">
        <v>18</v>
      </c>
      <c r="O188" s="56" t="n">
        <v>19.06666666666667</v>
      </c>
      <c r="P188" s="56" t="n">
        <v>18.13333333333333</v>
      </c>
      <c r="Q188" s="56" t="n">
        <v>17</v>
      </c>
      <c r="R188" s="56" t="n">
        <v>18.8</v>
      </c>
      <c r="S188" s="56" t="n">
        <v>19.13333333333334</v>
      </c>
      <c r="T188" s="56" t="n">
        <v/>
      </c>
      <c r="U188" s="56" t="n">
        <v>17.53333333333333</v>
      </c>
      <c r="V188" s="56" t="n">
        <v>18.53333333333333</v>
      </c>
      <c r="W188" s="56" t="n">
        <v>17.73333333333333</v>
      </c>
      <c r="X188" s="56" t="n">
        <v>19.4</v>
      </c>
      <c r="Y188" s="56" t="n">
        <v>18.46666666666667</v>
      </c>
      <c r="Z188" s="56" t="n">
        <v>16.93333333333333</v>
      </c>
      <c r="AA188" s="56" t="n">
        <v>19.2</v>
      </c>
      <c r="AB188" s="56" t="n">
        <v>19.73333333333333</v>
      </c>
      <c r="AC188" s="56" t="n">
        <v>18.2</v>
      </c>
      <c r="AD188" s="56" t="n">
        <v>19</v>
      </c>
      <c r="AE188" s="56" t="n">
        <v>17</v>
      </c>
      <c r="AF188" s="56" t="n">
        <v>17.46666666666667</v>
      </c>
      <c r="AG188" s="56" t="n">
        <v>16.93333333333333</v>
      </c>
      <c r="AH188" s="56" t="n">
        <v>16.6</v>
      </c>
      <c r="AI188" s="56" t="n">
        <v>16</v>
      </c>
      <c r="AJ188" s="56" t="n">
        <v>17</v>
      </c>
      <c r="AK188" s="56" t="n">
        <v>16.86666666666667</v>
      </c>
      <c r="AL188" s="56" t="n"/>
      <c r="AM188" s="56" t="n"/>
      <c r="AN188" s="56" t="n"/>
      <c r="AO188" s="56" t="n"/>
      <c r="AP188" s="58">
        <f>COUNTIF(K188:AO188,"&gt;0")</f>
        <v/>
      </c>
      <c r="AQ188" s="71">
        <f>IF(AP188&gt;14,AVERAGE(K188:AO188),"")</f>
        <v/>
      </c>
      <c r="AR188" s="71">
        <f>IFERROR(VLOOKUP(A188,Climatologia_TMED!A:U,9+$E$2,FALSE),"")</f>
        <v/>
      </c>
      <c r="AS188" s="71">
        <f>IF(OR(AQ188="",AR188=""),"",IFERROR(AQ188-AR188,""))</f>
        <v/>
      </c>
    </row>
    <row r="189" ht="14.25" customHeight="1">
      <c r="A189" s="58" t="n">
        <v>21255080</v>
      </c>
      <c r="B189" s="59" t="inlineStr">
        <is>
          <t xml:space="preserve">El Salto </t>
        </is>
      </c>
      <c r="C189" s="59" t="inlineStr">
        <is>
          <t>Area Operativa 10 - Tolima</t>
        </is>
      </c>
      <c r="D189" s="73" t="n">
        <v>-74.76794443999999</v>
      </c>
      <c r="E189" s="73" t="n">
        <v>4.783778</v>
      </c>
      <c r="F189" s="58" t="n">
        <v>308</v>
      </c>
      <c r="G189" s="58" t="n">
        <v>73</v>
      </c>
      <c r="H189" s="58" t="n">
        <v>73030</v>
      </c>
      <c r="I189" s="60" t="inlineStr">
        <is>
          <t>Tolima</t>
        </is>
      </c>
      <c r="J189" s="60" t="inlineStr">
        <is>
          <t>Ambalema</t>
        </is>
      </c>
      <c r="K189" s="56" t="n">
        <v>31</v>
      </c>
      <c r="L189" s="56" t="n">
        <v>30.6</v>
      </c>
      <c r="M189" s="56" t="n">
        <v/>
      </c>
      <c r="N189" s="56" t="n">
        <v>33.26666666666667</v>
      </c>
      <c r="O189" s="56" t="n">
        <v/>
      </c>
      <c r="P189" s="56" t="n">
        <v>33.46666666666667</v>
      </c>
      <c r="Q189" s="56" t="n">
        <v/>
      </c>
      <c r="R189" s="56" t="n">
        <v>34</v>
      </c>
      <c r="S189" s="56" t="n">
        <v>33.2</v>
      </c>
      <c r="T189" s="56" t="n">
        <v/>
      </c>
      <c r="U189" s="56" t="n">
        <v>32.6</v>
      </c>
      <c r="V189" s="56" t="n">
        <v>33.46666666666667</v>
      </c>
      <c r="W189" s="56" t="n">
        <v/>
      </c>
      <c r="X189" s="56" t="n">
        <v>34.93333333333333</v>
      </c>
      <c r="Y189" s="56" t="n">
        <v>33.86666666666667</v>
      </c>
      <c r="Z189" s="56" t="n">
        <v>32.86666666666667</v>
      </c>
      <c r="AA189" s="56" t="n">
        <v/>
      </c>
      <c r="AB189" s="56" t="n">
        <v/>
      </c>
      <c r="AC189" s="56" t="n">
        <v>35.06666666666666</v>
      </c>
      <c r="AD189" s="56" t="n">
        <v>33.8</v>
      </c>
      <c r="AE189" s="56" t="n">
        <v>33.26666666666667</v>
      </c>
      <c r="AF189" s="56" t="n">
        <v/>
      </c>
      <c r="AG189" s="56" t="n">
        <v>32.13333333333333</v>
      </c>
      <c r="AH189" s="56" t="n">
        <v>31.4</v>
      </c>
      <c r="AI189" s="56" t="n">
        <v/>
      </c>
      <c r="AJ189" s="56" t="n">
        <v>29.53333333333333</v>
      </c>
      <c r="AK189" s="56" t="n">
        <v>30.06666666666667</v>
      </c>
      <c r="AL189" s="56" t="n"/>
      <c r="AM189" s="56" t="n"/>
      <c r="AN189" s="56" t="n"/>
      <c r="AO189" s="56" t="n"/>
      <c r="AP189" s="58">
        <f>COUNTIF(K189:AO189,"&gt;0")</f>
        <v/>
      </c>
      <c r="AQ189" s="71">
        <f>IF(AP189&gt;14,AVERAGE(K189:AO189),"")</f>
        <v/>
      </c>
      <c r="AR189" s="71">
        <f>IFERROR(VLOOKUP(A189,Climatologia_TMED!A:U,9+$E$2,FALSE),"")</f>
        <v/>
      </c>
      <c r="AS189" s="71">
        <f>IF(OR(AQ189="",AR189=""),"",IFERROR(AQ189-AR189,""))</f>
        <v/>
      </c>
    </row>
    <row r="190" ht="14.25" customHeight="1">
      <c r="A190" s="58" t="n">
        <v>21255090</v>
      </c>
      <c r="B190" s="59" t="inlineStr">
        <is>
          <t>Armero Granja</t>
        </is>
      </c>
      <c r="C190" s="59" t="inlineStr">
        <is>
          <t>Area Operativa 10 - Tolima</t>
        </is>
      </c>
      <c r="D190" s="73" t="n">
        <v>-74.89999166699999</v>
      </c>
      <c r="E190" s="73" t="n">
        <v>5</v>
      </c>
      <c r="F190" s="58" t="n">
        <v>321</v>
      </c>
      <c r="G190" s="58" t="n">
        <v>73</v>
      </c>
      <c r="H190" s="58" t="n">
        <v>73055</v>
      </c>
      <c r="I190" s="60" t="inlineStr">
        <is>
          <t>Tolima</t>
        </is>
      </c>
      <c r="J190" s="60" t="inlineStr">
        <is>
          <t>Armero</t>
        </is>
      </c>
      <c r="K190" s="56" t="n">
        <v>30.8</v>
      </c>
      <c r="L190" s="56" t="n">
        <v>29.6</v>
      </c>
      <c r="M190" s="56" t="n">
        <v>31.2</v>
      </c>
      <c r="N190" s="56" t="n">
        <v>31.46666666666667</v>
      </c>
      <c r="O190" s="56" t="n">
        <v>32.26666666666667</v>
      </c>
      <c r="P190" s="56" t="n">
        <v>31.66666666666667</v>
      </c>
      <c r="Q190" s="56" t="n">
        <v>29.33333333333333</v>
      </c>
      <c r="R190" s="56" t="n">
        <v>32</v>
      </c>
      <c r="S190" s="56" t="n">
        <v>30.4</v>
      </c>
      <c r="T190" s="56" t="n">
        <v>32.13333333333333</v>
      </c>
      <c r="U190" s="56" t="n">
        <v>31.13333333333334</v>
      </c>
      <c r="V190" s="56" t="n">
        <v>32.6</v>
      </c>
      <c r="W190" s="56" t="n">
        <v/>
      </c>
      <c r="X190" s="56" t="n">
        <v/>
      </c>
      <c r="Y190" s="56" t="n">
        <v>33.26666666666667</v>
      </c>
      <c r="Z190" s="56" t="n">
        <v>30.33333333333333</v>
      </c>
      <c r="AA190" s="56" t="n">
        <v>31.6</v>
      </c>
      <c r="AB190" s="56" t="n">
        <v>32.53333333333333</v>
      </c>
      <c r="AC190" s="56" t="n">
        <v>33.2</v>
      </c>
      <c r="AD190" s="56" t="n">
        <v>33</v>
      </c>
      <c r="AE190" s="56" t="n">
        <v>33</v>
      </c>
      <c r="AF190" s="56" t="n">
        <v>33.8</v>
      </c>
      <c r="AG190" s="56" t="n">
        <v>31.4</v>
      </c>
      <c r="AH190" s="56" t="n">
        <v>30.13333333333334</v>
      </c>
      <c r="AI190" s="56" t="n">
        <v>24.8</v>
      </c>
      <c r="AJ190" s="56" t="n">
        <v>28.53333333333333</v>
      </c>
      <c r="AK190" s="56" t="n">
        <v>28.86666666666666</v>
      </c>
      <c r="AL190" s="56" t="n"/>
      <c r="AM190" s="56" t="n"/>
      <c r="AN190" s="56" t="n"/>
      <c r="AO190" s="56" t="n"/>
      <c r="AP190" s="58">
        <f>COUNTIF(K190:AO190,"&gt;0")</f>
        <v/>
      </c>
      <c r="AQ190" s="71">
        <f>IF(AP190&gt;14,AVERAGE(K190:AO190),"")</f>
        <v/>
      </c>
      <c r="AR190" s="71">
        <f>IFERROR(VLOOKUP(A190,Climatologia_TMED!A:U,9+$E$2,FALSE),"")</f>
        <v/>
      </c>
      <c r="AS190" s="71">
        <f>IF(OR(AQ190="",AR190=""),"",IFERROR(AQ190-AR190,""))</f>
        <v/>
      </c>
    </row>
    <row r="191" ht="14.25" customHeight="1">
      <c r="A191" s="58" t="n">
        <v>21255120</v>
      </c>
      <c r="B191" s="59" t="inlineStr">
        <is>
          <t>Villahermosa</t>
        </is>
      </c>
      <c r="C191" s="59" t="inlineStr">
        <is>
          <t>Area Operativa 10 - Tolima</t>
        </is>
      </c>
      <c r="D191" s="73" t="n">
        <v>-75.117336111</v>
      </c>
      <c r="E191" s="73" t="n">
        <v>5.026761944</v>
      </c>
      <c r="F191" s="58" t="n">
        <v>2069</v>
      </c>
      <c r="G191" s="58" t="n">
        <v>73</v>
      </c>
      <c r="H191" s="58" t="n">
        <v>73870</v>
      </c>
      <c r="I191" s="60" t="inlineStr">
        <is>
          <t>Tolima</t>
        </is>
      </c>
      <c r="J191" s="60" t="inlineStr">
        <is>
          <t>Villahermosa</t>
        </is>
      </c>
      <c r="K191" s="56" t="n">
        <v>18.5</v>
      </c>
      <c r="L191" s="56" t="n">
        <v>18.95</v>
      </c>
      <c r="M191" s="56" t="n">
        <v>18.9</v>
      </c>
      <c r="N191" s="56" t="n">
        <v>19.25</v>
      </c>
      <c r="O191" s="56" t="n">
        <v>19.45</v>
      </c>
      <c r="P191" s="56" t="n">
        <v>19.8</v>
      </c>
      <c r="Q191" s="56" t="n">
        <v>18</v>
      </c>
      <c r="R191" s="56" t="n">
        <v>20.15</v>
      </c>
      <c r="S191" s="56" t="n">
        <v>19.65</v>
      </c>
      <c r="T191" s="56" t="n">
        <v>20.7</v>
      </c>
      <c r="U191" s="56" t="n">
        <v>19.45</v>
      </c>
      <c r="V191" s="56" t="n">
        <v>20.15</v>
      </c>
      <c r="W191" s="56" t="n">
        <v>19.3</v>
      </c>
      <c r="X191" s="56" t="n">
        <v>20</v>
      </c>
      <c r="Y191" s="56" t="n">
        <v>20.2</v>
      </c>
      <c r="Z191" s="56" t="n">
        <v>18</v>
      </c>
      <c r="AA191" s="56" t="n">
        <v>20.25</v>
      </c>
      <c r="AB191" s="56" t="n">
        <v>21</v>
      </c>
      <c r="AC191" s="56" t="n">
        <v>19.4</v>
      </c>
      <c r="AD191" s="56" t="n">
        <v>19.55</v>
      </c>
      <c r="AE191" s="56" t="n">
        <v>18.6</v>
      </c>
      <c r="AF191" s="56" t="n">
        <v>18.95</v>
      </c>
      <c r="AG191" s="56" t="n">
        <v>18.85</v>
      </c>
      <c r="AH191" s="56" t="n">
        <v>19.25</v>
      </c>
      <c r="AI191" s="56" t="n">
        <v>17.5</v>
      </c>
      <c r="AJ191" s="56" t="n">
        <v>17.8</v>
      </c>
      <c r="AK191" s="56" t="n">
        <v>17.95</v>
      </c>
      <c r="AL191" s="56" t="n"/>
      <c r="AM191" s="56" t="n"/>
      <c r="AN191" s="56" t="n"/>
      <c r="AO191" s="56" t="n"/>
      <c r="AP191" s="58">
        <f>COUNTIF(K191:AO191,"&gt;0")</f>
        <v/>
      </c>
      <c r="AQ191" s="71">
        <f>IF(AP191&gt;14,AVERAGE(K191:AO191),"")</f>
        <v/>
      </c>
      <c r="AR191" s="71">
        <f>IFERROR(VLOOKUP(A191,Climatologia_TMED!A:U,9+$E$2,FALSE),"")</f>
        <v/>
      </c>
      <c r="AS191" s="71">
        <f>IF(OR(AQ191="",AR191=""),"",IFERROR(AQ191-AR191,""))</f>
        <v/>
      </c>
    </row>
    <row r="192" ht="14.25" customHeight="1">
      <c r="A192" s="58" t="n">
        <v>22045010</v>
      </c>
      <c r="B192" s="59" t="inlineStr">
        <is>
          <t>Demostracion Granja  - Aut</t>
        </is>
      </c>
      <c r="C192" s="59" t="inlineStr">
        <is>
          <t>Area Operativa 10 - Tolima</t>
        </is>
      </c>
      <c r="D192" s="73" t="n">
        <v>-75.50344444</v>
      </c>
      <c r="E192" s="73" t="n">
        <v>3.722444444</v>
      </c>
      <c r="F192" s="58" t="n">
        <v>895</v>
      </c>
      <c r="G192" s="58" t="n">
        <v>73</v>
      </c>
      <c r="H192" s="58" t="n">
        <v>73168</v>
      </c>
      <c r="I192" s="60" t="inlineStr">
        <is>
          <t>Tolima</t>
        </is>
      </c>
      <c r="J192" s="60" t="inlineStr">
        <is>
          <t>Chaparral</t>
        </is>
      </c>
      <c r="K192" s="56" t="n">
        <v>26.66666666666667</v>
      </c>
      <c r="L192" s="56" t="n">
        <v>25.86666666666666</v>
      </c>
      <c r="M192" s="56" t="n">
        <v>25.4</v>
      </c>
      <c r="N192" s="56" t="n">
        <v>25.53333333333333</v>
      </c>
      <c r="O192" s="56" t="n">
        <v>25.93333333333334</v>
      </c>
      <c r="P192" s="56" t="n">
        <v>26.86666666666666</v>
      </c>
      <c r="Q192" s="56" t="n">
        <v>26.53333333333333</v>
      </c>
      <c r="R192" s="56" t="n">
        <v>26</v>
      </c>
      <c r="S192" s="56" t="n">
        <v>26.8</v>
      </c>
      <c r="T192" s="56" t="n">
        <v>27.46666666666667</v>
      </c>
      <c r="U192" s="56" t="n">
        <v>26.53333333333333</v>
      </c>
      <c r="V192" s="56" t="n">
        <v>27.6</v>
      </c>
      <c r="W192" s="56" t="n">
        <v>26.46666666666667</v>
      </c>
      <c r="X192" s="56" t="n">
        <v>27.53333333333333</v>
      </c>
      <c r="Y192" s="56" t="n">
        <v>26.8</v>
      </c>
      <c r="Z192" s="56" t="n">
        <v>26.4</v>
      </c>
      <c r="AA192" s="56" t="n">
        <v>27.86666666666666</v>
      </c>
      <c r="AB192" s="56" t="n">
        <v>29.46666666666667</v>
      </c>
      <c r="AC192" s="56" t="n">
        <v>27.2</v>
      </c>
      <c r="AD192" s="56" t="n">
        <v>26.4</v>
      </c>
      <c r="AE192" s="56" t="n">
        <v>27.46666666666667</v>
      </c>
      <c r="AF192" s="56" t="n">
        <v>28.33333333333333</v>
      </c>
      <c r="AG192" s="56" t="n">
        <v>26.8</v>
      </c>
      <c r="AH192" s="56" t="n">
        <v>26.6</v>
      </c>
      <c r="AI192" s="56" t="n">
        <v>25.8</v>
      </c>
      <c r="AJ192" s="56" t="n">
        <v>25.33333333333333</v>
      </c>
      <c r="AK192" s="56" t="n">
        <v>26.66666666666667</v>
      </c>
      <c r="AL192" s="56" t="n"/>
      <c r="AM192" s="56" t="n"/>
      <c r="AN192" s="56" t="n"/>
      <c r="AO192" s="56" t="n"/>
      <c r="AP192" s="58">
        <f>COUNTIF(K192:AO192,"&gt;0")</f>
        <v/>
      </c>
      <c r="AQ192" s="71">
        <f>IF(AP192&gt;14,AVERAGE(K192:AO192),"")</f>
        <v/>
      </c>
      <c r="AR192" s="71">
        <f>IFERROR(VLOOKUP(A192,Climatologia_TMED!A:U,9+$E$2,FALSE),"")</f>
        <v/>
      </c>
      <c r="AS192" s="71">
        <f>IF(OR(AQ192="",AR192=""),"",IFERROR(AQ192-AR192,""))</f>
        <v/>
      </c>
    </row>
    <row r="193" ht="14.25" customHeight="1">
      <c r="A193" s="58" t="n">
        <v>22055020</v>
      </c>
      <c r="B193" s="59" t="inlineStr">
        <is>
          <t>Mesa De Pole</t>
        </is>
      </c>
      <c r="C193" s="59" t="inlineStr">
        <is>
          <t>Area Operativa 10 - Tolima</t>
        </is>
      </c>
      <c r="D193" s="73" t="n">
        <v>-75.53636111</v>
      </c>
      <c r="E193" s="73" t="n">
        <v>3.455777778</v>
      </c>
      <c r="F193" s="58" t="n">
        <v>699</v>
      </c>
      <c r="G193" s="58" t="n">
        <v>73</v>
      </c>
      <c r="H193" s="58" t="n">
        <v>73067</v>
      </c>
      <c r="I193" s="60" t="inlineStr">
        <is>
          <t>Tolima</t>
        </is>
      </c>
      <c r="J193" s="60" t="inlineStr">
        <is>
          <t>Ataco</t>
        </is>
      </c>
      <c r="K193" s="56" t="n">
        <v>28.95</v>
      </c>
      <c r="L193" s="56" t="n">
        <v>30.3</v>
      </c>
      <c r="M193" s="56" t="n">
        <v>30.4</v>
      </c>
      <c r="N193" s="56" t="n">
        <v>30.2</v>
      </c>
      <c r="O193" s="56" t="n">
        <v>30.7</v>
      </c>
      <c r="P193" s="56" t="n">
        <v>30.65</v>
      </c>
      <c r="Q193" s="56" t="n">
        <v>30.1</v>
      </c>
      <c r="R193" s="56" t="n">
        <v>30.6</v>
      </c>
      <c r="S193" s="56" t="n">
        <v>30</v>
      </c>
      <c r="T193" s="56" t="n">
        <v>30.75</v>
      </c>
      <c r="U193" s="56" t="n">
        <v>29.9</v>
      </c>
      <c r="V193" s="56" t="n">
        <v>30.05</v>
      </c>
      <c r="W193" s="56" t="n">
        <v>28.95</v>
      </c>
      <c r="X193" s="56" t="n">
        <v>31.5</v>
      </c>
      <c r="Y193" s="56" t="n">
        <v>30.8</v>
      </c>
      <c r="Z193" s="56" t="n">
        <v>29.65</v>
      </c>
      <c r="AA193" s="56" t="n">
        <v>30</v>
      </c>
      <c r="AB193" s="56" t="n">
        <v>30.95</v>
      </c>
      <c r="AC193" s="56" t="n">
        <v>30.45</v>
      </c>
      <c r="AD193" s="56" t="n">
        <v>29.45</v>
      </c>
      <c r="AE193" s="56" t="n">
        <v>31.4</v>
      </c>
      <c r="AF193" s="56" t="n">
        <v>32.05</v>
      </c>
      <c r="AG193" s="56" t="n">
        <v>30.85</v>
      </c>
      <c r="AH193" s="56" t="n">
        <v>29.25</v>
      </c>
      <c r="AI193" s="56" t="n">
        <v>29.95</v>
      </c>
      <c r="AJ193" s="56" t="n">
        <v>24.6</v>
      </c>
      <c r="AK193" s="56" t="n">
        <v/>
      </c>
      <c r="AL193" s="56" t="n"/>
      <c r="AM193" s="56" t="n"/>
      <c r="AN193" s="56" t="n"/>
      <c r="AO193" s="56" t="n"/>
      <c r="AP193" s="58">
        <f>COUNTIF(K193:AO193,"&gt;0")</f>
        <v/>
      </c>
      <c r="AQ193" s="71">
        <f>IF(AP193&gt;14,AVERAGE(K193:AO193),"")</f>
        <v/>
      </c>
      <c r="AR193" s="71">
        <f>IFERROR(VLOOKUP(A193,Climatologia_TMED!A:U,9+$E$2,FALSE),"")</f>
        <v/>
      </c>
      <c r="AS193" s="71">
        <f>IF(OR(AQ193="",AR193=""),"",IFERROR(AQ193-AR193,""))</f>
        <v/>
      </c>
    </row>
    <row r="194" ht="14.25" customHeight="1">
      <c r="A194" s="58" t="n">
        <v>22065040</v>
      </c>
      <c r="B194" s="59" t="inlineStr">
        <is>
          <t>San Antonio Quinta</t>
        </is>
      </c>
      <c r="C194" s="59" t="inlineStr">
        <is>
          <t>Area Operativa 10 - Tolima</t>
        </is>
      </c>
      <c r="D194" s="73" t="n">
        <v>-75.46775</v>
      </c>
      <c r="E194" s="73" t="n">
        <v>3.9212</v>
      </c>
      <c r="F194" s="58" t="n">
        <v>1566</v>
      </c>
      <c r="G194" s="58" t="n">
        <v>73</v>
      </c>
      <c r="H194" s="58" t="n">
        <v>73675</v>
      </c>
      <c r="I194" s="60" t="inlineStr">
        <is>
          <t>Tolima</t>
        </is>
      </c>
      <c r="J194" s="60" t="inlineStr">
        <is>
          <t>San Antonio</t>
        </is>
      </c>
      <c r="K194" s="56" t="n">
        <v>22.13333333333334</v>
      </c>
      <c r="L194" s="56" t="n">
        <v>22.2</v>
      </c>
      <c r="M194" s="56" t="n">
        <v>21.8</v>
      </c>
      <c r="N194" s="56" t="n">
        <v>22.73333333333333</v>
      </c>
      <c r="O194" s="56" t="n">
        <v>23.06666666666667</v>
      </c>
      <c r="P194" s="56" t="n">
        <v>23</v>
      </c>
      <c r="Q194" s="56" t="n">
        <v>21.86666666666667</v>
      </c>
      <c r="R194" s="56" t="n">
        <v>22.93333333333334</v>
      </c>
      <c r="S194" s="56" t="n">
        <v>24.13333333333334</v>
      </c>
      <c r="T194" s="56" t="n">
        <v>23.2</v>
      </c>
      <c r="U194" s="56" t="n">
        <v>21.93333333333333</v>
      </c>
      <c r="V194" s="56" t="n">
        <v>23.26666666666667</v>
      </c>
      <c r="W194" s="56" t="n">
        <v/>
      </c>
      <c r="X194" s="56" t="n">
        <v>23.93333333333333</v>
      </c>
      <c r="Y194" s="56" t="n">
        <v>22</v>
      </c>
      <c r="Z194" s="56" t="n">
        <v>22.4</v>
      </c>
      <c r="AA194" s="56" t="n">
        <v>22.66666666666667</v>
      </c>
      <c r="AB194" s="56" t="n">
        <v>24.13333333333334</v>
      </c>
      <c r="AC194" s="56" t="n">
        <v>22.06666666666667</v>
      </c>
      <c r="AD194" s="56" t="n">
        <v>23</v>
      </c>
      <c r="AE194" s="56" t="n">
        <v>22.86666666666666</v>
      </c>
      <c r="AF194" s="56" t="n">
        <v>22.33333333333333</v>
      </c>
      <c r="AG194" s="56" t="n">
        <v>22.46666666666667</v>
      </c>
      <c r="AH194" s="56" t="n">
        <v>23</v>
      </c>
      <c r="AI194" s="56" t="n">
        <v>20.06666666666667</v>
      </c>
      <c r="AJ194" s="56" t="n">
        <v>20.26666666666667</v>
      </c>
      <c r="AK194" s="56" t="n">
        <v/>
      </c>
      <c r="AL194" s="56" t="n"/>
      <c r="AM194" s="56" t="n"/>
      <c r="AN194" s="56" t="n"/>
      <c r="AO194" s="56" t="n"/>
      <c r="AP194" s="58">
        <f>COUNTIF(K194:AO194,"&gt;0")</f>
        <v/>
      </c>
      <c r="AQ194" s="71">
        <f>IF(AP194&gt;14,AVERAGE(K194:AO194),"")</f>
        <v/>
      </c>
      <c r="AR194" s="71">
        <f>IFERROR(VLOOKUP(A194,Climatologia_TMED!A:U,9+$E$2,FALSE),"")</f>
        <v/>
      </c>
      <c r="AS194" s="71">
        <f>IF(OR(AQ194="",AR194=""),"",IFERROR(AQ194-AR194,""))</f>
        <v/>
      </c>
    </row>
    <row r="195" ht="14.25" customHeight="1">
      <c r="A195" s="58" t="n">
        <v>23025040</v>
      </c>
      <c r="B195" s="59" t="inlineStr">
        <is>
          <t>Albania</t>
        </is>
      </c>
      <c r="C195" s="59" t="inlineStr">
        <is>
          <t>Area Operativa 10 - Tolima</t>
        </is>
      </c>
      <c r="D195" s="73" t="n">
        <v>-74.914580556</v>
      </c>
      <c r="E195" s="73" t="n">
        <v>5.301108889</v>
      </c>
      <c r="F195" s="58" t="n">
        <v>788</v>
      </c>
      <c r="G195" s="58" t="n">
        <v>73</v>
      </c>
      <c r="H195" s="58" t="n">
        <v>73443</v>
      </c>
      <c r="I195" s="60" t="inlineStr">
        <is>
          <t>Tolima</t>
        </is>
      </c>
      <c r="J195" s="60" t="inlineStr">
        <is>
          <t>San Sebastián De Mariquita</t>
        </is>
      </c>
      <c r="K195" s="56" t="n">
        <v>27.4</v>
      </c>
      <c r="L195" s="56" t="n">
        <v>27</v>
      </c>
      <c r="M195" s="56" t="n">
        <v>27.73333333333333</v>
      </c>
      <c r="N195" s="56" t="n">
        <v/>
      </c>
      <c r="O195" s="56" t="n">
        <v/>
      </c>
      <c r="P195" s="56" t="n">
        <v>29.86666666666666</v>
      </c>
      <c r="Q195" s="56" t="n">
        <v>27.86666666666666</v>
      </c>
      <c r="R195" s="56" t="n">
        <v>29.73333333333333</v>
      </c>
      <c r="S195" s="56" t="n">
        <v>30.33333333333333</v>
      </c>
      <c r="T195" s="56" t="n">
        <v>30.6</v>
      </c>
      <c r="U195" s="56" t="n">
        <v>27.53333333333333</v>
      </c>
      <c r="V195" s="56" t="n">
        <v>28.46666666666667</v>
      </c>
      <c r="W195" s="56" t="n">
        <v/>
      </c>
      <c r="X195" s="56" t="n">
        <v/>
      </c>
      <c r="Y195" s="56" t="n">
        <v/>
      </c>
      <c r="Z195" s="56" t="n">
        <v/>
      </c>
      <c r="AA195" s="56" t="n">
        <v/>
      </c>
      <c r="AB195" s="56" t="n">
        <v>30.6</v>
      </c>
      <c r="AC195" s="56" t="n">
        <v>27.73333333333333</v>
      </c>
      <c r="AD195" s="56" t="n">
        <v>29.53333333333333</v>
      </c>
      <c r="AE195" s="56" t="n">
        <v>25.8</v>
      </c>
      <c r="AF195" s="56" t="n">
        <v>29.46666666666667</v>
      </c>
      <c r="AG195" s="56" t="n">
        <v>25.86666666666666</v>
      </c>
      <c r="AH195" s="56" t="n">
        <v>28.66666666666667</v>
      </c>
      <c r="AI195" s="56" t="n">
        <v>26</v>
      </c>
      <c r="AJ195" s="56" t="n">
        <v>27.73333333333333</v>
      </c>
      <c r="AK195" s="56" t="n">
        <v>25.06666666666667</v>
      </c>
      <c r="AL195" s="56" t="n"/>
      <c r="AM195" s="56" t="n"/>
      <c r="AN195" s="56" t="n"/>
      <c r="AO195" s="56" t="n"/>
      <c r="AP195" s="58">
        <f>COUNTIF(K195:AO195,"&gt;0")</f>
        <v/>
      </c>
      <c r="AQ195" s="71">
        <f>IF(AP195&gt;14,AVERAGE(K195:AO195),"")</f>
        <v/>
      </c>
      <c r="AR195" s="71">
        <f>IFERROR(VLOOKUP(A195,Climatologia_TMED!A:U,9+$E$2,FALSE),"")</f>
        <v/>
      </c>
      <c r="AS195" s="71">
        <f>IF(OR(AQ195="",AR195=""),"",IFERROR(AQ195-AR195,""))</f>
        <v/>
      </c>
    </row>
    <row r="196" ht="14.25" customHeight="1">
      <c r="A196" s="58" t="n">
        <v>23055040</v>
      </c>
      <c r="B196" s="59" t="inlineStr">
        <is>
          <t>Samana</t>
        </is>
      </c>
      <c r="C196" s="59" t="inlineStr">
        <is>
          <t>Area Operativa 10 - Tolima</t>
        </is>
      </c>
      <c r="D196" s="73" t="n">
        <v>-74.99292777799999</v>
      </c>
      <c r="E196" s="73" t="n">
        <v>5.418288056</v>
      </c>
      <c r="F196" s="58" t="n">
        <v>1532</v>
      </c>
      <c r="G196" s="58" t="n">
        <v>17</v>
      </c>
      <c r="H196" s="58" t="n">
        <v>17662</v>
      </c>
      <c r="I196" s="60" t="inlineStr">
        <is>
          <t>Caldas</t>
        </is>
      </c>
      <c r="J196" s="60" t="inlineStr">
        <is>
          <t>Samaná</t>
        </is>
      </c>
      <c r="K196" s="56" t="n">
        <v>20.73333333333333</v>
      </c>
      <c r="L196" s="56" t="n">
        <v>20.86666666666667</v>
      </c>
      <c r="M196" s="56" t="n">
        <v>23.06666666666666</v>
      </c>
      <c r="N196" s="56" t="n">
        <v>23.2</v>
      </c>
      <c r="O196" s="56" t="n">
        <v>23.86666666666666</v>
      </c>
      <c r="P196" s="56" t="n">
        <v>24.13333333333334</v>
      </c>
      <c r="Q196" s="56" t="n">
        <v>22.2</v>
      </c>
      <c r="R196" s="56" t="n">
        <v>24.13333333333334</v>
      </c>
      <c r="S196" s="56" t="n">
        <v>24.86666666666666</v>
      </c>
      <c r="T196" s="56" t="n">
        <v>23.66666666666667</v>
      </c>
      <c r="U196" s="56" t="n">
        <v>23.2</v>
      </c>
      <c r="V196" s="56" t="n">
        <v>23.6</v>
      </c>
      <c r="W196" s="56" t="n">
        <v>23.33333333333333</v>
      </c>
      <c r="X196" s="56" t="n">
        <v>24</v>
      </c>
      <c r="Y196" s="56" t="n">
        <v>22.8</v>
      </c>
      <c r="Z196" s="56" t="n">
        <v>21.53333333333333</v>
      </c>
      <c r="AA196" s="56" t="n">
        <v>24.53333333333333</v>
      </c>
      <c r="AB196" s="56" t="n">
        <v>25.06666666666667</v>
      </c>
      <c r="AC196" s="56" t="n">
        <v>21.53333333333333</v>
      </c>
      <c r="AD196" s="56" t="n">
        <v>22.8</v>
      </c>
      <c r="AE196" s="56" t="n">
        <v>20.13333333333333</v>
      </c>
      <c r="AF196" s="56" t="n">
        <v>22.2</v>
      </c>
      <c r="AG196" s="56" t="n">
        <v>20.6</v>
      </c>
      <c r="AH196" s="56" t="n">
        <v>22.26666666666667</v>
      </c>
      <c r="AI196" s="56" t="n">
        <v>19.46666666666667</v>
      </c>
      <c r="AJ196" s="56" t="n">
        <v>21</v>
      </c>
      <c r="AK196" s="56" t="n">
        <v>20.06666666666667</v>
      </c>
      <c r="AL196" s="56" t="n"/>
      <c r="AM196" s="56" t="n"/>
      <c r="AN196" s="56" t="n"/>
      <c r="AO196" s="56" t="n"/>
      <c r="AP196" s="58">
        <f>COUNTIF(K196:AO196,"&gt;0")</f>
        <v/>
      </c>
      <c r="AQ196" s="71">
        <f>IF(AP196&gt;14,AVERAGE(K196:AO196),"")</f>
        <v/>
      </c>
      <c r="AR196" s="71">
        <f>IFERROR(VLOOKUP(A196,Climatologia_TMED!A:U,9+$E$2,FALSE),"")</f>
        <v/>
      </c>
      <c r="AS196" s="71">
        <f>IF(OR(AQ196="",AR196=""),"",IFERROR(AQ196-AR196,""))</f>
        <v/>
      </c>
    </row>
    <row r="197" ht="14.25" customHeight="1">
      <c r="A197" s="58" t="n">
        <v>21195060</v>
      </c>
      <c r="B197" s="59" t="inlineStr">
        <is>
          <t>Pandi</t>
        </is>
      </c>
      <c r="C197" s="59" t="inlineStr">
        <is>
          <t>Area Operativa 11 - Cundinamarca-Amazonas</t>
        </is>
      </c>
      <c r="D197" s="73" t="n">
        <v>-74.48741667</v>
      </c>
      <c r="E197" s="73" t="n">
        <v>4.192722222</v>
      </c>
      <c r="F197" s="58" t="n">
        <v>950</v>
      </c>
      <c r="G197" s="58" t="n">
        <v>25</v>
      </c>
      <c r="H197" s="58" t="n">
        <v>25524</v>
      </c>
      <c r="I197" s="60" t="inlineStr">
        <is>
          <t>Cundinamarca</t>
        </is>
      </c>
      <c r="J197" s="60" t="inlineStr">
        <is>
          <t>Pandi</t>
        </is>
      </c>
      <c r="K197" s="56" t="n">
        <v>26.6</v>
      </c>
      <c r="L197" s="56" t="n">
        <v>26.73333333333333</v>
      </c>
      <c r="M197" s="56" t="n">
        <v>26.53333333333333</v>
      </c>
      <c r="N197" s="56" t="n">
        <v>27.33333333333333</v>
      </c>
      <c r="O197" s="56" t="n">
        <v>28.53333333333333</v>
      </c>
      <c r="P197" s="56" t="n">
        <v>27.93333333333333</v>
      </c>
      <c r="Q197" s="56" t="n">
        <v>26.4</v>
      </c>
      <c r="R197" s="56" t="n">
        <v>28.46666666666667</v>
      </c>
      <c r="S197" s="56" t="n">
        <v>28.33333333333333</v>
      </c>
      <c r="T197" s="56" t="n">
        <v>29.2</v>
      </c>
      <c r="U197" s="56" t="n">
        <v>27.73333333333333</v>
      </c>
      <c r="V197" s="56" t="n">
        <v>28.46666666666667</v>
      </c>
      <c r="W197" s="56" t="n">
        <v>28.46666666666667</v>
      </c>
      <c r="X197" s="56" t="n">
        <v>28.73333333333333</v>
      </c>
      <c r="Y197" s="56" t="n">
        <v>28.33333333333333</v>
      </c>
      <c r="Z197" s="56" t="n">
        <v>27.8</v>
      </c>
      <c r="AA197" s="56" t="n">
        <v>27.6</v>
      </c>
      <c r="AB197" s="56" t="n">
        <v>29.4</v>
      </c>
      <c r="AC197" s="56" t="n">
        <v>29.06666666666666</v>
      </c>
      <c r="AD197" s="56" t="n">
        <v>28</v>
      </c>
      <c r="AE197" s="56" t="n">
        <v>28.73333333333333</v>
      </c>
      <c r="AF197" s="56" t="n">
        <v>27.6</v>
      </c>
      <c r="AG197" s="56" t="n">
        <v>28.4</v>
      </c>
      <c r="AH197" s="56" t="n">
        <v>26.13333333333334</v>
      </c>
      <c r="AI197" s="56" t="n">
        <v>24.8</v>
      </c>
      <c r="AJ197" s="56" t="n">
        <v>25</v>
      </c>
      <c r="AK197" s="56" t="n">
        <v>27.73333333333333</v>
      </c>
      <c r="AL197" s="56" t="n"/>
      <c r="AM197" s="56" t="n"/>
      <c r="AN197" s="56" t="n"/>
      <c r="AO197" s="56" t="n"/>
      <c r="AP197" s="58">
        <f>COUNTIF(K197:AO197,"&gt;0")</f>
        <v/>
      </c>
      <c r="AQ197" s="71">
        <f>IF(AP197&gt;14,AVERAGE(K197:AO197),"")</f>
        <v/>
      </c>
      <c r="AR197" s="71">
        <f>IFERROR(VLOOKUP(A197,Climatologia_TMED!A:U,9+$E$2,FALSE),"")</f>
        <v/>
      </c>
      <c r="AS197" s="71">
        <f>IF(OR(AQ197="",AR197=""),"",IFERROR(AQ197-AR197,""))</f>
        <v/>
      </c>
    </row>
    <row r="198" ht="14.25" customHeight="1">
      <c r="A198" s="58" t="n">
        <v>21195120</v>
      </c>
      <c r="B198" s="59" t="inlineStr">
        <is>
          <t>Ita Valsalice</t>
        </is>
      </c>
      <c r="C198" s="59" t="inlineStr">
        <is>
          <t>Area Operativa 11 - Cundinamarca-Amazonas</t>
        </is>
      </c>
      <c r="D198" s="73" t="n">
        <v>-74.39272</v>
      </c>
      <c r="E198" s="73" t="n">
        <v>4.39292</v>
      </c>
      <c r="F198" s="58" t="n">
        <v>1421</v>
      </c>
      <c r="G198" s="58" t="n">
        <v>25</v>
      </c>
      <c r="H198" s="58" t="n">
        <v>25743</v>
      </c>
      <c r="I198" s="60" t="inlineStr">
        <is>
          <t>Cundinamarca</t>
        </is>
      </c>
      <c r="J198" s="60" t="inlineStr">
        <is>
          <t>Silvania</t>
        </is>
      </c>
      <c r="K198" s="56" t="n">
        <v>21.65</v>
      </c>
      <c r="L198" s="56" t="n">
        <v>22.05</v>
      </c>
      <c r="M198" s="56" t="n">
        <v>21.9</v>
      </c>
      <c r="N198" s="56" t="n">
        <v>22.85</v>
      </c>
      <c r="O198" s="56" t="n">
        <v>22.95</v>
      </c>
      <c r="P198" s="56" t="n">
        <v>22.4</v>
      </c>
      <c r="Q198" s="56" t="n">
        <v>21.65</v>
      </c>
      <c r="R198" s="56" t="n">
        <v>22.95</v>
      </c>
      <c r="S198" s="56" t="n">
        <v>23.4</v>
      </c>
      <c r="T198" s="56" t="n">
        <v>23.55</v>
      </c>
      <c r="U198" s="56" t="n">
        <v>22.3</v>
      </c>
      <c r="V198" s="56" t="n">
        <v>22.25</v>
      </c>
      <c r="W198" s="56" t="n">
        <v>21.95</v>
      </c>
      <c r="X198" s="56" t="n">
        <v>23.4</v>
      </c>
      <c r="Y198" s="56" t="n">
        <v>22.7</v>
      </c>
      <c r="Z198" s="56" t="n">
        <v>22.35</v>
      </c>
      <c r="AA198" s="56" t="n">
        <v>22.95</v>
      </c>
      <c r="AB198" s="56" t="n">
        <v>23.9</v>
      </c>
      <c r="AC198" s="56" t="n">
        <v>24.1</v>
      </c>
      <c r="AD198" s="56" t="n">
        <v>23.5</v>
      </c>
      <c r="AE198" s="56" t="n">
        <v>23.9</v>
      </c>
      <c r="AF198" s="56" t="n">
        <v>23.7</v>
      </c>
      <c r="AG198" s="56" t="n">
        <v>23.5</v>
      </c>
      <c r="AH198" s="56" t="n">
        <v>21.7</v>
      </c>
      <c r="AI198" s="56" t="n">
        <v>21.1</v>
      </c>
      <c r="AJ198" s="56" t="n">
        <v>21.85</v>
      </c>
      <c r="AK198" s="56" t="n">
        <v>20.95</v>
      </c>
      <c r="AL198" s="56" t="n"/>
      <c r="AM198" s="56" t="n"/>
      <c r="AN198" s="56" t="n"/>
      <c r="AO198" s="56" t="n"/>
      <c r="AP198" s="58">
        <f>COUNTIF(K198:AO198,"&gt;0")</f>
        <v/>
      </c>
      <c r="AQ198" s="71">
        <f>IF(AP198&gt;14,AVERAGE(K198:AO198),"")</f>
        <v/>
      </c>
      <c r="AR198" s="71">
        <f>IFERROR(VLOOKUP(A198,Climatologia_TMED!A:U,9+$E$2,FALSE),"")</f>
        <v/>
      </c>
      <c r="AS198" s="71">
        <f>IF(OR(AQ198="",AR198=""),"",IFERROR(AQ198-AR198,""))</f>
        <v/>
      </c>
    </row>
    <row r="199" ht="14.25" customHeight="1">
      <c r="A199" s="58" t="n">
        <v>21195190</v>
      </c>
      <c r="B199" s="59" t="inlineStr">
        <is>
          <t>Pasca</t>
        </is>
      </c>
      <c r="C199" s="59" t="inlineStr">
        <is>
          <t>Area Operativa 11 - Cundinamarca-Amazonas</t>
        </is>
      </c>
      <c r="D199" s="73" t="n">
        <v>-74.30839899999999</v>
      </c>
      <c r="E199" s="73" t="n">
        <v>4.307189</v>
      </c>
      <c r="F199" s="58" t="n">
        <v>2187</v>
      </c>
      <c r="G199" s="58" t="n">
        <v>25</v>
      </c>
      <c r="H199" s="58" t="n">
        <v>25535</v>
      </c>
      <c r="I199" s="60" t="inlineStr">
        <is>
          <t>Cundinamarca</t>
        </is>
      </c>
      <c r="J199" s="60" t="inlineStr">
        <is>
          <t>Pasca</t>
        </is>
      </c>
      <c r="K199" s="56" t="n">
        <v>16.4</v>
      </c>
      <c r="L199" s="56" t="n">
        <v>16.33333333333333</v>
      </c>
      <c r="M199" s="56" t="n">
        <v>16.73333333333333</v>
      </c>
      <c r="N199" s="56" t="n">
        <v>16.66666666666667</v>
      </c>
      <c r="O199" s="56" t="n">
        <v>18.13333333333333</v>
      </c>
      <c r="P199" s="56" t="n">
        <v>16.6</v>
      </c>
      <c r="Q199" s="56" t="n">
        <v>16.66666666666667</v>
      </c>
      <c r="R199" s="56" t="n">
        <v>16.86666666666667</v>
      </c>
      <c r="S199" s="56" t="n">
        <v>17.06666666666667</v>
      </c>
      <c r="T199" s="56" t="n">
        <v>16.93333333333333</v>
      </c>
      <c r="U199" s="56" t="n">
        <v>16.66666666666667</v>
      </c>
      <c r="V199" s="56" t="n">
        <v>17</v>
      </c>
      <c r="W199" s="56" t="n">
        <v>16.86666666666666</v>
      </c>
      <c r="X199" s="56" t="n">
        <v>17.6</v>
      </c>
      <c r="Y199" s="56" t="n">
        <v>17.46666666666667</v>
      </c>
      <c r="Z199" s="56" t="n">
        <v>16.73333333333333</v>
      </c>
      <c r="AA199" s="56" t="n">
        <v>17.26666666666667</v>
      </c>
      <c r="AB199" s="56" t="n">
        <v>17.73333333333333</v>
      </c>
      <c r="AC199" s="56" t="n">
        <v>17.66666666666667</v>
      </c>
      <c r="AD199" s="56" t="n">
        <v>17.06666666666667</v>
      </c>
      <c r="AE199" s="56" t="n">
        <v>16.53333333333333</v>
      </c>
      <c r="AF199" s="56" t="n">
        <v>17</v>
      </c>
      <c r="AG199" s="56" t="n">
        <v>16.8</v>
      </c>
      <c r="AH199" s="56" t="n">
        <v>16.46666666666667</v>
      </c>
      <c r="AI199" s="56" t="n">
        <v>17.46666666666667</v>
      </c>
      <c r="AJ199" s="56" t="n">
        <v>16.93333333333333</v>
      </c>
      <c r="AK199" s="56" t="n">
        <v/>
      </c>
      <c r="AL199" s="56" t="n"/>
      <c r="AM199" s="56" t="n"/>
      <c r="AN199" s="56" t="n"/>
      <c r="AO199" s="56" t="n"/>
      <c r="AP199" s="58">
        <f>COUNTIF(K199:AO199,"&gt;0")</f>
        <v/>
      </c>
      <c r="AQ199" s="71">
        <f>IF(AP199&gt;14,AVERAGE(K199:AO199),"")</f>
        <v/>
      </c>
      <c r="AR199" s="71">
        <f>IFERROR(VLOOKUP(A199,Climatologia_TMED!A:U,9+$E$2,FALSE),"")</f>
        <v/>
      </c>
      <c r="AS199" s="71">
        <f>IF(OR(AQ199="",AR199=""),"",IFERROR(AQ199-AR199,""))</f>
        <v/>
      </c>
    </row>
    <row r="200" ht="14.25" customHeight="1">
      <c r="A200" s="58" t="n">
        <v>21205420</v>
      </c>
      <c r="B200" s="59" t="inlineStr">
        <is>
          <t>Tibaitata</t>
        </is>
      </c>
      <c r="C200" s="59" t="inlineStr">
        <is>
          <t>Area Operativa 11 - Cundinamarca-Amazonas</t>
        </is>
      </c>
      <c r="D200" s="73" t="n">
        <v>-74.205626</v>
      </c>
      <c r="E200" s="73" t="n">
        <v>4.688662</v>
      </c>
      <c r="F200" s="58" t="n">
        <v>2543</v>
      </c>
      <c r="G200" s="58" t="n">
        <v>25</v>
      </c>
      <c r="H200" s="58" t="n">
        <v>25473</v>
      </c>
      <c r="I200" s="60" t="inlineStr">
        <is>
          <t>Cundinamarca</t>
        </is>
      </c>
      <c r="J200" s="60" t="inlineStr">
        <is>
          <t>Mosquera</t>
        </is>
      </c>
      <c r="K200" s="56" t="n">
        <v>14.4</v>
      </c>
      <c r="L200" s="56" t="n">
        <v>14.5</v>
      </c>
      <c r="M200" s="56" t="n">
        <v>14.3</v>
      </c>
      <c r="N200" s="56" t="n">
        <v>14.35</v>
      </c>
      <c r="O200" s="56" t="n">
        <v/>
      </c>
      <c r="P200" s="56" t="n">
        <v>13.85</v>
      </c>
      <c r="Q200" s="56" t="n">
        <v>13.25</v>
      </c>
      <c r="R200" s="56" t="n">
        <v>15.55</v>
      </c>
      <c r="S200" s="56" t="n">
        <v>14.95</v>
      </c>
      <c r="T200" s="56" t="n">
        <v>15.45</v>
      </c>
      <c r="U200" s="56" t="n">
        <v>15</v>
      </c>
      <c r="V200" s="56" t="n">
        <v>14.2</v>
      </c>
      <c r="W200" s="56" t="n">
        <v>15.1</v>
      </c>
      <c r="X200" s="56" t="n">
        <v>15.3</v>
      </c>
      <c r="Y200" s="56" t="n">
        <v>14.25</v>
      </c>
      <c r="Z200" s="56" t="n">
        <v>15.9</v>
      </c>
      <c r="AA200" s="56" t="n">
        <v>15.9</v>
      </c>
      <c r="AB200" s="56" t="n">
        <v/>
      </c>
      <c r="AC200" s="56" t="n">
        <v>13.55</v>
      </c>
      <c r="AD200" s="56" t="n">
        <v>14.8</v>
      </c>
      <c r="AE200" s="56" t="n">
        <v>14.3</v>
      </c>
      <c r="AF200" s="56" t="n">
        <v>13.85</v>
      </c>
      <c r="AG200" s="56" t="n">
        <v>15.2</v>
      </c>
      <c r="AH200" s="56" t="n">
        <v>12.45</v>
      </c>
      <c r="AI200" s="56" t="n">
        <v>14.15</v>
      </c>
      <c r="AJ200" s="56" t="n">
        <v>13.05</v>
      </c>
      <c r="AK200" s="56" t="n">
        <v>13.4</v>
      </c>
      <c r="AL200" s="56" t="n"/>
      <c r="AM200" s="56" t="n"/>
      <c r="AN200" s="56" t="n"/>
      <c r="AO200" s="56" t="n"/>
      <c r="AP200" s="58">
        <f>COUNTIF(K200:AO200,"&gt;0")</f>
        <v/>
      </c>
      <c r="AQ200" s="71">
        <f>IF(AP200&gt;14,AVERAGE(K200:AO200),"")</f>
        <v/>
      </c>
      <c r="AR200" s="71">
        <f>IFERROR(VLOOKUP(A200,Climatologia_TMED!A:U,9+$E$2,FALSE),"")</f>
        <v/>
      </c>
      <c r="AS200" s="71">
        <f>IF(OR(AQ200="",AR200=""),"",IFERROR(AQ200-AR200,""))</f>
        <v/>
      </c>
    </row>
    <row r="201" ht="14.25" customHeight="1">
      <c r="A201" s="58" t="n">
        <v>21205660</v>
      </c>
      <c r="B201" s="59" t="inlineStr">
        <is>
          <t>Mercedes</t>
        </is>
      </c>
      <c r="C201" s="59" t="inlineStr">
        <is>
          <t>Area Operativa 11 - Cundinamarca-Amazonas</t>
        </is>
      </c>
      <c r="D201" s="73" t="n">
        <v>-74.52318</v>
      </c>
      <c r="E201" s="73" t="n">
        <v>4.5791</v>
      </c>
      <c r="F201" s="58" t="n">
        <v>765</v>
      </c>
      <c r="G201" s="58" t="n">
        <v>25</v>
      </c>
      <c r="H201" s="58" t="n">
        <v>25035</v>
      </c>
      <c r="I201" s="60" t="inlineStr">
        <is>
          <t>Cundinamarca</t>
        </is>
      </c>
      <c r="J201" s="60" t="inlineStr">
        <is>
          <t>Anapoima</t>
        </is>
      </c>
      <c r="K201" s="56" t="n">
        <v>27.85</v>
      </c>
      <c r="L201" s="56" t="n">
        <v>27.95</v>
      </c>
      <c r="M201" s="56" t="n">
        <v>28.25</v>
      </c>
      <c r="N201" s="56" t="n">
        <v>29.35</v>
      </c>
      <c r="O201" s="56" t="n">
        <v>29.75</v>
      </c>
      <c r="P201" s="56" t="n">
        <v>29.5</v>
      </c>
      <c r="Q201" s="56" t="n">
        <v>28.2</v>
      </c>
      <c r="R201" s="56" t="n">
        <v>30.45</v>
      </c>
      <c r="S201" s="56" t="n">
        <v>29.85</v>
      </c>
      <c r="T201" s="56" t="n">
        <v>30.4</v>
      </c>
      <c r="U201" s="56" t="n">
        <v>28.8</v>
      </c>
      <c r="V201" s="56" t="n">
        <v>29.75</v>
      </c>
      <c r="W201" s="56" t="n">
        <v>29.25</v>
      </c>
      <c r="X201" s="56" t="n">
        <v>30.7</v>
      </c>
      <c r="Y201" s="56" t="n">
        <v>30</v>
      </c>
      <c r="Z201" s="56" t="n">
        <v>28.15</v>
      </c>
      <c r="AA201" s="56" t="n">
        <v>29.7</v>
      </c>
      <c r="AB201" s="56" t="n">
        <v>30.55</v>
      </c>
      <c r="AC201" s="56" t="n">
        <v>29.6</v>
      </c>
      <c r="AD201" s="56" t="n">
        <v>29.65</v>
      </c>
      <c r="AE201" s="56" t="n">
        <v>29.8</v>
      </c>
      <c r="AF201" s="56" t="n">
        <v>29.2</v>
      </c>
      <c r="AG201" s="56" t="n">
        <v>30.65</v>
      </c>
      <c r="AH201" s="56" t="n">
        <v>28.75</v>
      </c>
      <c r="AI201" s="56" t="n">
        <v>27.25</v>
      </c>
      <c r="AJ201" s="56" t="n">
        <v>26.1</v>
      </c>
      <c r="AK201" s="56" t="n">
        <v>25.7</v>
      </c>
      <c r="AL201" s="56" t="n"/>
      <c r="AM201" s="56" t="n"/>
      <c r="AN201" s="56" t="n"/>
      <c r="AO201" s="56" t="n"/>
      <c r="AP201" s="58">
        <f>COUNTIF(K201:AO201,"&gt;0")</f>
        <v/>
      </c>
      <c r="AQ201" s="71">
        <f>IF(AP201&gt;14,AVERAGE(K201:AO201),"")</f>
        <v/>
      </c>
      <c r="AR201" s="71">
        <f>IFERROR(VLOOKUP(A201,Climatologia_TMED!A:U,9+$E$2,FALSE),"")</f>
        <v/>
      </c>
      <c r="AS201" s="71">
        <f>IF(OR(AQ201="",AR201=""),"",IFERROR(AQ201-AR201,""))</f>
        <v/>
      </c>
    </row>
    <row r="202" ht="14.25" customHeight="1">
      <c r="A202" s="58" t="n">
        <v>21205700</v>
      </c>
      <c r="B202" s="59" t="inlineStr">
        <is>
          <t>Guasca</t>
        </is>
      </c>
      <c r="C202" s="59" t="inlineStr">
        <is>
          <t>Area Operativa 11 - Cundinamarca-Amazonas</t>
        </is>
      </c>
      <c r="D202" s="73" t="n">
        <v>-73.864453</v>
      </c>
      <c r="E202" s="73" t="n">
        <v>4.877953</v>
      </c>
      <c r="F202" s="58" t="n">
        <v>2750</v>
      </c>
      <c r="G202" s="58" t="n">
        <v>25</v>
      </c>
      <c r="H202" s="58" t="n">
        <v>25322</v>
      </c>
      <c r="I202" s="60" t="inlineStr">
        <is>
          <t>Cundinamarca</t>
        </is>
      </c>
      <c r="J202" s="60" t="inlineStr">
        <is>
          <t>Guasca</t>
        </is>
      </c>
      <c r="K202" s="56" t="n">
        <v>14.15</v>
      </c>
      <c r="L202" s="56" t="n">
        <v>13.9</v>
      </c>
      <c r="M202" s="56" t="n">
        <v>12.85</v>
      </c>
      <c r="N202" s="56" t="n">
        <v>13.8</v>
      </c>
      <c r="O202" s="56" t="n">
        <v>12.05</v>
      </c>
      <c r="P202" s="56" t="n">
        <v>13.05</v>
      </c>
      <c r="Q202" s="56" t="n">
        <v>13.1</v>
      </c>
      <c r="R202" s="56" t="n">
        <v>13.15</v>
      </c>
      <c r="S202" s="56" t="n">
        <v>13.35</v>
      </c>
      <c r="T202" s="56" t="n">
        <v>12.95</v>
      </c>
      <c r="U202" s="56" t="n">
        <v>13.3</v>
      </c>
      <c r="V202" s="56" t="n">
        <v>13.6</v>
      </c>
      <c r="W202" s="56" t="n">
        <v>12.85</v>
      </c>
      <c r="X202" s="56" t="n">
        <v>14.15</v>
      </c>
      <c r="Y202" s="56" t="n">
        <v>13.85</v>
      </c>
      <c r="Z202" s="56" t="n">
        <v>12.8</v>
      </c>
      <c r="AA202" s="56" t="n">
        <v>13.1</v>
      </c>
      <c r="AB202" s="56" t="n">
        <v>11.75</v>
      </c>
      <c r="AC202" s="56" t="n">
        <v>13.025</v>
      </c>
      <c r="AD202" s="56" t="n">
        <v>13.8</v>
      </c>
      <c r="AE202" s="56" t="n">
        <v>13.65</v>
      </c>
      <c r="AF202" s="56" t="n">
        <v>13.85</v>
      </c>
      <c r="AG202" s="56" t="n">
        <v>14.5</v>
      </c>
      <c r="AH202" s="56" t="n">
        <v>14.55</v>
      </c>
      <c r="AI202" s="56" t="n">
        <v>13.25</v>
      </c>
      <c r="AJ202" s="56" t="n">
        <v>12.55</v>
      </c>
      <c r="AK202" s="56" t="n">
        <v>13.2</v>
      </c>
      <c r="AL202" s="56" t="n"/>
      <c r="AM202" s="56" t="n"/>
      <c r="AN202" s="56" t="n"/>
      <c r="AO202" s="56" t="n"/>
      <c r="AP202" s="58">
        <f>COUNTIF(K202:AO202,"&gt;0")</f>
        <v/>
      </c>
      <c r="AQ202" s="71">
        <f>IF(AP202&gt;14,AVERAGE(K202:AO202),"")</f>
        <v/>
      </c>
      <c r="AR202" s="71">
        <f>IFERROR(VLOOKUP(A202,Climatologia_TMED!A:U,9+$E$2,FALSE),"")</f>
        <v/>
      </c>
      <c r="AS202" s="71">
        <f>IF(OR(AQ202="",AR202=""),"",IFERROR(AQ202-AR202,""))</f>
        <v/>
      </c>
    </row>
    <row r="203" ht="14.25" customHeight="1">
      <c r="A203" s="58" t="n">
        <v>21205720</v>
      </c>
      <c r="B203" s="59" t="inlineStr">
        <is>
          <t>Granja San Jorge</t>
        </is>
      </c>
      <c r="C203" s="59" t="inlineStr">
        <is>
          <t>Area Operativa 11 - Cundinamarca-Amazonas</t>
        </is>
      </c>
      <c r="D203" s="73" t="n">
        <v>-74.18927778</v>
      </c>
      <c r="E203" s="73" t="n">
        <v>4.50575</v>
      </c>
      <c r="F203" s="58" t="n">
        <v>2900</v>
      </c>
      <c r="G203" s="58" t="n">
        <v>25</v>
      </c>
      <c r="H203" s="58" t="n">
        <v>25754</v>
      </c>
      <c r="I203" s="60" t="inlineStr">
        <is>
          <t>Cundinamarca</t>
        </is>
      </c>
      <c r="J203" s="60" t="inlineStr">
        <is>
          <t>Soacha</t>
        </is>
      </c>
      <c r="K203" s="56" t="n">
        <v>14.2</v>
      </c>
      <c r="L203" s="56" t="n">
        <v>14</v>
      </c>
      <c r="M203" s="56" t="n">
        <v>14.2</v>
      </c>
      <c r="N203" s="56" t="n">
        <v>14.53333333333333</v>
      </c>
      <c r="O203" s="56" t="n">
        <v>13.53333333333333</v>
      </c>
      <c r="P203" s="56" t="n">
        <v>14.13333333333333</v>
      </c>
      <c r="Q203" s="56" t="n">
        <v>13.13333333333333</v>
      </c>
      <c r="R203" s="56" t="n">
        <v>14.33333333333333</v>
      </c>
      <c r="S203" s="56" t="n">
        <v>13.86666666666667</v>
      </c>
      <c r="T203" s="56" t="n">
        <v>14.46666666666667</v>
      </c>
      <c r="U203" s="56" t="n">
        <v>14.4</v>
      </c>
      <c r="V203" s="56" t="n">
        <v>15.2</v>
      </c>
      <c r="W203" s="56" t="n">
        <v>14.33333333333333</v>
      </c>
      <c r="X203" s="56" t="n">
        <v>14.6</v>
      </c>
      <c r="Y203" s="56" t="n">
        <v>14.4</v>
      </c>
      <c r="Z203" s="56" t="n">
        <v>14.06666666666667</v>
      </c>
      <c r="AA203" s="56" t="n">
        <v>14.66666666666667</v>
      </c>
      <c r="AB203" s="56" t="n">
        <v>13.93333333333333</v>
      </c>
      <c r="AC203" s="56" t="n">
        <v/>
      </c>
      <c r="AD203" s="56" t="n">
        <v/>
      </c>
      <c r="AE203" s="56" t="n">
        <v>13.86666666666667</v>
      </c>
      <c r="AF203" s="56" t="n">
        <v>14.06666666666667</v>
      </c>
      <c r="AG203" s="56" t="n">
        <v>15.13333333333333</v>
      </c>
      <c r="AH203" s="56" t="n">
        <v>14.2</v>
      </c>
      <c r="AI203" s="56" t="n">
        <v>14.86666666666667</v>
      </c>
      <c r="AJ203" s="56" t="n">
        <v>14.06666666666667</v>
      </c>
      <c r="AK203" s="56" t="n">
        <v>15.66666666666667</v>
      </c>
      <c r="AL203" s="56" t="n"/>
      <c r="AM203" s="56" t="n"/>
      <c r="AN203" s="56" t="n"/>
      <c r="AO203" s="56" t="n"/>
      <c r="AP203" s="58">
        <f>COUNTIF(K203:AO203,"&gt;0")</f>
        <v/>
      </c>
      <c r="AQ203" s="71">
        <f>IF(AP203&gt;14,AVERAGE(K203:AO203),"")</f>
        <v/>
      </c>
      <c r="AR203" s="71">
        <f>IFERROR(VLOOKUP(A203,Climatologia_TMED!A:U,9+$E$2,FALSE),"")</f>
        <v/>
      </c>
      <c r="AS203" s="71">
        <f>IF(OR(AQ203="",AR203=""),"",IFERROR(AQ203-AR203,""))</f>
        <v/>
      </c>
    </row>
    <row r="204" ht="14.25" customHeight="1">
      <c r="A204" s="58" t="n">
        <v>21205740</v>
      </c>
      <c r="B204" s="59" t="inlineStr">
        <is>
          <t>Silos</t>
        </is>
      </c>
      <c r="C204" s="59" t="inlineStr">
        <is>
          <t>Area Operativa 11 - Cundinamarca-Amazonas</t>
        </is>
      </c>
      <c r="D204" s="73" t="n">
        <v>-73.70141667</v>
      </c>
      <c r="E204" s="73" t="n">
        <v>5.117722222</v>
      </c>
      <c r="F204" s="58" t="n">
        <v>2709</v>
      </c>
      <c r="G204" s="58" t="n">
        <v>25</v>
      </c>
      <c r="H204" s="58" t="n">
        <v>25183</v>
      </c>
      <c r="I204" s="60" t="inlineStr">
        <is>
          <t>Cundinamarca</t>
        </is>
      </c>
      <c r="J204" s="60" t="inlineStr">
        <is>
          <t>Chocontá</t>
        </is>
      </c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  <c r="AA204" s="56" t="n"/>
      <c r="AB204" s="56" t="n"/>
      <c r="AC204" s="56" t="n"/>
      <c r="AD204" s="56" t="n"/>
      <c r="AE204" s="56" t="n"/>
      <c r="AF204" s="56" t="n"/>
      <c r="AG204" s="56" t="n"/>
      <c r="AH204" s="56" t="n"/>
      <c r="AI204" s="56" t="n"/>
      <c r="AJ204" s="56" t="n"/>
      <c r="AK204" s="56" t="n"/>
      <c r="AL204" s="56" t="n"/>
      <c r="AM204" s="56" t="n"/>
      <c r="AN204" s="56" t="n"/>
      <c r="AO204" s="56" t="n"/>
      <c r="AP204" s="58">
        <f>COUNTIF(K204:AO204,"&gt;0")</f>
        <v/>
      </c>
      <c r="AQ204" s="71">
        <f>IF(AP204&gt;14,AVERAGE(K204:AO204),"")</f>
        <v/>
      </c>
      <c r="AR204" s="71">
        <f>IFERROR(VLOOKUP(A204,Climatologia_TMED!A:U,9+$E$2,FALSE),"")</f>
        <v/>
      </c>
      <c r="AS204" s="71">
        <f>IF(OR(AQ204="",AR204=""),"",IFERROR(AQ204-AR204,""))</f>
        <v/>
      </c>
    </row>
    <row r="205" ht="14.25" customHeight="1">
      <c r="A205" s="58" t="n">
        <v>21205920</v>
      </c>
      <c r="B205" s="59" t="inlineStr">
        <is>
          <t>Suasuque</t>
        </is>
      </c>
      <c r="C205" s="59" t="inlineStr">
        <is>
          <t>Area Operativa 11 - Cundinamarca-Amazonas</t>
        </is>
      </c>
      <c r="D205" s="73" t="n">
        <v>-73.96388889000001</v>
      </c>
      <c r="E205" s="73" t="n">
        <v>4.820833333</v>
      </c>
      <c r="F205" s="58" t="n">
        <v>2650</v>
      </c>
      <c r="G205" s="58" t="n">
        <v>25</v>
      </c>
      <c r="H205" s="58" t="n">
        <v>25758</v>
      </c>
      <c r="I205" s="60" t="inlineStr">
        <is>
          <t>Cundinamarca</t>
        </is>
      </c>
      <c r="J205" s="60" t="inlineStr">
        <is>
          <t>Sopó</t>
        </is>
      </c>
      <c r="K205" s="56" t="n">
        <v>16.45</v>
      </c>
      <c r="L205" s="56" t="n">
        <v>14.6</v>
      </c>
      <c r="M205" s="56" t="n">
        <v>15.5</v>
      </c>
      <c r="N205" s="56" t="n">
        <v>16</v>
      </c>
      <c r="O205" s="56" t="n">
        <v>14.25</v>
      </c>
      <c r="P205" s="56" t="n">
        <v>14.6</v>
      </c>
      <c r="Q205" s="56" t="n">
        <v>16.05</v>
      </c>
      <c r="R205" s="56" t="n">
        <v>15.85</v>
      </c>
      <c r="S205" s="56" t="n">
        <v>16.3</v>
      </c>
      <c r="T205" s="56" t="n">
        <v>15.75</v>
      </c>
      <c r="U205" s="56" t="n">
        <v>15.25</v>
      </c>
      <c r="V205" s="56" t="n">
        <v>15.6</v>
      </c>
      <c r="W205" s="56" t="n">
        <v>15.7</v>
      </c>
      <c r="X205" s="56" t="n">
        <v>15.2</v>
      </c>
      <c r="Y205" s="56" t="n">
        <v>15.45</v>
      </c>
      <c r="Z205" s="56" t="n">
        <v>15.35</v>
      </c>
      <c r="AA205" s="56" t="n">
        <v>15.1</v>
      </c>
      <c r="AB205" s="56" t="n">
        <v>15.45</v>
      </c>
      <c r="AC205" s="56" t="n">
        <v>14.6</v>
      </c>
      <c r="AD205" s="56" t="n">
        <v>14.55</v>
      </c>
      <c r="AE205" s="56" t="n">
        <v>14.9</v>
      </c>
      <c r="AF205" s="56" t="n">
        <v>16.05</v>
      </c>
      <c r="AG205" s="56" t="n">
        <v>15.65</v>
      </c>
      <c r="AH205" s="56" t="n">
        <v>15</v>
      </c>
      <c r="AI205" s="56" t="n">
        <v>15.4</v>
      </c>
      <c r="AJ205" s="56" t="n">
        <v>15.35</v>
      </c>
      <c r="AK205" s="56" t="n">
        <v>15.45</v>
      </c>
      <c r="AL205" s="56" t="n"/>
      <c r="AM205" s="56" t="n"/>
      <c r="AN205" s="56" t="n"/>
      <c r="AO205" s="56" t="n"/>
      <c r="AP205" s="58">
        <f>COUNTIF(K205:AO205,"&gt;0")</f>
        <v/>
      </c>
      <c r="AQ205" s="71">
        <f>IF(AP205&gt;14,AVERAGE(K205:AO205),"")</f>
        <v/>
      </c>
      <c r="AR205" s="71">
        <f>IFERROR(VLOOKUP(A205,Climatologia_TMED!A:U,9+$E$2,FALSE),"")</f>
        <v/>
      </c>
      <c r="AS205" s="71">
        <f>IF(OR(AQ205="",AR205=""),"",IFERROR(AQ205-AR205,""))</f>
        <v/>
      </c>
    </row>
    <row r="206" ht="14.25" customHeight="1">
      <c r="A206" s="58" t="n">
        <v>21205940</v>
      </c>
      <c r="B206" s="59" t="inlineStr">
        <is>
          <t>Villa Ines</t>
        </is>
      </c>
      <c r="C206" s="59" t="inlineStr">
        <is>
          <t>Area Operativa 11 - Cundinamarca-Amazonas</t>
        </is>
      </c>
      <c r="D206" s="73" t="n">
        <v>-74.38056</v>
      </c>
      <c r="E206" s="73" t="n">
        <v>4.83211</v>
      </c>
      <c r="F206" s="58" t="n">
        <v>2590</v>
      </c>
      <c r="G206" s="58" t="n">
        <v>25</v>
      </c>
      <c r="H206" s="58" t="n">
        <v>25269</v>
      </c>
      <c r="I206" s="60" t="inlineStr">
        <is>
          <t>Cundinamarca</t>
        </is>
      </c>
      <c r="J206" s="60" t="inlineStr">
        <is>
          <t>Facatativá</t>
        </is>
      </c>
      <c r="K206" s="56" t="n">
        <v>12.8</v>
      </c>
      <c r="L206" s="56" t="n">
        <v>14.35</v>
      </c>
      <c r="M206" s="56" t="n">
        <v>13.5</v>
      </c>
      <c r="N206" s="56" t="n">
        <v>14.2</v>
      </c>
      <c r="O206" s="56" t="n">
        <v>14</v>
      </c>
      <c r="P206" s="56" t="n">
        <v>11.15</v>
      </c>
      <c r="Q206" s="56" t="n">
        <v>11.9</v>
      </c>
      <c r="R206" s="56" t="n">
        <v>13.2</v>
      </c>
      <c r="S206" s="56" t="n">
        <v>15.2</v>
      </c>
      <c r="T206" s="56" t="n">
        <v>13.4</v>
      </c>
      <c r="U206" s="56" t="n">
        <v>13.5</v>
      </c>
      <c r="V206" s="56" t="n">
        <v>15.05</v>
      </c>
      <c r="W206" s="56" t="n">
        <v>14.65</v>
      </c>
      <c r="X206" s="56" t="n">
        <v>14.2</v>
      </c>
      <c r="Y206" s="56" t="n">
        <v>13.3</v>
      </c>
      <c r="Z206" s="56" t="n">
        <v>15.25</v>
      </c>
      <c r="AA206" s="56" t="n">
        <v>12.9</v>
      </c>
      <c r="AB206" s="56" t="n">
        <v>14.85</v>
      </c>
      <c r="AC206" s="56" t="n">
        <v>13.85</v>
      </c>
      <c r="AD206" s="56" t="n">
        <v>13.75</v>
      </c>
      <c r="AE206" s="56" t="n">
        <v>12.75</v>
      </c>
      <c r="AF206" s="56" t="n">
        <v>12.1</v>
      </c>
      <c r="AG206" s="56" t="n">
        <v>14.25</v>
      </c>
      <c r="AH206" s="56" t="n">
        <v>12.65</v>
      </c>
      <c r="AI206" s="56" t="n">
        <v>13.05</v>
      </c>
      <c r="AJ206" s="56" t="n">
        <v>12.25</v>
      </c>
      <c r="AK206" s="56" t="n">
        <v>13.6</v>
      </c>
      <c r="AL206" s="56" t="n"/>
      <c r="AM206" s="56" t="n"/>
      <c r="AN206" s="56" t="n"/>
      <c r="AO206" s="56" t="n"/>
      <c r="AP206" s="58">
        <f>COUNTIF(K206:AO206,"&gt;0")</f>
        <v/>
      </c>
      <c r="AQ206" s="71">
        <f>IF(AP206&gt;14,AVERAGE(K206:AO206),"")</f>
        <v/>
      </c>
      <c r="AR206" s="71">
        <f>IFERROR(VLOOKUP(A206,Climatologia_TMED!A:U,9+$E$2,FALSE),"")</f>
        <v/>
      </c>
      <c r="AS206" s="71">
        <f>IF(OR(AQ206="",AR206=""),"",IFERROR(AQ206-AR206,""))</f>
        <v/>
      </c>
    </row>
    <row r="207" ht="14.25" customHeight="1">
      <c r="A207" s="58" t="n">
        <v>21206260</v>
      </c>
      <c r="B207" s="59" t="inlineStr">
        <is>
          <t>C.Univ.Agrop-Udca</t>
        </is>
      </c>
      <c r="C207" s="59" t="inlineStr">
        <is>
          <t>Area Operativa 11 - Cundinamarca-Amazonas</t>
        </is>
      </c>
      <c r="D207" s="73" t="n">
        <v>-74.04972222000001</v>
      </c>
      <c r="E207" s="73" t="n">
        <v>4.798638889</v>
      </c>
      <c r="F207" s="58" t="n">
        <v>2570</v>
      </c>
      <c r="G207" s="58" t="n">
        <v>11</v>
      </c>
      <c r="H207" s="58" t="n">
        <v>11001</v>
      </c>
      <c r="I207" s="60" t="inlineStr">
        <is>
          <t>Bogotá, D.C.</t>
        </is>
      </c>
      <c r="J207" s="60" t="inlineStr">
        <is>
          <t>Bogotá, D.C</t>
        </is>
      </c>
      <c r="K207" s="56" t="n">
        <v>14.26666666666667</v>
      </c>
      <c r="L207" s="56" t="n">
        <v>13.86666666666667</v>
      </c>
      <c r="M207" s="56" t="n">
        <v>13.8</v>
      </c>
      <c r="N207" s="56" t="n">
        <v>13.26666666666667</v>
      </c>
      <c r="O207" s="56" t="n">
        <v>13.8</v>
      </c>
      <c r="P207" s="56" t="n">
        <v/>
      </c>
      <c r="Q207" s="56" t="n">
        <v>12.6</v>
      </c>
      <c r="R207" s="56" t="n">
        <v>13.8</v>
      </c>
      <c r="S207" s="56" t="n">
        <v>13.93333333333333</v>
      </c>
      <c r="T207" s="56" t="n">
        <v>14</v>
      </c>
      <c r="U207" s="56" t="n">
        <v>13.26666666666667</v>
      </c>
      <c r="V207" s="56" t="n">
        <v>14.4</v>
      </c>
      <c r="W207" s="56" t="n">
        <v/>
      </c>
      <c r="X207" s="56" t="n">
        <v>13.73333333333333</v>
      </c>
      <c r="Y207" s="56" t="n">
        <v>13.66666666666667</v>
      </c>
      <c r="Z207" s="56" t="n">
        <v>15.06666666666667</v>
      </c>
      <c r="AA207" s="56" t="n">
        <v>13.86666666666667</v>
      </c>
      <c r="AB207" s="56" t="n">
        <v>13</v>
      </c>
      <c r="AC207" s="56" t="n">
        <v/>
      </c>
      <c r="AD207" s="56" t="n">
        <v/>
      </c>
      <c r="AE207" s="56" t="n">
        <v>14.46666666666667</v>
      </c>
      <c r="AF207" s="56" t="n">
        <v>15.06666666666666</v>
      </c>
      <c r="AG207" s="56" t="n">
        <v>16</v>
      </c>
      <c r="AH207" s="56" t="n">
        <v>14.66666666666667</v>
      </c>
      <c r="AI207" s="56" t="n">
        <v>15.2</v>
      </c>
      <c r="AJ207" s="56" t="n">
        <v/>
      </c>
      <c r="AK207" s="56" t="n">
        <v/>
      </c>
      <c r="AL207" s="56" t="n"/>
      <c r="AM207" s="56" t="n"/>
      <c r="AN207" s="56" t="n"/>
      <c r="AO207" s="56" t="n"/>
      <c r="AP207" s="58">
        <f>COUNTIF(K207:AO207,"&gt;0")</f>
        <v/>
      </c>
      <c r="AQ207" s="71">
        <f>IF(AP207&gt;14,AVERAGE(K207:AO207),"")</f>
        <v/>
      </c>
      <c r="AR207" s="71">
        <f>IFERROR(VLOOKUP(A207,Climatologia_TMED!A:U,9+$E$2,FALSE),"")</f>
        <v/>
      </c>
      <c r="AS207" s="71">
        <f>IF(OR(AQ207="",AR207=""),"",IFERROR(AQ207-AR207,""))</f>
        <v/>
      </c>
    </row>
    <row r="208" ht="14.25" customHeight="1">
      <c r="A208" s="58" t="n">
        <v>21206600</v>
      </c>
      <c r="B208" s="59" t="inlineStr">
        <is>
          <t>Nueva Generacion</t>
        </is>
      </c>
      <c r="C208" s="59" t="inlineStr">
        <is>
          <t>Area Operativa 11 - Cundinamarca-Amazonas</t>
        </is>
      </c>
      <c r="D208" s="73" t="n">
        <v>-74.10224700000001</v>
      </c>
      <c r="E208" s="73" t="n">
        <v>4.786594</v>
      </c>
      <c r="F208" s="58" t="n">
        <v>2590</v>
      </c>
      <c r="G208" s="58" t="n">
        <v>11</v>
      </c>
      <c r="H208" s="58" t="n">
        <v>11001</v>
      </c>
      <c r="I208" s="60" t="inlineStr">
        <is>
          <t>Bogotá, D.C.</t>
        </is>
      </c>
      <c r="J208" s="60" t="inlineStr">
        <is>
          <t>Bogotá, D.C</t>
        </is>
      </c>
      <c r="K208" s="56" t="n">
        <v>15.35</v>
      </c>
      <c r="L208" s="56" t="n">
        <v>14.25</v>
      </c>
      <c r="M208" s="56" t="n">
        <v>13.45</v>
      </c>
      <c r="N208" s="56" t="n">
        <v>14.4</v>
      </c>
      <c r="O208" s="56" t="n">
        <v>13.2</v>
      </c>
      <c r="P208" s="56" t="n">
        <v>14.1</v>
      </c>
      <c r="Q208" s="56" t="n">
        <v>13.05</v>
      </c>
      <c r="R208" s="56" t="n">
        <v>14.33333333333333</v>
      </c>
      <c r="S208" s="56" t="n">
        <v>14.55</v>
      </c>
      <c r="T208" s="56" t="n">
        <v>14.75</v>
      </c>
      <c r="U208" s="56" t="n">
        <v>13.5</v>
      </c>
      <c r="V208" s="56" t="n">
        <v>14</v>
      </c>
      <c r="W208" s="56" t="n">
        <v>14.35</v>
      </c>
      <c r="X208" s="56" t="n">
        <v>14.6</v>
      </c>
      <c r="Y208" s="56" t="n">
        <v>13.4</v>
      </c>
      <c r="Z208" s="56" t="n">
        <v>13.3</v>
      </c>
      <c r="AA208" s="56" t="n">
        <v>15.1</v>
      </c>
      <c r="AB208" s="56" t="n">
        <v>13.6</v>
      </c>
      <c r="AC208" s="56" t="n">
        <v>15.65</v>
      </c>
      <c r="AD208" s="56" t="n">
        <v>14.2</v>
      </c>
      <c r="AE208" s="56" t="n">
        <v>14.05</v>
      </c>
      <c r="AF208" s="56" t="n">
        <v>14.5</v>
      </c>
      <c r="AG208" s="56" t="n">
        <v>16.2</v>
      </c>
      <c r="AH208" s="56" t="n">
        <v>14.6</v>
      </c>
      <c r="AI208" s="56" t="n">
        <v>14.95</v>
      </c>
      <c r="AJ208" s="56" t="n">
        <v>12.75</v>
      </c>
      <c r="AK208" s="56" t="n">
        <v>13.6</v>
      </c>
      <c r="AL208" s="56" t="n"/>
      <c r="AM208" s="56" t="n"/>
      <c r="AN208" s="56" t="n"/>
      <c r="AO208" s="56" t="n"/>
      <c r="AP208" s="58">
        <f>COUNTIF(K208:AO208,"&gt;0")</f>
        <v/>
      </c>
      <c r="AQ208" s="71">
        <f>IF(AP208&gt;14,AVERAGE(K208:AO208),"")</f>
        <v/>
      </c>
      <c r="AR208" s="71">
        <f>IFERROR(VLOOKUP(A208,Climatologia_TMED!A:U,9+$E$2,FALSE),"")</f>
        <v/>
      </c>
      <c r="AS208" s="71">
        <f>IF(OR(AQ208="",AR208=""),"",IFERROR(AQ208-AR208,""))</f>
        <v/>
      </c>
    </row>
    <row r="209" ht="14.25" customHeight="1">
      <c r="A209" s="58" t="n">
        <v>21206650</v>
      </c>
      <c r="B209" s="59" t="inlineStr">
        <is>
          <t>Colegio San Cayetano</t>
        </is>
      </c>
      <c r="C209" s="59" t="inlineStr">
        <is>
          <t>Area Operativa 11 - Cundinamarca-Amazonas</t>
        </is>
      </c>
      <c r="D209" s="73" t="n">
        <v>-74.088222222</v>
      </c>
      <c r="E209" s="73" t="n">
        <v>4.516752778</v>
      </c>
      <c r="F209" s="58" t="n">
        <v>3100</v>
      </c>
      <c r="G209" s="58" t="n">
        <v>11</v>
      </c>
      <c r="H209" s="58" t="n">
        <v>11001</v>
      </c>
      <c r="I209" s="60" t="inlineStr">
        <is>
          <t>Bogotá, D.C.</t>
        </is>
      </c>
      <c r="J209" s="60" t="inlineStr">
        <is>
          <t>Bogotá, D.C</t>
        </is>
      </c>
      <c r="K209" s="56" t="n">
        <v>11.35</v>
      </c>
      <c r="L209" s="56" t="n">
        <v>11.25</v>
      </c>
      <c r="M209" s="56" t="n">
        <v>11.05</v>
      </c>
      <c r="N209" s="56" t="n">
        <v>11.25</v>
      </c>
      <c r="O209" s="56" t="n">
        <v>11.15</v>
      </c>
      <c r="P209" s="56" t="n">
        <v>11.6</v>
      </c>
      <c r="Q209" s="56" t="n">
        <v>11.35</v>
      </c>
      <c r="R209" s="56" t="n">
        <v>11.05</v>
      </c>
      <c r="S209" s="56" t="n">
        <v>10.55</v>
      </c>
      <c r="T209" s="56" t="n">
        <v>10.9</v>
      </c>
      <c r="U209" s="56" t="n">
        <v>10.55</v>
      </c>
      <c r="V209" s="56" t="n">
        <v>10.8</v>
      </c>
      <c r="W209" s="56" t="n">
        <v>11.45</v>
      </c>
      <c r="X209" s="56" t="n">
        <v>11</v>
      </c>
      <c r="Y209" s="56" t="n">
        <v>11.25</v>
      </c>
      <c r="Z209" s="56" t="n">
        <v>11.4</v>
      </c>
      <c r="AA209" s="56" t="n">
        <v>11.4</v>
      </c>
      <c r="AB209" s="56" t="n">
        <v>10.95</v>
      </c>
      <c r="AC209" s="56" t="n">
        <v>10.75</v>
      </c>
      <c r="AD209" s="56" t="n">
        <v>10.4</v>
      </c>
      <c r="AE209" s="56" t="n">
        <v>10.65</v>
      </c>
      <c r="AF209" s="56" t="n">
        <v>10.35</v>
      </c>
      <c r="AG209" s="56" t="n">
        <v>10.65</v>
      </c>
      <c r="AH209" s="56" t="n">
        <v>11</v>
      </c>
      <c r="AI209" s="56" t="n">
        <v>10.95</v>
      </c>
      <c r="AJ209" s="56" t="n">
        <v>11.3</v>
      </c>
      <c r="AK209" s="56" t="n">
        <v>11.65</v>
      </c>
      <c r="AL209" s="56" t="n"/>
      <c r="AM209" s="56" t="n"/>
      <c r="AN209" s="56" t="n"/>
      <c r="AO209" s="56" t="n"/>
      <c r="AP209" s="58">
        <f>COUNTIF(K209:AO209,"&gt;0")</f>
        <v/>
      </c>
      <c r="AQ209" s="71">
        <f>IF(AP209&gt;14,AVERAGE(K209:AO209),"")</f>
        <v/>
      </c>
      <c r="AR209" s="71">
        <f>IFERROR(VLOOKUP(A209,Climatologia_TMED!A:U,9+$E$2,FALSE),"")</f>
        <v/>
      </c>
      <c r="AS209" s="71">
        <f>IF(OR(AQ209="",AR209=""),"",IFERROR(AQ209-AR209,""))</f>
        <v/>
      </c>
    </row>
    <row r="210" ht="14.25" customHeight="1">
      <c r="A210" s="58" t="n">
        <v>24015120</v>
      </c>
      <c r="B210" s="59" t="inlineStr">
        <is>
          <t>Isla Del Santuario</t>
        </is>
      </c>
      <c r="C210" s="59" t="inlineStr">
        <is>
          <t>Area Operativa 11 - Cundinamarca-Amazonas</t>
        </is>
      </c>
      <c r="D210" s="73" t="n">
        <v>-73.73480556</v>
      </c>
      <c r="E210" s="73" t="n">
        <v>5.467277778</v>
      </c>
      <c r="F210" s="58" t="n">
        <v>2580</v>
      </c>
      <c r="G210" s="58" t="n">
        <v>25</v>
      </c>
      <c r="H210" s="58" t="n">
        <v>25288</v>
      </c>
      <c r="I210" s="60" t="inlineStr">
        <is>
          <t>Cundinamarca</t>
        </is>
      </c>
      <c r="J210" s="60" t="inlineStr">
        <is>
          <t>Fúquene</t>
        </is>
      </c>
      <c r="K210" s="56" t="n">
        <v>15.75</v>
      </c>
      <c r="L210" s="56" t="n">
        <v>15.35</v>
      </c>
      <c r="M210" s="56" t="n">
        <v>15.35</v>
      </c>
      <c r="N210" s="56" t="n">
        <v>15.2</v>
      </c>
      <c r="O210" s="56" t="n">
        <v>15.5</v>
      </c>
      <c r="P210" s="56" t="n">
        <v>16.05</v>
      </c>
      <c r="Q210" s="56" t="n">
        <v>14.8</v>
      </c>
      <c r="R210" s="56" t="n">
        <v/>
      </c>
      <c r="S210" s="56" t="n">
        <v>16.85</v>
      </c>
      <c r="T210" s="56" t="n">
        <v>17.2</v>
      </c>
      <c r="U210" s="56" t="n">
        <v>16.35</v>
      </c>
      <c r="V210" s="56" t="n">
        <v>16.4</v>
      </c>
      <c r="W210" s="56" t="n">
        <v>15.5</v>
      </c>
      <c r="X210" s="56" t="n">
        <v>16.4</v>
      </c>
      <c r="Y210" s="56" t="n">
        <v>16.6</v>
      </c>
      <c r="Z210" s="56" t="n">
        <v>15.8</v>
      </c>
      <c r="AA210" s="56" t="n">
        <v>15.3</v>
      </c>
      <c r="AB210" s="56" t="n">
        <v>15.4</v>
      </c>
      <c r="AC210" s="56" t="n">
        <v>15.2</v>
      </c>
      <c r="AD210" s="56" t="n">
        <v>16.25</v>
      </c>
      <c r="AE210" s="56" t="n">
        <v>15.85</v>
      </c>
      <c r="AF210" s="56" t="n">
        <v/>
      </c>
      <c r="AG210" s="56" t="n">
        <v>16.05</v>
      </c>
      <c r="AH210" s="56" t="n">
        <v>16.55</v>
      </c>
      <c r="AI210" s="56" t="n">
        <v/>
      </c>
      <c r="AJ210" s="56" t="n">
        <v/>
      </c>
      <c r="AK210" s="56" t="n">
        <v/>
      </c>
      <c r="AL210" s="56" t="n"/>
      <c r="AM210" s="56" t="n"/>
      <c r="AN210" s="56" t="n"/>
      <c r="AO210" s="56" t="n"/>
      <c r="AP210" s="58">
        <f>COUNTIF(K210:AO210,"&gt;0")</f>
        <v/>
      </c>
      <c r="AQ210" s="71">
        <f>IF(AP210&gt;14,AVERAGE(K210:AO210),"")</f>
        <v/>
      </c>
      <c r="AR210" s="71">
        <f>IFERROR(VLOOKUP(A210,Climatologia_TMED!A:U,9+$E$2,FALSE),"")</f>
        <v/>
      </c>
      <c r="AS210" s="71">
        <f>IF(OR(AQ210="",AR210=""),"",IFERROR(AQ210-AR210,""))</f>
        <v/>
      </c>
    </row>
    <row r="211" ht="14.25" customHeight="1">
      <c r="A211" s="58" t="n">
        <v>35025060</v>
      </c>
      <c r="B211" s="59" t="inlineStr">
        <is>
          <t>La Bolsa</t>
        </is>
      </c>
      <c r="C211" s="59" t="inlineStr">
        <is>
          <t>Area Operativa 11 - Cundinamarca-Amazonas</t>
        </is>
      </c>
      <c r="D211" s="73" t="n">
        <v>-73.995885</v>
      </c>
      <c r="E211" s="73" t="n">
        <v>4.587059</v>
      </c>
      <c r="F211" s="58" t="n">
        <v>3195</v>
      </c>
      <c r="G211" s="58" t="n">
        <v>25</v>
      </c>
      <c r="H211" s="58" t="n">
        <v>25181</v>
      </c>
      <c r="I211" s="60" t="inlineStr">
        <is>
          <t>Cundinamarca</t>
        </is>
      </c>
      <c r="J211" s="60" t="inlineStr">
        <is>
          <t>Choachí</t>
        </is>
      </c>
      <c r="K211" s="56" t="n">
        <v>8.85</v>
      </c>
      <c r="L211" s="56" t="n">
        <v>8.800000000000001</v>
      </c>
      <c r="M211" s="56" t="n">
        <v>8.5</v>
      </c>
      <c r="N211" s="56" t="n">
        <v>8.199999999999999</v>
      </c>
      <c r="O211" s="56" t="n">
        <v>8.550000000000001</v>
      </c>
      <c r="P211" s="56" t="n">
        <v>8.6</v>
      </c>
      <c r="Q211" s="56" t="n">
        <v>7.800000000000001</v>
      </c>
      <c r="R211" s="56" t="n">
        <v>8.300000000000001</v>
      </c>
      <c r="S211" s="56" t="n">
        <v>8</v>
      </c>
      <c r="T211" s="56" t="n">
        <v>7.9</v>
      </c>
      <c r="U211" s="56" t="n">
        <v>8.65</v>
      </c>
      <c r="V211" s="56" t="n">
        <v>9</v>
      </c>
      <c r="W211" s="56" t="n">
        <v>8.699999999999999</v>
      </c>
      <c r="X211" s="56" t="n">
        <v>8.85</v>
      </c>
      <c r="Y211" s="56" t="n">
        <v>9.1</v>
      </c>
      <c r="Z211" s="56" t="n">
        <v>8.449999999999999</v>
      </c>
      <c r="AA211" s="56" t="n">
        <v>8.800000000000001</v>
      </c>
      <c r="AB211" s="56" t="n">
        <v>8.1</v>
      </c>
      <c r="AC211" s="56" t="n">
        <v>8.850000000000001</v>
      </c>
      <c r="AD211" s="56" t="n">
        <v>9.050000000000001</v>
      </c>
      <c r="AE211" s="56" t="n">
        <v>8.9</v>
      </c>
      <c r="AF211" s="56" t="n">
        <v>9.899999999999999</v>
      </c>
      <c r="AG211" s="56" t="n">
        <v>9.550000000000001</v>
      </c>
      <c r="AH211" s="56" t="n">
        <v>9.300000000000001</v>
      </c>
      <c r="AI211" s="56" t="n">
        <v>9.5</v>
      </c>
      <c r="AJ211" s="56" t="n">
        <v>9.300000000000001</v>
      </c>
      <c r="AK211" s="56" t="n">
        <v>9.149999999999999</v>
      </c>
      <c r="AL211" s="56" t="n"/>
      <c r="AM211" s="56" t="n"/>
      <c r="AN211" s="56" t="n"/>
      <c r="AO211" s="56" t="n"/>
      <c r="AP211" s="58">
        <f>COUNTIF(K211:AO211,"&gt;0")</f>
        <v/>
      </c>
      <c r="AQ211" s="71">
        <f>IF(AP211&gt;14,AVERAGE(K211:AO211),"")</f>
        <v/>
      </c>
      <c r="AR211" s="71">
        <f>IFERROR(VLOOKUP(A211,Climatologia_TMED!A:U,9+$E$2,FALSE),"")</f>
        <v/>
      </c>
      <c r="AS211" s="71">
        <f>IF(OR(AQ211="",AR211=""),"",IFERROR(AQ211-AR211,""))</f>
        <v/>
      </c>
    </row>
    <row r="212" ht="14.25" customHeight="1">
      <c r="A212" s="58" t="n">
        <v>47075010</v>
      </c>
      <c r="B212" s="59" t="inlineStr">
        <is>
          <t>La Chorrera</t>
        </is>
      </c>
      <c r="C212" s="59" t="inlineStr">
        <is>
          <t>Area Operativa 11 - Cundinamarca-Amazonas</t>
        </is>
      </c>
      <c r="D212" s="73" t="n">
        <v>-72.789583333</v>
      </c>
      <c r="E212" s="73" t="n">
        <v>-1.444611111</v>
      </c>
      <c r="F212" s="58" t="n">
        <v>160</v>
      </c>
      <c r="G212" s="58" t="n">
        <v>91</v>
      </c>
      <c r="H212" s="58" t="n">
        <v>91405</v>
      </c>
      <c r="I212" s="60" t="inlineStr">
        <is>
          <t>Amazonas</t>
        </is>
      </c>
      <c r="J212" s="60" t="inlineStr">
        <is>
          <t>La Chorrera</t>
        </is>
      </c>
      <c r="K212" s="56" t="n">
        <v>28.5</v>
      </c>
      <c r="L212" s="56" t="n">
        <v>28.7</v>
      </c>
      <c r="M212" s="56" t="n">
        <v>28.75</v>
      </c>
      <c r="N212" s="56" t="n">
        <v>29.2</v>
      </c>
      <c r="O212" s="56" t="n">
        <v>29.15</v>
      </c>
      <c r="P212" s="56" t="n">
        <v>29.25</v>
      </c>
      <c r="Q212" s="56" t="n">
        <v>29.15</v>
      </c>
      <c r="R212" s="56" t="n">
        <v>29.3</v>
      </c>
      <c r="S212" s="56" t="n">
        <v>29.35</v>
      </c>
      <c r="T212" s="56" t="n">
        <v>28.6</v>
      </c>
      <c r="U212" s="56" t="n">
        <v>27.95</v>
      </c>
      <c r="V212" s="56" t="n">
        <v>28.55</v>
      </c>
      <c r="W212" s="56" t="n">
        <v>28</v>
      </c>
      <c r="X212" s="56" t="n">
        <v>28.1</v>
      </c>
      <c r="Y212" s="56" t="n">
        <v>25.25</v>
      </c>
      <c r="Z212" s="56" t="n">
        <v>26.7</v>
      </c>
      <c r="AA212" s="56" t="n">
        <v>26.45</v>
      </c>
      <c r="AB212" s="56" t="n">
        <v>26.5</v>
      </c>
      <c r="AC212" s="56" t="n">
        <v>25.6</v>
      </c>
      <c r="AD212" s="56" t="n">
        <v>26.6</v>
      </c>
      <c r="AE212" s="56" t="n">
        <v>28.5</v>
      </c>
      <c r="AF212" s="56" t="n">
        <v>28.6</v>
      </c>
      <c r="AG212" s="56" t="n">
        <v>28.45</v>
      </c>
      <c r="AH212" s="56" t="n">
        <v>28.4</v>
      </c>
      <c r="AI212" s="56" t="n">
        <v>27.25</v>
      </c>
      <c r="AJ212" s="56" t="n">
        <v>28.5</v>
      </c>
      <c r="AK212" s="56" t="n">
        <v>29.1</v>
      </c>
      <c r="AL212" s="56" t="n"/>
      <c r="AM212" s="56" t="n"/>
      <c r="AN212" s="56" t="n"/>
      <c r="AO212" s="56" t="n"/>
      <c r="AP212" s="58">
        <f>COUNTIF(K212:AO212,"&gt;0")</f>
        <v/>
      </c>
      <c r="AQ212" s="71">
        <f>IF(AP212&gt;14,AVERAGE(K212:AO212),"")</f>
        <v/>
      </c>
      <c r="AR212" s="71">
        <f>IFERROR(VLOOKUP(A212,Climatologia_TMED!A:U,9+$E$2,FALSE),"")</f>
        <v/>
      </c>
      <c r="AS212" s="71">
        <f>IF(OR(AQ212="",AR212=""),"",IFERROR(AQ212-AR212,""))</f>
        <v/>
      </c>
    </row>
  </sheetData>
  <conditionalFormatting sqref="K5:AO212">
    <cfRule type="cellIs" priority="5" operator="equal" dxfId="6">
      <formula>""</formula>
    </cfRule>
    <cfRule type="cellIs" priority="142" operator="between" dxfId="5" stopIfTrue="1">
      <formula>40</formula>
      <formula>500</formula>
    </cfRule>
    <cfRule type="cellIs" priority="158" operator="between" dxfId="4" stopIfTrue="1">
      <formula>-9.9</formula>
      <formula>-500</formula>
    </cfRule>
  </conditionalFormatting>
  <conditionalFormatting sqref="U2:U4 W4 Y4 AA4 AC4">
    <cfRule type="cellIs" priority="8912" operator="equal" dxfId="3" stopIfTrue="1">
      <formula>1</formula>
    </cfRule>
  </conditionalFormatting>
  <conditionalFormatting sqref="AP5:AP212">
    <cfRule type="cellIs" priority="6" operator="lessThan" dxfId="2">
      <formula>14</formula>
    </cfRule>
  </conditionalFormatting>
  <conditionalFormatting sqref="AR1">
    <cfRule type="cellIs" priority="13606" operator="between" dxfId="1" stopIfTrue="1">
      <formula>0.1</formula>
      <formula>10</formula>
    </cfRule>
    <cfRule type="cellIs" priority="13607" operator="greaterThan" dxfId="0" stopIfTrue="1">
      <formula>"0.1"</formula>
    </cfRule>
  </conditionalFormatting>
  <pageMargins left="1.43" right="0.7480314960629921" top="0.984251968503937" bottom="0.984251968503937" header="0" footer="0"/>
  <pageSetup orientation="landscape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AQ163"/>
  <sheetViews>
    <sheetView topLeftCell="T1" workbookViewId="0">
      <selection activeCell="T1" sqref="T1"/>
    </sheetView>
  </sheetViews>
  <sheetFormatPr baseColWidth="10" defaultRowHeight="12.75"/>
  <sheetData>
    <row r="1">
      <c r="A1" t="inlineStr">
        <is>
          <t>Código</t>
        </is>
      </c>
      <c r="B1" t="inlineStr">
        <is>
          <t>Nombre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Área Operativa</t>
        </is>
      </c>
      <c r="F1" t="inlineStr">
        <is>
          <t>Etiqueta</t>
        </is>
      </c>
      <c r="G1" t="inlineStr">
        <is>
          <t>Latitud</t>
        </is>
      </c>
      <c r="H1" t="inlineStr">
        <is>
          <t>Longitud</t>
        </is>
      </c>
      <c r="I1" t="inlineStr">
        <is>
          <t>Altitud</t>
        </is>
      </c>
      <c r="J1" t="inlineStr">
        <is>
          <t>01</t>
        </is>
      </c>
      <c r="K1" t="inlineStr">
        <is>
          <t>02</t>
        </is>
      </c>
      <c r="L1" t="inlineStr">
        <is>
          <t>03</t>
        </is>
      </c>
      <c r="M1" t="inlineStr">
        <is>
          <t>04</t>
        </is>
      </c>
      <c r="N1" t="inlineStr">
        <is>
          <t>05</t>
        </is>
      </c>
      <c r="O1" t="inlineStr">
        <is>
          <t>06</t>
        </is>
      </c>
      <c r="P1" t="inlineStr">
        <is>
          <t>07</t>
        </is>
      </c>
      <c r="Q1" t="inlineStr">
        <is>
          <t>08</t>
        </is>
      </c>
      <c r="R1" t="inlineStr">
        <is>
          <t>09</t>
        </is>
      </c>
      <c r="S1" t="inlineStr">
        <is>
          <t>10</t>
        </is>
      </c>
      <c r="T1" t="inlineStr">
        <is>
          <t>11</t>
        </is>
      </c>
      <c r="U1" t="inlineStr">
        <is>
          <t>12</t>
        </is>
      </c>
      <c r="V1" t="inlineStr">
        <is>
          <t>13</t>
        </is>
      </c>
      <c r="W1" t="inlineStr">
        <is>
          <t>14</t>
        </is>
      </c>
      <c r="X1" t="inlineStr">
        <is>
          <t>15</t>
        </is>
      </c>
      <c r="Y1" t="inlineStr">
        <is>
          <t>16</t>
        </is>
      </c>
      <c r="Z1" t="inlineStr">
        <is>
          <t>17</t>
        </is>
      </c>
      <c r="AA1" t="inlineStr">
        <is>
          <t>18</t>
        </is>
      </c>
      <c r="AB1" t="inlineStr">
        <is>
          <t>19</t>
        </is>
      </c>
      <c r="AC1" t="inlineStr">
        <is>
          <t>20</t>
        </is>
      </c>
      <c r="AD1" t="inlineStr">
        <is>
          <t>21</t>
        </is>
      </c>
      <c r="AE1" t="inlineStr">
        <is>
          <t>22</t>
        </is>
      </c>
      <c r="AF1" t="inlineStr">
        <is>
          <t>23</t>
        </is>
      </c>
      <c r="AG1" t="inlineStr">
        <is>
          <t>24</t>
        </is>
      </c>
      <c r="AH1" t="inlineStr">
        <is>
          <t>25</t>
        </is>
      </c>
      <c r="AI1" t="inlineStr">
        <is>
          <t>26</t>
        </is>
      </c>
      <c r="AJ1" t="inlineStr">
        <is>
          <t>27</t>
        </is>
      </c>
      <c r="AK1" t="inlineStr">
        <is>
          <t>28</t>
        </is>
      </c>
      <c r="AL1" t="inlineStr">
        <is>
          <t>29</t>
        </is>
      </c>
      <c r="AM1" t="inlineStr">
        <is>
          <t>30</t>
        </is>
      </c>
      <c r="AN1" t="inlineStr">
        <is>
          <t>31</t>
        </is>
      </c>
      <c r="AO1" t="inlineStr">
        <is>
          <t>PROM TMED 1981-2010</t>
        </is>
      </c>
      <c r="AP1" t="inlineStr">
        <is>
          <t>PROM MES</t>
        </is>
      </c>
      <c r="AQ1" t="inlineStr">
        <is>
          <t>ANOM MES</t>
        </is>
      </c>
    </row>
    <row r="2">
      <c r="A2" t="n">
        <v>51025090</v>
      </c>
      <c r="B2" t="inlineStr">
        <is>
          <t>GRANJA EL MIRA - - AUT [51025090]</t>
        </is>
      </c>
      <c r="C2" t="inlineStr">
        <is>
          <t>Nariño</t>
        </is>
      </c>
      <c r="D2" t="inlineStr">
        <is>
          <t>Tumaco</t>
        </is>
      </c>
      <c r="E2" t="inlineStr">
        <is>
          <t>Area Operativa 07 - Nariño-Putumayo</t>
        </is>
      </c>
      <c r="F2" t="inlineStr">
        <is>
          <t>TSSM_MEDIA_D</t>
        </is>
      </c>
      <c r="G2" t="inlineStr">
        <is>
          <t>1.550194444</t>
        </is>
      </c>
      <c r="H2" t="inlineStr">
        <is>
          <t>-78.69558333</t>
        </is>
      </c>
      <c r="I2" t="inlineStr">
        <is>
          <t>16</t>
        </is>
      </c>
      <c r="J2" t="n">
        <v>26.86666666666666</v>
      </c>
      <c r="K2" t="n">
        <v>26.16666666666667</v>
      </c>
      <c r="L2" t="n">
        <v>26.06666666666667</v>
      </c>
      <c r="M2" t="n">
        <v>25.03333333333333</v>
      </c>
      <c r="N2" t="n">
        <v>26.63333333333334</v>
      </c>
      <c r="O2" t="n">
        <v>26.6</v>
      </c>
      <c r="P2" t="n">
        <v>26.46666666666667</v>
      </c>
      <c r="Q2" t="n">
        <v>27.06666666666666</v>
      </c>
      <c r="R2" t="n">
        <v>26.73333333333333</v>
      </c>
      <c r="S2" t="n">
        <v>26.96666666666667</v>
      </c>
      <c r="T2" t="n">
        <v>26.46666666666667</v>
      </c>
      <c r="U2" t="n">
        <v>26.66666666666667</v>
      </c>
      <c r="V2" t="n">
        <v>26.23333333333333</v>
      </c>
      <c r="W2" t="n">
        <v>26.26666666666667</v>
      </c>
      <c r="X2" t="n">
        <v>25.66666666666667</v>
      </c>
      <c r="Y2" t="n">
        <v>26.83333333333333</v>
      </c>
      <c r="Z2" t="n">
        <v>27.33333333333333</v>
      </c>
      <c r="AA2" t="n">
        <v>26.63333333333333</v>
      </c>
      <c r="AB2" t="n">
        <v>27.06666666666667</v>
      </c>
      <c r="AC2" t="n">
        <v>27.6</v>
      </c>
      <c r="AD2" t="n">
        <v>27.43333333333333</v>
      </c>
      <c r="AE2" t="n">
        <v>24.8</v>
      </c>
      <c r="AF2" t="n">
        <v>26.53333333333333</v>
      </c>
      <c r="AG2" t="n">
        <v>27.2</v>
      </c>
      <c r="AH2" t="n">
        <v>26.9</v>
      </c>
      <c r="AI2" t="n">
        <v>25.83333333333333</v>
      </c>
      <c r="AJ2" t="n">
        <v>26.8</v>
      </c>
      <c r="AK2" t="n">
        <v>27.2</v>
      </c>
      <c r="AL2" t="n">
        <v>26.36666666666666</v>
      </c>
      <c r="AM2" t="n">
        <v>26.7</v>
      </c>
      <c r="AN2" t="n">
        <v>26.3</v>
      </c>
      <c r="AP2" t="n">
        <v>26.56236559139785</v>
      </c>
    </row>
    <row r="3">
      <c r="A3" t="n">
        <v>52055210</v>
      </c>
      <c r="B3" t="inlineStr">
        <is>
          <t>BOTANA - AUT [52055210]</t>
        </is>
      </c>
      <c r="C3" t="inlineStr">
        <is>
          <t>Nariño</t>
        </is>
      </c>
      <c r="D3" t="inlineStr">
        <is>
          <t>Pasto</t>
        </is>
      </c>
      <c r="E3" t="inlineStr">
        <is>
          <t>Area Operativa 07 - Nariño-Putumayo</t>
        </is>
      </c>
      <c r="F3" t="inlineStr">
        <is>
          <t>TSSM_MEDIA_D</t>
        </is>
      </c>
      <c r="G3" t="inlineStr">
        <is>
          <t>1.16</t>
        </is>
      </c>
      <c r="H3" t="inlineStr">
        <is>
          <t>-77.27880556</t>
        </is>
      </c>
      <c r="I3" t="inlineStr">
        <is>
          <t>2820</t>
        </is>
      </c>
      <c r="J3" t="n">
        <v>13.73333333333333</v>
      </c>
      <c r="K3" t="n">
        <v>14</v>
      </c>
      <c r="L3" t="n">
        <v>14.66666666666667</v>
      </c>
      <c r="M3" t="n">
        <v>14.13333333333333</v>
      </c>
      <c r="N3" t="n">
        <v>12.6</v>
      </c>
      <c r="O3" t="n">
        <v>13.93333333333333</v>
      </c>
      <c r="P3" t="n">
        <v>14.46666666666667</v>
      </c>
      <c r="Q3" t="n">
        <v>11.86666666666667</v>
      </c>
      <c r="R3" t="n">
        <v>13.66666666666667</v>
      </c>
      <c r="S3" t="n">
        <v>14.46666666666667</v>
      </c>
      <c r="T3" t="n">
        <v>12.86666666666667</v>
      </c>
      <c r="U3" t="n">
        <v>12.53333333333333</v>
      </c>
      <c r="V3" t="n">
        <v>13.6</v>
      </c>
      <c r="W3" t="n">
        <v>13.2</v>
      </c>
      <c r="X3" t="n">
        <v>13.06666666666667</v>
      </c>
      <c r="Y3" t="n">
        <v>13.26666666666667</v>
      </c>
      <c r="Z3" t="n">
        <v>13.93333333333333</v>
      </c>
      <c r="AA3" t="n">
        <v>13.73333333333333</v>
      </c>
      <c r="AB3" t="n">
        <v>15.8</v>
      </c>
      <c r="AC3" t="n">
        <v>13.86666666666667</v>
      </c>
      <c r="AD3" t="n">
        <v>14.53333333333333</v>
      </c>
      <c r="AE3" t="n">
        <v>12.26666666666667</v>
      </c>
      <c r="AF3" t="n">
        <v>13.2</v>
      </c>
      <c r="AG3" t="n">
        <v>13.6</v>
      </c>
      <c r="AH3" t="n">
        <v>13.8</v>
      </c>
      <c r="AI3" t="n">
        <v>13.46666666666667</v>
      </c>
      <c r="AJ3" t="n">
        <v>13.13333333333333</v>
      </c>
      <c r="AK3" t="n">
        <v>13.06666666666667</v>
      </c>
      <c r="AL3" t="n">
        <v>13.4</v>
      </c>
      <c r="AM3" t="n">
        <v>13.13333333333333</v>
      </c>
      <c r="AN3" t="n">
        <v>14.06666666666667</v>
      </c>
      <c r="AP3" t="n">
        <v>13.58279569892473</v>
      </c>
    </row>
    <row r="4">
      <c r="A4" t="n">
        <v>53045040</v>
      </c>
      <c r="B4" t="inlineStr">
        <is>
          <t>AEROPUERTO GUAPI - AUT [53045040]</t>
        </is>
      </c>
      <c r="C4" t="inlineStr">
        <is>
          <t>Cauca</t>
        </is>
      </c>
      <c r="D4" t="inlineStr">
        <is>
          <t>Guapi</t>
        </is>
      </c>
      <c r="E4" t="inlineStr">
        <is>
          <t>Area Operativa 07 - Nariño-Putumayo</t>
        </is>
      </c>
      <c r="F4" t="inlineStr">
        <is>
          <t>TSSM_MEDIA_D</t>
        </is>
      </c>
      <c r="G4" t="inlineStr">
        <is>
          <t>2.574416667</t>
        </is>
      </c>
      <c r="H4" t="inlineStr">
        <is>
          <t>-77.89475</t>
        </is>
      </c>
      <c r="I4" t="inlineStr">
        <is>
          <t>42</t>
        </is>
      </c>
      <c r="J4" t="n">
        <v>26.33333333333333</v>
      </c>
      <c r="K4" t="n">
        <v>24.8</v>
      </c>
      <c r="L4" t="n">
        <v>26.73333333333333</v>
      </c>
      <c r="M4" t="n">
        <v>26.33333333333333</v>
      </c>
      <c r="N4" t="n">
        <v>25.33333333333333</v>
      </c>
      <c r="O4" t="n">
        <v>25.33333333333333</v>
      </c>
      <c r="P4" t="n">
        <v>25.46666666666667</v>
      </c>
      <c r="R4" t="n">
        <v>26.66666666666667</v>
      </c>
      <c r="S4" t="n">
        <v>26.33333333333333</v>
      </c>
      <c r="T4" t="n">
        <v>24.6</v>
      </c>
      <c r="U4" t="n">
        <v>25.66666666666667</v>
      </c>
      <c r="V4" t="n">
        <v>25.6</v>
      </c>
      <c r="W4" t="n">
        <v>25.73333333333333</v>
      </c>
      <c r="X4" t="n">
        <v>25</v>
      </c>
      <c r="Y4" t="n">
        <v>25.8</v>
      </c>
      <c r="Z4" t="n">
        <v>26.26666666666667</v>
      </c>
      <c r="AA4" t="n">
        <v>27.26666666666667</v>
      </c>
      <c r="AB4" t="n">
        <v>24.86666666666666</v>
      </c>
      <c r="AC4" t="n">
        <v>26.33333333333333</v>
      </c>
      <c r="AD4" t="n">
        <v>25.6</v>
      </c>
      <c r="AE4" t="n">
        <v>24</v>
      </c>
      <c r="AF4" t="n">
        <v>26.43333333333333</v>
      </c>
      <c r="AG4" t="n">
        <v>26.76666666666667</v>
      </c>
      <c r="AH4" t="n">
        <v>26.66666666666667</v>
      </c>
      <c r="AI4" t="n">
        <v>25.86666666666666</v>
      </c>
      <c r="AJ4" t="n">
        <v>26.8</v>
      </c>
      <c r="AK4" t="n">
        <v>26.4</v>
      </c>
      <c r="AL4" t="n">
        <v>25.4</v>
      </c>
      <c r="AM4" t="n">
        <v>25.8</v>
      </c>
      <c r="AN4" t="n">
        <v>26.46666666666667</v>
      </c>
      <c r="AP4" t="n">
        <v>25.88888888888888</v>
      </c>
    </row>
    <row r="5">
      <c r="A5" t="n">
        <v>35025110</v>
      </c>
      <c r="B5" t="inlineStr">
        <is>
          <t>LA LIBERTAD - AUT [35025110]</t>
        </is>
      </c>
      <c r="C5" t="inlineStr">
        <is>
          <t>Meta</t>
        </is>
      </c>
      <c r="D5" t="inlineStr">
        <is>
          <t>Villavicencio</t>
        </is>
      </c>
      <c r="E5" t="inlineStr">
        <is>
          <t>Area Operativa 03 - Meta-Guaviare-Guainía</t>
        </is>
      </c>
      <c r="F5" t="inlineStr">
        <is>
          <t>TSSM_MEDIA_D</t>
        </is>
      </c>
      <c r="G5" t="inlineStr">
        <is>
          <t>4.057415</t>
        </is>
      </c>
      <c r="H5" t="inlineStr">
        <is>
          <t>-73.467865</t>
        </is>
      </c>
      <c r="I5" t="inlineStr">
        <is>
          <t>340</t>
        </is>
      </c>
      <c r="L5" t="n">
        <v>25.7</v>
      </c>
      <c r="M5" t="n">
        <v>28.25</v>
      </c>
      <c r="N5" t="n">
        <v>25.75</v>
      </c>
      <c r="O5" t="n">
        <v>23.4</v>
      </c>
      <c r="P5" t="n">
        <v>25.05</v>
      </c>
      <c r="Q5" t="n">
        <v>27.9</v>
      </c>
      <c r="R5" t="n">
        <v>27.35</v>
      </c>
      <c r="S5" t="n">
        <v>26.6</v>
      </c>
      <c r="T5" t="n">
        <v>26.3</v>
      </c>
      <c r="U5" t="n">
        <v>26.7</v>
      </c>
      <c r="V5" t="n">
        <v>24.1</v>
      </c>
      <c r="W5" t="n">
        <v>25.45</v>
      </c>
      <c r="X5" t="n">
        <v>25.5</v>
      </c>
      <c r="Y5" t="n">
        <v>25.45</v>
      </c>
      <c r="Z5" t="n">
        <v>27.1</v>
      </c>
      <c r="AA5" t="n">
        <v>27</v>
      </c>
      <c r="AB5" t="n">
        <v>27.75</v>
      </c>
      <c r="AC5" t="n">
        <v>28.2</v>
      </c>
      <c r="AD5" t="n">
        <v>28.1</v>
      </c>
      <c r="AE5" t="n">
        <v>27.05</v>
      </c>
      <c r="AH5" t="n">
        <v>28.5</v>
      </c>
      <c r="AI5" t="n">
        <v>27.15</v>
      </c>
      <c r="AJ5" t="n">
        <v>26.05</v>
      </c>
      <c r="AK5" t="n">
        <v>26.5</v>
      </c>
      <c r="AL5" t="n">
        <v>25.9</v>
      </c>
      <c r="AM5" t="n">
        <v>24.7</v>
      </c>
      <c r="AN5" t="n">
        <v>25.4</v>
      </c>
      <c r="AP5" t="n">
        <v>26.4037037037037</v>
      </c>
    </row>
    <row r="6">
      <c r="A6" t="n">
        <v>31095030</v>
      </c>
      <c r="B6" t="inlineStr">
        <is>
          <t>PUERTO INIRIDA - AUT [31095030]</t>
        </is>
      </c>
      <c r="C6" t="inlineStr">
        <is>
          <t>Guainía</t>
        </is>
      </c>
      <c r="D6" t="inlineStr">
        <is>
          <t>Inírida</t>
        </is>
      </c>
      <c r="E6" t="inlineStr">
        <is>
          <t>Area Operativa 03 - Meta-Guaviare-Guainía</t>
        </is>
      </c>
      <c r="F6" t="inlineStr">
        <is>
          <t>TSSM_MEDIA_D</t>
        </is>
      </c>
      <c r="G6" t="inlineStr">
        <is>
          <t>3.874444</t>
        </is>
      </c>
      <c r="H6" t="inlineStr">
        <is>
          <t>-67.91911111</t>
        </is>
      </c>
      <c r="I6" t="inlineStr">
        <is>
          <t>98</t>
        </is>
      </c>
      <c r="Z6" t="n">
        <v>27.35</v>
      </c>
      <c r="AA6" t="n">
        <v>26.45</v>
      </c>
      <c r="AB6" t="n">
        <v>28.15</v>
      </c>
      <c r="AC6" t="n">
        <v>28.7</v>
      </c>
      <c r="AD6" t="n">
        <v>29</v>
      </c>
      <c r="AE6" t="n">
        <v>26</v>
      </c>
      <c r="AF6" t="n">
        <v>28.35</v>
      </c>
      <c r="AG6" t="n">
        <v>26.05</v>
      </c>
      <c r="AH6" t="n">
        <v>26.1</v>
      </c>
      <c r="AI6" t="n">
        <v>26.5</v>
      </c>
      <c r="AJ6" t="n">
        <v>28.15</v>
      </c>
      <c r="AK6" t="n">
        <v>26.2</v>
      </c>
      <c r="AL6" t="n">
        <v>27</v>
      </c>
      <c r="AM6" t="n">
        <v>25.5</v>
      </c>
      <c r="AN6" t="n">
        <v>27.1</v>
      </c>
      <c r="AP6" t="n">
        <v>27.10666666666667</v>
      </c>
    </row>
    <row r="7">
      <c r="A7" t="n">
        <v>35215020</v>
      </c>
      <c r="B7" t="inlineStr">
        <is>
          <t>AEROPUERTO YOPAL - AUT [35215020]</t>
        </is>
      </c>
      <c r="C7" t="inlineStr">
        <is>
          <t>Casanare</t>
        </is>
      </c>
      <c r="D7" t="inlineStr">
        <is>
          <t>Yopal</t>
        </is>
      </c>
      <c r="E7" t="inlineStr">
        <is>
          <t>Area Operativa 06 - Boyacá-Casanare-Vichada</t>
        </is>
      </c>
      <c r="F7" t="inlineStr">
        <is>
          <t>TSSM_MEDIA_D</t>
        </is>
      </c>
      <c r="G7" t="inlineStr">
        <is>
          <t>5.320444444</t>
        </is>
      </c>
      <c r="H7" t="inlineStr">
        <is>
          <t>-72.3875</t>
        </is>
      </c>
      <c r="I7" t="inlineStr">
        <is>
          <t>325</t>
        </is>
      </c>
      <c r="J7" t="n">
        <v>30.6</v>
      </c>
      <c r="K7" t="n">
        <v>29.06666666666667</v>
      </c>
      <c r="L7" t="n">
        <v>25.73333333333333</v>
      </c>
      <c r="M7" t="n">
        <v>27.53333333333333</v>
      </c>
      <c r="N7" t="n">
        <v>28.4</v>
      </c>
      <c r="O7" t="n">
        <v>27.2</v>
      </c>
      <c r="P7" t="n">
        <v>27.06666666666666</v>
      </c>
      <c r="Q7" t="n">
        <v>28.66666666666667</v>
      </c>
      <c r="R7" t="n">
        <v>28</v>
      </c>
      <c r="S7" t="n">
        <v>29.2</v>
      </c>
      <c r="T7" t="n">
        <v>25.73333333333333</v>
      </c>
      <c r="U7" t="n">
        <v>28.33333333333333</v>
      </c>
      <c r="V7" t="n">
        <v>27.4</v>
      </c>
      <c r="W7" t="n">
        <v>27.53333333333333</v>
      </c>
      <c r="X7" t="n">
        <v>27.26666666666667</v>
      </c>
      <c r="Y7" t="n">
        <v>29.13333333333334</v>
      </c>
      <c r="Z7" t="n">
        <v>29.93333333333334</v>
      </c>
      <c r="AA7" t="n">
        <v>29.46666666666667</v>
      </c>
      <c r="AB7" t="n">
        <v>29.93333333333334</v>
      </c>
      <c r="AC7" t="n">
        <v>29.53333333333333</v>
      </c>
      <c r="AD7" t="n">
        <v>29.46666666666667</v>
      </c>
      <c r="AE7" t="n">
        <v>29.46666666666667</v>
      </c>
      <c r="AF7" t="n">
        <v>30.13333333333334</v>
      </c>
      <c r="AG7" t="n">
        <v>31.13333333333334</v>
      </c>
      <c r="AH7" t="n">
        <v>30.73333333333333</v>
      </c>
      <c r="AI7" t="n">
        <v>29.6</v>
      </c>
      <c r="AJ7" t="n">
        <v>29.06666666666667</v>
      </c>
      <c r="AK7" t="n">
        <v>29.6</v>
      </c>
      <c r="AL7" t="n">
        <v>30.13333333333334</v>
      </c>
      <c r="AM7" t="n">
        <v>26.86666666666666</v>
      </c>
      <c r="AN7" t="n">
        <v>27.2</v>
      </c>
      <c r="AP7" t="n">
        <v>28.68172043010753</v>
      </c>
    </row>
    <row r="8">
      <c r="A8" t="n">
        <v>24035430</v>
      </c>
      <c r="B8" t="inlineStr">
        <is>
          <t>TUNGUAVITA - AUT [24035430]</t>
        </is>
      </c>
      <c r="C8" t="inlineStr">
        <is>
          <t>Boyacá</t>
        </is>
      </c>
      <c r="D8" t="inlineStr">
        <is>
          <t>Paipa</t>
        </is>
      </c>
      <c r="E8" t="inlineStr">
        <is>
          <t>Area Operativa 06 - Boyacá-Casanare-Vichada</t>
        </is>
      </c>
      <c r="F8" t="inlineStr">
        <is>
          <t>TSSM_MEDIA_D</t>
        </is>
      </c>
      <c r="G8" t="inlineStr">
        <is>
          <t>5.74583</t>
        </is>
      </c>
      <c r="H8" t="inlineStr">
        <is>
          <t>-73.11636</t>
        </is>
      </c>
      <c r="I8" t="inlineStr">
        <is>
          <t>2521</t>
        </is>
      </c>
      <c r="J8" t="n">
        <v>15.25</v>
      </c>
      <c r="K8" t="n">
        <v>14.85</v>
      </c>
      <c r="L8" t="n">
        <v>13.9</v>
      </c>
      <c r="M8" t="n">
        <v>14.65</v>
      </c>
      <c r="N8" t="n">
        <v>13.3</v>
      </c>
      <c r="O8" t="n">
        <v>14.6</v>
      </c>
      <c r="P8" t="n">
        <v>13.95</v>
      </c>
      <c r="Q8" t="n">
        <v>13.65</v>
      </c>
      <c r="R8" t="n">
        <v>15.1</v>
      </c>
      <c r="S8" t="n">
        <v>14.35</v>
      </c>
      <c r="T8" t="n">
        <v>14.35</v>
      </c>
      <c r="U8" t="n">
        <v>14.3</v>
      </c>
      <c r="V8" t="n">
        <v>15.6</v>
      </c>
      <c r="W8" t="n">
        <v>14.4</v>
      </c>
      <c r="X8" t="n">
        <v>15.45</v>
      </c>
      <c r="Y8" t="n">
        <v>16.05</v>
      </c>
      <c r="Z8" t="n">
        <v>12.7</v>
      </c>
      <c r="AA8" t="n">
        <v>13.35</v>
      </c>
      <c r="AB8" t="n">
        <v>15.3</v>
      </c>
      <c r="AC8" t="n">
        <v>15.9</v>
      </c>
      <c r="AD8" t="n">
        <v>17.05</v>
      </c>
      <c r="AE8" t="n">
        <v>15.8</v>
      </c>
      <c r="AF8" t="n">
        <v>14.55</v>
      </c>
      <c r="AG8" t="n">
        <v>16.35</v>
      </c>
      <c r="AH8" t="n">
        <v>15.7</v>
      </c>
      <c r="AI8" t="n">
        <v>14.15</v>
      </c>
      <c r="AJ8" t="n">
        <v>13.575</v>
      </c>
      <c r="AK8" t="n">
        <v>15.3</v>
      </c>
      <c r="AL8" t="n">
        <v>15.7</v>
      </c>
      <c r="AM8" t="n">
        <v>15.3</v>
      </c>
      <c r="AN8" t="n">
        <v>15.15</v>
      </c>
      <c r="AP8" t="n">
        <v>14.82661290322581</v>
      </c>
    </row>
    <row r="9">
      <c r="A9" t="n">
        <v>25025002</v>
      </c>
      <c r="B9" t="inlineStr">
        <is>
          <t>LOS ALAMOS - AUT [25025002]</t>
        </is>
      </c>
      <c r="C9" t="inlineStr">
        <is>
          <t>Magdalena</t>
        </is>
      </c>
      <c r="D9" t="inlineStr">
        <is>
          <t>San Sebastián De Buenavista</t>
        </is>
      </c>
      <c r="E9" t="inlineStr">
        <is>
          <t>Area Operativa 05 - Magdalena-Cesar-Guajira-San Andrés</t>
        </is>
      </c>
      <c r="F9" t="inlineStr">
        <is>
          <t>TSSM_MEDIA_D</t>
        </is>
      </c>
      <c r="G9" t="inlineStr">
        <is>
          <t>9.304055556</t>
        </is>
      </c>
      <c r="H9" t="inlineStr">
        <is>
          <t>-74.27363889</t>
        </is>
      </c>
      <c r="I9" t="inlineStr">
        <is>
          <t>25</t>
        </is>
      </c>
      <c r="K9" t="n">
        <v>27.65</v>
      </c>
      <c r="L9" t="n">
        <v>27.45</v>
      </c>
      <c r="M9" t="n">
        <v>27.9</v>
      </c>
      <c r="N9" t="n">
        <v>26.8</v>
      </c>
      <c r="O9" t="n">
        <v>27.4</v>
      </c>
      <c r="P9" t="n">
        <v>27.8</v>
      </c>
      <c r="Q9" t="n">
        <v>28.95</v>
      </c>
      <c r="R9" t="n">
        <v>28.45</v>
      </c>
      <c r="S9" t="n">
        <v>27.95</v>
      </c>
      <c r="T9" t="n">
        <v>27.9</v>
      </c>
      <c r="U9" t="n">
        <v>27.75</v>
      </c>
      <c r="V9" t="n">
        <v>28.1</v>
      </c>
      <c r="W9" t="n">
        <v>27.55</v>
      </c>
      <c r="X9" t="n">
        <v>26.45</v>
      </c>
      <c r="Y9" t="n">
        <v>28.65</v>
      </c>
      <c r="Z9" t="n">
        <v>28.1</v>
      </c>
      <c r="AA9" t="n">
        <v>28.85</v>
      </c>
      <c r="AB9" t="n">
        <v>28.7</v>
      </c>
      <c r="AC9" t="n">
        <v>29.1</v>
      </c>
      <c r="AD9" t="n">
        <v>28</v>
      </c>
      <c r="AE9" t="n">
        <v>28.4</v>
      </c>
      <c r="AF9" t="n">
        <v>26.2</v>
      </c>
      <c r="AG9" t="n">
        <v>28.25</v>
      </c>
      <c r="AH9" t="n">
        <v>28.45</v>
      </c>
      <c r="AI9" t="n">
        <v>28.35</v>
      </c>
      <c r="AJ9" t="n">
        <v>28.95</v>
      </c>
      <c r="AK9" t="n">
        <v>26.5</v>
      </c>
      <c r="AL9" t="n">
        <v>28.5</v>
      </c>
      <c r="AM9" t="n">
        <v>29.05</v>
      </c>
      <c r="AN9" t="n">
        <v>29.05</v>
      </c>
      <c r="AP9" t="n">
        <v>28.04</v>
      </c>
    </row>
    <row r="10">
      <c r="A10" t="n">
        <v>29015000</v>
      </c>
      <c r="B10" t="inlineStr">
        <is>
          <t>EL GUAMO - AUT [29015000]</t>
        </is>
      </c>
      <c r="C10" t="inlineStr">
        <is>
          <t>Bolivar</t>
        </is>
      </c>
      <c r="D10" t="inlineStr">
        <is>
          <t>El Guamo</t>
        </is>
      </c>
      <c r="E10" t="inlineStr">
        <is>
          <t>Area Operativa 02 - Atlántico-Bolivar-Sucre</t>
        </is>
      </c>
      <c r="F10" t="inlineStr">
        <is>
          <t>TSSM_MEDIA_D</t>
        </is>
      </c>
      <c r="G10" t="inlineStr">
        <is>
          <t>10.034607</t>
        </is>
      </c>
      <c r="H10" t="inlineStr">
        <is>
          <t>-74.976638</t>
        </is>
      </c>
      <c r="I10" t="inlineStr">
        <is>
          <t>75</t>
        </is>
      </c>
      <c r="J10" t="n">
        <v>30.25</v>
      </c>
      <c r="K10" t="n">
        <v>28.6</v>
      </c>
      <c r="L10" t="n">
        <v>28.3</v>
      </c>
      <c r="M10" t="n">
        <v>28.35</v>
      </c>
      <c r="N10" t="n">
        <v>28.15</v>
      </c>
      <c r="O10" t="n">
        <v>28.05</v>
      </c>
      <c r="P10" t="n">
        <v>28.7</v>
      </c>
      <c r="Q10" t="n">
        <v>27.25</v>
      </c>
      <c r="R10" t="n">
        <v>29.8</v>
      </c>
      <c r="S10" t="n">
        <v>29.2</v>
      </c>
      <c r="T10" t="n">
        <v>29</v>
      </c>
      <c r="U10" t="n">
        <v>28.25</v>
      </c>
      <c r="V10" t="n">
        <v>28.35</v>
      </c>
      <c r="W10" t="n">
        <v>27.7</v>
      </c>
      <c r="X10" t="n">
        <v>28.3</v>
      </c>
      <c r="AC10" t="n">
        <v>29.4</v>
      </c>
      <c r="AD10" t="n">
        <v>29.6</v>
      </c>
      <c r="AE10" t="n">
        <v>29.2</v>
      </c>
      <c r="AF10" t="n">
        <v>27.8</v>
      </c>
      <c r="AG10" t="n">
        <v>27.75</v>
      </c>
      <c r="AH10" t="n">
        <v>29.3</v>
      </c>
      <c r="AI10" t="n">
        <v>30.8</v>
      </c>
      <c r="AJ10" t="n">
        <v>27.7</v>
      </c>
      <c r="AK10" t="n">
        <v>27.15</v>
      </c>
      <c r="AL10" t="n">
        <v>28.05</v>
      </c>
      <c r="AM10" t="n">
        <v>27.6</v>
      </c>
      <c r="AN10" t="n">
        <v>28.45</v>
      </c>
      <c r="AP10" t="n">
        <v>28.55740740740741</v>
      </c>
    </row>
    <row r="11">
      <c r="A11" t="n">
        <v>35235050</v>
      </c>
      <c r="B11" t="inlineStr">
        <is>
          <t>TAMARA - AUT [35235050]</t>
        </is>
      </c>
      <c r="C11" t="inlineStr">
        <is>
          <t>Casanare</t>
        </is>
      </c>
      <c r="D11" t="inlineStr">
        <is>
          <t>Támara</t>
        </is>
      </c>
      <c r="E11" t="inlineStr">
        <is>
          <t>Area Operativa 06 - Boyacá-Casanare-Vichada</t>
        </is>
      </c>
      <c r="F11" t="inlineStr">
        <is>
          <t>TSSM_MEDIA_D</t>
        </is>
      </c>
      <c r="G11" t="inlineStr">
        <is>
          <t>5.818583333</t>
        </is>
      </c>
      <c r="H11" t="inlineStr">
        <is>
          <t>-72.16677778</t>
        </is>
      </c>
      <c r="I11" t="inlineStr">
        <is>
          <t>117</t>
        </is>
      </c>
      <c r="J11" t="n">
        <v>24.53333333333333</v>
      </c>
      <c r="K11" t="n">
        <v>24.06666666666666</v>
      </c>
      <c r="L11" t="n">
        <v>23.73333333333333</v>
      </c>
      <c r="M11" t="n">
        <v>24.73333333333333</v>
      </c>
      <c r="N11" t="n">
        <v>23.66666666666667</v>
      </c>
      <c r="O11" t="n">
        <v>23</v>
      </c>
      <c r="P11" t="n">
        <v>23.4</v>
      </c>
      <c r="Q11" t="n">
        <v>23.93333333333334</v>
      </c>
      <c r="R11" t="n">
        <v>24.13333333333334</v>
      </c>
      <c r="S11" t="n">
        <v>23.66666666666667</v>
      </c>
      <c r="U11" t="n">
        <v>23.66666666666667</v>
      </c>
      <c r="X11" t="n">
        <v>22.76666666666667</v>
      </c>
      <c r="Y11" t="n">
        <v>23.93333333333333</v>
      </c>
      <c r="Z11" t="n">
        <v>23.73333333333333</v>
      </c>
      <c r="AA11" t="n">
        <v>24.13333333333334</v>
      </c>
      <c r="AB11" t="n">
        <v>24.93333333333333</v>
      </c>
      <c r="AC11" t="n">
        <v>23.73333333333333</v>
      </c>
      <c r="AD11" t="n">
        <v>23.93333333333333</v>
      </c>
      <c r="AE11" t="n">
        <v>23.13333333333334</v>
      </c>
      <c r="AF11" t="n">
        <v>24.26666666666667</v>
      </c>
      <c r="AL11" t="n">
        <v>23.73333333333333</v>
      </c>
      <c r="AM11" t="n">
        <v>23.33333333333333</v>
      </c>
      <c r="AN11" t="n">
        <v>23.73333333333333</v>
      </c>
      <c r="AP11" t="n">
        <v>23.82173913043479</v>
      </c>
    </row>
    <row r="12">
      <c r="A12" t="n">
        <v>35075040</v>
      </c>
      <c r="B12" t="inlineStr">
        <is>
          <t>INSTITUCION AGRICOLA MACANAL [35075040]</t>
        </is>
      </c>
      <c r="C12" t="inlineStr">
        <is>
          <t>Boyacá</t>
        </is>
      </c>
      <c r="D12" t="inlineStr">
        <is>
          <t>Macanal</t>
        </is>
      </c>
      <c r="E12" t="inlineStr">
        <is>
          <t>Area Operativa 06 - Boyacá-Casanare-Vichada</t>
        </is>
      </c>
      <c r="F12" t="inlineStr">
        <is>
          <t>TSSM_MEDIA_D</t>
        </is>
      </c>
      <c r="G12" t="inlineStr">
        <is>
          <t>4.974361111</t>
        </is>
      </c>
      <c r="H12" t="inlineStr">
        <is>
          <t>-73.31675</t>
        </is>
      </c>
      <c r="I12" t="inlineStr">
        <is>
          <t>1300</t>
        </is>
      </c>
      <c r="J12" t="n">
        <v>18.33333333333333</v>
      </c>
      <c r="K12" t="n">
        <v>18.13333333333334</v>
      </c>
      <c r="L12" t="n">
        <v>17.4</v>
      </c>
      <c r="M12" t="n">
        <v>18.93333333333333</v>
      </c>
      <c r="N12" t="n">
        <v>17.86666666666667</v>
      </c>
      <c r="O12" t="n">
        <v>17.53333333333333</v>
      </c>
      <c r="P12" t="n">
        <v>17.06666666666667</v>
      </c>
      <c r="Q12" t="n">
        <v>17.46666666666667</v>
      </c>
      <c r="R12" t="n">
        <v>18.46666666666667</v>
      </c>
      <c r="S12" t="n">
        <v>18.06666666666667</v>
      </c>
      <c r="T12" t="n">
        <v>16.86666666666667</v>
      </c>
      <c r="U12" t="n">
        <v>17.73333333333333</v>
      </c>
      <c r="V12" t="n">
        <v>17.53333333333333</v>
      </c>
      <c r="W12" t="n">
        <v>17.06666666666667</v>
      </c>
      <c r="X12" t="n">
        <v>17.73333333333333</v>
      </c>
      <c r="Y12" t="n">
        <v>18.86666666666666</v>
      </c>
      <c r="Z12" t="n">
        <v>19.46666666666667</v>
      </c>
      <c r="AA12" t="n">
        <v>18.73333333333333</v>
      </c>
      <c r="AB12" t="n">
        <v>18.13333333333333</v>
      </c>
      <c r="AC12" t="n">
        <v>19.53333333333333</v>
      </c>
      <c r="AD12" t="n">
        <v>18.93333333333333</v>
      </c>
      <c r="AE12" t="n">
        <v>18.2</v>
      </c>
      <c r="AF12" t="n">
        <v>19.13333333333333</v>
      </c>
      <c r="AG12" t="n">
        <v>18.46666666666667</v>
      </c>
      <c r="AH12" t="n">
        <v>19.2</v>
      </c>
      <c r="AI12" t="n">
        <v>18.6</v>
      </c>
      <c r="AJ12" t="n">
        <v>19.6</v>
      </c>
      <c r="AK12" t="n">
        <v>18.86666666666667</v>
      </c>
      <c r="AL12" t="n">
        <v>17.93333333333333</v>
      </c>
      <c r="AM12" t="n">
        <v>17.66666666666667</v>
      </c>
      <c r="AN12" t="n">
        <v>18.26666666666667</v>
      </c>
      <c r="AP12" t="n">
        <v>18.2516129032258</v>
      </c>
    </row>
    <row r="13">
      <c r="A13" t="n">
        <v>23125060</v>
      </c>
      <c r="B13" t="inlineStr">
        <is>
          <t>ALBANIA [23125060]</t>
        </is>
      </c>
      <c r="C13" t="inlineStr">
        <is>
          <t>Santander</t>
        </is>
      </c>
      <c r="D13" t="inlineStr">
        <is>
          <t>Albania</t>
        </is>
      </c>
      <c r="E13" t="inlineStr">
        <is>
          <t>Area Operativa 08 - Santanderes-Arauca</t>
        </is>
      </c>
      <c r="F13" t="inlineStr">
        <is>
          <t>TSSM_MEDIA_D</t>
        </is>
      </c>
      <c r="G13" t="inlineStr">
        <is>
          <t>5.758333333</t>
        </is>
      </c>
      <c r="H13" t="inlineStr">
        <is>
          <t>-73.91333333</t>
        </is>
      </c>
      <c r="I13" t="inlineStr">
        <is>
          <t>1690</t>
        </is>
      </c>
      <c r="J13" t="n">
        <v>22.15</v>
      </c>
      <c r="K13" t="n">
        <v>19</v>
      </c>
      <c r="L13" t="n">
        <v>19.65</v>
      </c>
      <c r="M13" t="n">
        <v>19.85</v>
      </c>
      <c r="N13" t="n">
        <v>19.3</v>
      </c>
      <c r="O13" t="n">
        <v>18.15</v>
      </c>
      <c r="P13" t="n">
        <v>19.5</v>
      </c>
      <c r="Q13" t="n">
        <v>20.1</v>
      </c>
      <c r="R13" t="n">
        <v>19.75</v>
      </c>
      <c r="S13" t="n">
        <v>18.6</v>
      </c>
      <c r="T13" t="n">
        <v>18.25</v>
      </c>
      <c r="U13" t="n">
        <v>17.9</v>
      </c>
      <c r="V13" t="n">
        <v>19.55</v>
      </c>
      <c r="W13" t="n">
        <v>19.5</v>
      </c>
      <c r="X13" t="n">
        <v>19</v>
      </c>
      <c r="Y13" t="n">
        <v>18.25</v>
      </c>
      <c r="Z13" t="n">
        <v>19.65</v>
      </c>
      <c r="AA13" t="n">
        <v>20.75</v>
      </c>
      <c r="AB13" t="n">
        <v>20.35</v>
      </c>
      <c r="AC13" t="n">
        <v>20.35</v>
      </c>
      <c r="AD13" t="n">
        <v>20.25</v>
      </c>
      <c r="AE13" t="n">
        <v>19.25</v>
      </c>
      <c r="AF13" t="n">
        <v>19.75</v>
      </c>
      <c r="AG13" t="n">
        <v>19.15</v>
      </c>
      <c r="AH13" t="n">
        <v>20.1</v>
      </c>
      <c r="AI13" t="n">
        <v>19.35</v>
      </c>
      <c r="AJ13" t="n">
        <v>18.95</v>
      </c>
      <c r="AK13" t="n">
        <v>19.75</v>
      </c>
      <c r="AL13" t="n">
        <v>19.45</v>
      </c>
      <c r="AM13" t="n">
        <v>18.7</v>
      </c>
      <c r="AN13" t="n">
        <v>19.35</v>
      </c>
      <c r="AP13" t="n">
        <v>19.4725806451613</v>
      </c>
    </row>
    <row r="14">
      <c r="A14" t="n">
        <v>23195180</v>
      </c>
      <c r="B14" t="inlineStr">
        <is>
          <t>ESCUELA AGRICOLA CACHIRA [23195180]</t>
        </is>
      </c>
      <c r="C14" t="inlineStr">
        <is>
          <t>Norte De Santander</t>
        </is>
      </c>
      <c r="D14" t="inlineStr">
        <is>
          <t>Cáchira</t>
        </is>
      </c>
      <c r="E14" t="inlineStr">
        <is>
          <t>Area Operativa 08 - Santanderes-Arauca</t>
        </is>
      </c>
      <c r="F14" t="inlineStr">
        <is>
          <t>TSSM_MEDIA_D</t>
        </is>
      </c>
      <c r="G14" t="inlineStr">
        <is>
          <t>7.735277778</t>
        </is>
      </c>
      <c r="H14" t="inlineStr">
        <is>
          <t>-73.05166667</t>
        </is>
      </c>
      <c r="I14" t="inlineStr">
        <is>
          <t>1882</t>
        </is>
      </c>
      <c r="Q14" t="n">
        <v>17.93333333333333</v>
      </c>
      <c r="R14" t="n">
        <v>17.8</v>
      </c>
      <c r="S14" t="n">
        <v>16.73333333333333</v>
      </c>
      <c r="V14" t="n">
        <v>16.86666666666666</v>
      </c>
      <c r="X14" t="n">
        <v>18.2</v>
      </c>
      <c r="Y14" t="n">
        <v>16.06666666666667</v>
      </c>
      <c r="Z14" t="n">
        <v>18.6</v>
      </c>
      <c r="AA14" t="n">
        <v>19.06666666666667</v>
      </c>
      <c r="AB14" t="n">
        <v>17.6</v>
      </c>
      <c r="AC14" t="n">
        <v>17.13333333333334</v>
      </c>
      <c r="AD14" t="n">
        <v>16.6</v>
      </c>
      <c r="AE14" t="n">
        <v>17.6</v>
      </c>
      <c r="AJ14" t="n">
        <v>16.2</v>
      </c>
      <c r="AM14" t="n">
        <v>17.8</v>
      </c>
      <c r="AN14" t="n">
        <v>16.66666666666667</v>
      </c>
      <c r="AP14" t="n">
        <v>17.39111111111111</v>
      </c>
    </row>
    <row r="15">
      <c r="A15" t="n">
        <v>16025030</v>
      </c>
      <c r="B15" t="inlineStr">
        <is>
          <t>SALAZAR [16025030]</t>
        </is>
      </c>
      <c r="C15" t="inlineStr">
        <is>
          <t>Norte De Santander</t>
        </is>
      </c>
      <c r="D15" t="inlineStr">
        <is>
          <t>Salazar</t>
        </is>
      </c>
      <c r="E15" t="inlineStr">
        <is>
          <t>Area Operativa 08 - Santanderes-Arauca</t>
        </is>
      </c>
      <c r="F15" t="inlineStr">
        <is>
          <t>TSSM_MEDIA_D</t>
        </is>
      </c>
      <c r="G15" t="inlineStr">
        <is>
          <t>7.774583333</t>
        </is>
      </c>
      <c r="H15" t="inlineStr">
        <is>
          <t>-72.83055556</t>
        </is>
      </c>
      <c r="I15" t="inlineStr">
        <is>
          <t>860</t>
        </is>
      </c>
      <c r="J15" t="n">
        <v>23.33333333333333</v>
      </c>
      <c r="K15" t="n">
        <v>23</v>
      </c>
      <c r="L15" t="n">
        <v>23.2</v>
      </c>
      <c r="M15" t="n">
        <v>24.73333333333333</v>
      </c>
      <c r="N15" t="n">
        <v>22.26666666666667</v>
      </c>
      <c r="O15" t="n">
        <v>21.8</v>
      </c>
      <c r="P15" t="n">
        <v>21.93333333333333</v>
      </c>
      <c r="Q15" t="n">
        <v>22</v>
      </c>
      <c r="R15" t="n">
        <v>23.33333333333333</v>
      </c>
      <c r="S15" t="n">
        <v>21.6</v>
      </c>
      <c r="T15" t="n">
        <v>22</v>
      </c>
      <c r="U15" t="n">
        <v>21.33333333333333</v>
      </c>
      <c r="V15" t="n">
        <v>20.8</v>
      </c>
      <c r="W15" t="n">
        <v>23</v>
      </c>
      <c r="X15" t="n">
        <v>24.66666666666667</v>
      </c>
      <c r="Y15" t="n">
        <v>23.8</v>
      </c>
      <c r="Z15" t="n">
        <v>23.66666666666667</v>
      </c>
      <c r="AA15" t="n">
        <v>23.86666666666666</v>
      </c>
      <c r="AB15" t="n">
        <v>22.13333333333333</v>
      </c>
      <c r="AC15" t="n">
        <v>21.93333333333333</v>
      </c>
      <c r="AD15" t="n">
        <v>20.46666666666667</v>
      </c>
      <c r="AE15" t="n">
        <v>22.4</v>
      </c>
      <c r="AF15" t="n">
        <v>23</v>
      </c>
      <c r="AG15" t="n">
        <v>22.46666666666667</v>
      </c>
      <c r="AH15" t="n">
        <v>21.53333333333333</v>
      </c>
      <c r="AI15" t="n">
        <v>22.6</v>
      </c>
      <c r="AJ15" t="n">
        <v>21.46666666666667</v>
      </c>
      <c r="AK15" t="n">
        <v>20.6</v>
      </c>
      <c r="AL15" t="n">
        <v>20.73333333333333</v>
      </c>
      <c r="AM15" t="n">
        <v>22.2</v>
      </c>
      <c r="AN15" t="n">
        <v>22.86666666666666</v>
      </c>
      <c r="AP15" t="n">
        <v>22.41075268817205</v>
      </c>
    </row>
    <row r="16">
      <c r="A16" t="n">
        <v>12015020</v>
      </c>
      <c r="B16" t="inlineStr">
        <is>
          <t>UNIBAN [12015020]</t>
        </is>
      </c>
      <c r="C16" t="inlineStr">
        <is>
          <t>Antioquia</t>
        </is>
      </c>
      <c r="D16" t="inlineStr">
        <is>
          <t>Apartadó</t>
        </is>
      </c>
      <c r="E16" t="inlineStr">
        <is>
          <t>Area Operativa 01 - Antioquia-Chocó</t>
        </is>
      </c>
      <c r="F16" t="inlineStr">
        <is>
          <t>TSSM_MEDIA_D</t>
        </is>
      </c>
      <c r="G16" t="inlineStr">
        <is>
          <t>7.825916667</t>
        </is>
      </c>
      <c r="H16" t="inlineStr">
        <is>
          <t>-76.65133333</t>
        </is>
      </c>
      <c r="I16" t="inlineStr">
        <is>
          <t>43</t>
        </is>
      </c>
      <c r="K16" t="n">
        <v>26</v>
      </c>
      <c r="L16" t="n">
        <v>25.5</v>
      </c>
      <c r="M16" t="n">
        <v>23.9</v>
      </c>
      <c r="N16" t="n">
        <v>24.65</v>
      </c>
      <c r="O16" t="n">
        <v>24.7</v>
      </c>
      <c r="P16" t="n">
        <v>27.4</v>
      </c>
      <c r="Q16" t="n">
        <v>27.3</v>
      </c>
      <c r="R16" t="n">
        <v>26.25</v>
      </c>
      <c r="S16" t="n">
        <v>24.85</v>
      </c>
      <c r="T16" t="n">
        <v>25.55</v>
      </c>
      <c r="U16" t="n">
        <v>24.3</v>
      </c>
      <c r="V16" t="n">
        <v>25.7</v>
      </c>
      <c r="W16" t="n">
        <v>25.75</v>
      </c>
      <c r="X16" t="n">
        <v>25.25</v>
      </c>
      <c r="Y16" t="n">
        <v>26.8</v>
      </c>
      <c r="Z16" t="n">
        <v>26.9</v>
      </c>
      <c r="AA16" t="n">
        <v>27.4</v>
      </c>
      <c r="AB16" t="n">
        <v>26.4</v>
      </c>
      <c r="AC16" t="n">
        <v>26.9</v>
      </c>
      <c r="AD16" t="n">
        <v>27.15</v>
      </c>
      <c r="AE16" t="n">
        <v>26.7</v>
      </c>
      <c r="AF16" t="n">
        <v>25.9</v>
      </c>
      <c r="AG16" t="n">
        <v>24.85</v>
      </c>
      <c r="AH16" t="n">
        <v>27.2</v>
      </c>
      <c r="AI16" t="n">
        <v>27.75</v>
      </c>
      <c r="AJ16" t="n">
        <v>26.4</v>
      </c>
      <c r="AK16" t="n">
        <v>26.25</v>
      </c>
      <c r="AL16" t="n">
        <v>26.45</v>
      </c>
      <c r="AM16" t="n">
        <v>25.8</v>
      </c>
      <c r="AN16" t="n">
        <v>25.35</v>
      </c>
      <c r="AP16" t="n">
        <v>26.04333333333334</v>
      </c>
    </row>
    <row r="17">
      <c r="A17" t="n">
        <v>16025010</v>
      </c>
      <c r="B17" t="inlineStr">
        <is>
          <t>CARMEN DE TONCHALA [16025010]</t>
        </is>
      </c>
      <c r="C17" t="inlineStr">
        <is>
          <t>Norte De Santander</t>
        </is>
      </c>
      <c r="D17" t="inlineStr">
        <is>
          <t>Cúcuta</t>
        </is>
      </c>
      <c r="E17" t="inlineStr">
        <is>
          <t>Area Operativa 08 - Santanderes-Arauca</t>
        </is>
      </c>
      <c r="F17" t="inlineStr">
        <is>
          <t>TSSM_MEDIA_D</t>
        </is>
      </c>
      <c r="G17" t="inlineStr">
        <is>
          <t>7.848888889</t>
        </is>
      </c>
      <c r="H17" t="inlineStr">
        <is>
          <t>-72.56611111</t>
        </is>
      </c>
      <c r="I17" t="inlineStr">
        <is>
          <t>285</t>
        </is>
      </c>
      <c r="J17" t="n">
        <v>28.13333333333334</v>
      </c>
      <c r="K17" t="n">
        <v>29.33333333333333</v>
      </c>
      <c r="L17" t="n">
        <v>27.93333333333333</v>
      </c>
      <c r="M17" t="n">
        <v>27.86666666666666</v>
      </c>
      <c r="N17" t="n">
        <v>25.2</v>
      </c>
      <c r="O17" t="n">
        <v>23.86666666666666</v>
      </c>
      <c r="P17" t="n">
        <v>24.6</v>
      </c>
      <c r="Q17" t="n">
        <v>26.33333333333333</v>
      </c>
      <c r="R17" t="n">
        <v>26.26666666666667</v>
      </c>
      <c r="S17" t="n">
        <v>25.2</v>
      </c>
      <c r="T17" t="n">
        <v>25.36666666666666</v>
      </c>
      <c r="U17" t="n">
        <v>24.8</v>
      </c>
      <c r="V17" t="n">
        <v>24.66666666666667</v>
      </c>
      <c r="W17" t="n">
        <v>27.06666666666666</v>
      </c>
      <c r="X17" t="n">
        <v>29.93333333333333</v>
      </c>
      <c r="Y17" t="n">
        <v>27.73333333333333</v>
      </c>
      <c r="Z17" t="n">
        <v>28.6</v>
      </c>
      <c r="AA17" t="n">
        <v>26.6</v>
      </c>
      <c r="AB17" t="n">
        <v>27.73333333333333</v>
      </c>
      <c r="AC17" t="n">
        <v>25.73333333333333</v>
      </c>
      <c r="AD17" t="n">
        <v>25.46666666666667</v>
      </c>
      <c r="AE17" t="n">
        <v>25.8</v>
      </c>
      <c r="AF17" t="n">
        <v>26.53333333333333</v>
      </c>
      <c r="AG17" t="n">
        <v>25.86666666666666</v>
      </c>
      <c r="AH17" t="n">
        <v>25.6</v>
      </c>
      <c r="AI17" t="n">
        <v>26.26666666666667</v>
      </c>
      <c r="AJ17" t="n">
        <v>25.33333333333333</v>
      </c>
      <c r="AK17" t="n">
        <v>24.53333333333333</v>
      </c>
      <c r="AL17" t="n">
        <v>26.6</v>
      </c>
      <c r="AM17" t="n">
        <v>26.53333333333333</v>
      </c>
      <c r="AN17" t="n">
        <v>27.73333333333333</v>
      </c>
      <c r="AP17" t="n">
        <v>26.42688172043011</v>
      </c>
    </row>
    <row r="18">
      <c r="A18" t="n">
        <v>15085030</v>
      </c>
      <c r="B18" t="inlineStr">
        <is>
          <t>ESCUELA AGRICOLA CARRAIPIA  - AUT [15085030]</t>
        </is>
      </c>
      <c r="C18" t="inlineStr">
        <is>
          <t>La Guajira</t>
        </is>
      </c>
      <c r="D18" t="inlineStr">
        <is>
          <t>Maicao</t>
        </is>
      </c>
      <c r="E18" t="inlineStr">
        <is>
          <t>Area Operativa 05 - Magdalena-Cesar-Guajira-San Andrés</t>
        </is>
      </c>
      <c r="F18" t="inlineStr">
        <is>
          <t>TSSM_MEDIA_D</t>
        </is>
      </c>
      <c r="G18" t="inlineStr">
        <is>
          <t>11.21675</t>
        </is>
      </c>
      <c r="H18" t="inlineStr">
        <is>
          <t>-72.35994444</t>
        </is>
      </c>
      <c r="I18" t="inlineStr">
        <is>
          <t>118</t>
        </is>
      </c>
      <c r="P18" t="n">
        <v>26.65</v>
      </c>
      <c r="Q18" t="n">
        <v>27.1</v>
      </c>
      <c r="R18" t="n">
        <v>26.9</v>
      </c>
      <c r="S18" t="n">
        <v>26.85</v>
      </c>
      <c r="T18" t="n">
        <v>27.35</v>
      </c>
      <c r="U18" t="n">
        <v>26.85</v>
      </c>
      <c r="V18" t="n">
        <v>27.3</v>
      </c>
      <c r="W18" t="n">
        <v>26.8</v>
      </c>
      <c r="X18" t="n">
        <v>27.85</v>
      </c>
      <c r="Y18" t="n">
        <v>28.25</v>
      </c>
      <c r="Z18" t="n">
        <v>28.25</v>
      </c>
      <c r="AA18" t="n">
        <v>27.8</v>
      </c>
      <c r="AB18" t="n">
        <v>27.4</v>
      </c>
      <c r="AC18" t="n">
        <v>27.5</v>
      </c>
      <c r="AD18" t="n">
        <v>27.55</v>
      </c>
      <c r="AE18" t="n">
        <v>27.2</v>
      </c>
      <c r="AF18" t="n">
        <v>28.4</v>
      </c>
      <c r="AG18" t="n">
        <v>28.4</v>
      </c>
      <c r="AH18" t="n">
        <v>28.3</v>
      </c>
      <c r="AI18" t="n">
        <v>27.8</v>
      </c>
      <c r="AJ18" t="n">
        <v>27.5</v>
      </c>
      <c r="AK18" t="n">
        <v>26.85</v>
      </c>
      <c r="AL18" t="n">
        <v>27.2</v>
      </c>
      <c r="AM18" t="n">
        <v>27.05</v>
      </c>
      <c r="AN18" t="n">
        <v>28.15</v>
      </c>
      <c r="AP18" t="n">
        <v>27.48999999999999</v>
      </c>
    </row>
    <row r="19">
      <c r="A19" t="n">
        <v>27015260</v>
      </c>
      <c r="B19" t="inlineStr">
        <is>
          <t>LA SALADA [27015260]</t>
        </is>
      </c>
      <c r="C19" t="inlineStr">
        <is>
          <t>Antioquia</t>
        </is>
      </c>
      <c r="D19" t="inlineStr">
        <is>
          <t>Caldas</t>
        </is>
      </c>
      <c r="E19" t="inlineStr">
        <is>
          <t>Area Operativa 01 - Antioquia-Chocó</t>
        </is>
      </c>
      <c r="F19" t="inlineStr">
        <is>
          <t>TSSM_MEDIA_D</t>
        </is>
      </c>
      <c r="G19" t="inlineStr">
        <is>
          <t>6.048361111</t>
        </is>
      </c>
      <c r="H19" t="inlineStr">
        <is>
          <t>-75.62466667</t>
        </is>
      </c>
      <c r="I19" t="inlineStr">
        <is>
          <t>1923</t>
        </is>
      </c>
      <c r="J19" t="n">
        <v>18.6</v>
      </c>
      <c r="K19" t="n">
        <v>17.53333333333333</v>
      </c>
      <c r="L19" t="n">
        <v>17.86666666666667</v>
      </c>
      <c r="M19" t="n">
        <v>17.53333333333333</v>
      </c>
      <c r="N19" t="n">
        <v>16.4</v>
      </c>
      <c r="O19" t="n">
        <v>17.26666666666667</v>
      </c>
      <c r="P19" t="n">
        <v>17.06666666666667</v>
      </c>
      <c r="Q19" t="n">
        <v>16.6</v>
      </c>
      <c r="R19" t="n">
        <v>18.33333333333333</v>
      </c>
      <c r="S19" t="n">
        <v>17.26666666666667</v>
      </c>
      <c r="T19" t="n">
        <v>17.06666666666667</v>
      </c>
      <c r="U19" t="n">
        <v>16</v>
      </c>
      <c r="V19" t="n">
        <v>16.2</v>
      </c>
      <c r="W19" t="n">
        <v>18</v>
      </c>
      <c r="X19" t="n">
        <v>17.8</v>
      </c>
      <c r="Y19" t="n">
        <v>18.2</v>
      </c>
      <c r="Z19" t="n">
        <v>20.13333333333333</v>
      </c>
      <c r="AA19" t="n">
        <v>18.6</v>
      </c>
      <c r="AB19" t="n">
        <v>19.56666666666667</v>
      </c>
      <c r="AC19" t="n">
        <v>18.2</v>
      </c>
      <c r="AD19" t="n">
        <v>20.53333333333333</v>
      </c>
      <c r="AE19" t="n">
        <v>18.8</v>
      </c>
      <c r="AF19" t="n">
        <v>17.93333333333333</v>
      </c>
      <c r="AG19" t="n">
        <v>18.2</v>
      </c>
      <c r="AH19" t="n">
        <v>17.06666666666667</v>
      </c>
      <c r="AI19" t="n">
        <v>17.6</v>
      </c>
      <c r="AJ19" t="n">
        <v>18.06666666666667</v>
      </c>
      <c r="AK19" t="n">
        <v>17.8</v>
      </c>
      <c r="AL19" t="n">
        <v>18.2</v>
      </c>
      <c r="AM19" t="n">
        <v>17.53333333333333</v>
      </c>
      <c r="AN19" t="n">
        <v>17.73333333333333</v>
      </c>
      <c r="AP19" t="n">
        <v>17.86129032258065</v>
      </c>
    </row>
    <row r="20">
      <c r="A20" t="n">
        <v>24055030</v>
      </c>
      <c r="B20" t="inlineStr">
        <is>
          <t>ZAPATOCA [24055030]</t>
        </is>
      </c>
      <c r="C20" t="inlineStr">
        <is>
          <t>Santander</t>
        </is>
      </c>
      <c r="D20" t="inlineStr">
        <is>
          <t>Zapatoca</t>
        </is>
      </c>
      <c r="E20" t="inlineStr">
        <is>
          <t>Area Operativa 08 - Santanderes-Arauca</t>
        </is>
      </c>
      <c r="F20" t="inlineStr">
        <is>
          <t>TSSM_MEDIA_D</t>
        </is>
      </c>
      <c r="G20" t="inlineStr">
        <is>
          <t>6.792777778</t>
        </is>
      </c>
      <c r="H20" t="inlineStr">
        <is>
          <t>-73.28275</t>
        </is>
      </c>
      <c r="I20" t="inlineStr">
        <is>
          <t>1810</t>
        </is>
      </c>
      <c r="J20" t="n">
        <v>19.86666666666666</v>
      </c>
      <c r="K20" t="n">
        <v>19.26666666666667</v>
      </c>
      <c r="L20" t="n">
        <v>18.93333333333333</v>
      </c>
      <c r="M20" t="n">
        <v>18.6</v>
      </c>
      <c r="N20" t="n">
        <v>19.26666666666667</v>
      </c>
      <c r="O20" t="n">
        <v>18.06666666666667</v>
      </c>
      <c r="P20" t="n">
        <v>18.86666666666667</v>
      </c>
      <c r="Q20" t="n">
        <v>19.13333333333333</v>
      </c>
      <c r="R20" t="n">
        <v>19.4</v>
      </c>
      <c r="S20" t="n">
        <v>18.86666666666667</v>
      </c>
      <c r="T20" t="n">
        <v>18.66666666666667</v>
      </c>
      <c r="U20" t="n">
        <v>17.6</v>
      </c>
      <c r="V20" t="n">
        <v>18.33333333333333</v>
      </c>
      <c r="W20" t="n">
        <v>18.86666666666666</v>
      </c>
      <c r="X20" t="n">
        <v>18.93333333333333</v>
      </c>
      <c r="Y20" t="n">
        <v>19.46666666666667</v>
      </c>
      <c r="Z20" t="n">
        <v>19.26666666666667</v>
      </c>
      <c r="AA20" t="n">
        <v>20.2</v>
      </c>
      <c r="AB20" t="n">
        <v>20.46666666666667</v>
      </c>
      <c r="AC20" t="n">
        <v>20</v>
      </c>
      <c r="AD20" t="n">
        <v>19.8</v>
      </c>
      <c r="AE20" t="n">
        <v>20.13333333333333</v>
      </c>
      <c r="AF20" t="n">
        <v>20</v>
      </c>
      <c r="AG20" t="n">
        <v>19</v>
      </c>
      <c r="AH20" t="n">
        <v>18.2</v>
      </c>
      <c r="AI20" t="n">
        <v>19.4</v>
      </c>
      <c r="AJ20" t="n">
        <v>18.66666666666667</v>
      </c>
      <c r="AK20" t="n">
        <v>19.33333333333334</v>
      </c>
      <c r="AL20" t="n">
        <v>19.06666666666667</v>
      </c>
      <c r="AM20" t="n">
        <v>19.2</v>
      </c>
      <c r="AP20" t="n">
        <v>19.16222222222222</v>
      </c>
    </row>
    <row r="21">
      <c r="A21" t="n">
        <v>24035400</v>
      </c>
      <c r="B21" t="inlineStr">
        <is>
          <t>VOLCAN EL [24035400]</t>
        </is>
      </c>
      <c r="C21" t="inlineStr">
        <is>
          <t>Santander</t>
        </is>
      </c>
      <c r="D21" t="inlineStr">
        <is>
          <t>Cerrito</t>
        </is>
      </c>
      <c r="E21" t="inlineStr">
        <is>
          <t>Area Operativa 08 - Santanderes-Arauca</t>
        </is>
      </c>
      <c r="F21" t="inlineStr">
        <is>
          <t>TSSM_MEDIA_D</t>
        </is>
      </c>
      <c r="G21" t="inlineStr">
        <is>
          <t>6.845277778</t>
        </is>
      </c>
      <c r="H21" t="inlineStr">
        <is>
          <t>-72.67777778</t>
        </is>
      </c>
      <c r="I21" t="inlineStr">
        <is>
          <t>2841</t>
        </is>
      </c>
      <c r="J21" t="n">
        <v>14.13333333333333</v>
      </c>
      <c r="K21" t="n">
        <v>14.46666666666667</v>
      </c>
      <c r="L21" t="n">
        <v>13.13333333333333</v>
      </c>
      <c r="M21" t="n">
        <v>13.13333333333333</v>
      </c>
      <c r="N21" t="n">
        <v>11.93333333333333</v>
      </c>
      <c r="O21" t="n">
        <v>13.46666666666667</v>
      </c>
      <c r="P21" t="n">
        <v>13.2</v>
      </c>
      <c r="Q21" t="n">
        <v>13.13333333333333</v>
      </c>
      <c r="R21" t="n">
        <v>13.66666666666667</v>
      </c>
      <c r="S21" t="n">
        <v>14.06666666666667</v>
      </c>
      <c r="T21" t="n">
        <v>13.66666666666667</v>
      </c>
      <c r="U21" t="n">
        <v>13.8</v>
      </c>
      <c r="V21" t="n">
        <v>13.8</v>
      </c>
      <c r="W21" t="n">
        <v>14.4</v>
      </c>
      <c r="X21" t="n">
        <v>14.33333333333333</v>
      </c>
      <c r="Y21" t="n">
        <v>15</v>
      </c>
      <c r="Z21" t="n">
        <v>15.46666666666667</v>
      </c>
      <c r="AA21" t="n">
        <v>15.06666666666667</v>
      </c>
      <c r="AB21" t="n">
        <v>15.13333333333333</v>
      </c>
      <c r="AC21" t="n">
        <v>12.53333333333333</v>
      </c>
      <c r="AD21" t="n">
        <v>14.93333333333333</v>
      </c>
      <c r="AE21" t="n">
        <v>14.06666666666667</v>
      </c>
      <c r="AF21" t="n">
        <v>13.26666666666667</v>
      </c>
      <c r="AG21" t="n">
        <v>14.33333333333333</v>
      </c>
      <c r="AH21" t="n">
        <v>13.53333333333333</v>
      </c>
      <c r="AI21" t="n">
        <v>13.33333333333333</v>
      </c>
      <c r="AJ21" t="n">
        <v>14.26666666666667</v>
      </c>
      <c r="AK21" t="n">
        <v>13.4</v>
      </c>
      <c r="AL21" t="n">
        <v>14.8</v>
      </c>
      <c r="AM21" t="n">
        <v>14.73333333333333</v>
      </c>
      <c r="AN21" t="n">
        <v>15.13333333333333</v>
      </c>
      <c r="AP21" t="n">
        <v>13.97849462365592</v>
      </c>
    </row>
    <row r="22">
      <c r="A22" t="n">
        <v>23155040</v>
      </c>
      <c r="B22" t="inlineStr">
        <is>
          <t>CENTRO EL [23155040]</t>
        </is>
      </c>
      <c r="C22" t="inlineStr">
        <is>
          <t>Santander</t>
        </is>
      </c>
      <c r="D22" t="inlineStr">
        <is>
          <t>Barrancabermeja</t>
        </is>
      </c>
      <c r="E22" t="inlineStr">
        <is>
          <t>Area Operativa 08 - Santanderes-Arauca</t>
        </is>
      </c>
      <c r="F22" t="inlineStr">
        <is>
          <t>TSSM_MEDIA_D</t>
        </is>
      </c>
      <c r="G22" t="inlineStr">
        <is>
          <t>6.859555556</t>
        </is>
      </c>
      <c r="H22" t="inlineStr">
        <is>
          <t>-73.76508333</t>
        </is>
      </c>
      <c r="I22" t="inlineStr">
        <is>
          <t>114</t>
        </is>
      </c>
      <c r="M22" t="n">
        <v>25.93333333333333</v>
      </c>
      <c r="N22" t="n">
        <v>26.13333333333333</v>
      </c>
      <c r="O22" t="n">
        <v>26.33333333333333</v>
      </c>
      <c r="P22" t="n">
        <v>27.93333333333333</v>
      </c>
      <c r="Q22" t="n">
        <v>27.33333333333333</v>
      </c>
      <c r="R22" t="n">
        <v>28.46666666666667</v>
      </c>
      <c r="S22" t="n">
        <v>29.46666666666667</v>
      </c>
      <c r="T22" t="n">
        <v>27</v>
      </c>
      <c r="U22" t="n">
        <v>25.46666666666667</v>
      </c>
      <c r="V22" t="n">
        <v>27.2</v>
      </c>
      <c r="W22" t="n">
        <v>26.86666666666666</v>
      </c>
      <c r="X22" t="n">
        <v>27.53333333333333</v>
      </c>
      <c r="AB22" t="n">
        <v>28.93333333333333</v>
      </c>
      <c r="AC22" t="n">
        <v>28.46666666666667</v>
      </c>
      <c r="AD22" t="n">
        <v>28.4</v>
      </c>
      <c r="AE22" t="n">
        <v>29.13333333333334</v>
      </c>
      <c r="AF22" t="n">
        <v>28.4</v>
      </c>
      <c r="AH22" t="n">
        <v>28.2</v>
      </c>
      <c r="AI22" t="n">
        <v>27.33333333333333</v>
      </c>
      <c r="AJ22" t="n">
        <v>26.4</v>
      </c>
      <c r="AN22" t="n">
        <v>27.06666666666667</v>
      </c>
      <c r="AP22" t="n">
        <v>27.52380952380952</v>
      </c>
    </row>
    <row r="23">
      <c r="A23" t="n">
        <v>24035250</v>
      </c>
      <c r="B23" t="inlineStr">
        <is>
          <t>CHITA  - AUT [24035250]</t>
        </is>
      </c>
      <c r="C23" t="inlineStr">
        <is>
          <t>Boyacá</t>
        </is>
      </c>
      <c r="D23" t="inlineStr">
        <is>
          <t>Chita</t>
        </is>
      </c>
      <c r="E23" t="inlineStr">
        <is>
          <t>Area Operativa 06 - Boyacá-Casanare-Vichada</t>
        </is>
      </c>
      <c r="F23" t="inlineStr">
        <is>
          <t>TSSM_MEDIA_D</t>
        </is>
      </c>
      <c r="G23" t="inlineStr">
        <is>
          <t>6.18778</t>
        </is>
      </c>
      <c r="H23" t="inlineStr">
        <is>
          <t>-72.46556</t>
        </is>
      </c>
      <c r="I23" t="inlineStr">
        <is>
          <t>2961</t>
        </is>
      </c>
      <c r="J23" t="n">
        <v>14.2</v>
      </c>
      <c r="K23" t="n">
        <v>13.2</v>
      </c>
      <c r="L23" t="n">
        <v>14</v>
      </c>
      <c r="M23" t="n">
        <v>14.66666666666667</v>
      </c>
      <c r="N23" t="n">
        <v>12.6</v>
      </c>
      <c r="O23" t="n">
        <v>12.13333333333333</v>
      </c>
      <c r="P23" t="n">
        <v>12.93333333333333</v>
      </c>
      <c r="Q23" t="n">
        <v>12</v>
      </c>
      <c r="R23" t="n">
        <v>12.2</v>
      </c>
      <c r="S23" t="n">
        <v>13.4</v>
      </c>
      <c r="T23" t="n">
        <v>13</v>
      </c>
      <c r="U23" t="n">
        <v>13.26666666666667</v>
      </c>
      <c r="V23" t="n">
        <v>13.66666666666667</v>
      </c>
      <c r="W23" t="n">
        <v>13.33333333333333</v>
      </c>
      <c r="X23" t="n">
        <v>11.73333333333333</v>
      </c>
      <c r="Y23" t="n">
        <v>12.4</v>
      </c>
      <c r="Z23" t="n">
        <v>13.53333333333333</v>
      </c>
      <c r="AA23" t="n">
        <v>13.73333333333333</v>
      </c>
      <c r="AB23" t="n">
        <v>12.93333333333333</v>
      </c>
      <c r="AC23" t="n">
        <v>13.66666666666667</v>
      </c>
      <c r="AD23" t="n">
        <v>14.66666666666667</v>
      </c>
      <c r="AE23" t="n">
        <v>13.86666666666667</v>
      </c>
      <c r="AF23" t="n">
        <v>14</v>
      </c>
      <c r="AG23" t="n">
        <v>12</v>
      </c>
      <c r="AH23" t="n">
        <v>13.6</v>
      </c>
      <c r="AK23" t="n">
        <v>13.33333333333333</v>
      </c>
      <c r="AL23" t="n">
        <v>13.73333333333333</v>
      </c>
      <c r="AM23" t="n">
        <v>12.73333333333333</v>
      </c>
      <c r="AN23" t="n">
        <v>14.93333333333333</v>
      </c>
      <c r="AP23" t="n">
        <v>13.29195402298851</v>
      </c>
    </row>
    <row r="24">
      <c r="A24" t="n">
        <v>23085110</v>
      </c>
      <c r="B24" t="inlineStr">
        <is>
          <t>EL PENOL [23085110]</t>
        </is>
      </c>
      <c r="C24" t="inlineStr">
        <is>
          <t>Antioquia</t>
        </is>
      </c>
      <c r="D24" t="inlineStr">
        <is>
          <t>Peñol</t>
        </is>
      </c>
      <c r="E24" t="inlineStr">
        <is>
          <t>Area Operativa 01 - Antioquia-Chocó</t>
        </is>
      </c>
      <c r="F24" t="inlineStr">
        <is>
          <t>TSSM_MEDIA_D</t>
        </is>
      </c>
      <c r="G24" t="inlineStr">
        <is>
          <t>6.2138889</t>
        </is>
      </c>
      <c r="H24" t="inlineStr">
        <is>
          <t>-75.241388889</t>
        </is>
      </c>
      <c r="I24" t="inlineStr">
        <is>
          <t>2022</t>
        </is>
      </c>
      <c r="J24" t="n">
        <v>19.05</v>
      </c>
      <c r="K24" t="n">
        <v>18.1</v>
      </c>
      <c r="L24" t="n">
        <v>18.05</v>
      </c>
      <c r="M24" t="n">
        <v>18</v>
      </c>
      <c r="N24" t="n">
        <v>16.4</v>
      </c>
      <c r="O24" t="n">
        <v>17.1</v>
      </c>
      <c r="P24" t="n">
        <v>17.4</v>
      </c>
      <c r="Q24" t="n">
        <v>16.95</v>
      </c>
      <c r="R24" t="n">
        <v>17.95</v>
      </c>
      <c r="S24" t="n">
        <v>17.25</v>
      </c>
      <c r="T24" t="n">
        <v>17.95</v>
      </c>
      <c r="U24" t="n">
        <v>16.95</v>
      </c>
      <c r="V24" t="n">
        <v>17.6</v>
      </c>
      <c r="W24" t="n">
        <v>18.45</v>
      </c>
      <c r="X24" t="n">
        <v>18.05</v>
      </c>
      <c r="Y24" t="n">
        <v>17.45</v>
      </c>
      <c r="Z24" t="n">
        <v>18.65</v>
      </c>
      <c r="AA24" t="n">
        <v>18.5</v>
      </c>
      <c r="AB24" t="n">
        <v>18.1</v>
      </c>
      <c r="AC24" t="n">
        <v>18.45</v>
      </c>
      <c r="AD24" t="n">
        <v>18.6</v>
      </c>
      <c r="AE24" t="n">
        <v>18.25</v>
      </c>
      <c r="AF24" t="n">
        <v>18.05</v>
      </c>
      <c r="AG24" t="n">
        <v>17.7</v>
      </c>
      <c r="AH24" t="n">
        <v>17.9</v>
      </c>
      <c r="AI24" t="n">
        <v>17.7</v>
      </c>
      <c r="AJ24" t="n">
        <v>17.5</v>
      </c>
      <c r="AK24" t="n">
        <v>18.05</v>
      </c>
      <c r="AL24" t="n">
        <v>17.75</v>
      </c>
      <c r="AM24" t="n">
        <v>18.3</v>
      </c>
      <c r="AN24" t="n">
        <v>17.55</v>
      </c>
      <c r="AP24" t="n">
        <v>17.86290322580644</v>
      </c>
    </row>
    <row r="25">
      <c r="A25" t="n">
        <v>24015250</v>
      </c>
      <c r="B25" t="inlineStr">
        <is>
          <t>LAJA LA [24015250]</t>
        </is>
      </c>
      <c r="C25" t="inlineStr">
        <is>
          <t>Santander</t>
        </is>
      </c>
      <c r="D25" t="inlineStr">
        <is>
          <t>Guadalupe</t>
        </is>
      </c>
      <c r="E25" t="inlineStr">
        <is>
          <t>Area Operativa 08 - Santanderes-Arauca</t>
        </is>
      </c>
      <c r="F25" t="inlineStr">
        <is>
          <t>TSSM_MEDIA_D</t>
        </is>
      </c>
      <c r="G25" t="inlineStr">
        <is>
          <t>6.237166667</t>
        </is>
      </c>
      <c r="H25" t="inlineStr">
        <is>
          <t>-73.41538889</t>
        </is>
      </c>
      <c r="I25" t="inlineStr">
        <is>
          <t>1400</t>
        </is>
      </c>
      <c r="J25" t="n">
        <v>21.53333333333333</v>
      </c>
      <c r="K25" t="n">
        <v>21.06666666666667</v>
      </c>
      <c r="L25" t="n">
        <v>21.06666666666667</v>
      </c>
      <c r="M25" t="n">
        <v>20.66666666666667</v>
      </c>
      <c r="N25" t="n">
        <v>21.13333333333334</v>
      </c>
      <c r="O25" t="n">
        <v>20.66666666666667</v>
      </c>
      <c r="P25" t="n">
        <v>21</v>
      </c>
      <c r="Q25" t="n">
        <v>20.93333333333333</v>
      </c>
      <c r="R25" t="n">
        <v>21.06666666666667</v>
      </c>
      <c r="S25" t="n">
        <v>21.13333333333333</v>
      </c>
      <c r="T25" t="n">
        <v>20.86666666666667</v>
      </c>
      <c r="U25" t="n">
        <v>20.2</v>
      </c>
      <c r="V25" t="n">
        <v>20.33333333333333</v>
      </c>
      <c r="W25" t="n">
        <v>20.86666666666666</v>
      </c>
      <c r="X25" t="n">
        <v>21</v>
      </c>
      <c r="Y25" t="n">
        <v>20.93333333333333</v>
      </c>
      <c r="Z25" t="n">
        <v>21.6</v>
      </c>
      <c r="AA25" t="n">
        <v>21.6</v>
      </c>
      <c r="AB25" t="n">
        <v>21.6</v>
      </c>
      <c r="AC25" t="n">
        <v>21.06666666666667</v>
      </c>
      <c r="AD25" t="n">
        <v>21.46666666666667</v>
      </c>
      <c r="AE25" t="n">
        <v>21</v>
      </c>
      <c r="AF25" t="n">
        <v>21.53333333333333</v>
      </c>
      <c r="AG25" t="n">
        <v>20.33333333333333</v>
      </c>
      <c r="AH25" t="n">
        <v>21.13333333333333</v>
      </c>
      <c r="AI25" t="n">
        <v>21.46666666666667</v>
      </c>
      <c r="AJ25" t="n">
        <v>21</v>
      </c>
      <c r="AK25" t="n">
        <v>20.46666666666667</v>
      </c>
      <c r="AL25" t="n">
        <v>21.6</v>
      </c>
      <c r="AM25" t="n">
        <v>21.26666666666667</v>
      </c>
      <c r="AN25" t="n">
        <v>21.13333333333334</v>
      </c>
      <c r="AP25" t="n">
        <v>21.05591397849463</v>
      </c>
    </row>
    <row r="26">
      <c r="A26" t="n">
        <v>23125120</v>
      </c>
      <c r="B26" t="inlineStr">
        <is>
          <t>CIMITARRA [23125120]</t>
        </is>
      </c>
      <c r="C26" t="inlineStr">
        <is>
          <t>Santander</t>
        </is>
      </c>
      <c r="D26" t="inlineStr">
        <is>
          <t>Cimitarra</t>
        </is>
      </c>
      <c r="E26" t="inlineStr">
        <is>
          <t>Area Operativa 08 - Santanderes-Arauca</t>
        </is>
      </c>
      <c r="F26" t="inlineStr">
        <is>
          <t>TSSM_MEDIA_D</t>
        </is>
      </c>
      <c r="G26" t="inlineStr">
        <is>
          <t>6.308611111</t>
        </is>
      </c>
      <c r="H26" t="inlineStr">
        <is>
          <t>-73.95222222</t>
        </is>
      </c>
      <c r="I26" t="inlineStr">
        <is>
          <t>198</t>
        </is>
      </c>
      <c r="J26" t="n">
        <v>28.06666666666666</v>
      </c>
      <c r="K26" t="n">
        <v>26.86666666666666</v>
      </c>
      <c r="L26" t="n">
        <v>27.6</v>
      </c>
      <c r="M26" t="n">
        <v>27.93333333333334</v>
      </c>
      <c r="N26" t="n">
        <v>26.53333333333333</v>
      </c>
      <c r="O26" t="n">
        <v>26.93333333333334</v>
      </c>
      <c r="P26" t="n">
        <v>26.93333333333333</v>
      </c>
      <c r="Q26" t="n">
        <v>26.4</v>
      </c>
      <c r="R26" t="n">
        <v>28.4</v>
      </c>
      <c r="S26" t="n">
        <v>26.26666666666667</v>
      </c>
      <c r="T26" t="n">
        <v>26.33333333333333</v>
      </c>
      <c r="U26" t="n">
        <v>25.6</v>
      </c>
      <c r="V26" t="n">
        <v>27.2</v>
      </c>
      <c r="W26" t="n">
        <v>26.53333333333333</v>
      </c>
      <c r="X26" t="n">
        <v>27.13333333333334</v>
      </c>
      <c r="Y26" t="n">
        <v>26.46666666666667</v>
      </c>
      <c r="Z26" t="n">
        <v>28.53333333333333</v>
      </c>
      <c r="AA26" t="n">
        <v>29.26666666666667</v>
      </c>
      <c r="AB26" t="n">
        <v>27.26666666666667</v>
      </c>
      <c r="AC26" t="n">
        <v>28.26666666666667</v>
      </c>
      <c r="AD26" t="n">
        <v>28.8</v>
      </c>
      <c r="AE26" t="n">
        <v>27.26666666666667</v>
      </c>
      <c r="AF26" t="n">
        <v>27.2</v>
      </c>
      <c r="AG26" t="n">
        <v>27.46666666666667</v>
      </c>
      <c r="AH26" t="n">
        <v>27.13333333333334</v>
      </c>
      <c r="AI26" t="n">
        <v>26.93333333333333</v>
      </c>
      <c r="AJ26" t="n">
        <v>26.73333333333333</v>
      </c>
      <c r="AK26" t="n">
        <v>27.4</v>
      </c>
      <c r="AL26" t="n">
        <v>27.13333333333334</v>
      </c>
      <c r="AM26" t="n">
        <v>26.33333333333333</v>
      </c>
      <c r="AN26" t="n">
        <v>26.66666666666667</v>
      </c>
      <c r="AP26" t="n">
        <v>27.21290322580645</v>
      </c>
    </row>
    <row r="27">
      <c r="A27" t="n">
        <v>27015090</v>
      </c>
      <c r="B27" t="inlineStr">
        <is>
          <t>TULIO OSPINA [27015090]</t>
        </is>
      </c>
      <c r="C27" t="inlineStr">
        <is>
          <t>Antioquia</t>
        </is>
      </c>
      <c r="D27" t="inlineStr">
        <is>
          <t>Bello</t>
        </is>
      </c>
      <c r="E27" t="inlineStr">
        <is>
          <t>Area Operativa 01 - Antioquia-Chocó</t>
        </is>
      </c>
      <c r="F27" t="inlineStr">
        <is>
          <t>TSSM_MEDIA_D</t>
        </is>
      </c>
      <c r="G27" t="inlineStr">
        <is>
          <t>6.319694444</t>
        </is>
      </c>
      <c r="H27" t="inlineStr">
        <is>
          <t>-75.55325</t>
        </is>
      </c>
      <c r="I27" t="inlineStr">
        <is>
          <t>1453</t>
        </is>
      </c>
      <c r="AK27" t="n">
        <v>23.6</v>
      </c>
      <c r="AP27" t="n">
        <v>23.6</v>
      </c>
    </row>
    <row r="28">
      <c r="A28" t="n">
        <v>11075020</v>
      </c>
      <c r="B28" t="inlineStr">
        <is>
          <t>URRAO [11075020]</t>
        </is>
      </c>
      <c r="C28" t="inlineStr">
        <is>
          <t>Antioquia</t>
        </is>
      </c>
      <c r="D28" t="inlineStr">
        <is>
          <t>Urrao</t>
        </is>
      </c>
      <c r="E28" t="inlineStr">
        <is>
          <t>Area Operativa 01 - Antioquia-Chocó</t>
        </is>
      </c>
      <c r="F28" t="inlineStr">
        <is>
          <t>TSSM_MEDIA_D</t>
        </is>
      </c>
      <c r="G28" t="inlineStr">
        <is>
          <t>6.298305556</t>
        </is>
      </c>
      <c r="H28" t="inlineStr">
        <is>
          <t>-76.143305556</t>
        </is>
      </c>
      <c r="I28" t="inlineStr">
        <is>
          <t>1833</t>
        </is>
      </c>
      <c r="J28" t="n">
        <v>19.06666666666667</v>
      </c>
      <c r="K28" t="n">
        <v>19.8</v>
      </c>
      <c r="L28" t="n">
        <v>19.53333333333333</v>
      </c>
      <c r="M28" t="n">
        <v>19.2</v>
      </c>
      <c r="N28" t="n">
        <v>19.13333333333334</v>
      </c>
      <c r="O28" t="n">
        <v>18.26666666666667</v>
      </c>
      <c r="P28" t="n">
        <v>19.33333333333333</v>
      </c>
      <c r="Q28" t="n">
        <v>18.86666666666666</v>
      </c>
      <c r="R28" t="n">
        <v>19.13333333333333</v>
      </c>
      <c r="S28" t="n">
        <v>18.6</v>
      </c>
      <c r="T28" t="n">
        <v>19.06666666666667</v>
      </c>
      <c r="U28" t="n">
        <v>18.8</v>
      </c>
      <c r="V28" t="n">
        <v>18.8</v>
      </c>
      <c r="W28" t="n">
        <v>18.53333333333333</v>
      </c>
      <c r="X28" t="n">
        <v>19.06666666666667</v>
      </c>
      <c r="Y28" t="n">
        <v>18.4</v>
      </c>
      <c r="Z28" t="n">
        <v>17.13333333333333</v>
      </c>
      <c r="AA28" t="n">
        <v>19.33333333333333</v>
      </c>
      <c r="AB28" t="n">
        <v>19.93333333333333</v>
      </c>
      <c r="AC28" t="n">
        <v>19.4</v>
      </c>
      <c r="AD28" t="n">
        <v>18.86666666666666</v>
      </c>
      <c r="AE28" t="n">
        <v>20.2</v>
      </c>
      <c r="AF28" t="n">
        <v>18.8</v>
      </c>
      <c r="AG28" t="n">
        <v>18.86666666666666</v>
      </c>
      <c r="AH28" t="n">
        <v>19.13333333333333</v>
      </c>
      <c r="AI28" t="n">
        <v>19.26666666666667</v>
      </c>
      <c r="AJ28" t="n">
        <v>19</v>
      </c>
      <c r="AK28" t="n">
        <v>19.06666666666667</v>
      </c>
      <c r="AL28" t="n">
        <v>19.33333333333333</v>
      </c>
      <c r="AM28" t="n">
        <v>19.2</v>
      </c>
      <c r="AN28" t="n">
        <v>19.06666666666667</v>
      </c>
      <c r="AP28" t="n">
        <v>19.03870967741936</v>
      </c>
    </row>
    <row r="29">
      <c r="A29" t="n">
        <v>24035330</v>
      </c>
      <c r="B29" t="inlineStr">
        <is>
          <t>BOAVITA [24035330]</t>
        </is>
      </c>
      <c r="C29" t="inlineStr">
        <is>
          <t>Boyacá</t>
        </is>
      </c>
      <c r="D29" t="inlineStr">
        <is>
          <t>Boavita</t>
        </is>
      </c>
      <c r="E29" t="inlineStr">
        <is>
          <t>Area Operativa 06 - Boyacá-Casanare-Vichada</t>
        </is>
      </c>
      <c r="F29" t="inlineStr">
        <is>
          <t>TSSM_MEDIA_D</t>
        </is>
      </c>
      <c r="G29" t="inlineStr">
        <is>
          <t>6.328972222</t>
        </is>
      </c>
      <c r="H29" t="inlineStr">
        <is>
          <t>-72.58227778</t>
        </is>
      </c>
      <c r="I29" t="inlineStr">
        <is>
          <t>2150</t>
        </is>
      </c>
      <c r="J29" t="n">
        <v>19.13333333333334</v>
      </c>
      <c r="K29" t="n">
        <v>17.33333333333333</v>
      </c>
      <c r="L29" t="n">
        <v>16.53333333333333</v>
      </c>
      <c r="M29" t="n">
        <v>17</v>
      </c>
      <c r="N29" t="n">
        <v>17.06666666666667</v>
      </c>
      <c r="O29" t="n">
        <v>18.2</v>
      </c>
      <c r="P29" t="n">
        <v>16.2</v>
      </c>
      <c r="Q29" t="n">
        <v>16.6</v>
      </c>
      <c r="R29" t="n">
        <v>16.86666666666667</v>
      </c>
      <c r="S29" t="n">
        <v>16.2</v>
      </c>
      <c r="T29" t="n">
        <v>16.66666666666667</v>
      </c>
      <c r="U29" t="n">
        <v>16.53333333333333</v>
      </c>
      <c r="V29" t="n">
        <v>15.53333333333333</v>
      </c>
      <c r="W29" t="n">
        <v>16.53333333333333</v>
      </c>
      <c r="X29" t="n">
        <v>16.46666666666667</v>
      </c>
      <c r="Y29" t="n">
        <v>16.66666666666667</v>
      </c>
      <c r="Z29" t="n">
        <v>18.33333333333333</v>
      </c>
      <c r="AA29" t="n">
        <v>18.53333333333333</v>
      </c>
      <c r="AB29" t="n">
        <v>19.2</v>
      </c>
      <c r="AC29" t="n">
        <v>18.53333333333333</v>
      </c>
      <c r="AD29" t="n">
        <v>19.06666666666667</v>
      </c>
      <c r="AE29" t="n">
        <v>18.53333333333333</v>
      </c>
      <c r="AF29" t="n">
        <v>18.46666666666667</v>
      </c>
      <c r="AG29" t="n">
        <v>17.33333333333333</v>
      </c>
      <c r="AH29" t="n">
        <v>18.33333333333333</v>
      </c>
      <c r="AI29" t="n">
        <v>17.73333333333333</v>
      </c>
      <c r="AJ29" t="n">
        <v>17.33333333333333</v>
      </c>
      <c r="AK29" t="n">
        <v>17</v>
      </c>
      <c r="AL29" t="n">
        <v>18.4</v>
      </c>
      <c r="AM29" t="n">
        <v>18.4</v>
      </c>
      <c r="AN29" t="n">
        <v>18.33333333333333</v>
      </c>
      <c r="AP29" t="n">
        <v>17.51827956989247</v>
      </c>
    </row>
    <row r="30">
      <c r="A30" t="n">
        <v>26205080</v>
      </c>
      <c r="B30" t="inlineStr">
        <is>
          <t>LA ALDEA [26205080]</t>
        </is>
      </c>
      <c r="C30" t="inlineStr">
        <is>
          <t>Antioquia</t>
        </is>
      </c>
      <c r="D30" t="inlineStr">
        <is>
          <t>Medellín</t>
        </is>
      </c>
      <c r="E30" t="inlineStr">
        <is>
          <t>Area Operativa 01 - Antioquia-Chocó</t>
        </is>
      </c>
      <c r="F30" t="inlineStr">
        <is>
          <t>TSSM_MEDIA_D</t>
        </is>
      </c>
      <c r="G30" t="inlineStr">
        <is>
          <t>6.341055556</t>
        </is>
      </c>
      <c r="H30" t="inlineStr">
        <is>
          <t>-75.70094444</t>
        </is>
      </c>
      <c r="I30" t="inlineStr">
        <is>
          <t>1737</t>
        </is>
      </c>
      <c r="J30" t="n">
        <v>21.86666666666666</v>
      </c>
      <c r="K30" t="n">
        <v>19.6</v>
      </c>
      <c r="L30" t="n">
        <v>18.46666666666667</v>
      </c>
      <c r="M30" t="n">
        <v>19.06666666666667</v>
      </c>
      <c r="N30" t="n">
        <v>19.33333333333333</v>
      </c>
      <c r="O30" t="n">
        <v>18.86666666666667</v>
      </c>
      <c r="P30" t="n">
        <v>19.4</v>
      </c>
      <c r="Q30" t="n">
        <v>17.6</v>
      </c>
      <c r="R30" t="n">
        <v>19</v>
      </c>
      <c r="S30" t="n">
        <v>18.73333333333333</v>
      </c>
      <c r="T30" t="n">
        <v>18.33333333333333</v>
      </c>
      <c r="U30" t="n">
        <v>17.53333333333333</v>
      </c>
      <c r="V30" t="n">
        <v>18.6</v>
      </c>
      <c r="W30" t="n">
        <v>20.63333333333333</v>
      </c>
      <c r="X30" t="n">
        <v>18</v>
      </c>
      <c r="Y30" t="n">
        <v>18.8</v>
      </c>
      <c r="Z30" t="n">
        <v>21.6</v>
      </c>
      <c r="AA30" t="n">
        <v>22.13333333333333</v>
      </c>
      <c r="AB30" t="n">
        <v>20.46666666666667</v>
      </c>
      <c r="AC30" t="n">
        <v>20.4</v>
      </c>
      <c r="AD30" t="n">
        <v>20.8</v>
      </c>
      <c r="AE30" t="n">
        <v>20.06666666666667</v>
      </c>
      <c r="AF30" t="n">
        <v>20.2</v>
      </c>
      <c r="AG30" t="n">
        <v>20.6</v>
      </c>
      <c r="AH30" t="n">
        <v>19.66666666666667</v>
      </c>
      <c r="AI30" t="n">
        <v>19.2</v>
      </c>
      <c r="AJ30" t="n">
        <v>18.86666666666666</v>
      </c>
      <c r="AL30" t="n">
        <v>20.66666666666667</v>
      </c>
      <c r="AM30" t="n">
        <v>18.46666666666667</v>
      </c>
      <c r="AN30" t="n">
        <v>19.53333333333333</v>
      </c>
      <c r="AP30" t="n">
        <v>19.55</v>
      </c>
    </row>
    <row r="31">
      <c r="A31" t="n">
        <v>24015260</v>
      </c>
      <c r="B31" t="inlineStr">
        <is>
          <t>CHIMA [24015260]</t>
        </is>
      </c>
      <c r="C31" t="inlineStr">
        <is>
          <t>Santander</t>
        </is>
      </c>
      <c r="D31" t="inlineStr">
        <is>
          <t>Chima</t>
        </is>
      </c>
      <c r="E31" t="inlineStr">
        <is>
          <t>Area Operativa 08 - Santanderes-Arauca</t>
        </is>
      </c>
      <c r="F31" t="inlineStr">
        <is>
          <t>TSSM_MEDIA_D</t>
        </is>
      </c>
      <c r="G31" t="inlineStr">
        <is>
          <t>6.355</t>
        </is>
      </c>
      <c r="H31" t="inlineStr">
        <is>
          <t>-73.36833333</t>
        </is>
      </c>
      <c r="I31" t="inlineStr">
        <is>
          <t>190</t>
        </is>
      </c>
      <c r="J31" t="n">
        <v>25.45</v>
      </c>
      <c r="K31" t="n">
        <v>24.75</v>
      </c>
      <c r="L31" t="n">
        <v>25.7</v>
      </c>
      <c r="M31" t="n">
        <v>25.5</v>
      </c>
      <c r="N31" t="n">
        <v>25.05</v>
      </c>
      <c r="O31" t="n">
        <v>25</v>
      </c>
      <c r="P31" t="n">
        <v>24.35</v>
      </c>
      <c r="Q31" t="n">
        <v>24.95</v>
      </c>
      <c r="R31" t="n">
        <v>25.45</v>
      </c>
      <c r="S31" t="n">
        <v>25.25</v>
      </c>
      <c r="T31" t="n">
        <v>24.95</v>
      </c>
      <c r="U31" t="n">
        <v>23.25</v>
      </c>
      <c r="V31" t="n">
        <v>24.3</v>
      </c>
      <c r="W31" t="n">
        <v>25.05</v>
      </c>
      <c r="X31" t="n">
        <v>24.45</v>
      </c>
      <c r="Y31" t="n">
        <v>24.6</v>
      </c>
      <c r="Z31" t="n">
        <v>25.8</v>
      </c>
      <c r="AA31" t="n">
        <v>26</v>
      </c>
      <c r="AB31" t="n">
        <v>25.35</v>
      </c>
      <c r="AC31" t="n">
        <v>25.9</v>
      </c>
      <c r="AD31" t="n">
        <v>26.25</v>
      </c>
      <c r="AE31" t="n">
        <v>25.65</v>
      </c>
      <c r="AF31" t="n">
        <v>25.85</v>
      </c>
      <c r="AG31" t="n">
        <v>25.05</v>
      </c>
      <c r="AH31" t="n">
        <v>25</v>
      </c>
      <c r="AI31" t="n">
        <v>25.1</v>
      </c>
      <c r="AJ31" t="n">
        <v>24.85</v>
      </c>
      <c r="AK31" t="n">
        <v>25.55</v>
      </c>
      <c r="AL31" t="n">
        <v>25.5</v>
      </c>
      <c r="AM31" t="n">
        <v>25.85</v>
      </c>
      <c r="AN31" t="n">
        <v>25.35</v>
      </c>
      <c r="AP31" t="n">
        <v>25.19677419354839</v>
      </c>
    </row>
    <row r="32">
      <c r="A32" t="n">
        <v>23085030</v>
      </c>
      <c r="B32" t="inlineStr">
        <is>
          <t>ALEJANDRIA [23085030]</t>
        </is>
      </c>
      <c r="C32" t="inlineStr">
        <is>
          <t>Antioquia</t>
        </is>
      </c>
      <c r="D32" t="inlineStr">
        <is>
          <t>Alejandría</t>
        </is>
      </c>
      <c r="E32" t="inlineStr">
        <is>
          <t>Area Operativa 01 - Antioquia-Chocó</t>
        </is>
      </c>
      <c r="F32" t="inlineStr">
        <is>
          <t>TSSM_MEDIA_D</t>
        </is>
      </c>
      <c r="G32" t="inlineStr">
        <is>
          <t>6.37625</t>
        </is>
      </c>
      <c r="H32" t="inlineStr">
        <is>
          <t>-75.14338889</t>
        </is>
      </c>
      <c r="I32" t="inlineStr">
        <is>
          <t>1712</t>
        </is>
      </c>
      <c r="J32" t="n">
        <v>19.53333333333333</v>
      </c>
      <c r="K32" t="n">
        <v>20.06666666666667</v>
      </c>
      <c r="L32" t="n">
        <v>20.4</v>
      </c>
      <c r="M32" t="n">
        <v>20.8</v>
      </c>
      <c r="N32" t="n">
        <v>19.86666666666666</v>
      </c>
      <c r="O32" t="n">
        <v>19.6</v>
      </c>
      <c r="P32" t="n">
        <v>19.53333333333333</v>
      </c>
      <c r="Q32" t="n">
        <v>19.13333333333334</v>
      </c>
      <c r="R32" t="n">
        <v>19.86666666666667</v>
      </c>
      <c r="S32" t="n">
        <v>20.33333333333333</v>
      </c>
      <c r="T32" t="n">
        <v>19.46666666666667</v>
      </c>
      <c r="U32" t="n">
        <v>19.8</v>
      </c>
      <c r="V32" t="n">
        <v>20.2</v>
      </c>
      <c r="W32" t="n">
        <v>19.93333333333333</v>
      </c>
      <c r="X32" t="n">
        <v>20.4</v>
      </c>
      <c r="Y32" t="n">
        <v>20.33333333333333</v>
      </c>
      <c r="Z32" t="n">
        <v>21.13333333333333</v>
      </c>
      <c r="AA32" t="n">
        <v>21.06666666666667</v>
      </c>
      <c r="AB32" t="n">
        <v>20.33333333333333</v>
      </c>
      <c r="AC32" t="n">
        <v>20.53333333333333</v>
      </c>
      <c r="AD32" t="n">
        <v>20.46666666666667</v>
      </c>
      <c r="AE32" t="n">
        <v>20.13333333333333</v>
      </c>
      <c r="AF32" t="n">
        <v>21.06666666666667</v>
      </c>
      <c r="AG32" t="n">
        <v>20.33333333333333</v>
      </c>
      <c r="AH32" t="n">
        <v>20</v>
      </c>
      <c r="AI32" t="n">
        <v>19.73333333333333</v>
      </c>
      <c r="AJ32" t="n">
        <v>20.4</v>
      </c>
      <c r="AK32" t="n">
        <v>20.33333333333333</v>
      </c>
      <c r="AL32" t="n">
        <v>20.06666666666667</v>
      </c>
      <c r="AM32" t="n">
        <v>20.66666666666667</v>
      </c>
      <c r="AN32" t="n">
        <v>20.13333333333333</v>
      </c>
      <c r="AP32" t="n">
        <v>20.18279569892473</v>
      </c>
    </row>
    <row r="33">
      <c r="A33" t="n">
        <v>36025010</v>
      </c>
      <c r="B33" t="inlineStr">
        <is>
          <t>TAME [36025010]</t>
        </is>
      </c>
      <c r="C33" t="inlineStr">
        <is>
          <t>Arauca</t>
        </is>
      </c>
      <c r="D33" t="inlineStr">
        <is>
          <t>Tame</t>
        </is>
      </c>
      <c r="E33" t="inlineStr">
        <is>
          <t>Area Operativa 06 - Boyacá-Casanare-Vichada</t>
        </is>
      </c>
      <c r="F33" t="inlineStr">
        <is>
          <t>TSSM_MEDIA_D</t>
        </is>
      </c>
      <c r="G33" t="inlineStr">
        <is>
          <t>6.456194444</t>
        </is>
      </c>
      <c r="H33" t="inlineStr">
        <is>
          <t>-71.74502778</t>
        </is>
      </c>
      <c r="I33" t="inlineStr">
        <is>
          <t>350</t>
        </is>
      </c>
      <c r="K33" t="n">
        <v>27.4</v>
      </c>
      <c r="L33" t="n">
        <v>26</v>
      </c>
      <c r="M33" t="n">
        <v>26.73333333333333</v>
      </c>
      <c r="N33" t="n">
        <v>27.86666666666666</v>
      </c>
      <c r="O33" t="n">
        <v>27.46666666666667</v>
      </c>
      <c r="P33" t="n">
        <v>24.93333333333333</v>
      </c>
      <c r="Q33" t="n">
        <v>25.46666666666667</v>
      </c>
      <c r="R33" t="n">
        <v>26.73333333333333</v>
      </c>
      <c r="S33" t="n">
        <v>26.2</v>
      </c>
      <c r="T33" t="n">
        <v>25.8</v>
      </c>
      <c r="U33" t="n">
        <v>26.53333333333333</v>
      </c>
      <c r="V33" t="n">
        <v>23.2</v>
      </c>
      <c r="W33" t="n">
        <v>26.53333333333333</v>
      </c>
      <c r="X33" t="n">
        <v>27.33333333333333</v>
      </c>
      <c r="Y33" t="n">
        <v>27.93333333333334</v>
      </c>
      <c r="Z33" t="n">
        <v>28.03333333333333</v>
      </c>
      <c r="AA33" t="n">
        <v>26.2</v>
      </c>
      <c r="AB33" t="n">
        <v>26.86666666666666</v>
      </c>
      <c r="AC33" t="n">
        <v>26.93333333333334</v>
      </c>
      <c r="AD33" t="n">
        <v>27.53333333333333</v>
      </c>
      <c r="AE33" t="n">
        <v>26.26666666666667</v>
      </c>
      <c r="AF33" t="n">
        <v>28.66666666666667</v>
      </c>
      <c r="AG33" t="n">
        <v>28.2</v>
      </c>
      <c r="AH33" t="n">
        <v>27.8</v>
      </c>
      <c r="AI33" t="n">
        <v>27.53333333333333</v>
      </c>
      <c r="AJ33" t="n">
        <v>23.93333333333333</v>
      </c>
      <c r="AK33" t="n">
        <v>24.13333333333333</v>
      </c>
      <c r="AL33" t="n">
        <v>26.46666666666667</v>
      </c>
      <c r="AM33" t="n">
        <v>25.26666666666667</v>
      </c>
      <c r="AN33" t="n">
        <v>26.86666666666666</v>
      </c>
      <c r="AP33" t="n">
        <v>26.56111111111111</v>
      </c>
    </row>
    <row r="34">
      <c r="A34" t="n">
        <v>24035070</v>
      </c>
      <c r="B34" t="inlineStr">
        <is>
          <t>GUICAN [24035070]</t>
        </is>
      </c>
      <c r="C34" t="inlineStr">
        <is>
          <t>Boyacá</t>
        </is>
      </c>
      <c r="D34" t="inlineStr">
        <is>
          <t>Guicán</t>
        </is>
      </c>
      <c r="E34" t="inlineStr">
        <is>
          <t>Area Operativa 06 - Boyacá-Casanare-Vichada</t>
        </is>
      </c>
      <c r="F34" t="inlineStr">
        <is>
          <t>TSSM_MEDIA_D</t>
        </is>
      </c>
      <c r="G34" t="inlineStr">
        <is>
          <t>6.463472222</t>
        </is>
      </c>
      <c r="H34" t="inlineStr">
        <is>
          <t>-72.40919444</t>
        </is>
      </c>
      <c r="I34" t="inlineStr">
        <is>
          <t>2963</t>
        </is>
      </c>
      <c r="J34" t="n">
        <v>14.56666666666667</v>
      </c>
      <c r="K34" t="n">
        <v>13.93333333333333</v>
      </c>
      <c r="L34" t="n">
        <v>13.43333333333333</v>
      </c>
      <c r="M34" t="n">
        <v>13.16666666666667</v>
      </c>
      <c r="N34" t="n">
        <v>13.66666666666667</v>
      </c>
      <c r="O34" t="n">
        <v>12.46666666666667</v>
      </c>
      <c r="P34" t="n">
        <v>12.9</v>
      </c>
      <c r="Q34" t="n">
        <v>13.23333333333333</v>
      </c>
      <c r="R34" t="n">
        <v>13.63333333333333</v>
      </c>
      <c r="S34" t="n">
        <v>13.53333333333333</v>
      </c>
      <c r="T34" t="n">
        <v>13.03333333333333</v>
      </c>
      <c r="U34" t="n">
        <v>13.16666666666667</v>
      </c>
      <c r="V34" t="n">
        <v>13.46666666666667</v>
      </c>
      <c r="W34" t="n">
        <v>14.53333333333333</v>
      </c>
      <c r="X34" t="n">
        <v>13.9</v>
      </c>
      <c r="Y34" t="n">
        <v>14.36666666666667</v>
      </c>
      <c r="Z34" t="n">
        <v>14.2</v>
      </c>
      <c r="AA34" t="n">
        <v>14.1</v>
      </c>
      <c r="AB34" t="n">
        <v>14.73333333333333</v>
      </c>
      <c r="AC34" t="n">
        <v>14.56666666666667</v>
      </c>
      <c r="AD34" t="n">
        <v>13.93333333333333</v>
      </c>
      <c r="AE34" t="n">
        <v>13.83333333333333</v>
      </c>
      <c r="AF34" t="n">
        <v>14.23333333333333</v>
      </c>
      <c r="AG34" t="n">
        <v>13.7</v>
      </c>
      <c r="AH34" t="n">
        <v>14.4</v>
      </c>
      <c r="AI34" t="n">
        <v>13.7</v>
      </c>
      <c r="AJ34" t="n">
        <v>11.96666666666667</v>
      </c>
      <c r="AK34" t="n">
        <v>14.26666666666667</v>
      </c>
      <c r="AL34" t="n">
        <v>14.4</v>
      </c>
      <c r="AM34" t="n">
        <v>13.7</v>
      </c>
      <c r="AN34" t="n">
        <v>14.4</v>
      </c>
      <c r="AP34" t="n">
        <v>13.77849462365591</v>
      </c>
    </row>
    <row r="35">
      <c r="A35" t="n">
        <v>24025040</v>
      </c>
      <c r="B35" t="inlineStr">
        <is>
          <t>ESCUELA AGRICOLA MOGOTES [24025040]</t>
        </is>
      </c>
      <c r="C35" t="inlineStr">
        <is>
          <t>Santander</t>
        </is>
      </c>
      <c r="D35" t="inlineStr">
        <is>
          <t>Mogotes</t>
        </is>
      </c>
      <c r="E35" t="inlineStr">
        <is>
          <t>Area Operativa 08 - Santanderes-Arauca</t>
        </is>
      </c>
      <c r="F35" t="inlineStr">
        <is>
          <t>TSSM_MEDIA_D</t>
        </is>
      </c>
      <c r="G35" t="inlineStr">
        <is>
          <t>6.47</t>
        </is>
      </c>
      <c r="H35" t="inlineStr">
        <is>
          <t>-72.96888889</t>
        </is>
      </c>
      <c r="I35" t="inlineStr">
        <is>
          <t>1673</t>
        </is>
      </c>
      <c r="J35" t="n">
        <v>19.4</v>
      </c>
      <c r="K35" t="n">
        <v>19.4</v>
      </c>
      <c r="L35" t="n">
        <v>19.2</v>
      </c>
      <c r="M35" t="n">
        <v>18.4</v>
      </c>
      <c r="N35" t="n">
        <v>18.6</v>
      </c>
      <c r="O35" t="n">
        <v>18.53333333333333</v>
      </c>
      <c r="P35" t="n">
        <v>18.4</v>
      </c>
      <c r="Q35" t="n">
        <v>18.4</v>
      </c>
      <c r="R35" t="n">
        <v>19.33333333333333</v>
      </c>
      <c r="S35" t="n">
        <v>18.33333333333333</v>
      </c>
      <c r="T35" t="n">
        <v>18.66666666666667</v>
      </c>
      <c r="U35" t="n">
        <v>19.33333333333333</v>
      </c>
      <c r="V35" t="n">
        <v>18.33333333333333</v>
      </c>
      <c r="W35" t="n">
        <v>19.4</v>
      </c>
      <c r="X35" t="n">
        <v>18.66666666666667</v>
      </c>
      <c r="Y35" t="n">
        <v>19.4</v>
      </c>
      <c r="Z35" t="n">
        <v>19.8</v>
      </c>
      <c r="AC35" t="n">
        <v>18.86666666666667</v>
      </c>
      <c r="AD35" t="n">
        <v>18.8</v>
      </c>
      <c r="AE35" t="n">
        <v>19.6</v>
      </c>
      <c r="AF35" t="n">
        <v>18.66666666666667</v>
      </c>
      <c r="AG35" t="n">
        <v>18.53333333333333</v>
      </c>
      <c r="AH35" t="n">
        <v>18.6</v>
      </c>
      <c r="AI35" t="n">
        <v>18.73333333333333</v>
      </c>
      <c r="AJ35" t="n">
        <v>19.26666666666667</v>
      </c>
      <c r="AK35" t="n">
        <v>20.2</v>
      </c>
      <c r="AL35" t="n">
        <v>19.86666666666667</v>
      </c>
      <c r="AM35" t="n">
        <v>19.66666666666667</v>
      </c>
      <c r="AN35" t="n">
        <v>19</v>
      </c>
      <c r="AP35" t="n">
        <v>19.01379310344828</v>
      </c>
    </row>
    <row r="36">
      <c r="A36" t="n">
        <v>23085080</v>
      </c>
      <c r="B36" t="inlineStr">
        <is>
          <t>GRANJA EXPERIMENTAL EL NUS [23085080]</t>
        </is>
      </c>
      <c r="C36" t="inlineStr">
        <is>
          <t>Antioquia</t>
        </is>
      </c>
      <c r="D36" t="inlineStr">
        <is>
          <t>San Roque</t>
        </is>
      </c>
      <c r="E36" t="inlineStr">
        <is>
          <t>Area Operativa 01 - Antioquia-Chocó</t>
        </is>
      </c>
      <c r="F36" t="inlineStr">
        <is>
          <t>TSSM_MEDIA_D</t>
        </is>
      </c>
      <c r="G36" t="inlineStr">
        <is>
          <t>6.483583333</t>
        </is>
      </c>
      <c r="H36" t="inlineStr">
        <is>
          <t>-74.83669444</t>
        </is>
      </c>
      <c r="I36" t="inlineStr">
        <is>
          <t>859</t>
        </is>
      </c>
      <c r="J36" t="n">
        <v>23.2</v>
      </c>
      <c r="K36" t="n">
        <v>24</v>
      </c>
      <c r="L36" t="n">
        <v>23.95</v>
      </c>
      <c r="M36" t="n">
        <v>22.15</v>
      </c>
      <c r="N36" t="n">
        <v>22.85</v>
      </c>
      <c r="O36" t="n">
        <v>22.6</v>
      </c>
      <c r="P36" t="n">
        <v>23.1</v>
      </c>
      <c r="Q36" t="n">
        <v>23.85</v>
      </c>
      <c r="R36" t="n">
        <v>23.45</v>
      </c>
      <c r="S36" t="n">
        <v>23</v>
      </c>
      <c r="T36" t="n">
        <v>22.45</v>
      </c>
      <c r="U36" t="n">
        <v>22.55</v>
      </c>
      <c r="V36" t="n">
        <v>22.55</v>
      </c>
      <c r="W36" t="n">
        <v>23.9</v>
      </c>
      <c r="X36" t="n">
        <v>23.3</v>
      </c>
      <c r="Y36" t="n">
        <v>22.5</v>
      </c>
      <c r="Z36" t="n">
        <v>24.15</v>
      </c>
      <c r="AA36" t="n">
        <v>24</v>
      </c>
      <c r="AB36" t="n">
        <v>22.55</v>
      </c>
      <c r="AC36" t="n">
        <v>24.2</v>
      </c>
      <c r="AD36" t="n">
        <v>23.55</v>
      </c>
      <c r="AE36" t="n">
        <v>23.6</v>
      </c>
      <c r="AF36" t="n">
        <v>23.15</v>
      </c>
      <c r="AG36" t="n">
        <v>22.85</v>
      </c>
      <c r="AH36" t="n">
        <v>22.85</v>
      </c>
      <c r="AI36" t="n">
        <v>24.55</v>
      </c>
      <c r="AJ36" t="n">
        <v>23.7</v>
      </c>
      <c r="AK36" t="n">
        <v>23</v>
      </c>
      <c r="AL36" t="n">
        <v>22.55</v>
      </c>
      <c r="AM36" t="n">
        <v>23.3</v>
      </c>
      <c r="AN36" t="n">
        <v>23.3</v>
      </c>
      <c r="AP36" t="n">
        <v>23.24838709677419</v>
      </c>
    </row>
    <row r="37">
      <c r="A37" t="n">
        <v>24035260</v>
      </c>
      <c r="B37" t="inlineStr">
        <is>
          <t>CAPITANEJO [24035260]</t>
        </is>
      </c>
      <c r="C37" t="inlineStr">
        <is>
          <t>Santander</t>
        </is>
      </c>
      <c r="D37" t="inlineStr">
        <is>
          <t>Capitanejo</t>
        </is>
      </c>
      <c r="E37" t="inlineStr">
        <is>
          <t>Area Operativa 06 - Boyacá-Casanare-Vichada</t>
        </is>
      </c>
      <c r="F37" t="inlineStr">
        <is>
          <t>TSSM_MEDIA_D</t>
        </is>
      </c>
      <c r="G37" t="inlineStr">
        <is>
          <t>6.520722222</t>
        </is>
      </c>
      <c r="H37" t="inlineStr">
        <is>
          <t>-72.69661111</t>
        </is>
      </c>
      <c r="I37" t="inlineStr">
        <is>
          <t>1160</t>
        </is>
      </c>
      <c r="J37" t="n">
        <v>28.13333333333334</v>
      </c>
      <c r="K37" t="n">
        <v>26</v>
      </c>
      <c r="L37" t="n">
        <v>25.53333333333333</v>
      </c>
      <c r="M37" t="n">
        <v>24.66666666666667</v>
      </c>
      <c r="N37" t="n">
        <v>25.13333333333333</v>
      </c>
      <c r="O37" t="n">
        <v>24.26666666666667</v>
      </c>
      <c r="P37" t="n">
        <v>24.6</v>
      </c>
      <c r="Q37" t="n">
        <v>25.33333333333333</v>
      </c>
      <c r="R37" t="n">
        <v>26.33333333333333</v>
      </c>
      <c r="S37" t="n">
        <v>25.6</v>
      </c>
      <c r="T37" t="n">
        <v>25.73333333333333</v>
      </c>
      <c r="U37" t="n">
        <v>24.6</v>
      </c>
      <c r="V37" t="n">
        <v>26.33333333333333</v>
      </c>
      <c r="W37" t="n">
        <v>25.4</v>
      </c>
      <c r="X37" t="n">
        <v>25.4</v>
      </c>
      <c r="Y37" t="n">
        <v>25.86666666666666</v>
      </c>
      <c r="Z37" t="n">
        <v>27.13333333333334</v>
      </c>
      <c r="AA37" t="n">
        <v>28.13333333333334</v>
      </c>
      <c r="AB37" t="n">
        <v>27.26666666666667</v>
      </c>
      <c r="AC37" t="n">
        <v>27.2</v>
      </c>
      <c r="AD37" t="n">
        <v>26.73333333333333</v>
      </c>
      <c r="AE37" t="n">
        <v>27.2</v>
      </c>
      <c r="AF37" t="n">
        <v>28.26666666666667</v>
      </c>
      <c r="AG37" t="n">
        <v>27.13333333333334</v>
      </c>
      <c r="AH37" t="n">
        <v>26.86666666666666</v>
      </c>
      <c r="AI37" t="n">
        <v>27.2</v>
      </c>
      <c r="AJ37" t="n">
        <v>24.93333333333334</v>
      </c>
      <c r="AN37" t="n">
        <v>25.46666666666667</v>
      </c>
      <c r="AP37" t="n">
        <v>26.15952380952381</v>
      </c>
    </row>
    <row r="38">
      <c r="A38" t="n">
        <v>24035310</v>
      </c>
      <c r="B38" t="inlineStr">
        <is>
          <t>CHISCAS [24035310]</t>
        </is>
      </c>
      <c r="C38" t="inlineStr">
        <is>
          <t>Boyacá</t>
        </is>
      </c>
      <c r="D38" t="inlineStr">
        <is>
          <t>Chiscas</t>
        </is>
      </c>
      <c r="E38" t="inlineStr">
        <is>
          <t>Area Operativa 06 - Boyacá-Casanare-Vichada</t>
        </is>
      </c>
      <c r="F38" t="inlineStr">
        <is>
          <t>TSSM_MEDIA_D</t>
        </is>
      </c>
      <c r="G38" t="inlineStr">
        <is>
          <t>6.549527778</t>
        </is>
      </c>
      <c r="H38" t="inlineStr">
        <is>
          <t>-72.50472222</t>
        </is>
      </c>
      <c r="I38" t="inlineStr">
        <is>
          <t>2350</t>
        </is>
      </c>
      <c r="J38" t="n">
        <v>15.6</v>
      </c>
      <c r="K38" t="n">
        <v>15.7</v>
      </c>
      <c r="L38" t="n">
        <v>14.96666666666667</v>
      </c>
      <c r="M38" t="n">
        <v>14.83333333333333</v>
      </c>
      <c r="N38" t="n">
        <v>14.83333333333333</v>
      </c>
      <c r="O38" t="n">
        <v>14.8</v>
      </c>
      <c r="P38" t="n">
        <v>14.26666666666667</v>
      </c>
      <c r="Q38" t="n">
        <v>15.86666666666667</v>
      </c>
      <c r="R38" t="n">
        <v>14.9</v>
      </c>
      <c r="S38" t="n">
        <v>15.3</v>
      </c>
      <c r="V38" t="n">
        <v>14.9</v>
      </c>
      <c r="W38" t="n">
        <v>17.56666666666667</v>
      </c>
      <c r="X38" t="n">
        <v>17.63333333333334</v>
      </c>
      <c r="Y38" t="n">
        <v>20.06666666666667</v>
      </c>
      <c r="Z38" t="n">
        <v>18.23333333333333</v>
      </c>
      <c r="AA38" t="n">
        <v>16.3</v>
      </c>
      <c r="AB38" t="n">
        <v>15.36666666666667</v>
      </c>
      <c r="AC38" t="n">
        <v>14.53333333333333</v>
      </c>
      <c r="AD38" t="n">
        <v>15.56666666666666</v>
      </c>
      <c r="AE38" t="n">
        <v>16.5</v>
      </c>
      <c r="AF38" t="n">
        <v>16.86666666666667</v>
      </c>
      <c r="AG38" t="n">
        <v>16.86666666666666</v>
      </c>
      <c r="AH38" t="n">
        <v>16.2</v>
      </c>
      <c r="AP38" t="n">
        <v>15.98550724637681</v>
      </c>
    </row>
    <row r="39">
      <c r="A39" t="n">
        <v>24055040</v>
      </c>
      <c r="B39" t="inlineStr">
        <is>
          <t>PALMAR EL [24055040]</t>
        </is>
      </c>
      <c r="C39" t="inlineStr">
        <is>
          <t>Santander</t>
        </is>
      </c>
      <c r="D39" t="inlineStr">
        <is>
          <t>Palmar</t>
        </is>
      </c>
      <c r="E39" t="inlineStr">
        <is>
          <t>Area Operativa 08 - Santanderes-Arauca</t>
        </is>
      </c>
      <c r="F39" t="inlineStr">
        <is>
          <t>TSSM_MEDIA_D</t>
        </is>
      </c>
      <c r="G39" t="inlineStr">
        <is>
          <t>6.549722222</t>
        </is>
      </c>
      <c r="H39" t="inlineStr">
        <is>
          <t>-73.292</t>
        </is>
      </c>
      <c r="I39" t="inlineStr">
        <is>
          <t>940</t>
        </is>
      </c>
      <c r="J39" t="n">
        <v>27.75</v>
      </c>
      <c r="K39" t="n">
        <v>27.45</v>
      </c>
      <c r="L39" t="n">
        <v>26.8</v>
      </c>
      <c r="M39" t="n">
        <v>26.4</v>
      </c>
      <c r="N39" t="n">
        <v>26.9</v>
      </c>
      <c r="O39" t="n">
        <v>26.6</v>
      </c>
      <c r="P39" t="n">
        <v>27.05</v>
      </c>
      <c r="Q39" t="n">
        <v>27.15</v>
      </c>
      <c r="R39" t="n">
        <v>27.3</v>
      </c>
      <c r="S39" t="n">
        <v>25.9</v>
      </c>
      <c r="T39" t="n">
        <v>26.35</v>
      </c>
      <c r="U39" t="n">
        <v>26.55</v>
      </c>
      <c r="V39" t="n">
        <v>25.85</v>
      </c>
      <c r="W39" t="n">
        <v>26.15</v>
      </c>
      <c r="X39" t="n">
        <v>27</v>
      </c>
      <c r="Y39" t="n">
        <v>27.35</v>
      </c>
      <c r="Z39" t="n">
        <v>27.8</v>
      </c>
      <c r="AA39" t="n">
        <v>28.1</v>
      </c>
      <c r="AB39" t="n">
        <v>28.45</v>
      </c>
      <c r="AC39" t="n">
        <v>27.75</v>
      </c>
      <c r="AD39" t="n">
        <v>28.5</v>
      </c>
      <c r="AE39" t="n">
        <v>28.6</v>
      </c>
      <c r="AF39" t="n">
        <v>27.75</v>
      </c>
      <c r="AG39" t="n">
        <v>26.55</v>
      </c>
      <c r="AH39" t="n">
        <v>27.65</v>
      </c>
      <c r="AI39" t="n">
        <v>27.2</v>
      </c>
      <c r="AJ39" t="n">
        <v>27.1</v>
      </c>
      <c r="AK39" t="n">
        <v>27</v>
      </c>
      <c r="AL39" t="n">
        <v>26.8</v>
      </c>
      <c r="AM39" t="n">
        <v>27</v>
      </c>
      <c r="AN39" t="n">
        <v>26.5</v>
      </c>
      <c r="AP39" t="n">
        <v>27.13870967741936</v>
      </c>
    </row>
    <row r="40">
      <c r="A40" t="n">
        <v>23125050</v>
      </c>
      <c r="B40" t="inlineStr">
        <is>
          <t>CARARE [23125050]</t>
        </is>
      </c>
      <c r="C40" t="inlineStr">
        <is>
          <t>Santander</t>
        </is>
      </c>
      <c r="D40" t="inlineStr">
        <is>
          <t>Puerto Parra</t>
        </is>
      </c>
      <c r="E40" t="inlineStr">
        <is>
          <t>Area Operativa 08 - Santanderes-Arauca</t>
        </is>
      </c>
      <c r="F40" t="inlineStr">
        <is>
          <t>TSSM_MEDIA_D</t>
        </is>
      </c>
      <c r="G40" t="inlineStr">
        <is>
          <t>6.649444444</t>
        </is>
      </c>
      <c r="H40" t="inlineStr">
        <is>
          <t>-74.06138889</t>
        </is>
      </c>
      <c r="I40" t="inlineStr">
        <is>
          <t>168</t>
        </is>
      </c>
      <c r="J40" t="n">
        <v>28.13333333333334</v>
      </c>
      <c r="K40" t="n">
        <v>27.46666666666667</v>
      </c>
      <c r="L40" t="n">
        <v>27.13333333333334</v>
      </c>
      <c r="M40" t="n">
        <v>27.33333333333333</v>
      </c>
      <c r="N40" t="n">
        <v>28.33333333333333</v>
      </c>
      <c r="O40" t="n">
        <v>28.4</v>
      </c>
      <c r="R40" t="n">
        <v>29.4</v>
      </c>
      <c r="S40" t="n">
        <v>27.8</v>
      </c>
      <c r="AP40" t="n">
        <v>28</v>
      </c>
    </row>
    <row r="41">
      <c r="A41" t="n">
        <v>23145020</v>
      </c>
      <c r="B41" t="inlineStr">
        <is>
          <t>CARMEN EL [23145020]</t>
        </is>
      </c>
      <c r="C41" t="inlineStr">
        <is>
          <t>Santander</t>
        </is>
      </c>
      <c r="D41" t="inlineStr">
        <is>
          <t>El Carmen</t>
        </is>
      </c>
      <c r="E41" t="inlineStr">
        <is>
          <t>Area Operativa 08 - Santanderes-Arauca</t>
        </is>
      </c>
      <c r="F41" t="inlineStr">
        <is>
          <t>TSSM_MEDIA_D</t>
        </is>
      </c>
      <c r="G41" t="inlineStr">
        <is>
          <t>6.696388889</t>
        </is>
      </c>
      <c r="H41" t="inlineStr">
        <is>
          <t>-73.51</t>
        </is>
      </c>
      <c r="I41" t="inlineStr">
        <is>
          <t>805</t>
        </is>
      </c>
      <c r="J41" t="n">
        <v>24.86666666666666</v>
      </c>
      <c r="M41" t="n">
        <v>24.6</v>
      </c>
      <c r="N41" t="n">
        <v>25.13333333333334</v>
      </c>
      <c r="O41" t="n">
        <v>25.26666666666667</v>
      </c>
      <c r="P41" t="n">
        <v>24.6</v>
      </c>
      <c r="T41" t="n">
        <v>24.2</v>
      </c>
      <c r="W41" t="n">
        <v>25</v>
      </c>
      <c r="Z41" t="n">
        <v>25.86666666666666</v>
      </c>
      <c r="AB41" t="n">
        <v>25.6</v>
      </c>
      <c r="AC41" t="n">
        <v>26.13333333333334</v>
      </c>
      <c r="AD41" t="n">
        <v>25.4</v>
      </c>
      <c r="AH41" t="n">
        <v>25.06666666666667</v>
      </c>
      <c r="AI41" t="n">
        <v>24.66666666666667</v>
      </c>
      <c r="AK41" t="n">
        <v>25.4</v>
      </c>
      <c r="AN41" t="n">
        <v>24.6</v>
      </c>
      <c r="AP41" t="n">
        <v>25.09333333333333</v>
      </c>
    </row>
    <row r="42">
      <c r="A42" t="n">
        <v>36015010</v>
      </c>
      <c r="B42" t="inlineStr">
        <is>
          <t>PAZ DE ARIPORO [36015010]</t>
        </is>
      </c>
      <c r="C42" t="inlineStr">
        <is>
          <t>Casanare</t>
        </is>
      </c>
      <c r="D42" t="inlineStr">
        <is>
          <t>Paz De Ariporo</t>
        </is>
      </c>
      <c r="E42" t="inlineStr">
        <is>
          <t>Area Operativa 06 - Boyacá-Casanare-Vichada</t>
        </is>
      </c>
      <c r="F42" t="inlineStr">
        <is>
          <t>TSSM_MEDIA_D</t>
        </is>
      </c>
      <c r="G42" t="inlineStr">
        <is>
          <t>5.878527778</t>
        </is>
      </c>
      <c r="H42" t="inlineStr">
        <is>
          <t>-71.88719444</t>
        </is>
      </c>
      <c r="I42" t="inlineStr">
        <is>
          <t>342</t>
        </is>
      </c>
      <c r="K42" t="n">
        <v>27.86666666666666</v>
      </c>
      <c r="L42" t="n">
        <v>27.73333333333333</v>
      </c>
      <c r="O42" t="n">
        <v>27.8</v>
      </c>
      <c r="P42" t="n">
        <v>28.26666666666667</v>
      </c>
      <c r="Q42" t="n">
        <v>28.73333333333333</v>
      </c>
      <c r="R42" t="n">
        <v>29</v>
      </c>
      <c r="AD42" t="n">
        <v>29</v>
      </c>
      <c r="AE42" t="n">
        <v>29.13333333333334</v>
      </c>
      <c r="AF42" t="n">
        <v>28.8</v>
      </c>
      <c r="AJ42" t="n">
        <v>28.6</v>
      </c>
      <c r="AM42" t="n">
        <v>28.2</v>
      </c>
      <c r="AP42" t="n">
        <v>28.46666666666667</v>
      </c>
    </row>
    <row r="43">
      <c r="A43" t="n">
        <v>24035420</v>
      </c>
      <c r="B43" t="inlineStr">
        <is>
          <t>CERINZA [240354200]</t>
        </is>
      </c>
      <c r="C43" t="inlineStr">
        <is>
          <t>Boyacá</t>
        </is>
      </c>
      <c r="D43" t="inlineStr">
        <is>
          <t>Cerinza</t>
        </is>
      </c>
      <c r="E43" t="inlineStr">
        <is>
          <t>Area Operativa 06 - Boyacá-Casanare-Vichada</t>
        </is>
      </c>
      <c r="F43" t="inlineStr">
        <is>
          <t>TSSM_MEDIA_D</t>
        </is>
      </c>
      <c r="G43" t="inlineStr">
        <is>
          <t>5.96225</t>
        </is>
      </c>
      <c r="H43" t="inlineStr">
        <is>
          <t>-72.9385</t>
        </is>
      </c>
      <c r="I43" t="inlineStr">
        <is>
          <t>2643</t>
        </is>
      </c>
      <c r="L43" t="n">
        <v>15.46666666666667</v>
      </c>
      <c r="M43" t="n">
        <v>15.4</v>
      </c>
      <c r="O43" t="n">
        <v>16.4</v>
      </c>
      <c r="P43" t="n">
        <v>15.26666666666667</v>
      </c>
      <c r="Q43" t="n">
        <v>16.06666666666667</v>
      </c>
      <c r="R43" t="n">
        <v>14.4</v>
      </c>
      <c r="U43" t="n">
        <v>14.86666666666667</v>
      </c>
      <c r="V43" t="n">
        <v>14.86666666666667</v>
      </c>
      <c r="W43" t="n">
        <v>15</v>
      </c>
      <c r="X43" t="n">
        <v>16.13333333333334</v>
      </c>
      <c r="AA43" t="n">
        <v>16.6</v>
      </c>
      <c r="AE43" t="n">
        <v>16.86666666666666</v>
      </c>
      <c r="AF43" t="n">
        <v>15.93333333333333</v>
      </c>
      <c r="AG43" t="n">
        <v>17.86666666666667</v>
      </c>
      <c r="AH43" t="n">
        <v>19.4</v>
      </c>
      <c r="AP43" t="n">
        <v>16.03555555555556</v>
      </c>
    </row>
    <row r="44">
      <c r="A44" t="n">
        <v>22055020</v>
      </c>
      <c r="B44" t="inlineStr">
        <is>
          <t>MESA DE POLE [22055020]</t>
        </is>
      </c>
      <c r="C44" t="inlineStr">
        <is>
          <t>Tolima</t>
        </is>
      </c>
      <c r="D44" t="inlineStr">
        <is>
          <t>Ataco</t>
        </is>
      </c>
      <c r="E44" t="inlineStr">
        <is>
          <t>Area Operativa 10 - Tolima</t>
        </is>
      </c>
      <c r="F44" t="inlineStr">
        <is>
          <t>TSSM_MEDIA_D</t>
        </is>
      </c>
      <c r="G44" t="inlineStr">
        <is>
          <t>3.455777778</t>
        </is>
      </c>
      <c r="H44" t="inlineStr">
        <is>
          <t>-75.53636111</t>
        </is>
      </c>
      <c r="I44" t="inlineStr">
        <is>
          <t>699</t>
        </is>
      </c>
      <c r="J44" t="n">
        <v>26.85</v>
      </c>
      <c r="K44" t="n">
        <v>26</v>
      </c>
      <c r="L44" t="n">
        <v>27.35</v>
      </c>
      <c r="M44" t="n">
        <v>24.8</v>
      </c>
      <c r="N44" t="n">
        <v>26</v>
      </c>
      <c r="O44" t="n">
        <v>23.5</v>
      </c>
      <c r="S44" t="n">
        <v>26.15</v>
      </c>
      <c r="T44" t="n">
        <v>24.05</v>
      </c>
      <c r="U44" t="n">
        <v>23.7</v>
      </c>
      <c r="V44" t="n">
        <v>24.45</v>
      </c>
      <c r="W44" t="n">
        <v>25.9</v>
      </c>
      <c r="X44" t="n">
        <v>24.85</v>
      </c>
      <c r="Y44" t="n">
        <v>24.2</v>
      </c>
      <c r="Z44" t="n">
        <v>25.9</v>
      </c>
      <c r="AA44" t="n">
        <v>26.95</v>
      </c>
      <c r="AB44" t="n">
        <v>25.55</v>
      </c>
      <c r="AC44" t="n">
        <v>27.05</v>
      </c>
      <c r="AD44" t="n">
        <v>25.65</v>
      </c>
      <c r="AE44" t="n">
        <v>24.55</v>
      </c>
      <c r="AF44" t="n">
        <v>24.35</v>
      </c>
      <c r="AG44" t="n">
        <v>24.55</v>
      </c>
      <c r="AH44" t="n">
        <v>25.15</v>
      </c>
      <c r="AJ44" t="n">
        <v>25.75</v>
      </c>
      <c r="AK44" t="n">
        <v>26.1</v>
      </c>
      <c r="AL44" t="n">
        <v>24.45</v>
      </c>
      <c r="AM44" t="n">
        <v>25.65</v>
      </c>
      <c r="AN44" t="n">
        <v>24</v>
      </c>
      <c r="AP44" t="n">
        <v>25.31296296296296</v>
      </c>
    </row>
    <row r="45">
      <c r="A45" t="n">
        <v>26075010</v>
      </c>
      <c r="B45" t="inlineStr">
        <is>
          <t>PALMIRA ICA [26075010]</t>
        </is>
      </c>
      <c r="C45" t="inlineStr">
        <is>
          <t>Valle Del Cauca</t>
        </is>
      </c>
      <c r="D45" t="inlineStr">
        <is>
          <t>Palmira</t>
        </is>
      </c>
      <c r="E45" t="inlineStr">
        <is>
          <t>Area Operativa 09 - Cauca-Valle-Caldas</t>
        </is>
      </c>
      <c r="F45" t="inlineStr">
        <is>
          <t>TSSM_MEDIA_D</t>
        </is>
      </c>
      <c r="G45" t="inlineStr">
        <is>
          <t>3.513472222</t>
        </is>
      </c>
      <c r="H45" t="inlineStr">
        <is>
          <t>-76.314888889</t>
        </is>
      </c>
      <c r="I45" t="inlineStr">
        <is>
          <t>1018</t>
        </is>
      </c>
      <c r="J45" t="n">
        <v>24.9</v>
      </c>
      <c r="K45" t="n">
        <v>23.375</v>
      </c>
      <c r="L45" t="n">
        <v>23.65</v>
      </c>
      <c r="M45" t="n">
        <v>24.05</v>
      </c>
      <c r="N45" t="n">
        <v>23.25</v>
      </c>
      <c r="O45" t="n">
        <v>23.625</v>
      </c>
      <c r="P45" t="n">
        <v>23.85</v>
      </c>
      <c r="Q45" t="n">
        <v>23.925</v>
      </c>
      <c r="R45" t="n">
        <v>24.2</v>
      </c>
      <c r="S45" t="n">
        <v>23.475</v>
      </c>
      <c r="T45" t="n">
        <v>22.4</v>
      </c>
      <c r="U45" t="n">
        <v>21.25</v>
      </c>
      <c r="V45" t="n">
        <v>22.25</v>
      </c>
      <c r="W45" t="n">
        <v>24.1</v>
      </c>
      <c r="X45" t="n">
        <v>21.6</v>
      </c>
      <c r="Y45" t="n">
        <v>23.5</v>
      </c>
      <c r="Z45" t="n">
        <v>25.3</v>
      </c>
      <c r="AA45" t="n">
        <v>24.65</v>
      </c>
      <c r="AB45" t="n">
        <v>23.05</v>
      </c>
      <c r="AC45" t="n">
        <v>24.925</v>
      </c>
      <c r="AD45" t="n">
        <v>24.6</v>
      </c>
      <c r="AE45" t="n">
        <v>21.9</v>
      </c>
      <c r="AF45" t="n">
        <v>23.575</v>
      </c>
      <c r="AG45" t="n">
        <v>24</v>
      </c>
      <c r="AH45" t="n">
        <v>24.025</v>
      </c>
      <c r="AI45" t="n">
        <v>22.35</v>
      </c>
      <c r="AJ45" t="n">
        <v>22.65</v>
      </c>
      <c r="AK45" t="n">
        <v>23.85</v>
      </c>
      <c r="AL45" t="n">
        <v>22.65</v>
      </c>
      <c r="AM45" t="n">
        <v>23.65</v>
      </c>
      <c r="AN45" t="n">
        <v>23.1</v>
      </c>
      <c r="AP45" t="n">
        <v>23.4733870967742</v>
      </c>
    </row>
    <row r="46">
      <c r="A46" t="n">
        <v>34015010</v>
      </c>
      <c r="B46" t="inlineStr">
        <is>
          <t>LAS GAVIOTAS [34015010]</t>
        </is>
      </c>
      <c r="C46" t="inlineStr">
        <is>
          <t>Vichada</t>
        </is>
      </c>
      <c r="D46" t="inlineStr">
        <is>
          <t>Cumaribo</t>
        </is>
      </c>
      <c r="E46" t="inlineStr">
        <is>
          <t>Area Operativa 03 - Meta-Guaviare-Guainía</t>
        </is>
      </c>
      <c r="F46" t="inlineStr">
        <is>
          <t>TSSM_MEDIA_D</t>
        </is>
      </c>
      <c r="G46" t="inlineStr">
        <is>
          <t>4.553891</t>
        </is>
      </c>
      <c r="H46" t="inlineStr">
        <is>
          <t>-70.930225</t>
        </is>
      </c>
      <c r="I46" t="inlineStr">
        <is>
          <t>173</t>
        </is>
      </c>
      <c r="J46" t="n">
        <v>27.55</v>
      </c>
      <c r="K46" t="n">
        <v>26.3</v>
      </c>
      <c r="L46" t="n">
        <v>25.2</v>
      </c>
      <c r="M46" t="n">
        <v>26.65</v>
      </c>
      <c r="N46" t="n">
        <v>26.95</v>
      </c>
      <c r="O46" t="n">
        <v>26.45</v>
      </c>
      <c r="P46" t="n">
        <v>26.5</v>
      </c>
      <c r="Q46" t="n">
        <v>26.25</v>
      </c>
      <c r="R46" t="n">
        <v>25.75</v>
      </c>
      <c r="S46" t="n">
        <v>27.25</v>
      </c>
      <c r="T46" t="n">
        <v>24.6</v>
      </c>
      <c r="U46" t="n">
        <v>25.5</v>
      </c>
      <c r="V46" t="n">
        <v>24.95</v>
      </c>
      <c r="X46" t="n">
        <v>25.4</v>
      </c>
      <c r="Y46" t="n">
        <v>25.8</v>
      </c>
      <c r="Z46" t="n">
        <v>26.5</v>
      </c>
      <c r="AA46" t="n">
        <v>27.05</v>
      </c>
      <c r="AB46" t="n">
        <v>27.3</v>
      </c>
      <c r="AC46" t="n">
        <v>26.9</v>
      </c>
      <c r="AD46" t="n">
        <v>26.3</v>
      </c>
      <c r="AE46" t="n">
        <v>26.05</v>
      </c>
      <c r="AF46" t="n">
        <v>26.4</v>
      </c>
      <c r="AG46" t="n">
        <v>27.7</v>
      </c>
      <c r="AH46" t="n">
        <v>26.95</v>
      </c>
      <c r="AI46" t="n">
        <v>27.05</v>
      </c>
      <c r="AJ46" t="n">
        <v>27.35</v>
      </c>
      <c r="AK46" t="n">
        <v>26.9</v>
      </c>
      <c r="AL46" t="n">
        <v>26.1</v>
      </c>
      <c r="AM46" t="n">
        <v>25.3</v>
      </c>
      <c r="AN46" t="n">
        <v>25.8</v>
      </c>
      <c r="AP46" t="n">
        <v>26.35833333333333</v>
      </c>
    </row>
    <row r="47">
      <c r="A47" t="n">
        <v>21135020</v>
      </c>
      <c r="B47" t="inlineStr">
        <is>
          <t>JABALCON [21135020]</t>
        </is>
      </c>
      <c r="C47" t="inlineStr">
        <is>
          <t>Tolima</t>
        </is>
      </c>
      <c r="D47" t="inlineStr">
        <is>
          <t>Saldaña</t>
        </is>
      </c>
      <c r="E47" t="inlineStr">
        <is>
          <t>Area Operativa 10 - Tolima</t>
        </is>
      </c>
      <c r="F47" t="inlineStr">
        <is>
          <t>TSSM_MEDIA_D</t>
        </is>
      </c>
      <c r="G47" t="inlineStr">
        <is>
          <t>3.85575</t>
        </is>
      </c>
      <c r="H47" t="inlineStr">
        <is>
          <t>-75.01575</t>
        </is>
      </c>
      <c r="I47" t="inlineStr">
        <is>
          <t>313</t>
        </is>
      </c>
      <c r="J47" t="n">
        <v>30.33333333333333</v>
      </c>
      <c r="K47" t="n">
        <v>28.46666666666667</v>
      </c>
      <c r="L47" t="n">
        <v>29.06666666666667</v>
      </c>
      <c r="M47" t="n">
        <v>25.2</v>
      </c>
      <c r="N47" t="n">
        <v>28.2</v>
      </c>
      <c r="O47" t="n">
        <v>25.4</v>
      </c>
      <c r="P47" t="n">
        <v>27.4</v>
      </c>
      <c r="Q47" t="n">
        <v>28.8</v>
      </c>
      <c r="R47" t="n">
        <v>28</v>
      </c>
      <c r="S47" t="n">
        <v>27.6</v>
      </c>
      <c r="T47" t="n">
        <v>27.06666666666667</v>
      </c>
      <c r="U47" t="n">
        <v>26.66666666666667</v>
      </c>
      <c r="V47" t="n">
        <v>27.6</v>
      </c>
      <c r="W47" t="n">
        <v>27.13333333333334</v>
      </c>
      <c r="X47" t="n">
        <v>26.46666666666667</v>
      </c>
      <c r="Y47" t="n">
        <v>28.46666666666667</v>
      </c>
      <c r="Z47" t="n">
        <v>29.46666666666667</v>
      </c>
      <c r="AA47" t="n">
        <v>29.46666666666667</v>
      </c>
      <c r="AB47" t="n">
        <v>29.06666666666667</v>
      </c>
      <c r="AC47" t="n">
        <v>29.8</v>
      </c>
      <c r="AD47" t="n">
        <v>29.06666666666667</v>
      </c>
      <c r="AE47" t="n">
        <v>26.8</v>
      </c>
      <c r="AF47" t="n">
        <v>28.86666666666666</v>
      </c>
      <c r="AG47" t="n">
        <v>28.26666666666667</v>
      </c>
      <c r="AH47" t="n">
        <v>27.73333333333333</v>
      </c>
      <c r="AI47" t="n">
        <v>29.26666666666667</v>
      </c>
      <c r="AJ47" t="n">
        <v>28.86666666666666</v>
      </c>
      <c r="AK47" t="n">
        <v>28.86666666666666</v>
      </c>
      <c r="AL47" t="n">
        <v>28.2</v>
      </c>
      <c r="AM47" t="n">
        <v>28.93333333333334</v>
      </c>
      <c r="AN47" t="n">
        <v>26.33333333333333</v>
      </c>
      <c r="AP47" t="n">
        <v>28.09247311827958</v>
      </c>
    </row>
    <row r="48">
      <c r="A48" t="n">
        <v>26145020</v>
      </c>
      <c r="B48" t="inlineStr">
        <is>
          <t>BELLAVISTA [26145020]</t>
        </is>
      </c>
      <c r="C48" t="inlineStr">
        <is>
          <t>Caldas</t>
        </is>
      </c>
      <c r="D48" t="inlineStr">
        <is>
          <t>Anserma</t>
        </is>
      </c>
      <c r="E48" t="inlineStr">
        <is>
          <t>Area Operativa 09 - Cauca-Valle-Caldas</t>
        </is>
      </c>
      <c r="F48" t="inlineStr">
        <is>
          <t>TSSM_MEDIA_D</t>
        </is>
      </c>
      <c r="G48" t="inlineStr">
        <is>
          <t>5.275944444</t>
        </is>
      </c>
      <c r="H48" t="inlineStr">
        <is>
          <t>-75.800138889</t>
        </is>
      </c>
      <c r="I48" t="inlineStr">
        <is>
          <t>1984</t>
        </is>
      </c>
      <c r="J48" t="n">
        <v>18.2</v>
      </c>
      <c r="K48" t="n">
        <v>17.35</v>
      </c>
      <c r="L48" t="n">
        <v>17.35</v>
      </c>
      <c r="M48" t="n">
        <v>17.3</v>
      </c>
      <c r="N48" t="n">
        <v>16.9</v>
      </c>
      <c r="O48" t="n">
        <v>16.25</v>
      </c>
      <c r="P48" t="n">
        <v>16.75</v>
      </c>
      <c r="Q48" t="n">
        <v>17.1</v>
      </c>
      <c r="R48" t="n">
        <v>17.2</v>
      </c>
      <c r="T48" t="n">
        <v>15.8</v>
      </c>
      <c r="U48" t="n">
        <v>16.05</v>
      </c>
      <c r="V48" t="n">
        <v>16.4</v>
      </c>
      <c r="W48" t="n">
        <v>17</v>
      </c>
      <c r="X48" t="n">
        <v>16.55</v>
      </c>
      <c r="Y48" t="n">
        <v>17.05</v>
      </c>
      <c r="Z48" t="n">
        <v>17.75</v>
      </c>
      <c r="AA48" t="n">
        <v>18.1</v>
      </c>
      <c r="AB48" t="n">
        <v>17.15</v>
      </c>
      <c r="AC48" t="n">
        <v>18.35</v>
      </c>
      <c r="AD48" t="n">
        <v>17.7</v>
      </c>
      <c r="AE48" t="n">
        <v>16.3</v>
      </c>
      <c r="AF48" t="n">
        <v>16.65</v>
      </c>
      <c r="AG48" t="n">
        <v>17.45</v>
      </c>
      <c r="AH48" t="n">
        <v>15.85</v>
      </c>
      <c r="AI48" t="n">
        <v>16.45</v>
      </c>
      <c r="AJ48" t="n">
        <v>16.9</v>
      </c>
      <c r="AK48" t="n">
        <v>16.9</v>
      </c>
      <c r="AN48" t="n">
        <v>16.6</v>
      </c>
      <c r="AP48" t="n">
        <v>16.97857142857143</v>
      </c>
    </row>
    <row r="49">
      <c r="A49" t="n">
        <v>23025040</v>
      </c>
      <c r="B49" t="inlineStr">
        <is>
          <t>ALBANIA [23025040]</t>
        </is>
      </c>
      <c r="C49" t="inlineStr">
        <is>
          <t>Tolima</t>
        </is>
      </c>
      <c r="D49" t="inlineStr">
        <is>
          <t>Mariquita</t>
        </is>
      </c>
      <c r="E49" t="inlineStr">
        <is>
          <t>Area Operativa 10 - Tolima</t>
        </is>
      </c>
      <c r="F49" t="inlineStr">
        <is>
          <t>TSSM_MEDIA_D</t>
        </is>
      </c>
      <c r="G49" t="inlineStr">
        <is>
          <t>5.301108889</t>
        </is>
      </c>
      <c r="H49" t="inlineStr">
        <is>
          <t>-74.914580556</t>
        </is>
      </c>
      <c r="I49" t="inlineStr">
        <is>
          <t>788</t>
        </is>
      </c>
      <c r="J49" t="n">
        <v>26.6</v>
      </c>
      <c r="K49" t="n">
        <v>24.46666666666667</v>
      </c>
      <c r="L49" t="n">
        <v>24.86666666666666</v>
      </c>
      <c r="M49" t="n">
        <v>24.4</v>
      </c>
      <c r="N49" t="n">
        <v>25.66666666666667</v>
      </c>
      <c r="O49" t="n">
        <v>24.06666666666667</v>
      </c>
      <c r="P49" t="n">
        <v>24.6</v>
      </c>
      <c r="Q49" t="n">
        <v>25.46666666666667</v>
      </c>
      <c r="R49" t="n">
        <v>25.46666666666667</v>
      </c>
      <c r="S49" t="n">
        <v>24.46666666666667</v>
      </c>
      <c r="T49" t="n">
        <v>24.26666666666667</v>
      </c>
      <c r="V49" t="n">
        <v>24.13333333333334</v>
      </c>
      <c r="W49" t="n">
        <v>25.33333333333333</v>
      </c>
      <c r="X49" t="n">
        <v>24</v>
      </c>
      <c r="Y49" t="n">
        <v>24.8</v>
      </c>
      <c r="Z49" t="n">
        <v>26</v>
      </c>
      <c r="AA49" t="n">
        <v>27.93333333333333</v>
      </c>
      <c r="AB49" t="n">
        <v>24.73333333333333</v>
      </c>
      <c r="AC49" t="n">
        <v>26.33333333333333</v>
      </c>
      <c r="AD49" t="n">
        <v>25.06666666666666</v>
      </c>
      <c r="AE49" t="n">
        <v>24.2</v>
      </c>
      <c r="AF49" t="n">
        <v>24.13333333333334</v>
      </c>
      <c r="AG49" t="n">
        <v>25.2</v>
      </c>
      <c r="AH49" t="n">
        <v>25.8</v>
      </c>
      <c r="AI49" t="n">
        <v>24.93333333333333</v>
      </c>
      <c r="AJ49" t="n">
        <v>24.06666666666666</v>
      </c>
      <c r="AK49" t="n">
        <v>25.26666666666667</v>
      </c>
      <c r="AL49" t="n">
        <v>24.2</v>
      </c>
      <c r="AM49" t="n">
        <v>23.93333333333333</v>
      </c>
      <c r="AN49" t="n">
        <v>26.2</v>
      </c>
      <c r="AP49" t="n">
        <v>25.02</v>
      </c>
    </row>
    <row r="50">
      <c r="A50" t="n">
        <v>26025090</v>
      </c>
      <c r="B50" t="inlineStr">
        <is>
          <t>VENTA DE CAJIBIO [26025090]</t>
        </is>
      </c>
      <c r="C50" t="inlineStr">
        <is>
          <t>Cauca</t>
        </is>
      </c>
      <c r="D50" t="inlineStr">
        <is>
          <t>Cajibío</t>
        </is>
      </c>
      <c r="E50" t="inlineStr">
        <is>
          <t>Area Operativa 09 - Cauca-Valle-Caldas</t>
        </is>
      </c>
      <c r="F50" t="inlineStr">
        <is>
          <t>TSSM_MEDIA_D</t>
        </is>
      </c>
      <c r="G50" t="inlineStr">
        <is>
          <t>2.58475</t>
        </is>
      </c>
      <c r="H50" t="inlineStr">
        <is>
          <t>-76.561833333</t>
        </is>
      </c>
      <c r="I50" t="inlineStr">
        <is>
          <t>1850</t>
        </is>
      </c>
      <c r="W50" t="n">
        <v>17.4</v>
      </c>
      <c r="X50" t="n">
        <v>18.33333333333333</v>
      </c>
      <c r="Y50" t="n">
        <v>18.33333333333333</v>
      </c>
      <c r="Z50" t="n">
        <v>21.26666666666667</v>
      </c>
      <c r="AA50" t="n">
        <v>20.26666666666667</v>
      </c>
      <c r="AB50" t="n">
        <v>19.6</v>
      </c>
      <c r="AC50" t="n">
        <v>17.8</v>
      </c>
      <c r="AD50" t="n">
        <v>19.26666666666667</v>
      </c>
      <c r="AE50" t="n">
        <v>16.93333333333333</v>
      </c>
      <c r="AF50" t="n">
        <v>17.6</v>
      </c>
      <c r="AG50" t="n">
        <v>18.86666666666666</v>
      </c>
      <c r="AH50" t="n">
        <v>18.46666666666667</v>
      </c>
      <c r="AI50" t="n">
        <v>18.13333333333333</v>
      </c>
      <c r="AJ50" t="n">
        <v>16.83333333333333</v>
      </c>
      <c r="AK50" t="n">
        <v>17.13333333333333</v>
      </c>
      <c r="AL50" t="n">
        <v>16.03333333333333</v>
      </c>
      <c r="AM50" t="n">
        <v>18.6</v>
      </c>
      <c r="AN50" t="n">
        <v>18.2</v>
      </c>
      <c r="AP50" t="n">
        <v>18.28148148148148</v>
      </c>
    </row>
    <row r="51">
      <c r="A51" t="n">
        <v>21245140</v>
      </c>
      <c r="B51" t="inlineStr">
        <is>
          <t>SANTA ISABEL [21245140]</t>
        </is>
      </c>
      <c r="C51" t="inlineStr">
        <is>
          <t>Tolima</t>
        </is>
      </c>
      <c r="D51" t="inlineStr">
        <is>
          <t>Santa Isabel</t>
        </is>
      </c>
      <c r="E51" t="inlineStr">
        <is>
          <t>Area Operativa 10 - Tolima</t>
        </is>
      </c>
      <c r="F51" t="inlineStr">
        <is>
          <t>TSSM_MEDIA_D</t>
        </is>
      </c>
      <c r="G51" t="inlineStr">
        <is>
          <t>4.711861111</t>
        </is>
      </c>
      <c r="H51" t="inlineStr">
        <is>
          <t>-75.09445556</t>
        </is>
      </c>
      <c r="I51" t="inlineStr">
        <is>
          <t>2288</t>
        </is>
      </c>
      <c r="J51" t="n">
        <v>17.13333333333334</v>
      </c>
      <c r="K51" t="n">
        <v>15.4</v>
      </c>
      <c r="L51" t="n">
        <v>15.13333333333333</v>
      </c>
      <c r="M51" t="n">
        <v>15</v>
      </c>
      <c r="N51" t="n">
        <v>14.93333333333333</v>
      </c>
      <c r="O51" t="n">
        <v>14.33333333333333</v>
      </c>
      <c r="P51" t="n">
        <v>15.13333333333333</v>
      </c>
      <c r="R51" t="n">
        <v>15.53333333333333</v>
      </c>
      <c r="S51" t="n">
        <v>14.6</v>
      </c>
      <c r="T51" t="n">
        <v>15.26666666666667</v>
      </c>
      <c r="U51" t="n">
        <v>14.6</v>
      </c>
      <c r="V51" t="n">
        <v>14.6</v>
      </c>
      <c r="W51" t="n">
        <v>15.6</v>
      </c>
      <c r="X51" t="n">
        <v>15.6</v>
      </c>
      <c r="Y51" t="n">
        <v>14.73333333333333</v>
      </c>
      <c r="Z51" t="n">
        <v>18</v>
      </c>
      <c r="AA51" t="n">
        <v>16.6</v>
      </c>
      <c r="AB51" t="n">
        <v>16.2</v>
      </c>
      <c r="AC51" t="n">
        <v>16.13333333333334</v>
      </c>
      <c r="AD51" t="n">
        <v>15.6</v>
      </c>
      <c r="AE51" t="n">
        <v>14.73333333333333</v>
      </c>
      <c r="AF51" t="n">
        <v>15.33333333333333</v>
      </c>
      <c r="AG51" t="n">
        <v>14.2</v>
      </c>
      <c r="AH51" t="n">
        <v>14.13333333333333</v>
      </c>
      <c r="AI51" t="n">
        <v>14.66666666666667</v>
      </c>
      <c r="AK51" t="n">
        <v>14.73333333333333</v>
      </c>
      <c r="AL51" t="n">
        <v>15.13333333333333</v>
      </c>
      <c r="AM51" t="n">
        <v>14.86666666666667</v>
      </c>
      <c r="AN51" t="n">
        <v>16.06666666666667</v>
      </c>
      <c r="AP51" t="n">
        <v>15.31034482758621</v>
      </c>
    </row>
    <row r="52">
      <c r="A52" t="n">
        <v>35075010</v>
      </c>
      <c r="B52" t="inlineStr">
        <is>
          <t>NUEVO COLON [35075010]</t>
        </is>
      </c>
      <c r="C52" t="inlineStr">
        <is>
          <t>Boyacá</t>
        </is>
      </c>
      <c r="D52" t="inlineStr">
        <is>
          <t>Nuevo Colón</t>
        </is>
      </c>
      <c r="E52" t="inlineStr">
        <is>
          <t>Area Operativa 06 - Boyacá-Casanare-Vichada</t>
        </is>
      </c>
      <c r="F52" t="inlineStr">
        <is>
          <t>TSSM_MEDIA_D</t>
        </is>
      </c>
      <c r="G52" t="inlineStr">
        <is>
          <t>5.352694444</t>
        </is>
      </c>
      <c r="H52" t="inlineStr">
        <is>
          <t>-73.45377778</t>
        </is>
      </c>
      <c r="I52" t="inlineStr">
        <is>
          <t>2438</t>
        </is>
      </c>
      <c r="K52" t="n">
        <v>14.7</v>
      </c>
      <c r="L52" t="n">
        <v>14.25</v>
      </c>
      <c r="M52" t="n">
        <v>14.7</v>
      </c>
      <c r="N52" t="n">
        <v>14.65</v>
      </c>
      <c r="O52" t="n">
        <v>15.05</v>
      </c>
      <c r="P52" t="n">
        <v>14.7</v>
      </c>
      <c r="Q52" t="n">
        <v>14</v>
      </c>
      <c r="R52" t="n">
        <v>15.15</v>
      </c>
      <c r="S52" t="n">
        <v>14.7</v>
      </c>
      <c r="V52" t="n">
        <v>14.65</v>
      </c>
      <c r="W52" t="n">
        <v>14.15</v>
      </c>
      <c r="X52" t="n">
        <v>14.65</v>
      </c>
      <c r="Y52" t="n">
        <v>15.05</v>
      </c>
      <c r="Z52" t="n">
        <v>15.1</v>
      </c>
      <c r="AA52" t="n">
        <v>15.45</v>
      </c>
      <c r="AB52" t="n">
        <v>15.6</v>
      </c>
      <c r="AC52" t="n">
        <v>15.75</v>
      </c>
      <c r="AF52" t="n">
        <v>15.7</v>
      </c>
      <c r="AG52" t="n">
        <v>15.35</v>
      </c>
      <c r="AH52" t="n">
        <v>15.9</v>
      </c>
      <c r="AI52" t="n">
        <v>16.05</v>
      </c>
      <c r="AJ52" t="n">
        <v>15.3</v>
      </c>
      <c r="AK52" t="n">
        <v>15.5</v>
      </c>
      <c r="AL52" t="n">
        <v>15.45</v>
      </c>
      <c r="AM52" t="n">
        <v>15.05</v>
      </c>
      <c r="AN52" t="n">
        <v>15.2</v>
      </c>
      <c r="AP52" t="n">
        <v>15.06923076923077</v>
      </c>
    </row>
    <row r="53">
      <c r="A53" t="n">
        <v>21185030</v>
      </c>
      <c r="B53" t="inlineStr">
        <is>
          <t>GUAMO [21185030]</t>
        </is>
      </c>
      <c r="C53" t="inlineStr">
        <is>
          <t>Tolima</t>
        </is>
      </c>
      <c r="D53" t="inlineStr">
        <is>
          <t>Guamo</t>
        </is>
      </c>
      <c r="E53" t="inlineStr">
        <is>
          <t>Area Operativa 10 - Tolima</t>
        </is>
      </c>
      <c r="F53" t="inlineStr">
        <is>
          <t>TSSM_MEDIA_D</t>
        </is>
      </c>
      <c r="G53" t="inlineStr">
        <is>
          <t>4.008833333</t>
        </is>
      </c>
      <c r="H53" t="inlineStr">
        <is>
          <t>-74.98138889</t>
        </is>
      </c>
      <c r="I53" t="inlineStr">
        <is>
          <t>332</t>
        </is>
      </c>
      <c r="J53" t="n">
        <v>30.26666666666667</v>
      </c>
      <c r="K53" t="n">
        <v>29.13333333333334</v>
      </c>
      <c r="L53" t="n">
        <v>29.66666666666667</v>
      </c>
      <c r="M53" t="n">
        <v>24.93333333333334</v>
      </c>
      <c r="N53" t="n">
        <v>28.2</v>
      </c>
      <c r="O53" t="n">
        <v>25.46666666666667</v>
      </c>
      <c r="P53" t="n">
        <v>26.6</v>
      </c>
      <c r="Q53" t="n">
        <v>28.6</v>
      </c>
      <c r="R53" t="n">
        <v>27.2</v>
      </c>
      <c r="S53" t="n">
        <v>27.13333333333334</v>
      </c>
      <c r="T53" t="n">
        <v>26.86666666666666</v>
      </c>
      <c r="U53" t="n">
        <v>28.33333333333333</v>
      </c>
      <c r="V53" t="n">
        <v>26.46666666666667</v>
      </c>
      <c r="W53" t="n">
        <v>26.33333333333333</v>
      </c>
      <c r="X53" t="n">
        <v>26.26666666666667</v>
      </c>
      <c r="Y53" t="n">
        <v>27.13333333333334</v>
      </c>
      <c r="Z53" t="n">
        <v>28.86666666666666</v>
      </c>
      <c r="AA53" t="n">
        <v>29.2</v>
      </c>
      <c r="AB53" t="n">
        <v>28.06666666666667</v>
      </c>
      <c r="AC53" t="n">
        <v>29.06666666666666</v>
      </c>
      <c r="AD53" t="n">
        <v>29.13333333333333</v>
      </c>
      <c r="AE53" t="n">
        <v>26.6</v>
      </c>
      <c r="AF53" t="n">
        <v>28.46666666666667</v>
      </c>
      <c r="AG53" t="n">
        <v>28.26666666666667</v>
      </c>
      <c r="AH53" t="n">
        <v>27.6</v>
      </c>
      <c r="AI53" t="n">
        <v>28.93333333333334</v>
      </c>
      <c r="AJ53" t="n">
        <v>27.26666666666667</v>
      </c>
      <c r="AK53" t="n">
        <v>28.66666666666667</v>
      </c>
      <c r="AL53" t="n">
        <v>28.4</v>
      </c>
      <c r="AM53" t="n">
        <v>28.73333333333333</v>
      </c>
      <c r="AN53" t="n">
        <v>27.53333333333333</v>
      </c>
      <c r="AP53" t="n">
        <v>27.8516129032258</v>
      </c>
    </row>
    <row r="54">
      <c r="A54" t="n">
        <v>26105140</v>
      </c>
      <c r="B54" t="inlineStr">
        <is>
          <t>BARRAGAN [26105140]</t>
        </is>
      </c>
      <c r="C54" t="inlineStr">
        <is>
          <t>Valle Del Cauca</t>
        </is>
      </c>
      <c r="D54" t="inlineStr">
        <is>
          <t>Tuluá</t>
        </is>
      </c>
      <c r="E54" t="inlineStr">
        <is>
          <t>Area Operativa 09 - Cauca-Valle-Caldas</t>
        </is>
      </c>
      <c r="F54" t="inlineStr">
        <is>
          <t>TSSM_MEDIA_D</t>
        </is>
      </c>
      <c r="G54" t="inlineStr">
        <is>
          <t>4.033055556</t>
        </is>
      </c>
      <c r="H54" t="inlineStr">
        <is>
          <t>-75.888027778</t>
        </is>
      </c>
      <c r="I54" t="inlineStr">
        <is>
          <t>2902</t>
        </is>
      </c>
      <c r="J54" t="n">
        <v>11.46666666666667</v>
      </c>
      <c r="K54" t="n">
        <v>11</v>
      </c>
      <c r="L54" t="n">
        <v>11.93333333333333</v>
      </c>
      <c r="M54" t="n">
        <v>11.86666666666667</v>
      </c>
      <c r="N54" t="n">
        <v>11.33333333333333</v>
      </c>
      <c r="AP54" t="n">
        <v>11.52</v>
      </c>
    </row>
    <row r="55">
      <c r="A55" t="n">
        <v>23055040</v>
      </c>
      <c r="B55" t="inlineStr">
        <is>
          <t>SAMANA [23055040]</t>
        </is>
      </c>
      <c r="C55" t="inlineStr">
        <is>
          <t>Caldas</t>
        </is>
      </c>
      <c r="D55" t="inlineStr">
        <is>
          <t>Samaná</t>
        </is>
      </c>
      <c r="E55" t="inlineStr">
        <is>
          <t>Area Operativa 10 - Tolima</t>
        </is>
      </c>
      <c r="F55" t="inlineStr">
        <is>
          <t>TSSM_MEDIA_D</t>
        </is>
      </c>
      <c r="G55" t="inlineStr">
        <is>
          <t>5.418288056</t>
        </is>
      </c>
      <c r="H55" t="inlineStr">
        <is>
          <t>-74.992927778</t>
        </is>
      </c>
      <c r="I55" t="inlineStr">
        <is>
          <t>1532</t>
        </is>
      </c>
      <c r="J55" t="n">
        <v>20.33333333333333</v>
      </c>
      <c r="K55" t="n">
        <v>18.93333333333333</v>
      </c>
      <c r="L55" t="n">
        <v>19.73333333333333</v>
      </c>
      <c r="M55" t="n">
        <v>18.93333333333333</v>
      </c>
      <c r="N55" t="n">
        <v>19.13333333333334</v>
      </c>
      <c r="O55" t="n">
        <v>18.2</v>
      </c>
      <c r="P55" t="n">
        <v>19</v>
      </c>
      <c r="Q55" t="n">
        <v>19.33333333333333</v>
      </c>
      <c r="R55" t="n">
        <v>19.46666666666667</v>
      </c>
      <c r="S55" t="n">
        <v>19.26666666666667</v>
      </c>
      <c r="U55" t="n">
        <v>18.53333333333333</v>
      </c>
      <c r="V55" t="n">
        <v>18.33333333333333</v>
      </c>
      <c r="W55" t="n">
        <v>18.8</v>
      </c>
      <c r="X55" t="n">
        <v>18.86666666666667</v>
      </c>
      <c r="Y55" t="n">
        <v>19.6</v>
      </c>
      <c r="Z55" t="n">
        <v>21</v>
      </c>
      <c r="AA55" t="n">
        <v>22</v>
      </c>
      <c r="AB55" t="n">
        <v>20</v>
      </c>
      <c r="AC55" t="n">
        <v>20.2</v>
      </c>
      <c r="AE55" t="n">
        <v>19.26666666666667</v>
      </c>
      <c r="AF55" t="n">
        <v>19.13333333333334</v>
      </c>
      <c r="AG55" t="n">
        <v>19.66666666666667</v>
      </c>
      <c r="AH55" t="n">
        <v>19.66666666666667</v>
      </c>
      <c r="AI55" t="n">
        <v>19.2</v>
      </c>
      <c r="AJ55" t="n">
        <v>19</v>
      </c>
      <c r="AK55" t="n">
        <v>19.26666666666667</v>
      </c>
      <c r="AL55" t="n">
        <v>19.93333333333333</v>
      </c>
      <c r="AM55" t="n">
        <v>18.66666666666667</v>
      </c>
      <c r="AN55" t="n">
        <v>19.06666666666667</v>
      </c>
      <c r="AP55" t="n">
        <v>19.39770114942529</v>
      </c>
    </row>
    <row r="56">
      <c r="A56" t="n">
        <v>35075030</v>
      </c>
      <c r="B56" t="inlineStr">
        <is>
          <t>VILLA LUISA [35075030]</t>
        </is>
      </c>
      <c r="C56" t="inlineStr">
        <is>
          <t>Boyacá</t>
        </is>
      </c>
      <c r="D56" t="inlineStr">
        <is>
          <t>Ramiriquí</t>
        </is>
      </c>
      <c r="E56" t="inlineStr">
        <is>
          <t>Area Operativa 06 - Boyacá-Casanare-Vichada</t>
        </is>
      </c>
      <c r="F56" t="inlineStr">
        <is>
          <t>TSSM_MEDIA_D</t>
        </is>
      </c>
      <c r="G56" t="inlineStr">
        <is>
          <t>5.422222222</t>
        </is>
      </c>
      <c r="H56" t="inlineStr">
        <is>
          <t>-73.34941667</t>
        </is>
      </c>
      <c r="I56" t="inlineStr">
        <is>
          <t>2200</t>
        </is>
      </c>
      <c r="J56" t="n">
        <v>17.36666666666666</v>
      </c>
      <c r="K56" t="n">
        <v>16.66666666666667</v>
      </c>
      <c r="L56" t="n">
        <v>14.4</v>
      </c>
      <c r="M56" t="n">
        <v>15.93333333333333</v>
      </c>
      <c r="N56" t="n">
        <v>16.4</v>
      </c>
      <c r="O56" t="n">
        <v>16.33333333333333</v>
      </c>
      <c r="P56" t="n">
        <v>16.46666666666667</v>
      </c>
      <c r="Q56" t="n">
        <v>15.8</v>
      </c>
      <c r="R56" t="n">
        <v>16.13333333333333</v>
      </c>
      <c r="S56" t="n">
        <v>16.2</v>
      </c>
      <c r="T56" t="n">
        <v>16.4</v>
      </c>
      <c r="U56" t="n">
        <v>15.46666666666667</v>
      </c>
      <c r="V56" t="n">
        <v>16.66666666666667</v>
      </c>
      <c r="W56" t="n">
        <v>15.73333333333333</v>
      </c>
      <c r="X56" t="n">
        <v>15.8</v>
      </c>
      <c r="Y56" t="n">
        <v>16.6</v>
      </c>
      <c r="Z56" t="n">
        <v>16.86666666666667</v>
      </c>
      <c r="AA56" t="n">
        <v>16.4</v>
      </c>
      <c r="AB56" t="n">
        <v>16.26666666666667</v>
      </c>
      <c r="AC56" t="n">
        <v>17.6</v>
      </c>
      <c r="AD56" t="n">
        <v>18.53333333333333</v>
      </c>
      <c r="AE56" t="n">
        <v>18.06666666666667</v>
      </c>
      <c r="AF56" t="n">
        <v>17.93333333333333</v>
      </c>
      <c r="AG56" t="n">
        <v>17.73333333333333</v>
      </c>
      <c r="AH56" t="n">
        <v>16.4</v>
      </c>
      <c r="AI56" t="n">
        <v>17.66666666666667</v>
      </c>
      <c r="AJ56" t="n">
        <v>17.06666666666667</v>
      </c>
      <c r="AK56" t="n">
        <v>18</v>
      </c>
      <c r="AL56" t="n">
        <v>16.93333333333333</v>
      </c>
      <c r="AM56" t="n">
        <v>17.46666666666667</v>
      </c>
      <c r="AN56" t="n">
        <v>16.4</v>
      </c>
      <c r="AP56" t="n">
        <v>16.7</v>
      </c>
    </row>
    <row r="57">
      <c r="A57" t="n">
        <v>24015120</v>
      </c>
      <c r="B57" t="inlineStr">
        <is>
          <t>ISLA DEL SANTUARIO [24015120]</t>
        </is>
      </c>
      <c r="C57" t="inlineStr">
        <is>
          <t>Cundinamarca</t>
        </is>
      </c>
      <c r="D57" t="inlineStr">
        <is>
          <t>Fúquene</t>
        </is>
      </c>
      <c r="E57" t="inlineStr">
        <is>
          <t>Area Operativa 11 - Cundinamarca-Amazonas</t>
        </is>
      </c>
      <c r="F57" t="inlineStr">
        <is>
          <t>TSSM_MEDIA_D</t>
        </is>
      </c>
      <c r="G57" t="inlineStr">
        <is>
          <t>5.467277778</t>
        </is>
      </c>
      <c r="H57" t="inlineStr">
        <is>
          <t>-73.73480556</t>
        </is>
      </c>
      <c r="I57" t="inlineStr">
        <is>
          <t>2580</t>
        </is>
      </c>
      <c r="J57" t="n">
        <v>16.35</v>
      </c>
      <c r="K57" t="n">
        <v>15.45</v>
      </c>
      <c r="L57" t="n">
        <v>16.5</v>
      </c>
      <c r="M57" t="n">
        <v>15.1</v>
      </c>
      <c r="N57" t="n">
        <v>13.65</v>
      </c>
      <c r="O57" t="n">
        <v>13.8</v>
      </c>
      <c r="P57" t="n">
        <v>15.35</v>
      </c>
      <c r="Q57" t="n">
        <v>14.3</v>
      </c>
      <c r="V57" t="n">
        <v>15.45</v>
      </c>
      <c r="W57" t="n">
        <v>15.3</v>
      </c>
      <c r="X57" t="n">
        <v>16</v>
      </c>
      <c r="Y57" t="n">
        <v>15.9</v>
      </c>
      <c r="Z57" t="n">
        <v>17.65</v>
      </c>
      <c r="AA57" t="n">
        <v>16.65</v>
      </c>
      <c r="AB57" t="n">
        <v>15.7</v>
      </c>
      <c r="AC57" t="n">
        <v>15.8</v>
      </c>
      <c r="AD57" t="n">
        <v>17.65</v>
      </c>
      <c r="AE57" t="n">
        <v>16.95</v>
      </c>
      <c r="AF57" t="n">
        <v>16.65</v>
      </c>
      <c r="AG57" t="n">
        <v>17.25</v>
      </c>
      <c r="AH57" t="n">
        <v>16.9</v>
      </c>
      <c r="AI57" t="n">
        <v>15.15</v>
      </c>
      <c r="AJ57" t="n">
        <v>14.6</v>
      </c>
      <c r="AK57" t="n">
        <v>15.85</v>
      </c>
      <c r="AL57" t="n">
        <v>12.8</v>
      </c>
      <c r="AM57" t="n">
        <v>17.2</v>
      </c>
      <c r="AN57" t="n">
        <v>17.05</v>
      </c>
      <c r="AP57" t="n">
        <v>15.81481481481481</v>
      </c>
    </row>
    <row r="58">
      <c r="A58" t="n">
        <v>24015090</v>
      </c>
      <c r="B58" t="inlineStr">
        <is>
          <t>INSTITUCION AGRICOLA SANTA SOFIA [24015090]</t>
        </is>
      </c>
      <c r="C58" t="inlineStr">
        <is>
          <t>Boyacá</t>
        </is>
      </c>
      <c r="D58" t="inlineStr">
        <is>
          <t>Santa Sofía</t>
        </is>
      </c>
      <c r="E58" t="inlineStr">
        <is>
          <t>Area Operativa 06 - Boyacá-Casanare-Vichada</t>
        </is>
      </c>
      <c r="F58" t="inlineStr">
        <is>
          <t>TSSM_MEDIA_D</t>
        </is>
      </c>
      <c r="G58" t="inlineStr">
        <is>
          <t>5.710666667</t>
        </is>
      </c>
      <c r="H58" t="inlineStr">
        <is>
          <t>-73.60227778</t>
        </is>
      </c>
      <c r="I58" t="inlineStr">
        <is>
          <t>2300</t>
        </is>
      </c>
      <c r="J58" t="n">
        <v>17.8</v>
      </c>
      <c r="K58" t="n">
        <v>18.1</v>
      </c>
      <c r="L58" t="n">
        <v>16.2</v>
      </c>
      <c r="M58" t="n">
        <v>16.55</v>
      </c>
      <c r="N58" t="n">
        <v>15.75</v>
      </c>
      <c r="O58" t="n">
        <v>15.65</v>
      </c>
      <c r="P58" t="n">
        <v>15.3</v>
      </c>
      <c r="Q58" t="n">
        <v>15.65</v>
      </c>
      <c r="R58" t="n">
        <v>16.65</v>
      </c>
      <c r="S58" t="n">
        <v>16.7</v>
      </c>
      <c r="T58" t="n">
        <v>16.6</v>
      </c>
      <c r="U58" t="n">
        <v>16.95</v>
      </c>
      <c r="V58" t="n">
        <v>17.5</v>
      </c>
      <c r="W58" t="n">
        <v>17.4</v>
      </c>
      <c r="X58" t="n">
        <v>16.1</v>
      </c>
      <c r="Y58" t="n">
        <v>16.7</v>
      </c>
      <c r="Z58" t="n">
        <v>18</v>
      </c>
      <c r="AA58" t="n">
        <v>17.5</v>
      </c>
      <c r="AB58" t="n">
        <v>17.95</v>
      </c>
      <c r="AC58" t="n">
        <v>17.8</v>
      </c>
      <c r="AD58" t="n">
        <v>17.5</v>
      </c>
      <c r="AE58" t="n">
        <v>17.1</v>
      </c>
      <c r="AF58" t="n">
        <v>17.05</v>
      </c>
      <c r="AG58" t="n">
        <v>16.7</v>
      </c>
      <c r="AH58" t="n">
        <v>17.5</v>
      </c>
      <c r="AI58" t="n">
        <v>16.45</v>
      </c>
      <c r="AJ58" t="n">
        <v>15.35</v>
      </c>
      <c r="AK58" t="n">
        <v>16.25</v>
      </c>
      <c r="AL58" t="n">
        <v>16.55</v>
      </c>
      <c r="AM58" t="n">
        <v>17.1</v>
      </c>
      <c r="AN58" t="n">
        <v>15</v>
      </c>
      <c r="AP58" t="n">
        <v>16.75483870967742</v>
      </c>
    </row>
    <row r="59">
      <c r="A59" t="n">
        <v>21255080</v>
      </c>
      <c r="B59" t="inlineStr">
        <is>
          <t>SALTO EL [21255080]</t>
        </is>
      </c>
      <c r="C59" t="inlineStr">
        <is>
          <t>Tolima</t>
        </is>
      </c>
      <c r="D59" t="inlineStr">
        <is>
          <t>Ambalema</t>
        </is>
      </c>
      <c r="E59" t="inlineStr">
        <is>
          <t>Area Operativa 10 - Tolima</t>
        </is>
      </c>
      <c r="F59" t="inlineStr">
        <is>
          <t>TSSM_MEDIA_D</t>
        </is>
      </c>
      <c r="G59" t="inlineStr">
        <is>
          <t>4.783778</t>
        </is>
      </c>
      <c r="H59" t="inlineStr">
        <is>
          <t>-74.76794444</t>
        </is>
      </c>
      <c r="I59" t="inlineStr">
        <is>
          <t>308</t>
        </is>
      </c>
      <c r="K59" t="n">
        <v>26.86666666666666</v>
      </c>
      <c r="O59" t="n">
        <v>25.93333333333333</v>
      </c>
      <c r="P59" t="n">
        <v>25.4</v>
      </c>
      <c r="Q59" t="n">
        <v>28.2</v>
      </c>
      <c r="R59" t="n">
        <v>28.6</v>
      </c>
      <c r="S59" t="n">
        <v>28.2</v>
      </c>
      <c r="T59" t="n">
        <v>27.53333333333333</v>
      </c>
      <c r="U59" t="n">
        <v>24.46666666666667</v>
      </c>
      <c r="V59" t="n">
        <v>27.13333333333333</v>
      </c>
      <c r="X59" t="n">
        <v>27.2</v>
      </c>
      <c r="Y59" t="n">
        <v>28.06666666666667</v>
      </c>
      <c r="Z59" t="n">
        <v>30.06666666666667</v>
      </c>
      <c r="AA59" t="n">
        <v>31.2</v>
      </c>
      <c r="AB59" t="n">
        <v>28.6</v>
      </c>
      <c r="AD59" t="n">
        <v>30.46666666666667</v>
      </c>
      <c r="AE59" t="n">
        <v>29.2</v>
      </c>
      <c r="AF59" t="n">
        <v>29.06666666666667</v>
      </c>
      <c r="AG59" t="n">
        <v>29.46666666666667</v>
      </c>
      <c r="AH59" t="n">
        <v>29.93333333333333</v>
      </c>
      <c r="AI59" t="n">
        <v>29.8</v>
      </c>
      <c r="AK59" t="n">
        <v>29.4</v>
      </c>
      <c r="AL59" t="n">
        <v>29.8</v>
      </c>
      <c r="AM59" t="n">
        <v>26.66666666666667</v>
      </c>
      <c r="AN59" t="n">
        <v>28.06666666666666</v>
      </c>
      <c r="AP59" t="n">
        <v>28.30555555555554</v>
      </c>
    </row>
    <row r="60">
      <c r="A60" t="n">
        <v>26025110</v>
      </c>
      <c r="B60" t="inlineStr">
        <is>
          <t>LOMITAS [26025110]</t>
        </is>
      </c>
      <c r="C60" t="inlineStr">
        <is>
          <t>Cauca</t>
        </is>
      </c>
      <c r="D60" t="inlineStr">
        <is>
          <t>Santander De Quilichao</t>
        </is>
      </c>
      <c r="E60" t="inlineStr">
        <is>
          <t>Area Operativa 09 - Cauca-Valle-Caldas</t>
        </is>
      </c>
      <c r="F60" t="inlineStr">
        <is>
          <t>TSSM_MEDIA_D</t>
        </is>
      </c>
      <c r="G60" t="inlineStr">
        <is>
          <t>3.075388889</t>
        </is>
      </c>
      <c r="H60" t="inlineStr">
        <is>
          <t>-76.55625</t>
        </is>
      </c>
      <c r="I60" t="inlineStr">
        <is>
          <t>1009</t>
        </is>
      </c>
      <c r="J60" t="n">
        <v>26.9</v>
      </c>
      <c r="K60" t="n">
        <v>24.75</v>
      </c>
      <c r="L60" t="n">
        <v>26.1</v>
      </c>
      <c r="M60" t="n">
        <v>25.1</v>
      </c>
      <c r="N60" t="n">
        <v>23.55</v>
      </c>
      <c r="O60" t="n">
        <v>23.95</v>
      </c>
      <c r="P60" t="n">
        <v>25</v>
      </c>
      <c r="Q60" t="n">
        <v>24.7</v>
      </c>
      <c r="R60" t="n">
        <v>23.45</v>
      </c>
      <c r="S60" t="n">
        <v>23.25</v>
      </c>
      <c r="T60" t="n">
        <v>22.65</v>
      </c>
      <c r="U60" t="n">
        <v>21.95</v>
      </c>
      <c r="V60" t="n">
        <v>23.25</v>
      </c>
      <c r="W60" t="n">
        <v>24.6</v>
      </c>
      <c r="X60" t="n">
        <v>24.3</v>
      </c>
      <c r="Y60" t="n">
        <v>24.65</v>
      </c>
      <c r="Z60" t="n">
        <v>26.05</v>
      </c>
      <c r="AA60" t="n">
        <v>26.5</v>
      </c>
      <c r="AB60" t="n">
        <v>24.45</v>
      </c>
      <c r="AC60" t="n">
        <v>26.05</v>
      </c>
      <c r="AD60" t="n">
        <v>25.7</v>
      </c>
      <c r="AE60" t="n">
        <v>23.35</v>
      </c>
      <c r="AF60" t="n">
        <v>24.3</v>
      </c>
      <c r="AG60" t="n">
        <v>26.05</v>
      </c>
      <c r="AH60" t="n">
        <v>25.8</v>
      </c>
      <c r="AI60" t="n">
        <v>24.75</v>
      </c>
      <c r="AJ60" t="n">
        <v>23.85</v>
      </c>
      <c r="AK60" t="n">
        <v>24.05</v>
      </c>
      <c r="AN60" t="n">
        <v>24.1</v>
      </c>
      <c r="AP60" t="n">
        <v>24.59137931034482</v>
      </c>
    </row>
    <row r="61">
      <c r="A61" t="n">
        <v>21206260</v>
      </c>
      <c r="B61" t="inlineStr">
        <is>
          <t>C.UNIV.AGROP-UDCA [21206260]</t>
        </is>
      </c>
      <c r="C61" t="inlineStr">
        <is>
          <t>Bogotá</t>
        </is>
      </c>
      <c r="D61" t="inlineStr">
        <is>
          <t>Bogotá, D.C</t>
        </is>
      </c>
      <c r="E61" t="inlineStr">
        <is>
          <t>Area Operativa 11 - Cundinamarca-Amazonas</t>
        </is>
      </c>
      <c r="F61" t="inlineStr">
        <is>
          <t>TSSM_MEDIA_D</t>
        </is>
      </c>
      <c r="G61" t="inlineStr">
        <is>
          <t>4.798638889</t>
        </is>
      </c>
      <c r="H61" t="inlineStr">
        <is>
          <t>-74.04972222</t>
        </is>
      </c>
      <c r="I61" t="inlineStr">
        <is>
          <t>2570</t>
        </is>
      </c>
      <c r="AG61" t="n">
        <v>14.6</v>
      </c>
      <c r="AI61" t="n">
        <v>15.66666666666667</v>
      </c>
      <c r="AJ61" t="n">
        <v>15.06666666666667</v>
      </c>
      <c r="AK61" t="n">
        <v>15.4</v>
      </c>
      <c r="AL61" t="n">
        <v>14.73333333333333</v>
      </c>
      <c r="AP61" t="n">
        <v>15.09333333333333</v>
      </c>
    </row>
    <row r="62">
      <c r="A62" t="n">
        <v>24015220</v>
      </c>
      <c r="B62" t="inlineStr">
        <is>
          <t>VILLA CARMEN [24015220]</t>
        </is>
      </c>
      <c r="C62" t="inlineStr">
        <is>
          <t>Boyacá</t>
        </is>
      </c>
      <c r="D62" t="inlineStr">
        <is>
          <t>Samacá</t>
        </is>
      </c>
      <c r="E62" t="inlineStr">
        <is>
          <t>Area Operativa 06 - Boyacá-Casanare-Vichada</t>
        </is>
      </c>
      <c r="F62" t="inlineStr">
        <is>
          <t>TSSM_MEDIA_D</t>
        </is>
      </c>
      <c r="G62" t="inlineStr">
        <is>
          <t>5.509388889</t>
        </is>
      </c>
      <c r="H62" t="inlineStr">
        <is>
          <t>-73.49577778</t>
        </is>
      </c>
      <c r="I62" t="inlineStr">
        <is>
          <t>2600</t>
        </is>
      </c>
      <c r="J62" t="n">
        <v>14.45</v>
      </c>
      <c r="K62" t="n">
        <v>15.15</v>
      </c>
      <c r="L62" t="n">
        <v>14.55</v>
      </c>
      <c r="M62" t="n">
        <v>15.4</v>
      </c>
      <c r="N62" t="n">
        <v>15</v>
      </c>
      <c r="O62" t="n">
        <v>14.4</v>
      </c>
      <c r="P62" t="n">
        <v>14.45</v>
      </c>
      <c r="Q62" t="n">
        <v>13.95</v>
      </c>
      <c r="R62" t="n">
        <v>14.3</v>
      </c>
      <c r="S62" t="n">
        <v>14.25</v>
      </c>
      <c r="T62" t="n">
        <v>14.15</v>
      </c>
      <c r="U62" t="n">
        <v>14.05</v>
      </c>
      <c r="V62" t="n">
        <v>14.95</v>
      </c>
      <c r="W62" t="n">
        <v>13.85</v>
      </c>
      <c r="X62" t="n">
        <v>14.25</v>
      </c>
      <c r="Y62" t="n">
        <v>14.4</v>
      </c>
      <c r="Z62" t="n">
        <v>15.1</v>
      </c>
      <c r="AA62" t="n">
        <v>15.4</v>
      </c>
      <c r="AB62" t="n">
        <v>14.3</v>
      </c>
      <c r="AC62" t="n">
        <v>15.25</v>
      </c>
      <c r="AD62" t="n">
        <v>16.15</v>
      </c>
      <c r="AE62" t="n">
        <v>16.25</v>
      </c>
      <c r="AF62" t="n">
        <v>16.4</v>
      </c>
      <c r="AG62" t="n">
        <v>14.65</v>
      </c>
      <c r="AH62" t="n">
        <v>15.65</v>
      </c>
      <c r="AI62" t="n">
        <v>15.7</v>
      </c>
      <c r="AJ62" t="n">
        <v>14.75</v>
      </c>
      <c r="AK62" t="n">
        <v>14.85</v>
      </c>
      <c r="AL62" t="n">
        <v>15.45</v>
      </c>
      <c r="AM62" t="n">
        <v>15.1</v>
      </c>
      <c r="AN62" t="n">
        <v>14.75</v>
      </c>
      <c r="AP62" t="n">
        <v>14.88064516129032</v>
      </c>
    </row>
    <row r="63">
      <c r="A63" t="n">
        <v>23125140</v>
      </c>
      <c r="B63" t="inlineStr">
        <is>
          <t>AEROPUERTO FURATENA  - AUT [23125140]</t>
        </is>
      </c>
      <c r="C63" t="inlineStr">
        <is>
          <t>Boyacá</t>
        </is>
      </c>
      <c r="D63" t="inlineStr">
        <is>
          <t>Quípama</t>
        </is>
      </c>
      <c r="E63" t="inlineStr">
        <is>
          <t>Area Operativa 06 - Boyacá-Casanare-Vichada</t>
        </is>
      </c>
      <c r="F63" t="inlineStr">
        <is>
          <t>TSSM_MEDIA_D</t>
        </is>
      </c>
      <c r="G63" t="inlineStr">
        <is>
          <t>5.520833333</t>
        </is>
      </c>
      <c r="H63" t="inlineStr">
        <is>
          <t>-74.18241667</t>
        </is>
      </c>
      <c r="I63" t="inlineStr">
        <is>
          <t>1250</t>
        </is>
      </c>
      <c r="J63" t="n">
        <v>23</v>
      </c>
      <c r="K63" t="n">
        <v>21.2</v>
      </c>
      <c r="L63" t="n">
        <v>22</v>
      </c>
      <c r="M63" t="n">
        <v>22.33333333333333</v>
      </c>
      <c r="N63" t="n">
        <v>22.06666666666667</v>
      </c>
      <c r="O63" t="n">
        <v>21.53333333333333</v>
      </c>
      <c r="P63" t="n">
        <v>20.66666666666667</v>
      </c>
      <c r="Q63" t="n">
        <v>22</v>
      </c>
      <c r="R63" t="n">
        <v>22.93333333333333</v>
      </c>
      <c r="S63" t="n">
        <v>21.13333333333333</v>
      </c>
      <c r="T63" t="n">
        <v>20.26666666666667</v>
      </c>
      <c r="U63" t="n">
        <v>19.33333333333333</v>
      </c>
      <c r="V63" t="n">
        <v>20.6</v>
      </c>
      <c r="W63" t="n">
        <v>22.46666666666667</v>
      </c>
      <c r="X63" t="n">
        <v>22.06666666666667</v>
      </c>
      <c r="Y63" t="n">
        <v>21.2</v>
      </c>
      <c r="Z63" t="n">
        <v>22.86666666666666</v>
      </c>
      <c r="AA63" t="n">
        <v>23.26666666666667</v>
      </c>
      <c r="AB63" t="n">
        <v>22.33333333333333</v>
      </c>
      <c r="AC63" t="n">
        <v>23.33333333333333</v>
      </c>
      <c r="AD63" t="n">
        <v>23.4</v>
      </c>
      <c r="AE63" t="n">
        <v>23.26666666666667</v>
      </c>
      <c r="AF63" t="n">
        <v>22.4</v>
      </c>
      <c r="AG63" t="n">
        <v>22.13333333333334</v>
      </c>
      <c r="AH63" t="n">
        <v>22.26666666666667</v>
      </c>
      <c r="AI63" t="n">
        <v>21.8</v>
      </c>
      <c r="AJ63" t="n">
        <v>22.53333333333333</v>
      </c>
      <c r="AK63" t="n">
        <v>22.86666666666666</v>
      </c>
      <c r="AL63" t="n">
        <v>22.06666666666667</v>
      </c>
      <c r="AM63" t="n">
        <v>21.8</v>
      </c>
      <c r="AN63" t="n">
        <v>21.86666666666666</v>
      </c>
      <c r="AP63" t="n">
        <v>22.03225806451612</v>
      </c>
    </row>
    <row r="64">
      <c r="A64" t="n">
        <v>26125130</v>
      </c>
      <c r="B64" t="inlineStr">
        <is>
          <t>CUMBARCO [26125130]</t>
        </is>
      </c>
      <c r="C64" t="inlineStr">
        <is>
          <t>Valle Del Cauca</t>
        </is>
      </c>
      <c r="D64" t="inlineStr">
        <is>
          <t>Sevilla</t>
        </is>
      </c>
      <c r="E64" t="inlineStr">
        <is>
          <t>Area Operativa 09 - Cauca-Valle-Caldas</t>
        </is>
      </c>
      <c r="F64" t="inlineStr">
        <is>
          <t>TSSM_MEDIA_D</t>
        </is>
      </c>
      <c r="G64" t="inlineStr">
        <is>
          <t>4.185055556</t>
        </is>
      </c>
      <c r="H64" t="inlineStr">
        <is>
          <t>-75.83236111</t>
        </is>
      </c>
      <c r="I64" t="inlineStr">
        <is>
          <t>1749</t>
        </is>
      </c>
      <c r="J64" t="n">
        <v>19.7</v>
      </c>
      <c r="K64" t="n">
        <v>19.5</v>
      </c>
      <c r="L64" t="n">
        <v>20.5</v>
      </c>
      <c r="M64" t="n">
        <v>20.4</v>
      </c>
      <c r="N64" t="n">
        <v>21.1</v>
      </c>
      <c r="O64" t="n">
        <v>19.4</v>
      </c>
      <c r="P64" t="n">
        <v>18.3</v>
      </c>
      <c r="Q64" t="n">
        <v>18.9</v>
      </c>
      <c r="R64" t="n">
        <v>19.1</v>
      </c>
      <c r="S64" t="n">
        <v>18.35</v>
      </c>
      <c r="T64" t="n">
        <v>18.2</v>
      </c>
      <c r="U64" t="n">
        <v>18</v>
      </c>
      <c r="V64" t="n">
        <v>18.8</v>
      </c>
      <c r="W64" t="n">
        <v>19.05</v>
      </c>
      <c r="X64" t="n">
        <v>18.7</v>
      </c>
      <c r="Y64" t="n">
        <v>19.45</v>
      </c>
      <c r="AC64" t="n">
        <v>19.95</v>
      </c>
      <c r="AE64" t="n">
        <v>18.75</v>
      </c>
      <c r="AF64" t="n">
        <v>19.3</v>
      </c>
      <c r="AI64" t="n">
        <v>19.3</v>
      </c>
      <c r="AJ64" t="n">
        <v>19.15</v>
      </c>
      <c r="AK64" t="n">
        <v>18.375</v>
      </c>
      <c r="AL64" t="n">
        <v>18.85</v>
      </c>
      <c r="AM64" t="n">
        <v>18.6</v>
      </c>
      <c r="AP64" t="n">
        <v>19.15520833333333</v>
      </c>
    </row>
    <row r="65">
      <c r="A65" t="n">
        <v>21185080</v>
      </c>
      <c r="B65" t="inlineStr">
        <is>
          <t>VALLE DE SAN JUAN [21185080]</t>
        </is>
      </c>
      <c r="C65" t="inlineStr">
        <is>
          <t>Tolima</t>
        </is>
      </c>
      <c r="D65" t="inlineStr">
        <is>
          <t>Valle De San Juan</t>
        </is>
      </c>
      <c r="E65" t="inlineStr">
        <is>
          <t>Area Operativa 10 - Tolima</t>
        </is>
      </c>
      <c r="F65" t="inlineStr">
        <is>
          <t>TSSM_MEDIA_D</t>
        </is>
      </c>
      <c r="G65" t="inlineStr">
        <is>
          <t>4.216458333</t>
        </is>
      </c>
      <c r="H65" t="inlineStr">
        <is>
          <t>-75.104611111</t>
        </is>
      </c>
      <c r="I65" t="inlineStr">
        <is>
          <t>591</t>
        </is>
      </c>
      <c r="J65" t="n">
        <v>27.93333333333334</v>
      </c>
      <c r="K65" t="n">
        <v>27.8</v>
      </c>
      <c r="L65" t="n">
        <v>27.26666666666667</v>
      </c>
      <c r="M65" t="n">
        <v>27.06666666666667</v>
      </c>
      <c r="N65" t="n">
        <v>27.33333333333333</v>
      </c>
      <c r="O65" t="n">
        <v>24.53333333333333</v>
      </c>
      <c r="P65" t="n">
        <v>26.13333333333334</v>
      </c>
      <c r="Q65" t="n">
        <v>26.53333333333333</v>
      </c>
      <c r="R65" t="n">
        <v>26.33333333333333</v>
      </c>
      <c r="S65" t="n">
        <v>25.2</v>
      </c>
      <c r="T65" t="n">
        <v>25</v>
      </c>
      <c r="U65" t="n">
        <v>24.06666666666667</v>
      </c>
      <c r="V65" t="n">
        <v>24.8</v>
      </c>
      <c r="W65" t="n">
        <v>25.46666666666667</v>
      </c>
      <c r="X65" t="n">
        <v>26.13333333333334</v>
      </c>
      <c r="Y65" t="n">
        <v>24.8</v>
      </c>
      <c r="Z65" t="n">
        <v>26.2</v>
      </c>
      <c r="AA65" t="n">
        <v>27.13333333333334</v>
      </c>
      <c r="AB65" t="n">
        <v>25.26666666666667</v>
      </c>
      <c r="AC65" t="n">
        <v>27.06666666666667</v>
      </c>
      <c r="AD65" t="n">
        <v>27.6</v>
      </c>
      <c r="AE65" t="n">
        <v>27.26666666666667</v>
      </c>
      <c r="AF65" t="n">
        <v>26.13333333333334</v>
      </c>
      <c r="AG65" t="n">
        <v>25.4</v>
      </c>
      <c r="AH65" t="n">
        <v>25.2</v>
      </c>
      <c r="AI65" t="n">
        <v>27</v>
      </c>
      <c r="AJ65" t="n">
        <v>26.2</v>
      </c>
      <c r="AK65" t="n">
        <v>25.93333333333333</v>
      </c>
      <c r="AL65" t="n">
        <v>25.53333333333333</v>
      </c>
      <c r="AM65" t="n">
        <v>25.33333333333333</v>
      </c>
      <c r="AN65" t="n">
        <v>24.53333333333333</v>
      </c>
      <c r="AP65" t="n">
        <v>26.07096774193549</v>
      </c>
    </row>
    <row r="66">
      <c r="A66" t="n">
        <v>21195060</v>
      </c>
      <c r="B66" t="inlineStr">
        <is>
          <t>PANDI [21195060]</t>
        </is>
      </c>
      <c r="C66" t="inlineStr">
        <is>
          <t>Cundinamarca</t>
        </is>
      </c>
      <c r="D66" t="inlineStr">
        <is>
          <t>Pandi</t>
        </is>
      </c>
      <c r="E66" t="inlineStr">
        <is>
          <t>Area Operativa 11 - Cundinamarca-Amazonas</t>
        </is>
      </c>
      <c r="F66" t="inlineStr">
        <is>
          <t>TSSM_MEDIA_D</t>
        </is>
      </c>
      <c r="G66" t="inlineStr">
        <is>
          <t>4.192722222</t>
        </is>
      </c>
      <c r="H66" t="inlineStr">
        <is>
          <t>-74.48741667</t>
        </is>
      </c>
      <c r="I66" t="inlineStr">
        <is>
          <t>950</t>
        </is>
      </c>
      <c r="J66" t="n">
        <v>25.6</v>
      </c>
      <c r="K66" t="n">
        <v>25.06666666666666</v>
      </c>
      <c r="L66" t="n">
        <v>23.2</v>
      </c>
      <c r="M66" t="n">
        <v>22.86666666666666</v>
      </c>
      <c r="N66" t="n">
        <v>23.6</v>
      </c>
      <c r="O66" t="n">
        <v>21.8</v>
      </c>
      <c r="P66" t="n">
        <v>23.06666666666666</v>
      </c>
      <c r="Q66" t="n">
        <v>23.73333333333333</v>
      </c>
      <c r="R66" t="n">
        <v>25.53333333333333</v>
      </c>
      <c r="S66" t="n">
        <v>24.66666666666667</v>
      </c>
      <c r="T66" t="n">
        <v>22.2</v>
      </c>
      <c r="U66" t="n">
        <v>21.33333333333333</v>
      </c>
      <c r="V66" t="n">
        <v>23.2</v>
      </c>
      <c r="W66" t="n">
        <v>23.26666666666667</v>
      </c>
      <c r="X66" t="n">
        <v>23.33333333333333</v>
      </c>
      <c r="Y66" t="n">
        <v>24.13333333333334</v>
      </c>
      <c r="Z66" t="n">
        <v>23.4</v>
      </c>
      <c r="AA66" t="n">
        <v>26</v>
      </c>
      <c r="AB66" t="n">
        <v>25.8</v>
      </c>
      <c r="AC66" t="n">
        <v>25.8</v>
      </c>
      <c r="AD66" t="n">
        <v>26</v>
      </c>
      <c r="AE66" t="n">
        <v>24</v>
      </c>
      <c r="AF66" t="n">
        <v>24.93333333333333</v>
      </c>
      <c r="AG66" t="n">
        <v>23.4</v>
      </c>
      <c r="AH66" t="n">
        <v>24.6</v>
      </c>
      <c r="AI66" t="n">
        <v>23.73333333333333</v>
      </c>
      <c r="AJ66" t="n">
        <v>24</v>
      </c>
      <c r="AK66" t="n">
        <v>25.26666666666667</v>
      </c>
      <c r="AL66" t="n">
        <v>24.73333333333333</v>
      </c>
      <c r="AM66" t="n">
        <v>24.2</v>
      </c>
      <c r="AN66" t="n">
        <v>23.06666666666666</v>
      </c>
      <c r="AP66" t="n">
        <v>24.0494623655914</v>
      </c>
    </row>
    <row r="67">
      <c r="A67" t="n">
        <v>26135100</v>
      </c>
      <c r="B67" t="inlineStr">
        <is>
          <t>BOHEMIA LA [26135100]</t>
        </is>
      </c>
      <c r="C67" t="inlineStr">
        <is>
          <t>Risaralda</t>
        </is>
      </c>
      <c r="D67" t="inlineStr">
        <is>
          <t>Pereira</t>
        </is>
      </c>
      <c r="E67" t="inlineStr">
        <is>
          <t>Area Operativa 09 - Cauca-Valle-Caldas</t>
        </is>
      </c>
      <c r="F67" t="inlineStr">
        <is>
          <t>TSSM_MEDIA_D</t>
        </is>
      </c>
      <c r="G67" t="inlineStr">
        <is>
          <t>4.878027778</t>
        </is>
      </c>
      <c r="H67" t="inlineStr">
        <is>
          <t>-75.87755556</t>
        </is>
      </c>
      <c r="I67" t="inlineStr">
        <is>
          <t>995</t>
        </is>
      </c>
      <c r="J67" t="n">
        <v>24.06666666666667</v>
      </c>
      <c r="K67" t="n">
        <v>22.73333333333333</v>
      </c>
      <c r="L67" t="n">
        <v>24.8</v>
      </c>
      <c r="M67" t="n">
        <v>22.8</v>
      </c>
      <c r="N67" t="n">
        <v>22.8</v>
      </c>
      <c r="O67" t="n">
        <v>23.2</v>
      </c>
      <c r="P67" t="n">
        <v>24.26666666666667</v>
      </c>
      <c r="Q67" t="n">
        <v>23.46666666666667</v>
      </c>
      <c r="R67" t="n">
        <v>23.2</v>
      </c>
      <c r="S67" t="n">
        <v>23.2</v>
      </c>
      <c r="T67" t="n">
        <v>22.13333333333333</v>
      </c>
      <c r="U67" t="n">
        <v>21.93333333333334</v>
      </c>
      <c r="V67" t="n">
        <v>23.53333333333333</v>
      </c>
      <c r="W67" t="n">
        <v>23.86666666666666</v>
      </c>
      <c r="X67" t="n">
        <v>21.73333333333333</v>
      </c>
      <c r="Y67" t="n">
        <v>24.93333333333333</v>
      </c>
      <c r="Z67" t="n">
        <v>25.46666666666667</v>
      </c>
      <c r="AA67" t="n">
        <v>26.4</v>
      </c>
      <c r="AB67" t="n">
        <v>24.4</v>
      </c>
      <c r="AC67" t="n">
        <v>26.26666666666667</v>
      </c>
      <c r="AD67" t="n">
        <v>25.93333333333334</v>
      </c>
      <c r="AE67" t="n">
        <v>22.53333333333333</v>
      </c>
      <c r="AF67" t="n">
        <v>24.46666666666667</v>
      </c>
      <c r="AG67" t="n">
        <v>26.6</v>
      </c>
      <c r="AH67" t="n">
        <v>24.26666666666667</v>
      </c>
      <c r="AI67" t="n">
        <v>23.53333333333333</v>
      </c>
      <c r="AJ67" t="n">
        <v>25.86666666666666</v>
      </c>
      <c r="AK67" t="n">
        <v>23.93333333333334</v>
      </c>
      <c r="AL67" t="n">
        <v>22.93333333333334</v>
      </c>
      <c r="AM67" t="n">
        <v>24.73333333333333</v>
      </c>
      <c r="AN67" t="n">
        <v>23.6</v>
      </c>
      <c r="AP67" t="n">
        <v>23.98709677419355</v>
      </c>
    </row>
    <row r="68">
      <c r="A68" t="n">
        <v>21205700</v>
      </c>
      <c r="B68" t="inlineStr">
        <is>
          <t>GUASCA [21205700]</t>
        </is>
      </c>
      <c r="C68" t="inlineStr">
        <is>
          <t>Cundinamarca</t>
        </is>
      </c>
      <c r="D68" t="inlineStr">
        <is>
          <t>Guasca</t>
        </is>
      </c>
      <c r="E68" t="inlineStr">
        <is>
          <t>Area Operativa 11 - Cundinamarca-Amazonas</t>
        </is>
      </c>
      <c r="F68" t="inlineStr">
        <is>
          <t>TSSM_MEDIA_D</t>
        </is>
      </c>
      <c r="G68" t="inlineStr">
        <is>
          <t>4.877953</t>
        </is>
      </c>
      <c r="H68" t="inlineStr">
        <is>
          <t>-73.864453</t>
        </is>
      </c>
      <c r="I68" t="inlineStr">
        <is>
          <t>2750</t>
        </is>
      </c>
      <c r="J68" t="n">
        <v>11.95</v>
      </c>
      <c r="K68" t="n">
        <v>13</v>
      </c>
      <c r="L68" t="n">
        <v>12.7</v>
      </c>
      <c r="M68" t="n">
        <v>14</v>
      </c>
      <c r="N68" t="n">
        <v>12.85</v>
      </c>
      <c r="O68" t="n">
        <v>13.1</v>
      </c>
      <c r="P68" t="n">
        <v>12.65</v>
      </c>
      <c r="Q68" t="n">
        <v>12.9</v>
      </c>
      <c r="R68" t="n">
        <v>13.45</v>
      </c>
      <c r="S68" t="n">
        <v>13.65</v>
      </c>
      <c r="T68" t="n">
        <v>12.975</v>
      </c>
      <c r="U68" t="n">
        <v>13.4</v>
      </c>
      <c r="V68" t="n">
        <v>13.3</v>
      </c>
      <c r="W68" t="n">
        <v>12.4</v>
      </c>
      <c r="X68" t="n">
        <v>12.8</v>
      </c>
      <c r="Y68" t="n">
        <v>12.7</v>
      </c>
      <c r="Z68" t="n">
        <v>13.75</v>
      </c>
      <c r="AA68" t="n">
        <v>13.15</v>
      </c>
      <c r="AB68" t="n">
        <v>11.9</v>
      </c>
      <c r="AC68" t="n">
        <v>14.8</v>
      </c>
      <c r="AD68" t="n">
        <v>13.85</v>
      </c>
      <c r="AE68" t="n">
        <v>14.65</v>
      </c>
      <c r="AH68" t="n">
        <v>13.3</v>
      </c>
      <c r="AI68" t="n">
        <v>14.25</v>
      </c>
      <c r="AJ68" t="n">
        <v>13.45</v>
      </c>
      <c r="AK68" t="n">
        <v>12.9</v>
      </c>
      <c r="AL68" t="n">
        <v>12.9</v>
      </c>
      <c r="AM68" t="n">
        <v>14.85</v>
      </c>
      <c r="AN68" t="n">
        <v>13.7</v>
      </c>
      <c r="AP68" t="n">
        <v>13.28534482758621</v>
      </c>
    </row>
    <row r="69">
      <c r="A69" t="n">
        <v>21115100</v>
      </c>
      <c r="B69" t="inlineStr">
        <is>
          <t>PALACIO-VEGALARGA [21115100]</t>
        </is>
      </c>
      <c r="C69" t="inlineStr">
        <is>
          <t>Huila</t>
        </is>
      </c>
      <c r="D69" t="inlineStr">
        <is>
          <t>Neiva</t>
        </is>
      </c>
      <c r="E69" t="inlineStr">
        <is>
          <t>Area Operativa 04 - Huila-Caquetá</t>
        </is>
      </c>
      <c r="F69" t="inlineStr">
        <is>
          <t>TSSM_MEDIA_D</t>
        </is>
      </c>
      <c r="G69" t="inlineStr">
        <is>
          <t>2.942638889</t>
        </is>
      </c>
      <c r="H69" t="inlineStr">
        <is>
          <t>-75.06638889</t>
        </is>
      </c>
      <c r="I69" t="inlineStr">
        <is>
          <t>1100</t>
        </is>
      </c>
      <c r="J69" t="n">
        <v>24.73333333333333</v>
      </c>
      <c r="K69" t="n">
        <v>23.26666666666667</v>
      </c>
      <c r="L69" t="n">
        <v>23.6</v>
      </c>
      <c r="M69" t="n">
        <v>23.33333333333333</v>
      </c>
      <c r="N69" t="n">
        <v>23</v>
      </c>
      <c r="O69" t="n">
        <v>20.73333333333333</v>
      </c>
      <c r="P69" t="n">
        <v>22.13333333333334</v>
      </c>
      <c r="Q69" t="n">
        <v>22.13333333333334</v>
      </c>
      <c r="R69" t="n">
        <v>22.4</v>
      </c>
      <c r="S69" t="n">
        <v>22.66666666666667</v>
      </c>
      <c r="T69" t="n">
        <v>22.33333333333333</v>
      </c>
      <c r="U69" t="n">
        <v>21.13333333333333</v>
      </c>
      <c r="V69" t="n">
        <v>21.4</v>
      </c>
      <c r="W69" t="n">
        <v>22.46666666666667</v>
      </c>
      <c r="X69" t="n">
        <v>23.73333333333333</v>
      </c>
      <c r="Y69" t="n">
        <v>22.53333333333333</v>
      </c>
      <c r="Z69" t="n">
        <v>23</v>
      </c>
      <c r="AA69" t="n">
        <v>23.66666666666667</v>
      </c>
      <c r="AB69" t="n">
        <v>24.46666666666667</v>
      </c>
      <c r="AC69" t="n">
        <v>24</v>
      </c>
      <c r="AD69" t="n">
        <v>21.93333333333334</v>
      </c>
      <c r="AE69" t="n">
        <v>22.06666666666667</v>
      </c>
      <c r="AF69" t="n">
        <v>22.8</v>
      </c>
      <c r="AG69" t="n">
        <v>20.8</v>
      </c>
      <c r="AH69" t="n">
        <v>22</v>
      </c>
      <c r="AI69" t="n">
        <v>22.26666666666667</v>
      </c>
      <c r="AJ69" t="n">
        <v>22.2</v>
      </c>
      <c r="AK69" t="n">
        <v>22.26666666666667</v>
      </c>
      <c r="AL69" t="n">
        <v>21.06666666666667</v>
      </c>
      <c r="AM69" t="n">
        <v>22.53333333333333</v>
      </c>
      <c r="AN69" t="n">
        <v>21.33333333333333</v>
      </c>
      <c r="AP69" t="n">
        <v>22.51612903225806</v>
      </c>
    </row>
    <row r="70">
      <c r="A70" t="n">
        <v>21215080</v>
      </c>
      <c r="B70" t="inlineStr">
        <is>
          <t>CHICORAL [21215080]</t>
        </is>
      </c>
      <c r="C70" t="inlineStr">
        <is>
          <t>Tolima</t>
        </is>
      </c>
      <c r="D70" t="inlineStr">
        <is>
          <t>Espinal</t>
        </is>
      </c>
      <c r="E70" t="inlineStr">
        <is>
          <t>Area Operativa 10 - Tolima</t>
        </is>
      </c>
      <c r="F70" t="inlineStr">
        <is>
          <t>TSSM_MEDIA_D</t>
        </is>
      </c>
      <c r="G70" t="inlineStr">
        <is>
          <t>4.231527778</t>
        </is>
      </c>
      <c r="H70" t="inlineStr">
        <is>
          <t>-74.99536111</t>
        </is>
      </c>
      <c r="I70" t="inlineStr">
        <is>
          <t>432</t>
        </is>
      </c>
      <c r="J70" t="n">
        <v>28.53333333333333</v>
      </c>
      <c r="K70" t="n">
        <v>27.53333333333333</v>
      </c>
      <c r="L70" t="n">
        <v>28.06666666666666</v>
      </c>
      <c r="M70" t="n">
        <v>23.73333333333333</v>
      </c>
      <c r="N70" t="n">
        <v>26.6</v>
      </c>
      <c r="O70" t="n">
        <v>23.8</v>
      </c>
      <c r="P70" t="n">
        <v>26.26666666666667</v>
      </c>
      <c r="Q70" t="n">
        <v>26.86666666666666</v>
      </c>
      <c r="R70" t="n">
        <v>24.93333333333334</v>
      </c>
      <c r="S70" t="n">
        <v>26.2</v>
      </c>
      <c r="T70" t="n">
        <v>25.93333333333333</v>
      </c>
      <c r="U70" t="n">
        <v>24.06666666666667</v>
      </c>
      <c r="V70" t="n">
        <v>25.4</v>
      </c>
      <c r="W70" t="n">
        <v>26.53333333333333</v>
      </c>
      <c r="X70" t="n">
        <v>25.6</v>
      </c>
      <c r="Y70" t="n">
        <v>25.6</v>
      </c>
      <c r="Z70" t="n">
        <v>26.73333333333333</v>
      </c>
      <c r="AA70" t="n">
        <v>27.4</v>
      </c>
      <c r="AB70" t="n">
        <v>26.6</v>
      </c>
      <c r="AC70" t="n">
        <v>28.26666666666667</v>
      </c>
      <c r="AD70" t="n">
        <v>28.26666666666667</v>
      </c>
      <c r="AE70" t="n">
        <v>25.33333333333333</v>
      </c>
      <c r="AF70" t="n">
        <v>28.06666666666667</v>
      </c>
      <c r="AG70" t="n">
        <v>27.4</v>
      </c>
      <c r="AH70" t="n">
        <v>27.6</v>
      </c>
      <c r="AI70" t="n">
        <v>27.8</v>
      </c>
      <c r="AJ70" t="n">
        <v>26.06666666666667</v>
      </c>
      <c r="AK70" t="n">
        <v>26.86666666666666</v>
      </c>
      <c r="AL70" t="n">
        <v>27</v>
      </c>
      <c r="AM70" t="n">
        <v>26.46666666666667</v>
      </c>
      <c r="AN70" t="n">
        <v>24.8</v>
      </c>
      <c r="AP70" t="n">
        <v>26.46236559139786</v>
      </c>
    </row>
    <row r="71">
      <c r="A71" t="n">
        <v>24035340</v>
      </c>
      <c r="B71" t="inlineStr">
        <is>
          <t>AEROPUERTO A LLERAS C AUT [24035340]</t>
        </is>
      </c>
      <c r="C71" t="inlineStr">
        <is>
          <t>Boyacá</t>
        </is>
      </c>
      <c r="D71" t="inlineStr">
        <is>
          <t>Sogamoso</t>
        </is>
      </c>
      <c r="E71" t="inlineStr">
        <is>
          <t>Area Operativa 06 - Boyacá-Casanare-Vichada</t>
        </is>
      </c>
      <c r="F71" t="inlineStr">
        <is>
          <t>TSSM_MEDIA_D</t>
        </is>
      </c>
      <c r="G71" t="inlineStr">
        <is>
          <t>5.676944444</t>
        </is>
      </c>
      <c r="H71" t="inlineStr">
        <is>
          <t>-72.96791667</t>
        </is>
      </c>
      <c r="I71" t="inlineStr">
        <is>
          <t>2500</t>
        </is>
      </c>
      <c r="AM71" t="n">
        <v>15.96666666666667</v>
      </c>
      <c r="AP71" t="n">
        <v>15.96666666666667</v>
      </c>
    </row>
    <row r="72">
      <c r="A72" t="n">
        <v>21145040</v>
      </c>
      <c r="B72" t="inlineStr">
        <is>
          <t>SAN ALFONSO [21145040]</t>
        </is>
      </c>
      <c r="C72" t="inlineStr">
        <is>
          <t>Huila</t>
        </is>
      </c>
      <c r="D72" t="inlineStr">
        <is>
          <t>Villavieja</t>
        </is>
      </c>
      <c r="E72" t="inlineStr">
        <is>
          <t>Area Operativa 04 - Huila-Caquetá</t>
        </is>
      </c>
      <c r="F72" t="inlineStr">
        <is>
          <t>TSSM_MEDIA_D</t>
        </is>
      </c>
      <c r="G72" t="inlineStr">
        <is>
          <t>3.373361111</t>
        </is>
      </c>
      <c r="H72" t="inlineStr">
        <is>
          <t>-75.11011111</t>
        </is>
      </c>
      <c r="I72" t="inlineStr">
        <is>
          <t>440</t>
        </is>
      </c>
      <c r="J72" t="n">
        <v>32.66666666666666</v>
      </c>
      <c r="K72" t="n">
        <v>31.73333333333333</v>
      </c>
      <c r="L72" t="n">
        <v>32.73333333333333</v>
      </c>
      <c r="M72" t="n">
        <v>30.06666666666667</v>
      </c>
      <c r="N72" t="n">
        <v>31.6</v>
      </c>
      <c r="O72" t="n">
        <v>26.2</v>
      </c>
      <c r="P72" t="n">
        <v>26.66666666666667</v>
      </c>
      <c r="Q72" t="n">
        <v>28.2</v>
      </c>
      <c r="R72" t="n">
        <v>29.13333333333334</v>
      </c>
      <c r="S72" t="n">
        <v>29.46666666666667</v>
      </c>
      <c r="T72" t="n">
        <v>30</v>
      </c>
      <c r="U72" t="n">
        <v>28.26666666666667</v>
      </c>
      <c r="V72" t="n">
        <v>28.73333333333333</v>
      </c>
      <c r="W72" t="n">
        <v>30.46666666666667</v>
      </c>
      <c r="X72" t="n">
        <v>30.4</v>
      </c>
      <c r="Y72" t="n">
        <v>30.13333333333333</v>
      </c>
      <c r="Z72" t="n">
        <v>29</v>
      </c>
      <c r="AA72" t="n">
        <v>32.26666666666667</v>
      </c>
      <c r="AB72" t="n">
        <v>30.4</v>
      </c>
      <c r="AC72" t="n">
        <v>32.66666666666666</v>
      </c>
      <c r="AD72" t="n">
        <v>30.73333333333333</v>
      </c>
      <c r="AE72" t="n">
        <v>28.06666666666666</v>
      </c>
      <c r="AF72" t="n">
        <v>28.8</v>
      </c>
      <c r="AG72" t="n">
        <v>27.6</v>
      </c>
      <c r="AH72" t="n">
        <v>28.8</v>
      </c>
      <c r="AI72" t="n">
        <v>29.8</v>
      </c>
      <c r="AJ72" t="n">
        <v>27.53333333333333</v>
      </c>
      <c r="AK72" t="n">
        <v>27.86666666666666</v>
      </c>
      <c r="AL72" t="n">
        <v>28.2</v>
      </c>
      <c r="AM72" t="n">
        <v>27.26666666666667</v>
      </c>
      <c r="AN72" t="n">
        <v>27.6</v>
      </c>
      <c r="AP72" t="n">
        <v>29.45376344086021</v>
      </c>
    </row>
    <row r="73">
      <c r="A73" t="n">
        <v>32075050</v>
      </c>
      <c r="B73" t="inlineStr">
        <is>
          <t>MESETAS [32075050]</t>
        </is>
      </c>
      <c r="C73" t="inlineStr">
        <is>
          <t>Meta</t>
        </is>
      </c>
      <c r="D73" t="inlineStr">
        <is>
          <t>Mesetas</t>
        </is>
      </c>
      <c r="E73" t="inlineStr">
        <is>
          <t>Area Operativa 03 - Meta-Guaviare-Guainía</t>
        </is>
      </c>
      <c r="F73" t="inlineStr">
        <is>
          <t>TSSM_MEDIA_D</t>
        </is>
      </c>
      <c r="G73" t="inlineStr">
        <is>
          <t>3.38008</t>
        </is>
      </c>
      <c r="H73" t="inlineStr">
        <is>
          <t>-74.043</t>
        </is>
      </c>
      <c r="I73" t="inlineStr">
        <is>
          <t>556</t>
        </is>
      </c>
      <c r="J73" t="n">
        <v>26.4</v>
      </c>
      <c r="K73" t="n">
        <v>25.25</v>
      </c>
      <c r="L73" t="n">
        <v>24.9</v>
      </c>
      <c r="M73" t="n">
        <v>26.3</v>
      </c>
      <c r="N73" t="n">
        <v>27.3</v>
      </c>
      <c r="O73" t="n">
        <v>23.4</v>
      </c>
      <c r="P73" t="n">
        <v>25.25</v>
      </c>
      <c r="Q73" t="n">
        <v>25.75</v>
      </c>
      <c r="R73" t="n">
        <v>26.15</v>
      </c>
      <c r="S73" t="n">
        <v>26.75</v>
      </c>
      <c r="T73" t="n">
        <v>27</v>
      </c>
      <c r="U73" t="n">
        <v>25.7</v>
      </c>
      <c r="V73" t="n">
        <v>25.45</v>
      </c>
      <c r="W73" t="n">
        <v>25.8</v>
      </c>
      <c r="X73" t="n">
        <v>25.1</v>
      </c>
      <c r="Y73" t="n">
        <v>25.15</v>
      </c>
      <c r="Z73" t="n">
        <v>25.25</v>
      </c>
      <c r="AA73" t="n">
        <v>25.3</v>
      </c>
      <c r="AB73" t="n">
        <v>26.25</v>
      </c>
      <c r="AC73" t="n">
        <v>27.4</v>
      </c>
      <c r="AD73" t="n">
        <v>26.6</v>
      </c>
      <c r="AE73" t="n">
        <v>25.4</v>
      </c>
      <c r="AF73" t="n">
        <v>26.2</v>
      </c>
      <c r="AG73" t="n">
        <v>26.6</v>
      </c>
      <c r="AH73" t="n">
        <v>26.8</v>
      </c>
      <c r="AI73" t="n">
        <v>26.05</v>
      </c>
      <c r="AJ73" t="n">
        <v>25.8</v>
      </c>
      <c r="AK73" t="n">
        <v>26.3</v>
      </c>
      <c r="AL73" t="n">
        <v>25.9</v>
      </c>
      <c r="AM73" t="n">
        <v>26.05</v>
      </c>
      <c r="AN73" t="n">
        <v>24.8</v>
      </c>
      <c r="AP73" t="n">
        <v>25.88225806451612</v>
      </c>
    </row>
    <row r="74">
      <c r="A74" t="n">
        <v>33055010</v>
      </c>
      <c r="B74" t="inlineStr">
        <is>
          <t>CUMARIBO [33055010]</t>
        </is>
      </c>
      <c r="C74" t="inlineStr">
        <is>
          <t>Vichada</t>
        </is>
      </c>
      <c r="D74" t="inlineStr">
        <is>
          <t>Cumaribo</t>
        </is>
      </c>
      <c r="E74" t="inlineStr">
        <is>
          <t>Area Operativa 03 - Meta-Guaviare-Guainía</t>
        </is>
      </c>
      <c r="F74" t="inlineStr">
        <is>
          <t>TSSM_MEDIA_D</t>
        </is>
      </c>
      <c r="G74" t="inlineStr">
        <is>
          <t>4.494806</t>
        </is>
      </c>
      <c r="H74" t="inlineStr">
        <is>
          <t>-69.812306</t>
        </is>
      </c>
      <c r="I74" t="inlineStr">
        <is>
          <t>158</t>
        </is>
      </c>
      <c r="W74" t="n">
        <v>26.65</v>
      </c>
      <c r="X74" t="n">
        <v>25.25</v>
      </c>
      <c r="Y74" t="n">
        <v>26.3</v>
      </c>
      <c r="Z74" t="n">
        <v>27.1</v>
      </c>
      <c r="AA74" t="n">
        <v>25.55</v>
      </c>
      <c r="AB74" t="n">
        <v>27.3</v>
      </c>
      <c r="AC74" t="n">
        <v>27.75</v>
      </c>
      <c r="AD74" t="n">
        <v>26.9</v>
      </c>
      <c r="AE74" t="n">
        <v>26.5</v>
      </c>
      <c r="AG74" t="n">
        <v>28.75</v>
      </c>
      <c r="AH74" t="n">
        <v>27.2</v>
      </c>
      <c r="AI74" t="n">
        <v>25.75</v>
      </c>
      <c r="AJ74" t="n">
        <v>26.9</v>
      </c>
      <c r="AK74" t="n">
        <v>26.9</v>
      </c>
      <c r="AL74" t="n">
        <v>26.65</v>
      </c>
      <c r="AM74" t="n">
        <v>24.85</v>
      </c>
      <c r="AN74" t="n">
        <v>26.25</v>
      </c>
      <c r="AP74" t="n">
        <v>26.62058823529412</v>
      </c>
    </row>
    <row r="75">
      <c r="A75" t="n">
        <v>35085050</v>
      </c>
      <c r="B75" t="inlineStr">
        <is>
          <t>CAMPOHERMOSO [35085050]</t>
        </is>
      </c>
      <c r="C75" t="inlineStr">
        <is>
          <t>Boyacá</t>
        </is>
      </c>
      <c r="D75" t="inlineStr">
        <is>
          <t>Campohermoso</t>
        </is>
      </c>
      <c r="E75" t="inlineStr">
        <is>
          <t>Area Operativa 06 - Boyacá-Casanare-Vichada</t>
        </is>
      </c>
      <c r="F75" t="inlineStr">
        <is>
          <t>TSSM_MEDIA_D</t>
        </is>
      </c>
      <c r="G75" t="inlineStr">
        <is>
          <t>5.0345</t>
        </is>
      </c>
      <c r="H75" t="inlineStr">
        <is>
          <t>-73.10366667</t>
        </is>
      </c>
      <c r="I75" t="inlineStr">
        <is>
          <t>1300</t>
        </is>
      </c>
      <c r="K75" t="n">
        <v>21.66666666666667</v>
      </c>
      <c r="L75" t="n">
        <v>21.2</v>
      </c>
      <c r="N75" t="n">
        <v>22.33333333333333</v>
      </c>
      <c r="W75" t="n">
        <v>21.13333333333333</v>
      </c>
      <c r="X75" t="n">
        <v>21.73333333333333</v>
      </c>
      <c r="AA75" t="n">
        <v>22.73333333333333</v>
      </c>
      <c r="AB75" t="n">
        <v>22.4</v>
      </c>
      <c r="AC75" t="n">
        <v>22.4</v>
      </c>
      <c r="AD75" t="n">
        <v>22.86666666666666</v>
      </c>
      <c r="AE75" t="n">
        <v>21.8</v>
      </c>
      <c r="AF75" t="n">
        <v>24.2</v>
      </c>
      <c r="AG75" t="n">
        <v>24</v>
      </c>
      <c r="AJ75" t="n">
        <v>22.53333333333333</v>
      </c>
      <c r="AK75" t="n">
        <v>22.2</v>
      </c>
      <c r="AM75" t="n">
        <v>22.93333333333333</v>
      </c>
      <c r="AN75" t="n">
        <v>22.33333333333333</v>
      </c>
      <c r="AP75" t="n">
        <v>22.40416666666667</v>
      </c>
    </row>
    <row r="76">
      <c r="A76" t="n">
        <v>21205740</v>
      </c>
      <c r="B76" t="inlineStr">
        <is>
          <t>SILOS [21205740]</t>
        </is>
      </c>
      <c r="C76" t="inlineStr">
        <is>
          <t>Cundinamarca</t>
        </is>
      </c>
      <c r="D76" t="inlineStr">
        <is>
          <t>Chocontá</t>
        </is>
      </c>
      <c r="E76" t="inlineStr">
        <is>
          <t>Area Operativa 11 - Cundinamarca-Amazonas</t>
        </is>
      </c>
      <c r="F76" t="inlineStr">
        <is>
          <t>TSSM_MEDIA_D</t>
        </is>
      </c>
      <c r="G76" t="inlineStr">
        <is>
          <t>5.117722222</t>
        </is>
      </c>
      <c r="H76" t="inlineStr">
        <is>
          <t>-73.70141667</t>
        </is>
      </c>
      <c r="I76" t="inlineStr">
        <is>
          <t>2709</t>
        </is>
      </c>
      <c r="J76" t="n">
        <v>12.4</v>
      </c>
      <c r="K76" t="n">
        <v>13.26666666666667</v>
      </c>
      <c r="L76" t="n">
        <v>12</v>
      </c>
      <c r="M76" t="n">
        <v>12.26666666666667</v>
      </c>
      <c r="N76" t="n">
        <v>13.33333333333333</v>
      </c>
      <c r="O76" t="n">
        <v>11.86666666666667</v>
      </c>
      <c r="P76" t="n">
        <v>12.33333333333333</v>
      </c>
      <c r="Q76" t="n">
        <v>12.06666666666667</v>
      </c>
      <c r="R76" t="n">
        <v>12.46666666666667</v>
      </c>
      <c r="S76" t="n">
        <v>12.93333333333333</v>
      </c>
      <c r="T76" t="n">
        <v>13.33333333333333</v>
      </c>
      <c r="U76" t="n">
        <v>12.26666666666667</v>
      </c>
      <c r="V76" t="n">
        <v>13.13333333333333</v>
      </c>
      <c r="W76" t="n">
        <v>12.73333333333333</v>
      </c>
      <c r="Z76" t="n">
        <v>14.93333333333334</v>
      </c>
      <c r="AA76" t="n">
        <v>14.26666666666667</v>
      </c>
      <c r="AB76" t="n">
        <v>11.86666666666667</v>
      </c>
      <c r="AC76" t="n">
        <v>12.6</v>
      </c>
      <c r="AD76" t="n">
        <v>12.8</v>
      </c>
      <c r="AE76" t="n">
        <v>13.2</v>
      </c>
      <c r="AF76" t="n">
        <v>13.2</v>
      </c>
      <c r="AG76" t="n">
        <v>11.86666666666667</v>
      </c>
      <c r="AH76" t="n">
        <v>12.53333333333333</v>
      </c>
      <c r="AI76" t="n">
        <v>13.13333333333333</v>
      </c>
      <c r="AJ76" t="n">
        <v>13.6</v>
      </c>
      <c r="AK76" t="n">
        <v>13.86666666666667</v>
      </c>
      <c r="AL76" t="n">
        <v>12.86666666666667</v>
      </c>
      <c r="AM76" t="n">
        <v>13.06666666666666</v>
      </c>
      <c r="AN76" t="n">
        <v>14.06666666666667</v>
      </c>
      <c r="AP76" t="n">
        <v>12.90574712643678</v>
      </c>
    </row>
    <row r="77">
      <c r="A77" t="n">
        <v>21245010</v>
      </c>
      <c r="B77" t="inlineStr">
        <is>
          <t>PERALES HATO OPIA [21245010]</t>
        </is>
      </c>
      <c r="C77" t="inlineStr">
        <is>
          <t>Tolima</t>
        </is>
      </c>
      <c r="D77" t="inlineStr">
        <is>
          <t>Ibagué</t>
        </is>
      </c>
      <c r="E77" t="inlineStr">
        <is>
          <t>Area Operativa 10 - Tolima</t>
        </is>
      </c>
      <c r="F77" t="inlineStr">
        <is>
          <t>TSSM_MEDIA_D</t>
        </is>
      </c>
      <c r="G77" t="inlineStr">
        <is>
          <t>4.429666667</t>
        </is>
      </c>
      <c r="H77" t="inlineStr">
        <is>
          <t>-75.20052222</t>
        </is>
      </c>
      <c r="I77" t="inlineStr">
        <is>
          <t>826</t>
        </is>
      </c>
      <c r="K77" t="n">
        <v>25.53333333333333</v>
      </c>
      <c r="L77" t="n">
        <v>26.66666666666667</v>
      </c>
      <c r="N77" t="n">
        <v>24.33333333333333</v>
      </c>
      <c r="O77" t="n">
        <v>22.86666666666666</v>
      </c>
      <c r="P77" t="n">
        <v>23.66666666666667</v>
      </c>
      <c r="Q77" t="n">
        <v>25.26666666666667</v>
      </c>
      <c r="R77" t="n">
        <v>25.06666666666667</v>
      </c>
      <c r="T77" t="n">
        <v>23.93333333333334</v>
      </c>
      <c r="U77" t="n">
        <v>22.13333333333334</v>
      </c>
      <c r="V77" t="n">
        <v>23.6</v>
      </c>
      <c r="W77" t="n">
        <v>24.2</v>
      </c>
      <c r="X77" t="n">
        <v>23.6</v>
      </c>
      <c r="Y77" t="n">
        <v>24.26666666666667</v>
      </c>
      <c r="Z77" t="n">
        <v>26</v>
      </c>
      <c r="AA77" t="n">
        <v>26.4</v>
      </c>
      <c r="AB77" t="n">
        <v>25.93333333333333</v>
      </c>
      <c r="AC77" t="n">
        <v>26.2</v>
      </c>
      <c r="AD77" t="n">
        <v>26.2</v>
      </c>
      <c r="AE77" t="n">
        <v>23.86666666666666</v>
      </c>
      <c r="AF77" t="n">
        <v>25.53333333333333</v>
      </c>
      <c r="AG77" t="n">
        <v>24.6</v>
      </c>
      <c r="AH77" t="n">
        <v>24.73333333333333</v>
      </c>
      <c r="AI77" t="n">
        <v>25.93333333333333</v>
      </c>
      <c r="AJ77" t="n">
        <v>25.26666666666667</v>
      </c>
      <c r="AK77" t="n">
        <v>25</v>
      </c>
      <c r="AL77" t="n">
        <v>24.73333333333333</v>
      </c>
      <c r="AM77" t="n">
        <v>25.8</v>
      </c>
      <c r="AN77" t="n">
        <v>23.86666666666666</v>
      </c>
      <c r="AP77" t="n">
        <v>24.82857142857143</v>
      </c>
    </row>
    <row r="78">
      <c r="A78" t="n">
        <v>35085040</v>
      </c>
      <c r="B78" t="inlineStr">
        <is>
          <t>VIVERO EL [35085040]</t>
        </is>
      </c>
      <c r="C78" t="inlineStr">
        <is>
          <t>Boyacá</t>
        </is>
      </c>
      <c r="D78" t="inlineStr">
        <is>
          <t>Miraflores</t>
        </is>
      </c>
      <c r="E78" t="inlineStr">
        <is>
          <t>Area Operativa 06 - Boyacá-Casanare-Vichada</t>
        </is>
      </c>
      <c r="F78" t="inlineStr">
        <is>
          <t>TSSM_MEDIA_D</t>
        </is>
      </c>
      <c r="G78" t="inlineStr">
        <is>
          <t>5.192555556</t>
        </is>
      </c>
      <c r="H78" t="inlineStr">
        <is>
          <t>-73.14477778</t>
        </is>
      </c>
      <c r="I78" t="inlineStr">
        <is>
          <t>1640</t>
        </is>
      </c>
      <c r="J78" t="n">
        <v>19.83333333333333</v>
      </c>
      <c r="K78" t="n">
        <v>19.63333333333333</v>
      </c>
      <c r="L78" t="n">
        <v>19.76666666666667</v>
      </c>
      <c r="M78" t="n">
        <v>19.1</v>
      </c>
      <c r="N78" t="n">
        <v>19.56666666666667</v>
      </c>
      <c r="O78" t="n">
        <v>18.33333333333333</v>
      </c>
      <c r="Q78" t="n">
        <v>18.23333333333333</v>
      </c>
      <c r="R78" t="n">
        <v>18.86666666666666</v>
      </c>
      <c r="S78" t="n">
        <v>18.26666666666667</v>
      </c>
      <c r="T78" t="n">
        <v>17.5</v>
      </c>
      <c r="U78" t="n">
        <v>18.43333333333333</v>
      </c>
      <c r="V78" t="n">
        <v>19.23333333333333</v>
      </c>
      <c r="W78" t="n">
        <v>17.56666666666667</v>
      </c>
      <c r="X78" t="n">
        <v>18.56666666666667</v>
      </c>
      <c r="Y78" t="n">
        <v>19.53333333333333</v>
      </c>
      <c r="Z78" t="n">
        <v>20.83333333333333</v>
      </c>
      <c r="AA78" t="n">
        <v>19.26666666666667</v>
      </c>
      <c r="AB78" t="n">
        <v>19.86666666666666</v>
      </c>
      <c r="AC78" t="n">
        <v>20.26666666666667</v>
      </c>
      <c r="AD78" t="n">
        <v>20.66666666666667</v>
      </c>
      <c r="AF78" t="n">
        <v>20.43333333333333</v>
      </c>
      <c r="AG78" t="n">
        <v>21.13333333333333</v>
      </c>
      <c r="AH78" t="n">
        <v>20.5</v>
      </c>
      <c r="AI78" t="n">
        <v>20.73333333333333</v>
      </c>
      <c r="AJ78" t="n">
        <v>19.13333333333333</v>
      </c>
      <c r="AK78" t="n">
        <v>19.73333333333333</v>
      </c>
      <c r="AL78" t="n">
        <v>18.3</v>
      </c>
      <c r="AM78" t="n">
        <v>19.23333333333333</v>
      </c>
      <c r="AN78" t="n">
        <v>18.5</v>
      </c>
      <c r="AP78" t="n">
        <v>19.34597701149425</v>
      </c>
    </row>
    <row r="79">
      <c r="A79" t="n">
        <v>21255090</v>
      </c>
      <c r="B79" t="inlineStr">
        <is>
          <t>ARMERO GRANJA [21255090]</t>
        </is>
      </c>
      <c r="C79" t="inlineStr">
        <is>
          <t>Tolima</t>
        </is>
      </c>
      <c r="D79" t="inlineStr">
        <is>
          <t>Armero (Guayabal)</t>
        </is>
      </c>
      <c r="E79" t="inlineStr">
        <is>
          <t>Area Operativa 10 - Tolima</t>
        </is>
      </c>
      <c r="F79" t="inlineStr">
        <is>
          <t>TSSM_MEDIA_D</t>
        </is>
      </c>
      <c r="G79" t="inlineStr">
        <is>
          <t>5</t>
        </is>
      </c>
      <c r="H79" t="inlineStr">
        <is>
          <t>-74.899991667</t>
        </is>
      </c>
      <c r="I79" t="inlineStr">
        <is>
          <t>321</t>
        </is>
      </c>
      <c r="J79" t="n">
        <v>30.13333333333334</v>
      </c>
      <c r="K79" t="n">
        <v>26.26666666666667</v>
      </c>
      <c r="L79" t="n">
        <v>29.13333333333334</v>
      </c>
      <c r="M79" t="n">
        <v>26.86666666666666</v>
      </c>
      <c r="N79" t="n">
        <v>28.26666666666667</v>
      </c>
      <c r="O79" t="n">
        <v>26.4</v>
      </c>
      <c r="P79" t="n">
        <v>27.73333333333333</v>
      </c>
      <c r="Q79" t="n">
        <v>27.66666666666667</v>
      </c>
      <c r="R79" t="n">
        <v>28.13333333333334</v>
      </c>
      <c r="S79" t="n">
        <v>27.53333333333333</v>
      </c>
      <c r="T79" t="n">
        <v>27.06666666666666</v>
      </c>
      <c r="U79" t="n">
        <v>25.46666666666667</v>
      </c>
      <c r="V79" t="n">
        <v>27.93333333333333</v>
      </c>
      <c r="W79" t="n">
        <v>27.73333333333333</v>
      </c>
      <c r="X79" t="n">
        <v>26.26666666666667</v>
      </c>
      <c r="Y79" t="n">
        <v>27.53333333333333</v>
      </c>
      <c r="AB79" t="n">
        <v>27.8</v>
      </c>
      <c r="AC79" t="n">
        <v>29.6</v>
      </c>
      <c r="AD79" t="n">
        <v>29.06666666666666</v>
      </c>
      <c r="AE79" t="n">
        <v>28.73333333333333</v>
      </c>
      <c r="AF79" t="n">
        <v>29.2</v>
      </c>
      <c r="AG79" t="n">
        <v>28</v>
      </c>
      <c r="AH79" t="n">
        <v>28.6</v>
      </c>
      <c r="AI79" t="n">
        <v>29.33333333333333</v>
      </c>
      <c r="AJ79" t="n">
        <v>27.26666666666667</v>
      </c>
      <c r="AK79" t="n">
        <v>27.66666666666667</v>
      </c>
      <c r="AL79" t="n">
        <v>28.46666666666667</v>
      </c>
      <c r="AM79" t="n">
        <v>27.26666666666667</v>
      </c>
      <c r="AN79" t="n">
        <v>27.4</v>
      </c>
      <c r="AP79" t="n">
        <v>27.88045977011495</v>
      </c>
    </row>
    <row r="80">
      <c r="A80" t="n">
        <v>21255120</v>
      </c>
      <c r="B80" t="inlineStr">
        <is>
          <t>VILLAHERMOSA [21255120]</t>
        </is>
      </c>
      <c r="C80" t="inlineStr">
        <is>
          <t>Tolima</t>
        </is>
      </c>
      <c r="D80" t="inlineStr">
        <is>
          <t>Villahermosa</t>
        </is>
      </c>
      <c r="E80" t="inlineStr">
        <is>
          <t>Area Operativa 10 - Tolima</t>
        </is>
      </c>
      <c r="F80" t="inlineStr">
        <is>
          <t>TSSM_MEDIA_D</t>
        </is>
      </c>
      <c r="G80" t="inlineStr">
        <is>
          <t>5.026761944</t>
        </is>
      </c>
      <c r="H80" t="inlineStr">
        <is>
          <t>-75.117336111</t>
        </is>
      </c>
      <c r="I80" t="inlineStr">
        <is>
          <t>2069</t>
        </is>
      </c>
      <c r="J80" t="n">
        <v>17.25</v>
      </c>
      <c r="K80" t="n">
        <v>17</v>
      </c>
      <c r="L80" t="n">
        <v>16.7</v>
      </c>
      <c r="M80" t="n">
        <v>17.2</v>
      </c>
      <c r="N80" t="n">
        <v>15.9</v>
      </c>
      <c r="O80" t="n">
        <v>15.45</v>
      </c>
      <c r="P80" t="n">
        <v>16.2</v>
      </c>
      <c r="Q80" t="n">
        <v>15.85</v>
      </c>
      <c r="R80" t="n">
        <v>17.05</v>
      </c>
      <c r="S80" t="n">
        <v>16.85</v>
      </c>
      <c r="T80" t="n">
        <v>16.05</v>
      </c>
      <c r="U80" t="n">
        <v>15.5</v>
      </c>
      <c r="V80" t="n">
        <v>16.05</v>
      </c>
      <c r="W80" t="n">
        <v>17.45</v>
      </c>
      <c r="X80" t="n">
        <v>16.1</v>
      </c>
      <c r="Y80" t="n">
        <v>16.9</v>
      </c>
      <c r="Z80" t="n">
        <v>18.55</v>
      </c>
      <c r="AA80" t="n">
        <v>18.4</v>
      </c>
      <c r="AB80" t="n">
        <v>17.65</v>
      </c>
      <c r="AC80" t="n">
        <v>18.35</v>
      </c>
      <c r="AD80" t="n">
        <v>17.55</v>
      </c>
      <c r="AE80" t="n">
        <v>17</v>
      </c>
      <c r="AF80" t="n">
        <v>16.85</v>
      </c>
      <c r="AG80" t="n">
        <v>16.35</v>
      </c>
      <c r="AH80" t="n">
        <v>17.05</v>
      </c>
      <c r="AI80" t="n">
        <v>16.7</v>
      </c>
      <c r="AJ80" t="n">
        <v>16.6</v>
      </c>
      <c r="AK80" t="n">
        <v>17.2</v>
      </c>
      <c r="AL80" t="n">
        <v>16.9</v>
      </c>
      <c r="AM80" t="n">
        <v>16.75</v>
      </c>
      <c r="AN80" t="n">
        <v>16.9</v>
      </c>
      <c r="AP80" t="n">
        <v>16.8483870967742</v>
      </c>
    </row>
    <row r="81">
      <c r="A81" t="n">
        <v>35075020</v>
      </c>
      <c r="B81" t="inlineStr">
        <is>
          <t>SUTATENZA [35075020]</t>
        </is>
      </c>
      <c r="C81" t="inlineStr">
        <is>
          <t>Boyacá</t>
        </is>
      </c>
      <c r="D81" t="inlineStr">
        <is>
          <t>Sutatenza</t>
        </is>
      </c>
      <c r="E81" t="inlineStr">
        <is>
          <t>Area Operativa 06 - Boyacá-Casanare-Vichada</t>
        </is>
      </c>
      <c r="F81" t="inlineStr">
        <is>
          <t>TSSM_MEDIA_D</t>
        </is>
      </c>
      <c r="G81" t="inlineStr">
        <is>
          <t>5.022277778</t>
        </is>
      </c>
      <c r="H81" t="inlineStr">
        <is>
          <t>-73.44916667</t>
        </is>
      </c>
      <c r="I81" t="inlineStr">
        <is>
          <t>1930</t>
        </is>
      </c>
      <c r="J81" t="n">
        <v>18</v>
      </c>
      <c r="K81" t="n">
        <v>18.2</v>
      </c>
      <c r="L81" t="n">
        <v>17.2</v>
      </c>
      <c r="M81" t="n">
        <v>18.8</v>
      </c>
      <c r="N81" t="n">
        <v>18.93333333333333</v>
      </c>
      <c r="O81" t="n">
        <v>17.53333333333333</v>
      </c>
      <c r="P81" t="n">
        <v>17.26666666666667</v>
      </c>
      <c r="Q81" t="n">
        <v>18.6</v>
      </c>
      <c r="R81" t="n">
        <v>18.93333333333333</v>
      </c>
      <c r="S81" t="n">
        <v>17.4</v>
      </c>
      <c r="T81" t="n">
        <v>17.8</v>
      </c>
      <c r="U81" t="n">
        <v>17.93333333333333</v>
      </c>
      <c r="V81" t="n">
        <v>17.46666666666667</v>
      </c>
      <c r="W81" t="n">
        <v>16.86666666666667</v>
      </c>
      <c r="X81" t="n">
        <v>17.06666666666667</v>
      </c>
      <c r="Y81" t="n">
        <v>18.53333333333333</v>
      </c>
      <c r="Z81" t="n">
        <v>20</v>
      </c>
      <c r="AA81" t="n">
        <v>19.13333333333334</v>
      </c>
      <c r="AB81" t="n">
        <v>19.13333333333333</v>
      </c>
      <c r="AC81" t="n">
        <v>19.13333333333334</v>
      </c>
      <c r="AD81" t="n">
        <v>19.4</v>
      </c>
      <c r="AE81" t="n">
        <v>19.4</v>
      </c>
      <c r="AF81" t="n">
        <v>18.8</v>
      </c>
      <c r="AG81" t="n">
        <v>18.33333333333333</v>
      </c>
      <c r="AH81" t="n">
        <v>18.46666666666667</v>
      </c>
      <c r="AI81" t="n">
        <v>18.93333333333333</v>
      </c>
      <c r="AJ81" t="n">
        <v>19.33333333333333</v>
      </c>
      <c r="AK81" t="n">
        <v>19.06666666666667</v>
      </c>
      <c r="AL81" t="n">
        <v>18.26666666666667</v>
      </c>
      <c r="AM81" t="n">
        <v>17.8</v>
      </c>
      <c r="AN81" t="n">
        <v>18.46666666666667</v>
      </c>
      <c r="AP81" t="n">
        <v>18.39354838709678</v>
      </c>
    </row>
    <row r="82">
      <c r="A82" t="n">
        <v>26155170</v>
      </c>
      <c r="B82" t="inlineStr">
        <is>
          <t>TESORITO FINCA  - AUT [26155170]</t>
        </is>
      </c>
      <c r="C82" t="inlineStr">
        <is>
          <t>Caldas</t>
        </is>
      </c>
      <c r="D82" t="inlineStr">
        <is>
          <t>Manizales</t>
        </is>
      </c>
      <c r="E82" t="inlineStr">
        <is>
          <t>Area Operativa 09 - Cauca-Valle-Caldas</t>
        </is>
      </c>
      <c r="F82" t="inlineStr">
        <is>
          <t>TSSM_MEDIA_D</t>
        </is>
      </c>
      <c r="G82" t="inlineStr">
        <is>
          <t>5.032222222</t>
        </is>
      </c>
      <c r="H82" t="inlineStr">
        <is>
          <t>-75.43833333</t>
        </is>
      </c>
      <c r="I82" t="inlineStr">
        <is>
          <t>2325</t>
        </is>
      </c>
      <c r="N82" t="n">
        <v>14.2</v>
      </c>
      <c r="O82" t="n">
        <v>14.05</v>
      </c>
      <c r="P82" t="n">
        <v>13.9</v>
      </c>
      <c r="Q82" t="n">
        <v>14.8</v>
      </c>
      <c r="R82" t="n">
        <v>13.3</v>
      </c>
      <c r="S82" t="n">
        <v>14.25</v>
      </c>
      <c r="T82" t="n">
        <v>13.6</v>
      </c>
      <c r="W82" t="n">
        <v>15.05</v>
      </c>
      <c r="X82" t="n">
        <v>14.15</v>
      </c>
      <c r="Y82" t="n">
        <v>15.05</v>
      </c>
      <c r="Z82" t="n">
        <v>16.2</v>
      </c>
      <c r="AA82" t="n">
        <v>16</v>
      </c>
      <c r="AB82" t="n">
        <v>15.25</v>
      </c>
      <c r="AC82" t="n">
        <v>16.05</v>
      </c>
      <c r="AD82" t="n">
        <v>14.55</v>
      </c>
      <c r="AE82" t="n">
        <v>15.4</v>
      </c>
      <c r="AI82" t="n">
        <v>14.05</v>
      </c>
      <c r="AL82" t="n">
        <v>14.75</v>
      </c>
      <c r="AP82" t="n">
        <v>14.7</v>
      </c>
    </row>
    <row r="83">
      <c r="A83" t="n">
        <v>52015010</v>
      </c>
      <c r="B83" t="inlineStr">
        <is>
          <t>PAISPAMBA [52015010]</t>
        </is>
      </c>
      <c r="C83" t="inlineStr">
        <is>
          <t>Cauca</t>
        </is>
      </c>
      <c r="D83" t="inlineStr">
        <is>
          <t>Sotará (Paispamba)</t>
        </is>
      </c>
      <c r="E83" t="inlineStr">
        <is>
          <t>Area Operativa 07 - Nariño-Putumayo</t>
        </is>
      </c>
      <c r="F83" t="inlineStr">
        <is>
          <t>TSSM_MEDIA_D</t>
        </is>
      </c>
      <c r="G83" t="inlineStr">
        <is>
          <t>2.249722222</t>
        </is>
      </c>
      <c r="H83" t="inlineStr">
        <is>
          <t>-76.61194444</t>
        </is>
      </c>
      <c r="I83" t="inlineStr">
        <is>
          <t>2450</t>
        </is>
      </c>
      <c r="J83" t="n">
        <v>15.73333333333333</v>
      </c>
      <c r="K83" t="n">
        <v>13.76666666666667</v>
      </c>
      <c r="L83" t="n">
        <v>15</v>
      </c>
      <c r="M83" t="n">
        <v>13.76666666666667</v>
      </c>
      <c r="N83" t="n">
        <v>13.36666666666667</v>
      </c>
      <c r="O83" t="n">
        <v>13.43333333333333</v>
      </c>
      <c r="P83" t="n">
        <v>14.36666666666667</v>
      </c>
      <c r="Q83" t="n">
        <v>14.06666666666667</v>
      </c>
      <c r="R83" t="n">
        <v>13.86666666666667</v>
      </c>
      <c r="AP83" t="n">
        <v>14.15185185185185</v>
      </c>
    </row>
    <row r="84">
      <c r="A84" t="n">
        <v>21135030</v>
      </c>
      <c r="B84" t="inlineStr">
        <is>
          <t>ANCHIQUE [21135030]</t>
        </is>
      </c>
      <c r="C84" t="inlineStr">
        <is>
          <t>Tolima</t>
        </is>
      </c>
      <c r="D84" t="inlineStr">
        <is>
          <t>Natagaima</t>
        </is>
      </c>
      <c r="E84" t="inlineStr">
        <is>
          <t>Area Operativa 04 - Huila-Caquetá</t>
        </is>
      </c>
      <c r="F84" t="inlineStr">
        <is>
          <t>TSSM_MEDIA_D</t>
        </is>
      </c>
      <c r="G84" t="inlineStr">
        <is>
          <t>3.573833333</t>
        </is>
      </c>
      <c r="H84" t="inlineStr">
        <is>
          <t>-75.109</t>
        </is>
      </c>
      <c r="I84" t="inlineStr">
        <is>
          <t>415</t>
        </is>
      </c>
      <c r="U84" t="n">
        <v>24.6</v>
      </c>
      <c r="V84" t="n">
        <v>26.25</v>
      </c>
      <c r="W84" t="n">
        <v>27.35</v>
      </c>
      <c r="X84" t="n">
        <v>26.5</v>
      </c>
      <c r="Y84" t="n">
        <v>28.45</v>
      </c>
      <c r="Z84" t="n">
        <v>30</v>
      </c>
      <c r="AA84" t="n">
        <v>30.95</v>
      </c>
      <c r="AB84" t="n">
        <v>28.85</v>
      </c>
      <c r="AC84" t="n">
        <v>29.15</v>
      </c>
      <c r="AD84" t="n">
        <v>29.6</v>
      </c>
      <c r="AE84" t="n">
        <v>26.1</v>
      </c>
      <c r="AF84" t="n">
        <v>28.25</v>
      </c>
      <c r="AG84" t="n">
        <v>27.9</v>
      </c>
      <c r="AH84" t="n">
        <v>26.8</v>
      </c>
      <c r="AI84" t="n">
        <v>27.95</v>
      </c>
      <c r="AJ84" t="n">
        <v>27.3</v>
      </c>
      <c r="AK84" t="n">
        <v>27.5</v>
      </c>
      <c r="AL84" t="n">
        <v>27.15</v>
      </c>
      <c r="AM84" t="n">
        <v>28.05</v>
      </c>
      <c r="AN84" t="n">
        <v>26</v>
      </c>
      <c r="AP84" t="n">
        <v>27.735</v>
      </c>
    </row>
    <row r="85">
      <c r="A85" t="n">
        <v>21235010</v>
      </c>
      <c r="B85" t="inlineStr">
        <is>
          <t>JERUSALEN [21235010]</t>
        </is>
      </c>
      <c r="C85" t="inlineStr">
        <is>
          <t>Cundinamarca</t>
        </is>
      </c>
      <c r="D85" t="inlineStr">
        <is>
          <t>Jerusalén</t>
        </is>
      </c>
      <c r="E85" t="inlineStr">
        <is>
          <t>Area Operativa 10 - Tolima</t>
        </is>
      </c>
      <c r="F85" t="inlineStr">
        <is>
          <t>TSSM_MEDIA_D</t>
        </is>
      </c>
      <c r="G85" t="inlineStr">
        <is>
          <t>4.561805556</t>
        </is>
      </c>
      <c r="H85" t="inlineStr">
        <is>
          <t>-74.70238889</t>
        </is>
      </c>
      <c r="I85" t="inlineStr">
        <is>
          <t>297</t>
        </is>
      </c>
      <c r="J85" t="n">
        <v>34.8</v>
      </c>
      <c r="K85" t="n">
        <v>29.66666666666667</v>
      </c>
      <c r="L85" t="n">
        <v>30.6</v>
      </c>
      <c r="M85" t="n">
        <v>27.66666666666667</v>
      </c>
      <c r="N85" t="n">
        <v>28.2</v>
      </c>
      <c r="O85" t="n">
        <v>28.4</v>
      </c>
      <c r="P85" t="n">
        <v>27.13333333333334</v>
      </c>
      <c r="Q85" t="n">
        <v>28.4</v>
      </c>
      <c r="R85" t="n">
        <v>27.46666666666667</v>
      </c>
      <c r="S85" t="n">
        <v>28.93333333333333</v>
      </c>
      <c r="T85" t="n">
        <v>28.66666666666667</v>
      </c>
      <c r="V85" t="n">
        <v>29.86666666666666</v>
      </c>
      <c r="W85" t="n">
        <v>27.86666666666666</v>
      </c>
      <c r="X85" t="n">
        <v>29.8</v>
      </c>
      <c r="Y85" t="n">
        <v>30.53333333333333</v>
      </c>
      <c r="Z85" t="n">
        <v>31.06666666666666</v>
      </c>
      <c r="AA85" t="n">
        <v>28.4</v>
      </c>
      <c r="AB85" t="n">
        <v>36.46666666666667</v>
      </c>
      <c r="AC85" t="n">
        <v>32.66666666666666</v>
      </c>
      <c r="AD85" t="n">
        <v>32.86666666666667</v>
      </c>
      <c r="AE85" t="n">
        <v>31.1</v>
      </c>
      <c r="AF85" t="n">
        <v>31</v>
      </c>
      <c r="AG85" t="n">
        <v>31.46666666666667</v>
      </c>
      <c r="AH85" t="n">
        <v>30.6</v>
      </c>
      <c r="AI85" t="n">
        <v>29.2</v>
      </c>
      <c r="AJ85" t="n">
        <v>28.66666666666667</v>
      </c>
      <c r="AK85" t="n">
        <v>28.6</v>
      </c>
      <c r="AL85" t="n">
        <v>29.73333333333333</v>
      </c>
      <c r="AM85" t="n">
        <v>30.26666666666667</v>
      </c>
      <c r="AP85" t="n">
        <v>30.00344827586207</v>
      </c>
    </row>
    <row r="86">
      <c r="A86" t="n">
        <v>21205660</v>
      </c>
      <c r="B86" t="inlineStr">
        <is>
          <t>MERCEDES [21205660]</t>
        </is>
      </c>
      <c r="C86" t="inlineStr">
        <is>
          <t>Cundinamarca</t>
        </is>
      </c>
      <c r="D86" t="inlineStr">
        <is>
          <t>Anapoima</t>
        </is>
      </c>
      <c r="E86" t="inlineStr">
        <is>
          <t>Area Operativa 11 - Cundinamarca-Amazonas</t>
        </is>
      </c>
      <c r="F86" t="inlineStr">
        <is>
          <t>TSSM_MEDIA_D</t>
        </is>
      </c>
      <c r="G86" t="inlineStr">
        <is>
          <t>4.5791</t>
        </is>
      </c>
      <c r="H86" t="inlineStr">
        <is>
          <t>-74.52318</t>
        </is>
      </c>
      <c r="I86" t="inlineStr">
        <is>
          <t>765</t>
        </is>
      </c>
      <c r="J86" t="n">
        <v>26.45</v>
      </c>
      <c r="K86" t="n">
        <v>25.45</v>
      </c>
      <c r="L86" t="n">
        <v>25.65</v>
      </c>
      <c r="M86" t="n">
        <v>24</v>
      </c>
      <c r="N86" t="n">
        <v>25.1</v>
      </c>
      <c r="O86" t="n">
        <v>22.65</v>
      </c>
      <c r="P86" t="n">
        <v>24.9</v>
      </c>
      <c r="Q86" t="n">
        <v>25.25</v>
      </c>
      <c r="R86" t="n">
        <v>24.55</v>
      </c>
      <c r="S86" t="n">
        <v>23.25</v>
      </c>
      <c r="T86" t="n">
        <v>24</v>
      </c>
      <c r="V86" t="n">
        <v>24.65</v>
      </c>
      <c r="W86" t="n">
        <v>24.9</v>
      </c>
      <c r="X86" t="n">
        <v>23.7</v>
      </c>
      <c r="Y86" t="n">
        <v>24</v>
      </c>
      <c r="Z86" t="n">
        <v>25.8</v>
      </c>
      <c r="AA86" t="n">
        <v>27</v>
      </c>
      <c r="AB86" t="n">
        <v>25.75</v>
      </c>
      <c r="AC86" t="n">
        <v>26.85</v>
      </c>
      <c r="AD86" t="n">
        <v>26.25</v>
      </c>
      <c r="AE86" t="n">
        <v>24.75</v>
      </c>
      <c r="AF86" t="n">
        <v>24.7</v>
      </c>
      <c r="AG86" t="n">
        <v>24.4</v>
      </c>
      <c r="AH86" t="n">
        <v>24.95</v>
      </c>
      <c r="AI86" t="n">
        <v>25.05</v>
      </c>
      <c r="AJ86" t="n">
        <v>23.25</v>
      </c>
      <c r="AK86" t="n">
        <v>24.75</v>
      </c>
      <c r="AL86" t="n">
        <v>22.2</v>
      </c>
      <c r="AN86" t="n">
        <v>23.45</v>
      </c>
      <c r="AP86" t="n">
        <v>24.74655172413793</v>
      </c>
    </row>
    <row r="87">
      <c r="A87" t="n">
        <v>26175040</v>
      </c>
      <c r="B87" t="inlineStr">
        <is>
          <t>HACIENDA TUNEZ [26175040]</t>
        </is>
      </c>
      <c r="C87" t="inlineStr">
        <is>
          <t>Antioquia</t>
        </is>
      </c>
      <c r="D87" t="inlineStr">
        <is>
          <t>Fredonia</t>
        </is>
      </c>
      <c r="E87" t="inlineStr">
        <is>
          <t>Area Operativa 01 - Antioquia-Chocó</t>
        </is>
      </c>
      <c r="F87" t="inlineStr">
        <is>
          <t>TSSM_MEDIA_D</t>
        </is>
      </c>
      <c r="G87" t="inlineStr">
        <is>
          <t>5.80025</t>
        </is>
      </c>
      <c r="H87" t="inlineStr">
        <is>
          <t>-75.65097222</t>
        </is>
      </c>
      <c r="I87" t="inlineStr">
        <is>
          <t>604</t>
        </is>
      </c>
      <c r="J87" t="n">
        <v>26.65</v>
      </c>
      <c r="K87" t="n">
        <v>23.95</v>
      </c>
      <c r="L87" t="n">
        <v>26.7</v>
      </c>
      <c r="M87" t="n">
        <v>26.65</v>
      </c>
      <c r="N87" t="n">
        <v>24.75</v>
      </c>
      <c r="O87" t="n">
        <v>25.4</v>
      </c>
      <c r="P87" t="n">
        <v>26.75</v>
      </c>
      <c r="Q87" t="n">
        <v>24.55</v>
      </c>
      <c r="R87" t="n">
        <v>25.7</v>
      </c>
      <c r="S87" t="n">
        <v>25.6</v>
      </c>
      <c r="T87" t="n">
        <v>24.25</v>
      </c>
      <c r="U87" t="n">
        <v>24.85</v>
      </c>
      <c r="V87" t="n">
        <v>25.35</v>
      </c>
      <c r="W87" t="n">
        <v>25.5</v>
      </c>
      <c r="X87" t="n">
        <v>24.05</v>
      </c>
      <c r="Y87" t="n">
        <v>24.95</v>
      </c>
      <c r="Z87" t="n">
        <v>27.05</v>
      </c>
      <c r="AA87" t="n">
        <v>27.2</v>
      </c>
      <c r="AB87" t="n">
        <v>26.9</v>
      </c>
      <c r="AC87" t="n">
        <v>27.25</v>
      </c>
      <c r="AD87" t="n">
        <v>26.9</v>
      </c>
      <c r="AE87" t="n">
        <v>26.45</v>
      </c>
      <c r="AF87" t="n">
        <v>26.9</v>
      </c>
      <c r="AG87" t="n">
        <v>26.5</v>
      </c>
      <c r="AH87" t="n">
        <v>24.85</v>
      </c>
      <c r="AI87" t="n">
        <v>24.8</v>
      </c>
      <c r="AJ87" t="n">
        <v>25.95</v>
      </c>
      <c r="AK87" t="n">
        <v>25.75</v>
      </c>
      <c r="AL87" t="n">
        <v>26</v>
      </c>
      <c r="AM87" t="n">
        <v>25.85</v>
      </c>
      <c r="AN87" t="n">
        <v>25.75</v>
      </c>
      <c r="AP87" t="n">
        <v>25.79838709677419</v>
      </c>
    </row>
    <row r="88">
      <c r="A88" t="n">
        <v>24035120</v>
      </c>
      <c r="B88" t="inlineStr">
        <is>
          <t>SURBATA BONZA [24035120]</t>
        </is>
      </c>
      <c r="C88" t="inlineStr">
        <is>
          <t>Boyacá</t>
        </is>
      </c>
      <c r="D88" t="inlineStr">
        <is>
          <t>Duitama</t>
        </is>
      </c>
      <c r="E88" t="inlineStr">
        <is>
          <t>Area Operativa 06 - Boyacá-Casanare-Vichada</t>
        </is>
      </c>
      <c r="F88" t="inlineStr">
        <is>
          <t>TSSM_MEDIA_D</t>
        </is>
      </c>
      <c r="G88" t="inlineStr">
        <is>
          <t>5.802444444</t>
        </is>
      </c>
      <c r="H88" t="inlineStr">
        <is>
          <t>-73.07447222</t>
        </is>
      </c>
      <c r="I88" t="inlineStr">
        <is>
          <t>2485</t>
        </is>
      </c>
      <c r="J88" t="n">
        <v>15.53333333333333</v>
      </c>
      <c r="K88" t="n">
        <v>15.93333333333333</v>
      </c>
      <c r="L88" t="n">
        <v>14.46666666666667</v>
      </c>
      <c r="M88" t="n">
        <v>15.7</v>
      </c>
      <c r="N88" t="n">
        <v>16.73333333333333</v>
      </c>
      <c r="O88" t="n">
        <v>14.46666666666667</v>
      </c>
      <c r="P88" t="n">
        <v>14.93333333333333</v>
      </c>
      <c r="Q88" t="n">
        <v>15.6</v>
      </c>
      <c r="R88" t="n">
        <v>14.6</v>
      </c>
      <c r="V88" t="n">
        <v>15.33333333333333</v>
      </c>
      <c r="W88" t="n">
        <v>16.66666666666667</v>
      </c>
      <c r="X88" t="n">
        <v>15</v>
      </c>
      <c r="Y88" t="n">
        <v>16.2</v>
      </c>
      <c r="Z88" t="n">
        <v>14.6</v>
      </c>
      <c r="AA88" t="n">
        <v>16.33333333333333</v>
      </c>
      <c r="AB88" t="n">
        <v>15.26666666666667</v>
      </c>
      <c r="AC88" t="n">
        <v>17.53333333333333</v>
      </c>
      <c r="AD88" t="n">
        <v>17.66666666666667</v>
      </c>
      <c r="AE88" t="n">
        <v>16.73333333333333</v>
      </c>
      <c r="AF88" t="n">
        <v>15.93333333333333</v>
      </c>
      <c r="AG88" t="n">
        <v>16.46666666666667</v>
      </c>
      <c r="AH88" t="n">
        <v>17.66666666666667</v>
      </c>
      <c r="AI88" t="n">
        <v>16.8</v>
      </c>
      <c r="AJ88" t="n">
        <v>15.46666666666667</v>
      </c>
      <c r="AK88" t="n">
        <v>16</v>
      </c>
      <c r="AL88" t="n">
        <v>15.93333333333333</v>
      </c>
      <c r="AM88" t="n">
        <v>16.53333333333333</v>
      </c>
      <c r="AN88" t="n">
        <v>15.6</v>
      </c>
      <c r="AP88" t="n">
        <v>15.91785714285714</v>
      </c>
    </row>
    <row r="89">
      <c r="A89" t="n">
        <v>21145080</v>
      </c>
      <c r="B89" t="inlineStr">
        <is>
          <t>SANTA ANA - AUT [21145080]</t>
        </is>
      </c>
      <c r="C89" t="inlineStr">
        <is>
          <t>Huila</t>
        </is>
      </c>
      <c r="D89" t="inlineStr">
        <is>
          <t>Colombia</t>
        </is>
      </c>
      <c r="E89" t="inlineStr">
        <is>
          <t>Area Operativa 04 - Huila-Caquetá</t>
        </is>
      </c>
      <c r="F89" t="inlineStr">
        <is>
          <t>TSSM_MEDIA_D</t>
        </is>
      </c>
      <c r="G89" t="inlineStr">
        <is>
          <t>3.589777778</t>
        </is>
      </c>
      <c r="H89" t="inlineStr">
        <is>
          <t>-74.70294444</t>
        </is>
      </c>
      <c r="I89" t="inlineStr">
        <is>
          <t>1410</t>
        </is>
      </c>
      <c r="J89" t="n">
        <v>21.86666666666666</v>
      </c>
      <c r="K89" t="n">
        <v>18.93333333333333</v>
      </c>
      <c r="L89" t="n">
        <v>22.33333333333333</v>
      </c>
      <c r="M89" t="n">
        <v>21.8</v>
      </c>
      <c r="N89" t="n">
        <v>21.06666666666667</v>
      </c>
      <c r="O89" t="n">
        <v>19.8</v>
      </c>
      <c r="P89" t="n">
        <v>20.26666666666667</v>
      </c>
      <c r="Q89" t="n">
        <v>20.13333333333333</v>
      </c>
      <c r="R89" t="n">
        <v>20.73333333333333</v>
      </c>
      <c r="S89" t="n">
        <v>21.8</v>
      </c>
      <c r="T89" t="n">
        <v>20.86666666666667</v>
      </c>
      <c r="U89" t="n">
        <v>19.73333333333333</v>
      </c>
      <c r="V89" t="n">
        <v>20.06666666666667</v>
      </c>
      <c r="W89" t="n">
        <v>20.2</v>
      </c>
      <c r="X89" t="n">
        <v>20.46666666666667</v>
      </c>
      <c r="Y89" t="n">
        <v>20.2</v>
      </c>
      <c r="Z89" t="n">
        <v>21.86666666666666</v>
      </c>
      <c r="AA89" t="n">
        <v>21.4</v>
      </c>
      <c r="AB89" t="n">
        <v>22.6</v>
      </c>
      <c r="AC89" t="n">
        <v>23</v>
      </c>
      <c r="AD89" t="n">
        <v>21.2</v>
      </c>
      <c r="AE89" t="n">
        <v>21.33333333333333</v>
      </c>
      <c r="AF89" t="n">
        <v>21.2</v>
      </c>
      <c r="AG89" t="n">
        <v>20</v>
      </c>
      <c r="AH89" t="n">
        <v>21.46666666666667</v>
      </c>
      <c r="AI89" t="n">
        <v>20.93333333333333</v>
      </c>
      <c r="AJ89" t="n">
        <v>19.6</v>
      </c>
      <c r="AK89" t="n">
        <v>20.8</v>
      </c>
      <c r="AL89" t="n">
        <v>20.53333333333333</v>
      </c>
      <c r="AM89" t="n">
        <v>21.66666666666667</v>
      </c>
      <c r="AN89" t="n">
        <v>19.26666666666667</v>
      </c>
      <c r="AP89" t="n">
        <v>20.87526881720429</v>
      </c>
    </row>
    <row r="90">
      <c r="A90" t="n">
        <v>21205720</v>
      </c>
      <c r="B90" t="inlineStr">
        <is>
          <t>GRANJA SAN JORGE [21205720]</t>
        </is>
      </c>
      <c r="C90" t="inlineStr">
        <is>
          <t>Cundinamarca</t>
        </is>
      </c>
      <c r="D90" t="inlineStr">
        <is>
          <t>Soacha</t>
        </is>
      </c>
      <c r="E90" t="inlineStr">
        <is>
          <t>Area Operativa 11 - Cundinamarca-Amazonas</t>
        </is>
      </c>
      <c r="F90" t="inlineStr">
        <is>
          <t>TSSM_MEDIA_D</t>
        </is>
      </c>
      <c r="G90" t="inlineStr">
        <is>
          <t>4.50575</t>
        </is>
      </c>
      <c r="H90" t="inlineStr">
        <is>
          <t>-74.18927778</t>
        </is>
      </c>
      <c r="I90" t="inlineStr">
        <is>
          <t>2900</t>
        </is>
      </c>
      <c r="K90" t="n">
        <v>13.93333333333333</v>
      </c>
      <c r="L90" t="n">
        <v>12.53333333333333</v>
      </c>
      <c r="M90" t="n">
        <v>12.66666666666667</v>
      </c>
      <c r="N90" t="n">
        <v>13</v>
      </c>
      <c r="O90" t="n">
        <v>11.6</v>
      </c>
      <c r="P90" t="n">
        <v>12.86666666666667</v>
      </c>
      <c r="Q90" t="n">
        <v>14.33333333333333</v>
      </c>
      <c r="R90" t="n">
        <v>14.6</v>
      </c>
      <c r="S90" t="n">
        <v>14.4</v>
      </c>
      <c r="V90" t="n">
        <v>14.13333333333333</v>
      </c>
      <c r="W90" t="n">
        <v>13.13333333333333</v>
      </c>
      <c r="X90" t="n">
        <v>13.8</v>
      </c>
      <c r="Y90" t="n">
        <v>13</v>
      </c>
      <c r="Z90" t="n">
        <v>14.13333333333333</v>
      </c>
      <c r="AA90" t="n">
        <v>14.8</v>
      </c>
      <c r="AB90" t="n">
        <v>13.53333333333333</v>
      </c>
      <c r="AC90" t="n">
        <v>12.4</v>
      </c>
      <c r="AD90" t="n">
        <v>12.8</v>
      </c>
      <c r="AE90" t="n">
        <v>12.26666666666667</v>
      </c>
      <c r="AF90" t="n">
        <v>12.86666666666667</v>
      </c>
      <c r="AG90" t="n">
        <v>13.8</v>
      </c>
      <c r="AH90" t="n">
        <v>14.6</v>
      </c>
      <c r="AI90" t="n">
        <v>12.33333333333333</v>
      </c>
      <c r="AJ90" t="n">
        <v>11.8</v>
      </c>
      <c r="AK90" t="n">
        <v>12.93333333333333</v>
      </c>
      <c r="AL90" t="n">
        <v>12.86666666666667</v>
      </c>
      <c r="AM90" t="n">
        <v>13.46666666666667</v>
      </c>
      <c r="AN90" t="n">
        <v>14.13333333333333</v>
      </c>
      <c r="AP90" t="n">
        <v>13.31190476190476</v>
      </c>
    </row>
    <row r="91">
      <c r="A91" t="n">
        <v>35195030</v>
      </c>
      <c r="B91" t="inlineStr">
        <is>
          <t>AGUAZUL [35195030]</t>
        </is>
      </c>
      <c r="C91" t="inlineStr">
        <is>
          <t>Casanare</t>
        </is>
      </c>
      <c r="D91" t="inlineStr">
        <is>
          <t>Aguazul</t>
        </is>
      </c>
      <c r="E91" t="inlineStr">
        <is>
          <t>Area Operativa 06 - Boyacá-Casanare-Vichada</t>
        </is>
      </c>
      <c r="F91" t="inlineStr">
        <is>
          <t>TSSM_MEDIA_D</t>
        </is>
      </c>
      <c r="G91" t="inlineStr">
        <is>
          <t>5.177083333</t>
        </is>
      </c>
      <c r="H91" t="inlineStr">
        <is>
          <t>-72.54738889</t>
        </is>
      </c>
      <c r="I91" t="inlineStr">
        <is>
          <t>380</t>
        </is>
      </c>
      <c r="J91" t="n">
        <v>29.7</v>
      </c>
      <c r="K91" t="n">
        <v>28.6</v>
      </c>
      <c r="L91" t="n">
        <v>26.95</v>
      </c>
      <c r="M91" t="n">
        <v>26.1</v>
      </c>
      <c r="N91" t="n">
        <v>28.1</v>
      </c>
      <c r="O91" t="n">
        <v>27.75</v>
      </c>
      <c r="P91" t="n">
        <v>25.4</v>
      </c>
      <c r="Q91" t="n">
        <v>28.05</v>
      </c>
      <c r="R91" t="n">
        <v>28.05</v>
      </c>
      <c r="S91" t="n">
        <v>28.05</v>
      </c>
      <c r="T91" t="n">
        <v>25.65</v>
      </c>
      <c r="U91" t="n">
        <v>27.9</v>
      </c>
      <c r="V91" t="n">
        <v>26.7</v>
      </c>
      <c r="W91" t="n">
        <v>27.3</v>
      </c>
      <c r="X91" t="n">
        <v>26.65</v>
      </c>
      <c r="Y91" t="n">
        <v>28.4</v>
      </c>
      <c r="Z91" t="n">
        <v>29.15</v>
      </c>
      <c r="AA91" t="n">
        <v>29.7</v>
      </c>
      <c r="AB91" t="n">
        <v>29.2</v>
      </c>
      <c r="AC91" t="n">
        <v>29.25</v>
      </c>
      <c r="AD91" t="n">
        <v>29.2</v>
      </c>
      <c r="AE91" t="n">
        <v>28.25</v>
      </c>
      <c r="AF91" t="n">
        <v>30</v>
      </c>
      <c r="AG91" t="n">
        <v>30.2</v>
      </c>
      <c r="AH91" t="n">
        <v>29.65</v>
      </c>
      <c r="AI91" t="n">
        <v>28.4</v>
      </c>
      <c r="AJ91" t="n">
        <v>28.4</v>
      </c>
      <c r="AK91" t="n">
        <v>28.9</v>
      </c>
      <c r="AL91" t="n">
        <v>29</v>
      </c>
      <c r="AM91" t="n">
        <v>27.25</v>
      </c>
      <c r="AN91" t="n">
        <v>27.7</v>
      </c>
      <c r="AP91" t="n">
        <v>28.18064516129032</v>
      </c>
    </row>
    <row r="92">
      <c r="A92" t="n">
        <v>21025030</v>
      </c>
      <c r="B92" t="inlineStr">
        <is>
          <t>ALTAMIRA EL GRIFO AUT [21025030]</t>
        </is>
      </c>
      <c r="C92" t="inlineStr">
        <is>
          <t>Huila</t>
        </is>
      </c>
      <c r="D92" t="inlineStr">
        <is>
          <t>Altamira</t>
        </is>
      </c>
      <c r="E92" t="inlineStr">
        <is>
          <t>Area Operativa 04 - Huila-Caquetá</t>
        </is>
      </c>
      <c r="F92" t="inlineStr">
        <is>
          <t>TSSM_MEDIA_D</t>
        </is>
      </c>
      <c r="G92" t="inlineStr">
        <is>
          <t>2.079166667</t>
        </is>
      </c>
      <c r="H92" t="inlineStr">
        <is>
          <t>-75.73622222</t>
        </is>
      </c>
      <c r="I92" t="inlineStr">
        <is>
          <t>1368</t>
        </is>
      </c>
      <c r="J92" t="n">
        <v>22.9</v>
      </c>
      <c r="K92" t="n">
        <v>22.1</v>
      </c>
      <c r="L92" t="n">
        <v>23</v>
      </c>
      <c r="M92" t="n">
        <v>23.85</v>
      </c>
      <c r="N92" t="n">
        <v>23.3</v>
      </c>
      <c r="O92" t="n">
        <v>21.05</v>
      </c>
      <c r="P92" t="n">
        <v>21.6</v>
      </c>
      <c r="Q92" t="n">
        <v>22</v>
      </c>
      <c r="R92" t="n">
        <v>21.2</v>
      </c>
      <c r="Z92" t="n">
        <v>20.4</v>
      </c>
      <c r="AA92" t="n">
        <v>20.45</v>
      </c>
      <c r="AB92" t="n">
        <v>24.05</v>
      </c>
      <c r="AC92" t="n">
        <v>23.45</v>
      </c>
      <c r="AD92" t="n">
        <v>20.75</v>
      </c>
      <c r="AE92" t="n">
        <v>21.6</v>
      </c>
      <c r="AF92" t="n">
        <v>19.8</v>
      </c>
      <c r="AG92" t="n">
        <v>21.2</v>
      </c>
      <c r="AH92" t="n">
        <v>21.85</v>
      </c>
      <c r="AI92" t="n">
        <v>21.65</v>
      </c>
      <c r="AJ92" t="n">
        <v>20.85</v>
      </c>
      <c r="AK92" t="n">
        <v>21.75</v>
      </c>
      <c r="AL92" t="n">
        <v>19.3</v>
      </c>
      <c r="AM92" t="n">
        <v>20.85</v>
      </c>
      <c r="AN92" t="n">
        <v>21.15</v>
      </c>
      <c r="AP92" t="n">
        <v>21.67083333333333</v>
      </c>
    </row>
    <row r="93">
      <c r="A93" t="n">
        <v>32035010</v>
      </c>
      <c r="B93" t="inlineStr">
        <is>
          <t>LA MACARENA [32035010]</t>
        </is>
      </c>
      <c r="C93" t="inlineStr">
        <is>
          <t>Meta</t>
        </is>
      </c>
      <c r="D93" t="inlineStr">
        <is>
          <t>La Macarena</t>
        </is>
      </c>
      <c r="E93" t="inlineStr">
        <is>
          <t>Area Operativa 03 - Meta-Guaviare-Guainía</t>
        </is>
      </c>
      <c r="F93" t="inlineStr">
        <is>
          <t>TSSM_MEDIA_D</t>
        </is>
      </c>
      <c r="G93" t="inlineStr">
        <is>
          <t>2.176139</t>
        </is>
      </c>
      <c r="H93" t="inlineStr">
        <is>
          <t>-73.793472</t>
        </is>
      </c>
      <c r="I93" t="inlineStr">
        <is>
          <t>227</t>
        </is>
      </c>
      <c r="J93" t="n">
        <v>28.2</v>
      </c>
      <c r="K93" t="n">
        <v>24.06666666666666</v>
      </c>
      <c r="L93" t="n">
        <v>27.4</v>
      </c>
      <c r="M93" t="n">
        <v>28.26666666666667</v>
      </c>
      <c r="N93" t="n">
        <v>28.03333333333333</v>
      </c>
      <c r="O93" t="n">
        <v>25</v>
      </c>
      <c r="P93" t="n">
        <v>26.86666666666666</v>
      </c>
      <c r="Q93" t="n">
        <v>27.53333333333333</v>
      </c>
      <c r="R93" t="n">
        <v>27.2</v>
      </c>
      <c r="S93" t="n">
        <v>27.26666666666667</v>
      </c>
      <c r="T93" t="n">
        <v>26.8</v>
      </c>
      <c r="U93" t="n">
        <v>26.66666666666667</v>
      </c>
      <c r="V93" t="n">
        <v>25.73333333333333</v>
      </c>
      <c r="W93" t="n">
        <v>26.93333333333334</v>
      </c>
      <c r="X93" t="n">
        <v>25.33333333333333</v>
      </c>
      <c r="Y93" t="n">
        <v>27.26666666666667</v>
      </c>
      <c r="Z93" t="n">
        <v>26.93333333333334</v>
      </c>
      <c r="AA93" t="n">
        <v>26.6</v>
      </c>
      <c r="AB93" t="n">
        <v>27.73333333333333</v>
      </c>
      <c r="AC93" t="n">
        <v>27.86666666666667</v>
      </c>
      <c r="AD93" t="n">
        <v>28.86666666666666</v>
      </c>
      <c r="AE93" t="n">
        <v>28.6</v>
      </c>
      <c r="AF93" t="n">
        <v>27.46666666666667</v>
      </c>
      <c r="AG93" t="n">
        <v>28.93333333333334</v>
      </c>
      <c r="AH93" t="n">
        <v>27.86666666666666</v>
      </c>
      <c r="AI93" t="n">
        <v>28.33333333333333</v>
      </c>
      <c r="AJ93" t="n">
        <v>28.6</v>
      </c>
      <c r="AK93" t="n">
        <v>27.2</v>
      </c>
      <c r="AL93" t="n">
        <v>27.8</v>
      </c>
      <c r="AM93" t="n">
        <v>26.46666666666667</v>
      </c>
      <c r="AN93" t="n">
        <v>27.2</v>
      </c>
      <c r="AP93" t="n">
        <v>27.25913978494625</v>
      </c>
    </row>
    <row r="94">
      <c r="A94" t="n">
        <v>47015080</v>
      </c>
      <c r="B94" t="inlineStr">
        <is>
          <t>MONOPAMBA [47015080]</t>
        </is>
      </c>
      <c r="C94" t="inlineStr">
        <is>
          <t>Nariño</t>
        </is>
      </c>
      <c r="D94" t="inlineStr">
        <is>
          <t>Puerres</t>
        </is>
      </c>
      <c r="E94" t="inlineStr">
        <is>
          <t>Area Operativa 07 - Nariño-Putumayo</t>
        </is>
      </c>
      <c r="F94" t="inlineStr">
        <is>
          <t>TSSM_MEDIA_D</t>
        </is>
      </c>
      <c r="G94" t="inlineStr">
        <is>
          <t>0.804916667</t>
        </is>
      </c>
      <c r="H94" t="inlineStr">
        <is>
          <t>-77.30361111</t>
        </is>
      </c>
      <c r="I94" t="inlineStr">
        <is>
          <t>1776</t>
        </is>
      </c>
      <c r="K94" t="n">
        <v>18</v>
      </c>
      <c r="L94" t="n">
        <v>18.33333333333333</v>
      </c>
      <c r="M94" t="n">
        <v>19.6</v>
      </c>
      <c r="N94" t="n">
        <v>19.2</v>
      </c>
      <c r="O94" t="n">
        <v>17.73333333333333</v>
      </c>
      <c r="P94" t="n">
        <v>18.73333333333333</v>
      </c>
      <c r="Q94" t="n">
        <v>17.46666666666667</v>
      </c>
      <c r="R94" t="n">
        <v>16.26666666666667</v>
      </c>
      <c r="S94" t="n">
        <v>16.93333333333333</v>
      </c>
      <c r="T94" t="n">
        <v>16.53333333333333</v>
      </c>
      <c r="U94" t="n">
        <v>17</v>
      </c>
      <c r="V94" t="n">
        <v>17.53333333333333</v>
      </c>
      <c r="W94" t="n">
        <v>16.2</v>
      </c>
      <c r="X94" t="n">
        <v>17.13333333333333</v>
      </c>
      <c r="Y94" t="n">
        <v>17.46666666666667</v>
      </c>
      <c r="Z94" t="n">
        <v>16.06666666666667</v>
      </c>
      <c r="AA94" t="n">
        <v>16.66666666666667</v>
      </c>
      <c r="AB94" t="n">
        <v>19.33333333333333</v>
      </c>
      <c r="AC94" t="n">
        <v>17.93333333333333</v>
      </c>
      <c r="AD94" t="n">
        <v>18.06666666666667</v>
      </c>
      <c r="AE94" t="n">
        <v>18.26666666666667</v>
      </c>
      <c r="AF94" t="n">
        <v>17.4</v>
      </c>
      <c r="AG94" t="n">
        <v>17.06666666666667</v>
      </c>
      <c r="AH94" t="n">
        <v>18.26666666666667</v>
      </c>
      <c r="AI94" t="n">
        <v>18.93333333333333</v>
      </c>
      <c r="AJ94" t="n">
        <v>18.2</v>
      </c>
      <c r="AK94" t="n">
        <v>18.26666666666667</v>
      </c>
      <c r="AL94" t="n">
        <v>16.73333333333333</v>
      </c>
      <c r="AM94" t="n">
        <v>16.46666666666667</v>
      </c>
      <c r="AN94" t="n">
        <v>17.66666666666667</v>
      </c>
      <c r="AP94" t="n">
        <v>17.64888888888889</v>
      </c>
    </row>
    <row r="95">
      <c r="A95" t="n">
        <v>25025160</v>
      </c>
      <c r="B95" t="inlineStr">
        <is>
          <t>CUBA HACIENDA [25025160]</t>
        </is>
      </c>
      <c r="C95" t="inlineStr">
        <is>
          <t>Cordoba</t>
        </is>
      </c>
      <c r="D95" t="inlineStr">
        <is>
          <t>Montelíbano</t>
        </is>
      </c>
      <c r="E95" t="inlineStr">
        <is>
          <t>Area Operativa 02 - Atlántico-Bolivar-Sucre</t>
        </is>
      </c>
      <c r="F95" t="inlineStr">
        <is>
          <t>TSSM_MEDIA_D</t>
        </is>
      </c>
      <c r="G95" t="inlineStr">
        <is>
          <t>8.003888889</t>
        </is>
      </c>
      <c r="H95" t="inlineStr">
        <is>
          <t>-75.40277778</t>
        </is>
      </c>
      <c r="I95" t="inlineStr">
        <is>
          <t>50</t>
        </is>
      </c>
      <c r="J95" t="n">
        <v>27.725</v>
      </c>
      <c r="K95" t="n">
        <v>27.2</v>
      </c>
      <c r="L95" t="n">
        <v>28.05</v>
      </c>
      <c r="M95" t="n">
        <v>27.75</v>
      </c>
      <c r="N95" t="n">
        <v>26.9</v>
      </c>
      <c r="O95" t="n">
        <v>28</v>
      </c>
      <c r="P95" t="n">
        <v>28.35</v>
      </c>
      <c r="Q95" t="n">
        <v>28.2</v>
      </c>
      <c r="R95" t="n">
        <v>28.15</v>
      </c>
      <c r="S95" t="n">
        <v>28.05</v>
      </c>
      <c r="T95" t="n">
        <v>28.3</v>
      </c>
      <c r="U95" t="n">
        <v>27.5</v>
      </c>
      <c r="V95" t="n">
        <v>27.8</v>
      </c>
      <c r="W95" t="n">
        <v>28.1</v>
      </c>
      <c r="X95" t="n">
        <v>27.05</v>
      </c>
      <c r="Y95" t="n">
        <v>27.8</v>
      </c>
      <c r="Z95" t="n">
        <v>28.3</v>
      </c>
      <c r="AA95" t="n">
        <v>28.1</v>
      </c>
      <c r="AB95" t="n">
        <v>28.35</v>
      </c>
      <c r="AC95" t="n">
        <v>27.65</v>
      </c>
      <c r="AD95" t="n">
        <v>27.85</v>
      </c>
      <c r="AE95" t="n">
        <v>27.825</v>
      </c>
      <c r="AF95" t="n">
        <v>28.45</v>
      </c>
      <c r="AG95" t="n">
        <v>28.375</v>
      </c>
      <c r="AH95" t="n">
        <v>28.4</v>
      </c>
      <c r="AI95" t="n">
        <v>28.6</v>
      </c>
      <c r="AJ95" t="n">
        <v>28.25</v>
      </c>
      <c r="AK95" t="n">
        <v>28.4</v>
      </c>
      <c r="AL95" t="n">
        <v>27.75</v>
      </c>
      <c r="AM95" t="n">
        <v>27.55</v>
      </c>
      <c r="AP95" t="n">
        <v>27.95916666666667</v>
      </c>
    </row>
    <row r="96">
      <c r="A96" t="n">
        <v>13015040</v>
      </c>
      <c r="B96" t="inlineStr">
        <is>
          <t>REPRESA URRA [13015040]</t>
        </is>
      </c>
      <c r="C96" t="inlineStr">
        <is>
          <t>Cordoba</t>
        </is>
      </c>
      <c r="D96" t="inlineStr">
        <is>
          <t>Tierralta</t>
        </is>
      </c>
      <c r="E96" t="inlineStr">
        <is>
          <t>Area Operativa 02 - Atlántico-Bolivar-Sucre</t>
        </is>
      </c>
      <c r="F96" t="inlineStr">
        <is>
          <t>TSSM_MEDIA_D</t>
        </is>
      </c>
      <c r="G96" t="inlineStr">
        <is>
          <t>8.014166667</t>
        </is>
      </c>
      <c r="H96" t="inlineStr">
        <is>
          <t>-76.20305556</t>
        </is>
      </c>
      <c r="I96" t="inlineStr">
        <is>
          <t>300</t>
        </is>
      </c>
      <c r="J96" t="n">
        <v>28.3</v>
      </c>
      <c r="K96" t="n">
        <v>26.45</v>
      </c>
      <c r="L96" t="n">
        <v>26.8</v>
      </c>
      <c r="M96" t="n">
        <v>26.25</v>
      </c>
      <c r="N96" t="n">
        <v>25</v>
      </c>
      <c r="O96" t="n">
        <v>24.875</v>
      </c>
      <c r="P96" t="n">
        <v>27.175</v>
      </c>
      <c r="Q96" t="n">
        <v>28</v>
      </c>
      <c r="R96" t="n">
        <v>26.15</v>
      </c>
      <c r="S96" t="n">
        <v>25.8</v>
      </c>
      <c r="T96" t="n">
        <v>26.1</v>
      </c>
      <c r="U96" t="n">
        <v>25.2</v>
      </c>
      <c r="V96" t="n">
        <v>25.55</v>
      </c>
      <c r="W96" t="n">
        <v>25.95</v>
      </c>
      <c r="X96" t="n">
        <v>26.15</v>
      </c>
      <c r="Y96" t="n">
        <v>26.4</v>
      </c>
      <c r="Z96" t="n">
        <v>27.9</v>
      </c>
      <c r="AA96" t="n">
        <v>27.85</v>
      </c>
      <c r="AB96" t="n">
        <v>27.375</v>
      </c>
      <c r="AC96" t="n">
        <v>27.4</v>
      </c>
      <c r="AD96" t="n">
        <v>27.35</v>
      </c>
      <c r="AE96" t="n">
        <v>26.9</v>
      </c>
      <c r="AF96" t="n">
        <v>26.725</v>
      </c>
      <c r="AG96" t="n">
        <v>27.15</v>
      </c>
      <c r="AH96" t="n">
        <v>27.15</v>
      </c>
      <c r="AI96" t="n">
        <v>26.425</v>
      </c>
      <c r="AJ96" t="n">
        <v>26.95</v>
      </c>
      <c r="AK96" t="n">
        <v>27.9</v>
      </c>
      <c r="AL96" t="n">
        <v>26.2</v>
      </c>
      <c r="AM96" t="n">
        <v>26</v>
      </c>
      <c r="AN96" t="n">
        <v>27.1</v>
      </c>
      <c r="AP96" t="n">
        <v>26.66209677419355</v>
      </c>
    </row>
    <row r="97">
      <c r="A97" t="n">
        <v>13085010</v>
      </c>
      <c r="B97" t="inlineStr">
        <is>
          <t>DOCTRINA LA [13085010]</t>
        </is>
      </c>
      <c r="C97" t="inlineStr">
        <is>
          <t>Cordoba</t>
        </is>
      </c>
      <c r="D97" t="inlineStr">
        <is>
          <t>Lorica</t>
        </is>
      </c>
      <c r="E97" t="inlineStr">
        <is>
          <t>Area Operativa 02 - Atlántico-Bolivar-Sucre</t>
        </is>
      </c>
      <c r="F97" t="inlineStr">
        <is>
          <t>TSSM_MEDIA_D</t>
        </is>
      </c>
      <c r="G97" t="inlineStr">
        <is>
          <t>9.297222222</t>
        </is>
      </c>
      <c r="H97" t="inlineStr">
        <is>
          <t>-75.89277778</t>
        </is>
      </c>
      <c r="I97" t="inlineStr">
        <is>
          <t>20</t>
        </is>
      </c>
      <c r="J97" t="n">
        <v>28.75</v>
      </c>
      <c r="K97" t="n">
        <v>29.15</v>
      </c>
      <c r="L97" t="n">
        <v>28.55</v>
      </c>
      <c r="M97" t="n">
        <v>27.95</v>
      </c>
      <c r="N97" t="n">
        <v>27.4</v>
      </c>
      <c r="O97" t="n">
        <v>27.95</v>
      </c>
      <c r="P97" t="n">
        <v>28.05</v>
      </c>
      <c r="Q97" t="n">
        <v>27.8</v>
      </c>
      <c r="R97" t="n">
        <v>28.15</v>
      </c>
      <c r="S97" t="n">
        <v>28.3</v>
      </c>
      <c r="T97" t="n">
        <v>27.9</v>
      </c>
      <c r="U97" t="n">
        <v>28.15</v>
      </c>
      <c r="V97" t="n">
        <v>27.95</v>
      </c>
      <c r="W97" t="n">
        <v>28</v>
      </c>
      <c r="X97" t="n">
        <v>27.9</v>
      </c>
      <c r="Y97" t="n">
        <v>27.8</v>
      </c>
      <c r="Z97" t="n">
        <v>28.05</v>
      </c>
      <c r="AA97" t="n">
        <v>28</v>
      </c>
      <c r="AB97" t="n">
        <v>28.3</v>
      </c>
      <c r="AC97" t="n">
        <v>28.1</v>
      </c>
      <c r="AD97" t="n">
        <v>28.15</v>
      </c>
      <c r="AE97" t="n">
        <v>27.95</v>
      </c>
      <c r="AF97" t="n">
        <v>27.6</v>
      </c>
      <c r="AG97" t="n">
        <v>28</v>
      </c>
      <c r="AH97" t="n">
        <v>27.65</v>
      </c>
      <c r="AI97" t="n">
        <v>28.05</v>
      </c>
      <c r="AJ97" t="n">
        <v>28.35</v>
      </c>
      <c r="AK97" t="n">
        <v>28.3</v>
      </c>
      <c r="AL97" t="n">
        <v>28.35</v>
      </c>
      <c r="AM97" t="n">
        <v>28.55</v>
      </c>
      <c r="AP97" t="n">
        <v>28.105</v>
      </c>
    </row>
    <row r="98">
      <c r="A98" t="n">
        <v>25025270</v>
      </c>
      <c r="B98" t="inlineStr">
        <is>
          <t>UNISUCRE AUT [25025270]</t>
        </is>
      </c>
      <c r="C98" t="inlineStr">
        <is>
          <t>Sucre</t>
        </is>
      </c>
      <c r="D98" t="inlineStr">
        <is>
          <t>Sampués</t>
        </is>
      </c>
      <c r="E98" t="inlineStr">
        <is>
          <t>Area Operativa 02 - Atlántico-Bolivar-Sucre</t>
        </is>
      </c>
      <c r="F98" t="inlineStr">
        <is>
          <t>TSSM_MEDIA_D</t>
        </is>
      </c>
      <c r="G98" t="inlineStr">
        <is>
          <t>9.316388889</t>
        </is>
      </c>
      <c r="H98" t="inlineStr">
        <is>
          <t>-75.3875</t>
        </is>
      </c>
      <c r="I98" t="inlineStr">
        <is>
          <t>160</t>
        </is>
      </c>
      <c r="J98" t="n">
        <v>28.6</v>
      </c>
      <c r="K98" t="n">
        <v>26.7</v>
      </c>
      <c r="L98" t="n">
        <v>25.85</v>
      </c>
      <c r="M98" t="n">
        <v>26.25</v>
      </c>
      <c r="N98" t="n">
        <v>25.25</v>
      </c>
      <c r="O98" t="n">
        <v>26.6</v>
      </c>
      <c r="P98" t="n">
        <v>27.15</v>
      </c>
      <c r="Q98" t="n">
        <v>27.9</v>
      </c>
      <c r="R98" t="n">
        <v>27.45</v>
      </c>
      <c r="S98" t="n">
        <v>27.75</v>
      </c>
      <c r="T98" t="n">
        <v>27.6</v>
      </c>
      <c r="U98" t="n">
        <v>26.05</v>
      </c>
      <c r="V98" t="n">
        <v>25.05</v>
      </c>
      <c r="W98" t="n">
        <v>26.5</v>
      </c>
      <c r="X98" t="n">
        <v>26.75</v>
      </c>
      <c r="Y98" t="n">
        <v>27.1</v>
      </c>
      <c r="Z98" t="n">
        <v>28.1</v>
      </c>
      <c r="AA98" t="n">
        <v>29.35</v>
      </c>
      <c r="AB98" t="n">
        <v>27.9</v>
      </c>
      <c r="AC98" t="n">
        <v>28.1</v>
      </c>
      <c r="AD98" t="n">
        <v>28</v>
      </c>
      <c r="AE98" t="n">
        <v>27.9</v>
      </c>
      <c r="AF98" t="n">
        <v>27.5</v>
      </c>
      <c r="AG98" t="n">
        <v>27.35</v>
      </c>
      <c r="AH98" t="n">
        <v>27.8</v>
      </c>
      <c r="AI98" t="n">
        <v>27.4</v>
      </c>
      <c r="AJ98" t="n">
        <v>27.5</v>
      </c>
      <c r="AK98" t="n">
        <v>27.25</v>
      </c>
      <c r="AL98" t="n">
        <v>27.05</v>
      </c>
      <c r="AM98" t="n">
        <v>26.75</v>
      </c>
      <c r="AN98" t="n">
        <v>26.9</v>
      </c>
      <c r="AP98" t="n">
        <v>27.20645161290323</v>
      </c>
    </row>
    <row r="99">
      <c r="A99" t="n">
        <v>25025080</v>
      </c>
      <c r="B99" t="inlineStr">
        <is>
          <t>AEROPUERTO RAFAEL BARVO [25025080]</t>
        </is>
      </c>
      <c r="C99" t="inlineStr">
        <is>
          <t>Sucre</t>
        </is>
      </c>
      <c r="D99" t="inlineStr">
        <is>
          <t>Corozal</t>
        </is>
      </c>
      <c r="E99" t="inlineStr">
        <is>
          <t>Area Operativa 02 - Atlántico-Bolivar-Sucre</t>
        </is>
      </c>
      <c r="F99" t="inlineStr">
        <is>
          <t>TSSM_MEDIA_D</t>
        </is>
      </c>
      <c r="G99" t="inlineStr">
        <is>
          <t>9.333888889</t>
        </is>
      </c>
      <c r="H99" t="inlineStr">
        <is>
          <t>-75.28305556</t>
        </is>
      </c>
      <c r="I99" t="inlineStr">
        <is>
          <t>166</t>
        </is>
      </c>
      <c r="J99" t="n">
        <v>28.1</v>
      </c>
      <c r="K99" t="n">
        <v>26.95</v>
      </c>
      <c r="L99" t="n">
        <v>26.8</v>
      </c>
      <c r="M99" t="n">
        <v>26.5</v>
      </c>
      <c r="N99" t="n">
        <v>25.55</v>
      </c>
      <c r="O99" t="n">
        <v>26.95</v>
      </c>
      <c r="P99" t="n">
        <v>27.35</v>
      </c>
      <c r="Q99" t="n">
        <v>28.05</v>
      </c>
      <c r="R99" t="n">
        <v>27.75</v>
      </c>
      <c r="S99" t="n">
        <v>27.9</v>
      </c>
      <c r="T99" t="n">
        <v>28.05</v>
      </c>
      <c r="U99" t="n">
        <v>26.85</v>
      </c>
      <c r="V99" t="n">
        <v>25.85</v>
      </c>
      <c r="W99" t="n">
        <v>26.9</v>
      </c>
      <c r="X99" t="n">
        <v>27.4</v>
      </c>
      <c r="Y99" t="n">
        <v>27.15</v>
      </c>
      <c r="Z99" t="n">
        <v>27.85</v>
      </c>
      <c r="AA99" t="n">
        <v>28.55</v>
      </c>
      <c r="AB99" t="n">
        <v>28.4</v>
      </c>
      <c r="AC99" t="n">
        <v>27.85</v>
      </c>
      <c r="AD99" t="n">
        <v>28.1</v>
      </c>
      <c r="AE99" t="n">
        <v>27.7</v>
      </c>
      <c r="AF99" t="n">
        <v>27.4</v>
      </c>
      <c r="AG99" t="n">
        <v>26.65</v>
      </c>
      <c r="AH99" t="n">
        <v>27.65</v>
      </c>
      <c r="AI99" t="n">
        <v>27.5</v>
      </c>
      <c r="AJ99" t="n">
        <v>27.25</v>
      </c>
      <c r="AK99" t="n">
        <v>27.2</v>
      </c>
      <c r="AL99" t="n">
        <v>26.8</v>
      </c>
      <c r="AM99" t="n">
        <v>26.75</v>
      </c>
      <c r="AN99" t="n">
        <v>27.6</v>
      </c>
      <c r="AP99" t="n">
        <v>27.33387096774194</v>
      </c>
    </row>
    <row r="100">
      <c r="A100" t="n">
        <v>15075030</v>
      </c>
      <c r="B100" t="inlineStr">
        <is>
          <t>MANAURE [15075030]</t>
        </is>
      </c>
      <c r="C100" t="inlineStr">
        <is>
          <t>La Guajira</t>
        </is>
      </c>
      <c r="D100" t="inlineStr">
        <is>
          <t>Manaure</t>
        </is>
      </c>
      <c r="E100" t="inlineStr">
        <is>
          <t>Area Operativa 05 - Magdalena-Cesar-Guajira-San Andrés</t>
        </is>
      </c>
      <c r="F100" t="inlineStr">
        <is>
          <t>TSSM_MEDIA_D</t>
        </is>
      </c>
      <c r="G100" t="inlineStr">
        <is>
          <t>11.78105556</t>
        </is>
      </c>
      <c r="H100" t="inlineStr">
        <is>
          <t>-72.4635</t>
        </is>
      </c>
      <c r="I100" t="inlineStr">
        <is>
          <t>1</t>
        </is>
      </c>
      <c r="J100" t="n">
        <v>30.35</v>
      </c>
      <c r="K100" t="n">
        <v>28.5</v>
      </c>
      <c r="L100" t="n">
        <v>29.65</v>
      </c>
      <c r="M100" t="n">
        <v>28.6</v>
      </c>
      <c r="N100" t="n">
        <v>28.15</v>
      </c>
      <c r="O100" t="n">
        <v>28.05</v>
      </c>
      <c r="P100" t="n">
        <v>28.1</v>
      </c>
      <c r="Q100" t="n">
        <v>29.3</v>
      </c>
      <c r="R100" t="n">
        <v>30.35</v>
      </c>
      <c r="U100" t="n">
        <v>29.45</v>
      </c>
      <c r="V100" t="n">
        <v>29.1</v>
      </c>
      <c r="W100" t="n">
        <v>28.95</v>
      </c>
      <c r="X100" t="n">
        <v>28.95</v>
      </c>
      <c r="Y100" t="n">
        <v>30.7</v>
      </c>
      <c r="Z100" t="n">
        <v>30.2</v>
      </c>
      <c r="AA100" t="n">
        <v>30.2</v>
      </c>
      <c r="AB100" t="n">
        <v>29.4</v>
      </c>
      <c r="AC100" t="n">
        <v>29.05</v>
      </c>
      <c r="AG100" t="n">
        <v>28.6</v>
      </c>
      <c r="AH100" t="n">
        <v>28.8</v>
      </c>
      <c r="AI100" t="n">
        <v>29.05</v>
      </c>
      <c r="AJ100" t="n">
        <v>28.4</v>
      </c>
      <c r="AK100" t="n">
        <v>29</v>
      </c>
      <c r="AL100" t="n">
        <v>28</v>
      </c>
      <c r="AM100" t="n">
        <v>27.6</v>
      </c>
      <c r="AN100" t="n">
        <v>28.45</v>
      </c>
      <c r="AP100" t="n">
        <v>29.03653846153846</v>
      </c>
    </row>
    <row r="101">
      <c r="A101" t="n">
        <v>16055040</v>
      </c>
      <c r="B101" t="inlineStr">
        <is>
          <t>ABREGO CENTRO ADMO [16055040]</t>
        </is>
      </c>
      <c r="C101" t="inlineStr">
        <is>
          <t>Norte De Santander</t>
        </is>
      </c>
      <c r="D101" t="inlineStr">
        <is>
          <t>Ábrego</t>
        </is>
      </c>
      <c r="E101" t="inlineStr">
        <is>
          <t>Area Operativa 08 - Santanderes-Arauca</t>
        </is>
      </c>
      <c r="F101" t="inlineStr">
        <is>
          <t>TSSM_MEDIA_D</t>
        </is>
      </c>
      <c r="G101" t="inlineStr">
        <is>
          <t>8.087222222</t>
        </is>
      </c>
      <c r="H101" t="inlineStr">
        <is>
          <t>-73.22305556</t>
        </is>
      </c>
      <c r="I101" t="inlineStr">
        <is>
          <t>1430</t>
        </is>
      </c>
      <c r="J101" t="n">
        <v>21.66666666666667</v>
      </c>
      <c r="K101" t="n">
        <v>21.6</v>
      </c>
      <c r="L101" t="n">
        <v>21.6</v>
      </c>
      <c r="M101" t="n">
        <v>21.26666666666667</v>
      </c>
      <c r="N101" t="n">
        <v>20.2</v>
      </c>
      <c r="O101" t="n">
        <v>20.13333333333333</v>
      </c>
      <c r="P101" t="n">
        <v>21.8</v>
      </c>
      <c r="Q101" t="n">
        <v>20.46666666666667</v>
      </c>
      <c r="R101" t="n">
        <v>21.33333333333333</v>
      </c>
      <c r="S101" t="n">
        <v>18.66666666666667</v>
      </c>
      <c r="T101" t="n">
        <v>21.06666666666667</v>
      </c>
      <c r="U101" t="n">
        <v>19.8</v>
      </c>
      <c r="V101" t="n">
        <v>20.4</v>
      </c>
      <c r="W101" t="n">
        <v>20.4</v>
      </c>
      <c r="X101" t="n">
        <v>21.73333333333333</v>
      </c>
      <c r="Y101" t="n">
        <v>21.93333333333334</v>
      </c>
      <c r="AB101" t="n">
        <v>20.86666666666666</v>
      </c>
      <c r="AC101" t="n">
        <v>21.6</v>
      </c>
      <c r="AD101" t="n">
        <v>20.13333333333334</v>
      </c>
      <c r="AE101" t="n">
        <v>20</v>
      </c>
      <c r="AF101" t="n">
        <v>20.6</v>
      </c>
      <c r="AG101" t="n">
        <v>19.66666666666667</v>
      </c>
      <c r="AH101" t="n">
        <v>20.2</v>
      </c>
      <c r="AI101" t="n">
        <v>20.4</v>
      </c>
      <c r="AJ101" t="n">
        <v>21.33333333333333</v>
      </c>
      <c r="AK101" t="n">
        <v>21.06666666666667</v>
      </c>
      <c r="AL101" t="n">
        <v>21.73333333333333</v>
      </c>
      <c r="AM101" t="n">
        <v>22.26666666666667</v>
      </c>
      <c r="AN101" t="n">
        <v>22.2</v>
      </c>
      <c r="AP101" t="n">
        <v>20.90114942528736</v>
      </c>
    </row>
    <row r="102">
      <c r="A102" t="n">
        <v>37035010</v>
      </c>
      <c r="B102" t="inlineStr">
        <is>
          <t>TUNEBIA [37035010]</t>
        </is>
      </c>
      <c r="C102" t="inlineStr">
        <is>
          <t>Norte De Santander</t>
        </is>
      </c>
      <c r="D102" t="inlineStr">
        <is>
          <t>Toledo</t>
        </is>
      </c>
      <c r="E102" t="inlineStr">
        <is>
          <t>Area Operativa 08 - Santanderes-Arauca</t>
        </is>
      </c>
      <c r="F102" t="inlineStr">
        <is>
          <t>TSSM_MEDIA_D</t>
        </is>
      </c>
      <c r="G102" t="inlineStr">
        <is>
          <t>7.006111111</t>
        </is>
      </c>
      <c r="H102" t="inlineStr">
        <is>
          <t>-72.11583333</t>
        </is>
      </c>
      <c r="I102" t="inlineStr">
        <is>
          <t>370</t>
        </is>
      </c>
      <c r="J102" t="n">
        <v>23.8</v>
      </c>
      <c r="K102" t="n">
        <v>24.86666666666666</v>
      </c>
      <c r="L102" t="n">
        <v>23.4</v>
      </c>
      <c r="Q102" t="n">
        <v>21.93333333333333</v>
      </c>
      <c r="R102" t="n">
        <v>24.8</v>
      </c>
      <c r="S102" t="n">
        <v>22.53333333333333</v>
      </c>
      <c r="T102" t="n">
        <v>22</v>
      </c>
      <c r="U102" t="n">
        <v>24.2</v>
      </c>
      <c r="V102" t="n">
        <v>22.06666666666667</v>
      </c>
      <c r="W102" t="n">
        <v>23</v>
      </c>
      <c r="X102" t="n">
        <v>24.66666666666667</v>
      </c>
      <c r="Y102" t="n">
        <v>23.8</v>
      </c>
      <c r="Z102" t="n">
        <v>25.33333333333333</v>
      </c>
      <c r="AA102" t="n">
        <v>23.33333333333333</v>
      </c>
      <c r="AB102" t="n">
        <v>23.26666666666667</v>
      </c>
      <c r="AC102" t="n">
        <v>23.13333333333334</v>
      </c>
      <c r="AD102" t="n">
        <v>25.8</v>
      </c>
      <c r="AE102" t="n">
        <v>24.86666666666666</v>
      </c>
      <c r="AF102" t="n">
        <v>26.4</v>
      </c>
      <c r="AG102" t="n">
        <v>25.73333333333333</v>
      </c>
      <c r="AH102" t="n">
        <v>22.6</v>
      </c>
      <c r="AI102" t="n">
        <v>24.93333333333333</v>
      </c>
      <c r="AJ102" t="n">
        <v>22.4</v>
      </c>
      <c r="AK102" t="n">
        <v>22.13333333333334</v>
      </c>
      <c r="AL102" t="n">
        <v>22.53333333333333</v>
      </c>
      <c r="AM102" t="n">
        <v>22.8</v>
      </c>
      <c r="AN102" t="n">
        <v>22.93333333333333</v>
      </c>
      <c r="AP102" t="n">
        <v>23.67654320987653</v>
      </c>
    </row>
    <row r="103">
      <c r="A103" t="n">
        <v>23195110</v>
      </c>
      <c r="B103" t="inlineStr">
        <is>
          <t>LLANO GRANDE  - AUT [23195110]</t>
        </is>
      </c>
      <c r="C103" t="inlineStr">
        <is>
          <t>Santander</t>
        </is>
      </c>
      <c r="D103" t="inlineStr">
        <is>
          <t>Girón</t>
        </is>
      </c>
      <c r="E103" t="inlineStr">
        <is>
          <t>Area Operativa 08 - Santanderes-Arauca</t>
        </is>
      </c>
      <c r="F103" t="inlineStr">
        <is>
          <t>TSSM_MEDIA_D</t>
        </is>
      </c>
      <c r="G103" t="inlineStr">
        <is>
          <t>7.025555556</t>
        </is>
      </c>
      <c r="H103" t="inlineStr">
        <is>
          <t>-73.16722222</t>
        </is>
      </c>
      <c r="I103" t="inlineStr">
        <is>
          <t>777</t>
        </is>
      </c>
      <c r="J103" t="n">
        <v>26.2</v>
      </c>
      <c r="K103" t="n">
        <v>26.26666666666667</v>
      </c>
      <c r="L103" t="n">
        <v>26.86666666666666</v>
      </c>
      <c r="M103" t="n">
        <v>27.26666666666667</v>
      </c>
      <c r="N103" t="n">
        <v>25.13333333333334</v>
      </c>
      <c r="O103" t="n">
        <v>25.33333333333333</v>
      </c>
      <c r="P103" t="n">
        <v>26.4</v>
      </c>
      <c r="Q103" t="n">
        <v>26</v>
      </c>
      <c r="R103" t="n">
        <v>25.4</v>
      </c>
      <c r="S103" t="n">
        <v>25.2</v>
      </c>
      <c r="T103" t="n">
        <v>24.33333333333333</v>
      </c>
      <c r="U103" t="n">
        <v>25.2</v>
      </c>
      <c r="W103" t="n">
        <v>25.66666666666667</v>
      </c>
      <c r="X103" t="n">
        <v>24.8</v>
      </c>
      <c r="Y103" t="n">
        <v>24.86666666666666</v>
      </c>
      <c r="Z103" t="n">
        <v>26.26666666666667</v>
      </c>
      <c r="AA103" t="n">
        <v>26.73333333333333</v>
      </c>
      <c r="AB103" t="n">
        <v>26.8</v>
      </c>
      <c r="AD103" t="n">
        <v>26.6</v>
      </c>
      <c r="AF103" t="n">
        <v>26.66666666666667</v>
      </c>
      <c r="AG103" t="n">
        <v>25.93333333333334</v>
      </c>
      <c r="AH103" t="n">
        <v>26.2</v>
      </c>
      <c r="AI103" t="n">
        <v>25.93333333333333</v>
      </c>
      <c r="AJ103" t="n">
        <v>25.66666666666667</v>
      </c>
      <c r="AL103" t="n">
        <v>26.86666666666666</v>
      </c>
      <c r="AM103" t="n">
        <v>25.26666666666667</v>
      </c>
      <c r="AN103" t="n">
        <v>25.4</v>
      </c>
      <c r="AP103" t="n">
        <v>25.89876543209877</v>
      </c>
    </row>
    <row r="104">
      <c r="A104" t="n">
        <v>16025040</v>
      </c>
      <c r="B104" t="inlineStr">
        <is>
          <t>CINERA-VILLA OLGA AUT [16025040]</t>
        </is>
      </c>
      <c r="C104" t="inlineStr">
        <is>
          <t>Norte De Santander</t>
        </is>
      </c>
      <c r="D104" t="inlineStr">
        <is>
          <t>Cúcuta</t>
        </is>
      </c>
      <c r="E104" t="inlineStr">
        <is>
          <t>Area Operativa 08 - Santanderes-Arauca</t>
        </is>
      </c>
      <c r="F104" t="inlineStr">
        <is>
          <t>TSSM_MEDIA_D</t>
        </is>
      </c>
      <c r="G104" t="inlineStr">
        <is>
          <t>8.16728</t>
        </is>
      </c>
      <c r="H104" t="inlineStr">
        <is>
          <t>-72.47878</t>
        </is>
      </c>
      <c r="I104" t="inlineStr">
        <is>
          <t>96</t>
        </is>
      </c>
      <c r="K104" t="n">
        <v>29.2</v>
      </c>
      <c r="L104" t="n">
        <v>29.26666666666667</v>
      </c>
      <c r="M104" t="n">
        <v>28.53333333333333</v>
      </c>
      <c r="N104" t="n">
        <v>27.4</v>
      </c>
      <c r="O104" t="n">
        <v>26.13333333333334</v>
      </c>
      <c r="P104" t="n">
        <v>25.93333333333333</v>
      </c>
      <c r="Q104" t="n">
        <v>27.06666666666667</v>
      </c>
      <c r="R104" t="n">
        <v>27.6</v>
      </c>
      <c r="S104" t="n">
        <v>24.73333333333333</v>
      </c>
      <c r="T104" t="n">
        <v>27.53333333333333</v>
      </c>
      <c r="U104" t="n">
        <v>26</v>
      </c>
      <c r="V104" t="n">
        <v>26.6</v>
      </c>
      <c r="X104" t="n">
        <v>28.33333333333333</v>
      </c>
      <c r="Y104" t="n">
        <v>28</v>
      </c>
      <c r="Z104" t="n">
        <v>27.33333333333333</v>
      </c>
      <c r="AA104" t="n">
        <v>28.13333333333334</v>
      </c>
      <c r="AB104" t="n">
        <v>28.13333333333334</v>
      </c>
      <c r="AC104" t="n">
        <v>26.6</v>
      </c>
      <c r="AD104" t="n">
        <v>26.26666666666667</v>
      </c>
      <c r="AE104" t="n">
        <v>26.73333333333333</v>
      </c>
      <c r="AF104" t="n">
        <v>27.4</v>
      </c>
      <c r="AG104" t="n">
        <v>28</v>
      </c>
      <c r="AH104" t="n">
        <v>27.2</v>
      </c>
      <c r="AI104" t="n">
        <v>28</v>
      </c>
      <c r="AJ104" t="n">
        <v>27.73333333333333</v>
      </c>
      <c r="AK104" t="n">
        <v>24.8</v>
      </c>
      <c r="AL104" t="n">
        <v>28</v>
      </c>
      <c r="AM104" t="n">
        <v>27.86666666666666</v>
      </c>
      <c r="AN104" t="n">
        <v>28.8</v>
      </c>
      <c r="AP104" t="n">
        <v>27.35632183908046</v>
      </c>
    </row>
    <row r="105">
      <c r="A105" t="n">
        <v>37015020</v>
      </c>
      <c r="B105" t="inlineStr">
        <is>
          <t>BERLIN [37015020]</t>
        </is>
      </c>
      <c r="C105" t="inlineStr">
        <is>
          <t>Santander</t>
        </is>
      </c>
      <c r="D105" t="inlineStr">
        <is>
          <t>Tona</t>
        </is>
      </c>
      <c r="E105" t="inlineStr">
        <is>
          <t>Area Operativa 08 - Santanderes-Arauca</t>
        </is>
      </c>
      <c r="F105" t="inlineStr">
        <is>
          <t>TSSM_MEDIA_D</t>
        </is>
      </c>
      <c r="G105" t="inlineStr">
        <is>
          <t>7.186944444</t>
        </is>
      </c>
      <c r="H105" t="inlineStr">
        <is>
          <t>-72.86861111</t>
        </is>
      </c>
      <c r="I105" t="inlineStr">
        <is>
          <t>3214</t>
        </is>
      </c>
      <c r="J105" t="n">
        <v>10.4</v>
      </c>
      <c r="K105" t="n">
        <v>8.850000000000001</v>
      </c>
      <c r="L105" t="n">
        <v>8.25</v>
      </c>
      <c r="M105" t="n">
        <v>9.9</v>
      </c>
      <c r="N105" t="n">
        <v>9.100000000000001</v>
      </c>
      <c r="O105" t="n">
        <v>9.5</v>
      </c>
      <c r="P105" t="n">
        <v>9.1</v>
      </c>
      <c r="Q105" t="n">
        <v>7.8</v>
      </c>
      <c r="R105" t="n">
        <v>9.149999999999999</v>
      </c>
      <c r="S105" t="n">
        <v>9.149999999999999</v>
      </c>
      <c r="T105" t="n">
        <v>8.649999999999999</v>
      </c>
      <c r="U105" t="n">
        <v>8.85</v>
      </c>
      <c r="V105" t="n">
        <v>8.550000000000001</v>
      </c>
      <c r="W105" t="n">
        <v>8.9</v>
      </c>
      <c r="X105" t="n">
        <v>8.65</v>
      </c>
      <c r="Y105" t="n">
        <v>9.300000000000001</v>
      </c>
      <c r="Z105" t="n">
        <v>9.550000000000001</v>
      </c>
      <c r="AA105" t="n">
        <v>9.5</v>
      </c>
      <c r="AB105" t="n">
        <v>8.800000000000001</v>
      </c>
      <c r="AC105" t="n">
        <v>8.15</v>
      </c>
      <c r="AD105" t="n">
        <v>9.050000000000001</v>
      </c>
      <c r="AE105" t="n">
        <v>7.85</v>
      </c>
      <c r="AF105" t="n">
        <v>8.5</v>
      </c>
      <c r="AG105" t="n">
        <v>8.85</v>
      </c>
      <c r="AH105" t="n">
        <v>8.75</v>
      </c>
      <c r="AI105" t="n">
        <v>8.850000000000001</v>
      </c>
      <c r="AJ105" t="n">
        <v>8.35</v>
      </c>
      <c r="AK105" t="n">
        <v>9.449999999999999</v>
      </c>
      <c r="AL105" t="n">
        <v>9.449999999999999</v>
      </c>
      <c r="AM105" t="n">
        <v>9.65</v>
      </c>
      <c r="AN105" t="n">
        <v>10.35</v>
      </c>
      <c r="AP105" t="n">
        <v>9.006451612903225</v>
      </c>
    </row>
    <row r="106">
      <c r="A106" t="n">
        <v>23185010</v>
      </c>
      <c r="B106" t="inlineStr">
        <is>
          <t>VILLA LEIVA [23185010]</t>
        </is>
      </c>
      <c r="C106" t="inlineStr">
        <is>
          <t>Santander</t>
        </is>
      </c>
      <c r="D106" t="inlineStr">
        <is>
          <t>Sabana De Torres</t>
        </is>
      </c>
      <c r="E106" t="inlineStr">
        <is>
          <t>Area Operativa 08 - Santanderes-Arauca</t>
        </is>
      </c>
      <c r="F106" t="inlineStr">
        <is>
          <t>TSSM_MEDIA_D</t>
        </is>
      </c>
      <c r="G106" t="inlineStr">
        <is>
          <t>7.456111111</t>
        </is>
      </c>
      <c r="H106" t="inlineStr">
        <is>
          <t>-73.53722222</t>
        </is>
      </c>
      <c r="I106" t="inlineStr">
        <is>
          <t>328</t>
        </is>
      </c>
      <c r="J106" t="n">
        <v>29.06666666666667</v>
      </c>
      <c r="K106" t="n">
        <v>28.66666666666667</v>
      </c>
      <c r="L106" t="n">
        <v>28.06666666666667</v>
      </c>
      <c r="M106" t="n">
        <v>26.33333333333333</v>
      </c>
      <c r="N106" t="n">
        <v>26.2</v>
      </c>
      <c r="O106" t="n">
        <v>26.53333333333333</v>
      </c>
      <c r="P106" t="n">
        <v>28.26666666666667</v>
      </c>
      <c r="Q106" t="n">
        <v>27.6</v>
      </c>
      <c r="R106" t="n">
        <v>28.2</v>
      </c>
      <c r="S106" t="n">
        <v>27.4</v>
      </c>
      <c r="T106" t="n">
        <v>27.4</v>
      </c>
      <c r="V106" t="n">
        <v>27.8</v>
      </c>
      <c r="W106" t="n">
        <v>29.33333333333333</v>
      </c>
      <c r="X106" t="n">
        <v>27.66666666666667</v>
      </c>
      <c r="Y106" t="n">
        <v>28</v>
      </c>
      <c r="Z106" t="n">
        <v>28.73333333333333</v>
      </c>
      <c r="AA106" t="n">
        <v>29.46666666666667</v>
      </c>
      <c r="AB106" t="n">
        <v>29.6</v>
      </c>
      <c r="AC106" t="n">
        <v>29.8</v>
      </c>
      <c r="AD106" t="n">
        <v>29.4</v>
      </c>
      <c r="AF106" t="n">
        <v>29.33333333333333</v>
      </c>
      <c r="AG106" t="n">
        <v>28.66666666666667</v>
      </c>
      <c r="AH106" t="n">
        <v>29</v>
      </c>
      <c r="AI106" t="n">
        <v>28.86666666666666</v>
      </c>
      <c r="AJ106" t="n">
        <v>28.2</v>
      </c>
      <c r="AK106" t="n">
        <v>28.46666666666667</v>
      </c>
      <c r="AL106" t="n">
        <v>28.93333333333333</v>
      </c>
      <c r="AM106" t="n">
        <v>28.8</v>
      </c>
      <c r="AN106" t="n">
        <v>28.13333333333334</v>
      </c>
      <c r="AP106" t="n">
        <v>28.34252873563218</v>
      </c>
    </row>
    <row r="107">
      <c r="A107" t="n">
        <v>25025190</v>
      </c>
      <c r="B107" t="inlineStr">
        <is>
          <t>PLANETA RICA  - AUT [25025190]</t>
        </is>
      </c>
      <c r="C107" t="inlineStr">
        <is>
          <t>Cordoba</t>
        </is>
      </c>
      <c r="D107" t="inlineStr">
        <is>
          <t>Planeta Rica</t>
        </is>
      </c>
      <c r="E107" t="inlineStr">
        <is>
          <t>Area Operativa 02 - Atlántico-Bolivar-Sucre</t>
        </is>
      </c>
      <c r="F107" t="inlineStr">
        <is>
          <t>TSSM_MEDIA_D</t>
        </is>
      </c>
      <c r="G107" t="inlineStr">
        <is>
          <t>8.399333333</t>
        </is>
      </c>
      <c r="H107" t="inlineStr">
        <is>
          <t>-75.58372222</t>
        </is>
      </c>
      <c r="I107" t="inlineStr">
        <is>
          <t>90</t>
        </is>
      </c>
      <c r="J107" t="n">
        <v>29.65</v>
      </c>
      <c r="K107" t="n">
        <v>27.575</v>
      </c>
      <c r="L107" t="n">
        <v>27</v>
      </c>
      <c r="M107" t="n">
        <v>26.425</v>
      </c>
      <c r="N107" t="n">
        <v>25.8</v>
      </c>
      <c r="O107" t="n">
        <v>27.25</v>
      </c>
      <c r="P107" t="n">
        <v>28.675</v>
      </c>
      <c r="Q107" t="n">
        <v>29</v>
      </c>
      <c r="R107" t="n">
        <v>28.6</v>
      </c>
      <c r="S107" t="n">
        <v>27.85</v>
      </c>
      <c r="T107" t="n">
        <v>26.4</v>
      </c>
      <c r="U107" t="n">
        <v>25.825</v>
      </c>
      <c r="V107" t="n">
        <v>25.9</v>
      </c>
      <c r="W107" t="n">
        <v>27</v>
      </c>
      <c r="X107" t="n">
        <v>26.65</v>
      </c>
      <c r="Y107" t="n">
        <v>28.125</v>
      </c>
      <c r="Z107" t="n">
        <v>28.6</v>
      </c>
      <c r="AA107" t="n">
        <v>29.475</v>
      </c>
      <c r="AB107" t="n">
        <v>28</v>
      </c>
      <c r="AC107" t="n">
        <v>28.375</v>
      </c>
      <c r="AD107" t="n">
        <v>28.975</v>
      </c>
      <c r="AE107" t="n">
        <v>28.2</v>
      </c>
      <c r="AF107" t="n">
        <v>28.55</v>
      </c>
      <c r="AG107" t="n">
        <v>28.775</v>
      </c>
      <c r="AH107" t="n">
        <v>29.325</v>
      </c>
      <c r="AI107" t="n">
        <v>28.7</v>
      </c>
      <c r="AJ107" t="n">
        <v>26.275</v>
      </c>
      <c r="AK107" t="n">
        <v>27.225</v>
      </c>
      <c r="AL107" t="n">
        <v>27.65</v>
      </c>
      <c r="AM107" t="n">
        <v>27.725</v>
      </c>
      <c r="AN107" t="n">
        <v>27.625</v>
      </c>
      <c r="AP107" t="n">
        <v>27.78064516129032</v>
      </c>
    </row>
    <row r="108">
      <c r="A108" t="n">
        <v>28035010</v>
      </c>
      <c r="B108" t="inlineStr">
        <is>
          <t>VILLA ROSA [28035010]</t>
        </is>
      </c>
      <c r="C108" t="inlineStr">
        <is>
          <t>Cesar</t>
        </is>
      </c>
      <c r="D108" t="inlineStr">
        <is>
          <t>Valledupar</t>
        </is>
      </c>
      <c r="E108" t="inlineStr">
        <is>
          <t>Area Operativa 05 - Magdalena-Cesar-Guajira-San Andrés</t>
        </is>
      </c>
      <c r="F108" t="inlineStr">
        <is>
          <t>TSSM_MEDIA_D</t>
        </is>
      </c>
      <c r="G108" t="inlineStr">
        <is>
          <t>10.19066667</t>
        </is>
      </c>
      <c r="H108" t="inlineStr">
        <is>
          <t>-73.54738889</t>
        </is>
      </c>
      <c r="I108" t="inlineStr">
        <is>
          <t>70</t>
        </is>
      </c>
      <c r="K108" t="n">
        <v>29.6</v>
      </c>
      <c r="L108" t="n">
        <v>28.15</v>
      </c>
      <c r="M108" t="n">
        <v>28.95</v>
      </c>
      <c r="O108" t="n">
        <v>29.55</v>
      </c>
      <c r="P108" t="n">
        <v>30.4</v>
      </c>
      <c r="Q108" t="n">
        <v>30.95</v>
      </c>
      <c r="S108" t="n">
        <v>30.6</v>
      </c>
      <c r="V108" t="n">
        <v>30.7</v>
      </c>
      <c r="W108" t="n">
        <v>30.25</v>
      </c>
      <c r="X108" t="n">
        <v>28.7</v>
      </c>
      <c r="Y108" t="n">
        <v>26.3</v>
      </c>
      <c r="Z108" t="n">
        <v>30.55</v>
      </c>
      <c r="AC108" t="n">
        <v>31</v>
      </c>
      <c r="AD108" t="n">
        <v>30.55</v>
      </c>
      <c r="AE108" t="n">
        <v>29.95</v>
      </c>
      <c r="AF108" t="n">
        <v>30.6</v>
      </c>
      <c r="AG108" t="n">
        <v>30.2</v>
      </c>
      <c r="AH108" t="n">
        <v>31.55</v>
      </c>
      <c r="AI108" t="n">
        <v>31.3</v>
      </c>
      <c r="AJ108" t="n">
        <v>31.5</v>
      </c>
      <c r="AK108" t="n">
        <v>31.3</v>
      </c>
      <c r="AL108" t="n">
        <v>30.4</v>
      </c>
      <c r="AM108" t="n">
        <v>31.6</v>
      </c>
      <c r="AP108" t="n">
        <v>30.20217391304347</v>
      </c>
    </row>
    <row r="109">
      <c r="A109" t="n">
        <v>28015070</v>
      </c>
      <c r="B109" t="inlineStr">
        <is>
          <t>URUMITA AUT [28015070]</t>
        </is>
      </c>
      <c r="C109" t="inlineStr">
        <is>
          <t>La Guajira</t>
        </is>
      </c>
      <c r="D109" t="inlineStr">
        <is>
          <t>Urumita</t>
        </is>
      </c>
      <c r="E109" t="inlineStr">
        <is>
          <t>Area Operativa 05 - Magdalena-Cesar-Guajira-San Andrés</t>
        </is>
      </c>
      <c r="F109" t="inlineStr">
        <is>
          <t>TSSM_MEDIA_D</t>
        </is>
      </c>
      <c r="G109" t="inlineStr">
        <is>
          <t>10.56638889</t>
        </is>
      </c>
      <c r="H109" t="inlineStr">
        <is>
          <t>-73.01638889</t>
        </is>
      </c>
      <c r="I109" t="inlineStr">
        <is>
          <t>255</t>
        </is>
      </c>
      <c r="J109" t="n">
        <v>27.9</v>
      </c>
      <c r="K109" t="n">
        <v>28.45</v>
      </c>
      <c r="L109" t="n">
        <v>27.4</v>
      </c>
      <c r="M109" t="n">
        <v>26.6</v>
      </c>
      <c r="N109" t="n">
        <v>26.75</v>
      </c>
      <c r="O109" t="n">
        <v>28.15</v>
      </c>
      <c r="P109" t="n">
        <v>27.85</v>
      </c>
      <c r="Q109" t="n">
        <v>28</v>
      </c>
      <c r="R109" t="n">
        <v>27.95</v>
      </c>
      <c r="S109" t="n">
        <v>27.85</v>
      </c>
      <c r="T109" t="n">
        <v>27.85</v>
      </c>
      <c r="U109" t="n">
        <v>27.8</v>
      </c>
      <c r="V109" t="n">
        <v>28.1</v>
      </c>
      <c r="W109" t="n">
        <v>27.75</v>
      </c>
      <c r="X109" t="n">
        <v>27.1</v>
      </c>
      <c r="Y109" t="n">
        <v>27.85</v>
      </c>
      <c r="Z109" t="n">
        <v>28.2</v>
      </c>
      <c r="AA109" t="n">
        <v>28.95</v>
      </c>
      <c r="AB109" t="n">
        <v>28.5</v>
      </c>
      <c r="AC109" t="n">
        <v>28.6</v>
      </c>
      <c r="AD109" t="n">
        <v>29.15</v>
      </c>
      <c r="AE109" t="n">
        <v>28.9</v>
      </c>
      <c r="AF109" t="n">
        <v>29.2</v>
      </c>
      <c r="AG109" t="n">
        <v>28.35</v>
      </c>
      <c r="AH109" t="n">
        <v>30.45</v>
      </c>
      <c r="AI109" t="n">
        <v>28.15</v>
      </c>
      <c r="AJ109" t="n">
        <v>27.6</v>
      </c>
      <c r="AK109" t="n">
        <v>28.3</v>
      </c>
      <c r="AL109" t="n">
        <v>28.15</v>
      </c>
      <c r="AM109" t="n">
        <v>30.05</v>
      </c>
      <c r="AN109" t="n">
        <v>27.9</v>
      </c>
      <c r="AP109" t="n">
        <v>28.18709677419355</v>
      </c>
    </row>
    <row r="110">
      <c r="A110" t="n">
        <v>23205020</v>
      </c>
      <c r="B110" t="inlineStr">
        <is>
          <t>COLEGIO COOPERATIVO [23205020]</t>
        </is>
      </c>
      <c r="C110" t="inlineStr">
        <is>
          <t>Bolivar</t>
        </is>
      </c>
      <c r="D110" t="inlineStr">
        <is>
          <t>San Pablo</t>
        </is>
      </c>
      <c r="E110" t="inlineStr">
        <is>
          <t>Area Operativa 08 - Santanderes-Arauca</t>
        </is>
      </c>
      <c r="F110" t="inlineStr">
        <is>
          <t>TSSM_MEDIA_D</t>
        </is>
      </c>
      <c r="G110" t="inlineStr">
        <is>
          <t>7.475</t>
        </is>
      </c>
      <c r="H110" t="inlineStr">
        <is>
          <t>-73.92555556</t>
        </is>
      </c>
      <c r="I110" t="inlineStr">
        <is>
          <t>165</t>
        </is>
      </c>
      <c r="J110" t="n">
        <v>28.46666666666667</v>
      </c>
      <c r="K110" t="n">
        <v>27.33333333333333</v>
      </c>
      <c r="L110" t="n">
        <v>26.86666666666666</v>
      </c>
      <c r="M110" t="n">
        <v>26.26666666666667</v>
      </c>
      <c r="N110" t="n">
        <v>27.6</v>
      </c>
      <c r="O110" t="n">
        <v>27.73333333333333</v>
      </c>
      <c r="P110" t="n">
        <v>27</v>
      </c>
      <c r="Q110" t="n">
        <v>27.4</v>
      </c>
      <c r="R110" t="n">
        <v>28.26666666666667</v>
      </c>
      <c r="V110" t="n">
        <v>26.8</v>
      </c>
      <c r="W110" t="n">
        <v>28.06666666666667</v>
      </c>
      <c r="X110" t="n">
        <v>27.2</v>
      </c>
      <c r="Y110" t="n">
        <v>27.4</v>
      </c>
      <c r="Z110" t="n">
        <v>28.13333333333334</v>
      </c>
      <c r="AA110" t="n">
        <v>29.26666666666667</v>
      </c>
      <c r="AB110" t="n">
        <v>28.86666666666666</v>
      </c>
      <c r="AC110" t="n">
        <v>28.53333333333333</v>
      </c>
      <c r="AD110" t="n">
        <v>28.66666666666667</v>
      </c>
      <c r="AE110" t="n">
        <v>28.2</v>
      </c>
      <c r="AF110" t="n">
        <v>28.4</v>
      </c>
      <c r="AG110" t="n">
        <v>28.2</v>
      </c>
      <c r="AH110" t="n">
        <v>28.66666666666667</v>
      </c>
      <c r="AI110" t="n">
        <v>28.2</v>
      </c>
      <c r="AJ110" t="n">
        <v>27.53333333333333</v>
      </c>
      <c r="AK110" t="n">
        <v>28.46666666666667</v>
      </c>
      <c r="AP110" t="n">
        <v>27.90133333333333</v>
      </c>
    </row>
    <row r="111">
      <c r="A111" t="n">
        <v>28035020</v>
      </c>
      <c r="B111" t="inlineStr">
        <is>
          <t>EL CALLAO  [28035020]</t>
        </is>
      </c>
      <c r="C111" t="inlineStr">
        <is>
          <t>Cesar</t>
        </is>
      </c>
      <c r="D111" t="inlineStr">
        <is>
          <t>Valledupar</t>
        </is>
      </c>
      <c r="E111" t="inlineStr">
        <is>
          <t>Area Operativa 05 - Magdalena-Cesar-Guajira-San Andrés</t>
        </is>
      </c>
      <c r="F111" t="inlineStr">
        <is>
          <t>TSSM_MEDIA_D</t>
        </is>
      </c>
      <c r="G111" t="inlineStr">
        <is>
          <t>10.36305556</t>
        </is>
      </c>
      <c r="H111" t="inlineStr">
        <is>
          <t>-73.31944444</t>
        </is>
      </c>
      <c r="I111" t="inlineStr">
        <is>
          <t>110</t>
        </is>
      </c>
      <c r="J111" t="n">
        <v>29.4</v>
      </c>
      <c r="K111" t="n">
        <v>29.05</v>
      </c>
      <c r="L111" t="n">
        <v>29.35</v>
      </c>
      <c r="M111" t="n">
        <v>28.6</v>
      </c>
      <c r="N111" t="n">
        <v>28.2</v>
      </c>
      <c r="O111" t="n">
        <v>28.85</v>
      </c>
      <c r="P111" t="n">
        <v>29.35</v>
      </c>
      <c r="Q111" t="n">
        <v>29.25</v>
      </c>
      <c r="R111" t="n">
        <v>28.9</v>
      </c>
      <c r="S111" t="n">
        <v>29.65</v>
      </c>
      <c r="T111" t="n">
        <v>29.3</v>
      </c>
      <c r="U111" t="n">
        <v>29.2</v>
      </c>
      <c r="V111" t="n">
        <v>29.2</v>
      </c>
      <c r="W111" t="n">
        <v>30.25</v>
      </c>
      <c r="Z111" t="n">
        <v>31</v>
      </c>
      <c r="AA111" t="n">
        <v>31.55</v>
      </c>
      <c r="AB111" t="n">
        <v>29.7</v>
      </c>
      <c r="AE111" t="n">
        <v>30.4</v>
      </c>
      <c r="AF111" t="n">
        <v>30.6</v>
      </c>
      <c r="AG111" t="n">
        <v>31.3</v>
      </c>
      <c r="AH111" t="n">
        <v>30.95</v>
      </c>
      <c r="AI111" t="n">
        <v>30.9</v>
      </c>
      <c r="AJ111" t="n">
        <v>31.25</v>
      </c>
      <c r="AK111" t="n">
        <v>30.2</v>
      </c>
      <c r="AL111" t="n">
        <v>29.75</v>
      </c>
      <c r="AM111" t="n">
        <v>31.7</v>
      </c>
      <c r="AP111" t="n">
        <v>29.91730769230769</v>
      </c>
    </row>
    <row r="112">
      <c r="A112" t="n">
        <v>16015100</v>
      </c>
      <c r="B112" t="inlineStr">
        <is>
          <t>RAGONVALIA [16015100]</t>
        </is>
      </c>
      <c r="C112" t="inlineStr">
        <is>
          <t>Norte De Santander</t>
        </is>
      </c>
      <c r="D112" t="inlineStr">
        <is>
          <t>Ragonvalia</t>
        </is>
      </c>
      <c r="E112" t="inlineStr">
        <is>
          <t>Area Operativa 08 - Santanderes-Arauca</t>
        </is>
      </c>
      <c r="F112" t="inlineStr">
        <is>
          <t>TSSM_MEDIA_D</t>
        </is>
      </c>
      <c r="G112" t="inlineStr">
        <is>
          <t>7.576666667</t>
        </is>
      </c>
      <c r="H112" t="inlineStr">
        <is>
          <t>-72.48388889</t>
        </is>
      </c>
      <c r="I112" t="inlineStr">
        <is>
          <t>1550</t>
        </is>
      </c>
      <c r="J112" t="n">
        <v>18.6</v>
      </c>
      <c r="K112" t="n">
        <v>19.46666666666667</v>
      </c>
      <c r="L112" t="n">
        <v>18.06666666666667</v>
      </c>
      <c r="M112" t="n">
        <v>19.93333333333333</v>
      </c>
      <c r="N112" t="n">
        <v>18.93333333333333</v>
      </c>
      <c r="O112" t="n">
        <v>17.13333333333334</v>
      </c>
      <c r="P112" t="n">
        <v>16.86666666666667</v>
      </c>
      <c r="Q112" t="n">
        <v>18</v>
      </c>
      <c r="R112" t="n">
        <v>18.73333333333333</v>
      </c>
      <c r="S112" t="n">
        <v>17.33333333333333</v>
      </c>
      <c r="T112" t="n">
        <v>17.8</v>
      </c>
      <c r="U112" t="n">
        <v>17.46666666666667</v>
      </c>
      <c r="V112" t="n">
        <v>16.73333333333333</v>
      </c>
      <c r="W112" t="n">
        <v>18</v>
      </c>
      <c r="X112" t="n">
        <v>20</v>
      </c>
      <c r="Y112" t="n">
        <v>18.6</v>
      </c>
      <c r="Z112" t="n">
        <v>18.73333333333333</v>
      </c>
      <c r="AA112" t="n">
        <v>17.86666666666667</v>
      </c>
      <c r="AB112" t="n">
        <v>18.4</v>
      </c>
      <c r="AC112" t="n">
        <v>18.4</v>
      </c>
      <c r="AD112" t="n">
        <v>16.66666666666667</v>
      </c>
      <c r="AE112" t="n">
        <v>17.33333333333333</v>
      </c>
      <c r="AF112" t="n">
        <v>18</v>
      </c>
      <c r="AG112" t="n">
        <v>18.86666666666667</v>
      </c>
      <c r="AH112" t="n">
        <v>18.06666666666667</v>
      </c>
      <c r="AI112" t="n">
        <v>18.8</v>
      </c>
      <c r="AJ112" t="n">
        <v>17.73333333333333</v>
      </c>
      <c r="AK112" t="n">
        <v>17</v>
      </c>
      <c r="AL112" t="n">
        <v>18.86666666666666</v>
      </c>
      <c r="AM112" t="n">
        <v>18.6</v>
      </c>
      <c r="AN112" t="n">
        <v>18</v>
      </c>
      <c r="AP112" t="n">
        <v>18.16129032258064</v>
      </c>
    </row>
    <row r="113">
      <c r="A113" t="n">
        <v>16055010</v>
      </c>
      <c r="B113" t="inlineStr">
        <is>
          <t>AEROPUERTO AGUAS CLARAS [16055010]</t>
        </is>
      </c>
      <c r="C113" t="inlineStr">
        <is>
          <t>Norte De Santander</t>
        </is>
      </c>
      <c r="D113" t="inlineStr">
        <is>
          <t>Ocaña</t>
        </is>
      </c>
      <c r="E113" t="inlineStr">
        <is>
          <t>Area Operativa 08 - Santanderes-Arauca</t>
        </is>
      </c>
      <c r="F113" t="inlineStr">
        <is>
          <t>TSSM_MEDIA_D</t>
        </is>
      </c>
      <c r="G113" t="inlineStr">
        <is>
          <t>8.315277778</t>
        </is>
      </c>
      <c r="H113" t="inlineStr">
        <is>
          <t>-73.3575</t>
        </is>
      </c>
      <c r="I113" t="inlineStr">
        <is>
          <t>1435</t>
        </is>
      </c>
      <c r="J113" t="n">
        <v>21.46666666666667</v>
      </c>
      <c r="K113" t="n">
        <v>21.73333333333333</v>
      </c>
      <c r="L113" t="n">
        <v>22.13333333333334</v>
      </c>
      <c r="M113" t="n">
        <v>22.26666666666667</v>
      </c>
      <c r="N113" t="n">
        <v>21</v>
      </c>
      <c r="O113" t="n">
        <v>21.8</v>
      </c>
      <c r="P113" t="n">
        <v>20.46666666666667</v>
      </c>
      <c r="Q113" t="n">
        <v>20.53333333333333</v>
      </c>
      <c r="R113" t="n">
        <v>20.4</v>
      </c>
      <c r="S113" t="n">
        <v>19.8</v>
      </c>
      <c r="T113" t="n">
        <v>20.2</v>
      </c>
      <c r="U113" t="n">
        <v>19.66666666666667</v>
      </c>
      <c r="V113" t="n">
        <v>20.73333333333333</v>
      </c>
      <c r="W113" t="n">
        <v>20.4</v>
      </c>
      <c r="X113" t="n">
        <v>22.06666666666666</v>
      </c>
      <c r="Y113" t="n">
        <v>21.33333333333333</v>
      </c>
      <c r="Z113" t="n">
        <v>21.46666666666667</v>
      </c>
      <c r="AA113" t="n">
        <v>21.73333333333333</v>
      </c>
      <c r="AB113" t="n">
        <v>21.13333333333334</v>
      </c>
      <c r="AC113" t="n">
        <v>21.53333333333333</v>
      </c>
      <c r="AD113" t="n">
        <v>20.33333333333333</v>
      </c>
      <c r="AE113" t="n">
        <v>19.93333333333333</v>
      </c>
      <c r="AF113" t="n">
        <v>20.33333333333333</v>
      </c>
      <c r="AG113" t="n">
        <v>20.2</v>
      </c>
      <c r="AH113" t="n">
        <v>20.13333333333333</v>
      </c>
      <c r="AI113" t="n">
        <v>20.73333333333333</v>
      </c>
      <c r="AJ113" t="n">
        <v>21</v>
      </c>
      <c r="AK113" t="n">
        <v>20</v>
      </c>
      <c r="AL113" t="n">
        <v>20.86666666666667</v>
      </c>
      <c r="AM113" t="n">
        <v>21.46666666666667</v>
      </c>
      <c r="AN113" t="n">
        <v>21.46666666666667</v>
      </c>
      <c r="AP113" t="n">
        <v>20.91397849462365</v>
      </c>
    </row>
    <row r="114">
      <c r="A114" t="n">
        <v>16015020</v>
      </c>
      <c r="B114" t="inlineStr">
        <is>
          <t>ISER PAMPLONA [16015020]</t>
        </is>
      </c>
      <c r="C114" t="inlineStr">
        <is>
          <t>Norte De Santander</t>
        </is>
      </c>
      <c r="D114" t="inlineStr">
        <is>
          <t>Pamplona</t>
        </is>
      </c>
      <c r="E114" t="inlineStr">
        <is>
          <t>Area Operativa 08 - Santanderes-Arauca</t>
        </is>
      </c>
      <c r="F114" t="inlineStr">
        <is>
          <t>TSSM_MEDIA_D</t>
        </is>
      </c>
      <c r="G114" t="inlineStr">
        <is>
          <t>7.373111111</t>
        </is>
      </c>
      <c r="H114" t="inlineStr">
        <is>
          <t>-72.645</t>
        </is>
      </c>
      <c r="I114" t="inlineStr">
        <is>
          <t>2340</t>
        </is>
      </c>
      <c r="L114" t="n">
        <v>15.06666666666667</v>
      </c>
      <c r="M114" t="n">
        <v>15.86666666666667</v>
      </c>
      <c r="N114" t="n">
        <v>16</v>
      </c>
      <c r="O114" t="n">
        <v>14</v>
      </c>
      <c r="P114" t="n">
        <v>13.6</v>
      </c>
      <c r="T114" t="n">
        <v>13.93333333333334</v>
      </c>
      <c r="U114" t="n">
        <v>15</v>
      </c>
      <c r="V114" t="n">
        <v>14.66666666666667</v>
      </c>
      <c r="W114" t="n">
        <v>15.2</v>
      </c>
      <c r="X114" t="n">
        <v>16.06666666666667</v>
      </c>
      <c r="Y114" t="n">
        <v>15.73333333333333</v>
      </c>
      <c r="Z114" t="n">
        <v>16.46666666666667</v>
      </c>
      <c r="AA114" t="n">
        <v>15.86666666666667</v>
      </c>
      <c r="AB114" t="n">
        <v>15.4</v>
      </c>
      <c r="AC114" t="n">
        <v>14.86666666666667</v>
      </c>
      <c r="AD114" t="n">
        <v>14.2</v>
      </c>
      <c r="AE114" t="n">
        <v>13.4</v>
      </c>
      <c r="AF114" t="n">
        <v>14.8</v>
      </c>
      <c r="AG114" t="n">
        <v>14.93333333333333</v>
      </c>
      <c r="AH114" t="n">
        <v>15.4</v>
      </c>
      <c r="AI114" t="n">
        <v>15</v>
      </c>
      <c r="AJ114" t="n">
        <v>14.86666666666667</v>
      </c>
      <c r="AK114" t="n">
        <v>14.86666666666667</v>
      </c>
      <c r="AL114" t="n">
        <v>14.93333333333333</v>
      </c>
      <c r="AM114" t="n">
        <v>15.73333333333333</v>
      </c>
      <c r="AN114" t="n">
        <v>15.93333333333333</v>
      </c>
      <c r="AP114" t="n">
        <v>15.06923076923077</v>
      </c>
    </row>
    <row r="115">
      <c r="A115" t="n">
        <v>29035110</v>
      </c>
      <c r="B115" t="inlineStr">
        <is>
          <t>SAN PABLO [29035110]</t>
        </is>
      </c>
      <c r="C115" t="inlineStr">
        <is>
          <t>Bolivar</t>
        </is>
      </c>
      <c r="D115" t="inlineStr">
        <is>
          <t>María La Baja</t>
        </is>
      </c>
      <c r="E115" t="inlineStr">
        <is>
          <t>Area Operativa 02 - Atlántico-Bolivar-Sucre</t>
        </is>
      </c>
      <c r="F115" t="inlineStr">
        <is>
          <t>TSSM_MEDIA_D</t>
        </is>
      </c>
      <c r="G115" t="inlineStr">
        <is>
          <t>10.04316667</t>
        </is>
      </c>
      <c r="H115" t="inlineStr">
        <is>
          <t>-75.25861111</t>
        </is>
      </c>
      <c r="I115" t="inlineStr">
        <is>
          <t>20</t>
        </is>
      </c>
      <c r="J115" t="n">
        <v>27.6</v>
      </c>
      <c r="K115" t="n">
        <v>25.9</v>
      </c>
      <c r="L115" t="n">
        <v>26.9</v>
      </c>
      <c r="M115" t="n">
        <v>26.9</v>
      </c>
      <c r="N115" t="n">
        <v>26.65</v>
      </c>
      <c r="O115" t="n">
        <v>27.3</v>
      </c>
      <c r="P115" t="n">
        <v>28.35</v>
      </c>
      <c r="Q115" t="n">
        <v>27.3</v>
      </c>
      <c r="R115" t="n">
        <v>27.85</v>
      </c>
      <c r="T115" t="n">
        <v>26.8</v>
      </c>
      <c r="U115" t="n">
        <v>26.5</v>
      </c>
      <c r="V115" t="n">
        <v>27.3</v>
      </c>
      <c r="W115" t="n">
        <v>26.75</v>
      </c>
      <c r="X115" t="n">
        <v>27.05</v>
      </c>
      <c r="Y115" t="n">
        <v>28.05</v>
      </c>
      <c r="Z115" t="n">
        <v>29.05</v>
      </c>
      <c r="AA115" t="n">
        <v>28.35</v>
      </c>
      <c r="AB115" t="n">
        <v>28.85</v>
      </c>
      <c r="AC115" t="n">
        <v>28.45</v>
      </c>
      <c r="AD115" t="n">
        <v>27.8</v>
      </c>
      <c r="AE115" t="n">
        <v>26.8</v>
      </c>
      <c r="AF115" t="n">
        <v>26.5</v>
      </c>
      <c r="AG115" t="n">
        <v>27.75</v>
      </c>
      <c r="AH115" t="n">
        <v>28.25</v>
      </c>
      <c r="AI115" t="n">
        <v>27.85</v>
      </c>
      <c r="AJ115" t="n">
        <v>28.25</v>
      </c>
      <c r="AK115" t="n">
        <v>25.85</v>
      </c>
      <c r="AL115" t="n">
        <v>27.2</v>
      </c>
      <c r="AM115" t="n">
        <v>27.95</v>
      </c>
      <c r="AN115" t="n">
        <v>25.8</v>
      </c>
      <c r="AP115" t="n">
        <v>27.39666666666667</v>
      </c>
    </row>
    <row r="116">
      <c r="A116" t="n">
        <v>13075020</v>
      </c>
      <c r="B116" t="inlineStr">
        <is>
          <t>SALADO EL [13075020]</t>
        </is>
      </c>
      <c r="C116" t="inlineStr">
        <is>
          <t>Cordoba</t>
        </is>
      </c>
      <c r="D116" t="inlineStr">
        <is>
          <t>Ciénaga De Oro</t>
        </is>
      </c>
      <c r="E116" t="inlineStr">
        <is>
          <t>Area Operativa 02 - Atlántico-Bolivar-Sucre</t>
        </is>
      </c>
      <c r="F116" t="inlineStr">
        <is>
          <t>TSSM_MEDIA_D</t>
        </is>
      </c>
      <c r="G116" t="inlineStr">
        <is>
          <t>8.913888889</t>
        </is>
      </c>
      <c r="H116" t="inlineStr">
        <is>
          <t>-75.58222222</t>
        </is>
      </c>
      <c r="I116" t="inlineStr">
        <is>
          <t>40</t>
        </is>
      </c>
      <c r="J116" t="n">
        <v>29.63333333333334</v>
      </c>
      <c r="K116" t="n">
        <v>27.43333333333333</v>
      </c>
      <c r="L116" t="n">
        <v>27</v>
      </c>
      <c r="M116" t="n">
        <v>26.93333333333333</v>
      </c>
      <c r="N116" t="n">
        <v>26.53333333333333</v>
      </c>
      <c r="O116" t="n">
        <v>28.16666666666667</v>
      </c>
      <c r="P116" t="n">
        <v>29.7</v>
      </c>
      <c r="Q116" t="n">
        <v>29.43333333333333</v>
      </c>
      <c r="R116" t="n">
        <v>29.13333333333334</v>
      </c>
      <c r="S116" t="n">
        <v>28.46666666666667</v>
      </c>
      <c r="T116" t="n">
        <v>27</v>
      </c>
      <c r="U116" t="n">
        <v>27.43333333333333</v>
      </c>
      <c r="V116" t="n">
        <v>26.76666666666667</v>
      </c>
      <c r="W116" t="n">
        <v>27.8</v>
      </c>
      <c r="X116" t="n">
        <v>26.36666666666667</v>
      </c>
      <c r="Y116" t="n">
        <v>28.26666666666667</v>
      </c>
      <c r="Z116" t="n">
        <v>30</v>
      </c>
      <c r="AA116" t="n">
        <v>28.93333333333334</v>
      </c>
      <c r="AB116" t="n">
        <v>28.33333333333333</v>
      </c>
      <c r="AC116" t="n">
        <v>28.6</v>
      </c>
      <c r="AD116" t="n">
        <v>29.26666666666667</v>
      </c>
      <c r="AE116" t="n">
        <v>28.93333333333333</v>
      </c>
      <c r="AF116" t="n">
        <v>28.6</v>
      </c>
      <c r="AG116" t="n">
        <v>28.73333333333333</v>
      </c>
      <c r="AH116" t="n">
        <v>28.53333333333333</v>
      </c>
      <c r="AI116" t="n">
        <v>28.1</v>
      </c>
      <c r="AJ116" t="n">
        <v>28.96666666666667</v>
      </c>
      <c r="AK116" t="n">
        <v>28.16666666666667</v>
      </c>
      <c r="AL116" t="n">
        <v>28.23333333333333</v>
      </c>
      <c r="AM116" t="n">
        <v>27.06666666666667</v>
      </c>
      <c r="AN116" t="n">
        <v>27.56666666666667</v>
      </c>
      <c r="AP116" t="n">
        <v>28.19677419354839</v>
      </c>
    </row>
    <row r="117">
      <c r="A117" t="n">
        <v>47015100</v>
      </c>
      <c r="B117" t="inlineStr">
        <is>
          <t>EL ENCANO - AUT [47015100]</t>
        </is>
      </c>
      <c r="C117" t="inlineStr">
        <is>
          <t>Nariño</t>
        </is>
      </c>
      <c r="D117" t="inlineStr">
        <is>
          <t>Pasto</t>
        </is>
      </c>
      <c r="E117" t="inlineStr">
        <is>
          <t>Area Operativa 07 - Nariño-Putumayo</t>
        </is>
      </c>
      <c r="F117" t="inlineStr">
        <is>
          <t>TSSM_MEDIA_D</t>
        </is>
      </c>
      <c r="G117" t="inlineStr">
        <is>
          <t>1.159944444</t>
        </is>
      </c>
      <c r="H117" t="inlineStr">
        <is>
          <t>-77.16147222</t>
        </is>
      </c>
      <c r="I117" t="inlineStr">
        <is>
          <t>2830</t>
        </is>
      </c>
      <c r="J117" t="n">
        <v>11.53333333333333</v>
      </c>
      <c r="K117" t="n">
        <v>11.2</v>
      </c>
      <c r="M117" t="n">
        <v>13.73333333333333</v>
      </c>
      <c r="N117" t="n">
        <v>13.26666666666667</v>
      </c>
      <c r="O117" t="n">
        <v>13.26666666666667</v>
      </c>
      <c r="Q117" t="n">
        <v>10.13333333333333</v>
      </c>
      <c r="R117" t="n">
        <v>12.2</v>
      </c>
      <c r="S117" t="n">
        <v>13.33333333333333</v>
      </c>
      <c r="T117" t="n">
        <v>12.33333333333333</v>
      </c>
      <c r="U117" t="n">
        <v>12</v>
      </c>
      <c r="V117" t="n">
        <v>13</v>
      </c>
      <c r="X117" t="n">
        <v>11.4</v>
      </c>
      <c r="Y117" t="n">
        <v>11.86666666666667</v>
      </c>
      <c r="Z117" t="n">
        <v>11.86666666666667</v>
      </c>
      <c r="AA117" t="n">
        <v>11.33333333333333</v>
      </c>
      <c r="AB117" t="n">
        <v>14.6</v>
      </c>
      <c r="AD117" t="n">
        <v>13.53333333333333</v>
      </c>
      <c r="AE117" t="n">
        <v>13.2</v>
      </c>
      <c r="AF117" t="n">
        <v>12.53333333333333</v>
      </c>
      <c r="AG117" t="n">
        <v>13.26666666666667</v>
      </c>
      <c r="AH117" t="n">
        <v>14.33333333333333</v>
      </c>
      <c r="AI117" t="n">
        <v>14.13333333333333</v>
      </c>
      <c r="AJ117" t="n">
        <v>12.8</v>
      </c>
      <c r="AK117" t="n">
        <v>12.93333333333333</v>
      </c>
      <c r="AL117" t="n">
        <v>13.46666666666667</v>
      </c>
      <c r="AM117" t="n">
        <v>11.96666666666667</v>
      </c>
      <c r="AN117" t="n">
        <v>11.93333333333333</v>
      </c>
      <c r="AP117" t="n">
        <v>12.6358024691358</v>
      </c>
    </row>
    <row r="118">
      <c r="A118" t="n">
        <v>52055030</v>
      </c>
      <c r="B118" t="inlineStr">
        <is>
          <t>BOMBONA [52055030]</t>
        </is>
      </c>
      <c r="C118" t="inlineStr">
        <is>
          <t>Nariño</t>
        </is>
      </c>
      <c r="D118" t="inlineStr">
        <is>
          <t>Consacá</t>
        </is>
      </c>
      <c r="E118" t="inlineStr">
        <is>
          <t>Area Operativa 07 - Nariño-Putumayo</t>
        </is>
      </c>
      <c r="F118" t="inlineStr">
        <is>
          <t>TSSM_MEDIA_D</t>
        </is>
      </c>
      <c r="G118" t="inlineStr">
        <is>
          <t>1.184361111</t>
        </is>
      </c>
      <c r="H118" t="inlineStr">
        <is>
          <t>-77.46511111</t>
        </is>
      </c>
      <c r="I118" t="inlineStr">
        <is>
          <t>1493</t>
        </is>
      </c>
      <c r="K118" t="n">
        <v>19.53333333333333</v>
      </c>
      <c r="L118" t="n">
        <v>20.43333333333333</v>
      </c>
      <c r="M118" t="n">
        <v>19.86666666666666</v>
      </c>
      <c r="O118" t="n">
        <v>19.83333333333333</v>
      </c>
      <c r="P118" t="n">
        <v>20.2</v>
      </c>
      <c r="Q118" t="n">
        <v>19.63333333333334</v>
      </c>
      <c r="R118" t="n">
        <v>18.6</v>
      </c>
      <c r="S118" t="n">
        <v>19.56666666666667</v>
      </c>
      <c r="U118" t="n">
        <v>19.6</v>
      </c>
      <c r="V118" t="n">
        <v>19.26666666666667</v>
      </c>
      <c r="X118" t="n">
        <v>20.26666666666667</v>
      </c>
      <c r="Y118" t="n">
        <v>20.56666666666667</v>
      </c>
      <c r="Z118" t="n">
        <v>22.1</v>
      </c>
      <c r="AA118" t="n">
        <v>21.83333333333333</v>
      </c>
      <c r="AB118" t="n">
        <v>20.83333333333333</v>
      </c>
      <c r="AC118" t="n">
        <v>21.16666666666667</v>
      </c>
      <c r="AD118" t="n">
        <v>22.26666666666667</v>
      </c>
      <c r="AE118" t="n">
        <v>18.46666666666667</v>
      </c>
      <c r="AF118" t="n">
        <v>20.5</v>
      </c>
      <c r="AG118" t="n">
        <v>20.66666666666667</v>
      </c>
      <c r="AH118" t="n">
        <v>20.1</v>
      </c>
      <c r="AI118" t="n">
        <v>19.23333333333333</v>
      </c>
      <c r="AJ118" t="n">
        <v>19.06666666666667</v>
      </c>
      <c r="AK118" t="n">
        <v>20.4</v>
      </c>
      <c r="AL118" t="n">
        <v>20.03333333333333</v>
      </c>
      <c r="AM118" t="n">
        <v>19.43333333333333</v>
      </c>
      <c r="AN118" t="n">
        <v>20</v>
      </c>
      <c r="AP118" t="n">
        <v>20.12839506172839</v>
      </c>
    </row>
    <row r="119">
      <c r="A119" t="n">
        <v>44045020</v>
      </c>
      <c r="B119" t="inlineStr">
        <is>
          <t>VALPARAISO [44045020]</t>
        </is>
      </c>
      <c r="C119" t="inlineStr">
        <is>
          <t>Caqueta</t>
        </is>
      </c>
      <c r="D119" t="inlineStr">
        <is>
          <t>Valparaíso</t>
        </is>
      </c>
      <c r="E119" t="inlineStr">
        <is>
          <t>Area Operativa 04 - Huila-Caquetá</t>
        </is>
      </c>
      <c r="F119" t="inlineStr">
        <is>
          <t>TSSM_MEDIA_D</t>
        </is>
      </c>
      <c r="G119" t="inlineStr">
        <is>
          <t>1.19525</t>
        </is>
      </c>
      <c r="H119" t="inlineStr">
        <is>
          <t>-75.70447222</t>
        </is>
      </c>
      <c r="I119" t="inlineStr">
        <is>
          <t>270</t>
        </is>
      </c>
      <c r="J119" t="n">
        <v>27.4</v>
      </c>
      <c r="K119" t="n">
        <v>26.26666666666667</v>
      </c>
      <c r="L119" t="n">
        <v>28.2</v>
      </c>
      <c r="M119" t="n">
        <v>28.6</v>
      </c>
      <c r="N119" t="n">
        <v>28.33333333333333</v>
      </c>
      <c r="O119" t="n">
        <v>25.86666666666666</v>
      </c>
      <c r="P119" t="n">
        <v>27.73333333333333</v>
      </c>
      <c r="Q119" t="n">
        <v>28.73333333333333</v>
      </c>
      <c r="R119" t="n">
        <v>26.06666666666667</v>
      </c>
      <c r="S119" t="n">
        <v>27.53333333333333</v>
      </c>
      <c r="T119" t="n">
        <v>26</v>
      </c>
      <c r="U119" t="n">
        <v>26.2</v>
      </c>
      <c r="V119" t="n">
        <v>27.6</v>
      </c>
      <c r="W119" t="n">
        <v>26.4</v>
      </c>
      <c r="X119" t="n">
        <v>27.2</v>
      </c>
      <c r="Y119" t="n">
        <v>27.33333333333333</v>
      </c>
      <c r="Z119" t="n">
        <v>23.8</v>
      </c>
      <c r="AA119" t="n">
        <v>25.4</v>
      </c>
      <c r="AB119" t="n">
        <v>27.8</v>
      </c>
      <c r="AC119" t="n">
        <v>27.86666666666667</v>
      </c>
      <c r="AD119" t="n">
        <v>27.93333333333334</v>
      </c>
      <c r="AE119" t="n">
        <v>28.66666666666667</v>
      </c>
      <c r="AF119" t="n">
        <v>28.86666666666666</v>
      </c>
      <c r="AG119" t="n">
        <v>27.93333333333333</v>
      </c>
      <c r="AH119" t="n">
        <v>29.53333333333333</v>
      </c>
      <c r="AI119" t="n">
        <v>29.2</v>
      </c>
      <c r="AJ119" t="n">
        <v>27.6</v>
      </c>
      <c r="AK119" t="n">
        <v>27</v>
      </c>
      <c r="AL119" t="n">
        <v>24.13333333333334</v>
      </c>
      <c r="AM119" t="n">
        <v>25.26666666666667</v>
      </c>
      <c r="AN119" t="n">
        <v>25.8</v>
      </c>
      <c r="AP119" t="n">
        <v>27.16989247311827</v>
      </c>
    </row>
    <row r="120">
      <c r="A120" t="n">
        <v>52045010</v>
      </c>
      <c r="B120" t="inlineStr">
        <is>
          <t>OBONUCO [52045010]</t>
        </is>
      </c>
      <c r="C120" t="inlineStr">
        <is>
          <t>Nariño</t>
        </is>
      </c>
      <c r="D120" t="inlineStr">
        <is>
          <t>Pasto</t>
        </is>
      </c>
      <c r="E120" t="inlineStr">
        <is>
          <t>Area Operativa 07 - Nariño-Putumayo</t>
        </is>
      </c>
      <c r="F120" t="inlineStr">
        <is>
          <t>TSSM_MEDIA_D</t>
        </is>
      </c>
      <c r="G120" t="inlineStr">
        <is>
          <t>1.198222222</t>
        </is>
      </c>
      <c r="H120" t="inlineStr">
        <is>
          <t>-77.30308333</t>
        </is>
      </c>
      <c r="I120" t="inlineStr">
        <is>
          <t>2710</t>
        </is>
      </c>
      <c r="O120" t="n">
        <v>13.86666666666667</v>
      </c>
      <c r="P120" t="n">
        <v>13.46666666666667</v>
      </c>
      <c r="Q120" t="n">
        <v>13.06666666666667</v>
      </c>
      <c r="R120" t="n">
        <v>13.33333333333333</v>
      </c>
      <c r="S120" t="n">
        <v>13.53333333333333</v>
      </c>
      <c r="T120" t="n">
        <v>12.8</v>
      </c>
      <c r="U120" t="n">
        <v>12.4</v>
      </c>
      <c r="V120" t="n">
        <v>12.43333333333334</v>
      </c>
      <c r="W120" t="n">
        <v>12.86666666666667</v>
      </c>
      <c r="X120" t="n">
        <v>13</v>
      </c>
      <c r="Y120" t="n">
        <v>14</v>
      </c>
      <c r="Z120" t="n">
        <v>13.76666666666667</v>
      </c>
      <c r="AA120" t="n">
        <v>13.46666666666667</v>
      </c>
      <c r="AB120" t="n">
        <v>14.53333333333333</v>
      </c>
      <c r="AC120" t="n">
        <v>13.46666666666667</v>
      </c>
      <c r="AD120" t="n">
        <v>13.73333333333333</v>
      </c>
      <c r="AE120" t="n">
        <v>12.46666666666667</v>
      </c>
      <c r="AF120" t="n">
        <v>13.33333333333333</v>
      </c>
      <c r="AG120" t="n">
        <v>13.13333333333333</v>
      </c>
      <c r="AH120" t="n">
        <v>13.8</v>
      </c>
      <c r="AI120" t="n">
        <v>13.6</v>
      </c>
      <c r="AJ120" t="n">
        <v>12.73333333333333</v>
      </c>
      <c r="AK120" t="n">
        <v>13.13333333333333</v>
      </c>
      <c r="AL120" t="n">
        <v>13.06666666666667</v>
      </c>
      <c r="AM120" t="n">
        <v>13.73333333333333</v>
      </c>
      <c r="AN120" t="n">
        <v>13.8</v>
      </c>
      <c r="AP120" t="n">
        <v>13.32820512820513</v>
      </c>
    </row>
    <row r="121">
      <c r="A121" t="n">
        <v>47015040</v>
      </c>
      <c r="B121" t="inlineStr">
        <is>
          <t>MICHOACAN [47015040]</t>
        </is>
      </c>
      <c r="C121" t="inlineStr">
        <is>
          <t>Putumayo</t>
        </is>
      </c>
      <c r="D121" t="inlineStr">
        <is>
          <t>Colón</t>
        </is>
      </c>
      <c r="E121" t="inlineStr">
        <is>
          <t>Area Operativa 07 - Nariño-Putumayo</t>
        </is>
      </c>
      <c r="F121" t="inlineStr">
        <is>
          <t>TSSM_MEDIA_D</t>
        </is>
      </c>
      <c r="G121" t="inlineStr">
        <is>
          <t>1.198277778</t>
        </is>
      </c>
      <c r="H121" t="inlineStr">
        <is>
          <t>-76.96097222</t>
        </is>
      </c>
      <c r="I121" t="inlineStr">
        <is>
          <t>2100</t>
        </is>
      </c>
      <c r="K121" t="n">
        <v>16.06666666666667</v>
      </c>
      <c r="L121" t="n">
        <v>16.66666666666667</v>
      </c>
      <c r="M121" t="n">
        <v>17.46666666666667</v>
      </c>
      <c r="N121" t="n">
        <v>16.86666666666667</v>
      </c>
      <c r="Q121" t="n">
        <v>16.06666666666667</v>
      </c>
      <c r="R121" t="n">
        <v>15.2</v>
      </c>
      <c r="S121" t="n">
        <v>16.66666666666667</v>
      </c>
      <c r="T121" t="n">
        <v>15.93333333333333</v>
      </c>
      <c r="U121" t="n">
        <v>16.86666666666667</v>
      </c>
      <c r="V121" t="n">
        <v>17.26666666666667</v>
      </c>
      <c r="W121" t="n">
        <v>15.8</v>
      </c>
      <c r="X121" t="n">
        <v>15.73333333333333</v>
      </c>
      <c r="Y121" t="n">
        <v>16.46666666666667</v>
      </c>
      <c r="Z121" t="n">
        <v>15.26666666666667</v>
      </c>
      <c r="AA121" t="n">
        <v>14.06666666666667</v>
      </c>
      <c r="AB121" t="n">
        <v>17.26666666666667</v>
      </c>
      <c r="AC121" t="n">
        <v>18.13333333333334</v>
      </c>
      <c r="AD121" t="n">
        <v>17.53333333333333</v>
      </c>
      <c r="AE121" t="n">
        <v>18.26666666666667</v>
      </c>
      <c r="AF121" t="n">
        <v>16.46666666666667</v>
      </c>
      <c r="AG121" t="n">
        <v>17.6</v>
      </c>
      <c r="AH121" t="n">
        <v>17.86666666666667</v>
      </c>
      <c r="AI121" t="n">
        <v>17.6</v>
      </c>
      <c r="AJ121" t="n">
        <v>16.26666666666667</v>
      </c>
      <c r="AP121" t="n">
        <v>16.64166666666667</v>
      </c>
    </row>
    <row r="122">
      <c r="A122" t="n">
        <v>52025020</v>
      </c>
      <c r="B122" t="inlineStr">
        <is>
          <t>MILAGROS LOS [52025020]</t>
        </is>
      </c>
      <c r="C122" t="inlineStr">
        <is>
          <t>Cauca</t>
        </is>
      </c>
      <c r="D122" t="inlineStr">
        <is>
          <t>Bolívar</t>
        </is>
      </c>
      <c r="E122" t="inlineStr">
        <is>
          <t>Area Operativa 07 - Nariño-Putumayo</t>
        </is>
      </c>
      <c r="F122" t="inlineStr">
        <is>
          <t>TSSM_MEDIA_D</t>
        </is>
      </c>
      <c r="G122" t="inlineStr">
        <is>
          <t>1.753333333</t>
        </is>
      </c>
      <c r="H122" t="inlineStr">
        <is>
          <t>-76.89166667</t>
        </is>
      </c>
      <c r="I122" t="inlineStr">
        <is>
          <t>2300</t>
        </is>
      </c>
      <c r="J122" t="n">
        <v>17.45</v>
      </c>
      <c r="K122" t="n">
        <v>15.45</v>
      </c>
      <c r="L122" t="n">
        <v>16.85</v>
      </c>
      <c r="M122" t="n">
        <v>16.85</v>
      </c>
      <c r="N122" t="n">
        <v>15.4</v>
      </c>
      <c r="O122" t="n">
        <v>14.6</v>
      </c>
      <c r="P122" t="n">
        <v>15.35</v>
      </c>
      <c r="Q122" t="n">
        <v>16.1</v>
      </c>
      <c r="R122" t="n">
        <v>15.75</v>
      </c>
      <c r="S122" t="n">
        <v>16</v>
      </c>
      <c r="T122" t="n">
        <v>15.35</v>
      </c>
      <c r="U122" t="n">
        <v>14.5</v>
      </c>
      <c r="V122" t="n">
        <v>15.55</v>
      </c>
      <c r="W122" t="n">
        <v>17.45</v>
      </c>
      <c r="X122" t="n">
        <v>16.2</v>
      </c>
      <c r="Y122" t="n">
        <v>16.1</v>
      </c>
      <c r="Z122" t="n">
        <v>17.85</v>
      </c>
      <c r="AA122" t="n">
        <v>16.35</v>
      </c>
      <c r="AB122" t="n">
        <v>17.15</v>
      </c>
      <c r="AC122" t="n">
        <v>16.45</v>
      </c>
      <c r="AD122" t="n">
        <v>17.2</v>
      </c>
      <c r="AE122" t="n">
        <v>15.4</v>
      </c>
      <c r="AF122" t="n">
        <v>16</v>
      </c>
      <c r="AG122" t="n">
        <v>15.6</v>
      </c>
      <c r="AH122" t="n">
        <v>16</v>
      </c>
      <c r="AI122" t="n">
        <v>15.75</v>
      </c>
      <c r="AJ122" t="n">
        <v>15.4</v>
      </c>
      <c r="AK122" t="n">
        <v>15.35</v>
      </c>
      <c r="AL122" t="n">
        <v>15.6</v>
      </c>
      <c r="AM122" t="n">
        <v>15.95</v>
      </c>
      <c r="AN122" t="n">
        <v>15.5</v>
      </c>
      <c r="AP122" t="n">
        <v>16.01612903225806</v>
      </c>
    </row>
    <row r="123">
      <c r="A123" t="n">
        <v>42075010</v>
      </c>
      <c r="B123" t="inlineStr">
        <is>
          <t>MITU [42075010]</t>
        </is>
      </c>
      <c r="C123" t="inlineStr">
        <is>
          <t>Vaupes</t>
        </is>
      </c>
      <c r="D123" t="inlineStr">
        <is>
          <t>Mitú</t>
        </is>
      </c>
      <c r="E123" t="inlineStr">
        <is>
          <t>Area Operativa 03 - Meta-Guaviare-Guainía</t>
        </is>
      </c>
      <c r="F123" t="inlineStr">
        <is>
          <t>TSSM_MEDIA_D</t>
        </is>
      </c>
      <c r="G123" t="inlineStr">
        <is>
          <t>1.259702</t>
        </is>
      </c>
      <c r="H123" t="inlineStr">
        <is>
          <t>-70.239204</t>
        </is>
      </c>
      <c r="I123" t="inlineStr">
        <is>
          <t>168</t>
        </is>
      </c>
      <c r="K123" t="n">
        <v>25.96666666666667</v>
      </c>
      <c r="L123" t="n">
        <v>23.93333333333333</v>
      </c>
      <c r="M123" t="n">
        <v>26.83333333333333</v>
      </c>
      <c r="N123" t="n">
        <v>27.13333333333334</v>
      </c>
      <c r="O123" t="n">
        <v>25.33333333333333</v>
      </c>
      <c r="P123" t="n">
        <v>26.3</v>
      </c>
      <c r="Q123" t="n">
        <v>25.56666666666667</v>
      </c>
      <c r="R123" t="n">
        <v>25.86666666666666</v>
      </c>
      <c r="S123" t="n">
        <v>24.56666666666667</v>
      </c>
      <c r="T123" t="n">
        <v>24.96666666666667</v>
      </c>
      <c r="U123" t="n">
        <v>22.9</v>
      </c>
      <c r="V123" t="n">
        <v>24</v>
      </c>
      <c r="W123" t="n">
        <v>23.53333333333333</v>
      </c>
      <c r="X123" t="n">
        <v>23.6</v>
      </c>
      <c r="Z123" t="n">
        <v>24</v>
      </c>
      <c r="AA123" t="n">
        <v>23.56666666666666</v>
      </c>
      <c r="AB123" t="n">
        <v>24.86666666666666</v>
      </c>
      <c r="AC123" t="n">
        <v>26.4</v>
      </c>
      <c r="AD123" t="n">
        <v>27.03333333333333</v>
      </c>
      <c r="AE123" t="n">
        <v>26.5</v>
      </c>
      <c r="AF123" t="n">
        <v>26.46666666666667</v>
      </c>
      <c r="AG123" t="n">
        <v>25.93333333333333</v>
      </c>
      <c r="AH123" t="n">
        <v>26.9</v>
      </c>
      <c r="AI123" t="n">
        <v>26.6</v>
      </c>
      <c r="AJ123" t="n">
        <v>26.46666666666667</v>
      </c>
      <c r="AK123" t="n">
        <v>24.6</v>
      </c>
      <c r="AL123" t="n">
        <v>24.66666666666667</v>
      </c>
      <c r="AM123" t="n">
        <v>25.66666666666667</v>
      </c>
      <c r="AN123" t="n">
        <v>26.13333333333334</v>
      </c>
      <c r="AP123" t="n">
        <v>25.38965517241379</v>
      </c>
    </row>
    <row r="124">
      <c r="A124" t="n">
        <v>44015030</v>
      </c>
      <c r="B124" t="inlineStr">
        <is>
          <t>VALENCIA [44015030]</t>
        </is>
      </c>
      <c r="C124" t="inlineStr">
        <is>
          <t>Cauca</t>
        </is>
      </c>
      <c r="D124" t="inlineStr">
        <is>
          <t>San Sebastián</t>
        </is>
      </c>
      <c r="E124" t="inlineStr">
        <is>
          <t>Area Operativa 07 - Nariño-Putumayo</t>
        </is>
      </c>
      <c r="F124" t="inlineStr">
        <is>
          <t>TSSM_MEDIA_D</t>
        </is>
      </c>
      <c r="G124" t="inlineStr">
        <is>
          <t>1.900416667</t>
        </is>
      </c>
      <c r="H124" t="inlineStr">
        <is>
          <t>-76.66875</t>
        </is>
      </c>
      <c r="I124" t="inlineStr">
        <is>
          <t>2900</t>
        </is>
      </c>
      <c r="J124" t="n">
        <v>11.66666666666667</v>
      </c>
      <c r="K124" t="n">
        <v>11.26666666666667</v>
      </c>
      <c r="L124" t="n">
        <v>11.6</v>
      </c>
      <c r="M124" t="n">
        <v>10.73333333333333</v>
      </c>
      <c r="N124" t="n">
        <v>12.13333333333333</v>
      </c>
      <c r="O124" t="n">
        <v>12.2</v>
      </c>
      <c r="P124" t="n">
        <v>11.6</v>
      </c>
      <c r="Q124" t="n">
        <v>10.26666666666667</v>
      </c>
      <c r="R124" t="n">
        <v>11.06666666666667</v>
      </c>
      <c r="S124" t="n">
        <v>12.13333333333333</v>
      </c>
      <c r="T124" t="n">
        <v>11.26666666666667</v>
      </c>
      <c r="U124" t="n">
        <v>11.13333333333333</v>
      </c>
      <c r="V124" t="n">
        <v>12.2</v>
      </c>
      <c r="W124" t="n">
        <v>11.6</v>
      </c>
      <c r="X124" t="n">
        <v>11.93333333333334</v>
      </c>
      <c r="Y124" t="n">
        <v>12.86666666666667</v>
      </c>
      <c r="Z124" t="n">
        <v>11.46666666666667</v>
      </c>
      <c r="AA124" t="n">
        <v>11.93333333333333</v>
      </c>
      <c r="AB124" t="n">
        <v>11.46666666666667</v>
      </c>
      <c r="AC124" t="n">
        <v>12.73333333333333</v>
      </c>
      <c r="AD124" t="n">
        <v>12.53333333333333</v>
      </c>
      <c r="AE124" t="n">
        <v>11.86666666666667</v>
      </c>
      <c r="AF124" t="n">
        <v>11.26666666666667</v>
      </c>
      <c r="AG124" t="n">
        <v>12.86666666666667</v>
      </c>
      <c r="AH124" t="n">
        <v>12.66666666666667</v>
      </c>
      <c r="AI124" t="n">
        <v>11.93333333333333</v>
      </c>
      <c r="AJ124" t="n">
        <v>10.86666666666667</v>
      </c>
      <c r="AK124" t="n">
        <v>10.6</v>
      </c>
      <c r="AL124" t="n">
        <v>10.93333333333333</v>
      </c>
      <c r="AM124" t="n">
        <v>12</v>
      </c>
      <c r="AN124" t="n">
        <v>11.73333333333333</v>
      </c>
      <c r="AP124" t="n">
        <v>11.69462365591398</v>
      </c>
    </row>
    <row r="125">
      <c r="A125" t="n">
        <v>44045010</v>
      </c>
      <c r="B125" t="inlineStr">
        <is>
          <t>SAN JOSE DE FRAGUA [44045010]</t>
        </is>
      </c>
      <c r="C125" t="inlineStr">
        <is>
          <t>Caqueta</t>
        </is>
      </c>
      <c r="D125" t="inlineStr">
        <is>
          <t>San José Del Fragua</t>
        </is>
      </c>
      <c r="E125" t="inlineStr">
        <is>
          <t>Area Operativa 04 - Huila-Caquetá</t>
        </is>
      </c>
      <c r="F125" t="inlineStr">
        <is>
          <t>TSSM_MEDIA_D</t>
        </is>
      </c>
      <c r="G125" t="inlineStr">
        <is>
          <t>1.325138889</t>
        </is>
      </c>
      <c r="H125" t="inlineStr">
        <is>
          <t>-75.9615</t>
        </is>
      </c>
      <c r="I125" t="inlineStr">
        <is>
          <t>320</t>
        </is>
      </c>
      <c r="J125" t="n">
        <v>25.05</v>
      </c>
      <c r="L125" t="n">
        <v>26.45</v>
      </c>
      <c r="M125" t="n">
        <v>27.05</v>
      </c>
      <c r="N125" t="n">
        <v>26.85</v>
      </c>
      <c r="O125" t="n">
        <v>24.25</v>
      </c>
      <c r="Q125" t="n">
        <v>26.55</v>
      </c>
      <c r="R125" t="n">
        <v>25.15</v>
      </c>
      <c r="T125" t="n">
        <v>24.45</v>
      </c>
      <c r="U125" t="n">
        <v>24.4</v>
      </c>
      <c r="V125" t="n">
        <v>24.2</v>
      </c>
      <c r="W125" t="n">
        <v>23.7</v>
      </c>
      <c r="X125" t="n">
        <v>24.85</v>
      </c>
      <c r="Y125" t="n">
        <v>25.3</v>
      </c>
      <c r="AA125" t="n">
        <v>24.2</v>
      </c>
      <c r="AB125" t="n">
        <v>26.3</v>
      </c>
      <c r="AC125" t="n">
        <v>26.2</v>
      </c>
      <c r="AD125" t="n">
        <v>27.1</v>
      </c>
      <c r="AE125" t="n">
        <v>26</v>
      </c>
      <c r="AF125" t="n">
        <v>26.4</v>
      </c>
      <c r="AG125" t="n">
        <v>24.75</v>
      </c>
      <c r="AH125" t="n">
        <v>26.5</v>
      </c>
      <c r="AI125" t="n">
        <v>26.25</v>
      </c>
      <c r="AJ125" t="n">
        <v>24.6</v>
      </c>
      <c r="AK125" t="n">
        <v>25</v>
      </c>
      <c r="AL125" t="n">
        <v>23.25</v>
      </c>
      <c r="AN125" t="n">
        <v>23.95</v>
      </c>
      <c r="AP125" t="n">
        <v>25.33653846153847</v>
      </c>
    </row>
    <row r="126">
      <c r="A126" t="n">
        <v>52055060</v>
      </c>
      <c r="B126" t="inlineStr">
        <is>
          <t>TANAMA [52055060]</t>
        </is>
      </c>
      <c r="C126" t="inlineStr">
        <is>
          <t>Nariño</t>
        </is>
      </c>
      <c r="D126" t="inlineStr">
        <is>
          <t>Samaniego</t>
        </is>
      </c>
      <c r="E126" t="inlineStr">
        <is>
          <t>Area Operativa 07 - Nariño-Putumayo</t>
        </is>
      </c>
      <c r="F126" t="inlineStr">
        <is>
          <t>TSSM_MEDIA_D</t>
        </is>
      </c>
      <c r="G126" t="inlineStr">
        <is>
          <t>1.373555556</t>
        </is>
      </c>
      <c r="H126" t="inlineStr">
        <is>
          <t>-77.58305556</t>
        </is>
      </c>
      <c r="I126" t="inlineStr">
        <is>
          <t>1500</t>
        </is>
      </c>
      <c r="J126" t="n">
        <v>20.33333333333333</v>
      </c>
      <c r="K126" t="n">
        <v>19.8</v>
      </c>
      <c r="L126" t="n">
        <v>21</v>
      </c>
      <c r="M126" t="n">
        <v>20.2</v>
      </c>
      <c r="N126" t="n">
        <v>19.6</v>
      </c>
      <c r="O126" t="n">
        <v>19.8</v>
      </c>
      <c r="P126" t="n">
        <v>20.53333333333333</v>
      </c>
      <c r="Q126" t="n">
        <v>19.86666666666667</v>
      </c>
      <c r="R126" t="n">
        <v>19.73333333333333</v>
      </c>
      <c r="S126" t="n">
        <v>19.66666666666667</v>
      </c>
      <c r="T126" t="n">
        <v>19.8</v>
      </c>
      <c r="U126" t="n">
        <v>19.26666666666667</v>
      </c>
      <c r="V126" t="n">
        <v>18.93333333333333</v>
      </c>
      <c r="W126" t="n">
        <v>20.06666666666667</v>
      </c>
      <c r="X126" t="n">
        <v>18.93333333333333</v>
      </c>
      <c r="Y126" t="n">
        <v>20</v>
      </c>
      <c r="Z126" t="n">
        <v>21.73333333333333</v>
      </c>
      <c r="AA126" t="n">
        <v>19.93333333333333</v>
      </c>
      <c r="AB126" t="n">
        <v>20.4</v>
      </c>
      <c r="AC126" t="n">
        <v>20.53333333333333</v>
      </c>
      <c r="AD126" t="n">
        <v>21</v>
      </c>
      <c r="AE126" t="n">
        <v>18.4</v>
      </c>
      <c r="AF126" t="n">
        <v>20.66666666666667</v>
      </c>
      <c r="AG126" t="n">
        <v>19.86666666666666</v>
      </c>
      <c r="AH126" t="n">
        <v>19.8</v>
      </c>
      <c r="AI126" t="n">
        <v>19.73333333333333</v>
      </c>
      <c r="AJ126" t="n">
        <v>19.4</v>
      </c>
      <c r="AK126" t="n">
        <v>19.66666666666667</v>
      </c>
      <c r="AL126" t="n">
        <v>20.26666666666667</v>
      </c>
      <c r="AM126" t="n">
        <v>19.33333333333333</v>
      </c>
      <c r="AN126" t="n">
        <v>19.13333333333334</v>
      </c>
      <c r="AP126" t="n">
        <v>19.91612903225806</v>
      </c>
    </row>
    <row r="127">
      <c r="A127" t="n">
        <v>52055200</v>
      </c>
      <c r="B127" t="inlineStr">
        <is>
          <t>FUNES [52055200]</t>
        </is>
      </c>
      <c r="C127" t="inlineStr">
        <is>
          <t>Nariño</t>
        </is>
      </c>
      <c r="D127" t="inlineStr">
        <is>
          <t>Funes</t>
        </is>
      </c>
      <c r="E127" t="inlineStr">
        <is>
          <t>Area Operativa 07 - Nariño-Putumayo</t>
        </is>
      </c>
      <c r="F127" t="inlineStr">
        <is>
          <t>TSSM_MEDIA_D</t>
        </is>
      </c>
      <c r="G127" t="inlineStr">
        <is>
          <t>1.004222222</t>
        </is>
      </c>
      <c r="H127" t="inlineStr">
        <is>
          <t>-77.44580556</t>
        </is>
      </c>
      <c r="I127" t="inlineStr">
        <is>
          <t>2181</t>
        </is>
      </c>
      <c r="J127" t="n">
        <v>14.8</v>
      </c>
      <c r="K127" t="n">
        <v>14.65</v>
      </c>
      <c r="L127" t="n">
        <v>15.45</v>
      </c>
      <c r="M127" t="n">
        <v>14.7</v>
      </c>
      <c r="N127" t="n">
        <v>15.5</v>
      </c>
      <c r="O127" t="n">
        <v>15.3</v>
      </c>
      <c r="P127" t="n">
        <v>14.3</v>
      </c>
      <c r="Q127" t="n">
        <v>14.7</v>
      </c>
      <c r="R127" t="n">
        <v>14.9</v>
      </c>
      <c r="S127" t="n">
        <v>14.2</v>
      </c>
      <c r="T127" t="n">
        <v>13.95</v>
      </c>
      <c r="V127" t="n">
        <v>15.15</v>
      </c>
      <c r="W127" t="n">
        <v>14.9</v>
      </c>
      <c r="X127" t="n">
        <v>15.7</v>
      </c>
      <c r="Y127" t="n">
        <v>15.9</v>
      </c>
      <c r="Z127" t="n">
        <v>15.25</v>
      </c>
      <c r="AA127" t="n">
        <v>15.05</v>
      </c>
      <c r="AB127" t="n">
        <v>15.7</v>
      </c>
      <c r="AC127" t="n">
        <v>14.65</v>
      </c>
      <c r="AF127" t="n">
        <v>15.55</v>
      </c>
      <c r="AG127" t="n">
        <v>15.3</v>
      </c>
      <c r="AH127" t="n">
        <v>15.65</v>
      </c>
      <c r="AI127" t="n">
        <v>15.95</v>
      </c>
      <c r="AJ127" t="n">
        <v>14.9</v>
      </c>
      <c r="AK127" t="n">
        <v>15.95</v>
      </c>
      <c r="AL127" t="n">
        <v>15.35</v>
      </c>
      <c r="AM127" t="n">
        <v>15.2</v>
      </c>
      <c r="AN127" t="n">
        <v>15.75</v>
      </c>
      <c r="AP127" t="n">
        <v>15.15535714285714</v>
      </c>
    </row>
    <row r="128">
      <c r="A128" t="n">
        <v>52055090</v>
      </c>
      <c r="B128" t="inlineStr">
        <is>
          <t>SINDAGUA [52055090]</t>
        </is>
      </c>
      <c r="C128" t="inlineStr">
        <is>
          <t>Nariño</t>
        </is>
      </c>
      <c r="D128" t="inlineStr">
        <is>
          <t>Tangua</t>
        </is>
      </c>
      <c r="E128" t="inlineStr">
        <is>
          <t>Area Operativa 07 - Nariño-Putumayo</t>
        </is>
      </c>
      <c r="F128" t="inlineStr">
        <is>
          <t>TSSM_MEDIA_D</t>
        </is>
      </c>
      <c r="G128" t="inlineStr">
        <is>
          <t>1.107583333</t>
        </is>
      </c>
      <c r="H128" t="inlineStr">
        <is>
          <t>-77.38936111</t>
        </is>
      </c>
      <c r="I128" t="inlineStr">
        <is>
          <t>2800</t>
        </is>
      </c>
      <c r="J128" t="n">
        <v>14.575</v>
      </c>
      <c r="K128" t="n">
        <v>14.35</v>
      </c>
      <c r="L128" t="n">
        <v>14.225</v>
      </c>
      <c r="M128" t="n">
        <v>14.025</v>
      </c>
      <c r="N128" t="n">
        <v>13.95</v>
      </c>
      <c r="O128" t="n">
        <v>13.45</v>
      </c>
      <c r="P128" t="n">
        <v>13.675</v>
      </c>
      <c r="Q128" t="n">
        <v>12.95</v>
      </c>
      <c r="R128" t="n">
        <v>13.025</v>
      </c>
      <c r="U128" t="n">
        <v>12.225</v>
      </c>
      <c r="V128" t="n">
        <v>12.725</v>
      </c>
      <c r="W128" t="n">
        <v>12.475</v>
      </c>
      <c r="X128" t="n">
        <v>12.725</v>
      </c>
      <c r="Y128" t="n">
        <v>13.05</v>
      </c>
      <c r="Z128" t="n">
        <v>13.25</v>
      </c>
      <c r="AA128" t="n">
        <v>13.725</v>
      </c>
      <c r="AB128" t="n">
        <v>14.1</v>
      </c>
      <c r="AC128" t="n">
        <v>13.1</v>
      </c>
      <c r="AD128" t="n">
        <v>12.875</v>
      </c>
      <c r="AE128" t="n">
        <v>11.75</v>
      </c>
      <c r="AF128" t="n">
        <v>12.575</v>
      </c>
      <c r="AG128" t="n">
        <v>12.25</v>
      </c>
      <c r="AH128" t="n">
        <v>12.725</v>
      </c>
      <c r="AI128" t="n">
        <v>12.775</v>
      </c>
      <c r="AJ128" t="n">
        <v>12.5</v>
      </c>
      <c r="AK128" t="n">
        <v>12.95</v>
      </c>
      <c r="AL128" t="n">
        <v>12.6</v>
      </c>
      <c r="AM128" t="n">
        <v>12.925</v>
      </c>
      <c r="AN128" t="n">
        <v>13.85</v>
      </c>
      <c r="AP128" t="n">
        <v>13.15086206896552</v>
      </c>
    </row>
    <row r="129">
      <c r="A129" t="n">
        <v>52045030</v>
      </c>
      <c r="B129" t="inlineStr">
        <is>
          <t>SAN BERNARDO [52045030]</t>
        </is>
      </c>
      <c r="C129" t="inlineStr">
        <is>
          <t>Nariño</t>
        </is>
      </c>
      <c r="D129" t="inlineStr">
        <is>
          <t>San Bernardo</t>
        </is>
      </c>
      <c r="E129" t="inlineStr">
        <is>
          <t>Area Operativa 07 - Nariño-Putumayo</t>
        </is>
      </c>
      <c r="F129" t="inlineStr">
        <is>
          <t>TSSM_MEDIA_D</t>
        </is>
      </c>
      <c r="G129" t="inlineStr">
        <is>
          <t>1.538722222</t>
        </is>
      </c>
      <c r="H129" t="inlineStr">
        <is>
          <t>-77.03261111</t>
        </is>
      </c>
      <c r="I129" t="inlineStr">
        <is>
          <t>2190</t>
        </is>
      </c>
      <c r="J129" t="n">
        <v>17.53333333333333</v>
      </c>
      <c r="K129" t="n">
        <v>15.93333333333333</v>
      </c>
      <c r="L129" t="n">
        <v>17.8</v>
      </c>
      <c r="M129" t="n">
        <v>17.13333333333333</v>
      </c>
      <c r="N129" t="n">
        <v>17.33333333333333</v>
      </c>
      <c r="O129" t="n">
        <v>16.13333333333333</v>
      </c>
      <c r="P129" t="n">
        <v>18.26666666666667</v>
      </c>
      <c r="Q129" t="n">
        <v>16.93333333333333</v>
      </c>
      <c r="R129" t="n">
        <v>17.33333333333333</v>
      </c>
      <c r="S129" t="n">
        <v>16.66666666666667</v>
      </c>
      <c r="T129" t="n">
        <v>16.13333333333333</v>
      </c>
      <c r="U129" t="n">
        <v>16</v>
      </c>
      <c r="V129" t="n">
        <v>16.33333333333333</v>
      </c>
      <c r="W129" t="n">
        <v>17.6</v>
      </c>
      <c r="X129" t="n">
        <v>17.26666666666667</v>
      </c>
      <c r="Y129" t="n">
        <v>17.4</v>
      </c>
      <c r="Z129" t="n">
        <v>17.4</v>
      </c>
      <c r="AA129" t="n">
        <v>17.33333333333333</v>
      </c>
      <c r="AB129" t="n">
        <v>18.53333333333333</v>
      </c>
      <c r="AC129" t="n">
        <v>17.6</v>
      </c>
      <c r="AD129" t="n">
        <v>17.06666666666667</v>
      </c>
      <c r="AE129" t="n">
        <v>16.86666666666666</v>
      </c>
      <c r="AF129" t="n">
        <v>17</v>
      </c>
      <c r="AG129" t="n">
        <v>16.26666666666667</v>
      </c>
      <c r="AH129" t="n">
        <v>16.86666666666667</v>
      </c>
      <c r="AI129" t="n">
        <v>16.26666666666667</v>
      </c>
      <c r="AJ129" t="n">
        <v>16.4</v>
      </c>
      <c r="AK129" t="n">
        <v>17.46666666666667</v>
      </c>
      <c r="AL129" t="n">
        <v>16.93333333333333</v>
      </c>
      <c r="AM129" t="n">
        <v>16.66666666666667</v>
      </c>
      <c r="AN129" t="n">
        <v>16.66666666666667</v>
      </c>
      <c r="AP129" t="n">
        <v>17.00430107526881</v>
      </c>
    </row>
    <row r="130">
      <c r="A130" t="n">
        <v>52045040</v>
      </c>
      <c r="B130" t="inlineStr">
        <is>
          <t>TAMINANGO [52045040]</t>
        </is>
      </c>
      <c r="C130" t="inlineStr">
        <is>
          <t>Nariño</t>
        </is>
      </c>
      <c r="D130" t="inlineStr">
        <is>
          <t>Taminango</t>
        </is>
      </c>
      <c r="E130" t="inlineStr">
        <is>
          <t>Area Operativa 07 - Nariño-Putumayo</t>
        </is>
      </c>
      <c r="F130" t="inlineStr">
        <is>
          <t>TSSM_MEDIA_D</t>
        </is>
      </c>
      <c r="G130" t="inlineStr">
        <is>
          <t>1.549166667</t>
        </is>
      </c>
      <c r="H130" t="inlineStr">
        <is>
          <t>-77.2675</t>
        </is>
      </c>
      <c r="I130" t="inlineStr">
        <is>
          <t>1875</t>
        </is>
      </c>
      <c r="J130" t="n">
        <v>18.35</v>
      </c>
      <c r="K130" t="n">
        <v>16.25</v>
      </c>
      <c r="L130" t="n">
        <v>17.4</v>
      </c>
      <c r="M130" t="n">
        <v>17.95</v>
      </c>
      <c r="N130" t="n">
        <v>17.15</v>
      </c>
      <c r="O130" t="n">
        <v>16.95</v>
      </c>
      <c r="P130" t="n">
        <v>17.15</v>
      </c>
      <c r="Q130" t="n">
        <v>17.6</v>
      </c>
      <c r="R130" t="n">
        <v>16.925</v>
      </c>
      <c r="S130" t="n">
        <v>16.75</v>
      </c>
      <c r="T130" t="n">
        <v>16.35</v>
      </c>
      <c r="U130" t="n">
        <v>16.425</v>
      </c>
      <c r="V130" t="n">
        <v>16.8</v>
      </c>
      <c r="W130" t="n">
        <v>17.15</v>
      </c>
      <c r="X130" t="n">
        <v>17.2</v>
      </c>
      <c r="Y130" t="n">
        <v>17.6</v>
      </c>
      <c r="Z130" t="n">
        <v>18.9</v>
      </c>
      <c r="AA130" t="n">
        <v>18.3</v>
      </c>
      <c r="AB130" t="n">
        <v>18.85</v>
      </c>
      <c r="AC130" t="n">
        <v>18.15</v>
      </c>
      <c r="AD130" t="n">
        <v>18.4</v>
      </c>
      <c r="AE130" t="n">
        <v>16.25</v>
      </c>
      <c r="AF130" t="n">
        <v>17.6</v>
      </c>
      <c r="AG130" t="n">
        <v>17.85</v>
      </c>
      <c r="AH130" t="n">
        <v>17.35</v>
      </c>
      <c r="AI130" t="n">
        <v>17.15</v>
      </c>
      <c r="AJ130" t="n">
        <v>16.45</v>
      </c>
      <c r="AK130" t="n">
        <v>17.65</v>
      </c>
      <c r="AL130" t="n">
        <v>16.45</v>
      </c>
      <c r="AM130" t="n">
        <v>17.15</v>
      </c>
      <c r="AN130" t="n">
        <v>17.3</v>
      </c>
      <c r="AP130" t="n">
        <v>17.34838709677419</v>
      </c>
    </row>
    <row r="131">
      <c r="A131" t="n">
        <v>21206600</v>
      </c>
      <c r="B131" t="inlineStr">
        <is>
          <t>NUEVA GENERACION [21206600]</t>
        </is>
      </c>
      <c r="C131" t="inlineStr">
        <is>
          <t>Bogotá</t>
        </is>
      </c>
      <c r="D131" t="inlineStr">
        <is>
          <t>Bogotá, D.C</t>
        </is>
      </c>
      <c r="E131" t="inlineStr">
        <is>
          <t>Area Operativa 11 - Cundinamarca-Amazonas</t>
        </is>
      </c>
      <c r="F131" t="inlineStr">
        <is>
          <t>TSSM_MEDIA_D</t>
        </is>
      </c>
      <c r="G131" t="inlineStr">
        <is>
          <t>4.786594</t>
        </is>
      </c>
      <c r="H131" t="inlineStr">
        <is>
          <t>-74.102247</t>
        </is>
      </c>
      <c r="I131" t="inlineStr">
        <is>
          <t>2590</t>
        </is>
      </c>
      <c r="J131" t="n">
        <v>13.55</v>
      </c>
      <c r="K131" t="n">
        <v>13.85</v>
      </c>
      <c r="L131" t="n">
        <v>12.95</v>
      </c>
      <c r="M131" t="n">
        <v>15.45</v>
      </c>
      <c r="N131" t="n">
        <v>12.8</v>
      </c>
      <c r="O131" t="n">
        <v>11.85</v>
      </c>
      <c r="P131" t="n">
        <v>13.55</v>
      </c>
      <c r="Q131" t="n">
        <v>16.3</v>
      </c>
      <c r="R131" t="n">
        <v>13.05</v>
      </c>
      <c r="S131" t="n">
        <v>15.1</v>
      </c>
      <c r="T131" t="n">
        <v>13.9</v>
      </c>
      <c r="U131" t="n">
        <v>14.8</v>
      </c>
      <c r="V131" t="n">
        <v>14</v>
      </c>
      <c r="W131" t="n">
        <v>14.9</v>
      </c>
      <c r="X131" t="n">
        <v>15.5</v>
      </c>
      <c r="Y131" t="n">
        <v>15.4</v>
      </c>
      <c r="Z131" t="n">
        <v>14.4</v>
      </c>
      <c r="AA131" t="n">
        <v>12.8</v>
      </c>
      <c r="AB131" t="n">
        <v>14.55</v>
      </c>
      <c r="AC131" t="n">
        <v>14.3</v>
      </c>
      <c r="AE131" t="n">
        <v>13.35</v>
      </c>
      <c r="AF131" t="n">
        <v>14.4</v>
      </c>
      <c r="AG131" t="n">
        <v>14.85</v>
      </c>
      <c r="AP131" t="n">
        <v>14.15652173913044</v>
      </c>
    </row>
    <row r="132">
      <c r="A132" t="n">
        <v>21195190</v>
      </c>
      <c r="B132" t="inlineStr">
        <is>
          <t>PASCA [21195190]</t>
        </is>
      </c>
      <c r="C132" t="inlineStr">
        <is>
          <t>Cundinamarca</t>
        </is>
      </c>
      <c r="D132" t="inlineStr">
        <is>
          <t>Pasca</t>
        </is>
      </c>
      <c r="E132" t="inlineStr">
        <is>
          <t>Area Operativa 11 - Cundinamarca-Amazonas</t>
        </is>
      </c>
      <c r="F132" t="inlineStr">
        <is>
          <t>TSSM_MEDIA_D</t>
        </is>
      </c>
      <c r="G132" t="inlineStr">
        <is>
          <t>4.307189</t>
        </is>
      </c>
      <c r="H132" t="inlineStr">
        <is>
          <t>-74.308399</t>
        </is>
      </c>
      <c r="I132" t="inlineStr">
        <is>
          <t>2187</t>
        </is>
      </c>
      <c r="J132" t="n">
        <v>16.73333333333333</v>
      </c>
      <c r="K132" t="n">
        <v>16.26666666666667</v>
      </c>
      <c r="L132" t="n">
        <v>15.93333333333333</v>
      </c>
      <c r="M132" t="n">
        <v>15.53333333333333</v>
      </c>
      <c r="N132" t="n">
        <v>16</v>
      </c>
      <c r="O132" t="n">
        <v>15</v>
      </c>
      <c r="P132" t="n">
        <v>15.06666666666667</v>
      </c>
      <c r="Q132" t="n">
        <v>16.6</v>
      </c>
      <c r="R132" t="n">
        <v>16.33333333333333</v>
      </c>
      <c r="S132" t="n">
        <v>15.6</v>
      </c>
      <c r="T132" t="n">
        <v>16.4</v>
      </c>
      <c r="U132" t="n">
        <v>15.53333333333333</v>
      </c>
      <c r="V132" t="n">
        <v>15.46666666666667</v>
      </c>
      <c r="W132" t="n">
        <v>16.4</v>
      </c>
      <c r="X132" t="n">
        <v>15.73333333333333</v>
      </c>
      <c r="Y132" t="n">
        <v>15.26666666666667</v>
      </c>
      <c r="Z132" t="n">
        <v>16.8</v>
      </c>
      <c r="AA132" t="n">
        <v>16.8</v>
      </c>
      <c r="AB132" t="n">
        <v>16.06666666666667</v>
      </c>
      <c r="AC132" t="n">
        <v>16.4</v>
      </c>
      <c r="AD132" t="n">
        <v>16.6</v>
      </c>
      <c r="AE132" t="n">
        <v>16.06666666666667</v>
      </c>
      <c r="AF132" t="n">
        <v>15.66666666666667</v>
      </c>
      <c r="AG132" t="n">
        <v>15.73333333333333</v>
      </c>
      <c r="AH132" t="n">
        <v>16.4</v>
      </c>
      <c r="AI132" t="n">
        <v>16.13333333333333</v>
      </c>
      <c r="AJ132" t="n">
        <v>16.26666666666667</v>
      </c>
      <c r="AM132" t="n">
        <v>16.26666666666667</v>
      </c>
      <c r="AN132" t="n">
        <v>16.26666666666667</v>
      </c>
      <c r="AP132" t="n">
        <v>16.04597701149425</v>
      </c>
    </row>
    <row r="133">
      <c r="A133" t="n">
        <v>29035000</v>
      </c>
      <c r="B133" t="inlineStr">
        <is>
          <t>SINCERIN  - AUT [29035000]</t>
        </is>
      </c>
      <c r="C133" t="inlineStr">
        <is>
          <t>Bolivar</t>
        </is>
      </c>
      <c r="D133" t="inlineStr">
        <is>
          <t>Arjona</t>
        </is>
      </c>
      <c r="E133" t="inlineStr">
        <is>
          <t>Area Operativa 02 - Atlántico-Bolivar-Sucre</t>
        </is>
      </c>
      <c r="F133" t="inlineStr">
        <is>
          <t>TSSM_MEDIA_D</t>
        </is>
      </c>
      <c r="G133" t="inlineStr">
        <is>
          <t>10.14258333</t>
        </is>
      </c>
      <c r="H133" t="inlineStr">
        <is>
          <t>-75.27827778</t>
        </is>
      </c>
      <c r="I133" t="inlineStr">
        <is>
          <t>10</t>
        </is>
      </c>
      <c r="J133" t="n">
        <v>30.5</v>
      </c>
      <c r="K133" t="n">
        <v>30.5</v>
      </c>
      <c r="L133" t="n">
        <v>29.25</v>
      </c>
      <c r="M133" t="n">
        <v>29.15</v>
      </c>
      <c r="N133" t="n">
        <v>30</v>
      </c>
      <c r="O133" t="n">
        <v>30.3</v>
      </c>
      <c r="P133" t="n">
        <v>30.7</v>
      </c>
      <c r="Q133" t="n">
        <v>30.95</v>
      </c>
      <c r="R133" t="n">
        <v>30.55</v>
      </c>
      <c r="S133" t="n">
        <v>30.7</v>
      </c>
      <c r="T133" t="n">
        <v>30.3</v>
      </c>
      <c r="U133" t="n">
        <v>29.1</v>
      </c>
      <c r="V133" t="n">
        <v>28.4</v>
      </c>
      <c r="W133" t="n">
        <v>29.15</v>
      </c>
      <c r="X133" t="n">
        <v>28.35</v>
      </c>
      <c r="Y133" t="n">
        <v>28.6</v>
      </c>
      <c r="Z133" t="n">
        <v>29.25</v>
      </c>
      <c r="AA133" t="n">
        <v>29.15</v>
      </c>
      <c r="AB133" t="n">
        <v>29.35</v>
      </c>
      <c r="AC133" t="n">
        <v>30.2</v>
      </c>
      <c r="AD133" t="n">
        <v>29.1</v>
      </c>
      <c r="AE133" t="n">
        <v>28.9</v>
      </c>
      <c r="AF133" t="n">
        <v>29.5</v>
      </c>
      <c r="AG133" t="n">
        <v>28.85</v>
      </c>
      <c r="AH133" t="n">
        <v>29.2</v>
      </c>
      <c r="AI133" t="n">
        <v>29.85</v>
      </c>
      <c r="AJ133" t="n">
        <v>28.55</v>
      </c>
      <c r="AK133" t="n">
        <v>28.25</v>
      </c>
      <c r="AL133" t="n">
        <v>28.4</v>
      </c>
      <c r="AM133" t="n">
        <v>28.55</v>
      </c>
      <c r="AN133" t="n">
        <v>28.2</v>
      </c>
      <c r="AP133" t="n">
        <v>29.41290322580645</v>
      </c>
    </row>
    <row r="134">
      <c r="A134" t="n">
        <v>21195120</v>
      </c>
      <c r="B134" t="inlineStr">
        <is>
          <t>ITA VALSALICE [21195120]</t>
        </is>
      </c>
      <c r="C134" t="inlineStr">
        <is>
          <t>Cundinamarca</t>
        </is>
      </c>
      <c r="D134" t="inlineStr">
        <is>
          <t>Silvania</t>
        </is>
      </c>
      <c r="E134" t="inlineStr">
        <is>
          <t>Area Operativa 11 - Cundinamarca-Amazonas</t>
        </is>
      </c>
      <c r="F134" t="inlineStr">
        <is>
          <t>TSSM_MEDIA_D</t>
        </is>
      </c>
      <c r="G134" t="inlineStr">
        <is>
          <t>4.39292</t>
        </is>
      </c>
      <c r="H134" t="inlineStr">
        <is>
          <t>-74.39272</t>
        </is>
      </c>
      <c r="I134" t="inlineStr">
        <is>
          <t>1421</t>
        </is>
      </c>
      <c r="J134" t="n">
        <v>20.85</v>
      </c>
      <c r="K134" t="n">
        <v>21</v>
      </c>
      <c r="L134" t="n">
        <v>19.8</v>
      </c>
      <c r="M134" t="n">
        <v>19.6</v>
      </c>
      <c r="N134" t="n">
        <v>20.05</v>
      </c>
      <c r="O134" t="n">
        <v>18.85</v>
      </c>
      <c r="P134" t="n">
        <v>20.35</v>
      </c>
      <c r="Q134" t="n">
        <v>20.65</v>
      </c>
      <c r="R134" t="n">
        <v>20.45</v>
      </c>
      <c r="S134" t="n">
        <v>19.95</v>
      </c>
      <c r="T134" t="n">
        <v>20.15</v>
      </c>
      <c r="U134" t="n">
        <v>18.45</v>
      </c>
      <c r="V134" t="n">
        <v>19.85</v>
      </c>
      <c r="W134" t="n">
        <v>19.95</v>
      </c>
      <c r="X134" t="n">
        <v>19.55</v>
      </c>
      <c r="Y134" t="n">
        <v>19.5</v>
      </c>
      <c r="Z134" t="n">
        <v>21.05</v>
      </c>
      <c r="AA134" t="n">
        <v>21.3</v>
      </c>
      <c r="AB134" t="n">
        <v>21.3</v>
      </c>
      <c r="AC134" t="n">
        <v>21.55</v>
      </c>
      <c r="AD134" t="n">
        <v>21.35</v>
      </c>
      <c r="AE134" t="n">
        <v>20.3</v>
      </c>
      <c r="AF134" t="n">
        <v>21.15</v>
      </c>
      <c r="AG134" t="n">
        <v>19.55</v>
      </c>
      <c r="AH134" t="n">
        <v>20.95</v>
      </c>
      <c r="AI134" t="n">
        <v>20.15</v>
      </c>
      <c r="AJ134" t="n">
        <v>20.1</v>
      </c>
      <c r="AK134" t="n">
        <v>20.25</v>
      </c>
      <c r="AL134" t="n">
        <v>20.7</v>
      </c>
      <c r="AM134" t="n">
        <v>20.35</v>
      </c>
      <c r="AN134" t="n">
        <v>19.25</v>
      </c>
      <c r="AP134" t="n">
        <v>20.26774193548388</v>
      </c>
    </row>
    <row r="135">
      <c r="A135" t="n">
        <v>12045010</v>
      </c>
      <c r="B135" t="inlineStr">
        <is>
          <t>ARBOLETES [12045010]</t>
        </is>
      </c>
      <c r="C135" t="inlineStr">
        <is>
          <t>Antioquia</t>
        </is>
      </c>
      <c r="D135" t="inlineStr">
        <is>
          <t>Arboletes</t>
        </is>
      </c>
      <c r="E135" t="inlineStr">
        <is>
          <t>Area Operativa 02 - Atlántico-Bolivar-Sucre</t>
        </is>
      </c>
      <c r="F135" t="inlineStr">
        <is>
          <t>TSSM_MEDIA_D</t>
        </is>
      </c>
      <c r="G135" t="inlineStr">
        <is>
          <t>8.846944444</t>
        </is>
      </c>
      <c r="H135" t="inlineStr">
        <is>
          <t>-76.43194444</t>
        </is>
      </c>
      <c r="I135" t="inlineStr">
        <is>
          <t>4</t>
        </is>
      </c>
      <c r="J135" t="n">
        <v>28.2</v>
      </c>
      <c r="K135" t="n">
        <v>27.4</v>
      </c>
      <c r="L135" t="n">
        <v>26</v>
      </c>
      <c r="M135" t="n">
        <v>25.9</v>
      </c>
      <c r="N135" t="n">
        <v>25.1</v>
      </c>
      <c r="O135" t="n">
        <v>25.9</v>
      </c>
      <c r="P135" t="n">
        <v>26.95</v>
      </c>
      <c r="Q135" t="n">
        <v>27.7</v>
      </c>
      <c r="R135" t="n">
        <v>28.25</v>
      </c>
      <c r="S135" t="n">
        <v>27.2</v>
      </c>
      <c r="T135" t="n">
        <v>27.5</v>
      </c>
      <c r="U135" t="n">
        <v>26.3</v>
      </c>
      <c r="V135" t="n">
        <v>26.45</v>
      </c>
      <c r="W135" t="n">
        <v>27.1</v>
      </c>
      <c r="X135" t="n">
        <v>26.05</v>
      </c>
      <c r="Y135" t="n">
        <v>26.7</v>
      </c>
      <c r="Z135" t="n">
        <v>27.55</v>
      </c>
      <c r="AA135" t="n">
        <v>28.65</v>
      </c>
      <c r="AB135" t="n">
        <v>28.95</v>
      </c>
      <c r="AC135" t="n">
        <v>28.55</v>
      </c>
      <c r="AD135" t="n">
        <v>28.1</v>
      </c>
      <c r="AE135" t="n">
        <v>27.7</v>
      </c>
      <c r="AF135" t="n">
        <v>28.75</v>
      </c>
      <c r="AG135" t="n">
        <v>29.1</v>
      </c>
      <c r="AH135" t="n">
        <v>27.45</v>
      </c>
      <c r="AI135" t="n">
        <v>28.2</v>
      </c>
      <c r="AJ135" t="n">
        <v>27.4</v>
      </c>
      <c r="AK135" t="n">
        <v>28.2</v>
      </c>
      <c r="AL135" t="n">
        <v>27.6</v>
      </c>
      <c r="AM135" t="n">
        <v>26.45</v>
      </c>
      <c r="AN135" t="n">
        <v>25.7</v>
      </c>
      <c r="AP135" t="n">
        <v>27.32419354838711</v>
      </c>
    </row>
    <row r="136">
      <c r="A136" t="n">
        <v>22045010</v>
      </c>
      <c r="B136" t="inlineStr">
        <is>
          <t>DEMOSTRACION GRANJA  - AUT [22045010]</t>
        </is>
      </c>
      <c r="C136" t="inlineStr">
        <is>
          <t>Tolima</t>
        </is>
      </c>
      <c r="D136" t="inlineStr">
        <is>
          <t>Chaparral</t>
        </is>
      </c>
      <c r="E136" t="inlineStr">
        <is>
          <t>Area Operativa 10 - Tolima</t>
        </is>
      </c>
      <c r="F136" t="inlineStr">
        <is>
          <t>TSSM_MEDIA_D</t>
        </is>
      </c>
      <c r="G136" t="inlineStr">
        <is>
          <t>3.722444444</t>
        </is>
      </c>
      <c r="H136" t="inlineStr">
        <is>
          <t>-75.50344444</t>
        </is>
      </c>
      <c r="I136" t="inlineStr">
        <is>
          <t>895</t>
        </is>
      </c>
      <c r="J136" t="n">
        <v>24.86666666666666</v>
      </c>
      <c r="K136" t="n">
        <v>25.8</v>
      </c>
      <c r="L136" t="n">
        <v>25.33333333333333</v>
      </c>
      <c r="M136" t="n">
        <v>23.06666666666667</v>
      </c>
      <c r="N136" t="n">
        <v>24.73333333333333</v>
      </c>
      <c r="O136" t="n">
        <v>20.86666666666667</v>
      </c>
      <c r="P136" t="n">
        <v>23</v>
      </c>
      <c r="Q136" t="n">
        <v>24.26666666666667</v>
      </c>
      <c r="R136" t="n">
        <v>24.73333333333333</v>
      </c>
      <c r="S136" t="n">
        <v>24.06666666666667</v>
      </c>
      <c r="T136" t="n">
        <v>24.93333333333334</v>
      </c>
      <c r="U136" t="n">
        <v>21.2</v>
      </c>
      <c r="V136" t="n">
        <v>24</v>
      </c>
      <c r="W136" t="n">
        <v>23.33333333333333</v>
      </c>
      <c r="X136" t="n">
        <v>24.4</v>
      </c>
      <c r="Y136" t="n">
        <v>23.66666666666667</v>
      </c>
      <c r="Z136" t="n">
        <v>25.06666666666667</v>
      </c>
      <c r="AA136" t="n">
        <v>26.2</v>
      </c>
      <c r="AB136" t="n">
        <v>24.6</v>
      </c>
      <c r="AC136" t="n">
        <v>25.06666666666667</v>
      </c>
      <c r="AD136" t="n">
        <v>24.73333333333333</v>
      </c>
      <c r="AE136" t="n">
        <v>20.8</v>
      </c>
      <c r="AF136" t="n">
        <v>21.66666666666667</v>
      </c>
      <c r="AG136" t="n">
        <v>23.93333333333333</v>
      </c>
      <c r="AH136" t="n">
        <v>24.13333333333334</v>
      </c>
      <c r="AI136" t="n">
        <v>25.13333333333334</v>
      </c>
      <c r="AJ136" t="n">
        <v>24.33333333333333</v>
      </c>
      <c r="AK136" t="n">
        <v>24.46666666666667</v>
      </c>
      <c r="AL136" t="n">
        <v>22.46666666666667</v>
      </c>
      <c r="AM136" t="n">
        <v>24.8</v>
      </c>
      <c r="AN136" t="n">
        <v>22.13333333333334</v>
      </c>
      <c r="AP136" t="n">
        <v>23.92903225806451</v>
      </c>
    </row>
    <row r="137">
      <c r="A137" t="n">
        <v>22065040</v>
      </c>
      <c r="B137" t="inlineStr">
        <is>
          <t>SAN ANTONIO QUINTA [22065040]</t>
        </is>
      </c>
      <c r="C137" t="inlineStr">
        <is>
          <t>Tolima</t>
        </is>
      </c>
      <c r="D137" t="inlineStr">
        <is>
          <t>San Antonio</t>
        </is>
      </c>
      <c r="E137" t="inlineStr">
        <is>
          <t>Area Operativa 10 - Tolima</t>
        </is>
      </c>
      <c r="F137" t="inlineStr">
        <is>
          <t>TSSM_MEDIA_D</t>
        </is>
      </c>
      <c r="G137" t="inlineStr">
        <is>
          <t>3.9212</t>
        </is>
      </c>
      <c r="H137" t="inlineStr">
        <is>
          <t>-75.46775</t>
        </is>
      </c>
      <c r="I137" t="inlineStr">
        <is>
          <t>1566</t>
        </is>
      </c>
      <c r="X137" t="n">
        <v>19.8</v>
      </c>
      <c r="Z137" t="n">
        <v>21.33333333333333</v>
      </c>
      <c r="AA137" t="n">
        <v>21.86666666666666</v>
      </c>
      <c r="AB137" t="n">
        <v>20.53333333333333</v>
      </c>
      <c r="AC137" t="n">
        <v>20.93333333333333</v>
      </c>
      <c r="AD137" t="n">
        <v>19.86666666666666</v>
      </c>
      <c r="AE137" t="n">
        <v>18.46666666666667</v>
      </c>
      <c r="AF137" t="n">
        <v>18.93333333333333</v>
      </c>
      <c r="AH137" t="n">
        <v>19.93333333333333</v>
      </c>
      <c r="AI137" t="n">
        <v>20.33333333333333</v>
      </c>
      <c r="AJ137" t="n">
        <v>19.4</v>
      </c>
      <c r="AK137" t="n">
        <v>20.13333333333334</v>
      </c>
      <c r="AL137" t="n">
        <v>19.53333333333333</v>
      </c>
      <c r="AM137" t="n">
        <v>20.86666666666667</v>
      </c>
      <c r="AN137" t="n">
        <v>18.66666666666667</v>
      </c>
      <c r="AP137" t="n">
        <v>20.04</v>
      </c>
    </row>
    <row r="138">
      <c r="A138" t="n">
        <v>24015300</v>
      </c>
      <c r="B138" t="inlineStr">
        <is>
          <t>VILLA DE LEIVA  - AUT [24015300]</t>
        </is>
      </c>
      <c r="C138" t="inlineStr">
        <is>
          <t>Boyacá</t>
        </is>
      </c>
      <c r="D138" t="inlineStr">
        <is>
          <t>Villa De Leiva</t>
        </is>
      </c>
      <c r="E138" t="inlineStr">
        <is>
          <t>Area Operativa 06 - Boyacá-Casanare-Vichada</t>
        </is>
      </c>
      <c r="F138" t="inlineStr">
        <is>
          <t>TSSM_MEDIA_D</t>
        </is>
      </c>
      <c r="G138" t="inlineStr">
        <is>
          <t>5.64326</t>
        </is>
      </c>
      <c r="H138" t="inlineStr">
        <is>
          <t>-73.51774</t>
        </is>
      </c>
      <c r="I138" t="inlineStr">
        <is>
          <t>2174</t>
        </is>
      </c>
      <c r="J138" t="n">
        <v>19.33333333333333</v>
      </c>
      <c r="K138" t="n">
        <v>18.53333333333333</v>
      </c>
      <c r="L138" t="n">
        <v>18.4</v>
      </c>
      <c r="M138" t="n">
        <v>17.93333333333333</v>
      </c>
      <c r="N138" t="n">
        <v>17.33333333333333</v>
      </c>
      <c r="O138" t="n">
        <v>15.26666666666667</v>
      </c>
      <c r="P138" t="n">
        <v>16</v>
      </c>
      <c r="Q138" t="n">
        <v>17.2</v>
      </c>
      <c r="S138" t="n">
        <v>16.53333333333333</v>
      </c>
      <c r="T138" t="n">
        <v>17.6</v>
      </c>
      <c r="U138" t="n">
        <v>17.8</v>
      </c>
      <c r="V138" t="n">
        <v>19.16666666666667</v>
      </c>
      <c r="W138" t="n">
        <v>18.46666666666667</v>
      </c>
      <c r="X138" t="n">
        <v>17.93333333333333</v>
      </c>
      <c r="Y138" t="n">
        <v>16.46666666666667</v>
      </c>
      <c r="Z138" t="n">
        <v>19.4</v>
      </c>
      <c r="AA138" t="n">
        <v>19.8</v>
      </c>
      <c r="AB138" t="n">
        <v>17</v>
      </c>
      <c r="AC138" t="n">
        <v>17.73333333333333</v>
      </c>
      <c r="AD138" t="n">
        <v>19.33333333333333</v>
      </c>
      <c r="AE138" t="n">
        <v>18.73333333333333</v>
      </c>
      <c r="AF138" t="n">
        <v>18.4</v>
      </c>
      <c r="AG138" t="n">
        <v>18.2</v>
      </c>
      <c r="AH138" t="n">
        <v>18.06666666666667</v>
      </c>
      <c r="AI138" t="n">
        <v>16.33333333333333</v>
      </c>
      <c r="AJ138" t="n">
        <v>16.46666666666667</v>
      </c>
      <c r="AK138" t="n">
        <v>18.6</v>
      </c>
      <c r="AL138" t="n">
        <v>17.8</v>
      </c>
      <c r="AM138" t="n">
        <v>19.93333333333333</v>
      </c>
      <c r="AN138" t="n">
        <v>18.66666666666667</v>
      </c>
      <c r="AP138" t="n">
        <v>17.94777777777778</v>
      </c>
    </row>
    <row r="139">
      <c r="A139" t="n">
        <v>35105050</v>
      </c>
      <c r="B139" t="inlineStr">
        <is>
          <t>GUAICARAMO [35105050]</t>
        </is>
      </c>
      <c r="C139" t="inlineStr">
        <is>
          <t>Meta</t>
        </is>
      </c>
      <c r="D139" t="inlineStr">
        <is>
          <t>Barranca De Upía</t>
        </is>
      </c>
      <c r="E139" t="inlineStr">
        <is>
          <t>Area Operativa 03 - Meta-Guaviare-Guainía</t>
        </is>
      </c>
      <c r="F139" t="inlineStr">
        <is>
          <t>TSSM_MEDIA_D</t>
        </is>
      </c>
      <c r="G139" t="inlineStr">
        <is>
          <t>4.46865</t>
        </is>
      </c>
      <c r="H139" t="inlineStr">
        <is>
          <t>-72.95364</t>
        </is>
      </c>
      <c r="I139" t="inlineStr">
        <is>
          <t>199</t>
        </is>
      </c>
      <c r="N139" t="n">
        <v>27.4</v>
      </c>
      <c r="O139" t="n">
        <v>23.65</v>
      </c>
      <c r="P139" t="n">
        <v>25.85</v>
      </c>
      <c r="Q139" t="n">
        <v>26.95</v>
      </c>
      <c r="R139" t="n">
        <v>26.65</v>
      </c>
      <c r="V139" t="n">
        <v>25.85</v>
      </c>
      <c r="W139" t="n">
        <v>26.75</v>
      </c>
      <c r="X139" t="n">
        <v>27.15</v>
      </c>
      <c r="Y139" t="n">
        <v>27.3</v>
      </c>
      <c r="AB139" t="n">
        <v>26</v>
      </c>
      <c r="AC139" t="n">
        <v>28.26666666666667</v>
      </c>
      <c r="AD139" t="n">
        <v>28.13333333333334</v>
      </c>
      <c r="AE139" t="n">
        <v>28.4</v>
      </c>
      <c r="AF139" t="n">
        <v>27.6</v>
      </c>
      <c r="AG139" t="n">
        <v>29.46666666666667</v>
      </c>
      <c r="AH139" t="n">
        <v>29.06666666666667</v>
      </c>
      <c r="AI139" t="n">
        <v>27.4</v>
      </c>
      <c r="AJ139" t="n">
        <v>27.16666666666667</v>
      </c>
      <c r="AK139" t="n">
        <v>28</v>
      </c>
      <c r="AL139" t="n">
        <v>27.2</v>
      </c>
      <c r="AM139" t="n">
        <v>26.53333333333333</v>
      </c>
      <c r="AN139" t="n">
        <v>26.26666666666667</v>
      </c>
      <c r="AP139" t="n">
        <v>27.13863636363636</v>
      </c>
    </row>
    <row r="140">
      <c r="A140" t="n">
        <v>47035020</v>
      </c>
      <c r="B140" t="inlineStr">
        <is>
          <t>PUERTO OSPINA [47035020]</t>
        </is>
      </c>
      <c r="C140" t="inlineStr">
        <is>
          <t>Putumayo</t>
        </is>
      </c>
      <c r="D140" t="inlineStr">
        <is>
          <t>Puerto Leguízamo</t>
        </is>
      </c>
      <c r="E140" t="inlineStr">
        <is>
          <t>Area Operativa 07 - Nariño-Putumayo</t>
        </is>
      </c>
      <c r="F140" t="inlineStr">
        <is>
          <t>TSSM_MEDIA_D</t>
        </is>
      </c>
      <c r="G140" t="inlineStr">
        <is>
          <t>0.132861111</t>
        </is>
      </c>
      <c r="H140" t="inlineStr">
        <is>
          <t>-75.85111111</t>
        </is>
      </c>
      <c r="I140" t="inlineStr">
        <is>
          <t>190</t>
        </is>
      </c>
      <c r="J140" t="n">
        <v>26.4</v>
      </c>
      <c r="K140" t="n">
        <v>25.73333333333333</v>
      </c>
      <c r="L140" t="n">
        <v>26.06666666666667</v>
      </c>
      <c r="M140" t="n">
        <v>26.6</v>
      </c>
      <c r="N140" t="n">
        <v>26.13333333333334</v>
      </c>
      <c r="O140" t="n">
        <v>25.26666666666667</v>
      </c>
      <c r="P140" t="n">
        <v>26.13333333333334</v>
      </c>
      <c r="S140" t="n">
        <v>26.53333333333333</v>
      </c>
      <c r="T140" t="n">
        <v>25.46666666666667</v>
      </c>
      <c r="U140" t="n">
        <v>25.4</v>
      </c>
      <c r="V140" t="n">
        <v>26.13333333333334</v>
      </c>
      <c r="W140" t="n">
        <v>25.46666666666667</v>
      </c>
      <c r="X140" t="n">
        <v>25.93333333333334</v>
      </c>
      <c r="Y140" t="n">
        <v>26.33333333333333</v>
      </c>
      <c r="Z140" t="n">
        <v>26.46666666666667</v>
      </c>
      <c r="AA140" t="n">
        <v>26.53333333333333</v>
      </c>
      <c r="AB140" t="n">
        <v>26.8</v>
      </c>
      <c r="AC140" t="n">
        <v>27.33333333333333</v>
      </c>
      <c r="AD140" t="n">
        <v>27.13333333333334</v>
      </c>
      <c r="AE140" t="n">
        <v>26.73333333333333</v>
      </c>
      <c r="AF140" t="n">
        <v>27.4</v>
      </c>
      <c r="AG140" t="n">
        <v>27.06666666666667</v>
      </c>
      <c r="AH140" t="n">
        <v>25.86666666666666</v>
      </c>
      <c r="AI140" t="n">
        <v>26.06666666666666</v>
      </c>
      <c r="AJ140" t="n">
        <v>26.06666666666667</v>
      </c>
      <c r="AK140" t="n">
        <v>26.13333333333334</v>
      </c>
      <c r="AL140" t="n">
        <v>25.06666666666667</v>
      </c>
      <c r="AM140" t="n">
        <v>25.93333333333333</v>
      </c>
      <c r="AN140" t="n">
        <v>25.86666666666666</v>
      </c>
      <c r="AP140" t="n">
        <v>26.20919540229885</v>
      </c>
    </row>
    <row r="141">
      <c r="A141" t="n">
        <v>35025060</v>
      </c>
      <c r="B141" t="inlineStr">
        <is>
          <t>LA BOLSA [35025060]</t>
        </is>
      </c>
      <c r="C141" t="inlineStr">
        <is>
          <t>Cundinamarca</t>
        </is>
      </c>
      <c r="D141" t="inlineStr">
        <is>
          <t>Choachí</t>
        </is>
      </c>
      <c r="E141" t="inlineStr">
        <is>
          <t>Area Operativa 11 - Cundinamarca-Amazonas</t>
        </is>
      </c>
      <c r="F141" t="inlineStr">
        <is>
          <t>TSSM_MEDIA_D</t>
        </is>
      </c>
      <c r="G141" t="inlineStr">
        <is>
          <t>4.587059</t>
        </is>
      </c>
      <c r="H141" t="inlineStr">
        <is>
          <t>-73.995885</t>
        </is>
      </c>
      <c r="I141" t="inlineStr">
        <is>
          <t>3195</t>
        </is>
      </c>
      <c r="J141" t="n">
        <v>9.1</v>
      </c>
      <c r="K141" t="n">
        <v>8.9</v>
      </c>
      <c r="L141" t="n">
        <v>9</v>
      </c>
      <c r="M141" t="n">
        <v>9.850000000000001</v>
      </c>
      <c r="N141" t="n">
        <v>9.550000000000001</v>
      </c>
      <c r="O141" t="n">
        <v>9.300000000000001</v>
      </c>
      <c r="P141" t="n">
        <v>8.699999999999999</v>
      </c>
      <c r="Q141" t="n">
        <v>8.85</v>
      </c>
      <c r="R141" t="n">
        <v>9.5</v>
      </c>
      <c r="S141" t="n">
        <v>9.1</v>
      </c>
      <c r="T141" t="n">
        <v>8.899999999999999</v>
      </c>
      <c r="U141" t="n">
        <v>8.15</v>
      </c>
      <c r="V141" t="n">
        <v>8.75</v>
      </c>
      <c r="W141" t="n">
        <v>8.35</v>
      </c>
      <c r="X141" t="n">
        <v>8.149999999999999</v>
      </c>
      <c r="AB141" t="n">
        <v>9.649999999999999</v>
      </c>
      <c r="AC141" t="n">
        <v>9.5</v>
      </c>
      <c r="AD141" t="n">
        <v>9.4</v>
      </c>
      <c r="AE141" t="n">
        <v>8.899999999999999</v>
      </c>
      <c r="AF141" t="n">
        <v>9.699999999999999</v>
      </c>
      <c r="AG141" t="n">
        <v>8.949999999999999</v>
      </c>
      <c r="AH141" t="n">
        <v>9.199999999999999</v>
      </c>
      <c r="AI141" t="n">
        <v>9.550000000000001</v>
      </c>
      <c r="AJ141" t="n">
        <v>9.550000000000001</v>
      </c>
      <c r="AK141" t="n">
        <v>9.15</v>
      </c>
      <c r="AL141" t="n">
        <v>9.399999999999999</v>
      </c>
      <c r="AM141" t="n">
        <v>9.199999999999999</v>
      </c>
      <c r="AN141" t="n">
        <v>9.550000000000001</v>
      </c>
      <c r="AP141" t="n">
        <v>9.137500000000001</v>
      </c>
    </row>
    <row r="142">
      <c r="A142" t="n">
        <v>21206650</v>
      </c>
      <c r="B142" t="inlineStr">
        <is>
          <t>COLEGIO SAN CAYETANO [21206650]</t>
        </is>
      </c>
      <c r="C142" t="inlineStr">
        <is>
          <t>Bogotá</t>
        </is>
      </c>
      <c r="D142" t="inlineStr">
        <is>
          <t>Bogotá, D.C</t>
        </is>
      </c>
      <c r="E142" t="inlineStr">
        <is>
          <t>Area Operativa 11 - Cundinamarca-Amazonas</t>
        </is>
      </c>
      <c r="F142" t="inlineStr">
        <is>
          <t>TSSM_MEDIA_D</t>
        </is>
      </c>
      <c r="G142" t="inlineStr">
        <is>
          <t>4.516752778</t>
        </is>
      </c>
      <c r="H142" t="inlineStr">
        <is>
          <t>-74.088222222</t>
        </is>
      </c>
      <c r="I142" t="inlineStr">
        <is>
          <t>3100</t>
        </is>
      </c>
      <c r="J142" t="n">
        <v>11.45</v>
      </c>
      <c r="K142" t="n">
        <v>10.9</v>
      </c>
      <c r="L142" t="n">
        <v>10.35</v>
      </c>
      <c r="M142" t="n">
        <v>10.8</v>
      </c>
      <c r="N142" t="n">
        <v>11.05</v>
      </c>
      <c r="O142" t="n">
        <v>11.65</v>
      </c>
      <c r="P142" t="n">
        <v>11.5</v>
      </c>
      <c r="Q142" t="n">
        <v>11.6</v>
      </c>
      <c r="R142" t="n">
        <v>11.25</v>
      </c>
      <c r="S142" t="n">
        <v>11.15</v>
      </c>
      <c r="T142" t="n">
        <v>10.8</v>
      </c>
      <c r="U142" t="n">
        <v>10.35</v>
      </c>
      <c r="V142" t="n">
        <v>10.75</v>
      </c>
      <c r="W142" t="n">
        <v>11.1</v>
      </c>
      <c r="X142" t="n">
        <v>11.8</v>
      </c>
      <c r="Y142" t="n">
        <v>11.45</v>
      </c>
      <c r="Z142" t="n">
        <v>11.1</v>
      </c>
      <c r="AA142" t="n">
        <v>10.85</v>
      </c>
      <c r="AB142" t="n">
        <v>10.6</v>
      </c>
      <c r="AC142" t="n">
        <v>11</v>
      </c>
      <c r="AD142" t="n">
        <v>10.95</v>
      </c>
      <c r="AE142" t="n">
        <v>10.6</v>
      </c>
      <c r="AF142" t="n">
        <v>10.75</v>
      </c>
      <c r="AG142" t="n">
        <v>11</v>
      </c>
      <c r="AH142" t="n">
        <v>11.4</v>
      </c>
      <c r="AI142" t="n">
        <v>11.7</v>
      </c>
      <c r="AJ142" t="n">
        <v>11.05</v>
      </c>
      <c r="AK142" t="n">
        <v>11</v>
      </c>
      <c r="AL142" t="n">
        <v>11.05</v>
      </c>
      <c r="AM142" t="n">
        <v>10.45</v>
      </c>
      <c r="AN142" t="n">
        <v>10.65</v>
      </c>
      <c r="AP142" t="n">
        <v>11.03548387096774</v>
      </c>
    </row>
    <row r="143">
      <c r="A143" t="n">
        <v>24035040</v>
      </c>
      <c r="B143" t="inlineStr">
        <is>
          <t>LA COPA [24035040]</t>
        </is>
      </c>
      <c r="C143" t="inlineStr">
        <is>
          <t>Boyacá</t>
        </is>
      </c>
      <c r="D143" t="inlineStr">
        <is>
          <t>Toca</t>
        </is>
      </c>
      <c r="E143" t="inlineStr">
        <is>
          <t>Area Operativa 06 - Boyacá-Casanare-Vichada</t>
        </is>
      </c>
      <c r="F143" t="inlineStr">
        <is>
          <t>TSSM_MEDIA_D</t>
        </is>
      </c>
      <c r="G143" t="inlineStr">
        <is>
          <t>5.579194444</t>
        </is>
      </c>
      <c r="H143" t="inlineStr">
        <is>
          <t>-73.208777778</t>
        </is>
      </c>
      <c r="I143" t="inlineStr">
        <is>
          <t>2700</t>
        </is>
      </c>
      <c r="J143" t="n">
        <v>11.45</v>
      </c>
      <c r="K143" t="n">
        <v>12.6</v>
      </c>
      <c r="L143" t="n">
        <v>12.35</v>
      </c>
      <c r="M143" t="n">
        <v>13.05</v>
      </c>
      <c r="N143" t="n">
        <v>13.85</v>
      </c>
      <c r="O143" t="n">
        <v>13.35</v>
      </c>
      <c r="P143" t="n">
        <v>13.25</v>
      </c>
      <c r="Q143" t="n">
        <v>13.45</v>
      </c>
      <c r="R143" t="n">
        <v>13.35</v>
      </c>
      <c r="S143" t="n">
        <v>13.4</v>
      </c>
      <c r="T143" t="n">
        <v>13.8</v>
      </c>
      <c r="U143" t="n">
        <v>13.05</v>
      </c>
      <c r="V143" t="n">
        <v>13.65</v>
      </c>
      <c r="W143" t="n">
        <v>13.4</v>
      </c>
      <c r="X143" t="n">
        <v>12.65</v>
      </c>
      <c r="Y143" t="n">
        <v>12.5</v>
      </c>
      <c r="Z143" t="n">
        <v>11.6</v>
      </c>
      <c r="AA143" t="n">
        <v>10.9</v>
      </c>
      <c r="AB143" t="n">
        <v>11.8</v>
      </c>
      <c r="AC143" t="n">
        <v>13.1</v>
      </c>
      <c r="AD143" t="n">
        <v>13.85</v>
      </c>
      <c r="AE143" t="n">
        <v>12.15</v>
      </c>
      <c r="AF143" t="n">
        <v>12.65</v>
      </c>
      <c r="AG143" t="n">
        <v>14.2</v>
      </c>
      <c r="AH143" t="n">
        <v>14.4</v>
      </c>
      <c r="AI143" t="n">
        <v>13.8</v>
      </c>
      <c r="AJ143" t="n">
        <v>13.7</v>
      </c>
      <c r="AK143" t="n">
        <v>14.4</v>
      </c>
      <c r="AL143" t="n">
        <v>14.15</v>
      </c>
      <c r="AM143" t="n">
        <v>13.85</v>
      </c>
      <c r="AN143" t="n">
        <v>13.55</v>
      </c>
      <c r="AP143" t="n">
        <v>13.13709677419355</v>
      </c>
    </row>
    <row r="144">
      <c r="A144" t="n">
        <v>21055030</v>
      </c>
      <c r="B144" t="inlineStr">
        <is>
          <t>SANTA LETICIA [21055030]</t>
        </is>
      </c>
      <c r="C144" t="inlineStr">
        <is>
          <t>Cauca</t>
        </is>
      </c>
      <c r="D144" t="inlineStr">
        <is>
          <t>Inzá</t>
        </is>
      </c>
      <c r="E144" t="inlineStr">
        <is>
          <t>Area Operativa 04 - Huila-Caquetá</t>
        </is>
      </c>
      <c r="F144" t="inlineStr">
        <is>
          <t>TSSM_MEDIA_D</t>
        </is>
      </c>
      <c r="G144" t="inlineStr">
        <is>
          <t>2.24</t>
        </is>
      </c>
      <c r="H144" t="inlineStr">
        <is>
          <t>-76.16</t>
        </is>
      </c>
      <c r="I144" t="inlineStr">
        <is>
          <t>2085</t>
        </is>
      </c>
      <c r="J144" t="n">
        <v>14.9</v>
      </c>
      <c r="K144" t="n">
        <v>15.56666666666667</v>
      </c>
      <c r="L144" t="n">
        <v>15.63333333333333</v>
      </c>
      <c r="M144" t="n">
        <v>16.8</v>
      </c>
      <c r="N144" t="n">
        <v>15.86666666666667</v>
      </c>
      <c r="O144" t="n">
        <v>15.23333333333333</v>
      </c>
      <c r="P144" t="n">
        <v>14.6</v>
      </c>
      <c r="Q144" t="n">
        <v>15</v>
      </c>
      <c r="R144" t="n">
        <v>16.1</v>
      </c>
      <c r="S144" t="n">
        <v>16.53333333333333</v>
      </c>
      <c r="T144" t="n">
        <v>16.13333333333334</v>
      </c>
      <c r="U144" t="n">
        <v>14.26666666666667</v>
      </c>
      <c r="X144" t="n">
        <v>14.9</v>
      </c>
      <c r="Y144" t="n">
        <v>14.83333333333333</v>
      </c>
      <c r="Z144" t="n">
        <v>14.6</v>
      </c>
      <c r="AA144" t="n">
        <v>16.13333333333333</v>
      </c>
      <c r="AB144" t="n">
        <v>16.7</v>
      </c>
      <c r="AC144" t="n">
        <v>18.53333333333333</v>
      </c>
      <c r="AD144" t="n">
        <v>15.3</v>
      </c>
      <c r="AE144" t="n">
        <v>16.86666666666666</v>
      </c>
      <c r="AF144" t="n">
        <v>15.16666666666667</v>
      </c>
      <c r="AI144" t="n">
        <v>16.2</v>
      </c>
      <c r="AJ144" t="n">
        <v>15.6</v>
      </c>
      <c r="AK144" t="n">
        <v>14.53333333333333</v>
      </c>
      <c r="AL144" t="n">
        <v>15.56666666666667</v>
      </c>
      <c r="AM144" t="n">
        <v>15.53333333333333</v>
      </c>
      <c r="AN144" t="n">
        <v>15.13333333333333</v>
      </c>
      <c r="AP144" t="n">
        <v>15.63827160493828</v>
      </c>
    </row>
    <row r="145">
      <c r="A145" t="n">
        <v>23195090</v>
      </c>
      <c r="B145" t="inlineStr">
        <is>
          <t>VIVERO SURATA  - AUT [23195090]</t>
        </is>
      </c>
      <c r="C145" t="inlineStr">
        <is>
          <t>Santander</t>
        </is>
      </c>
      <c r="D145" t="inlineStr">
        <is>
          <t>Suratá</t>
        </is>
      </c>
      <c r="E145" t="inlineStr">
        <is>
          <t>Area Operativa 08 - Santanderes-Arauca</t>
        </is>
      </c>
      <c r="F145" t="inlineStr">
        <is>
          <t>TSSM_MEDIA_D</t>
        </is>
      </c>
      <c r="G145" t="inlineStr">
        <is>
          <t>7.36583</t>
        </is>
      </c>
      <c r="H145" t="inlineStr">
        <is>
          <t>-72.9875</t>
        </is>
      </c>
      <c r="I145" t="inlineStr">
        <is>
          <t>1791</t>
        </is>
      </c>
      <c r="J145" t="n">
        <v>18.93333333333333</v>
      </c>
      <c r="K145" t="n">
        <v>18.26666666666667</v>
      </c>
      <c r="L145" t="n">
        <v>17.53333333333333</v>
      </c>
      <c r="M145" t="n">
        <v>19.53333333333333</v>
      </c>
      <c r="N145" t="n">
        <v>17.2</v>
      </c>
      <c r="O145" t="n">
        <v>18.93333333333333</v>
      </c>
      <c r="P145" t="n">
        <v>18.73333333333333</v>
      </c>
      <c r="Q145" t="n">
        <v>18.06666666666667</v>
      </c>
      <c r="R145" t="n">
        <v>18.2</v>
      </c>
      <c r="S145" t="n">
        <v>18.06666666666667</v>
      </c>
      <c r="T145" t="n">
        <v>18.46666666666667</v>
      </c>
      <c r="U145" t="n">
        <v>17.06666666666667</v>
      </c>
      <c r="V145" t="n">
        <v>17.73333333333333</v>
      </c>
      <c r="W145" t="n">
        <v>18.8</v>
      </c>
      <c r="X145" t="n">
        <v>19.13333333333333</v>
      </c>
      <c r="Y145" t="n">
        <v>18.8</v>
      </c>
      <c r="Z145" t="n">
        <v>19.06666666666667</v>
      </c>
      <c r="AA145" t="n">
        <v>18.73333333333333</v>
      </c>
      <c r="AB145" t="n">
        <v>19.66666666666667</v>
      </c>
      <c r="AC145" t="n">
        <v>19.6</v>
      </c>
      <c r="AD145" t="n">
        <v>19.73333333333333</v>
      </c>
      <c r="AE145" t="n">
        <v>19.13333333333333</v>
      </c>
      <c r="AF145" t="n">
        <v>18.53333333333333</v>
      </c>
      <c r="AG145" t="n">
        <v>18.6</v>
      </c>
      <c r="AH145" t="n">
        <v>18.93333333333333</v>
      </c>
      <c r="AI145" t="n">
        <v>18.93333333333333</v>
      </c>
      <c r="AJ145" t="n">
        <v>17.8</v>
      </c>
      <c r="AK145" t="n">
        <v>18.86666666666667</v>
      </c>
      <c r="AL145" t="n">
        <v>19.13333333333333</v>
      </c>
      <c r="AM145" t="n">
        <v>18.46666666666667</v>
      </c>
      <c r="AN145" t="n">
        <v>18.33333333333333</v>
      </c>
      <c r="AP145" t="n">
        <v>18.61290322580646</v>
      </c>
    </row>
    <row r="146">
      <c r="A146" t="n">
        <v>21065040</v>
      </c>
      <c r="B146" t="inlineStr">
        <is>
          <t>ZULUAGA AUT [21065040]</t>
        </is>
      </c>
      <c r="C146" t="inlineStr">
        <is>
          <t>Huila</t>
        </is>
      </c>
      <c r="D146" t="inlineStr">
        <is>
          <t>Garzón</t>
        </is>
      </c>
      <c r="E146" t="inlineStr">
        <is>
          <t>Area Operativa 04 - Huila-Caquetá</t>
        </is>
      </c>
      <c r="F146" t="inlineStr">
        <is>
          <t>TSSM_MEDIA_D</t>
        </is>
      </c>
      <c r="G146" t="inlineStr">
        <is>
          <t>2.2525</t>
        </is>
      </c>
      <c r="H146" t="inlineStr">
        <is>
          <t>-75.52944444</t>
        </is>
      </c>
      <c r="I146" t="inlineStr">
        <is>
          <t>1270</t>
        </is>
      </c>
      <c r="J146" t="n">
        <v>21.1</v>
      </c>
      <c r="K146" t="n">
        <v>20.2</v>
      </c>
      <c r="L146" t="n">
        <v>21.45</v>
      </c>
      <c r="M146" t="n">
        <v>22.9</v>
      </c>
      <c r="N146" t="n">
        <v>21.1</v>
      </c>
      <c r="O146" t="n">
        <v>19.7</v>
      </c>
      <c r="P146" t="n">
        <v>19.25</v>
      </c>
      <c r="Q146" t="n">
        <v>19.45</v>
      </c>
      <c r="R146" t="n">
        <v>21</v>
      </c>
      <c r="S146" t="n">
        <v>21.9</v>
      </c>
      <c r="T146" t="n">
        <v>21.75</v>
      </c>
      <c r="U146" t="n">
        <v>19.05</v>
      </c>
      <c r="V146" t="n">
        <v>20.55</v>
      </c>
      <c r="Y146" t="n">
        <v>20.3</v>
      </c>
      <c r="Z146" t="n">
        <v>19.7</v>
      </c>
      <c r="AA146" t="n">
        <v>21.65</v>
      </c>
      <c r="AB146" t="n">
        <v>22.75</v>
      </c>
      <c r="AC146" t="n">
        <v>22.75</v>
      </c>
      <c r="AD146" t="n">
        <v>20.3</v>
      </c>
      <c r="AE146" t="n">
        <v>20.9</v>
      </c>
      <c r="AF146" t="n">
        <v>19.7</v>
      </c>
      <c r="AG146" t="n">
        <v>19.6</v>
      </c>
      <c r="AH146" t="n">
        <v>20.55</v>
      </c>
      <c r="AI146" t="n">
        <v>19.85</v>
      </c>
      <c r="AJ146" t="n">
        <v>19.85</v>
      </c>
      <c r="AK146" t="n">
        <v>21.9</v>
      </c>
      <c r="AL146" t="n">
        <v>20.55</v>
      </c>
      <c r="AM146" t="n">
        <v>21.45</v>
      </c>
      <c r="AN146" t="n">
        <v>19.95</v>
      </c>
      <c r="AP146" t="n">
        <v>20.72931034482759</v>
      </c>
    </row>
    <row r="147">
      <c r="A147" t="n">
        <v>35225030</v>
      </c>
      <c r="B147" t="inlineStr">
        <is>
          <t>MODULOS - AUT [35225030]</t>
        </is>
      </c>
      <c r="C147" t="inlineStr">
        <is>
          <t>Casanare</t>
        </is>
      </c>
      <c r="D147" t="inlineStr">
        <is>
          <t>Orocué</t>
        </is>
      </c>
      <c r="E147" t="inlineStr">
        <is>
          <t>Area Operativa 03 - Meta-Guaviare-Guainía</t>
        </is>
      </c>
      <c r="F147" t="inlineStr">
        <is>
          <t>TSSM_MEDIA_D</t>
        </is>
      </c>
      <c r="G147" t="inlineStr">
        <is>
          <t>4.910528</t>
        </is>
      </c>
      <c r="H147" t="inlineStr">
        <is>
          <t>-71.433083</t>
        </is>
      </c>
      <c r="I147" t="inlineStr">
        <is>
          <t>139</t>
        </is>
      </c>
      <c r="J147" t="n">
        <v>27</v>
      </c>
      <c r="K147" t="n">
        <v>27.9</v>
      </c>
      <c r="L147" t="n">
        <v>26.56666666666667</v>
      </c>
      <c r="M147" t="n">
        <v>26.73333333333333</v>
      </c>
      <c r="N147" t="n">
        <v>26.73333333333333</v>
      </c>
      <c r="O147" t="n">
        <v>26.2</v>
      </c>
      <c r="P147" t="n">
        <v>26.13333333333334</v>
      </c>
      <c r="Q147" t="n">
        <v>26.76666666666667</v>
      </c>
      <c r="R147" t="n">
        <v>25.56666666666667</v>
      </c>
      <c r="S147" t="n">
        <v>25.96666666666667</v>
      </c>
      <c r="T147" t="n">
        <v>25.53333333333333</v>
      </c>
      <c r="U147" t="n">
        <v>26.13333333333334</v>
      </c>
      <c r="V147" t="n">
        <v>26.1</v>
      </c>
      <c r="W147" t="n">
        <v>25.6</v>
      </c>
      <c r="X147" t="n">
        <v>26.13333333333334</v>
      </c>
      <c r="Y147" t="n">
        <v>26.63333333333333</v>
      </c>
      <c r="Z147" t="n">
        <v>25.83333333333333</v>
      </c>
      <c r="AA147" t="n">
        <v>26.86666666666666</v>
      </c>
      <c r="AB147" t="n">
        <v>26.56666666666666</v>
      </c>
      <c r="AC147" t="n">
        <v>25.63333333333334</v>
      </c>
      <c r="AD147" t="n">
        <v>25.5</v>
      </c>
      <c r="AE147" t="n">
        <v>26.4</v>
      </c>
      <c r="AF147" t="n">
        <v>26.13333333333334</v>
      </c>
      <c r="AG147" t="n">
        <v>25.63333333333334</v>
      </c>
      <c r="AH147" t="n">
        <v>26.26666666666667</v>
      </c>
      <c r="AI147" t="n">
        <v>26.5</v>
      </c>
      <c r="AJ147" t="n">
        <v>26.16666666666667</v>
      </c>
      <c r="AK147" t="n">
        <v>25.63333333333334</v>
      </c>
      <c r="AL147" t="n">
        <v>26.13333333333334</v>
      </c>
      <c r="AM147" t="n">
        <v>25.46666666666667</v>
      </c>
      <c r="AN147" t="n">
        <v>25.96666666666667</v>
      </c>
      <c r="AP147" t="n">
        <v>26.20645161290323</v>
      </c>
    </row>
    <row r="148">
      <c r="A148" t="n">
        <v>21205420</v>
      </c>
      <c r="B148" t="inlineStr">
        <is>
          <t>TIBAITATA [21205420]</t>
        </is>
      </c>
      <c r="C148" t="inlineStr">
        <is>
          <t>Cundinamarca</t>
        </is>
      </c>
      <c r="D148" t="inlineStr">
        <is>
          <t>Mosquera</t>
        </is>
      </c>
      <c r="E148" t="inlineStr">
        <is>
          <t>Area Operativa 11 - Cundinamarca-Amazonas</t>
        </is>
      </c>
      <c r="F148" t="inlineStr">
        <is>
          <t>TSSM_MEDIA_D</t>
        </is>
      </c>
      <c r="G148" t="inlineStr">
        <is>
          <t>4.688662</t>
        </is>
      </c>
      <c r="H148" t="inlineStr">
        <is>
          <t>-74.205626</t>
        </is>
      </c>
      <c r="I148" t="inlineStr">
        <is>
          <t>2543</t>
        </is>
      </c>
      <c r="J148" t="n">
        <v>12.85</v>
      </c>
      <c r="K148" t="n">
        <v>12.95</v>
      </c>
      <c r="L148" t="n">
        <v>12.75</v>
      </c>
      <c r="M148" t="n">
        <v>13.7</v>
      </c>
      <c r="N148" t="n">
        <v>13.25</v>
      </c>
      <c r="O148" t="n">
        <v>12.4</v>
      </c>
      <c r="P148" t="n">
        <v>12.7</v>
      </c>
      <c r="Q148" t="n">
        <v>13.75</v>
      </c>
      <c r="R148" t="n">
        <v>15.05</v>
      </c>
      <c r="S148" t="n">
        <v>13.65</v>
      </c>
      <c r="T148" t="n">
        <v>14.15</v>
      </c>
      <c r="U148" t="n">
        <v>13.65</v>
      </c>
      <c r="V148" t="n">
        <v>13.95</v>
      </c>
      <c r="W148" t="n">
        <v>14.15</v>
      </c>
      <c r="X148" t="n">
        <v>14.25</v>
      </c>
      <c r="Y148" t="n">
        <v>14.75</v>
      </c>
      <c r="Z148" t="n">
        <v>15.95</v>
      </c>
      <c r="AA148" t="n">
        <v>15.45</v>
      </c>
      <c r="AB148" t="n">
        <v>13.05</v>
      </c>
      <c r="AC148" t="n">
        <v>13.45</v>
      </c>
      <c r="AD148" t="n">
        <v>13.75</v>
      </c>
      <c r="AE148" t="n">
        <v>14</v>
      </c>
      <c r="AF148" t="n">
        <v>14.5</v>
      </c>
      <c r="AG148" t="n">
        <v>14.85</v>
      </c>
      <c r="AH148" t="n">
        <v>15.35</v>
      </c>
      <c r="AI148" t="n">
        <v>14.05</v>
      </c>
      <c r="AJ148" t="n">
        <v>13.5</v>
      </c>
      <c r="AK148" t="n">
        <v>14.15</v>
      </c>
      <c r="AL148" t="n">
        <v>14.6</v>
      </c>
      <c r="AM148" t="n">
        <v>14.2</v>
      </c>
      <c r="AN148" t="n">
        <v>12.95</v>
      </c>
      <c r="AP148" t="n">
        <v>13.92741935483871</v>
      </c>
    </row>
    <row r="149">
      <c r="A149" t="n">
        <v>12045020</v>
      </c>
      <c r="B149" t="inlineStr">
        <is>
          <t>CRISTO REY  - AUT [12045020]</t>
        </is>
      </c>
      <c r="C149" t="inlineStr">
        <is>
          <t>Cordoba</t>
        </is>
      </c>
      <c r="D149" t="inlineStr">
        <is>
          <t>Puerto Escondido</t>
        </is>
      </c>
      <c r="E149" t="inlineStr">
        <is>
          <t>Area Operativa 02 - Atlántico-Bolivar-Sucre</t>
        </is>
      </c>
      <c r="F149" t="inlineStr">
        <is>
          <t>TSSM_MEDIA_D</t>
        </is>
      </c>
      <c r="G149" t="inlineStr">
        <is>
          <t>9.071111111</t>
        </is>
      </c>
      <c r="H149" t="inlineStr">
        <is>
          <t>-76.22444444</t>
        </is>
      </c>
      <c r="I149" t="inlineStr">
        <is>
          <t>15</t>
        </is>
      </c>
      <c r="J149" t="n">
        <v>29.15</v>
      </c>
      <c r="K149" t="n">
        <v>28.6</v>
      </c>
      <c r="L149" t="n">
        <v>26.5</v>
      </c>
      <c r="M149" t="n">
        <v>26.75</v>
      </c>
      <c r="N149" t="n">
        <v>26.15</v>
      </c>
      <c r="O149" t="n">
        <v>26.85</v>
      </c>
      <c r="P149" t="n">
        <v>27.65</v>
      </c>
      <c r="Q149" t="n">
        <v>28.2</v>
      </c>
      <c r="R149" t="n">
        <v>28.3</v>
      </c>
      <c r="S149" t="n">
        <v>28.25</v>
      </c>
      <c r="T149" t="n">
        <v>27.75</v>
      </c>
      <c r="U149" t="n">
        <v>28</v>
      </c>
      <c r="V149" t="n">
        <v>26.45</v>
      </c>
      <c r="W149" t="n">
        <v>27.1</v>
      </c>
      <c r="X149" t="n">
        <v>27.95</v>
      </c>
      <c r="Y149" t="n">
        <v>28.1</v>
      </c>
      <c r="Z149" t="n">
        <v>28.65</v>
      </c>
      <c r="AA149" t="n">
        <v>28.4</v>
      </c>
      <c r="AB149" t="n">
        <v>29.1</v>
      </c>
      <c r="AC149" t="n">
        <v>29.2</v>
      </c>
      <c r="AD149" t="n">
        <v>29</v>
      </c>
      <c r="AE149" t="n">
        <v>28.6</v>
      </c>
      <c r="AF149" t="n">
        <v>28.9</v>
      </c>
      <c r="AG149" t="n">
        <v>29.1</v>
      </c>
      <c r="AH149" t="n">
        <v>29</v>
      </c>
      <c r="AI149" t="n">
        <v>28.75</v>
      </c>
      <c r="AJ149" t="n">
        <v>28.75</v>
      </c>
      <c r="AK149" t="n">
        <v>28.75</v>
      </c>
      <c r="AL149" t="n">
        <v>28.4</v>
      </c>
      <c r="AM149" t="n">
        <v>29</v>
      </c>
      <c r="AP149" t="n">
        <v>28.17833333333333</v>
      </c>
    </row>
    <row r="150">
      <c r="A150" t="n">
        <v>23125100</v>
      </c>
      <c r="B150" t="inlineStr">
        <is>
          <t>BUENAVISTA [23125100]</t>
        </is>
      </c>
      <c r="C150" t="inlineStr">
        <is>
          <t>Boyacá</t>
        </is>
      </c>
      <c r="D150" t="inlineStr">
        <is>
          <t>Buenavista</t>
        </is>
      </c>
      <c r="E150" t="inlineStr">
        <is>
          <t>Area Operativa 06 - Boyacá-Casanare-Vichada</t>
        </is>
      </c>
      <c r="F150" t="inlineStr">
        <is>
          <t>TSSM_MEDIA_D</t>
        </is>
      </c>
      <c r="G150" t="inlineStr">
        <is>
          <t>5.514916667</t>
        </is>
      </c>
      <c r="H150" t="inlineStr">
        <is>
          <t>-73.94311111</t>
        </is>
      </c>
      <c r="I150" t="inlineStr">
        <is>
          <t>2200</t>
        </is>
      </c>
      <c r="K150" t="n">
        <v>15.55</v>
      </c>
      <c r="L150" t="n">
        <v>15.25</v>
      </c>
      <c r="M150" t="n">
        <v>14.85</v>
      </c>
      <c r="N150" t="n">
        <v>15.4</v>
      </c>
      <c r="O150" t="n">
        <v>14.8</v>
      </c>
      <c r="P150" t="n">
        <v>15</v>
      </c>
      <c r="Q150" t="n">
        <v>14.95</v>
      </c>
      <c r="R150" t="n">
        <v>14.95</v>
      </c>
      <c r="S150" t="n">
        <v>15.45</v>
      </c>
      <c r="T150" t="n">
        <v>15</v>
      </c>
      <c r="U150" t="n">
        <v>14.5</v>
      </c>
      <c r="V150" t="n">
        <v>15.05</v>
      </c>
      <c r="W150" t="n">
        <v>15.65</v>
      </c>
      <c r="X150" t="n">
        <v>15.7</v>
      </c>
      <c r="Y150" t="n">
        <v>15</v>
      </c>
      <c r="Z150" t="n">
        <v>15.3</v>
      </c>
      <c r="AA150" t="n">
        <v>16.75</v>
      </c>
      <c r="AB150" t="n">
        <v>16.15</v>
      </c>
      <c r="AC150" t="n">
        <v>16.35</v>
      </c>
      <c r="AD150" t="n">
        <v>16.6</v>
      </c>
      <c r="AE150" t="n">
        <v>16.25</v>
      </c>
      <c r="AF150" t="n">
        <v>15.8</v>
      </c>
      <c r="AG150" t="n">
        <v>14.6</v>
      </c>
      <c r="AH150" t="n">
        <v>15.45</v>
      </c>
      <c r="AI150" t="n">
        <v>15.2</v>
      </c>
      <c r="AJ150" t="n">
        <v>14.25</v>
      </c>
      <c r="AK150" t="n">
        <v>15.4</v>
      </c>
      <c r="AL150" t="n">
        <v>15.35</v>
      </c>
      <c r="AM150" t="n">
        <v>15</v>
      </c>
      <c r="AN150" t="n">
        <v>15.45</v>
      </c>
      <c r="AP150" t="n">
        <v>15.36666666666667</v>
      </c>
    </row>
    <row r="151">
      <c r="A151" t="n">
        <v>35195050</v>
      </c>
      <c r="B151" t="inlineStr">
        <is>
          <t>CORINTO [35195050]</t>
        </is>
      </c>
      <c r="C151" t="inlineStr">
        <is>
          <t>Boyacá</t>
        </is>
      </c>
      <c r="D151" t="inlineStr">
        <is>
          <t>Pajarito</t>
        </is>
      </c>
      <c r="E151" t="inlineStr">
        <is>
          <t>Area Operativa 06 - Boyacá-Casanare-Vichada</t>
        </is>
      </c>
      <c r="F151" t="inlineStr">
        <is>
          <t>TSSM_MEDIA_D</t>
        </is>
      </c>
      <c r="G151" t="inlineStr">
        <is>
          <t>5.407277778</t>
        </is>
      </c>
      <c r="H151" t="inlineStr">
        <is>
          <t>-72.71722222</t>
        </is>
      </c>
      <c r="I151" t="inlineStr">
        <is>
          <t>1550</t>
        </is>
      </c>
      <c r="J151" t="n">
        <v>19.8</v>
      </c>
      <c r="K151" t="n">
        <v>19.66666666666667</v>
      </c>
      <c r="L151" t="n">
        <v>18.23333333333333</v>
      </c>
      <c r="M151" t="n">
        <v>20</v>
      </c>
      <c r="N151" t="n">
        <v>19.66666666666667</v>
      </c>
      <c r="O151" t="n">
        <v>19</v>
      </c>
      <c r="P151" t="n">
        <v>20.06666666666667</v>
      </c>
      <c r="Q151" t="n">
        <v>19.46666666666667</v>
      </c>
      <c r="R151" t="n">
        <v>20.03333333333333</v>
      </c>
      <c r="S151" t="n">
        <v>19.13333333333334</v>
      </c>
      <c r="T151" t="n">
        <v>19.13333333333333</v>
      </c>
      <c r="U151" t="n">
        <v>19.6</v>
      </c>
      <c r="V151" t="n">
        <v>20.06666666666667</v>
      </c>
      <c r="W151" t="n">
        <v>19.33333333333333</v>
      </c>
      <c r="X151" t="n">
        <v>19.06666666666667</v>
      </c>
      <c r="Y151" t="n">
        <v>20.46666666666667</v>
      </c>
      <c r="Z151" t="n">
        <v>20.73333333333333</v>
      </c>
      <c r="AA151" t="n">
        <v>19.53333333333333</v>
      </c>
      <c r="AB151" t="n">
        <v>20.2</v>
      </c>
      <c r="AC151" t="n">
        <v>20.13333333333334</v>
      </c>
      <c r="AD151" t="n">
        <v>19.4</v>
      </c>
      <c r="AE151" t="n">
        <v>17.96666666666667</v>
      </c>
      <c r="AF151" t="n">
        <v>19.8</v>
      </c>
      <c r="AG151" t="n">
        <v>20.26666666666667</v>
      </c>
      <c r="AH151" t="n">
        <v>20.26666666666667</v>
      </c>
      <c r="AI151" t="n">
        <v>20.06666666666667</v>
      </c>
      <c r="AJ151" t="n">
        <v>19.53333333333333</v>
      </c>
      <c r="AK151" t="n">
        <v>18.86666666666667</v>
      </c>
      <c r="AL151" t="n">
        <v>19.6</v>
      </c>
      <c r="AM151" t="n">
        <v>18.6</v>
      </c>
      <c r="AN151" t="n">
        <v>18.06666666666667</v>
      </c>
      <c r="AP151" t="n">
        <v>19.54086021505376</v>
      </c>
    </row>
    <row r="152">
      <c r="A152" t="n">
        <v>21205940</v>
      </c>
      <c r="B152" t="inlineStr">
        <is>
          <t>VILLA INES [21205940]</t>
        </is>
      </c>
      <c r="C152" t="inlineStr">
        <is>
          <t>Cundinamarca</t>
        </is>
      </c>
      <c r="D152" t="inlineStr">
        <is>
          <t>Facatativá</t>
        </is>
      </c>
      <c r="E152" t="inlineStr">
        <is>
          <t>Area Operativa 11 - Cundinamarca-Amazonas</t>
        </is>
      </c>
      <c r="F152" t="inlineStr">
        <is>
          <t>TSSM_MEDIA_D</t>
        </is>
      </c>
      <c r="G152" t="inlineStr">
        <is>
          <t>4.83211</t>
        </is>
      </c>
      <c r="H152" t="inlineStr">
        <is>
          <t>-74.38056</t>
        </is>
      </c>
      <c r="I152" t="inlineStr">
        <is>
          <t>2590</t>
        </is>
      </c>
      <c r="J152" t="n">
        <v>13.25</v>
      </c>
      <c r="K152" t="n">
        <v>12.8</v>
      </c>
      <c r="L152" t="n">
        <v>13.35</v>
      </c>
      <c r="M152" t="n">
        <v>12.25</v>
      </c>
      <c r="N152" t="n">
        <v>12.3</v>
      </c>
      <c r="O152" t="n">
        <v>13.95</v>
      </c>
      <c r="P152" t="n">
        <v>13.5</v>
      </c>
      <c r="Q152" t="n">
        <v>13.05</v>
      </c>
      <c r="R152" t="n">
        <v>12.7</v>
      </c>
      <c r="S152" t="n">
        <v>12.15</v>
      </c>
      <c r="T152" t="n">
        <v>14.3</v>
      </c>
      <c r="U152" t="n">
        <v>12.95</v>
      </c>
      <c r="V152" t="n">
        <v>11.9</v>
      </c>
      <c r="W152" t="n">
        <v>13.25</v>
      </c>
      <c r="Z152" t="n">
        <v>14.15</v>
      </c>
      <c r="AA152" t="n">
        <v>13.65</v>
      </c>
      <c r="AB152" t="n">
        <v>12.45</v>
      </c>
      <c r="AC152" t="n">
        <v>13.3</v>
      </c>
      <c r="AD152" t="n">
        <v>14.15</v>
      </c>
      <c r="AE152" t="n">
        <v>13.45</v>
      </c>
      <c r="AF152" t="n">
        <v>13.85</v>
      </c>
      <c r="AG152" t="n">
        <v>12.55</v>
      </c>
      <c r="AH152" t="n">
        <v>13.65</v>
      </c>
      <c r="AI152" t="n">
        <v>13.75</v>
      </c>
      <c r="AJ152" t="n">
        <v>13.5</v>
      </c>
      <c r="AK152" t="n">
        <v>13.4</v>
      </c>
      <c r="AL152" t="n">
        <v>13.85</v>
      </c>
      <c r="AM152" t="n">
        <v>13.65</v>
      </c>
      <c r="AN152" t="n">
        <v>12.85</v>
      </c>
      <c r="AP152" t="n">
        <v>13.23793103448276</v>
      </c>
    </row>
    <row r="153">
      <c r="A153" t="n">
        <v>25025380</v>
      </c>
      <c r="B153" t="inlineStr">
        <is>
          <t>SAN BENITO - AUT [25025380]</t>
        </is>
      </c>
      <c r="C153" t="inlineStr">
        <is>
          <t>Sucre</t>
        </is>
      </c>
      <c r="D153" t="inlineStr">
        <is>
          <t>San Benito Abad</t>
        </is>
      </c>
      <c r="E153" t="inlineStr">
        <is>
          <t>Area Operativa 02 - Atlántico-Bolivar-Sucre</t>
        </is>
      </c>
      <c r="F153" t="inlineStr">
        <is>
          <t>TSSM_MEDIA_D</t>
        </is>
      </c>
      <c r="G153" t="inlineStr">
        <is>
          <t>9.163888889</t>
        </is>
      </c>
      <c r="H153" t="inlineStr">
        <is>
          <t>-75.04472222</t>
        </is>
      </c>
      <c r="I153" t="inlineStr">
        <is>
          <t>20</t>
        </is>
      </c>
      <c r="K153" t="n">
        <v>27.65</v>
      </c>
      <c r="L153" t="n">
        <v>27.95</v>
      </c>
      <c r="M153" t="n">
        <v>27.85</v>
      </c>
      <c r="N153" t="n">
        <v>26.65</v>
      </c>
      <c r="O153" t="n">
        <v>27.4</v>
      </c>
      <c r="P153" t="n">
        <v>28.1</v>
      </c>
      <c r="Q153" t="n">
        <v>26.45</v>
      </c>
      <c r="R153" t="n">
        <v>28.4</v>
      </c>
      <c r="S153" t="n">
        <v>28.35</v>
      </c>
      <c r="T153" t="n">
        <v>28.15</v>
      </c>
      <c r="U153" t="n">
        <v>27.75</v>
      </c>
      <c r="V153" t="n">
        <v>27.65</v>
      </c>
      <c r="W153" t="n">
        <v>28.5</v>
      </c>
      <c r="X153" t="n">
        <v>26.85</v>
      </c>
      <c r="Y153" t="n">
        <v>27.8</v>
      </c>
      <c r="Z153" t="n">
        <v>28.8</v>
      </c>
      <c r="AA153" t="n">
        <v>29.2</v>
      </c>
      <c r="AB153" t="n">
        <v>28.6</v>
      </c>
      <c r="AC153" t="n">
        <v>29.65</v>
      </c>
      <c r="AD153" t="n">
        <v>28.45</v>
      </c>
      <c r="AE153" t="n">
        <v>29.05</v>
      </c>
      <c r="AF153" t="n">
        <v>29.15</v>
      </c>
      <c r="AG153" t="n">
        <v>28.85</v>
      </c>
      <c r="AH153" t="n">
        <v>28.8</v>
      </c>
      <c r="AI153" t="n">
        <v>28.95</v>
      </c>
      <c r="AJ153" t="n">
        <v>28.25</v>
      </c>
      <c r="AK153" t="n">
        <v>28.1</v>
      </c>
      <c r="AL153" t="n">
        <v>28.55</v>
      </c>
      <c r="AM153" t="n">
        <v>27.5</v>
      </c>
      <c r="AN153" t="n">
        <v>27.95</v>
      </c>
      <c r="AP153" t="n">
        <v>28.17833333333333</v>
      </c>
    </row>
    <row r="154">
      <c r="A154" t="n">
        <v>26185020</v>
      </c>
      <c r="B154" t="inlineStr">
        <is>
          <t>MESOPOTAMIA [26185020]</t>
        </is>
      </c>
      <c r="C154" t="inlineStr">
        <is>
          <t>Antioquia</t>
        </is>
      </c>
      <c r="D154" t="inlineStr">
        <is>
          <t>La Unión</t>
        </is>
      </c>
      <c r="E154" t="inlineStr">
        <is>
          <t>Area Operativa 01 - Antioquia-Chocó</t>
        </is>
      </c>
      <c r="F154" t="inlineStr">
        <is>
          <t>TSSM_MEDIA_D</t>
        </is>
      </c>
      <c r="G154" t="inlineStr">
        <is>
          <t>5.886361111</t>
        </is>
      </c>
      <c r="H154" t="inlineStr">
        <is>
          <t>-75.31863889</t>
        </is>
      </c>
      <c r="I154" t="inlineStr">
        <is>
          <t>2408</t>
        </is>
      </c>
      <c r="K154" t="n">
        <v>15.1</v>
      </c>
      <c r="L154" t="n">
        <v>15</v>
      </c>
      <c r="M154" t="n">
        <v>13.45</v>
      </c>
      <c r="N154" t="n">
        <v>14.9</v>
      </c>
      <c r="O154" t="n">
        <v>14.85</v>
      </c>
      <c r="P154" t="n">
        <v>14.4</v>
      </c>
      <c r="R154" t="n">
        <v>14.85</v>
      </c>
      <c r="S154" t="n">
        <v>13.6</v>
      </c>
      <c r="T154" t="n">
        <v>13.75</v>
      </c>
      <c r="U154" t="n">
        <v>14</v>
      </c>
      <c r="V154" t="n">
        <v>14.5</v>
      </c>
      <c r="W154" t="n">
        <v>15.1</v>
      </c>
      <c r="X154" t="n">
        <v>14.65</v>
      </c>
      <c r="Y154" t="n">
        <v>14.8</v>
      </c>
      <c r="Z154" t="n">
        <v>15.95</v>
      </c>
      <c r="AA154" t="n">
        <v>15.45</v>
      </c>
      <c r="AB154" t="n">
        <v>15.55</v>
      </c>
      <c r="AC154" t="n">
        <v>16.05</v>
      </c>
      <c r="AD154" t="n">
        <v>15.05</v>
      </c>
      <c r="AF154" t="n">
        <v>14.5</v>
      </c>
      <c r="AG154" t="n">
        <v>15.1</v>
      </c>
      <c r="AH154" t="n">
        <v>13.9</v>
      </c>
      <c r="AI154" t="n">
        <v>14.6</v>
      </c>
      <c r="AJ154" t="n">
        <v>14.85</v>
      </c>
      <c r="AK154" t="n">
        <v>14.35</v>
      </c>
      <c r="AL154" t="n">
        <v>15.35</v>
      </c>
      <c r="AM154" t="n">
        <v>15.7</v>
      </c>
      <c r="AN154" t="n">
        <v>15.6</v>
      </c>
      <c r="AP154" t="n">
        <v>14.81964285714286</v>
      </c>
    </row>
    <row r="155">
      <c r="A155" t="n">
        <v>31015010</v>
      </c>
      <c r="B155" t="inlineStr">
        <is>
          <t>EL TRUENO [31015010]</t>
        </is>
      </c>
      <c r="C155" t="inlineStr">
        <is>
          <t>Guaviare</t>
        </is>
      </c>
      <c r="D155" t="inlineStr">
        <is>
          <t>El Retorno</t>
        </is>
      </c>
      <c r="E155" t="inlineStr">
        <is>
          <t>Area Operativa 03 - Meta-Guaviare-Guainía</t>
        </is>
      </c>
      <c r="F155" t="inlineStr">
        <is>
          <t>TSSM_MEDIA_D</t>
        </is>
      </c>
      <c r="G155" t="inlineStr">
        <is>
          <t>2.372592</t>
        </is>
      </c>
      <c r="H155" t="inlineStr">
        <is>
          <t>-72.639861</t>
        </is>
      </c>
      <c r="I155" t="inlineStr">
        <is>
          <t>216</t>
        </is>
      </c>
      <c r="J155" t="n">
        <v>24.5</v>
      </c>
      <c r="K155" t="n">
        <v>24</v>
      </c>
      <c r="L155" t="n">
        <v>26.7</v>
      </c>
      <c r="M155" t="n">
        <v>26.9</v>
      </c>
      <c r="O155" t="n">
        <v>23.5</v>
      </c>
      <c r="P155" t="n">
        <v>26.3</v>
      </c>
      <c r="Q155" t="n">
        <v>24.5</v>
      </c>
      <c r="R155" t="n">
        <v>26.35</v>
      </c>
      <c r="T155" t="n">
        <v>25</v>
      </c>
      <c r="X155" t="n">
        <v>24.7</v>
      </c>
      <c r="Z155" t="n">
        <v>26.85</v>
      </c>
      <c r="AA155" t="n">
        <v>25.85</v>
      </c>
      <c r="AB155" t="n">
        <v>27.15</v>
      </c>
      <c r="AC155" t="n">
        <v>26.85</v>
      </c>
      <c r="AD155" t="n">
        <v>27.4</v>
      </c>
      <c r="AE155" t="n">
        <v>26.5</v>
      </c>
      <c r="AF155" t="n">
        <v>26.95</v>
      </c>
      <c r="AG155" t="n">
        <v>27</v>
      </c>
      <c r="AH155" t="n">
        <v>25.25</v>
      </c>
      <c r="AI155" t="n">
        <v>27.5</v>
      </c>
      <c r="AJ155" t="n">
        <v>27.15</v>
      </c>
      <c r="AK155" t="n">
        <v>26.8</v>
      </c>
      <c r="AL155" t="n">
        <v>25.65</v>
      </c>
      <c r="AP155" t="n">
        <v>26.05869565217391</v>
      </c>
    </row>
    <row r="156">
      <c r="A156" t="n">
        <v>35045020</v>
      </c>
      <c r="B156" t="inlineStr">
        <is>
          <t>HACIENDA LA CABAÑA [35045020]</t>
        </is>
      </c>
      <c r="C156" t="inlineStr">
        <is>
          <t>Meta</t>
        </is>
      </c>
      <c r="D156" t="inlineStr">
        <is>
          <t>Cumaral</t>
        </is>
      </c>
      <c r="E156" t="inlineStr">
        <is>
          <t>Area Operativa 03 - Meta-Guaviare-Guainía</t>
        </is>
      </c>
      <c r="F156" t="inlineStr">
        <is>
          <t>TSSM_MEDIA_D</t>
        </is>
      </c>
      <c r="G156" t="inlineStr">
        <is>
          <t>4.300444444</t>
        </is>
      </c>
      <c r="H156" t="inlineStr">
        <is>
          <t>-73.3575</t>
        </is>
      </c>
      <c r="I156" t="inlineStr">
        <is>
          <t>310</t>
        </is>
      </c>
      <c r="J156" t="n">
        <v>27.95</v>
      </c>
      <c r="K156" t="n">
        <v>24.8</v>
      </c>
      <c r="L156" t="n">
        <v>25.9</v>
      </c>
      <c r="M156" t="n">
        <v>26.6</v>
      </c>
      <c r="N156" t="n">
        <v>25.3</v>
      </c>
      <c r="O156" t="n">
        <v>22.9</v>
      </c>
      <c r="P156" t="n">
        <v>23.65</v>
      </c>
      <c r="Q156" t="n">
        <v>26.6</v>
      </c>
      <c r="R156" t="n">
        <v>26.05</v>
      </c>
      <c r="S156" t="n">
        <v>26</v>
      </c>
      <c r="T156" t="n">
        <v>24.75</v>
      </c>
      <c r="U156" t="n">
        <v>25.3</v>
      </c>
      <c r="V156" t="n">
        <v>24</v>
      </c>
      <c r="W156" t="n">
        <v>25.4</v>
      </c>
      <c r="X156" t="n">
        <v>25.3</v>
      </c>
      <c r="Y156" t="n">
        <v>24.15</v>
      </c>
      <c r="Z156" t="n">
        <v>25.7</v>
      </c>
      <c r="AA156" t="n">
        <v>26.65</v>
      </c>
      <c r="AB156" t="n">
        <v>26.65</v>
      </c>
      <c r="AD156" t="n">
        <v>26.3</v>
      </c>
      <c r="AE156" t="n">
        <v>25.95</v>
      </c>
      <c r="AF156" t="n">
        <v>27.9</v>
      </c>
      <c r="AG156" t="n">
        <v>27.25</v>
      </c>
      <c r="AH156" t="n">
        <v>27.25</v>
      </c>
      <c r="AI156" t="n">
        <v>26.65</v>
      </c>
      <c r="AJ156" t="n">
        <v>25.25</v>
      </c>
      <c r="AK156" t="n">
        <v>25.25</v>
      </c>
      <c r="AL156" t="n">
        <v>25.9</v>
      </c>
      <c r="AM156" t="n">
        <v>26.15</v>
      </c>
      <c r="AN156" t="n">
        <v>25.1</v>
      </c>
      <c r="AP156" t="n">
        <v>25.75333333333333</v>
      </c>
    </row>
    <row r="157">
      <c r="A157" t="n">
        <v>52055220</v>
      </c>
      <c r="B157" t="inlineStr">
        <is>
          <t>EL PARAISO - AUT [52055220]</t>
        </is>
      </c>
      <c r="C157" t="inlineStr">
        <is>
          <t>Nariño</t>
        </is>
      </c>
      <c r="D157" t="inlineStr">
        <is>
          <t>Túquerres</t>
        </is>
      </c>
      <c r="E157" t="inlineStr">
        <is>
          <t>Area Operativa 07 - Nariño-Putumayo</t>
        </is>
      </c>
      <c r="F157" t="inlineStr">
        <is>
          <t>TSSM_MEDIA_D</t>
        </is>
      </c>
      <c r="G157" t="inlineStr">
        <is>
          <t>1.070707855</t>
        </is>
      </c>
      <c r="H157" t="inlineStr">
        <is>
          <t>-77.636935689</t>
        </is>
      </c>
      <c r="I157" t="inlineStr">
        <is>
          <t>3033</t>
        </is>
      </c>
      <c r="J157" t="n">
        <v>12.25</v>
      </c>
      <c r="K157" t="n">
        <v>12.2</v>
      </c>
      <c r="L157" t="n">
        <v>11</v>
      </c>
      <c r="M157" t="n">
        <v>13.1</v>
      </c>
      <c r="N157" t="n">
        <v>11.1</v>
      </c>
      <c r="O157" t="n">
        <v>12.1</v>
      </c>
      <c r="P157" t="n">
        <v>11.95</v>
      </c>
      <c r="Q157" t="n">
        <v>11.55</v>
      </c>
      <c r="R157" t="n">
        <v>11.4</v>
      </c>
      <c r="S157" t="n">
        <v>11.75</v>
      </c>
      <c r="T157" t="n">
        <v>11.25</v>
      </c>
      <c r="U157" t="n">
        <v>11.4</v>
      </c>
      <c r="V157" t="n">
        <v>11.45</v>
      </c>
      <c r="W157" t="n">
        <v>11.075</v>
      </c>
      <c r="X157" t="n">
        <v>11.2</v>
      </c>
      <c r="Y157" t="n">
        <v>11.75</v>
      </c>
      <c r="Z157" t="n">
        <v>11.8</v>
      </c>
      <c r="AB157" t="n">
        <v>11.5</v>
      </c>
      <c r="AC157" t="n">
        <v>11.6</v>
      </c>
      <c r="AD157" t="n">
        <v>12.15</v>
      </c>
      <c r="AE157" t="n">
        <v>10.95</v>
      </c>
      <c r="AF157" t="n">
        <v>11.45</v>
      </c>
      <c r="AG157" t="n">
        <v>12.25</v>
      </c>
      <c r="AH157" t="n">
        <v>11.65</v>
      </c>
      <c r="AI157" t="n">
        <v>11.75</v>
      </c>
      <c r="AJ157" t="n">
        <v>10.95</v>
      </c>
      <c r="AK157" t="n">
        <v>11.55</v>
      </c>
      <c r="AL157" t="n">
        <v>12.1</v>
      </c>
      <c r="AM157" t="n">
        <v>12.3</v>
      </c>
      <c r="AN157" t="n">
        <v>11.4</v>
      </c>
      <c r="AP157" t="n">
        <v>11.66416666666666</v>
      </c>
    </row>
    <row r="158">
      <c r="A158" t="n">
        <v>29035080</v>
      </c>
      <c r="B158" t="inlineStr">
        <is>
          <t>NORMAL MANATI  - AUT [29035080]</t>
        </is>
      </c>
      <c r="C158" t="inlineStr">
        <is>
          <t>Atlantico</t>
        </is>
      </c>
      <c r="D158" t="inlineStr">
        <is>
          <t>Manatí</t>
        </is>
      </c>
      <c r="E158" t="inlineStr">
        <is>
          <t>Area Operativa 02 - Atlántico-Bolivar-Sucre</t>
        </is>
      </c>
      <c r="F158" t="inlineStr">
        <is>
          <t>TSSM_MEDIA_D</t>
        </is>
      </c>
      <c r="G158" t="inlineStr">
        <is>
          <t>10.453966</t>
        </is>
      </c>
      <c r="H158" t="inlineStr">
        <is>
          <t>-74.954726</t>
        </is>
      </c>
      <c r="I158" t="inlineStr">
        <is>
          <t>10</t>
        </is>
      </c>
      <c r="J158" t="n">
        <v>28.2</v>
      </c>
      <c r="K158" t="n">
        <v>28.55</v>
      </c>
      <c r="L158" t="n">
        <v>28.15</v>
      </c>
      <c r="M158" t="n">
        <v>28.275</v>
      </c>
      <c r="N158" t="n">
        <v>27.7</v>
      </c>
      <c r="O158" t="n">
        <v>27.8</v>
      </c>
      <c r="P158" t="n">
        <v>27.9</v>
      </c>
      <c r="Q158" t="n">
        <v>28.5</v>
      </c>
      <c r="R158" t="n">
        <v>28.2</v>
      </c>
      <c r="S158" t="n">
        <v>27.9</v>
      </c>
      <c r="T158" t="n">
        <v>27.7</v>
      </c>
      <c r="U158" t="n">
        <v>27.55</v>
      </c>
      <c r="V158" t="n">
        <v>28.25</v>
      </c>
      <c r="W158" t="n">
        <v>27.45</v>
      </c>
      <c r="X158" t="n">
        <v>28.45</v>
      </c>
      <c r="Y158" t="n">
        <v>26.9</v>
      </c>
      <c r="Z158" t="n">
        <v>28.6</v>
      </c>
      <c r="AA158" t="n">
        <v>28.75</v>
      </c>
      <c r="AB158" t="n">
        <v>28.35</v>
      </c>
      <c r="AC158" t="n">
        <v>28.45</v>
      </c>
      <c r="AD158" t="n">
        <v>28.05</v>
      </c>
      <c r="AE158" t="n">
        <v>27.8</v>
      </c>
      <c r="AF158" t="n">
        <v>27.35</v>
      </c>
      <c r="AG158" t="n">
        <v>27.85</v>
      </c>
      <c r="AH158" t="n">
        <v>28.1</v>
      </c>
      <c r="AI158" t="n">
        <v>28.6</v>
      </c>
      <c r="AJ158" t="n">
        <v>28.15</v>
      </c>
      <c r="AK158" t="n">
        <v>27.9</v>
      </c>
      <c r="AL158" t="n">
        <v>28.1</v>
      </c>
      <c r="AM158" t="n">
        <v>28.4</v>
      </c>
      <c r="AN158" t="n">
        <v>27.7</v>
      </c>
      <c r="AP158" t="n">
        <v>28.05241935483871</v>
      </c>
    </row>
    <row r="159">
      <c r="A159" t="n">
        <v>13075010</v>
      </c>
      <c r="B159" t="inlineStr">
        <is>
          <t>CHIMA [13075010]</t>
        </is>
      </c>
      <c r="C159" t="inlineStr">
        <is>
          <t>Cordoba</t>
        </is>
      </c>
      <c r="D159" t="inlineStr">
        <is>
          <t>Chima</t>
        </is>
      </c>
      <c r="E159" t="inlineStr">
        <is>
          <t>Area Operativa 02 - Atlántico-Bolivar-Sucre</t>
        </is>
      </c>
      <c r="F159" t="inlineStr">
        <is>
          <t>TSSM_MEDIA_D</t>
        </is>
      </c>
      <c r="G159" t="inlineStr">
        <is>
          <t>9.15075</t>
        </is>
      </c>
      <c r="H159" t="inlineStr">
        <is>
          <t>-75.62208333</t>
        </is>
      </c>
      <c r="I159" t="inlineStr">
        <is>
          <t>20</t>
        </is>
      </c>
      <c r="J159" t="n">
        <v>28.55</v>
      </c>
      <c r="K159" t="n">
        <v>27.3</v>
      </c>
      <c r="L159" t="n">
        <v>26.825</v>
      </c>
      <c r="M159" t="n">
        <v>26.9</v>
      </c>
      <c r="N159" t="n">
        <v>26.35</v>
      </c>
      <c r="O159" t="n">
        <v>26.7</v>
      </c>
      <c r="P159" t="n">
        <v>28.2</v>
      </c>
      <c r="Q159" t="n">
        <v>28.8</v>
      </c>
      <c r="R159" t="n">
        <v>27.55</v>
      </c>
      <c r="S159" t="n">
        <v>28.05</v>
      </c>
      <c r="T159" t="n">
        <v>28.025</v>
      </c>
      <c r="U159" t="n">
        <v>27.1</v>
      </c>
      <c r="V159" t="n">
        <v>27.425</v>
      </c>
      <c r="W159" t="n">
        <v>26.5</v>
      </c>
      <c r="X159" t="n">
        <v>26.875</v>
      </c>
      <c r="Y159" t="n">
        <v>27.675</v>
      </c>
      <c r="Z159" t="n">
        <v>27.95</v>
      </c>
      <c r="AA159" t="n">
        <v>28.4</v>
      </c>
      <c r="AB159" t="n">
        <v>27.85</v>
      </c>
      <c r="AC159" t="n">
        <v>28.675</v>
      </c>
      <c r="AD159" t="n">
        <v>28.55</v>
      </c>
      <c r="AE159" t="n">
        <v>27.875</v>
      </c>
      <c r="AF159" t="n">
        <v>27.575</v>
      </c>
      <c r="AG159" t="n">
        <v>27.1</v>
      </c>
      <c r="AH159" t="n">
        <v>28.05</v>
      </c>
      <c r="AI159" t="n">
        <v>27.65</v>
      </c>
      <c r="AJ159" t="n">
        <v>28.075</v>
      </c>
      <c r="AK159" t="n">
        <v>27.475</v>
      </c>
      <c r="AL159" t="n">
        <v>26.95</v>
      </c>
      <c r="AM159" t="n">
        <v>26.95</v>
      </c>
      <c r="AN159" t="n">
        <v>26.8</v>
      </c>
      <c r="AP159" t="n">
        <v>27.57258064516129</v>
      </c>
    </row>
    <row r="160">
      <c r="A160" t="n">
        <v>35235040</v>
      </c>
      <c r="B160" t="inlineStr">
        <is>
          <t>TRINIDAD - AUT [35235040]</t>
        </is>
      </c>
      <c r="C160" t="inlineStr">
        <is>
          <t>Casanare</t>
        </is>
      </c>
      <c r="D160" t="inlineStr">
        <is>
          <t>Trinidad</t>
        </is>
      </c>
      <c r="E160" t="inlineStr">
        <is>
          <t>Area Operativa 06 - Boyacá-Casanare-Vichada</t>
        </is>
      </c>
      <c r="F160" t="inlineStr">
        <is>
          <t>TSSM_MEDIA_D</t>
        </is>
      </c>
      <c r="G160" t="inlineStr">
        <is>
          <t>5.419027778</t>
        </is>
      </c>
      <c r="H160" t="inlineStr">
        <is>
          <t>-71.66616667</t>
        </is>
      </c>
      <c r="I160" t="inlineStr">
        <is>
          <t>265</t>
        </is>
      </c>
      <c r="J160" t="n">
        <v>29.73333333333333</v>
      </c>
      <c r="K160" t="n">
        <v>30.4</v>
      </c>
      <c r="L160" t="n">
        <v>28.6</v>
      </c>
      <c r="M160" t="n">
        <v>29.6</v>
      </c>
      <c r="N160" t="n">
        <v>29.6</v>
      </c>
      <c r="O160" t="n">
        <v>29.8</v>
      </c>
      <c r="P160" t="n">
        <v>30</v>
      </c>
      <c r="Q160" t="n">
        <v>28.86666666666666</v>
      </c>
      <c r="R160" t="n">
        <v>30.33333333333333</v>
      </c>
      <c r="S160" t="n">
        <v>29.73333333333333</v>
      </c>
      <c r="T160" t="n">
        <v>28.26666666666667</v>
      </c>
      <c r="U160" t="n">
        <v>29.53333333333333</v>
      </c>
      <c r="V160" t="n">
        <v>30.26666666666667</v>
      </c>
      <c r="W160" t="n">
        <v>29.26666666666667</v>
      </c>
      <c r="X160" t="n">
        <v>28.86666666666666</v>
      </c>
      <c r="Y160" t="n">
        <v>29.2</v>
      </c>
      <c r="Z160" t="n">
        <v>29.6</v>
      </c>
      <c r="AA160" t="n">
        <v>31.4</v>
      </c>
      <c r="AB160" t="n">
        <v>29.66666666666667</v>
      </c>
      <c r="AC160" t="n">
        <v>28.46666666666667</v>
      </c>
      <c r="AD160" t="n">
        <v>29.53333333333333</v>
      </c>
      <c r="AE160" t="n">
        <v>29.4</v>
      </c>
      <c r="AF160" t="n">
        <v>28.6</v>
      </c>
      <c r="AG160" t="n">
        <v>30.2</v>
      </c>
      <c r="AH160" t="n">
        <v>29.2</v>
      </c>
      <c r="AI160" t="n">
        <v>33.06666666666667</v>
      </c>
      <c r="AJ160" t="n">
        <v>30</v>
      </c>
      <c r="AK160" t="n">
        <v>29.06666666666667</v>
      </c>
      <c r="AL160" t="n">
        <v>30.26666666666667</v>
      </c>
      <c r="AM160" t="n">
        <v>28.73333333333333</v>
      </c>
      <c r="AN160" t="n">
        <v>29.53333333333333</v>
      </c>
      <c r="AP160" t="n">
        <v>29.63870967741936</v>
      </c>
    </row>
    <row r="161">
      <c r="A161" t="n">
        <v>3502500006</v>
      </c>
      <c r="B161" t="inlineStr">
        <is>
          <t>MORICHAL   [3502500006]</t>
        </is>
      </c>
      <c r="C161" t="inlineStr">
        <is>
          <t>Meta</t>
        </is>
      </c>
      <c r="D161" t="inlineStr">
        <is>
          <t>San Carlos De Guaroa</t>
        </is>
      </c>
      <c r="E161" t="inlineStr">
        <is>
          <t>Area Operativa 03 - Meta-Guaviare-Guainía</t>
        </is>
      </c>
      <c r="F161" t="inlineStr">
        <is>
          <t>TSSM_MEDIA_D</t>
        </is>
      </c>
      <c r="G161" t="inlineStr">
        <is>
          <t>3.932547222</t>
        </is>
      </c>
      <c r="H161" t="inlineStr">
        <is>
          <t>-73.242963889</t>
        </is>
      </c>
      <c r="I161" t="inlineStr">
        <is>
          <t>277</t>
        </is>
      </c>
      <c r="K161" t="n">
        <v>26.35</v>
      </c>
      <c r="L161" t="n">
        <v>24.55</v>
      </c>
      <c r="M161" t="n">
        <v>28.2</v>
      </c>
      <c r="O161" t="n">
        <v>23.65</v>
      </c>
      <c r="P161" t="n">
        <v>25.25</v>
      </c>
      <c r="Q161" t="n">
        <v>25.95</v>
      </c>
      <c r="R161" t="n">
        <v>25.45</v>
      </c>
      <c r="S161" t="n">
        <v>25.2</v>
      </c>
      <c r="T161" t="n">
        <v>25.925</v>
      </c>
      <c r="U161" t="n">
        <v>25.55</v>
      </c>
      <c r="V161" t="n">
        <v>24.4</v>
      </c>
      <c r="W161" t="n">
        <v>24.65</v>
      </c>
      <c r="X161" t="n">
        <v>25.65</v>
      </c>
      <c r="Y161" t="n">
        <v>25.35</v>
      </c>
      <c r="Z161" t="n">
        <v>26.55</v>
      </c>
      <c r="AA161" t="n">
        <v>26.85</v>
      </c>
      <c r="AB161" t="n">
        <v>27.05</v>
      </c>
      <c r="AC161" t="n">
        <v>28.5</v>
      </c>
      <c r="AD161" t="n">
        <v>27.6</v>
      </c>
      <c r="AE161" t="n">
        <v>26.9</v>
      </c>
      <c r="AF161" t="n">
        <v>27.95</v>
      </c>
      <c r="AG161" t="n">
        <v>27.75</v>
      </c>
      <c r="AH161" t="n">
        <v>28.2</v>
      </c>
      <c r="AI161" t="n">
        <v>28.1</v>
      </c>
      <c r="AJ161" t="n">
        <v>25.825</v>
      </c>
      <c r="AK161" t="n">
        <v>26.275</v>
      </c>
      <c r="AL161" t="n">
        <v>26.6</v>
      </c>
      <c r="AM161" t="n">
        <v>26.05</v>
      </c>
      <c r="AN161" t="n">
        <v>26.5</v>
      </c>
      <c r="AP161" t="n">
        <v>26.30431034482759</v>
      </c>
    </row>
    <row r="162">
      <c r="A162" t="n">
        <v>32155010</v>
      </c>
      <c r="B162" t="inlineStr">
        <is>
          <t>MAPIRIPANA [32155010]</t>
        </is>
      </c>
      <c r="C162" t="inlineStr">
        <is>
          <t>Guainía</t>
        </is>
      </c>
      <c r="D162" t="inlineStr">
        <is>
          <t>Barranco Mina</t>
        </is>
      </c>
      <c r="E162" t="inlineStr">
        <is>
          <t>Area Operativa 03 - Meta-Guaviare-Guainía</t>
        </is>
      </c>
      <c r="F162" t="inlineStr">
        <is>
          <t>TSSM_MEDIA_D</t>
        </is>
      </c>
      <c r="G162" t="inlineStr">
        <is>
          <t>2.811778</t>
        </is>
      </c>
      <c r="H162" t="inlineStr">
        <is>
          <t>-70.475139</t>
        </is>
      </c>
      <c r="I162" t="inlineStr">
        <is>
          <t>154</t>
        </is>
      </c>
      <c r="J162" t="n">
        <v>28.15</v>
      </c>
      <c r="K162" t="n">
        <v>28.1</v>
      </c>
      <c r="L162" t="n">
        <v>25.75</v>
      </c>
      <c r="M162" t="n">
        <v>28.25</v>
      </c>
      <c r="N162" t="n">
        <v>30.1</v>
      </c>
      <c r="O162" t="n">
        <v>25.65</v>
      </c>
      <c r="P162" t="n">
        <v>26.3</v>
      </c>
      <c r="Q162" t="n">
        <v>24.85</v>
      </c>
      <c r="R162" t="n">
        <v>27.25</v>
      </c>
      <c r="S162" t="n">
        <v>27.6</v>
      </c>
      <c r="T162" t="n">
        <v>24.4</v>
      </c>
      <c r="U162" t="n">
        <v>26.15</v>
      </c>
      <c r="V162" t="n">
        <v>25.1</v>
      </c>
      <c r="W162" t="n">
        <v>24.35</v>
      </c>
      <c r="X162" t="n">
        <v>26.65</v>
      </c>
      <c r="Y162" t="n">
        <v>25.65</v>
      </c>
      <c r="Z162" t="n">
        <v>26.55</v>
      </c>
      <c r="AA162" t="n">
        <v>28.1</v>
      </c>
      <c r="AB162" t="n">
        <v>29.9</v>
      </c>
      <c r="AC162" t="n">
        <v>27.65</v>
      </c>
      <c r="AD162" t="n">
        <v>27.95</v>
      </c>
      <c r="AE162" t="n">
        <v>29.4</v>
      </c>
      <c r="AF162" t="n">
        <v>28.45</v>
      </c>
      <c r="AG162" t="n">
        <v>28.45</v>
      </c>
      <c r="AH162" t="n">
        <v>26.5</v>
      </c>
      <c r="AI162" t="n">
        <v>29.1</v>
      </c>
      <c r="AJ162" t="n">
        <v>26.65</v>
      </c>
      <c r="AK162" t="n">
        <v>27.15</v>
      </c>
      <c r="AL162" t="n">
        <v>25.45</v>
      </c>
      <c r="AM162" t="n">
        <v>26.1</v>
      </c>
      <c r="AN162" t="n">
        <v>27.55</v>
      </c>
      <c r="AP162" t="n">
        <v>27.0725806451613</v>
      </c>
    </row>
    <row r="163">
      <c r="A163" t="n">
        <v>35095110</v>
      </c>
      <c r="B163" t="inlineStr">
        <is>
          <t>HUERTA LA GRANDE [35095110]</t>
        </is>
      </c>
      <c r="C163" t="inlineStr">
        <is>
          <t>Casanare</t>
        </is>
      </c>
      <c r="D163" t="inlineStr">
        <is>
          <t>Villanueva</t>
        </is>
      </c>
      <c r="E163" t="inlineStr">
        <is>
          <t>Area Operativa 03 - Meta-Guaviare-Guainía</t>
        </is>
      </c>
      <c r="F163" t="inlineStr">
        <is>
          <t>TSSM_MEDIA_D</t>
        </is>
      </c>
      <c r="G163" t="inlineStr">
        <is>
          <t>4.65144</t>
        </is>
      </c>
      <c r="H163" t="inlineStr">
        <is>
          <t>-72.915458</t>
        </is>
      </c>
      <c r="I163" t="inlineStr">
        <is>
          <t>345</t>
        </is>
      </c>
      <c r="J163" t="n">
        <v>27.2</v>
      </c>
      <c r="K163" t="n">
        <v>25.3</v>
      </c>
      <c r="L163" t="n">
        <v>25.5</v>
      </c>
      <c r="M163" t="n">
        <v>25.65</v>
      </c>
      <c r="N163" t="n">
        <v>26</v>
      </c>
      <c r="O163" t="n">
        <v>22.65</v>
      </c>
      <c r="P163" t="n">
        <v>24.05</v>
      </c>
      <c r="Q163" t="n">
        <v>25.15</v>
      </c>
      <c r="R163" t="n">
        <v>26.15</v>
      </c>
      <c r="S163" t="n">
        <v>25.3</v>
      </c>
      <c r="T163" t="n">
        <v>24.6</v>
      </c>
      <c r="U163" t="n">
        <v>25.5</v>
      </c>
      <c r="V163" t="n">
        <v>24.6</v>
      </c>
      <c r="W163" t="n">
        <v>24.35</v>
      </c>
      <c r="X163" t="n">
        <v>25</v>
      </c>
      <c r="Y163" t="n">
        <v>25.55</v>
      </c>
      <c r="Z163" t="n">
        <v>26.5</v>
      </c>
      <c r="AA163" t="n">
        <v>26.5</v>
      </c>
      <c r="AB163" t="n">
        <v>26.55</v>
      </c>
      <c r="AC163" t="n">
        <v>27.65</v>
      </c>
      <c r="AD163" t="n">
        <v>27.2</v>
      </c>
      <c r="AE163" t="n">
        <v>26.8</v>
      </c>
      <c r="AF163" t="n">
        <v>27.3</v>
      </c>
      <c r="AG163" t="n">
        <v>26.45</v>
      </c>
      <c r="AH163" t="n">
        <v>27.3</v>
      </c>
      <c r="AI163" t="n">
        <v>26.575</v>
      </c>
      <c r="AJ163" t="n">
        <v>26.9</v>
      </c>
      <c r="AK163" t="n">
        <v>26.6</v>
      </c>
      <c r="AL163" t="n">
        <v>24.5</v>
      </c>
      <c r="AM163" t="n">
        <v>24.675</v>
      </c>
      <c r="AN163" t="n">
        <v>26.175</v>
      </c>
      <c r="AP163" t="n">
        <v>25.81370967741936</v>
      </c>
    </row>
  </sheetData>
  <autoFilter ref="A1:S15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5">
    <outlinePr summaryBelow="1" summaryRight="1"/>
    <pageSetUpPr/>
  </sheetPr>
  <dimension ref="A1:AC364"/>
  <sheetViews>
    <sheetView topLeftCell="C1" workbookViewId="0">
      <selection activeCell="Q28" sqref="Q1:Q1048576"/>
    </sheetView>
  </sheetViews>
  <sheetFormatPr baseColWidth="10" defaultRowHeight="12.75"/>
  <cols>
    <col width="21.140625" customWidth="1" min="2" max="2"/>
    <col width="34.7109375" bestFit="1" customWidth="1" min="3" max="3"/>
  </cols>
  <sheetData>
    <row r="1" ht="16.15" customHeight="1" thickBot="1">
      <c r="A1" s="90" t="inlineStr">
        <is>
          <t>INFORMACIÓN GENERAL ESTACIONES</t>
        </is>
      </c>
      <c r="B1" s="91" t="n"/>
      <c r="C1" s="91" t="n"/>
      <c r="D1" s="91" t="n"/>
      <c r="E1" s="91" t="n"/>
      <c r="F1" s="91" t="n"/>
      <c r="G1" s="91" t="n"/>
      <c r="H1" s="91" t="n"/>
      <c r="I1" s="101" t="n"/>
      <c r="J1" s="92" t="inlineStr">
        <is>
          <t>NORMAL CLIMATOLÓGICA ESTÁNDAR DE LA TEMPERATURA MEDIA PARA EL PERIODO 1991-2020 (°C)</t>
        </is>
      </c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101" t="n"/>
      <c r="W1" s="100" t="inlineStr">
        <is>
          <t>Cumplen la directriz No 1203 del 2017 de la OMM</t>
        </is>
      </c>
      <c r="X1" s="101" t="n"/>
      <c r="AA1" s="61" t="inlineStr">
        <is>
          <t>Mes</t>
        </is>
      </c>
      <c r="AB1" s="61" t="inlineStr">
        <is>
          <t>Nombre</t>
        </is>
      </c>
      <c r="AC1" s="61" t="inlineStr">
        <is>
          <t>Días</t>
        </is>
      </c>
    </row>
    <row r="2" ht="24.6" customHeight="1" thickBot="1">
      <c r="A2" s="1" t="inlineStr">
        <is>
          <t>CÓDIGO</t>
        </is>
      </c>
      <c r="B2" s="2" t="inlineStr">
        <is>
          <t>CATEGORÍA</t>
        </is>
      </c>
      <c r="C2" s="2" t="inlineStr">
        <is>
          <t>NOMBRE</t>
        </is>
      </c>
      <c r="D2" s="2" t="inlineStr">
        <is>
          <t>MUNICIPIO</t>
        </is>
      </c>
      <c r="E2" s="2" t="inlineStr">
        <is>
          <t>DEPARTAMENTO</t>
        </is>
      </c>
      <c r="F2" s="3" t="inlineStr">
        <is>
          <t>AO</t>
        </is>
      </c>
      <c r="G2" s="2" t="inlineStr">
        <is>
          <t>ELEVACIÓN (m)</t>
        </is>
      </c>
      <c r="H2" s="4" t="inlineStr">
        <is>
          <t>LONGITUD</t>
        </is>
      </c>
      <c r="I2" s="5" t="inlineStr">
        <is>
          <t>LATITUD</t>
        </is>
      </c>
      <c r="J2" s="6" t="inlineStr">
        <is>
          <t>ENE</t>
        </is>
      </c>
      <c r="K2" s="2" t="inlineStr">
        <is>
          <t>FEB</t>
        </is>
      </c>
      <c r="L2" s="2" t="inlineStr">
        <is>
          <t>MAR</t>
        </is>
      </c>
      <c r="M2" s="2" t="inlineStr">
        <is>
          <t>ABR</t>
        </is>
      </c>
      <c r="N2" s="2" t="inlineStr">
        <is>
          <t>MAY</t>
        </is>
      </c>
      <c r="O2" s="2" t="inlineStr">
        <is>
          <t>JUN</t>
        </is>
      </c>
      <c r="P2" s="2" t="inlineStr">
        <is>
          <t>JUL</t>
        </is>
      </c>
      <c r="Q2" s="2" t="inlineStr">
        <is>
          <t>AGO</t>
        </is>
      </c>
      <c r="R2" s="2" t="inlineStr">
        <is>
          <t>SEP</t>
        </is>
      </c>
      <c r="S2" s="2" t="inlineStr">
        <is>
          <t>OCT</t>
        </is>
      </c>
      <c r="T2" s="2" t="inlineStr">
        <is>
          <t>NOV</t>
        </is>
      </c>
      <c r="U2" s="2" t="inlineStr">
        <is>
          <t>DIC</t>
        </is>
      </c>
      <c r="V2" s="7" t="inlineStr">
        <is>
          <t>ANUAL</t>
        </is>
      </c>
      <c r="W2" s="8" t="inlineStr">
        <is>
          <t>Número de meses</t>
        </is>
      </c>
      <c r="X2" s="9" t="inlineStr">
        <is>
          <t>% de cumplimiento</t>
        </is>
      </c>
      <c r="AA2" s="62" t="n">
        <v>1</v>
      </c>
      <c r="AB2" s="63" t="inlineStr">
        <is>
          <t>ENERO</t>
        </is>
      </c>
      <c r="AC2" s="64" t="n">
        <v>31</v>
      </c>
    </row>
    <row r="3" ht="13.9" customHeight="1">
      <c r="A3" s="10" t="n">
        <v>48015050</v>
      </c>
      <c r="B3" s="11" t="inlineStr">
        <is>
          <t>SP</t>
        </is>
      </c>
      <c r="C3" s="11" t="inlineStr">
        <is>
          <t>Aeropuerto Vásquez Cobo</t>
        </is>
      </c>
      <c r="D3" s="11" t="inlineStr">
        <is>
          <t>Leticia</t>
        </is>
      </c>
      <c r="E3" s="11" t="inlineStr">
        <is>
          <t>Amazonas</t>
        </is>
      </c>
      <c r="F3" s="11" t="n">
        <v>11</v>
      </c>
      <c r="G3" s="11" t="n">
        <v>84</v>
      </c>
      <c r="H3" s="12" t="n">
        <v>-69.94091666999999</v>
      </c>
      <c r="I3" s="13" t="n">
        <v>-4.19386111</v>
      </c>
      <c r="J3" s="14" t="n">
        <v>26.08517392702876</v>
      </c>
      <c r="K3" s="15" t="n">
        <v>26.10817725965794</v>
      </c>
      <c r="L3" s="15" t="n">
        <v>26.15651133861583</v>
      </c>
      <c r="M3" s="15" t="n">
        <v>26.1248593035199</v>
      </c>
      <c r="N3" s="15" t="n">
        <v>25.90981308342195</v>
      </c>
      <c r="O3" s="15" t="n">
        <v>25.39885020630709</v>
      </c>
      <c r="P3" s="15" t="n">
        <v>25.3689486260454</v>
      </c>
      <c r="Q3" s="15" t="n">
        <v>25.9602969512772</v>
      </c>
      <c r="R3" s="15" t="n">
        <v>26.37566758241758</v>
      </c>
      <c r="S3" s="15" t="n">
        <v>26.59452377538829</v>
      </c>
      <c r="T3" s="15" t="n">
        <v>26.52037452931683</v>
      </c>
      <c r="U3" s="15" t="n">
        <v>26.22082706742506</v>
      </c>
      <c r="V3" s="16" t="n">
        <v>26.06866863753515</v>
      </c>
      <c r="W3" s="17" t="n">
        <v>313</v>
      </c>
      <c r="X3" s="18" t="n">
        <v>0.8694444444444445</v>
      </c>
      <c r="AA3" s="62" t="n">
        <v>2</v>
      </c>
      <c r="AB3" s="63" t="inlineStr">
        <is>
          <t>FEBRERO</t>
        </is>
      </c>
      <c r="AC3" s="64" t="n">
        <v>28</v>
      </c>
    </row>
    <row r="4" ht="13.9" customHeight="1">
      <c r="A4" s="10" t="n">
        <v>23085030</v>
      </c>
      <c r="B4" s="11" t="inlineStr">
        <is>
          <t>CO</t>
        </is>
      </c>
      <c r="C4" s="11" t="inlineStr">
        <is>
          <t>Alejandría</t>
        </is>
      </c>
      <c r="D4" s="11" t="inlineStr">
        <is>
          <t>Alejandría</t>
        </is>
      </c>
      <c r="E4" s="11" t="inlineStr">
        <is>
          <t>Antioquia</t>
        </is>
      </c>
      <c r="F4" s="11" t="n">
        <v>1</v>
      </c>
      <c r="G4" s="11" t="n">
        <v>1712</v>
      </c>
      <c r="H4" s="12" t="n">
        <v>-75.14338889</v>
      </c>
      <c r="I4" s="13" t="n">
        <v>6.37625</v>
      </c>
      <c r="J4" s="14" t="n">
        <v>19.43940333397616</v>
      </c>
      <c r="K4" s="15" t="n">
        <v>19.46361247396581</v>
      </c>
      <c r="L4" s="15" t="n">
        <v>19.55994554796332</v>
      </c>
      <c r="M4" s="15" t="n">
        <v>19.63899195199575</v>
      </c>
      <c r="N4" s="15" t="n">
        <v>19.82096632486498</v>
      </c>
      <c r="O4" s="15" t="n">
        <v>19.79773301741194</v>
      </c>
      <c r="P4" s="15" t="n">
        <v>19.78719759168032</v>
      </c>
      <c r="Q4" s="15" t="n">
        <v>19.86180655633301</v>
      </c>
      <c r="R4" s="15" t="n">
        <v>19.73929228872151</v>
      </c>
      <c r="S4" s="15" t="n">
        <v>19.45746137683843</v>
      </c>
      <c r="T4" s="15" t="n">
        <v>19.44187751207407</v>
      </c>
      <c r="U4" s="15" t="n">
        <v>19.40918219742188</v>
      </c>
      <c r="V4" s="16" t="n">
        <v>19.61812251443726</v>
      </c>
      <c r="W4" s="17" t="n">
        <v>352</v>
      </c>
      <c r="X4" s="18" t="n">
        <v>0.9777777777777777</v>
      </c>
      <c r="AA4" s="62" t="n">
        <v>3</v>
      </c>
      <c r="AB4" s="63" t="inlineStr">
        <is>
          <t>MARZO</t>
        </is>
      </c>
      <c r="AC4" s="64" t="n">
        <v>31</v>
      </c>
    </row>
    <row r="5" ht="13.9" customHeight="1">
      <c r="A5" s="10" t="n">
        <v>26195020</v>
      </c>
      <c r="B5" s="11" t="inlineStr">
        <is>
          <t>PM</t>
        </is>
      </c>
      <c r="C5" s="11" t="inlineStr">
        <is>
          <t>Ita Andes</t>
        </is>
      </c>
      <c r="D5" s="11" t="inlineStr">
        <is>
          <t>Andes</t>
        </is>
      </c>
      <c r="E5" s="11" t="inlineStr">
        <is>
          <t>Antioquia</t>
        </is>
      </c>
      <c r="F5" s="11" t="n">
        <v>1</v>
      </c>
      <c r="G5" s="11" t="n">
        <v>1180</v>
      </c>
      <c r="H5" s="12" t="n">
        <v>-75.88022222000001</v>
      </c>
      <c r="I5" s="13" t="n">
        <v>5.691</v>
      </c>
      <c r="J5" s="14" t="n">
        <v>22.166784236257</v>
      </c>
      <c r="K5" s="15" t="n">
        <v>22.66234600611844</v>
      </c>
      <c r="L5" s="15" t="n">
        <v>22.56953593704938</v>
      </c>
      <c r="M5" s="15" t="n">
        <v>22.22113987229993</v>
      </c>
      <c r="N5" s="15" t="n">
        <v>22.02724360196716</v>
      </c>
      <c r="O5" s="15" t="n">
        <v>21.8992523160818</v>
      </c>
      <c r="P5" s="15" t="n">
        <v>21.87302607976036</v>
      </c>
      <c r="Q5" s="15" t="n">
        <v>21.9236750128008</v>
      </c>
      <c r="R5" s="15" t="n">
        <v>21.73944516207503</v>
      </c>
      <c r="S5" s="15" t="n">
        <v>21.6043129012187</v>
      </c>
      <c r="T5" s="15" t="n">
        <v>21.61131031956547</v>
      </c>
      <c r="U5" s="15" t="n">
        <v>21.72351858648395</v>
      </c>
      <c r="V5" s="16" t="n">
        <v>22.0017991693065</v>
      </c>
      <c r="W5" s="17" t="n">
        <v>306</v>
      </c>
      <c r="X5" s="18" t="n">
        <v>0.85</v>
      </c>
      <c r="AA5" s="62" t="n">
        <v>4</v>
      </c>
      <c r="AB5" s="63" t="inlineStr">
        <is>
          <t>ABRIL</t>
        </is>
      </c>
      <c r="AC5" s="64" t="n">
        <v>30</v>
      </c>
    </row>
    <row r="6" ht="13.9" customHeight="1">
      <c r="A6" s="10" t="n">
        <v>27025030</v>
      </c>
      <c r="B6" s="11" t="inlineStr">
        <is>
          <t>CO</t>
        </is>
      </c>
      <c r="C6" s="11" t="inlineStr">
        <is>
          <t>Anorí</t>
        </is>
      </c>
      <c r="D6" s="11" t="inlineStr">
        <is>
          <t>Anorí</t>
        </is>
      </c>
      <c r="E6" s="11" t="inlineStr">
        <is>
          <t>Antioquia</t>
        </is>
      </c>
      <c r="F6" s="11" t="n">
        <v>1</v>
      </c>
      <c r="G6" s="11" t="n">
        <v>1601</v>
      </c>
      <c r="H6" s="12" t="n">
        <v>-75.15052777999999</v>
      </c>
      <c r="I6" s="13" t="n">
        <v>7.07191667</v>
      </c>
      <c r="J6" s="68" t="n">
        <v>18.6962731247152</v>
      </c>
      <c r="K6" s="15" t="n">
        <v>18.80175573814861</v>
      </c>
      <c r="L6" s="15" t="n">
        <v>18.99549542136371</v>
      </c>
      <c r="M6" s="15" t="n">
        <v>19.31335118810962</v>
      </c>
      <c r="N6" s="15" t="n">
        <v>19.64132223082007</v>
      </c>
      <c r="O6" s="15" t="n">
        <v>19.89446969908822</v>
      </c>
      <c r="P6" s="15" t="n">
        <v>19.96857549781488</v>
      </c>
      <c r="Q6" s="15" t="n">
        <v>20.01028612408694</v>
      </c>
      <c r="R6" s="15" t="n">
        <v>19.56123519382377</v>
      </c>
      <c r="S6" s="15" t="n">
        <v>19.13125992396301</v>
      </c>
      <c r="T6" s="15" t="n">
        <v>18.837092283747</v>
      </c>
      <c r="U6" s="15" t="n">
        <v>18.7498484036665</v>
      </c>
      <c r="V6" s="16" t="n">
        <v>19.30008040244563</v>
      </c>
      <c r="W6" s="17" t="n">
        <v>312</v>
      </c>
      <c r="X6" s="18" t="n">
        <v>0.8666666666666667</v>
      </c>
      <c r="AA6" s="62" t="n">
        <v>5</v>
      </c>
      <c r="AB6" s="63" t="inlineStr">
        <is>
          <t>MAYO</t>
        </is>
      </c>
      <c r="AC6" s="64" t="n">
        <v>31</v>
      </c>
    </row>
    <row r="7" ht="13.9" customHeight="1">
      <c r="A7" s="10" t="n">
        <v>12015020</v>
      </c>
      <c r="B7" s="11" t="inlineStr">
        <is>
          <t>AM</t>
        </is>
      </c>
      <c r="C7" s="11" t="inlineStr">
        <is>
          <t>Uniban</t>
        </is>
      </c>
      <c r="D7" s="11" t="inlineStr">
        <is>
          <t>Apartadó</t>
        </is>
      </c>
      <c r="E7" s="11" t="inlineStr">
        <is>
          <t>Antioquia</t>
        </is>
      </c>
      <c r="F7" s="11" t="n">
        <v>1</v>
      </c>
      <c r="G7" s="11" t="n">
        <v>43</v>
      </c>
      <c r="H7" s="12" t="n">
        <v>-76.65133333</v>
      </c>
      <c r="I7" s="13" t="n">
        <v>7.82591667</v>
      </c>
      <c r="J7" s="14" t="n">
        <v>26.65086367858916</v>
      </c>
      <c r="K7" s="15" t="n">
        <v>26.86292867668728</v>
      </c>
      <c r="L7" s="15" t="n">
        <v>27.03856100014416</v>
      </c>
      <c r="M7" s="15" t="n">
        <v>27.07134752583954</v>
      </c>
      <c r="N7" s="15" t="n">
        <v>26.98434140589242</v>
      </c>
      <c r="O7" s="15" t="n">
        <v>26.8796163118018</v>
      </c>
      <c r="P7" s="15" t="n">
        <v>26.82747208121255</v>
      </c>
      <c r="Q7" s="15" t="n">
        <v>26.88547633753029</v>
      </c>
      <c r="R7" s="15" t="n">
        <v>26.68269784254696</v>
      </c>
      <c r="S7" s="15" t="n">
        <v>26.48002616325078</v>
      </c>
      <c r="T7" s="15" t="n">
        <v>26.39194018509564</v>
      </c>
      <c r="U7" s="15" t="n">
        <v>26.46659706913466</v>
      </c>
      <c r="V7" s="16" t="n">
        <v>26.76848902314377</v>
      </c>
      <c r="W7" s="17" t="n">
        <v>342</v>
      </c>
      <c r="X7" s="18" t="n">
        <v>0.95</v>
      </c>
      <c r="AA7" s="62" t="n">
        <v>6</v>
      </c>
      <c r="AB7" s="63" t="inlineStr">
        <is>
          <t>JUNIO</t>
        </is>
      </c>
      <c r="AC7" s="64" t="n">
        <v>30</v>
      </c>
    </row>
    <row r="8" ht="13.9" customHeight="1">
      <c r="A8" s="10" t="n">
        <v>12045010</v>
      </c>
      <c r="B8" s="11" t="inlineStr">
        <is>
          <t>CP</t>
        </is>
      </c>
      <c r="C8" s="19" t="inlineStr">
        <is>
          <t>Arboletes</t>
        </is>
      </c>
      <c r="D8" s="11" t="inlineStr">
        <is>
          <t>Arboletes</t>
        </is>
      </c>
      <c r="E8" s="11" t="inlineStr">
        <is>
          <t>Antioquia</t>
        </is>
      </c>
      <c r="F8" s="11" t="n">
        <v>2</v>
      </c>
      <c r="G8" s="11" t="n">
        <v>4</v>
      </c>
      <c r="H8" s="12" t="n">
        <v>-76.43194444</v>
      </c>
      <c r="I8" s="13" t="n">
        <v>8.84694444</v>
      </c>
      <c r="J8" s="14" t="n">
        <v>27.53624193548387</v>
      </c>
      <c r="K8" s="15" t="n">
        <v>27.83697967980295</v>
      </c>
      <c r="L8" s="15" t="n">
        <v>27.88373924731182</v>
      </c>
      <c r="M8" s="15" t="n">
        <v>28.05742307692307</v>
      </c>
      <c r="N8" s="15" t="n">
        <v>27.62309780810587</v>
      </c>
      <c r="O8" s="15" t="n">
        <v>27.79396072796934</v>
      </c>
      <c r="P8" s="15" t="n">
        <v>27.75268551705827</v>
      </c>
      <c r="Q8" s="15" t="n">
        <v>27.5171146953405</v>
      </c>
      <c r="R8" s="15" t="n">
        <v>27.29307471264367</v>
      </c>
      <c r="S8" s="15" t="n">
        <v>27.17402927120668</v>
      </c>
      <c r="T8" s="15" t="n">
        <v>27.20700156325155</v>
      </c>
      <c r="U8" s="15" t="n">
        <v>27.56678819444444</v>
      </c>
      <c r="V8" s="16" t="n">
        <v>27.6035113691285</v>
      </c>
      <c r="W8" s="17" t="n">
        <v>111</v>
      </c>
      <c r="X8" s="18" t="n">
        <v>0.925</v>
      </c>
      <c r="AA8" s="62" t="n">
        <v>7</v>
      </c>
      <c r="AB8" s="63" t="inlineStr">
        <is>
          <t>JULIO</t>
        </is>
      </c>
      <c r="AC8" s="64" t="n">
        <v>31</v>
      </c>
    </row>
    <row r="9" ht="13.9" customHeight="1">
      <c r="A9" s="10" t="n">
        <v>27015090</v>
      </c>
      <c r="B9" s="11" t="inlineStr">
        <is>
          <t>CO</t>
        </is>
      </c>
      <c r="C9" s="11" t="inlineStr">
        <is>
          <t>Tulio Ospina</t>
        </is>
      </c>
      <c r="D9" s="11" t="inlineStr">
        <is>
          <t>Bello</t>
        </is>
      </c>
      <c r="E9" s="11" t="inlineStr">
        <is>
          <t>Antioquia</t>
        </is>
      </c>
      <c r="F9" s="11" t="n">
        <v>1</v>
      </c>
      <c r="G9" s="11" t="n">
        <v>1453</v>
      </c>
      <c r="H9" s="12" t="n">
        <v>-75.55325000000001</v>
      </c>
      <c r="I9" s="13" t="n">
        <v>6.31969444</v>
      </c>
      <c r="J9" s="14" t="n">
        <v>22.09198754829398</v>
      </c>
      <c r="K9" s="15" t="n">
        <v>22.6691609031868</v>
      </c>
      <c r="L9" s="15" t="n">
        <v>22.47145249756666</v>
      </c>
      <c r="M9" s="15" t="n">
        <v>22.36129828497384</v>
      </c>
      <c r="N9" s="15" t="n">
        <v>22.39078553896012</v>
      </c>
      <c r="O9" s="15" t="n">
        <v>22.65280485188146</v>
      </c>
      <c r="P9" s="15" t="n">
        <v>22.85179074842697</v>
      </c>
      <c r="Q9" s="15" t="n">
        <v>22.98415856403572</v>
      </c>
      <c r="R9" s="15" t="n">
        <v>22.42557337291382</v>
      </c>
      <c r="S9" s="15" t="n">
        <v>21.70625406664903</v>
      </c>
      <c r="T9" s="15" t="n">
        <v>21.52424922645251</v>
      </c>
      <c r="U9" s="15" t="n">
        <v>21.86301153937018</v>
      </c>
      <c r="V9" s="16" t="n">
        <v>22.33271059522592</v>
      </c>
      <c r="W9" s="17" t="n">
        <v>326</v>
      </c>
      <c r="X9" s="18" t="n">
        <v>0.9055555555555556</v>
      </c>
      <c r="AA9" s="62" t="n">
        <v>8</v>
      </c>
      <c r="AB9" s="63" t="inlineStr">
        <is>
          <t>AGOSTO</t>
        </is>
      </c>
      <c r="AC9" s="64" t="n">
        <v>31</v>
      </c>
    </row>
    <row r="10" ht="13.9" customHeight="1">
      <c r="A10" s="10" t="n">
        <v>26225040</v>
      </c>
      <c r="B10" s="11" t="inlineStr">
        <is>
          <t>CO</t>
        </is>
      </c>
      <c r="C10" s="11" t="inlineStr">
        <is>
          <t>Hacienda Piunti</t>
        </is>
      </c>
      <c r="D10" s="11" t="inlineStr">
        <is>
          <t>Buriticá</t>
        </is>
      </c>
      <c r="E10" s="11" t="inlineStr">
        <is>
          <t>Antioquia</t>
        </is>
      </c>
      <c r="F10" s="11" t="n">
        <v>1</v>
      </c>
      <c r="G10" s="11" t="n">
        <v>1650</v>
      </c>
      <c r="H10" s="12" t="n">
        <v>-75.91297222</v>
      </c>
      <c r="I10" s="13" t="n">
        <v>6.7295</v>
      </c>
      <c r="J10" s="14" t="n">
        <v>21.36658137146742</v>
      </c>
      <c r="K10" s="15" t="n">
        <v>21.60110990783764</v>
      </c>
      <c r="L10" s="15" t="n">
        <v>21.59505461682877</v>
      </c>
      <c r="M10" s="15" t="n">
        <v>21.21756396092474</v>
      </c>
      <c r="N10" s="15" t="n">
        <v>20.92644427129323</v>
      </c>
      <c r="O10" s="15" t="n">
        <v>20.8794382716049</v>
      </c>
      <c r="P10" s="15" t="n">
        <v>20.9863709677419</v>
      </c>
      <c r="Q10" s="15" t="n">
        <v>21.01798729417322</v>
      </c>
      <c r="R10" s="15" t="n">
        <v>20.84610674121197</v>
      </c>
      <c r="S10" s="15" t="n">
        <v>20.53808900836317</v>
      </c>
      <c r="T10" s="15" t="n">
        <v>20.6060945995256</v>
      </c>
      <c r="U10" s="15" t="n">
        <v>20.78493639588686</v>
      </c>
      <c r="V10" s="16" t="n">
        <v>21.03048145057162</v>
      </c>
      <c r="W10" s="17" t="n">
        <v>227</v>
      </c>
      <c r="X10" s="18" t="n">
        <v>0.9458333333333333</v>
      </c>
      <c r="AA10" s="62" t="n">
        <v>9</v>
      </c>
      <c r="AB10" s="63" t="inlineStr">
        <is>
          <t>SEPTIEMBRE</t>
        </is>
      </c>
      <c r="AC10" s="64" t="n">
        <v>30</v>
      </c>
    </row>
    <row r="11" ht="13.9" customHeight="1">
      <c r="A11" s="10" t="n">
        <v>27015260</v>
      </c>
      <c r="B11" s="11" t="inlineStr">
        <is>
          <t>AM</t>
        </is>
      </c>
      <c r="C11" s="11" t="inlineStr">
        <is>
          <t>La Salada</t>
        </is>
      </c>
      <c r="D11" s="11" t="inlineStr">
        <is>
          <t xml:space="preserve">Caldas </t>
        </is>
      </c>
      <c r="E11" s="11" t="inlineStr">
        <is>
          <t>Antioquia</t>
        </is>
      </c>
      <c r="F11" s="11" t="n">
        <v>1</v>
      </c>
      <c r="G11" s="11" t="n">
        <v>1923</v>
      </c>
      <c r="H11" s="12" t="n">
        <v>-75.62466667</v>
      </c>
      <c r="I11" s="13" t="n">
        <v>6.04836111</v>
      </c>
      <c r="J11" s="14" t="n">
        <v>18.15274521273063</v>
      </c>
      <c r="K11" s="15" t="n">
        <v>18.42009949756498</v>
      </c>
      <c r="L11" s="15" t="n">
        <v>18.44748969754751</v>
      </c>
      <c r="M11" s="15" t="n">
        <v>18.19138926049793</v>
      </c>
      <c r="N11" s="15" t="n">
        <v>18.20264851696013</v>
      </c>
      <c r="O11" s="15" t="n">
        <v>18.42621675259603</v>
      </c>
      <c r="P11" s="15" t="n">
        <v>18.49210919132774</v>
      </c>
      <c r="Q11" s="15" t="n">
        <v>18.50720543555942</v>
      </c>
      <c r="R11" s="15" t="n">
        <v>18.02776727664545</v>
      </c>
      <c r="S11" s="15" t="n">
        <v>17.8095259337177</v>
      </c>
      <c r="T11" s="15" t="n">
        <v>17.57212353847228</v>
      </c>
      <c r="U11" s="15" t="n">
        <v>17.92815415543791</v>
      </c>
      <c r="V11" s="16" t="n">
        <v>18.18145620575481</v>
      </c>
      <c r="W11" s="17" t="n">
        <v>298</v>
      </c>
      <c r="X11" s="18" t="n">
        <v>0.8277777777777777</v>
      </c>
      <c r="AA11" s="62" t="n">
        <v>10</v>
      </c>
      <c r="AB11" s="63" t="inlineStr">
        <is>
          <t>OCTUBRE</t>
        </is>
      </c>
      <c r="AC11" s="64" t="n">
        <v>31</v>
      </c>
    </row>
    <row r="12" ht="13.9" customHeight="1">
      <c r="A12" s="10" t="n">
        <v>11115020</v>
      </c>
      <c r="B12" s="11" t="inlineStr">
        <is>
          <t>CO</t>
        </is>
      </c>
      <c r="C12" s="11" t="inlineStr">
        <is>
          <t>Cañasgordas - Aut</t>
        </is>
      </c>
      <c r="D12" s="11" t="inlineStr">
        <is>
          <t>Cañasgordas</t>
        </is>
      </c>
      <c r="E12" s="11" t="inlineStr">
        <is>
          <t>Antioquia</t>
        </is>
      </c>
      <c r="F12" s="11" t="n">
        <v>1</v>
      </c>
      <c r="G12" s="11" t="n">
        <v>1294</v>
      </c>
      <c r="H12" s="12" t="n">
        <v>-76.02966667</v>
      </c>
      <c r="I12" s="13" t="n">
        <v>6.75802778</v>
      </c>
      <c r="J12" s="14" t="n">
        <v>21.58186644184308</v>
      </c>
      <c r="K12" s="15" t="n">
        <v>21.5989389686516</v>
      </c>
      <c r="L12" s="15" t="n">
        <v>21.68622684868081</v>
      </c>
      <c r="M12" s="15" t="n">
        <v>21.51805384607161</v>
      </c>
      <c r="N12" s="15" t="n">
        <v>21.38531367680212</v>
      </c>
      <c r="O12" s="15" t="n">
        <v>21.55992171006332</v>
      </c>
      <c r="P12" s="15" t="n">
        <v>21.59702380076571</v>
      </c>
      <c r="Q12" s="15" t="n">
        <v>21.69639501198224</v>
      </c>
      <c r="R12" s="15" t="n">
        <v>21.45574839179703</v>
      </c>
      <c r="S12" s="15" t="n">
        <v>21.0197615625348</v>
      </c>
      <c r="T12" s="15" t="n">
        <v>21.07884515956646</v>
      </c>
      <c r="U12" s="15" t="n">
        <v>21.35003441063322</v>
      </c>
      <c r="V12" s="16" t="n">
        <v>21.46067748578266</v>
      </c>
      <c r="W12" s="17" t="n">
        <v>337</v>
      </c>
      <c r="X12" s="18" t="n">
        <v>0.9361111111111111</v>
      </c>
      <c r="AA12" s="62" t="n">
        <v>11</v>
      </c>
      <c r="AB12" s="63" t="inlineStr">
        <is>
          <t>NOVIEMBRE</t>
        </is>
      </c>
      <c r="AC12" s="64" t="n">
        <v>30</v>
      </c>
    </row>
    <row r="13" ht="13.9" customHeight="1">
      <c r="A13" s="10" t="n">
        <v>12015070</v>
      </c>
      <c r="B13" s="11" t="inlineStr">
        <is>
          <t>SP</t>
        </is>
      </c>
      <c r="C13" s="11" t="inlineStr">
        <is>
          <t>Aeropuerto Los Cedros</t>
        </is>
      </c>
      <c r="D13" s="11" t="inlineStr">
        <is>
          <t>Carepa</t>
        </is>
      </c>
      <c r="E13" s="11" t="inlineStr">
        <is>
          <t>Antioquia</t>
        </is>
      </c>
      <c r="F13" s="11" t="n">
        <v>1</v>
      </c>
      <c r="G13" s="11" t="n">
        <v>41</v>
      </c>
      <c r="H13" s="12" t="n">
        <v>-76.71788889</v>
      </c>
      <c r="I13" s="13" t="n">
        <v>7.81638889</v>
      </c>
      <c r="J13" s="14" t="n">
        <v>27.28279326137408</v>
      </c>
      <c r="K13" s="15" t="n">
        <v>27.33978484113951</v>
      </c>
      <c r="L13" s="15" t="n">
        <v>27.40367291605184</v>
      </c>
      <c r="M13" s="15" t="n">
        <v>27.57840570455512</v>
      </c>
      <c r="N13" s="15" t="n">
        <v>27.5829629934411</v>
      </c>
      <c r="O13" s="15" t="n">
        <v>27.68853632478632</v>
      </c>
      <c r="P13" s="15" t="n">
        <v>27.63765284840298</v>
      </c>
      <c r="Q13" s="15" t="n">
        <v>27.74584903540409</v>
      </c>
      <c r="R13" s="15" t="n">
        <v>27.41240102171137</v>
      </c>
      <c r="S13" s="15" t="n">
        <v>27.20826867240342</v>
      </c>
      <c r="T13" s="15" t="n">
        <v>27.08077434166514</v>
      </c>
      <c r="U13" s="15" t="n">
        <v>27.15042419945645</v>
      </c>
      <c r="V13" s="16" t="n">
        <v>27.42596051336595</v>
      </c>
      <c r="W13" s="17" t="n">
        <v>327</v>
      </c>
      <c r="X13" s="18" t="n">
        <v>0.9083333333333333</v>
      </c>
      <c r="AA13" s="62" t="n">
        <v>12</v>
      </c>
      <c r="AB13" s="63" t="inlineStr">
        <is>
          <t>DICIEMBRE</t>
        </is>
      </c>
      <c r="AC13" s="64" t="n">
        <v>31</v>
      </c>
    </row>
    <row r="14" ht="13.9" customHeight="1">
      <c r="A14" s="10" t="n">
        <v>12015060</v>
      </c>
      <c r="B14" s="11" t="inlineStr">
        <is>
          <t>CO</t>
        </is>
      </c>
      <c r="C14" s="11" t="inlineStr">
        <is>
          <t>Tulenapa</t>
        </is>
      </c>
      <c r="D14" s="11" t="inlineStr">
        <is>
          <t>Carepa</t>
        </is>
      </c>
      <c r="E14" s="11" t="inlineStr">
        <is>
          <t>Antioquia</t>
        </is>
      </c>
      <c r="F14" s="11" t="n">
        <v>1</v>
      </c>
      <c r="G14" s="11" t="n">
        <v>39</v>
      </c>
      <c r="H14" s="12" t="n">
        <v>-76.67</v>
      </c>
      <c r="I14" s="13" t="n">
        <v>7.77</v>
      </c>
      <c r="J14" s="14" t="n">
        <v>26.63302477432628</v>
      </c>
      <c r="K14" s="15" t="n">
        <v>26.79557629137876</v>
      </c>
      <c r="L14" s="15" t="n">
        <v>26.96423869075682</v>
      </c>
      <c r="M14" s="15" t="n">
        <v>27.14445213387135</v>
      </c>
      <c r="N14" s="15" t="n">
        <v>26.9914315358288</v>
      </c>
      <c r="O14" s="15" t="n">
        <v>26.88942293960231</v>
      </c>
      <c r="P14" s="15" t="n">
        <v>26.85370672300168</v>
      </c>
      <c r="Q14" s="15" t="n">
        <v>26.85517412930399</v>
      </c>
      <c r="R14" s="15" t="n">
        <v>26.74746880815542</v>
      </c>
      <c r="S14" s="15" t="n">
        <v>26.604294593444</v>
      </c>
      <c r="T14" s="15" t="n">
        <v>26.455185952298</v>
      </c>
      <c r="U14" s="15" t="n">
        <v>26.50675293443384</v>
      </c>
      <c r="V14" s="16" t="n">
        <v>26.78672745886677</v>
      </c>
      <c r="W14" s="17" t="n">
        <v>228</v>
      </c>
      <c r="X14" s="18" t="n">
        <v>0.95</v>
      </c>
    </row>
    <row r="15" ht="13.9" customHeight="1">
      <c r="A15" s="10" t="n">
        <v>27045020</v>
      </c>
      <c r="B15" s="11" t="inlineStr">
        <is>
          <t>CO</t>
        </is>
      </c>
      <c r="C15" s="11" t="inlineStr">
        <is>
          <t>Caseri</t>
        </is>
      </c>
      <c r="D15" s="11" t="inlineStr">
        <is>
          <t>Caucasia</t>
        </is>
      </c>
      <c r="E15" s="11" t="inlineStr">
        <is>
          <t>Antioquia</t>
        </is>
      </c>
      <c r="F15" s="11" t="n">
        <v>1</v>
      </c>
      <c r="G15" s="11" t="n">
        <v>72</v>
      </c>
      <c r="H15" s="12" t="n">
        <v>-74.93597222000001</v>
      </c>
      <c r="I15" s="13" t="n">
        <v>7.81172222</v>
      </c>
      <c r="J15" s="14" t="n">
        <v>27.97676827663447</v>
      </c>
      <c r="K15" s="15" t="n">
        <v>28.1385129056732</v>
      </c>
      <c r="L15" s="15" t="n">
        <v>28.22216094585841</v>
      </c>
      <c r="M15" s="15" t="n">
        <v>28.01386285843883</v>
      </c>
      <c r="N15" s="15" t="n">
        <v>27.82590829912277</v>
      </c>
      <c r="O15" s="15" t="n">
        <v>27.90341594585632</v>
      </c>
      <c r="P15" s="15" t="n">
        <v>27.91716067186151</v>
      </c>
      <c r="Q15" s="15" t="n">
        <v>27.84715265277572</v>
      </c>
      <c r="R15" s="15" t="n">
        <v>27.66878257998782</v>
      </c>
      <c r="S15" s="15" t="n">
        <v>27.68375260761697</v>
      </c>
      <c r="T15" s="15" t="n">
        <v>27.44936714345768</v>
      </c>
      <c r="U15" s="15" t="n">
        <v>27.69588889710328</v>
      </c>
      <c r="V15" s="16" t="n">
        <v>27.86189448203224</v>
      </c>
      <c r="W15" s="17" t="n">
        <v>204</v>
      </c>
      <c r="X15" s="18" t="n">
        <v>0.85</v>
      </c>
    </row>
    <row r="16" ht="13.9" customHeight="1">
      <c r="A16" s="10" t="n">
        <v>11025010</v>
      </c>
      <c r="B16" s="11" t="inlineStr">
        <is>
          <t>CO</t>
        </is>
      </c>
      <c r="C16" s="11" t="inlineStr">
        <is>
          <t xml:space="preserve">La Mansa </t>
        </is>
      </c>
      <c r="D16" s="11" t="inlineStr">
        <is>
          <t>Ciudad Bolívar</t>
        </is>
      </c>
      <c r="E16" s="11" t="inlineStr">
        <is>
          <t>Antioquia</t>
        </is>
      </c>
      <c r="F16" s="11" t="n">
        <v>1</v>
      </c>
      <c r="G16" s="11" t="n">
        <v>2018</v>
      </c>
      <c r="H16" s="12" t="n">
        <v>-76.08433332999999</v>
      </c>
      <c r="I16" s="13" t="n">
        <v>5.87830556</v>
      </c>
      <c r="J16" s="14" t="n">
        <v>16.89621508083126</v>
      </c>
      <c r="K16" s="15" t="n">
        <v>17.05344611148656</v>
      </c>
      <c r="L16" s="15" t="n">
        <v>17.11935063640459</v>
      </c>
      <c r="M16" s="15" t="n">
        <v>17.17994361254092</v>
      </c>
      <c r="N16" s="15" t="n">
        <v>17.15143058954392</v>
      </c>
      <c r="O16" s="15" t="n">
        <v>17.05712700804889</v>
      </c>
      <c r="P16" s="15" t="n">
        <v>17.04587665773905</v>
      </c>
      <c r="Q16" s="15" t="n">
        <v>17.03129470743118</v>
      </c>
      <c r="R16" s="15" t="n">
        <v>16.81135440975986</v>
      </c>
      <c r="S16" s="15" t="n">
        <v>16.58705828696289</v>
      </c>
      <c r="T16" s="15" t="n">
        <v>16.56831650441228</v>
      </c>
      <c r="U16" s="15" t="n">
        <v>16.79139647240606</v>
      </c>
      <c r="V16" s="16" t="n">
        <v>16.94106750646396</v>
      </c>
      <c r="W16" s="17" t="n">
        <v>347</v>
      </c>
      <c r="X16" s="18" t="n">
        <v>0.9638888888888889</v>
      </c>
    </row>
    <row r="17" ht="13.9" customHeight="1">
      <c r="A17" s="10" t="n">
        <v>26215010</v>
      </c>
      <c r="B17" s="11" t="inlineStr">
        <is>
          <t>CO</t>
        </is>
      </c>
      <c r="C17" s="11" t="inlineStr">
        <is>
          <t>Concordia</t>
        </is>
      </c>
      <c r="D17" s="11" t="inlineStr">
        <is>
          <t xml:space="preserve">Concordia </t>
        </is>
      </c>
      <c r="E17" s="11" t="inlineStr">
        <is>
          <t>Antioquia</t>
        </is>
      </c>
      <c r="F17" s="11" t="n">
        <v>1</v>
      </c>
      <c r="G17" s="11" t="n">
        <v>2032</v>
      </c>
      <c r="H17" s="12" t="n">
        <v>-75.91952778</v>
      </c>
      <c r="I17" s="13" t="n">
        <v>6.03955556</v>
      </c>
      <c r="J17" s="14" t="n">
        <v>18.95097499034455</v>
      </c>
      <c r="K17" s="15" t="n">
        <v>19.24640741828885</v>
      </c>
      <c r="L17" s="15" t="n">
        <v>19.12094542932085</v>
      </c>
      <c r="M17" s="15" t="n">
        <v>18.87852648774201</v>
      </c>
      <c r="N17" s="15" t="n">
        <v>18.92050842466392</v>
      </c>
      <c r="O17" s="15" t="n">
        <v>19.22816937859341</v>
      </c>
      <c r="P17" s="15" t="n">
        <v>19.22349931125326</v>
      </c>
      <c r="Q17" s="15" t="n">
        <v>19.14160981567803</v>
      </c>
      <c r="R17" s="15" t="n">
        <v>18.82627045773897</v>
      </c>
      <c r="S17" s="15" t="n">
        <v>18.32752525232409</v>
      </c>
      <c r="T17" s="15" t="n">
        <v>18.04968912299868</v>
      </c>
      <c r="U17" s="15" t="n">
        <v>18.52292744635341</v>
      </c>
      <c r="V17" s="16" t="n">
        <v>18.869754461275</v>
      </c>
      <c r="W17" s="17" t="n">
        <v>325</v>
      </c>
      <c r="X17" s="18" t="n">
        <v>0.9027777777777778</v>
      </c>
    </row>
    <row r="18" ht="13.9" customHeight="1">
      <c r="A18" s="10" t="n">
        <v>27015150</v>
      </c>
      <c r="B18" s="11" t="inlineStr">
        <is>
          <t>CO</t>
        </is>
      </c>
      <c r="C18" s="11" t="inlineStr">
        <is>
          <t xml:space="preserve">Hacienda El Progreso </t>
        </is>
      </c>
      <c r="D18" s="11" t="inlineStr">
        <is>
          <t>Don Matías</t>
        </is>
      </c>
      <c r="E18" s="11" t="inlineStr">
        <is>
          <t>Antioquia</t>
        </is>
      </c>
      <c r="F18" s="11" t="n">
        <v>1</v>
      </c>
      <c r="G18" s="11" t="n">
        <v>1345</v>
      </c>
      <c r="H18" s="12" t="n">
        <v>-75.39716666999999</v>
      </c>
      <c r="I18" s="13" t="n">
        <v>6.44747222</v>
      </c>
      <c r="J18" s="14" t="n">
        <v>22.124708141321</v>
      </c>
      <c r="K18" s="15" t="n">
        <v>22.08685481663926</v>
      </c>
      <c r="L18" s="15" t="n">
        <v>22.13824001977502</v>
      </c>
      <c r="M18" s="15" t="n">
        <v>22.08185525755637</v>
      </c>
      <c r="N18" s="15" t="n">
        <v>22.42447619047615</v>
      </c>
      <c r="O18" s="15" t="n">
        <v>22.26260426929389</v>
      </c>
      <c r="P18" s="15" t="n">
        <v>22.23704659498205</v>
      </c>
      <c r="Q18" s="15" t="n">
        <v>22.41827318917638</v>
      </c>
      <c r="R18" s="15" t="n">
        <v>22.34284783798573</v>
      </c>
      <c r="S18" s="15" t="n">
        <v>22.17737916026622</v>
      </c>
      <c r="T18" s="15" t="n">
        <v>22.2784333759046</v>
      </c>
      <c r="U18" s="15" t="n">
        <v>22.15167485919095</v>
      </c>
      <c r="V18" s="16" t="n">
        <v>22.22703280938063</v>
      </c>
      <c r="W18" s="17" t="n">
        <v>118</v>
      </c>
      <c r="X18" s="18" t="n">
        <v>0.9833333333333333</v>
      </c>
    </row>
    <row r="19" ht="13.9" customHeight="1">
      <c r="A19" s="10" t="n">
        <v>26175040</v>
      </c>
      <c r="B19" s="11" t="inlineStr">
        <is>
          <t>CO</t>
        </is>
      </c>
      <c r="C19" s="11" t="inlineStr">
        <is>
          <t>Hacienda Tunez</t>
        </is>
      </c>
      <c r="D19" s="11" t="inlineStr">
        <is>
          <t>Fredonia</t>
        </is>
      </c>
      <c r="E19" s="11" t="inlineStr">
        <is>
          <t>Antioquia</t>
        </is>
      </c>
      <c r="F19" s="11" t="n">
        <v>1</v>
      </c>
      <c r="G19" s="11" t="n">
        <v>604</v>
      </c>
      <c r="H19" s="12" t="n">
        <v>-75.65097222000001</v>
      </c>
      <c r="I19" s="13" t="n">
        <v>5.80025</v>
      </c>
      <c r="J19" s="14" t="n">
        <v>26.12414336917561</v>
      </c>
      <c r="K19" s="15" t="n">
        <v>26.74092955256747</v>
      </c>
      <c r="L19" s="15" t="n">
        <v>26.72307653776796</v>
      </c>
      <c r="M19" s="15" t="n">
        <v>26.18077323937236</v>
      </c>
      <c r="N19" s="15" t="n">
        <v>25.82062338211867</v>
      </c>
      <c r="O19" s="15" t="n">
        <v>25.78173670660259</v>
      </c>
      <c r="P19" s="15" t="n">
        <v>25.88622987393738</v>
      </c>
      <c r="Q19" s="15" t="n">
        <v>26.09341273397051</v>
      </c>
      <c r="R19" s="15" t="n">
        <v>25.83292385057469</v>
      </c>
      <c r="S19" s="15" t="n">
        <v>25.48440309181124</v>
      </c>
      <c r="T19" s="15" t="n">
        <v>25.50476127759532</v>
      </c>
      <c r="U19" s="15" t="n">
        <v>25.70346190988222</v>
      </c>
      <c r="V19" s="16" t="n">
        <v>25.98970629378134</v>
      </c>
      <c r="W19" s="17" t="n">
        <v>289</v>
      </c>
      <c r="X19" s="18" t="n">
        <v>0.8027777777777778</v>
      </c>
    </row>
    <row r="20" ht="13.9" customHeight="1">
      <c r="A20" s="20" t="n">
        <v>11115040</v>
      </c>
      <c r="B20" s="11" t="inlineStr">
        <is>
          <t>CO</t>
        </is>
      </c>
      <c r="C20" s="11" t="inlineStr">
        <is>
          <t>Musinga</t>
        </is>
      </c>
      <c r="D20" s="11" t="inlineStr">
        <is>
          <t>Frontino</t>
        </is>
      </c>
      <c r="E20" s="11" t="inlineStr">
        <is>
          <t>Antioquia</t>
        </is>
      </c>
      <c r="F20" s="11" t="n">
        <v>1</v>
      </c>
      <c r="G20" s="11" t="n">
        <v>1396</v>
      </c>
      <c r="H20" s="12" t="n">
        <v>-76.20333332999999</v>
      </c>
      <c r="I20" s="13" t="n">
        <v>6.77797222</v>
      </c>
      <c r="J20" s="14" t="n">
        <v>20.26098526581561</v>
      </c>
      <c r="K20" s="15" t="n">
        <v>20.43328736743246</v>
      </c>
      <c r="L20" s="15" t="n">
        <v>20.55679162718519</v>
      </c>
      <c r="M20" s="15" t="n">
        <v>20.46270816667366</v>
      </c>
      <c r="N20" s="15" t="n">
        <v>20.41650658531033</v>
      </c>
      <c r="O20" s="15" t="n">
        <v>20.41089335185885</v>
      </c>
      <c r="P20" s="15" t="n">
        <v>20.3491109831029</v>
      </c>
      <c r="Q20" s="15" t="n">
        <v>20.36894956182941</v>
      </c>
      <c r="R20" s="15" t="n">
        <v>20.30016756253536</v>
      </c>
      <c r="S20" s="15" t="n">
        <v>20.14202536769248</v>
      </c>
      <c r="T20" s="15" t="n">
        <v>20.07875124673111</v>
      </c>
      <c r="U20" s="15" t="n">
        <v>20.16039787056873</v>
      </c>
      <c r="V20" s="16" t="n">
        <v>20.32838124639468</v>
      </c>
      <c r="W20" s="17" t="n">
        <v>353</v>
      </c>
      <c r="X20" s="18" t="n">
        <v>0.9805555555555555</v>
      </c>
    </row>
    <row r="21" ht="13.9" customHeight="1">
      <c r="A21" s="10" t="n">
        <v>26195030</v>
      </c>
      <c r="B21" s="11" t="inlineStr">
        <is>
          <t>CO</t>
        </is>
      </c>
      <c r="C21" s="11" t="inlineStr">
        <is>
          <t xml:space="preserve">El Jardín </t>
        </is>
      </c>
      <c r="D21" s="11" t="inlineStr">
        <is>
          <t>Jardín</t>
        </is>
      </c>
      <c r="E21" s="11" t="inlineStr">
        <is>
          <t>Antioquia</t>
        </is>
      </c>
      <c r="F21" s="11" t="n">
        <v>1</v>
      </c>
      <c r="G21" s="11" t="n">
        <v>2161</v>
      </c>
      <c r="H21" s="12" t="n">
        <v>-75.80055556000001</v>
      </c>
      <c r="I21" s="13" t="n">
        <v>5.58772222</v>
      </c>
      <c r="J21" s="14" t="n">
        <v>17.18068623962859</v>
      </c>
      <c r="K21" s="15" t="n">
        <v>17.39564114025605</v>
      </c>
      <c r="L21" s="15" t="n">
        <v>17.44005753835828</v>
      </c>
      <c r="M21" s="15" t="n">
        <v>17.29257959323737</v>
      </c>
      <c r="N21" s="15" t="n">
        <v>17.21954497810829</v>
      </c>
      <c r="O21" s="15" t="n">
        <v>17.23415985701184</v>
      </c>
      <c r="P21" s="15" t="n">
        <v>17.18189851310901</v>
      </c>
      <c r="Q21" s="15" t="n">
        <v>17.08485972353824</v>
      </c>
      <c r="R21" s="15" t="n">
        <v>16.95772647048386</v>
      </c>
      <c r="S21" s="15" t="n">
        <v>16.78881859554681</v>
      </c>
      <c r="T21" s="15" t="n">
        <v>16.79272209133525</v>
      </c>
      <c r="U21" s="15" t="n">
        <v>17.01214405686594</v>
      </c>
      <c r="V21" s="16" t="n">
        <v>17.13173656645663</v>
      </c>
      <c r="W21" s="17" t="n">
        <v>287</v>
      </c>
      <c r="X21" s="18" t="n">
        <v>0.7972222222222223</v>
      </c>
    </row>
    <row r="22" ht="13.9" customHeight="1">
      <c r="A22" s="10" t="n">
        <v>26185020</v>
      </c>
      <c r="B22" s="11" t="inlineStr">
        <is>
          <t>CO</t>
        </is>
      </c>
      <c r="C22" s="11" t="inlineStr">
        <is>
          <t>Mesopotamia</t>
        </is>
      </c>
      <c r="D22" s="11" t="inlineStr">
        <is>
          <t>La Unión</t>
        </is>
      </c>
      <c r="E22" s="11" t="inlineStr">
        <is>
          <t>Antioquia</t>
        </is>
      </c>
      <c r="F22" s="11" t="n">
        <v>1</v>
      </c>
      <c r="G22" s="11" t="n">
        <v>2408</v>
      </c>
      <c r="H22" s="12" t="n">
        <v>-75.31863889</v>
      </c>
      <c r="I22" s="13" t="n">
        <v>5.88636111</v>
      </c>
      <c r="J22" s="14" t="n">
        <v>14.65685108625494</v>
      </c>
      <c r="K22" s="15" t="n">
        <v>14.90768072950533</v>
      </c>
      <c r="L22" s="15" t="n">
        <v>15.05666355361153</v>
      </c>
      <c r="M22" s="15" t="n">
        <v>15.20127971781303</v>
      </c>
      <c r="N22" s="15" t="n">
        <v>15.34464626922328</v>
      </c>
      <c r="O22" s="15" t="n">
        <v>15.22783365173842</v>
      </c>
      <c r="P22" s="15" t="n">
        <v>15.01792900695068</v>
      </c>
      <c r="Q22" s="15" t="n">
        <v>15.0852109133605</v>
      </c>
      <c r="R22" s="15" t="n">
        <v>14.97338697318006</v>
      </c>
      <c r="S22" s="15" t="n">
        <v>14.76122269894237</v>
      </c>
      <c r="T22" s="15" t="n">
        <v>14.63759008696708</v>
      </c>
      <c r="U22" s="15" t="n">
        <v>14.66918078271066</v>
      </c>
      <c r="V22" s="16" t="n">
        <v>14.96162295585483</v>
      </c>
      <c r="W22" s="17" t="n">
        <v>360</v>
      </c>
      <c r="X22" s="18" t="n">
        <v>1</v>
      </c>
    </row>
    <row r="23" ht="13.9" customHeight="1">
      <c r="A23" s="10" t="n">
        <v>27015330</v>
      </c>
      <c r="B23" s="11" t="inlineStr">
        <is>
          <t>SP</t>
        </is>
      </c>
      <c r="C23" s="11" t="inlineStr">
        <is>
          <t xml:space="preserve">Aeropuerto Olaya Herrera - AUT </t>
        </is>
      </c>
      <c r="D23" s="11" t="inlineStr">
        <is>
          <t>Medellín</t>
        </is>
      </c>
      <c r="E23" s="11" t="inlineStr">
        <is>
          <t>Antioquia</t>
        </is>
      </c>
      <c r="F23" s="11" t="n">
        <v>1</v>
      </c>
      <c r="G23" s="11" t="n">
        <v>1490</v>
      </c>
      <c r="H23" s="12" t="n">
        <v>-75.59</v>
      </c>
      <c r="I23" s="13" t="n">
        <v>6.22</v>
      </c>
      <c r="J23" s="14" t="n">
        <v>23.02343653442096</v>
      </c>
      <c r="K23" s="15" t="n">
        <v>23.34060622432352</v>
      </c>
      <c r="L23" s="15" t="n">
        <v>23.07480719317759</v>
      </c>
      <c r="M23" s="15" t="n">
        <v>22.80690646056282</v>
      </c>
      <c r="N23" s="15" t="n">
        <v>22.95010103819057</v>
      </c>
      <c r="O23" s="15" t="n">
        <v>23.66418648434403</v>
      </c>
      <c r="P23" s="15" t="n">
        <v>23.9836236691562</v>
      </c>
      <c r="Q23" s="15" t="n">
        <v>23.94268433179723</v>
      </c>
      <c r="R23" s="15" t="n">
        <v>23.20249692118226</v>
      </c>
      <c r="S23" s="15" t="n">
        <v>22.20591212458286</v>
      </c>
      <c r="T23" s="15" t="n">
        <v>21.95618432641916</v>
      </c>
      <c r="U23" s="15" t="n">
        <v>22.45570398733635</v>
      </c>
      <c r="V23" s="16" t="n">
        <v>23.0505541079578</v>
      </c>
      <c r="W23" s="17" t="n">
        <v>346</v>
      </c>
      <c r="X23" s="18" t="n">
        <v>0.9611111111111111</v>
      </c>
    </row>
    <row r="24" ht="13.9" customHeight="1">
      <c r="A24" s="10" t="n">
        <v>12015010</v>
      </c>
      <c r="B24" s="11" t="inlineStr">
        <is>
          <t>CO</t>
        </is>
      </c>
      <c r="C24" s="11" t="inlineStr">
        <is>
          <t>Villarteaga</t>
        </is>
      </c>
      <c r="D24" s="11" t="inlineStr">
        <is>
          <t>Mutatá</t>
        </is>
      </c>
      <c r="E24" s="11" t="inlineStr">
        <is>
          <t>Antioquia</t>
        </is>
      </c>
      <c r="F24" s="11" t="n">
        <v>1</v>
      </c>
      <c r="G24" s="11" t="n">
        <v>132</v>
      </c>
      <c r="H24" s="12" t="n">
        <v>-76.48602778</v>
      </c>
      <c r="I24" s="13" t="n">
        <v>7.33466667</v>
      </c>
      <c r="J24" s="14" t="n">
        <v>26.14699596774191</v>
      </c>
      <c r="K24" s="15" t="n">
        <v>26.22010147913678</v>
      </c>
      <c r="L24" s="15" t="n">
        <v>26.14447300313631</v>
      </c>
      <c r="M24" s="15" t="n">
        <v>26.22957525829969</v>
      </c>
      <c r="N24" s="15" t="n">
        <v>26.02957269205257</v>
      </c>
      <c r="O24" s="15" t="n">
        <v>25.9726482191003</v>
      </c>
      <c r="P24" s="15" t="n">
        <v>25.79251109404333</v>
      </c>
      <c r="Q24" s="15" t="n">
        <v>25.84204192312443</v>
      </c>
      <c r="R24" s="15" t="n">
        <v>26.0662127501064</v>
      </c>
      <c r="S24" s="15" t="n">
        <v>25.81634898858811</v>
      </c>
      <c r="T24" s="15" t="n">
        <v>25.72396286222983</v>
      </c>
      <c r="U24" s="15" t="n">
        <v>25.81239044567537</v>
      </c>
      <c r="V24" s="16" t="n">
        <v>25.98306955693625</v>
      </c>
      <c r="W24" s="17" t="n">
        <v>109</v>
      </c>
      <c r="X24" s="18" t="n">
        <v>0.9083333333333333</v>
      </c>
    </row>
    <row r="25" ht="13.9" customHeight="1">
      <c r="A25" s="10" t="n">
        <v>12025030</v>
      </c>
      <c r="B25" s="11" t="inlineStr">
        <is>
          <t>CO</t>
        </is>
      </c>
      <c r="C25" s="11" t="inlineStr">
        <is>
          <t xml:space="preserve">El Mellito </t>
        </is>
      </c>
      <c r="D25" s="11" t="inlineStr">
        <is>
          <t>Necoclí</t>
        </is>
      </c>
      <c r="E25" s="11" t="inlineStr">
        <is>
          <t>Antioquia</t>
        </is>
      </c>
      <c r="F25" s="11" t="n">
        <v>1</v>
      </c>
      <c r="G25" s="11" t="n">
        <v>54</v>
      </c>
      <c r="H25" s="12" t="n">
        <v>-76.67336111</v>
      </c>
      <c r="I25" s="13" t="n">
        <v>8.542666670000001</v>
      </c>
      <c r="J25" s="14" t="n">
        <v>26.89500179596055</v>
      </c>
      <c r="K25" s="15" t="n">
        <v>27.10756638485371</v>
      </c>
      <c r="L25" s="15" t="n">
        <v>27.4093987725526</v>
      </c>
      <c r="M25" s="15" t="n">
        <v>27.62422650842118</v>
      </c>
      <c r="N25" s="15" t="n">
        <v>27.39854489498278</v>
      </c>
      <c r="O25" s="15" t="n">
        <v>27.34195574351432</v>
      </c>
      <c r="P25" s="15" t="n">
        <v>27.30648458366472</v>
      </c>
      <c r="Q25" s="15" t="n">
        <v>27.31586055666358</v>
      </c>
      <c r="R25" s="15" t="n">
        <v>27.18348075800151</v>
      </c>
      <c r="S25" s="15" t="n">
        <v>27.20128397507413</v>
      </c>
      <c r="T25" s="15" t="n">
        <v>27.06171475475683</v>
      </c>
      <c r="U25" s="15" t="n">
        <v>26.89595010356805</v>
      </c>
      <c r="V25" s="16" t="n">
        <v>27.22845573600117</v>
      </c>
      <c r="W25" s="17" t="n">
        <v>281</v>
      </c>
      <c r="X25" s="18" t="n">
        <v>0.7805555555555556</v>
      </c>
    </row>
    <row r="26" ht="13.9" customHeight="1">
      <c r="A26" s="10" t="n">
        <v>23085110</v>
      </c>
      <c r="B26" s="11" t="inlineStr">
        <is>
          <t>CO</t>
        </is>
      </c>
      <c r="C26" s="11" t="inlineStr">
        <is>
          <t>El Peñol</t>
        </is>
      </c>
      <c r="D26" s="11" t="inlineStr">
        <is>
          <t>Peñol</t>
        </is>
      </c>
      <c r="E26" s="11" t="inlineStr">
        <is>
          <t>Antioquia</t>
        </is>
      </c>
      <c r="F26" s="11" t="n">
        <v>1</v>
      </c>
      <c r="G26" s="11" t="n">
        <v>2022</v>
      </c>
      <c r="H26" s="12" t="n">
        <v>-75.24138889</v>
      </c>
      <c r="I26" s="13" t="n">
        <v>6.2138889</v>
      </c>
      <c r="J26" s="14" t="n">
        <v>17.80010325354136</v>
      </c>
      <c r="K26" s="15" t="n">
        <v>18.03637758460294</v>
      </c>
      <c r="L26" s="15" t="n">
        <v>18.15085743224049</v>
      </c>
      <c r="M26" s="15" t="n">
        <v>18.33214511542097</v>
      </c>
      <c r="N26" s="15" t="n">
        <v>18.73697543465062</v>
      </c>
      <c r="O26" s="15" t="n">
        <v>19.01677753789183</v>
      </c>
      <c r="P26" s="15" t="n">
        <v>18.99881106321839</v>
      </c>
      <c r="Q26" s="15" t="n">
        <v>18.9483907793075</v>
      </c>
      <c r="R26" s="15" t="n">
        <v>18.51435366534239</v>
      </c>
      <c r="S26" s="15" t="n">
        <v>17.96684900456288</v>
      </c>
      <c r="T26" s="15" t="n">
        <v>17.75048465545551</v>
      </c>
      <c r="U26" s="15" t="n">
        <v>17.8031698271448</v>
      </c>
      <c r="V26" s="16" t="n">
        <v>18.33794127944831</v>
      </c>
      <c r="W26" s="17" t="n">
        <v>341</v>
      </c>
      <c r="X26" s="18" t="n">
        <v>0.9472222222222222</v>
      </c>
    </row>
    <row r="27" ht="13.9" customHeight="1">
      <c r="A27" s="10" t="n">
        <v>23095010</v>
      </c>
      <c r="B27" s="11" t="inlineStr">
        <is>
          <t>CP</t>
        </is>
      </c>
      <c r="C27" s="11" t="inlineStr">
        <is>
          <t>Aeropuerto Puerto Berrío</t>
        </is>
      </c>
      <c r="D27" s="11" t="inlineStr">
        <is>
          <t>Puerto Berrío</t>
        </is>
      </c>
      <c r="E27" s="11" t="inlineStr">
        <is>
          <t>Antioquia</t>
        </is>
      </c>
      <c r="F27" s="11" t="n">
        <v>8</v>
      </c>
      <c r="G27" s="11" t="n">
        <v>150</v>
      </c>
      <c r="H27" s="12" t="n">
        <v>-74.41222222</v>
      </c>
      <c r="I27" s="13" t="n">
        <v>6.465</v>
      </c>
      <c r="J27" s="14" t="n">
        <v>28.90702800657402</v>
      </c>
      <c r="K27" s="15" t="n">
        <v>29.24548716928026</v>
      </c>
      <c r="L27" s="15" t="n">
        <v>28.83394920355361</v>
      </c>
      <c r="M27" s="15" t="n">
        <v>28.58523128887647</v>
      </c>
      <c r="N27" s="15" t="n">
        <v>28.51928720155252</v>
      </c>
      <c r="O27" s="15" t="n">
        <v>28.48408189682871</v>
      </c>
      <c r="P27" s="15" t="n">
        <v>28.72672450871338</v>
      </c>
      <c r="Q27" s="15" t="n">
        <v>28.62958664874552</v>
      </c>
      <c r="R27" s="15" t="n">
        <v>28.29057010231148</v>
      </c>
      <c r="S27" s="15" t="n">
        <v>28.0033229145661</v>
      </c>
      <c r="T27" s="15" t="n">
        <v>27.97044046898855</v>
      </c>
      <c r="U27" s="15" t="n">
        <v>28.30208394760791</v>
      </c>
      <c r="V27" s="16" t="n">
        <v>28.54148277979987</v>
      </c>
      <c r="W27" s="17" t="n">
        <v>231</v>
      </c>
      <c r="X27" s="18" t="n">
        <v>0.9625</v>
      </c>
    </row>
    <row r="28" ht="13.9" customHeight="1">
      <c r="A28" s="10" t="n">
        <v>23175020</v>
      </c>
      <c r="B28" s="11" t="inlineStr">
        <is>
          <t>CO</t>
        </is>
      </c>
      <c r="C28" s="11" t="inlineStr">
        <is>
          <t>Aeropuerto Otú</t>
        </is>
      </c>
      <c r="D28" s="11" t="inlineStr">
        <is>
          <t>Remedios</t>
        </is>
      </c>
      <c r="E28" s="11" t="inlineStr">
        <is>
          <t>Antioquia</t>
        </is>
      </c>
      <c r="F28" s="11" t="n">
        <v>1</v>
      </c>
      <c r="G28" s="11" t="n">
        <v>643</v>
      </c>
      <c r="H28" s="12" t="n">
        <v>-74.71630556000001</v>
      </c>
      <c r="I28" s="13" t="n">
        <v>7.01175</v>
      </c>
      <c r="J28" s="14" t="n">
        <v>24.92239959166402</v>
      </c>
      <c r="K28" s="15" t="n">
        <v>25.12838396477488</v>
      </c>
      <c r="L28" s="15" t="n">
        <v>24.99236472370216</v>
      </c>
      <c r="M28" s="15" t="n">
        <v>25.10667683512738</v>
      </c>
      <c r="N28" s="15" t="n">
        <v>25.01407523668717</v>
      </c>
      <c r="O28" s="15" t="n">
        <v>25.16382137436329</v>
      </c>
      <c r="P28" s="15" t="n">
        <v>25.25960408121061</v>
      </c>
      <c r="Q28" s="15" t="n">
        <v>25.35165845135066</v>
      </c>
      <c r="R28" s="15" t="n">
        <v>25.00501826717442</v>
      </c>
      <c r="S28" s="15" t="n">
        <v>24.84806966051021</v>
      </c>
      <c r="T28" s="15" t="n">
        <v>24.67879622170381</v>
      </c>
      <c r="U28" s="15" t="n">
        <v>24.82474033699993</v>
      </c>
      <c r="V28" s="16" t="n">
        <v>25.02463406210572</v>
      </c>
      <c r="W28" s="17" t="n">
        <v>307</v>
      </c>
      <c r="X28" s="18" t="n">
        <v>0.8527777777777777</v>
      </c>
    </row>
    <row r="29" ht="13.9" customHeight="1">
      <c r="A29" s="10" t="n">
        <v>23085270</v>
      </c>
      <c r="B29" s="11" t="inlineStr">
        <is>
          <t>SP</t>
        </is>
      </c>
      <c r="C29" s="11" t="inlineStr">
        <is>
          <t xml:space="preserve">Aeropuerto José María Córdova - AUT </t>
        </is>
      </c>
      <c r="D29" s="11" t="inlineStr">
        <is>
          <t xml:space="preserve">Rionegro </t>
        </is>
      </c>
      <c r="E29" s="11" t="inlineStr">
        <is>
          <t>Antioquia</t>
        </is>
      </c>
      <c r="F29" s="11" t="n">
        <v>1</v>
      </c>
      <c r="G29" s="11" t="n">
        <v>2157</v>
      </c>
      <c r="H29" s="12" t="n">
        <v>-75.43000000000001</v>
      </c>
      <c r="I29" s="13" t="n">
        <v>6.17</v>
      </c>
      <c r="J29" s="14" t="n">
        <v>16.78463107156098</v>
      </c>
      <c r="K29" s="15" t="n">
        <v>17.1176488095238</v>
      </c>
      <c r="L29" s="15" t="n">
        <v>17.18008992575523</v>
      </c>
      <c r="M29" s="15" t="n">
        <v>17.26569444444443</v>
      </c>
      <c r="N29" s="15" t="n">
        <v>17.49644802867382</v>
      </c>
      <c r="O29" s="15" t="n">
        <v>17.49322222222221</v>
      </c>
      <c r="P29" s="15" t="n">
        <v>17.41835125448028</v>
      </c>
      <c r="Q29" s="15" t="n">
        <v>17.42976870435749</v>
      </c>
      <c r="R29" s="15" t="n">
        <v>17.21839798850574</v>
      </c>
      <c r="S29" s="15" t="n">
        <v>16.70233290478416</v>
      </c>
      <c r="T29" s="15" t="n">
        <v>16.55749794745483</v>
      </c>
      <c r="U29" s="15" t="n">
        <v>16.70666129032257</v>
      </c>
      <c r="V29" s="16" t="n">
        <v>17.11422871600713</v>
      </c>
      <c r="W29" s="17" t="n">
        <v>355</v>
      </c>
      <c r="X29" s="18" t="n">
        <v>0.9861111111111112</v>
      </c>
    </row>
    <row r="30" ht="13.9" customHeight="1">
      <c r="A30" s="10" t="n">
        <v>23085260</v>
      </c>
      <c r="B30" s="11" t="inlineStr">
        <is>
          <t>AM</t>
        </is>
      </c>
      <c r="C30" s="11" t="inlineStr">
        <is>
          <t xml:space="preserve">La Selva - AUT </t>
        </is>
      </c>
      <c r="D30" s="11" t="inlineStr">
        <is>
          <t xml:space="preserve">Rionegro </t>
        </is>
      </c>
      <c r="E30" s="11" t="inlineStr">
        <is>
          <t>Antioquia</t>
        </is>
      </c>
      <c r="F30" s="11" t="n">
        <v>1</v>
      </c>
      <c r="G30" s="11" t="n">
        <v>2125</v>
      </c>
      <c r="H30" s="12" t="n">
        <v>-75.41455556000001</v>
      </c>
      <c r="I30" s="13" t="n">
        <v>6.13191667</v>
      </c>
      <c r="J30" s="14" t="n">
        <v>16.83664718587966</v>
      </c>
      <c r="K30" s="15" t="n">
        <v>17.04690964959369</v>
      </c>
      <c r="L30" s="15" t="n">
        <v>17.06580842691172</v>
      </c>
      <c r="M30" s="15" t="n">
        <v>17.22646025387978</v>
      </c>
      <c r="N30" s="15" t="n">
        <v>17.34098312742235</v>
      </c>
      <c r="O30" s="15" t="n">
        <v>17.11980668756529</v>
      </c>
      <c r="P30" s="15" t="n">
        <v>17.05114412839662</v>
      </c>
      <c r="Q30" s="15" t="n">
        <v>17.08417343859431</v>
      </c>
      <c r="R30" s="15" t="n">
        <v>17.08455648148147</v>
      </c>
      <c r="S30" s="15" t="n">
        <v>16.80388227491476</v>
      </c>
      <c r="T30" s="15" t="n">
        <v>16.706183127572</v>
      </c>
      <c r="U30" s="15" t="n">
        <v>16.95737493369096</v>
      </c>
      <c r="V30" s="16" t="n">
        <v>17.02699414299189</v>
      </c>
      <c r="W30" s="17" t="n">
        <v>227</v>
      </c>
      <c r="X30" s="18" t="n">
        <v>0.9458333333333333</v>
      </c>
    </row>
    <row r="31" ht="13.9" customHeight="1">
      <c r="A31" s="10" t="n">
        <v>23085220</v>
      </c>
      <c r="B31" s="11" t="inlineStr">
        <is>
          <t>CP</t>
        </is>
      </c>
      <c r="C31" s="11" t="inlineStr">
        <is>
          <t>San Carlos</t>
        </is>
      </c>
      <c r="D31" s="11" t="inlineStr">
        <is>
          <t>San Carlos</t>
        </is>
      </c>
      <c r="E31" s="11" t="inlineStr">
        <is>
          <t>Antioquia</t>
        </is>
      </c>
      <c r="F31" s="11" t="n">
        <v>1</v>
      </c>
      <c r="G31" s="11" t="n">
        <v>1113</v>
      </c>
      <c r="H31" s="12" t="n">
        <v>-75.03891666999999</v>
      </c>
      <c r="I31" s="13" t="n">
        <v>6.15766667</v>
      </c>
      <c r="J31" s="14" t="n">
        <v>22.17301099864117</v>
      </c>
      <c r="K31" s="15" t="n">
        <v>22.46353386360514</v>
      </c>
      <c r="L31" s="15" t="n">
        <v>22.52984660685993</v>
      </c>
      <c r="M31" s="15" t="n">
        <v>22.78616387605422</v>
      </c>
      <c r="N31" s="15" t="n">
        <v>23.09935333283079</v>
      </c>
      <c r="O31" s="15" t="n">
        <v>23.35067406123328</v>
      </c>
      <c r="P31" s="15" t="n">
        <v>23.27635835819927</v>
      </c>
      <c r="Q31" s="15" t="n">
        <v>23.23170085275203</v>
      </c>
      <c r="R31" s="15" t="n">
        <v>22.92765391777081</v>
      </c>
      <c r="S31" s="15" t="n">
        <v>22.3580485585181</v>
      </c>
      <c r="T31" s="15" t="n">
        <v>21.9824326558704</v>
      </c>
      <c r="U31" s="15" t="n">
        <v>22.08982570052348</v>
      </c>
      <c r="V31" s="16" t="n">
        <v>22.68905023190489</v>
      </c>
      <c r="W31" s="17" t="n">
        <v>339</v>
      </c>
      <c r="X31" s="18" t="n">
        <v>0.9416666666666667</v>
      </c>
    </row>
    <row r="32" ht="13.9" customHeight="1">
      <c r="A32" s="10" t="n">
        <v>23085140</v>
      </c>
      <c r="B32" s="11" t="inlineStr">
        <is>
          <t>CO</t>
        </is>
      </c>
      <c r="C32" s="11" t="inlineStr">
        <is>
          <t>San Francisco</t>
        </is>
      </c>
      <c r="D32" s="11" t="inlineStr">
        <is>
          <t xml:space="preserve">San Francisco </t>
        </is>
      </c>
      <c r="E32" s="11" t="inlineStr">
        <is>
          <t>Antioquia</t>
        </is>
      </c>
      <c r="F32" s="11" t="n">
        <v>1</v>
      </c>
      <c r="G32" s="11" t="n">
        <v>1325</v>
      </c>
      <c r="H32" s="12" t="n">
        <v>-75.10069444</v>
      </c>
      <c r="I32" s="13" t="n">
        <v>5.96380556</v>
      </c>
      <c r="J32" s="14" t="n">
        <v>21.77792167664245</v>
      </c>
      <c r="K32" s="15" t="n">
        <v>21.81939919878614</v>
      </c>
      <c r="L32" s="15" t="n">
        <v>21.73137837737554</v>
      </c>
      <c r="M32" s="15" t="n">
        <v>21.79521349510427</v>
      </c>
      <c r="N32" s="15" t="n">
        <v>21.90951561111402</v>
      </c>
      <c r="O32" s="15" t="n">
        <v>22.1432428797916</v>
      </c>
      <c r="P32" s="15" t="n">
        <v>22.14062329780791</v>
      </c>
      <c r="Q32" s="15" t="n">
        <v>22.12609218796896</v>
      </c>
      <c r="R32" s="15" t="n">
        <v>21.90882015650021</v>
      </c>
      <c r="S32" s="15" t="n">
        <v>21.58998604613518</v>
      </c>
      <c r="T32" s="15" t="n">
        <v>21.46019229752937</v>
      </c>
      <c r="U32" s="15" t="n">
        <v>21.74308557466508</v>
      </c>
      <c r="V32" s="16" t="n">
        <v>21.84545589995173</v>
      </c>
      <c r="W32" s="17" t="n">
        <v>355</v>
      </c>
      <c r="X32" s="18" t="n">
        <v>0.9861111111111112</v>
      </c>
    </row>
    <row r="33" ht="13.9" customHeight="1">
      <c r="A33" s="10" t="n">
        <v>23085080</v>
      </c>
      <c r="B33" s="11" t="inlineStr">
        <is>
          <t>CP</t>
        </is>
      </c>
      <c r="C33" s="11" t="inlineStr">
        <is>
          <t>Granja Experiomental El Nus - AUT</t>
        </is>
      </c>
      <c r="D33" s="11" t="inlineStr">
        <is>
          <t>San Roque</t>
        </is>
      </c>
      <c r="E33" s="11" t="inlineStr">
        <is>
          <t>Antioquia</t>
        </is>
      </c>
      <c r="F33" s="11" t="n">
        <v>1</v>
      </c>
      <c r="G33" s="11" t="n">
        <v>859</v>
      </c>
      <c r="H33" s="12" t="n">
        <v>-74.83669444</v>
      </c>
      <c r="I33" s="13" t="n">
        <v>6.48358333</v>
      </c>
      <c r="J33" s="14" t="n">
        <v>23.68644275971059</v>
      </c>
      <c r="K33" s="15" t="n">
        <v>24.06387531214894</v>
      </c>
      <c r="L33" s="15" t="n">
        <v>24.04156847087323</v>
      </c>
      <c r="M33" s="15" t="n">
        <v>23.87607977850249</v>
      </c>
      <c r="N33" s="15" t="n">
        <v>23.99872391649154</v>
      </c>
      <c r="O33" s="15" t="n">
        <v>24.06556741499007</v>
      </c>
      <c r="P33" s="15" t="n">
        <v>24.0382478997174</v>
      </c>
      <c r="Q33" s="15" t="n">
        <v>24.16393993706203</v>
      </c>
      <c r="R33" s="15" t="n">
        <v>23.89159570275909</v>
      </c>
      <c r="S33" s="15" t="n">
        <v>23.52490973164798</v>
      </c>
      <c r="T33" s="15" t="n">
        <v>23.26904752056245</v>
      </c>
      <c r="U33" s="15" t="n">
        <v>23.52962307209688</v>
      </c>
      <c r="V33" s="16" t="n">
        <v>23.84580179304689</v>
      </c>
      <c r="W33" s="17" t="n">
        <v>299</v>
      </c>
      <c r="X33" s="18" t="n">
        <v>0.8305555555555556</v>
      </c>
    </row>
    <row r="34" ht="13.9" customHeight="1">
      <c r="A34" s="10" t="n">
        <v>23085160</v>
      </c>
      <c r="B34" s="35" t="inlineStr">
        <is>
          <t>CO</t>
        </is>
      </c>
      <c r="C34" s="35" t="inlineStr">
        <is>
          <t>Corrientes</t>
        </is>
      </c>
      <c r="D34" s="35" t="inlineStr">
        <is>
          <t>San Vicente</t>
        </is>
      </c>
      <c r="E34" s="35" t="inlineStr">
        <is>
          <t>Antioquia</t>
        </is>
      </c>
      <c r="F34" s="35" t="n">
        <v>1</v>
      </c>
      <c r="G34" s="35" t="n">
        <v>1965</v>
      </c>
      <c r="H34" s="36" t="n">
        <v>-75.25355556000001</v>
      </c>
      <c r="I34" s="37" t="n">
        <v>6.31194444</v>
      </c>
      <c r="J34" s="22" t="n">
        <v>17.69116454644653</v>
      </c>
      <c r="K34" s="23" t="n">
        <v>17.78048753132325</v>
      </c>
      <c r="L34" s="23" t="n">
        <v>17.8640506630243</v>
      </c>
      <c r="M34" s="23" t="n">
        <v>18.06581633245423</v>
      </c>
      <c r="N34" s="23" t="n">
        <v>18.24383310496837</v>
      </c>
      <c r="O34" s="23" t="n">
        <v>18.23841634599965</v>
      </c>
      <c r="P34" s="23" t="n">
        <v>18.0526027992228</v>
      </c>
      <c r="Q34" s="23" t="n">
        <v>18.20197791945448</v>
      </c>
      <c r="R34" s="23" t="n">
        <v>18.08675935301746</v>
      </c>
      <c r="S34" s="23" t="n">
        <v>17.83207556340277</v>
      </c>
      <c r="T34" s="23" t="n">
        <v>17.68185406677611</v>
      </c>
      <c r="U34" s="23" t="n">
        <v>17.74640450965503</v>
      </c>
      <c r="V34" s="38" t="n">
        <v>17.95712022797875</v>
      </c>
      <c r="W34" s="41" t="n">
        <v>291</v>
      </c>
      <c r="X34" s="24" t="n">
        <v>0.8083333333333333</v>
      </c>
    </row>
    <row r="35" ht="13.9" customHeight="1">
      <c r="A35" s="10" t="n">
        <v>27015110</v>
      </c>
      <c r="B35" s="21" t="inlineStr">
        <is>
          <t>CO</t>
        </is>
      </c>
      <c r="C35" s="21" t="inlineStr">
        <is>
          <t>Aragón</t>
        </is>
      </c>
      <c r="D35" s="21" t="inlineStr">
        <is>
          <t>Santa Rosa de Osos</t>
        </is>
      </c>
      <c r="E35" s="21" t="inlineStr">
        <is>
          <t>Antioquia</t>
        </is>
      </c>
      <c r="F35" s="21" t="n">
        <v>1</v>
      </c>
      <c r="G35" s="21" t="n">
        <v>2652</v>
      </c>
      <c r="H35" s="42" t="n">
        <v>-75.55571917</v>
      </c>
      <c r="I35" s="43" t="n">
        <v>6.78006389</v>
      </c>
      <c r="J35" s="44" t="n">
        <v>13.07337253385593</v>
      </c>
      <c r="K35" s="45" t="n">
        <v>13.23099542041696</v>
      </c>
      <c r="L35" s="45" t="n">
        <v>13.39210969225062</v>
      </c>
      <c r="M35" s="45" t="n">
        <v>13.63216351110156</v>
      </c>
      <c r="N35" s="45" t="n">
        <v>13.95069104384057</v>
      </c>
      <c r="O35" s="45" t="n">
        <v>13.80204302362704</v>
      </c>
      <c r="P35" s="45" t="n">
        <v>13.61849702687482</v>
      </c>
      <c r="Q35" s="45" t="n">
        <v>13.65264642195029</v>
      </c>
      <c r="R35" s="45" t="n">
        <v>13.58954668399924</v>
      </c>
      <c r="S35" s="45" t="n">
        <v>13.32180485521019</v>
      </c>
      <c r="T35" s="45" t="n">
        <v>13.08880320421796</v>
      </c>
      <c r="U35" s="45" t="n">
        <v>13.09439679353868</v>
      </c>
      <c r="V35" s="38" t="n">
        <v>13.45392251757365</v>
      </c>
      <c r="W35" s="41" t="n">
        <v>291</v>
      </c>
      <c r="X35" s="24" t="n">
        <v>0.8083333333333333</v>
      </c>
    </row>
    <row r="36" ht="13.9" customHeight="1">
      <c r="A36" s="10" t="n">
        <v>27015190</v>
      </c>
      <c r="B36" s="21" t="inlineStr">
        <is>
          <t>CO</t>
        </is>
      </c>
      <c r="C36" s="21" t="inlineStr">
        <is>
          <t>Guayabito</t>
        </is>
      </c>
      <c r="D36" s="21" t="inlineStr">
        <is>
          <t>Santo Domingo</t>
        </is>
      </c>
      <c r="E36" s="21" t="inlineStr">
        <is>
          <t>Antioquia</t>
        </is>
      </c>
      <c r="F36" s="21" t="n">
        <v>1</v>
      </c>
      <c r="G36" s="21" t="n">
        <v>1440</v>
      </c>
      <c r="H36" s="42" t="n">
        <v>-75.14675</v>
      </c>
      <c r="I36" s="43" t="n">
        <v>6.54038889</v>
      </c>
      <c r="J36" s="22" t="n">
        <v>21.76740054227458</v>
      </c>
      <c r="K36" s="23" t="n">
        <v>22.04956859678664</v>
      </c>
      <c r="L36" s="23" t="n">
        <v>22.10764152482786</v>
      </c>
      <c r="M36" s="23" t="n">
        <v>22.01969479153878</v>
      </c>
      <c r="N36" s="23" t="n">
        <v>22.02828900943512</v>
      </c>
      <c r="O36" s="23" t="n">
        <v>22.23120431365721</v>
      </c>
      <c r="P36" s="23" t="n">
        <v>22.25733891558009</v>
      </c>
      <c r="Q36" s="23" t="n">
        <v>22.343005766493</v>
      </c>
      <c r="R36" s="23" t="n">
        <v>22.0707996087088</v>
      </c>
      <c r="S36" s="23" t="n">
        <v>21.73307019204374</v>
      </c>
      <c r="T36" s="23" t="n">
        <v>21.58886747816749</v>
      </c>
      <c r="U36" s="23" t="n">
        <v>21.56419267636605</v>
      </c>
      <c r="V36" s="38" t="n">
        <v>21.98008945132328</v>
      </c>
      <c r="W36" s="41" t="n">
        <v>334</v>
      </c>
      <c r="X36" s="24" t="n">
        <v>0.9277777777777778</v>
      </c>
    </row>
    <row r="37" ht="13.9" customHeight="1">
      <c r="A37" s="10" t="n">
        <v>23070020</v>
      </c>
      <c r="B37" s="35" t="inlineStr">
        <is>
          <t>PG</t>
        </is>
      </c>
      <c r="C37" s="35" t="inlineStr">
        <is>
          <t>Rio Claro</t>
        </is>
      </c>
      <c r="D37" s="35" t="inlineStr">
        <is>
          <t>Sonsón</t>
        </is>
      </c>
      <c r="E37" s="35" t="inlineStr">
        <is>
          <t>Antioquia</t>
        </is>
      </c>
      <c r="F37" s="35" t="n">
        <v>1</v>
      </c>
      <c r="G37" s="35" t="n">
        <v>449</v>
      </c>
      <c r="H37" s="36" t="n">
        <v>-74.84836111</v>
      </c>
      <c r="I37" s="37" t="n">
        <v>5.85552778</v>
      </c>
      <c r="J37" s="22" t="n">
        <v>25.9730881410256</v>
      </c>
      <c r="K37" s="23" t="n">
        <v>26.25090319021456</v>
      </c>
      <c r="L37" s="23" t="n">
        <v>26.38016149485737</v>
      </c>
      <c r="M37" s="23" t="n">
        <v>26.31609025117067</v>
      </c>
      <c r="N37" s="23" t="n">
        <v>26.31063648954895</v>
      </c>
      <c r="O37" s="23" t="n">
        <v>26.40270747283615</v>
      </c>
      <c r="P37" s="23" t="n">
        <v>26.75486930597028</v>
      </c>
      <c r="Q37" s="23" t="n">
        <v>26.79168479455832</v>
      </c>
      <c r="R37" s="23" t="n">
        <v>26.23496269893896</v>
      </c>
      <c r="S37" s="23" t="n">
        <v>25.74679479106598</v>
      </c>
      <c r="T37" s="23" t="n">
        <v>25.51486527106814</v>
      </c>
      <c r="U37" s="23" t="n">
        <v>25.82513825075783</v>
      </c>
      <c r="V37" s="38" t="n">
        <v>26.20849184600107</v>
      </c>
      <c r="W37" s="41" t="n">
        <v>105</v>
      </c>
      <c r="X37" s="24" t="n">
        <v>0.875</v>
      </c>
    </row>
    <row r="38" ht="13.9" customHeight="1">
      <c r="A38" s="10" t="n">
        <v>26175030</v>
      </c>
      <c r="B38" s="21" t="inlineStr">
        <is>
          <t>CP</t>
        </is>
      </c>
      <c r="C38" s="21" t="inlineStr">
        <is>
          <t xml:space="preserve">La Granja Nacional </t>
        </is>
      </c>
      <c r="D38" s="21" t="inlineStr">
        <is>
          <t>Támesis</t>
        </is>
      </c>
      <c r="E38" s="21" t="inlineStr">
        <is>
          <t>Antioquia</t>
        </is>
      </c>
      <c r="F38" s="21" t="n">
        <v>1</v>
      </c>
      <c r="G38" s="21" t="n">
        <v>1153</v>
      </c>
      <c r="H38" s="42" t="n">
        <v>-75.69091666999999</v>
      </c>
      <c r="I38" s="43" t="n">
        <v>5.71733333</v>
      </c>
      <c r="J38" s="44" t="n">
        <v>22.85813941733296</v>
      </c>
      <c r="K38" s="45" t="n">
        <v>23.48532552107907</v>
      </c>
      <c r="L38" s="45" t="n">
        <v>23.47062365591396</v>
      </c>
      <c r="M38" s="45" t="n">
        <v>23.02889486407588</v>
      </c>
      <c r="N38" s="45" t="n">
        <v>22.70834587813619</v>
      </c>
      <c r="O38" s="45" t="n">
        <v>22.74433860153255</v>
      </c>
      <c r="P38" s="45" t="n">
        <v>22.85850828293675</v>
      </c>
      <c r="Q38" s="45" t="n">
        <v>23.08058237547891</v>
      </c>
      <c r="R38" s="45" t="n">
        <v>22.6637404450484</v>
      </c>
      <c r="S38" s="45" t="n">
        <v>22.11213289457421</v>
      </c>
      <c r="T38" s="45" t="n">
        <v>22.09576149425287</v>
      </c>
      <c r="U38" s="45" t="n">
        <v>22.31897323157417</v>
      </c>
      <c r="V38" s="38" t="n">
        <v>22.78544722182799</v>
      </c>
      <c r="W38" s="41" t="n">
        <v>357</v>
      </c>
      <c r="X38" s="24" t="n">
        <v>0.9916666666666667</v>
      </c>
    </row>
    <row r="39" ht="13.9" customHeight="1">
      <c r="A39" s="10" t="n">
        <v>26235030</v>
      </c>
      <c r="B39" s="21" t="inlineStr">
        <is>
          <t>CO</t>
        </is>
      </c>
      <c r="C39" s="21" t="inlineStr">
        <is>
          <t>Matanzas</t>
        </is>
      </c>
      <c r="D39" s="21" t="inlineStr">
        <is>
          <t xml:space="preserve">Toledo </t>
        </is>
      </c>
      <c r="E39" s="21" t="inlineStr">
        <is>
          <t>Antioquia</t>
        </is>
      </c>
      <c r="F39" s="21" t="n">
        <v>1</v>
      </c>
      <c r="G39" s="21" t="n">
        <v>569</v>
      </c>
      <c r="H39" s="42" t="n">
        <v>-75.66594443999999</v>
      </c>
      <c r="I39" s="43" t="n">
        <v>7.03583333</v>
      </c>
      <c r="J39" s="22" t="n">
        <v>26.10010752688168</v>
      </c>
      <c r="K39" s="23" t="n">
        <v>26.89259978527216</v>
      </c>
      <c r="L39" s="23" t="n">
        <v>26.91903942652326</v>
      </c>
      <c r="M39" s="23" t="n">
        <v>26.29815298303225</v>
      </c>
      <c r="N39" s="23" t="n">
        <v>25.639145559538</v>
      </c>
      <c r="O39" s="23" t="n">
        <v>25.34451932433251</v>
      </c>
      <c r="P39" s="23" t="n">
        <v>25.41910991636794</v>
      </c>
      <c r="Q39" s="23" t="n">
        <v>25.43478356768675</v>
      </c>
      <c r="R39" s="23" t="n">
        <v>25.02534482758616</v>
      </c>
      <c r="S39" s="23" t="n">
        <v>25.05918740399382</v>
      </c>
      <c r="T39" s="23" t="n">
        <v>25.31346825396822</v>
      </c>
      <c r="U39" s="23" t="n">
        <v>25.5796774193548</v>
      </c>
      <c r="V39" s="38" t="n">
        <v>25.75209466621147</v>
      </c>
      <c r="W39" s="41" t="n">
        <v>120</v>
      </c>
      <c r="X39" s="24" t="n">
        <v>1</v>
      </c>
    </row>
    <row r="40" ht="13.9" customHeight="1">
      <c r="A40" s="10" t="n">
        <v>11075010</v>
      </c>
      <c r="B40" s="35" t="inlineStr">
        <is>
          <t>CO</t>
        </is>
      </c>
      <c r="C40" s="35" t="inlineStr">
        <is>
          <t xml:space="preserve">La Honda </t>
        </is>
      </c>
      <c r="D40" s="35" t="inlineStr">
        <is>
          <t>Urrao</t>
        </is>
      </c>
      <c r="E40" s="35" t="inlineStr">
        <is>
          <t>Antioquia</t>
        </is>
      </c>
      <c r="F40" s="35" t="n">
        <v>1</v>
      </c>
      <c r="G40" s="35" t="n">
        <v>1850</v>
      </c>
      <c r="H40" s="36" t="n">
        <v>-76.15805556000001</v>
      </c>
      <c r="I40" s="37" t="n">
        <v>6.35638889</v>
      </c>
      <c r="J40" s="44" t="n">
        <v>16.6288794225475</v>
      </c>
      <c r="K40" s="45" t="n">
        <v>16.65589724624407</v>
      </c>
      <c r="L40" s="45" t="n">
        <v>16.88704283021835</v>
      </c>
      <c r="M40" s="45" t="n">
        <v>17.03228569946971</v>
      </c>
      <c r="N40" s="45" t="n">
        <v>17.13293790115409</v>
      </c>
      <c r="O40" s="45" t="n">
        <v>16.86098911478577</v>
      </c>
      <c r="P40" s="45" t="n">
        <v>16.73400805868049</v>
      </c>
      <c r="Q40" s="45" t="n">
        <v>16.7750357720056</v>
      </c>
      <c r="R40" s="45" t="n">
        <v>16.56000230768652</v>
      </c>
      <c r="S40" s="45" t="n">
        <v>16.55895221932864</v>
      </c>
      <c r="T40" s="45" t="n">
        <v>16.71884160264074</v>
      </c>
      <c r="U40" s="45" t="n">
        <v>16.53567573717548</v>
      </c>
      <c r="V40" s="38" t="n">
        <v>16.75671232599474</v>
      </c>
      <c r="W40" s="41" t="n">
        <v>212</v>
      </c>
      <c r="X40" s="24" t="n">
        <v>0.8833333333333333</v>
      </c>
    </row>
    <row r="41" ht="13.9" customHeight="1">
      <c r="A41" s="10" t="n">
        <v>11075020</v>
      </c>
      <c r="B41" s="21" t="inlineStr">
        <is>
          <t>CO</t>
        </is>
      </c>
      <c r="C41" s="21" t="inlineStr">
        <is>
          <t>Urrao</t>
        </is>
      </c>
      <c r="D41" s="21" t="inlineStr">
        <is>
          <t>Urrao</t>
        </is>
      </c>
      <c r="E41" s="21" t="inlineStr">
        <is>
          <t>Antioquia</t>
        </is>
      </c>
      <c r="F41" s="21" t="n">
        <v>1</v>
      </c>
      <c r="G41" s="21" t="n">
        <v>1833</v>
      </c>
      <c r="H41" s="42" t="n">
        <v>-76.14330556</v>
      </c>
      <c r="I41" s="43" t="n">
        <v>6.29830556</v>
      </c>
      <c r="J41" s="22" t="n">
        <v>17.45307776219413</v>
      </c>
      <c r="K41" s="23" t="n">
        <v>17.58705727147219</v>
      </c>
      <c r="L41" s="23" t="n">
        <v>17.71572042831627</v>
      </c>
      <c r="M41" s="23" t="n">
        <v>17.77375812246498</v>
      </c>
      <c r="N41" s="23" t="n">
        <v>17.90775122711298</v>
      </c>
      <c r="O41" s="23" t="n">
        <v>17.8118589789354</v>
      </c>
      <c r="P41" s="23" t="n">
        <v>17.65685605210884</v>
      </c>
      <c r="Q41" s="23" t="n">
        <v>17.69892835396929</v>
      </c>
      <c r="R41" s="23" t="n">
        <v>17.48155892851291</v>
      </c>
      <c r="S41" s="23" t="n">
        <v>17.2544378951006</v>
      </c>
      <c r="T41" s="23" t="n">
        <v>17.26589972870704</v>
      </c>
      <c r="U41" s="23" t="n">
        <v>17.36562110535575</v>
      </c>
      <c r="V41" s="38" t="n">
        <v>17.58104382118754</v>
      </c>
      <c r="W41" s="41" t="n">
        <v>293</v>
      </c>
      <c r="X41" s="24" t="n">
        <v>0.8138888888888889</v>
      </c>
    </row>
    <row r="42" ht="13.9" customHeight="1">
      <c r="A42" s="10" t="n">
        <v>26255020</v>
      </c>
      <c r="B42" s="21" t="inlineStr">
        <is>
          <t>CO</t>
        </is>
      </c>
      <c r="C42" s="21" t="inlineStr">
        <is>
          <t>Santa Isabel</t>
        </is>
      </c>
      <c r="D42" s="21" t="inlineStr">
        <is>
          <t>Valdivia</t>
        </is>
      </c>
      <c r="E42" s="21" t="inlineStr">
        <is>
          <t>Antioquia</t>
        </is>
      </c>
      <c r="F42" s="21" t="n">
        <v>1</v>
      </c>
      <c r="G42" s="21" t="n">
        <v>1131</v>
      </c>
      <c r="H42" s="42" t="n">
        <v>-75.442275</v>
      </c>
      <c r="I42" s="43" t="n">
        <v>7.15722222</v>
      </c>
      <c r="J42" s="22" t="n">
        <v>21.52782751982315</v>
      </c>
      <c r="K42" s="23" t="n">
        <v>21.74478570290214</v>
      </c>
      <c r="L42" s="23" t="n">
        <v>21.93795971960477</v>
      </c>
      <c r="M42" s="23" t="n">
        <v>22.0620978598458</v>
      </c>
      <c r="N42" s="23" t="n">
        <v>22.16004623746056</v>
      </c>
      <c r="O42" s="23" t="n">
        <v>22.30673436970291</v>
      </c>
      <c r="P42" s="23" t="n">
        <v>22.25851656859366</v>
      </c>
      <c r="Q42" s="23" t="n">
        <v>22.24605846087591</v>
      </c>
      <c r="R42" s="23" t="n">
        <v>22.02141621913556</v>
      </c>
      <c r="S42" s="23" t="n">
        <v>21.81054004673926</v>
      </c>
      <c r="T42" s="23" t="n">
        <v>21.70283675266906</v>
      </c>
      <c r="U42" s="23" t="n">
        <v>21.55924551913213</v>
      </c>
      <c r="V42" s="38" t="n">
        <v>21.94483874804041</v>
      </c>
      <c r="W42" s="41" t="n">
        <v>351</v>
      </c>
      <c r="X42" s="24" t="n">
        <v>0.975</v>
      </c>
    </row>
    <row r="43" ht="13.9" customHeight="1">
      <c r="A43" s="10" t="n">
        <v>23105030</v>
      </c>
      <c r="B43" s="21" t="inlineStr">
        <is>
          <t>CO</t>
        </is>
      </c>
      <c r="C43" s="21" t="inlineStr">
        <is>
          <t>Vegachí</t>
        </is>
      </c>
      <c r="D43" s="21" t="inlineStr">
        <is>
          <t>Vegachí</t>
        </is>
      </c>
      <c r="E43" s="21" t="inlineStr">
        <is>
          <t>Antioquia</t>
        </is>
      </c>
      <c r="F43" s="21" t="n">
        <v>1</v>
      </c>
      <c r="G43" s="21" t="n">
        <v>990</v>
      </c>
      <c r="H43" s="42" t="n">
        <v>-74.79652777999999</v>
      </c>
      <c r="I43" s="43" t="n">
        <v>6.77411111</v>
      </c>
      <c r="J43" s="22" t="n">
        <v>22.47573591468473</v>
      </c>
      <c r="K43" s="23" t="n">
        <v>22.82438304958525</v>
      </c>
      <c r="L43" s="23" t="n">
        <v>22.97342572680205</v>
      </c>
      <c r="M43" s="23" t="n">
        <v>22.9493692897141</v>
      </c>
      <c r="N43" s="23" t="n">
        <v>23.00230152844722</v>
      </c>
      <c r="O43" s="23" t="n">
        <v>23.13822923245335</v>
      </c>
      <c r="P43" s="23" t="n">
        <v>23.19531371096506</v>
      </c>
      <c r="Q43" s="23" t="n">
        <v>23.31607996081607</v>
      </c>
      <c r="R43" s="23" t="n">
        <v>23.04273669308788</v>
      </c>
      <c r="S43" s="23" t="n">
        <v>22.64905809762652</v>
      </c>
      <c r="T43" s="23" t="n">
        <v>22.42530558794675</v>
      </c>
      <c r="U43" s="23" t="n">
        <v>22.40559866654225</v>
      </c>
      <c r="V43" s="38" t="n">
        <v>22.86646145488927</v>
      </c>
      <c r="W43" s="41" t="n">
        <v>320</v>
      </c>
      <c r="X43" s="24" t="n">
        <v>0.8888888888888888</v>
      </c>
    </row>
    <row r="44" ht="13.9" customHeight="1">
      <c r="A44" s="10" t="n">
        <v>37055010</v>
      </c>
      <c r="B44" s="21" t="inlineStr">
        <is>
          <t>SP</t>
        </is>
      </c>
      <c r="C44" s="21" t="inlineStr">
        <is>
          <t>Aeropuerto Santiago Pérez</t>
        </is>
      </c>
      <c r="D44" s="21" t="inlineStr">
        <is>
          <t>Arauca</t>
        </is>
      </c>
      <c r="E44" s="21" t="inlineStr">
        <is>
          <t>Arauca</t>
        </is>
      </c>
      <c r="F44" s="21" t="n">
        <v>8</v>
      </c>
      <c r="G44" s="21" t="n">
        <v>128</v>
      </c>
      <c r="H44" s="42" t="n">
        <v>-70.73805556000001</v>
      </c>
      <c r="I44" s="43" t="n">
        <v>7.06944444</v>
      </c>
      <c r="J44" s="22" t="n">
        <v>27.52419397875946</v>
      </c>
      <c r="K44" s="23" t="n">
        <v>28.54217911472553</v>
      </c>
      <c r="L44" s="23" t="n">
        <v>28.98868728786971</v>
      </c>
      <c r="M44" s="23" t="n">
        <v>27.6579137778994</v>
      </c>
      <c r="N44" s="23" t="n">
        <v>26.59761593733283</v>
      </c>
      <c r="O44" s="23" t="n">
        <v>25.8877375821018</v>
      </c>
      <c r="P44" s="23" t="n">
        <v>25.75141855147694</v>
      </c>
      <c r="Q44" s="23" t="n">
        <v>26.16545166062225</v>
      </c>
      <c r="R44" s="23" t="n">
        <v>26.6234565224784</v>
      </c>
      <c r="S44" s="23" t="n">
        <v>26.85779444357868</v>
      </c>
      <c r="T44" s="23" t="n">
        <v>26.87241060025542</v>
      </c>
      <c r="U44" s="23" t="n">
        <v>26.93919561621175</v>
      </c>
      <c r="V44" s="38" t="n">
        <v>27.03400458944268</v>
      </c>
      <c r="W44" s="41" t="n">
        <v>322</v>
      </c>
      <c r="X44" s="24" t="n">
        <v>0.8944444444444445</v>
      </c>
    </row>
    <row r="45" ht="13.9" customHeight="1">
      <c r="A45" s="10" t="n">
        <v>37045010</v>
      </c>
      <c r="B45" s="35" t="inlineStr">
        <is>
          <t>CO</t>
        </is>
      </c>
      <c r="C45" s="35" t="inlineStr">
        <is>
          <t>Saravena</t>
        </is>
      </c>
      <c r="D45" s="35" t="inlineStr">
        <is>
          <t>Saravena</t>
        </is>
      </c>
      <c r="E45" s="35" t="inlineStr">
        <is>
          <t>Arauca</t>
        </is>
      </c>
      <c r="F45" s="35" t="n">
        <v>8</v>
      </c>
      <c r="G45" s="35" t="n">
        <v>148</v>
      </c>
      <c r="H45" s="36" t="n">
        <v>-71.89055556000001</v>
      </c>
      <c r="I45" s="37" t="n">
        <v>6.94638889</v>
      </c>
      <c r="J45" s="22" t="n">
        <v>25.29960459691641</v>
      </c>
      <c r="K45" s="23" t="n">
        <v>26.10456507094436</v>
      </c>
      <c r="L45" s="23" t="n">
        <v>26.87041828077669</v>
      </c>
      <c r="M45" s="23" t="n">
        <v>26.0627741963821</v>
      </c>
      <c r="N45" s="23" t="n">
        <v>25.58157215942161</v>
      </c>
      <c r="O45" s="23" t="n">
        <v>25.01628750719267</v>
      </c>
      <c r="P45" s="23" t="n">
        <v>24.8024788601091</v>
      </c>
      <c r="Q45" s="23" t="n">
        <v>25.02026425508738</v>
      </c>
      <c r="R45" s="23" t="n">
        <v>25.51175989782885</v>
      </c>
      <c r="S45" s="23" t="n">
        <v>25.91281720430106</v>
      </c>
      <c r="T45" s="23" t="n">
        <v>25.82751509293174</v>
      </c>
      <c r="U45" s="23" t="n">
        <v>25.56730860077726</v>
      </c>
      <c r="V45" s="38" t="n">
        <v>25.63144714355576</v>
      </c>
      <c r="W45" s="41" t="n">
        <v>113</v>
      </c>
      <c r="X45" s="24" t="n">
        <v>0.9416666666666667</v>
      </c>
    </row>
    <row r="46" ht="13.9" customHeight="1">
      <c r="A46" s="10" t="n">
        <v>36025010</v>
      </c>
      <c r="B46" s="35" t="inlineStr">
        <is>
          <t>CO</t>
        </is>
      </c>
      <c r="C46" s="35" t="inlineStr">
        <is>
          <t>Tame</t>
        </is>
      </c>
      <c r="D46" s="35" t="inlineStr">
        <is>
          <t>Tame</t>
        </is>
      </c>
      <c r="E46" s="21" t="inlineStr">
        <is>
          <t>Arauca</t>
        </is>
      </c>
      <c r="F46" s="35" t="n">
        <v>6</v>
      </c>
      <c r="G46" s="35" t="n">
        <v>350</v>
      </c>
      <c r="H46" s="36" t="n">
        <v>-71.74502778</v>
      </c>
      <c r="I46" s="37" t="n">
        <v>6.45619444</v>
      </c>
      <c r="J46" s="22" t="n">
        <v>26.632977323732</v>
      </c>
      <c r="K46" s="23" t="n">
        <v>26.77261924767216</v>
      </c>
      <c r="L46" s="23" t="n">
        <v>26.81554395951926</v>
      </c>
      <c r="M46" s="23" t="n">
        <v>26.50393062397369</v>
      </c>
      <c r="N46" s="23" t="n">
        <v>26.43235309956386</v>
      </c>
      <c r="O46" s="23" t="n">
        <v>26.22449870174405</v>
      </c>
      <c r="P46" s="23" t="n">
        <v>26.26818053197507</v>
      </c>
      <c r="Q46" s="23" t="n">
        <v>26.33664188279371</v>
      </c>
      <c r="R46" s="23" t="n">
        <v>26.32955991911449</v>
      </c>
      <c r="S46" s="23" t="n">
        <v>26.5382437259637</v>
      </c>
      <c r="T46" s="23" t="n">
        <v>26.58318740139732</v>
      </c>
      <c r="U46" s="23" t="n">
        <v>26.70857726005573</v>
      </c>
      <c r="V46" s="38" t="n">
        <v>26.51219280645875</v>
      </c>
      <c r="W46" s="41" t="n">
        <v>218</v>
      </c>
      <c r="X46" s="24" t="n">
        <v>0.9083333333333333</v>
      </c>
    </row>
    <row r="47" ht="13.9" customHeight="1">
      <c r="A47" s="10" t="n">
        <v>17025020</v>
      </c>
      <c r="B47" s="21" t="inlineStr">
        <is>
          <t>SP</t>
        </is>
      </c>
      <c r="C47" s="21" t="inlineStr">
        <is>
          <t>Aeropuerto El Embrujo</t>
        </is>
      </c>
      <c r="D47" s="21" t="inlineStr">
        <is>
          <t>Isla de Providencia</t>
        </is>
      </c>
      <c r="E47" s="21" t="inlineStr">
        <is>
          <t>Archipiélago de San Andres, Providencia y Santa Catalina</t>
        </is>
      </c>
      <c r="F47" s="21" t="n">
        <v>11</v>
      </c>
      <c r="G47" s="21" t="n">
        <v>7</v>
      </c>
      <c r="H47" s="42" t="n">
        <v>-81.35772222</v>
      </c>
      <c r="I47" s="43" t="n">
        <v>13.3595</v>
      </c>
      <c r="J47" s="22" t="n">
        <v>26.86283692475844</v>
      </c>
      <c r="K47" s="23" t="n">
        <v>26.79854234909406</v>
      </c>
      <c r="L47" s="23" t="n">
        <v>27.0693399503722</v>
      </c>
      <c r="M47" s="23" t="n">
        <v>27.75741379310345</v>
      </c>
      <c r="N47" s="23" t="n">
        <v>28.20630819482016</v>
      </c>
      <c r="O47" s="23" t="n">
        <v>28.40114948668827</v>
      </c>
      <c r="P47" s="23" t="n">
        <v>28.39523388894882</v>
      </c>
      <c r="Q47" s="23" t="n">
        <v>28.54232351028256</v>
      </c>
      <c r="R47" s="23" t="n">
        <v>28.25163478260869</v>
      </c>
      <c r="S47" s="23" t="n">
        <v>27.729629390681</v>
      </c>
      <c r="T47" s="23" t="n">
        <v>27.48293106518322</v>
      </c>
      <c r="U47" s="23" t="n">
        <v>27.2307123758909</v>
      </c>
      <c r="V47" s="38" t="n">
        <v>27.72733797603598</v>
      </c>
      <c r="W47" s="41" t="n">
        <v>303</v>
      </c>
      <c r="X47" s="24" t="n">
        <v>0.8416666666666667</v>
      </c>
    </row>
    <row r="48" ht="13.9" customHeight="1">
      <c r="A48" s="10" t="n">
        <v>17015010</v>
      </c>
      <c r="B48" s="21" t="inlineStr">
        <is>
          <t>SP</t>
        </is>
      </c>
      <c r="C48" s="21" t="inlineStr">
        <is>
          <t>Aeropuerto Sesquicentenario</t>
        </is>
      </c>
      <c r="D48" s="21" t="inlineStr">
        <is>
          <t>Isla de San Andrés</t>
        </is>
      </c>
      <c r="E48" s="21" t="inlineStr">
        <is>
          <t>Archipiélago de San Andres, Providencia y Santa Catalina</t>
        </is>
      </c>
      <c r="F48" s="21" t="n">
        <v>11</v>
      </c>
      <c r="G48" s="21" t="n">
        <v>1</v>
      </c>
      <c r="H48" s="42" t="n">
        <v>-81.7038888888889</v>
      </c>
      <c r="I48" s="43" t="n">
        <v>12.58694444444444</v>
      </c>
      <c r="J48" s="22" t="n">
        <v>26.90008142825099</v>
      </c>
      <c r="K48" s="23" t="n">
        <v>26.81802411979881</v>
      </c>
      <c r="L48" s="23" t="n">
        <v>27.07003517854771</v>
      </c>
      <c r="M48" s="23" t="n">
        <v>27.71683494158271</v>
      </c>
      <c r="N48" s="23" t="n">
        <v>28.10369791379468</v>
      </c>
      <c r="O48" s="23" t="n">
        <v>28.22655552489323</v>
      </c>
      <c r="P48" s="23" t="n">
        <v>28.15321488897127</v>
      </c>
      <c r="Q48" s="23" t="n">
        <v>28.2922050524113</v>
      </c>
      <c r="R48" s="23" t="n">
        <v>28.19559771167529</v>
      </c>
      <c r="S48" s="23" t="n">
        <v>27.88100063019417</v>
      </c>
      <c r="T48" s="23" t="n">
        <v>27.52287513602665</v>
      </c>
      <c r="U48" s="23" t="n">
        <v>27.35964623560841</v>
      </c>
      <c r="V48" s="38" t="n">
        <v>27.68664739681293</v>
      </c>
      <c r="W48" s="41" t="n">
        <v>318</v>
      </c>
      <c r="X48" s="24" t="n">
        <v>0.8833333333333333</v>
      </c>
    </row>
    <row r="49" ht="13.9" customHeight="1">
      <c r="A49" s="10" t="n">
        <v>29045110</v>
      </c>
      <c r="B49" s="21" t="inlineStr">
        <is>
          <t>CO</t>
        </is>
      </c>
      <c r="C49" s="21" t="inlineStr">
        <is>
          <t>Juan de Acosta</t>
        </is>
      </c>
      <c r="D49" s="21" t="inlineStr">
        <is>
          <t>Juan de Acosta</t>
        </is>
      </c>
      <c r="E49" s="21" t="inlineStr">
        <is>
          <t>Atlántico</t>
        </is>
      </c>
      <c r="F49" s="21" t="n">
        <v>2</v>
      </c>
      <c r="G49" s="21" t="n">
        <v>20</v>
      </c>
      <c r="H49" s="42" t="n">
        <v>-75.04611111</v>
      </c>
      <c r="I49" s="43" t="n">
        <v>10.83388889</v>
      </c>
      <c r="J49" s="44" t="n">
        <v>27.65896956482138</v>
      </c>
      <c r="K49" s="45" t="n">
        <v>27.81783219682406</v>
      </c>
      <c r="L49" s="45" t="n">
        <v>28.08902329749104</v>
      </c>
      <c r="M49" s="45" t="n">
        <v>28.52087937964015</v>
      </c>
      <c r="N49" s="45" t="n">
        <v>28.38497245087134</v>
      </c>
      <c r="O49" s="45" t="n">
        <v>28.31809416238294</v>
      </c>
      <c r="P49" s="45" t="n">
        <v>28.33763945490919</v>
      </c>
      <c r="Q49" s="45" t="n">
        <v>28.31824924213716</v>
      </c>
      <c r="R49" s="45" t="n">
        <v>28.03216275777714</v>
      </c>
      <c r="S49" s="45" t="n">
        <v>27.7092952884157</v>
      </c>
      <c r="T49" s="45" t="n">
        <v>27.72376536396026</v>
      </c>
      <c r="U49" s="45" t="n">
        <v>27.76572018522229</v>
      </c>
      <c r="V49" s="38" t="n">
        <v>28.05638361203772</v>
      </c>
      <c r="W49" s="41" t="n">
        <v>298</v>
      </c>
      <c r="X49" s="24" t="n">
        <v>0.8277777777777777</v>
      </c>
    </row>
    <row r="50" ht="13.9" customHeight="1">
      <c r="A50" s="10" t="n">
        <v>29035080</v>
      </c>
      <c r="B50" s="21" t="inlineStr">
        <is>
          <t>CP</t>
        </is>
      </c>
      <c r="C50" s="21" t="inlineStr">
        <is>
          <t>Normal Manatí</t>
        </is>
      </c>
      <c r="D50" s="21" t="inlineStr">
        <is>
          <t>Manatí</t>
        </is>
      </c>
      <c r="E50" s="21" t="inlineStr">
        <is>
          <t>Atlántico</t>
        </is>
      </c>
      <c r="F50" s="21" t="n">
        <v>2</v>
      </c>
      <c r="G50" s="21" t="n">
        <v>10</v>
      </c>
      <c r="H50" s="42" t="n">
        <v>-74.95463889</v>
      </c>
      <c r="I50" s="43" t="n">
        <v>10.45358333</v>
      </c>
      <c r="J50" s="22" t="n">
        <v>27.7705367520179</v>
      </c>
      <c r="K50" s="23" t="n">
        <v>28.02727444107615</v>
      </c>
      <c r="L50" s="23" t="n">
        <v>28.08318226470196</v>
      </c>
      <c r="M50" s="23" t="n">
        <v>28.19190008919702</v>
      </c>
      <c r="N50" s="23" t="n">
        <v>27.90930523238216</v>
      </c>
      <c r="O50" s="23" t="n">
        <v>27.88942076210825</v>
      </c>
      <c r="P50" s="23" t="n">
        <v>27.86621235897027</v>
      </c>
      <c r="Q50" s="23" t="n">
        <v>27.80324481895045</v>
      </c>
      <c r="R50" s="23" t="n">
        <v>27.59274774535808</v>
      </c>
      <c r="S50" s="23" t="n">
        <v>27.20975891866382</v>
      </c>
      <c r="T50" s="23" t="n">
        <v>27.28063072889222</v>
      </c>
      <c r="U50" s="23" t="n">
        <v>27.50971241446724</v>
      </c>
      <c r="V50" s="38" t="n">
        <v>27.76116054389879</v>
      </c>
      <c r="W50" s="41" t="n">
        <v>315</v>
      </c>
      <c r="X50" s="24" t="n">
        <v>0.875</v>
      </c>
    </row>
    <row r="51" ht="13.9" customHeight="1">
      <c r="A51" s="10" t="n">
        <v>29045190</v>
      </c>
      <c r="B51" s="21" t="inlineStr">
        <is>
          <t>SP</t>
        </is>
      </c>
      <c r="C51" s="21" t="inlineStr">
        <is>
          <t xml:space="preserve">Aeropuerto Ernesto Cortissoz - AUT </t>
        </is>
      </c>
      <c r="D51" s="21" t="inlineStr">
        <is>
          <t>Soledad</t>
        </is>
      </c>
      <c r="E51" s="21" t="inlineStr">
        <is>
          <t>Atlántico</t>
        </is>
      </c>
      <c r="F51" s="21" t="n">
        <v>2</v>
      </c>
      <c r="G51" s="21" t="n">
        <v>14</v>
      </c>
      <c r="H51" s="42" t="n">
        <v>-74.77972222000001</v>
      </c>
      <c r="I51" s="43" t="n">
        <v>10.91777778</v>
      </c>
      <c r="J51" s="22" t="n">
        <v>28.52441549489933</v>
      </c>
      <c r="K51" s="23" t="n">
        <v>28.66316517667089</v>
      </c>
      <c r="L51" s="23" t="n">
        <v>29.13878932696133</v>
      </c>
      <c r="M51" s="23" t="n">
        <v>29.86173076923073</v>
      </c>
      <c r="N51" s="23" t="n">
        <v>30.04101951413775</v>
      </c>
      <c r="O51" s="23" t="n">
        <v>29.90913580246911</v>
      </c>
      <c r="P51" s="23" t="n">
        <v>29.78746898263023</v>
      </c>
      <c r="Q51" s="23" t="n">
        <v>29.92516129032254</v>
      </c>
      <c r="R51" s="23" t="n">
        <v>29.69626068376065</v>
      </c>
      <c r="S51" s="23" t="n">
        <v>29.1038485663082</v>
      </c>
      <c r="T51" s="23" t="n">
        <v>29.1169444444444</v>
      </c>
      <c r="U51" s="23" t="n">
        <v>29.04018817204298</v>
      </c>
      <c r="V51" s="38" t="n">
        <v>29.40067735198985</v>
      </c>
      <c r="W51" s="41" t="n">
        <v>309</v>
      </c>
      <c r="X51" s="24" t="n">
        <v>0.8583333333333333</v>
      </c>
    </row>
    <row r="52" ht="13.9" customHeight="1">
      <c r="A52" s="10" t="n">
        <v>14015080</v>
      </c>
      <c r="B52" s="21" t="inlineStr">
        <is>
          <t>SP</t>
        </is>
      </c>
      <c r="C52" s="21" t="inlineStr">
        <is>
          <t>Aeropuerto Rafael Nuñez</t>
        </is>
      </c>
      <c r="D52" s="21" t="inlineStr">
        <is>
          <t>Cartagena de Indias</t>
        </is>
      </c>
      <c r="E52" s="21" t="inlineStr">
        <is>
          <t>Bolívar</t>
        </is>
      </c>
      <c r="F52" s="21" t="n">
        <v>2</v>
      </c>
      <c r="G52" s="21" t="n">
        <v>2</v>
      </c>
      <c r="H52" s="42" t="n">
        <v>-75.51602778</v>
      </c>
      <c r="I52" s="43" t="n">
        <v>10.44725</v>
      </c>
      <c r="J52" s="44" t="n">
        <v>26.94810843323857</v>
      </c>
      <c r="K52" s="45" t="n">
        <v>26.98169028394206</v>
      </c>
      <c r="L52" s="45" t="n">
        <v>27.29681372159541</v>
      </c>
      <c r="M52" s="45" t="n">
        <v>28.08155555555555</v>
      </c>
      <c r="N52" s="45" t="n">
        <v>28.61882497013142</v>
      </c>
      <c r="O52" s="45" t="n">
        <v>28.85171886563841</v>
      </c>
      <c r="P52" s="45" t="n">
        <v>28.5785393161714</v>
      </c>
      <c r="Q52" s="45" t="n">
        <v>28.6632040070065</v>
      </c>
      <c r="R52" s="45" t="n">
        <v>28.5886345856218</v>
      </c>
      <c r="S52" s="45" t="n">
        <v>28.28653366448033</v>
      </c>
      <c r="T52" s="45" t="n">
        <v>28.06099385652001</v>
      </c>
      <c r="U52" s="45" t="n">
        <v>27.54875337676783</v>
      </c>
      <c r="V52" s="38" t="n">
        <v>28.04211421972244</v>
      </c>
      <c r="W52" s="41" t="n">
        <v>350</v>
      </c>
      <c r="X52" s="24" t="n">
        <v>0.9722222222222222</v>
      </c>
    </row>
    <row r="53" ht="13.9" customHeight="1">
      <c r="A53" s="10" t="n">
        <v>14015030</v>
      </c>
      <c r="B53" s="21" t="inlineStr">
        <is>
          <t>CP</t>
        </is>
      </c>
      <c r="C53" s="21" t="inlineStr">
        <is>
          <t>Escuela Naval Cioh</t>
        </is>
      </c>
      <c r="D53" s="21" t="inlineStr">
        <is>
          <t>Cartagena de Indias</t>
        </is>
      </c>
      <c r="E53" s="21" t="inlineStr">
        <is>
          <t>Bolívar</t>
        </is>
      </c>
      <c r="F53" s="21" t="n">
        <v>2</v>
      </c>
      <c r="G53" s="21" t="n">
        <v>1</v>
      </c>
      <c r="H53" s="42" t="n">
        <v>-75.51611111</v>
      </c>
      <c r="I53" s="43" t="n">
        <v>10.44722222</v>
      </c>
      <c r="J53" s="22" t="n">
        <v>26.97043053422085</v>
      </c>
      <c r="K53" s="23" t="n">
        <v>26.83091031644671</v>
      </c>
      <c r="L53" s="23" t="n">
        <v>27.03742065257693</v>
      </c>
      <c r="M53" s="23" t="n">
        <v>27.6704856321839</v>
      </c>
      <c r="N53" s="23" t="n">
        <v>28.23618279569892</v>
      </c>
      <c r="O53" s="23" t="n">
        <v>28.32217145593868</v>
      </c>
      <c r="P53" s="23" t="n">
        <v>28.16836290322579</v>
      </c>
      <c r="Q53" s="23" t="n">
        <v>28.36512544802865</v>
      </c>
      <c r="R53" s="23" t="n">
        <v>28.19027336860668</v>
      </c>
      <c r="S53" s="23" t="n">
        <v>27.87616796440487</v>
      </c>
      <c r="T53" s="23" t="n">
        <v>27.8650948179109</v>
      </c>
      <c r="U53" s="23" t="n">
        <v>27.44052767821584</v>
      </c>
      <c r="V53" s="38" t="n">
        <v>27.74776279728823</v>
      </c>
      <c r="W53" s="41" t="n">
        <v>114</v>
      </c>
      <c r="X53" s="24" t="n">
        <v>0.95</v>
      </c>
    </row>
    <row r="54" ht="13.9" customHeight="1">
      <c r="A54" s="10" t="n">
        <v>29015000</v>
      </c>
      <c r="B54" s="35" t="inlineStr">
        <is>
          <t>CO</t>
        </is>
      </c>
      <c r="C54" s="35" t="inlineStr">
        <is>
          <t xml:space="preserve">El Guamo - AUT </t>
        </is>
      </c>
      <c r="D54" s="35" t="inlineStr">
        <is>
          <t>El Guamo</t>
        </is>
      </c>
      <c r="E54" s="35" t="inlineStr">
        <is>
          <t>Bolívar</t>
        </is>
      </c>
      <c r="F54" s="35" t="n">
        <v>2</v>
      </c>
      <c r="G54" s="35" t="n">
        <v>75</v>
      </c>
      <c r="H54" s="36" t="n">
        <v>-74.85222222</v>
      </c>
      <c r="I54" s="37" t="n">
        <v>10.06444444</v>
      </c>
      <c r="J54" s="44" t="n">
        <v>28.3970716286093</v>
      </c>
      <c r="K54" s="45" t="n">
        <v>28.92793019852244</v>
      </c>
      <c r="L54" s="45" t="n">
        <v>29.08743659464714</v>
      </c>
      <c r="M54" s="45" t="n">
        <v>28.96343492120414</v>
      </c>
      <c r="N54" s="45" t="n">
        <v>28.57506993487874</v>
      </c>
      <c r="O54" s="45" t="n">
        <v>28.57258149630109</v>
      </c>
      <c r="P54" s="45" t="n">
        <v>28.43095967023704</v>
      </c>
      <c r="Q54" s="45" t="n">
        <v>28.41750212486849</v>
      </c>
      <c r="R54" s="45" t="n">
        <v>27.97304870676099</v>
      </c>
      <c r="S54" s="45" t="n">
        <v>27.51759243119185</v>
      </c>
      <c r="T54" s="45" t="n">
        <v>27.6142374810424</v>
      </c>
      <c r="U54" s="45" t="n">
        <v>28.12274403079543</v>
      </c>
      <c r="V54" s="38" t="n">
        <v>28.38330076825492</v>
      </c>
      <c r="W54" s="41" t="n">
        <v>291</v>
      </c>
      <c r="X54" s="24" t="n">
        <v>0.8083333333333333</v>
      </c>
    </row>
    <row r="55" ht="13.9" customHeight="1">
      <c r="A55" s="10" t="n">
        <v>25025100</v>
      </c>
      <c r="B55" s="21" t="inlineStr">
        <is>
          <t>CP</t>
        </is>
      </c>
      <c r="C55" s="21" t="inlineStr">
        <is>
          <t>Aeropuerto Baracoa</t>
        </is>
      </c>
      <c r="D55" s="21" t="inlineStr">
        <is>
          <t>Magangué</t>
        </is>
      </c>
      <c r="E55" s="21" t="inlineStr">
        <is>
          <t>Bolívar</t>
        </is>
      </c>
      <c r="F55" s="21" t="n">
        <v>2</v>
      </c>
      <c r="G55" s="21" t="n">
        <v>18</v>
      </c>
      <c r="H55" s="42" t="n">
        <v>-74.84527778</v>
      </c>
      <c r="I55" s="43" t="n">
        <v>9.28194444</v>
      </c>
      <c r="J55" s="22" t="n">
        <v>28.39231758832564</v>
      </c>
      <c r="K55" s="23" t="n">
        <v>29.09684478021977</v>
      </c>
      <c r="L55" s="23" t="n">
        <v>29.5395420837968</v>
      </c>
      <c r="M55" s="23" t="n">
        <v>29.21080357142856</v>
      </c>
      <c r="N55" s="23" t="n">
        <v>28.57362130465474</v>
      </c>
      <c r="O55" s="23" t="n">
        <v>28.92705053208285</v>
      </c>
      <c r="P55" s="23" t="n">
        <v>29.03795698924731</v>
      </c>
      <c r="Q55" s="23" t="n">
        <v>28.70269435174885</v>
      </c>
      <c r="R55" s="23" t="n">
        <v>27.98066951566951</v>
      </c>
      <c r="S55" s="23" t="n">
        <v>27.5750438759115</v>
      </c>
      <c r="T55" s="23" t="n">
        <v>27.61290640394088</v>
      </c>
      <c r="U55" s="23" t="n">
        <v>28.18084167593622</v>
      </c>
      <c r="V55" s="38" t="n">
        <v>28.56919105608022</v>
      </c>
      <c r="W55" s="41" t="n">
        <v>106</v>
      </c>
      <c r="X55" s="24" t="n">
        <v>0.8833333333333333</v>
      </c>
    </row>
    <row r="56" ht="13.9" customHeight="1">
      <c r="A56" s="10" t="n">
        <v>29035110</v>
      </c>
      <c r="B56" s="21" t="inlineStr">
        <is>
          <t>CO</t>
        </is>
      </c>
      <c r="C56" s="21" t="inlineStr">
        <is>
          <t>San Pablo</t>
        </is>
      </c>
      <c r="D56" s="21" t="inlineStr">
        <is>
          <t>María La Baja</t>
        </is>
      </c>
      <c r="E56" s="21" t="inlineStr">
        <is>
          <t>Bolívar</t>
        </is>
      </c>
      <c r="F56" s="21" t="n">
        <v>2</v>
      </c>
      <c r="G56" s="21" t="n">
        <v>20</v>
      </c>
      <c r="H56" s="42" t="n">
        <v>-75.25861111</v>
      </c>
      <c r="I56" s="43" t="n">
        <v>10.04316667</v>
      </c>
      <c r="J56" s="22" t="n">
        <v>27.69648574596781</v>
      </c>
      <c r="K56" s="23" t="n">
        <v>28.28610574289768</v>
      </c>
      <c r="L56" s="23" t="n">
        <v>28.50865127226433</v>
      </c>
      <c r="M56" s="23" t="n">
        <v>28.51390433559838</v>
      </c>
      <c r="N56" s="23" t="n">
        <v>28.14811990479282</v>
      </c>
      <c r="O56" s="23" t="n">
        <v>28.25789197148566</v>
      </c>
      <c r="P56" s="23" t="n">
        <v>28.11421982908216</v>
      </c>
      <c r="Q56" s="23" t="n">
        <v>27.95576397141701</v>
      </c>
      <c r="R56" s="23" t="n">
        <v>27.58864238334593</v>
      </c>
      <c r="S56" s="23" t="n">
        <v>27.21319009159014</v>
      </c>
      <c r="T56" s="23" t="n">
        <v>27.19017820097632</v>
      </c>
      <c r="U56" s="23" t="n">
        <v>27.27317104527619</v>
      </c>
      <c r="V56" s="38" t="n">
        <v>27.89552704122454</v>
      </c>
      <c r="W56" s="41" t="n">
        <v>292</v>
      </c>
      <c r="X56" s="24" t="n">
        <v>0.8111111111111111</v>
      </c>
    </row>
    <row r="57" ht="13.9" customHeight="1">
      <c r="A57" s="10" t="n">
        <v>23205020</v>
      </c>
      <c r="B57" s="21" t="inlineStr">
        <is>
          <t>CO</t>
        </is>
      </c>
      <c r="C57" s="21" t="inlineStr">
        <is>
          <t>Colegio Cooperativo</t>
        </is>
      </c>
      <c r="D57" s="21" t="inlineStr">
        <is>
          <t>San Pablo (Bolívar)</t>
        </is>
      </c>
      <c r="E57" s="21" t="inlineStr">
        <is>
          <t>Bolívar</t>
        </is>
      </c>
      <c r="F57" s="21" t="n">
        <v>8</v>
      </c>
      <c r="G57" s="21" t="n">
        <v>165</v>
      </c>
      <c r="H57" s="42" t="n">
        <v>-73.92555556000001</v>
      </c>
      <c r="I57" s="43" t="n">
        <v>7.475</v>
      </c>
      <c r="J57" s="22" t="n">
        <v>28.85165871949135</v>
      </c>
      <c r="K57" s="23" t="n">
        <v>29.03265972134505</v>
      </c>
      <c r="L57" s="23" t="n">
        <v>28.75834927870164</v>
      </c>
      <c r="M57" s="23" t="n">
        <v>28.30341468253966</v>
      </c>
      <c r="N57" s="23" t="n">
        <v>28.11995593564139</v>
      </c>
      <c r="O57" s="23" t="n">
        <v>28.42488238873759</v>
      </c>
      <c r="P57" s="23" t="n">
        <v>28.57353738787428</v>
      </c>
      <c r="Q57" s="23" t="n">
        <v>28.49681537062899</v>
      </c>
      <c r="R57" s="23" t="n">
        <v>28.1275107246946</v>
      </c>
      <c r="S57" s="23" t="n">
        <v>27.84020161890635</v>
      </c>
      <c r="T57" s="23" t="n">
        <v>27.93449912635255</v>
      </c>
      <c r="U57" s="23" t="n">
        <v>28.53737656655541</v>
      </c>
      <c r="V57" s="38" t="n">
        <v>28.4167384601224</v>
      </c>
      <c r="W57" s="41" t="n">
        <v>316</v>
      </c>
      <c r="X57" s="24" t="n">
        <v>0.8777777777777778</v>
      </c>
    </row>
    <row r="58" ht="13.9" customHeight="1">
      <c r="A58" s="10" t="n">
        <v>23205030</v>
      </c>
      <c r="B58" s="35" t="inlineStr">
        <is>
          <t>CO</t>
        </is>
      </c>
      <c r="C58" s="35" t="inlineStr">
        <is>
          <t>Santa Rosa de Simití</t>
        </is>
      </c>
      <c r="D58" s="35" t="inlineStr">
        <is>
          <t>Santa Rosa del Sur</t>
        </is>
      </c>
      <c r="E58" s="35" t="inlineStr">
        <is>
          <t>Bolívar</t>
        </is>
      </c>
      <c r="F58" s="35" t="n">
        <v>8</v>
      </c>
      <c r="G58" s="35" t="n">
        <v>650</v>
      </c>
      <c r="H58" s="36" t="n">
        <v>-74.05916667</v>
      </c>
      <c r="I58" s="37" t="n">
        <v>7.96527778</v>
      </c>
      <c r="J58" s="44" t="n">
        <v>25.75711355489271</v>
      </c>
      <c r="K58" s="45" t="n">
        <v>26.3648294195887</v>
      </c>
      <c r="L58" s="45" t="n">
        <v>26.10946860534073</v>
      </c>
      <c r="M58" s="45" t="n">
        <v>25.36217616859642</v>
      </c>
      <c r="N58" s="45" t="n">
        <v>24.96169211884201</v>
      </c>
      <c r="O58" s="45" t="n">
        <v>25.31553071702242</v>
      </c>
      <c r="P58" s="45" t="n">
        <v>25.46081360697542</v>
      </c>
      <c r="Q58" s="45" t="n">
        <v>25.30303313152496</v>
      </c>
      <c r="R58" s="45" t="n">
        <v>24.85347203046239</v>
      </c>
      <c r="S58" s="45" t="n">
        <v>24.46515432931489</v>
      </c>
      <c r="T58" s="45" t="n">
        <v>24.36587938748854</v>
      </c>
      <c r="U58" s="45" t="n">
        <v>25.07460160800614</v>
      </c>
      <c r="V58" s="38" t="n">
        <v>25.28281372317128</v>
      </c>
      <c r="W58" s="41" t="n">
        <v>292</v>
      </c>
      <c r="X58" s="24" t="n">
        <v>0.8111111111111111</v>
      </c>
    </row>
    <row r="59" ht="13.9" customHeight="1">
      <c r="A59" s="10" t="n">
        <v>25025020</v>
      </c>
      <c r="B59" s="35" t="inlineStr">
        <is>
          <t>CP</t>
        </is>
      </c>
      <c r="C59" s="35" t="inlineStr">
        <is>
          <t>Monterrey Forestal</t>
        </is>
      </c>
      <c r="D59" s="35" t="inlineStr">
        <is>
          <t>Zambrano</t>
        </is>
      </c>
      <c r="E59" s="35" t="inlineStr">
        <is>
          <t>Bolívar</t>
        </is>
      </c>
      <c r="F59" s="35" t="n">
        <v>2</v>
      </c>
      <c r="G59" s="35" t="n">
        <v>25</v>
      </c>
      <c r="H59" s="36" t="n">
        <v>-74.83805556</v>
      </c>
      <c r="I59" s="37" t="n">
        <v>9.731666670000001</v>
      </c>
      <c r="J59" s="44" t="n">
        <v>28.82614457926219</v>
      </c>
      <c r="K59" s="45" t="n">
        <v>29.43351198049482</v>
      </c>
      <c r="L59" s="45" t="n">
        <v>29.58620861723307</v>
      </c>
      <c r="M59" s="45" t="n">
        <v>29.42777626991684</v>
      </c>
      <c r="N59" s="45" t="n">
        <v>28.87852476806263</v>
      </c>
      <c r="O59" s="45" t="n">
        <v>29.05397664998371</v>
      </c>
      <c r="P59" s="45" t="n">
        <v>29.12405956227501</v>
      </c>
      <c r="Q59" s="45" t="n">
        <v>28.55540690184071</v>
      </c>
      <c r="R59" s="45" t="n">
        <v>28.24345666425154</v>
      </c>
      <c r="S59" s="45" t="n">
        <v>27.9709320344715</v>
      </c>
      <c r="T59" s="45" t="n">
        <v>28.129700967587</v>
      </c>
      <c r="U59" s="45" t="n">
        <v>28.43050668758681</v>
      </c>
      <c r="V59" s="38" t="n">
        <v>28.80501714024715</v>
      </c>
      <c r="W59" s="41" t="n">
        <v>281</v>
      </c>
      <c r="X59" s="24" t="n">
        <v>0.7805555555555556</v>
      </c>
    </row>
    <row r="60" ht="13.9" customHeight="1">
      <c r="A60" s="10" t="n">
        <v>24035330</v>
      </c>
      <c r="B60" s="21" t="inlineStr">
        <is>
          <t>AM</t>
        </is>
      </c>
      <c r="C60" s="21" t="inlineStr">
        <is>
          <t>Boavita</t>
        </is>
      </c>
      <c r="D60" s="21" t="inlineStr">
        <is>
          <t>Boavita</t>
        </is>
      </c>
      <c r="E60" s="21" t="inlineStr">
        <is>
          <t>Boyacá</t>
        </is>
      </c>
      <c r="F60" s="21" t="n">
        <v>6</v>
      </c>
      <c r="G60" s="21" t="n">
        <v>2150</v>
      </c>
      <c r="H60" s="42" t="n">
        <v>-72.58227778</v>
      </c>
      <c r="I60" s="43" t="n">
        <v>6.32897222</v>
      </c>
      <c r="J60" s="22" t="n">
        <v>17.96553154924695</v>
      </c>
      <c r="K60" s="23" t="n">
        <v>18.30578952501505</v>
      </c>
      <c r="L60" s="23" t="n">
        <v>18.03275062223641</v>
      </c>
      <c r="M60" s="23" t="n">
        <v>17.41912049765159</v>
      </c>
      <c r="N60" s="23" t="n">
        <v>17.23953433531992</v>
      </c>
      <c r="O60" s="23" t="n">
        <v>17.15890371181819</v>
      </c>
      <c r="P60" s="23" t="n">
        <v>17.04453750847627</v>
      </c>
      <c r="Q60" s="23" t="n">
        <v>17.2223890518827</v>
      </c>
      <c r="R60" s="23" t="n">
        <v>17.31151636275251</v>
      </c>
      <c r="S60" s="23" t="n">
        <v>17.09335913805563</v>
      </c>
      <c r="T60" s="23" t="n">
        <v>17.0546345006711</v>
      </c>
      <c r="U60" s="23" t="n">
        <v>17.51079686180096</v>
      </c>
      <c r="V60" s="38" t="n">
        <v>17.44657197207728</v>
      </c>
      <c r="W60" s="41" t="n">
        <v>320</v>
      </c>
      <c r="X60" s="24" t="n">
        <v>0.8888888888888888</v>
      </c>
    </row>
    <row r="61" ht="13.9" customHeight="1">
      <c r="A61" s="10" t="n">
        <v>23125100</v>
      </c>
      <c r="B61" s="21" t="inlineStr">
        <is>
          <t>CP</t>
        </is>
      </c>
      <c r="C61" s="21" t="inlineStr">
        <is>
          <t>Buenavista</t>
        </is>
      </c>
      <c r="D61" s="21" t="inlineStr">
        <is>
          <t xml:space="preserve">Buenavista </t>
        </is>
      </c>
      <c r="E61" s="21" t="inlineStr">
        <is>
          <t>Boyacá</t>
        </is>
      </c>
      <c r="F61" s="21" t="n">
        <v>6</v>
      </c>
      <c r="G61" s="21" t="n">
        <v>2200</v>
      </c>
      <c r="H61" s="42" t="n">
        <v>-73.94311111</v>
      </c>
      <c r="I61" s="43" t="n">
        <v>5.51491667</v>
      </c>
      <c r="J61" s="22" t="n">
        <v>15.32327956989244</v>
      </c>
      <c r="K61" s="23" t="n">
        <v>15.37943633952251</v>
      </c>
      <c r="L61" s="23" t="n">
        <v>15.6393709677419</v>
      </c>
      <c r="M61" s="23" t="n">
        <v>16.07716666666663</v>
      </c>
      <c r="N61" s="23" t="n">
        <v>16.14955913978491</v>
      </c>
      <c r="O61" s="23" t="n">
        <v>16.20289709906947</v>
      </c>
      <c r="P61" s="23" t="n">
        <v>16.16334408602147</v>
      </c>
      <c r="Q61" s="23" t="n">
        <v>16.21673046594978</v>
      </c>
      <c r="R61" s="23" t="n">
        <v>16.23813756613753</v>
      </c>
      <c r="S61" s="23" t="n">
        <v>15.8775587415372</v>
      </c>
      <c r="T61" s="23" t="n">
        <v>15.4004224019677</v>
      </c>
      <c r="U61" s="23" t="n">
        <v>15.27012345679008</v>
      </c>
      <c r="V61" s="38" t="n">
        <v>15.82816887509014</v>
      </c>
      <c r="W61" s="41" t="n">
        <v>118</v>
      </c>
      <c r="X61" s="24" t="n">
        <v>0.9833333333333333</v>
      </c>
    </row>
    <row r="62" ht="13.9" customHeight="1">
      <c r="A62" s="10" t="n">
        <v>35085050</v>
      </c>
      <c r="B62" s="21" t="inlineStr">
        <is>
          <t>CO</t>
        </is>
      </c>
      <c r="C62" s="21" t="inlineStr">
        <is>
          <t>Campohermoso</t>
        </is>
      </c>
      <c r="D62" s="21" t="inlineStr">
        <is>
          <t>Campohermoso</t>
        </is>
      </c>
      <c r="E62" s="21" t="inlineStr">
        <is>
          <t>Boyacá</t>
        </is>
      </c>
      <c r="F62" s="21" t="n">
        <v>6</v>
      </c>
      <c r="G62" s="21" t="n">
        <v>1300</v>
      </c>
      <c r="H62" s="42" t="n">
        <v>-73.10366667</v>
      </c>
      <c r="I62" s="43" t="n">
        <v>5.0345</v>
      </c>
      <c r="J62" s="44" t="n">
        <v>21.95929190993126</v>
      </c>
      <c r="K62" s="45" t="n">
        <v>22.27862827141612</v>
      </c>
      <c r="L62" s="45" t="n">
        <v>21.92592375672304</v>
      </c>
      <c r="M62" s="45" t="n">
        <v>21.39690818753184</v>
      </c>
      <c r="N62" s="45" t="n">
        <v>21.06531794010827</v>
      </c>
      <c r="O62" s="45" t="n">
        <v>20.44352369802751</v>
      </c>
      <c r="P62" s="45" t="n">
        <v>20.16652122338285</v>
      </c>
      <c r="Q62" s="45" t="n">
        <v>20.40662775910751</v>
      </c>
      <c r="R62" s="45" t="n">
        <v>21.10772644138458</v>
      </c>
      <c r="S62" s="45" t="n">
        <v>21.48430225884423</v>
      </c>
      <c r="T62" s="45" t="n">
        <v>21.55256245755913</v>
      </c>
      <c r="U62" s="45" t="n">
        <v>21.56158989916891</v>
      </c>
      <c r="V62" s="38" t="n">
        <v>21.27907698359877</v>
      </c>
      <c r="W62" s="41" t="n">
        <v>337</v>
      </c>
      <c r="X62" s="24" t="n">
        <v>0.9361111111111111</v>
      </c>
    </row>
    <row r="63" ht="13.9" customHeight="1">
      <c r="A63" s="10" t="n">
        <v>24035420</v>
      </c>
      <c r="B63" s="21" t="inlineStr">
        <is>
          <t>CO</t>
        </is>
      </c>
      <c r="C63" s="21" t="inlineStr">
        <is>
          <t>Cerinza</t>
        </is>
      </c>
      <c r="D63" s="21" t="inlineStr">
        <is>
          <t>Cerinza</t>
        </is>
      </c>
      <c r="E63" s="21" t="inlineStr">
        <is>
          <t>Boyacá</t>
        </is>
      </c>
      <c r="F63" s="21" t="n">
        <v>6</v>
      </c>
      <c r="G63" s="21" t="n">
        <v>2643</v>
      </c>
      <c r="H63" s="42" t="n">
        <v>-72.9385</v>
      </c>
      <c r="I63" s="43" t="n">
        <v>5.96225</v>
      </c>
      <c r="J63" s="22" t="n">
        <v>13.34094588207488</v>
      </c>
      <c r="K63" s="23" t="n">
        <v>13.99283858613357</v>
      </c>
      <c r="L63" s="23" t="n">
        <v>14.25362163562549</v>
      </c>
      <c r="M63" s="23" t="n">
        <v>14.34630055342696</v>
      </c>
      <c r="N63" s="23" t="n">
        <v>14.27284946236555</v>
      </c>
      <c r="O63" s="23" t="n">
        <v>13.54962962962959</v>
      </c>
      <c r="P63" s="23" t="n">
        <v>13.42031660692947</v>
      </c>
      <c r="Q63" s="23" t="n">
        <v>13.6270649143767</v>
      </c>
      <c r="R63" s="23" t="n">
        <v>13.52481481481478</v>
      </c>
      <c r="S63" s="23" t="n">
        <v>13.93105734767021</v>
      </c>
      <c r="T63" s="23" t="n">
        <v>14.17002394636012</v>
      </c>
      <c r="U63" s="23" t="n">
        <v>13.60040073675823</v>
      </c>
      <c r="V63" s="38" t="n">
        <v>13.83582200968046</v>
      </c>
      <c r="W63" s="41" t="n">
        <v>106</v>
      </c>
      <c r="X63" s="24" t="n">
        <v>0.8833333333333333</v>
      </c>
    </row>
    <row r="64" ht="13.9" customHeight="1">
      <c r="A64" s="10" t="n">
        <v>24035310</v>
      </c>
      <c r="B64" s="35" t="inlineStr">
        <is>
          <t>CO</t>
        </is>
      </c>
      <c r="C64" s="35" t="inlineStr">
        <is>
          <t>Chiscas</t>
        </is>
      </c>
      <c r="D64" s="35" t="inlineStr">
        <is>
          <t>Chiscas</t>
        </is>
      </c>
      <c r="E64" s="35" t="inlineStr">
        <is>
          <t>Boyacá</t>
        </is>
      </c>
      <c r="F64" s="35" t="n">
        <v>6</v>
      </c>
      <c r="G64" s="35" t="n">
        <v>2350</v>
      </c>
      <c r="H64" s="36" t="n">
        <v>-72.50472222</v>
      </c>
      <c r="I64" s="37" t="n">
        <v>6.54952778</v>
      </c>
      <c r="J64" s="44" t="n">
        <v>17.45885275627431</v>
      </c>
      <c r="K64" s="45" t="n">
        <v>17.5734003573568</v>
      </c>
      <c r="L64" s="45" t="n">
        <v>17.4777925978794</v>
      </c>
      <c r="M64" s="45" t="n">
        <v>17.25036113034495</v>
      </c>
      <c r="N64" s="45" t="n">
        <v>17.04346946966815</v>
      </c>
      <c r="O64" s="45" t="n">
        <v>16.90769683822804</v>
      </c>
      <c r="P64" s="45" t="n">
        <v>16.66618458320529</v>
      </c>
      <c r="Q64" s="45" t="n">
        <v>16.8647063347459</v>
      </c>
      <c r="R64" s="45" t="n">
        <v>16.77833072896801</v>
      </c>
      <c r="S64" s="45" t="n">
        <v>16.72576739392357</v>
      </c>
      <c r="T64" s="45" t="n">
        <v>16.82964639337838</v>
      </c>
      <c r="U64" s="45" t="n">
        <v>17.11759615656164</v>
      </c>
      <c r="V64" s="38" t="n">
        <v>17.0578170617112</v>
      </c>
      <c r="W64" s="41" t="n">
        <v>315</v>
      </c>
      <c r="X64" s="24" t="n">
        <v>0.875</v>
      </c>
    </row>
    <row r="65" ht="13.9" customHeight="1">
      <c r="A65" s="10" t="n">
        <v>24035250</v>
      </c>
      <c r="B65" s="21" t="inlineStr">
        <is>
          <t>CO</t>
        </is>
      </c>
      <c r="C65" s="21" t="inlineStr">
        <is>
          <t>Chita - AUT</t>
        </is>
      </c>
      <c r="D65" s="21" t="inlineStr">
        <is>
          <t>Chita</t>
        </is>
      </c>
      <c r="E65" s="21" t="inlineStr">
        <is>
          <t>Boyacá</t>
        </is>
      </c>
      <c r="F65" s="21" t="n">
        <v>6</v>
      </c>
      <c r="G65" s="21" t="n">
        <v>2888</v>
      </c>
      <c r="H65" s="42" t="n">
        <v>-72.46633333</v>
      </c>
      <c r="I65" s="43" t="n">
        <v>6.18833333</v>
      </c>
      <c r="J65" s="22" t="n">
        <v>11.61275292431984</v>
      </c>
      <c r="K65" s="23" t="n">
        <v>12.05343561392097</v>
      </c>
      <c r="L65" s="23" t="n">
        <v>12.48069398008619</v>
      </c>
      <c r="M65" s="23" t="n">
        <v>12.54980731922763</v>
      </c>
      <c r="N65" s="23" t="n">
        <v>12.44702688770112</v>
      </c>
      <c r="O65" s="23" t="n">
        <v>11.7526790540669</v>
      </c>
      <c r="P65" s="23" t="n">
        <v>11.24699536938589</v>
      </c>
      <c r="Q65" s="23" t="n">
        <v>11.34839388038755</v>
      </c>
      <c r="R65" s="23" t="n">
        <v>11.5199447265738</v>
      </c>
      <c r="S65" s="23" t="n">
        <v>11.74846290543551</v>
      </c>
      <c r="T65" s="23" t="n">
        <v>11.95022912783187</v>
      </c>
      <c r="U65" s="23" t="n">
        <v>11.6935823675388</v>
      </c>
      <c r="V65" s="38" t="n">
        <v>11.867000346373</v>
      </c>
      <c r="W65" s="41" t="n">
        <v>321</v>
      </c>
      <c r="X65" s="24" t="n">
        <v>0.8916666666666667</v>
      </c>
    </row>
    <row r="66" ht="13.9" customHeight="1">
      <c r="A66" s="10" t="n">
        <v>24035350</v>
      </c>
      <c r="B66" s="21" t="inlineStr">
        <is>
          <t>CP</t>
        </is>
      </c>
      <c r="C66" s="21" t="inlineStr">
        <is>
          <t>Andalucia</t>
        </is>
      </c>
      <c r="D66" s="21" t="inlineStr">
        <is>
          <t>Duitama</t>
        </is>
      </c>
      <c r="E66" s="21" t="inlineStr">
        <is>
          <t>Boyacá</t>
        </is>
      </c>
      <c r="F66" s="21" t="n">
        <v>6</v>
      </c>
      <c r="G66" s="21" t="n">
        <v>3265</v>
      </c>
      <c r="H66" s="42" t="n">
        <v>-73.05833333</v>
      </c>
      <c r="I66" s="43" t="n">
        <v>5.901138889999999</v>
      </c>
      <c r="J66" s="22" t="n">
        <v>10.23313086308079</v>
      </c>
      <c r="K66" s="23" t="n">
        <v>10.43052461533782</v>
      </c>
      <c r="L66" s="23" t="n">
        <v>10.32834533294881</v>
      </c>
      <c r="M66" s="23" t="n">
        <v>10.15113492063491</v>
      </c>
      <c r="N66" s="23" t="n">
        <v>10.10759976105136</v>
      </c>
      <c r="O66" s="23" t="n">
        <v>9.540830459770108</v>
      </c>
      <c r="P66" s="23" t="n">
        <v>9.155021239877868</v>
      </c>
      <c r="Q66" s="23" t="n">
        <v>9.139628737005445</v>
      </c>
      <c r="R66" s="23" t="n">
        <v>9.27976547079995</v>
      </c>
      <c r="S66" s="23" t="n">
        <v>9.644616743471579</v>
      </c>
      <c r="T66" s="23" t="n">
        <v>9.83866666666666</v>
      </c>
      <c r="U66" s="23" t="n">
        <v>10.05491669985396</v>
      </c>
      <c r="V66" s="38" t="n">
        <v>9.82534845920827</v>
      </c>
      <c r="W66" s="41" t="n">
        <v>115</v>
      </c>
      <c r="X66" s="24" t="n">
        <v>0.9583333333333334</v>
      </c>
    </row>
    <row r="67" ht="13.9" customHeight="1">
      <c r="A67" s="10" t="n">
        <v>24035120</v>
      </c>
      <c r="B67" s="21" t="inlineStr">
        <is>
          <t>AM</t>
        </is>
      </c>
      <c r="C67" s="21" t="inlineStr">
        <is>
          <t>Surbata Bonza</t>
        </is>
      </c>
      <c r="D67" s="21" t="inlineStr">
        <is>
          <t>Duitama</t>
        </is>
      </c>
      <c r="E67" s="21" t="inlineStr">
        <is>
          <t>Boyacá</t>
        </is>
      </c>
      <c r="F67" s="21" t="n">
        <v>6</v>
      </c>
      <c r="G67" s="21" t="n">
        <v>2485</v>
      </c>
      <c r="H67" s="42" t="n">
        <v>-73.07447222</v>
      </c>
      <c r="I67" s="43" t="n">
        <v>5.80244444</v>
      </c>
      <c r="J67" s="22" t="n">
        <v>14.92494434240293</v>
      </c>
      <c r="K67" s="23" t="n">
        <v>15.04010278898772</v>
      </c>
      <c r="L67" s="23" t="n">
        <v>15.26336761617121</v>
      </c>
      <c r="M67" s="23" t="n">
        <v>15.39995651125235</v>
      </c>
      <c r="N67" s="23" t="n">
        <v>15.138827466064</v>
      </c>
      <c r="O67" s="23" t="n">
        <v>14.69535898092043</v>
      </c>
      <c r="P67" s="23" t="n">
        <v>14.30935790610799</v>
      </c>
      <c r="Q67" s="23" t="n">
        <v>14.33527590893097</v>
      </c>
      <c r="R67" s="23" t="n">
        <v>14.48331559430719</v>
      </c>
      <c r="S67" s="23" t="n">
        <v>14.50956042287051</v>
      </c>
      <c r="T67" s="23" t="n">
        <v>14.86415746064694</v>
      </c>
      <c r="U67" s="23" t="n">
        <v>14.8094131698248</v>
      </c>
      <c r="V67" s="38" t="n">
        <v>14.81446984737392</v>
      </c>
      <c r="W67" s="41" t="n">
        <v>289</v>
      </c>
      <c r="X67" s="24" t="n">
        <v>0.8027777777777778</v>
      </c>
    </row>
    <row r="68" ht="13.9" customHeight="1">
      <c r="A68" s="10" t="n">
        <v>24035240</v>
      </c>
      <c r="B68" s="35" t="inlineStr">
        <is>
          <t>CO</t>
        </is>
      </c>
      <c r="C68" s="35" t="inlineStr">
        <is>
          <t>Sierra Nevada del Cocuy</t>
        </is>
      </c>
      <c r="D68" s="35" t="inlineStr">
        <is>
          <t>Guicán</t>
        </is>
      </c>
      <c r="E68" s="35" t="inlineStr">
        <is>
          <t>Boyacá</t>
        </is>
      </c>
      <c r="F68" s="35" t="n">
        <v>6</v>
      </c>
      <c r="G68" s="35" t="n">
        <v>3716</v>
      </c>
      <c r="H68" s="36" t="n">
        <v>-72.37519444</v>
      </c>
      <c r="I68" s="37" t="n">
        <v>6.41008333</v>
      </c>
      <c r="J68" s="22" t="n">
        <v>7.358231617249918</v>
      </c>
      <c r="K68" s="23" t="n">
        <v>7.274954791108719</v>
      </c>
      <c r="L68" s="23" t="n">
        <v>7.174145958190898</v>
      </c>
      <c r="M68" s="23" t="n">
        <v>6.903118129839509</v>
      </c>
      <c r="N68" s="23" t="n">
        <v>6.745519171853581</v>
      </c>
      <c r="O68" s="23" t="n">
        <v>6.799284594996455</v>
      </c>
      <c r="P68" s="23" t="n">
        <v>6.738939049272628</v>
      </c>
      <c r="Q68" s="23" t="n">
        <v>6.801522954807206</v>
      </c>
      <c r="R68" s="23" t="n">
        <v>6.734019841353049</v>
      </c>
      <c r="S68" s="23" t="n">
        <v>6.671127300752022</v>
      </c>
      <c r="T68" s="23" t="n">
        <v>6.990705366286017</v>
      </c>
      <c r="U68" s="23" t="n">
        <v>7.186569100347185</v>
      </c>
      <c r="V68" s="38" t="n">
        <v>6.948178156338099</v>
      </c>
      <c r="W68" s="41" t="n">
        <v>283</v>
      </c>
      <c r="X68" s="24" t="n">
        <v>0.7861111111111111</v>
      </c>
    </row>
    <row r="69" ht="13.9" customHeight="1">
      <c r="A69" s="10" t="n">
        <v>24035010</v>
      </c>
      <c r="B69" s="21" t="inlineStr">
        <is>
          <t>CO</t>
        </is>
      </c>
      <c r="C69" s="21" t="inlineStr">
        <is>
          <t>Cusagui</t>
        </is>
      </c>
      <c r="D69" s="21" t="inlineStr">
        <is>
          <t>La Uvita</t>
        </is>
      </c>
      <c r="E69" s="21" t="inlineStr">
        <is>
          <t>Boyacá</t>
        </is>
      </c>
      <c r="F69" s="21" t="n">
        <v>6</v>
      </c>
      <c r="G69" s="21" t="n">
        <v>2950</v>
      </c>
      <c r="H69" s="42" t="n">
        <v>-72.54888889</v>
      </c>
      <c r="I69" s="43" t="n">
        <v>6.24811111</v>
      </c>
      <c r="J69" s="22" t="n">
        <v>12.95860115133263</v>
      </c>
      <c r="K69" s="23" t="n">
        <v>12.83875362724353</v>
      </c>
      <c r="L69" s="23" t="n">
        <v>12.78023567822161</v>
      </c>
      <c r="M69" s="23" t="n">
        <v>12.77803077142747</v>
      </c>
      <c r="N69" s="23" t="n">
        <v>12.92608257890232</v>
      </c>
      <c r="O69" s="23" t="n">
        <v>12.49783716874264</v>
      </c>
      <c r="P69" s="23" t="n">
        <v>12.09245247764569</v>
      </c>
      <c r="Q69" s="23" t="n">
        <v>12.18716415243022</v>
      </c>
      <c r="R69" s="23" t="n">
        <v>12.34134474560207</v>
      </c>
      <c r="S69" s="23" t="n">
        <v>12.51738622895768</v>
      </c>
      <c r="T69" s="23" t="n">
        <v>12.63207444646492</v>
      </c>
      <c r="U69" s="23" t="n">
        <v>13.09520884655136</v>
      </c>
      <c r="V69" s="38" t="n">
        <v>12.63709765612684</v>
      </c>
      <c r="W69" s="41" t="n">
        <v>306</v>
      </c>
      <c r="X69" s="24" t="n">
        <v>0.85</v>
      </c>
    </row>
    <row r="70" ht="13.9" customHeight="1">
      <c r="A70" s="10" t="n">
        <v>35075040</v>
      </c>
      <c r="B70" s="21" t="inlineStr">
        <is>
          <t>CP</t>
        </is>
      </c>
      <c r="C70" s="21" t="inlineStr">
        <is>
          <t>Institución Agrícola Macanal</t>
        </is>
      </c>
      <c r="D70" s="21" t="inlineStr">
        <is>
          <t>Macanal</t>
        </is>
      </c>
      <c r="E70" s="21" t="inlineStr">
        <is>
          <t>Boyacá</t>
        </is>
      </c>
      <c r="F70" s="21" t="n">
        <v>6</v>
      </c>
      <c r="G70" s="21" t="n">
        <v>1700</v>
      </c>
      <c r="H70" s="42" t="n">
        <v>-73.31675</v>
      </c>
      <c r="I70" s="43" t="n">
        <v>4.97436111</v>
      </c>
      <c r="J70" s="22" t="n">
        <v>17.64611082241462</v>
      </c>
      <c r="K70" s="23" t="n">
        <v>18.02563998026121</v>
      </c>
      <c r="L70" s="23" t="n">
        <v>17.97216424245633</v>
      </c>
      <c r="M70" s="23" t="n">
        <v>17.71493497439782</v>
      </c>
      <c r="N70" s="23" t="n">
        <v>17.45600500676378</v>
      </c>
      <c r="O70" s="23" t="n">
        <v>16.80687584982435</v>
      </c>
      <c r="P70" s="23" t="n">
        <v>16.37969626110208</v>
      </c>
      <c r="Q70" s="23" t="n">
        <v>16.69989368729069</v>
      </c>
      <c r="R70" s="23" t="n">
        <v>17.23662750681489</v>
      </c>
      <c r="S70" s="23" t="n">
        <v>17.6344428424339</v>
      </c>
      <c r="T70" s="23" t="n">
        <v>17.82191190152561</v>
      </c>
      <c r="U70" s="23" t="n">
        <v>17.6508965920407</v>
      </c>
      <c r="V70" s="38" t="n">
        <v>17.4204333056105</v>
      </c>
      <c r="W70" s="41" t="n">
        <v>316</v>
      </c>
      <c r="X70" s="24" t="n">
        <v>0.8777777777777778</v>
      </c>
    </row>
    <row r="71" ht="13.9" customHeight="1">
      <c r="A71" s="10" t="n">
        <v>35085040</v>
      </c>
      <c r="B71" s="21" t="inlineStr">
        <is>
          <t>CO</t>
        </is>
      </c>
      <c r="C71" s="21" t="inlineStr">
        <is>
          <t>El Vivero</t>
        </is>
      </c>
      <c r="D71" s="21" t="inlineStr">
        <is>
          <t xml:space="preserve">Miraflores </t>
        </is>
      </c>
      <c r="E71" s="21" t="inlineStr">
        <is>
          <t>Boyacá</t>
        </is>
      </c>
      <c r="F71" s="21" t="n">
        <v>6</v>
      </c>
      <c r="G71" s="21" t="n">
        <v>1640</v>
      </c>
      <c r="H71" s="42" t="n">
        <v>-73.14477778</v>
      </c>
      <c r="I71" s="43" t="n">
        <v>5.19255556</v>
      </c>
      <c r="J71" s="22" t="n">
        <v>19.31427564868423</v>
      </c>
      <c r="K71" s="23" t="n">
        <v>19.84353813513893</v>
      </c>
      <c r="L71" s="23" t="n">
        <v>19.67345241357813</v>
      </c>
      <c r="M71" s="23" t="n">
        <v>19.37850139948338</v>
      </c>
      <c r="N71" s="23" t="n">
        <v>19.08901621554812</v>
      </c>
      <c r="O71" s="23" t="n">
        <v>18.46269164690139</v>
      </c>
      <c r="P71" s="23" t="n">
        <v>18.12438746755653</v>
      </c>
      <c r="Q71" s="23" t="n">
        <v>18.08410315164996</v>
      </c>
      <c r="R71" s="23" t="n">
        <v>18.65665338441888</v>
      </c>
      <c r="S71" s="23" t="n">
        <v>18.98299098822322</v>
      </c>
      <c r="T71" s="23" t="n">
        <v>19.16675481207807</v>
      </c>
      <c r="U71" s="23" t="n">
        <v>19.16780317075086</v>
      </c>
      <c r="V71" s="38" t="n">
        <v>18.99534736950098</v>
      </c>
      <c r="W71" s="41" t="n">
        <v>291</v>
      </c>
      <c r="X71" s="24" t="n">
        <v>0.8083333333333333</v>
      </c>
    </row>
    <row r="72" ht="13.9" customHeight="1">
      <c r="A72" s="10" t="n">
        <v>24035150</v>
      </c>
      <c r="B72" s="21" t="inlineStr">
        <is>
          <t>CP</t>
        </is>
      </c>
      <c r="C72" s="21" t="inlineStr">
        <is>
          <t>Belencito</t>
        </is>
      </c>
      <c r="D72" s="21" t="inlineStr">
        <is>
          <t>Nobsa</t>
        </is>
      </c>
      <c r="E72" s="21" t="inlineStr">
        <is>
          <t>Boyacá</t>
        </is>
      </c>
      <c r="F72" s="21" t="n">
        <v>6</v>
      </c>
      <c r="G72" s="21" t="n">
        <v>2530</v>
      </c>
      <c r="H72" s="42" t="n">
        <v>-72.89430556000001</v>
      </c>
      <c r="I72" s="43" t="n">
        <v>5.78158333</v>
      </c>
      <c r="J72" s="22" t="n">
        <v>17.03540511170424</v>
      </c>
      <c r="K72" s="23" t="n">
        <v>17.17363178835895</v>
      </c>
      <c r="L72" s="23" t="n">
        <v>17.05055851138107</v>
      </c>
      <c r="M72" s="23" t="n">
        <v>16.77108024691356</v>
      </c>
      <c r="N72" s="23" t="n">
        <v>16.57266273470619</v>
      </c>
      <c r="O72" s="23" t="n">
        <v>16.09621432313959</v>
      </c>
      <c r="P72" s="23" t="n">
        <v>15.92310619808145</v>
      </c>
      <c r="Q72" s="23" t="n">
        <v>15.98596584964044</v>
      </c>
      <c r="R72" s="23" t="n">
        <v>16.15673762541804</v>
      </c>
      <c r="S72" s="23" t="n">
        <v>16.5656661911366</v>
      </c>
      <c r="T72" s="23" t="n">
        <v>16.94886260929362</v>
      </c>
      <c r="U72" s="23" t="n">
        <v>17.0494720875929</v>
      </c>
      <c r="V72" s="38" t="n">
        <v>16.61078027311389</v>
      </c>
      <c r="W72" s="41" t="n">
        <v>110</v>
      </c>
      <c r="X72" s="24" t="n">
        <v>0.9166666666666666</v>
      </c>
    </row>
    <row r="73" ht="13.9" customHeight="1">
      <c r="A73" s="10" t="n">
        <v>35075010</v>
      </c>
      <c r="B73" s="21" t="inlineStr">
        <is>
          <t>AM</t>
        </is>
      </c>
      <c r="C73" s="21" t="inlineStr">
        <is>
          <t>Nuevo Colón</t>
        </is>
      </c>
      <c r="D73" s="21" t="inlineStr">
        <is>
          <t>Nuevo Colón</t>
        </is>
      </c>
      <c r="E73" s="21" t="inlineStr">
        <is>
          <t>Boyacá</t>
        </is>
      </c>
      <c r="F73" s="21" t="n">
        <v>6</v>
      </c>
      <c r="G73" s="21" t="n">
        <v>2438</v>
      </c>
      <c r="H73" s="42" t="n">
        <v>-73.45377778</v>
      </c>
      <c r="I73" s="43" t="n">
        <v>5.35269444</v>
      </c>
      <c r="J73" s="22" t="n">
        <v>14.88652635170539</v>
      </c>
      <c r="K73" s="23" t="n">
        <v>15.1617615426617</v>
      </c>
      <c r="L73" s="23" t="n">
        <v>15.26722147328219</v>
      </c>
      <c r="M73" s="23" t="n">
        <v>15.01884363026819</v>
      </c>
      <c r="N73" s="23" t="n">
        <v>14.73047281635679</v>
      </c>
      <c r="O73" s="23" t="n">
        <v>14.19435910121861</v>
      </c>
      <c r="P73" s="23" t="n">
        <v>13.71376308750779</v>
      </c>
      <c r="Q73" s="23" t="n">
        <v>13.71893579109062</v>
      </c>
      <c r="R73" s="23" t="n">
        <v>14.08450887611749</v>
      </c>
      <c r="S73" s="23" t="n">
        <v>14.58204881504656</v>
      </c>
      <c r="T73" s="23" t="n">
        <v>15.07098488702076</v>
      </c>
      <c r="U73" s="23" t="n">
        <v>14.87849723448131</v>
      </c>
      <c r="V73" s="38" t="n">
        <v>14.60899363389645</v>
      </c>
      <c r="W73" s="41" t="n">
        <v>297</v>
      </c>
      <c r="X73" s="24" t="n">
        <v>0.825</v>
      </c>
    </row>
    <row r="74" ht="13.9" customHeight="1">
      <c r="A74" s="10" t="n">
        <v>23125080</v>
      </c>
      <c r="B74" s="35" t="inlineStr">
        <is>
          <t>CO</t>
        </is>
      </c>
      <c r="C74" s="35" t="inlineStr">
        <is>
          <t>Otanche</t>
        </is>
      </c>
      <c r="D74" s="35" t="inlineStr">
        <is>
          <t>Otanche</t>
        </is>
      </c>
      <c r="E74" s="35" t="inlineStr">
        <is>
          <t>Boyacá</t>
        </is>
      </c>
      <c r="F74" s="35" t="n">
        <v>6</v>
      </c>
      <c r="G74" s="35" t="n">
        <v>1100</v>
      </c>
      <c r="H74" s="36" t="n">
        <v>-74.18461111000001</v>
      </c>
      <c r="I74" s="37" t="n">
        <v>5.66172222</v>
      </c>
      <c r="J74" s="22" t="n">
        <v>22.30887753562177</v>
      </c>
      <c r="K74" s="23" t="n">
        <v>22.4699081031232</v>
      </c>
      <c r="L74" s="23" t="n">
        <v>22.54314411284237</v>
      </c>
      <c r="M74" s="23" t="n">
        <v>22.70503358231804</v>
      </c>
      <c r="N74" s="23" t="n">
        <v>22.93908264708356</v>
      </c>
      <c r="O74" s="23" t="n">
        <v>23.05277283157453</v>
      </c>
      <c r="P74" s="23" t="n">
        <v>22.88907723767206</v>
      </c>
      <c r="Q74" s="23" t="n">
        <v>23.02002851008674</v>
      </c>
      <c r="R74" s="23" t="n">
        <v>22.94808346747072</v>
      </c>
      <c r="S74" s="23" t="n">
        <v>22.49459325764663</v>
      </c>
      <c r="T74" s="23" t="n">
        <v>22.27063793220401</v>
      </c>
      <c r="U74" s="23" t="n">
        <v>22.20548126948281</v>
      </c>
      <c r="V74" s="38" t="n">
        <v>22.6538933739272</v>
      </c>
      <c r="W74" s="41" t="n">
        <v>313</v>
      </c>
      <c r="X74" s="24" t="n">
        <v>0.8694444444444445</v>
      </c>
    </row>
    <row r="75" ht="13.9" customHeight="1">
      <c r="A75" s="10" t="n">
        <v>24025030</v>
      </c>
      <c r="B75" s="21" t="inlineStr">
        <is>
          <t>CP</t>
        </is>
      </c>
      <c r="C75" s="21" t="inlineStr">
        <is>
          <t>La Sierra - AUT</t>
        </is>
      </c>
      <c r="D75" s="21" t="inlineStr">
        <is>
          <t>Paipa</t>
        </is>
      </c>
      <c r="E75" s="21" t="inlineStr">
        <is>
          <t>Boyacá</t>
        </is>
      </c>
      <c r="F75" s="21" t="n">
        <v>6</v>
      </c>
      <c r="G75" s="21" t="n">
        <v>2700</v>
      </c>
      <c r="H75" s="42" t="n">
        <v>-73.16389138999999</v>
      </c>
      <c r="I75" s="43" t="n">
        <v>5.96638889</v>
      </c>
      <c r="J75" s="22" t="n">
        <v>12.18084347794695</v>
      </c>
      <c r="K75" s="23" t="n">
        <v>12.15709681262148</v>
      </c>
      <c r="L75" s="23" t="n">
        <v>12.09217482715825</v>
      </c>
      <c r="M75" s="23" t="n">
        <v>12.16738133632014</v>
      </c>
      <c r="N75" s="23" t="n">
        <v>12.37241073497261</v>
      </c>
      <c r="O75" s="23" t="n">
        <v>12.47514519113387</v>
      </c>
      <c r="P75" s="23" t="n">
        <v>12.32286976104051</v>
      </c>
      <c r="Q75" s="23" t="n">
        <v>12.39095559991629</v>
      </c>
      <c r="R75" s="23" t="n">
        <v>12.27749727828744</v>
      </c>
      <c r="S75" s="23" t="n">
        <v>12.06152924213424</v>
      </c>
      <c r="T75" s="23" t="n">
        <v>12.01662672476099</v>
      </c>
      <c r="U75" s="23" t="n">
        <v>12.10045808744858</v>
      </c>
      <c r="V75" s="38" t="n">
        <v>12.21791575614511</v>
      </c>
      <c r="W75" s="41" t="n">
        <v>293</v>
      </c>
      <c r="X75" s="24" t="n">
        <v>0.8138888888888889</v>
      </c>
    </row>
    <row r="76" ht="13.9" customHeight="1">
      <c r="A76" s="10" t="n">
        <v>24035430</v>
      </c>
      <c r="B76" s="21" t="inlineStr">
        <is>
          <t>AM</t>
        </is>
      </c>
      <c r="C76" s="21" t="inlineStr">
        <is>
          <t xml:space="preserve">Tunguavita - AUT </t>
        </is>
      </c>
      <c r="D76" s="21" t="inlineStr">
        <is>
          <t>Paipa</t>
        </is>
      </c>
      <c r="E76" s="21" t="inlineStr">
        <is>
          <t>Boyacá</t>
        </is>
      </c>
      <c r="F76" s="21" t="n">
        <v>6</v>
      </c>
      <c r="G76" s="21" t="n">
        <v>2470</v>
      </c>
      <c r="H76" s="42" t="n">
        <v>-73.11636111</v>
      </c>
      <c r="I76" s="43" t="n">
        <v>5.74591667</v>
      </c>
      <c r="J76" s="44" t="n">
        <v>14.84442067273998</v>
      </c>
      <c r="K76" s="45" t="n">
        <v>15.2349234940153</v>
      </c>
      <c r="L76" s="45" t="n">
        <v>15.42309192598112</v>
      </c>
      <c r="M76" s="45" t="n">
        <v>15.30407741801337</v>
      </c>
      <c r="N76" s="45" t="n">
        <v>15.17791265266043</v>
      </c>
      <c r="O76" s="45" t="n">
        <v>14.61798511823268</v>
      </c>
      <c r="P76" s="45" t="n">
        <v>14.22903291473181</v>
      </c>
      <c r="Q76" s="45" t="n">
        <v>14.24758963832916</v>
      </c>
      <c r="R76" s="45" t="n">
        <v>14.32826863769074</v>
      </c>
      <c r="S76" s="45" t="n">
        <v>14.68222265916977</v>
      </c>
      <c r="T76" s="45" t="n">
        <v>15.04549965523588</v>
      </c>
      <c r="U76" s="45" t="n">
        <v>14.78580379662815</v>
      </c>
      <c r="V76" s="38" t="n">
        <v>14.8267357152857</v>
      </c>
      <c r="W76" s="41" t="n">
        <v>340</v>
      </c>
      <c r="X76" s="24" t="n">
        <v>0.9444444444444444</v>
      </c>
    </row>
    <row r="77" ht="13.9" customHeight="1">
      <c r="A77" s="10" t="n">
        <v>35195050</v>
      </c>
      <c r="B77" s="35" t="inlineStr">
        <is>
          <t>CO</t>
        </is>
      </c>
      <c r="C77" s="35" t="inlineStr">
        <is>
          <t>Corinto</t>
        </is>
      </c>
      <c r="D77" s="35" t="inlineStr">
        <is>
          <t>Pajarito</t>
        </is>
      </c>
      <c r="E77" s="35" t="inlineStr">
        <is>
          <t>Boyacá</t>
        </is>
      </c>
      <c r="F77" s="35" t="n">
        <v>6</v>
      </c>
      <c r="G77" s="35" t="n">
        <v>1550</v>
      </c>
      <c r="H77" s="36" t="n">
        <v>-72.71722222000001</v>
      </c>
      <c r="I77" s="37" t="n">
        <v>5.407277779999999</v>
      </c>
      <c r="J77" s="44" t="n">
        <v>19.61562591811862</v>
      </c>
      <c r="K77" s="45" t="n">
        <v>19.90600636653135</v>
      </c>
      <c r="L77" s="45" t="n">
        <v>19.76211405644439</v>
      </c>
      <c r="M77" s="45" t="n">
        <v>19.40949300532881</v>
      </c>
      <c r="N77" s="45" t="n">
        <v>19.16887544382174</v>
      </c>
      <c r="O77" s="45" t="n">
        <v>18.72596012719533</v>
      </c>
      <c r="P77" s="45" t="n">
        <v>18.39650516634082</v>
      </c>
      <c r="Q77" s="45" t="n">
        <v>18.45147972613037</v>
      </c>
      <c r="R77" s="45" t="n">
        <v>18.99837987531805</v>
      </c>
      <c r="S77" s="45" t="n">
        <v>19.13143924810039</v>
      </c>
      <c r="T77" s="45" t="n">
        <v>19.36148373988936</v>
      </c>
      <c r="U77" s="45" t="n">
        <v>19.51893726445142</v>
      </c>
      <c r="V77" s="38" t="n">
        <v>19.20385832813922</v>
      </c>
      <c r="W77" s="41" t="n">
        <v>330</v>
      </c>
      <c r="X77" s="24" t="n">
        <v>0.9166666666666666</v>
      </c>
    </row>
    <row r="78" ht="13.9" customHeight="1">
      <c r="A78" s="10" t="n">
        <v>23115010</v>
      </c>
      <c r="B78" s="21" t="inlineStr">
        <is>
          <t>CO</t>
        </is>
      </c>
      <c r="C78" s="21" t="inlineStr">
        <is>
          <t>Puerto Boyacá</t>
        </is>
      </c>
      <c r="D78" s="21" t="inlineStr">
        <is>
          <t>Puerto Boyacá</t>
        </is>
      </c>
      <c r="E78" s="21" t="inlineStr">
        <is>
          <t>Boyacá</t>
        </is>
      </c>
      <c r="F78" s="21" t="n">
        <v>10</v>
      </c>
      <c r="G78" s="21" t="n">
        <v>350</v>
      </c>
      <c r="H78" s="42" t="n">
        <v>-74.56666666999999</v>
      </c>
      <c r="I78" s="43" t="n">
        <v>5.97833333</v>
      </c>
      <c r="J78" s="22" t="n">
        <v>28.27619294807279</v>
      </c>
      <c r="K78" s="23" t="n">
        <v>28.53641450769322</v>
      </c>
      <c r="L78" s="23" t="n">
        <v>28.01265053763439</v>
      </c>
      <c r="M78" s="23" t="n">
        <v>27.48845019157086</v>
      </c>
      <c r="N78" s="23" t="n">
        <v>27.66532876035098</v>
      </c>
      <c r="O78" s="23" t="n">
        <v>27.76807630906766</v>
      </c>
      <c r="P78" s="23" t="n">
        <v>28.33707081942898</v>
      </c>
      <c r="Q78" s="23" t="n">
        <v>28.6449498207885</v>
      </c>
      <c r="R78" s="23" t="n">
        <v>27.35857142857141</v>
      </c>
      <c r="S78" s="23" t="n">
        <v>27.02968740399383</v>
      </c>
      <c r="T78" s="23" t="n">
        <v>27.01829118773944</v>
      </c>
      <c r="U78" s="23" t="n">
        <v>27.14762396489925</v>
      </c>
      <c r="V78" s="38" t="n">
        <v>27.77360898998428</v>
      </c>
      <c r="W78" s="41" t="n">
        <v>120</v>
      </c>
      <c r="X78" s="24" t="n">
        <v>1</v>
      </c>
    </row>
    <row r="79" ht="13.9" customHeight="1">
      <c r="A79" s="10" t="n">
        <v>23125140</v>
      </c>
      <c r="B79" s="21" t="inlineStr">
        <is>
          <t>CO</t>
        </is>
      </c>
      <c r="C79" s="21" t="inlineStr">
        <is>
          <t>Aeropuerto Furatena - AUT</t>
        </is>
      </c>
      <c r="D79" s="21" t="inlineStr">
        <is>
          <t>Quípama</t>
        </is>
      </c>
      <c r="E79" s="21" t="inlineStr">
        <is>
          <t>Boyacá</t>
        </is>
      </c>
      <c r="F79" s="21" t="n">
        <v>6</v>
      </c>
      <c r="G79" s="21" t="n">
        <v>1250</v>
      </c>
      <c r="H79" s="42" t="n">
        <v>-74.18241666999999</v>
      </c>
      <c r="I79" s="43" t="n">
        <v>5.52083333</v>
      </c>
      <c r="J79" s="22" t="n">
        <v>22.35983740368287</v>
      </c>
      <c r="K79" s="23" t="n">
        <v>22.17804185019468</v>
      </c>
      <c r="L79" s="23" t="n">
        <v>21.94500944281339</v>
      </c>
      <c r="M79" s="23" t="n">
        <v>21.94178545316308</v>
      </c>
      <c r="N79" s="23" t="n">
        <v>21.98492224766703</v>
      </c>
      <c r="O79" s="23" t="n">
        <v>22.06195434989056</v>
      </c>
      <c r="P79" s="23" t="n">
        <v>22.10948786586962</v>
      </c>
      <c r="Q79" s="23" t="n">
        <v>22.37301150537632</v>
      </c>
      <c r="R79" s="23" t="n">
        <v>22.28312267806265</v>
      </c>
      <c r="S79" s="23" t="n">
        <v>21.98985739710787</v>
      </c>
      <c r="T79" s="23" t="n">
        <v>21.76481141976523</v>
      </c>
      <c r="U79" s="23" t="n">
        <v>22.20584326500342</v>
      </c>
      <c r="V79" s="38" t="n">
        <v>22.0998070732164</v>
      </c>
      <c r="W79" s="41" t="n">
        <v>297</v>
      </c>
      <c r="X79" s="24" t="n">
        <v>0.825</v>
      </c>
    </row>
    <row r="80" ht="13.9" customHeight="1">
      <c r="A80" s="10" t="n">
        <v>35075030</v>
      </c>
      <c r="B80" s="21" t="inlineStr">
        <is>
          <t>CO</t>
        </is>
      </c>
      <c r="C80" s="21" t="inlineStr">
        <is>
          <t>Villa Luisa</t>
        </is>
      </c>
      <c r="D80" s="21" t="inlineStr">
        <is>
          <t>Ramiriquí</t>
        </is>
      </c>
      <c r="E80" s="21" t="inlineStr">
        <is>
          <t>Boyacá</t>
        </is>
      </c>
      <c r="F80" s="21" t="n">
        <v>6</v>
      </c>
      <c r="G80" s="21" t="n">
        <v>2200</v>
      </c>
      <c r="H80" s="42" t="n">
        <v>-73.34941667</v>
      </c>
      <c r="I80" s="43" t="n">
        <v>5.42222222</v>
      </c>
      <c r="J80" s="22" t="n">
        <v>16.5397934295381</v>
      </c>
      <c r="K80" s="23" t="n">
        <v>16.8969184514924</v>
      </c>
      <c r="L80" s="23" t="n">
        <v>17.15581418704049</v>
      </c>
      <c r="M80" s="23" t="n">
        <v>16.86388273125341</v>
      </c>
      <c r="N80" s="23" t="n">
        <v>16.67059045765135</v>
      </c>
      <c r="O80" s="23" t="n">
        <v>16.00134656736256</v>
      </c>
      <c r="P80" s="23" t="n">
        <v>15.50236352357319</v>
      </c>
      <c r="Q80" s="23" t="n">
        <v>15.45884618025514</v>
      </c>
      <c r="R80" s="23" t="n">
        <v>15.803133701388</v>
      </c>
      <c r="S80" s="23" t="n">
        <v>16.36052499496719</v>
      </c>
      <c r="T80" s="23" t="n">
        <v>16.73064842209072</v>
      </c>
      <c r="U80" s="23" t="n">
        <v>16.5011443365666</v>
      </c>
      <c r="V80" s="38" t="n">
        <v>16.3737505819316</v>
      </c>
      <c r="W80" s="41" t="n">
        <v>325</v>
      </c>
      <c r="X80" s="24" t="n">
        <v>0.9027777777777778</v>
      </c>
    </row>
    <row r="81" ht="13.9" customHeight="1">
      <c r="A81" s="10" t="n">
        <v>24015360</v>
      </c>
      <c r="B81" s="21" t="inlineStr">
        <is>
          <t>CO</t>
        </is>
      </c>
      <c r="C81" s="21" t="inlineStr">
        <is>
          <t>La Granja Saboya</t>
        </is>
      </c>
      <c r="D81" s="21" t="inlineStr">
        <is>
          <t>Saboyá</t>
        </is>
      </c>
      <c r="E81" s="21" t="inlineStr">
        <is>
          <t>Boyacá</t>
        </is>
      </c>
      <c r="F81" s="21" t="n">
        <v>6</v>
      </c>
      <c r="G81" s="21" t="n">
        <v>2550</v>
      </c>
      <c r="H81" s="42" t="n">
        <v>-73.759</v>
      </c>
      <c r="I81" s="43" t="n">
        <v>5.69622222</v>
      </c>
      <c r="J81" s="22" t="n">
        <v>14.17199543437444</v>
      </c>
      <c r="K81" s="23" t="n">
        <v>14.55955310494102</v>
      </c>
      <c r="L81" s="23" t="n">
        <v>14.76456034482757</v>
      </c>
      <c r="M81" s="23" t="n">
        <v>14.85690375843823</v>
      </c>
      <c r="N81" s="23" t="n">
        <v>14.99943900630329</v>
      </c>
      <c r="O81" s="23" t="n">
        <v>14.63998180076627</v>
      </c>
      <c r="P81" s="23" t="n">
        <v>14.41980884109914</v>
      </c>
      <c r="Q81" s="23" t="n">
        <v>14.42482175897314</v>
      </c>
      <c r="R81" s="23" t="n">
        <v>14.31904513099447</v>
      </c>
      <c r="S81" s="23" t="n">
        <v>14.44460019878052</v>
      </c>
      <c r="T81" s="23" t="n">
        <v>14.42395102779297</v>
      </c>
      <c r="U81" s="23" t="n">
        <v>14.17023676181941</v>
      </c>
      <c r="V81" s="38" t="n">
        <v>14.51624143075921</v>
      </c>
      <c r="W81" s="41" t="n">
        <v>110</v>
      </c>
      <c r="X81" s="24" t="n">
        <v>0.9166666666666666</v>
      </c>
    </row>
    <row r="82" ht="13.9" customHeight="1">
      <c r="A82" s="10" t="n">
        <v>24015220</v>
      </c>
      <c r="B82" s="21" t="inlineStr">
        <is>
          <t>CP</t>
        </is>
      </c>
      <c r="C82" s="21" t="inlineStr">
        <is>
          <t>Villa Carmen</t>
        </is>
      </c>
      <c r="D82" s="21" t="inlineStr">
        <is>
          <t>Samacá</t>
        </is>
      </c>
      <c r="E82" s="21" t="inlineStr">
        <is>
          <t>Boyacá</t>
        </is>
      </c>
      <c r="F82" s="21" t="n">
        <v>6</v>
      </c>
      <c r="G82" s="21" t="n">
        <v>2600</v>
      </c>
      <c r="H82" s="42" t="n">
        <v>-73.49577778</v>
      </c>
      <c r="I82" s="43" t="n">
        <v>5.509388889999999</v>
      </c>
      <c r="J82" s="44" t="n">
        <v>14.0373365439399</v>
      </c>
      <c r="K82" s="45" t="n">
        <v>14.28846503907741</v>
      </c>
      <c r="L82" s="45" t="n">
        <v>14.49008191155318</v>
      </c>
      <c r="M82" s="45" t="n">
        <v>14.55672615779952</v>
      </c>
      <c r="N82" s="45" t="n">
        <v>14.53604599937786</v>
      </c>
      <c r="O82" s="45" t="n">
        <v>14.05446471073625</v>
      </c>
      <c r="P82" s="45" t="n">
        <v>13.63280813615186</v>
      </c>
      <c r="Q82" s="45" t="n">
        <v>13.65433628672837</v>
      </c>
      <c r="R82" s="45" t="n">
        <v>13.88572613872102</v>
      </c>
      <c r="S82" s="45" t="n">
        <v>14.12325153397808</v>
      </c>
      <c r="T82" s="45" t="n">
        <v>14.23945192515073</v>
      </c>
      <c r="U82" s="45" t="n">
        <v>14.17059676484407</v>
      </c>
      <c r="V82" s="38" t="n">
        <v>14.13910759567152</v>
      </c>
      <c r="W82" s="41" t="n">
        <v>326</v>
      </c>
      <c r="X82" s="24" t="n">
        <v>0.9055555555555556</v>
      </c>
    </row>
    <row r="83" ht="13.9" customHeight="1">
      <c r="A83" s="10" t="n">
        <v>24015090</v>
      </c>
      <c r="B83" s="21" t="inlineStr">
        <is>
          <t>CO</t>
        </is>
      </c>
      <c r="C83" s="21" t="inlineStr">
        <is>
          <t>Institución Agrícola Santa Sofía</t>
        </is>
      </c>
      <c r="D83" s="21" t="inlineStr">
        <is>
          <t>Santa Sofía</t>
        </is>
      </c>
      <c r="E83" s="21" t="inlineStr">
        <is>
          <t>Boyacá</t>
        </is>
      </c>
      <c r="F83" s="21" t="n">
        <v>6</v>
      </c>
      <c r="G83" s="21" t="n">
        <v>2300</v>
      </c>
      <c r="H83" s="42" t="n">
        <v>-73.60227777999999</v>
      </c>
      <c r="I83" s="43" t="n">
        <v>5.71066667</v>
      </c>
      <c r="J83" s="22" t="n">
        <v>15.98961955970593</v>
      </c>
      <c r="K83" s="23" t="n">
        <v>16.35241929977401</v>
      </c>
      <c r="L83" s="23" t="n">
        <v>16.38028900441686</v>
      </c>
      <c r="M83" s="23" t="n">
        <v>16.41804993878767</v>
      </c>
      <c r="N83" s="23" t="n">
        <v>16.47876095033088</v>
      </c>
      <c r="O83" s="23" t="n">
        <v>16.22946273617626</v>
      </c>
      <c r="P83" s="23" t="n">
        <v>16.09522714593457</v>
      </c>
      <c r="Q83" s="23" t="n">
        <v>16.18632584790769</v>
      </c>
      <c r="R83" s="23" t="n">
        <v>16.29618252860929</v>
      </c>
      <c r="S83" s="23" t="n">
        <v>16.03984701980066</v>
      </c>
      <c r="T83" s="23" t="n">
        <v>15.90209662106522</v>
      </c>
      <c r="U83" s="23" t="n">
        <v>15.98512078929744</v>
      </c>
      <c r="V83" s="38" t="n">
        <v>16.1961167868172</v>
      </c>
      <c r="W83" s="41" t="n">
        <v>310</v>
      </c>
      <c r="X83" s="24" t="n">
        <v>0.8611111111111112</v>
      </c>
    </row>
    <row r="84" ht="13.9" customHeight="1">
      <c r="A84" s="10" t="n">
        <v>24035320</v>
      </c>
      <c r="B84" s="21" t="inlineStr">
        <is>
          <t>CO</t>
        </is>
      </c>
      <c r="C84" s="21" t="inlineStr">
        <is>
          <t>Sativanorte</t>
        </is>
      </c>
      <c r="D84" s="11" t="inlineStr">
        <is>
          <t>Sativanorte</t>
        </is>
      </c>
      <c r="E84" s="21" t="inlineStr">
        <is>
          <t>Boyacá</t>
        </is>
      </c>
      <c r="F84" s="21" t="n">
        <v>6</v>
      </c>
      <c r="G84" s="21" t="n">
        <v>2594</v>
      </c>
      <c r="H84" s="42" t="n">
        <v>-72.70483333</v>
      </c>
      <c r="I84" s="43" t="n">
        <v>6.116861109999999</v>
      </c>
      <c r="J84" s="22" t="n">
        <v>15.40751155188153</v>
      </c>
      <c r="K84" s="23" t="n">
        <v>15.50278212309147</v>
      </c>
      <c r="L84" s="23" t="n">
        <v>15.46057077414621</v>
      </c>
      <c r="M84" s="23" t="n">
        <v>15.40447638664632</v>
      </c>
      <c r="N84" s="23" t="n">
        <v>15.40820773618502</v>
      </c>
      <c r="O84" s="23" t="n">
        <v>15.2589711401141</v>
      </c>
      <c r="P84" s="23" t="n">
        <v>15.1317365985326</v>
      </c>
      <c r="Q84" s="23" t="n">
        <v>15.11179825214676</v>
      </c>
      <c r="R84" s="23" t="n">
        <v>15.21661946179967</v>
      </c>
      <c r="S84" s="23" t="n">
        <v>15.16188387228566</v>
      </c>
      <c r="T84" s="23" t="n">
        <v>15.13467296293775</v>
      </c>
      <c r="U84" s="23" t="n">
        <v>15.33832337125342</v>
      </c>
      <c r="V84" s="38" t="n">
        <v>15.29479618591838</v>
      </c>
      <c r="W84" s="41" t="n">
        <v>329</v>
      </c>
      <c r="X84" s="24" t="n">
        <v>0.9138888888888889</v>
      </c>
    </row>
    <row r="85" ht="13.9" customHeight="1">
      <c r="A85" s="10" t="n">
        <v>35235010</v>
      </c>
      <c r="B85" s="21" t="inlineStr">
        <is>
          <t>CO</t>
        </is>
      </c>
      <c r="C85" s="21" t="inlineStr">
        <is>
          <t>El Cardón</t>
        </is>
      </c>
      <c r="D85" s="21" t="inlineStr">
        <is>
          <t>Socotá</t>
        </is>
      </c>
      <c r="E85" s="21" t="inlineStr">
        <is>
          <t>Boyacá</t>
        </is>
      </c>
      <c r="F85" s="21" t="n">
        <v>6</v>
      </c>
      <c r="G85" s="21" t="n">
        <v>3590</v>
      </c>
      <c r="H85" s="42" t="n">
        <v>-72.52927778</v>
      </c>
      <c r="I85" s="43" t="n">
        <v>6.011666669999999</v>
      </c>
      <c r="J85" s="22" t="n">
        <v>6.710657687767639</v>
      </c>
      <c r="K85" s="23" t="n">
        <v>6.796398207552784</v>
      </c>
      <c r="L85" s="23" t="n">
        <v>6.724822538225437</v>
      </c>
      <c r="M85" s="23" t="n">
        <v>6.654743727547829</v>
      </c>
      <c r="N85" s="23" t="n">
        <v>6.620608070605289</v>
      </c>
      <c r="O85" s="23" t="n">
        <v>6.039441798315258</v>
      </c>
      <c r="P85" s="23" t="n">
        <v>5.689679025643346</v>
      </c>
      <c r="Q85" s="23" t="n">
        <v>5.749946773718184</v>
      </c>
      <c r="R85" s="23" t="n">
        <v>5.912190996816327</v>
      </c>
      <c r="S85" s="23" t="n">
        <v>6.426685174089288</v>
      </c>
      <c r="T85" s="23" t="n">
        <v>7.005617710029167</v>
      </c>
      <c r="U85" s="23" t="n">
        <v>6.875786328578348</v>
      </c>
      <c r="V85" s="38" t="n">
        <v>6.433881503240741</v>
      </c>
      <c r="W85" s="41" t="n">
        <v>313</v>
      </c>
      <c r="X85" s="24" t="n">
        <v>0.8694444444444445</v>
      </c>
    </row>
    <row r="86" ht="13.9" customHeight="1">
      <c r="A86" s="10" t="n">
        <v>24035340</v>
      </c>
      <c r="B86" s="21" t="inlineStr">
        <is>
          <t>CP</t>
        </is>
      </c>
      <c r="C86" s="21" t="inlineStr">
        <is>
          <t>Aeropuerto Alberto Lleras Camargo</t>
        </is>
      </c>
      <c r="D86" s="21" t="inlineStr">
        <is>
          <t>Sogamoso</t>
        </is>
      </c>
      <c r="E86" s="21" t="inlineStr">
        <is>
          <t>Boyacá</t>
        </is>
      </c>
      <c r="F86" s="21" t="n">
        <v>6</v>
      </c>
      <c r="G86" s="21" t="n">
        <v>2500</v>
      </c>
      <c r="H86" s="42" t="n">
        <v>-72.96791666999999</v>
      </c>
      <c r="I86" s="43" t="n">
        <v>5.67694444</v>
      </c>
      <c r="J86" s="44" t="n">
        <v>13.8282309267793</v>
      </c>
      <c r="K86" s="45" t="n">
        <v>14.22902865961198</v>
      </c>
      <c r="L86" s="45" t="n">
        <v>14.65045452308691</v>
      </c>
      <c r="M86" s="45" t="n">
        <v>14.8645624687656</v>
      </c>
      <c r="N86" s="45" t="n">
        <v>14.60027967803731</v>
      </c>
      <c r="O86" s="45" t="n">
        <v>14.23402793040292</v>
      </c>
      <c r="P86" s="45" t="n">
        <v>13.6769700215603</v>
      </c>
      <c r="Q86" s="45" t="n">
        <v>13.61735378619786</v>
      </c>
      <c r="R86" s="45" t="n">
        <v>13.80790762026393</v>
      </c>
      <c r="S86" s="45" t="n">
        <v>14.06904829587253</v>
      </c>
      <c r="T86" s="45" t="n">
        <v>14.40249999999999</v>
      </c>
      <c r="U86" s="45" t="n">
        <v>14.13168996661939</v>
      </c>
      <c r="V86" s="38" t="n">
        <v>14.1760044897665</v>
      </c>
      <c r="W86" s="41" t="n">
        <v>110</v>
      </c>
      <c r="X86" s="24" t="n">
        <v>0.9166666666666666</v>
      </c>
    </row>
    <row r="87" ht="13.9" customHeight="1">
      <c r="A87" s="10" t="n">
        <v>35075020</v>
      </c>
      <c r="B87" s="21" t="inlineStr">
        <is>
          <t>CP</t>
        </is>
      </c>
      <c r="C87" s="21" t="inlineStr">
        <is>
          <t>Sutatenza</t>
        </is>
      </c>
      <c r="D87" s="21" t="inlineStr">
        <is>
          <t>Sutatenza</t>
        </is>
      </c>
      <c r="E87" s="21" t="inlineStr">
        <is>
          <t>Boyacá</t>
        </is>
      </c>
      <c r="F87" s="21" t="n">
        <v>6</v>
      </c>
      <c r="G87" s="21" t="n">
        <v>1930</v>
      </c>
      <c r="H87" s="42" t="n">
        <v>-73.44916667</v>
      </c>
      <c r="I87" s="43" t="n">
        <v>5.02227778</v>
      </c>
      <c r="J87" s="22" t="n">
        <v>18.31482140467453</v>
      </c>
      <c r="K87" s="23" t="n">
        <v>18.43058486885939</v>
      </c>
      <c r="L87" s="23" t="n">
        <v>18.40087876361439</v>
      </c>
      <c r="M87" s="23" t="n">
        <v>18.14431065791054</v>
      </c>
      <c r="N87" s="23" t="n">
        <v>17.8834523562068</v>
      </c>
      <c r="O87" s="23" t="n">
        <v>17.30756006111297</v>
      </c>
      <c r="P87" s="23" t="n">
        <v>16.93496203846689</v>
      </c>
      <c r="Q87" s="23" t="n">
        <v>17.07289064264678</v>
      </c>
      <c r="R87" s="23" t="n">
        <v>17.65575995579476</v>
      </c>
      <c r="S87" s="23" t="n">
        <v>18.0466524774299</v>
      </c>
      <c r="T87" s="23" t="n">
        <v>18.35974501687648</v>
      </c>
      <c r="U87" s="23" t="n">
        <v>18.43707050302311</v>
      </c>
      <c r="V87" s="38" t="n">
        <v>17.91572406221804</v>
      </c>
      <c r="W87" s="41" t="n">
        <v>334</v>
      </c>
      <c r="X87" s="24" t="n">
        <v>0.9277777777777778</v>
      </c>
    </row>
    <row r="88" ht="13.9" customHeight="1">
      <c r="A88" s="10" t="n">
        <v>24035130</v>
      </c>
      <c r="B88" s="21" t="inlineStr">
        <is>
          <t>CP</t>
        </is>
      </c>
      <c r="C88" s="21" t="inlineStr">
        <is>
          <t>U P T C</t>
        </is>
      </c>
      <c r="D88" s="21" t="inlineStr">
        <is>
          <t>Tunja</t>
        </is>
      </c>
      <c r="E88" s="21" t="inlineStr">
        <is>
          <t>Boyacá</t>
        </is>
      </c>
      <c r="F88" s="21" t="n">
        <v>6</v>
      </c>
      <c r="G88" s="21" t="n">
        <v>2690</v>
      </c>
      <c r="H88" s="42" t="n">
        <v>-73.36081306</v>
      </c>
      <c r="I88" s="43" t="n">
        <v>5.5430775</v>
      </c>
      <c r="J88" s="22" t="n">
        <v>13.38293862060441</v>
      </c>
      <c r="K88" s="23" t="n">
        <v>13.76003910113381</v>
      </c>
      <c r="L88" s="23" t="n">
        <v>13.99910789918797</v>
      </c>
      <c r="M88" s="23" t="n">
        <v>13.84984533334885</v>
      </c>
      <c r="N88" s="23" t="n">
        <v>13.58738379814599</v>
      </c>
      <c r="O88" s="23" t="n">
        <v>12.86056876677874</v>
      </c>
      <c r="P88" s="23" t="n">
        <v>12.33240366261129</v>
      </c>
      <c r="Q88" s="23" t="n">
        <v>12.39579375063865</v>
      </c>
      <c r="R88" s="23" t="n">
        <v>12.81914533693047</v>
      </c>
      <c r="S88" s="23" t="n">
        <v>13.24796283509843</v>
      </c>
      <c r="T88" s="23" t="n">
        <v>13.58121759005857</v>
      </c>
      <c r="U88" s="23" t="n">
        <v>13.34817867471793</v>
      </c>
      <c r="V88" s="38" t="n">
        <v>13.26371544743793</v>
      </c>
      <c r="W88" s="41" t="n">
        <v>329</v>
      </c>
      <c r="X88" s="24" t="n">
        <v>0.9138888888888889</v>
      </c>
    </row>
    <row r="89" ht="13.9" customHeight="1">
      <c r="A89" s="10" t="n">
        <v>24015300</v>
      </c>
      <c r="B89" s="35" t="inlineStr">
        <is>
          <t>CP</t>
        </is>
      </c>
      <c r="C89" s="35" t="inlineStr">
        <is>
          <t>Villa de Leyva</t>
        </is>
      </c>
      <c r="D89" s="35" t="inlineStr">
        <is>
          <t>Villa de Leiva</t>
        </is>
      </c>
      <c r="E89" s="35" t="inlineStr">
        <is>
          <t>Boyacá</t>
        </is>
      </c>
      <c r="F89" s="35" t="n">
        <v>6</v>
      </c>
      <c r="G89" s="35" t="n">
        <v>2215</v>
      </c>
      <c r="H89" s="36" t="n">
        <v>-73.54394443999999</v>
      </c>
      <c r="I89" s="37" t="n">
        <v>5.65583333</v>
      </c>
      <c r="J89" s="22" t="n">
        <v>16.9502681729633</v>
      </c>
      <c r="K89" s="23" t="n">
        <v>17.3175263751072</v>
      </c>
      <c r="L89" s="23" t="n">
        <v>17.40908935291493</v>
      </c>
      <c r="M89" s="23" t="n">
        <v>17.42740561893988</v>
      </c>
      <c r="N89" s="23" t="n">
        <v>17.46670551744867</v>
      </c>
      <c r="O89" s="23" t="n">
        <v>17.21139164688784</v>
      </c>
      <c r="P89" s="23" t="n">
        <v>16.99810674941962</v>
      </c>
      <c r="Q89" s="23" t="n">
        <v>17.12966096033268</v>
      </c>
      <c r="R89" s="23" t="n">
        <v>17.20167760615205</v>
      </c>
      <c r="S89" s="23" t="n">
        <v>17.01292441020539</v>
      </c>
      <c r="T89" s="23" t="n">
        <v>16.90435921364979</v>
      </c>
      <c r="U89" s="23" t="n">
        <v>16.88109714227124</v>
      </c>
      <c r="V89" s="38" t="n">
        <v>17.15918439719105</v>
      </c>
      <c r="W89" s="41" t="n">
        <v>298</v>
      </c>
      <c r="X89" s="24" t="n">
        <v>0.8277777777777777</v>
      </c>
    </row>
    <row r="90" ht="13.9" customHeight="1">
      <c r="A90" s="10" t="n">
        <v>26185010</v>
      </c>
      <c r="B90" s="21" t="inlineStr">
        <is>
          <t>CO</t>
        </is>
      </c>
      <c r="C90" s="21" t="inlineStr">
        <is>
          <t>La Pelada</t>
        </is>
      </c>
      <c r="D90" s="21" t="inlineStr">
        <is>
          <t>Aguadas</t>
        </is>
      </c>
      <c r="E90" s="21" t="inlineStr">
        <is>
          <t>Caldas</t>
        </is>
      </c>
      <c r="F90" s="21" t="n">
        <v>1</v>
      </c>
      <c r="G90" s="21" t="n">
        <v>2180</v>
      </c>
      <c r="H90" s="42" t="n">
        <v>-75.34477778</v>
      </c>
      <c r="I90" s="43" t="n">
        <v>5.578749999999999</v>
      </c>
      <c r="J90" s="44" t="n">
        <v>16.50044555952153</v>
      </c>
      <c r="K90" s="45" t="n">
        <v>16.84427160493824</v>
      </c>
      <c r="L90" s="45" t="n">
        <v>16.68992449697803</v>
      </c>
      <c r="M90" s="45" t="n">
        <v>16.6738048388023</v>
      </c>
      <c r="N90" s="45" t="n">
        <v>16.60757262859468</v>
      </c>
      <c r="O90" s="45" t="n">
        <v>16.93895299145295</v>
      </c>
      <c r="P90" s="45" t="n">
        <v>17.1511374434095</v>
      </c>
      <c r="Q90" s="45" t="n">
        <v>17.19398032103297</v>
      </c>
      <c r="R90" s="45" t="n">
        <v>16.95511092765256</v>
      </c>
      <c r="S90" s="45" t="n">
        <v>16.34081372956056</v>
      </c>
      <c r="T90" s="45" t="n">
        <v>16.17292649828928</v>
      </c>
      <c r="U90" s="45" t="n">
        <v>16.40035757773951</v>
      </c>
      <c r="V90" s="38" t="n">
        <v>16.705774884831</v>
      </c>
      <c r="W90" s="41" t="n">
        <v>110</v>
      </c>
      <c r="X90" s="24" t="n">
        <v>0.9166666666666666</v>
      </c>
    </row>
    <row r="91" ht="13.9" customHeight="1">
      <c r="A91" s="10" t="n">
        <v>26145020</v>
      </c>
      <c r="B91" s="21" t="inlineStr">
        <is>
          <t>CO</t>
        </is>
      </c>
      <c r="C91" s="21" t="inlineStr">
        <is>
          <t>Bellavista</t>
        </is>
      </c>
      <c r="D91" s="21" t="inlineStr">
        <is>
          <t>Anserma</t>
        </is>
      </c>
      <c r="E91" s="21" t="inlineStr">
        <is>
          <t>Caldas</t>
        </is>
      </c>
      <c r="F91" s="21" t="n">
        <v>9</v>
      </c>
      <c r="G91" s="21" t="n">
        <v>1984</v>
      </c>
      <c r="H91" s="42" t="n">
        <v>-75.80013889</v>
      </c>
      <c r="I91" s="43" t="n">
        <v>5.27594444</v>
      </c>
      <c r="J91" s="22" t="n">
        <v>17.00690754828998</v>
      </c>
      <c r="K91" s="23" t="n">
        <v>17.16038423715491</v>
      </c>
      <c r="L91" s="23" t="n">
        <v>17.25222750650128</v>
      </c>
      <c r="M91" s="23" t="n">
        <v>17.233203430031</v>
      </c>
      <c r="N91" s="23" t="n">
        <v>17.35635835308151</v>
      </c>
      <c r="O91" s="23" t="n">
        <v>17.47404647582088</v>
      </c>
      <c r="P91" s="23" t="n">
        <v>17.58758368351665</v>
      </c>
      <c r="Q91" s="23" t="n">
        <v>17.52263018923631</v>
      </c>
      <c r="R91" s="23" t="n">
        <v>17.2467625264901</v>
      </c>
      <c r="S91" s="23" t="n">
        <v>16.76494685882117</v>
      </c>
      <c r="T91" s="23" t="n">
        <v>16.65776999635102</v>
      </c>
      <c r="U91" s="23" t="n">
        <v>16.89004152762327</v>
      </c>
      <c r="V91" s="38" t="n">
        <v>17.17940519440984</v>
      </c>
      <c r="W91" s="41" t="n">
        <v>286</v>
      </c>
      <c r="X91" s="24" t="n">
        <v>0.7944444444444444</v>
      </c>
    </row>
    <row r="92" ht="13.9" customHeight="1">
      <c r="A92" s="10" t="n">
        <v>26155110</v>
      </c>
      <c r="B92" s="35" t="inlineStr">
        <is>
          <t>CP</t>
        </is>
      </c>
      <c r="C92" s="35" t="inlineStr">
        <is>
          <t>Aeropuerto La Nubia</t>
        </is>
      </c>
      <c r="D92" s="35" t="inlineStr">
        <is>
          <t>Manizales</t>
        </is>
      </c>
      <c r="E92" s="35" t="inlineStr">
        <is>
          <t>Caldas</t>
        </is>
      </c>
      <c r="F92" s="35" t="n">
        <v>9</v>
      </c>
      <c r="G92" s="35" t="n">
        <v>2104</v>
      </c>
      <c r="H92" s="36" t="n">
        <v>-75.46991666999999</v>
      </c>
      <c r="I92" s="37" t="n">
        <v>5.02977778</v>
      </c>
      <c r="J92" s="22" t="n">
        <v>17.36904729336803</v>
      </c>
      <c r="K92" s="23" t="n">
        <v>17.48854892666421</v>
      </c>
      <c r="L92" s="23" t="n">
        <v>17.4954184465084</v>
      </c>
      <c r="M92" s="23" t="n">
        <v>17.37655125082958</v>
      </c>
      <c r="N92" s="23" t="n">
        <v>17.36443572174549</v>
      </c>
      <c r="O92" s="23" t="n">
        <v>17.42282649672407</v>
      </c>
      <c r="P92" s="23" t="n">
        <v>17.69834525479289</v>
      </c>
      <c r="Q92" s="23" t="n">
        <v>17.6388830302067</v>
      </c>
      <c r="R92" s="23" t="n">
        <v>17.37510707915093</v>
      </c>
      <c r="S92" s="23" t="n">
        <v>16.80840042558476</v>
      </c>
      <c r="T92" s="23" t="n">
        <v>16.7569264950349</v>
      </c>
      <c r="U92" s="23" t="n">
        <v>17.05743248328043</v>
      </c>
      <c r="V92" s="38" t="n">
        <v>17.3209935753242</v>
      </c>
      <c r="W92" s="41" t="n">
        <v>285</v>
      </c>
      <c r="X92" s="24" t="n">
        <v>0.7916666666666666</v>
      </c>
    </row>
    <row r="93" ht="13.9" customHeight="1">
      <c r="A93" s="10" t="n">
        <v>26155170</v>
      </c>
      <c r="B93" s="35" t="inlineStr">
        <is>
          <t>CO</t>
        </is>
      </c>
      <c r="C93" s="35" t="inlineStr">
        <is>
          <t xml:space="preserve">Finca Tesorito  - AUT </t>
        </is>
      </c>
      <c r="D93" s="35" t="inlineStr">
        <is>
          <t>Manizales</t>
        </is>
      </c>
      <c r="E93" s="35" t="inlineStr">
        <is>
          <t>Caldas</t>
        </is>
      </c>
      <c r="F93" s="35" t="n">
        <v>9</v>
      </c>
      <c r="G93" s="35" t="n">
        <v>2325</v>
      </c>
      <c r="H93" s="36" t="n">
        <v>-75.43833332999999</v>
      </c>
      <c r="I93" s="37" t="n">
        <v>5.03222222</v>
      </c>
      <c r="J93" s="22" t="n">
        <v>15.48121863799282</v>
      </c>
      <c r="K93" s="23" t="n">
        <v>15.86955505382228</v>
      </c>
      <c r="L93" s="23" t="n">
        <v>15.78839142256827</v>
      </c>
      <c r="M93" s="23" t="n">
        <v>15.79814814814814</v>
      </c>
      <c r="N93" s="23" t="n">
        <v>15.73137528209211</v>
      </c>
      <c r="O93" s="23" t="n">
        <v>15.57503086419752</v>
      </c>
      <c r="P93" s="23" t="n">
        <v>15.83877688172042</v>
      </c>
      <c r="Q93" s="23" t="n">
        <v>15.96851851851851</v>
      </c>
      <c r="R93" s="23" t="n">
        <v>15.61478395061727</v>
      </c>
      <c r="S93" s="23" t="n">
        <v>15.2649193548387</v>
      </c>
      <c r="T93" s="23" t="n">
        <v>15.45439846743294</v>
      </c>
      <c r="U93" s="23" t="n">
        <v>15.50713560334527</v>
      </c>
      <c r="V93" s="38" t="n">
        <v>15.65768768210785</v>
      </c>
      <c r="W93" s="41" t="n">
        <v>109</v>
      </c>
      <c r="X93" s="24" t="n">
        <v>0.9083333333333333</v>
      </c>
    </row>
    <row r="94" ht="13.9" customHeight="1">
      <c r="A94" s="10" t="n">
        <v>26185040</v>
      </c>
      <c r="B94" s="21" t="inlineStr">
        <is>
          <t>CO</t>
        </is>
      </c>
      <c r="C94" s="21" t="inlineStr">
        <is>
          <t>San Felix</t>
        </is>
      </c>
      <c r="D94" s="21" t="inlineStr">
        <is>
          <t xml:space="preserve">Salamina </t>
        </is>
      </c>
      <c r="E94" s="21" t="inlineStr">
        <is>
          <t>Caldas</t>
        </is>
      </c>
      <c r="F94" s="21" t="n">
        <v>1</v>
      </c>
      <c r="G94" s="21" t="n">
        <v>2690</v>
      </c>
      <c r="H94" s="42" t="n">
        <v>-75.37533332999999</v>
      </c>
      <c r="I94" s="43" t="n">
        <v>5.372944439999999</v>
      </c>
      <c r="J94" s="44" t="n">
        <v>11.56469056726377</v>
      </c>
      <c r="K94" s="45" t="n">
        <v>11.78825968464871</v>
      </c>
      <c r="L94" s="45" t="n">
        <v>11.92554098282824</v>
      </c>
      <c r="M94" s="45" t="n">
        <v>12.09099769459997</v>
      </c>
      <c r="N94" s="45" t="n">
        <v>12.31798612621522</v>
      </c>
      <c r="O94" s="45" t="n">
        <v>12.28936297029206</v>
      </c>
      <c r="P94" s="45" t="n">
        <v>12.27282890638704</v>
      </c>
      <c r="Q94" s="45" t="n">
        <v>12.14719779443058</v>
      </c>
      <c r="R94" s="45" t="n">
        <v>11.9812939645779</v>
      </c>
      <c r="S94" s="45" t="n">
        <v>11.67379559621526</v>
      </c>
      <c r="T94" s="45" t="n">
        <v>11.49620645998837</v>
      </c>
      <c r="U94" s="45" t="n">
        <v>11.62930269593589</v>
      </c>
      <c r="V94" s="38" t="n">
        <v>11.93145528694858</v>
      </c>
      <c r="W94" s="41" t="n">
        <v>321</v>
      </c>
      <c r="X94" s="24" t="n">
        <v>0.8916666666666667</v>
      </c>
    </row>
    <row r="95" ht="13.9" customHeight="1">
      <c r="A95" s="10" t="n">
        <v>23055040</v>
      </c>
      <c r="B95" s="21" t="inlineStr">
        <is>
          <t>CO</t>
        </is>
      </c>
      <c r="C95" s="21" t="inlineStr">
        <is>
          <t>Samaná</t>
        </is>
      </c>
      <c r="D95" s="21" t="inlineStr">
        <is>
          <t>Samaná</t>
        </is>
      </c>
      <c r="E95" s="21" t="inlineStr">
        <is>
          <t>Caldas</t>
        </is>
      </c>
      <c r="F95" s="21" t="n">
        <v>10</v>
      </c>
      <c r="G95" s="21" t="n">
        <v>1532</v>
      </c>
      <c r="H95" s="42" t="n">
        <v>-74.99292778</v>
      </c>
      <c r="I95" s="43" t="n">
        <v>5.41828806</v>
      </c>
      <c r="J95" s="22" t="n">
        <v>19.28204475246547</v>
      </c>
      <c r="K95" s="23" t="n">
        <v>19.50319362386493</v>
      </c>
      <c r="L95" s="23" t="n">
        <v>19.55235326916246</v>
      </c>
      <c r="M95" s="23" t="n">
        <v>19.67816584564859</v>
      </c>
      <c r="N95" s="23" t="n">
        <v>19.8670859482644</v>
      </c>
      <c r="O95" s="23" t="n">
        <v>19.93008996673822</v>
      </c>
      <c r="P95" s="23" t="n">
        <v>20.22375647152527</v>
      </c>
      <c r="Q95" s="23" t="n">
        <v>20.50127550776581</v>
      </c>
      <c r="R95" s="23" t="n">
        <v>20.06610658768091</v>
      </c>
      <c r="S95" s="23" t="n">
        <v>19.30020530053967</v>
      </c>
      <c r="T95" s="23" t="n">
        <v>19.05686214426597</v>
      </c>
      <c r="U95" s="23" t="n">
        <v>19.19038216995954</v>
      </c>
      <c r="V95" s="38" t="n">
        <v>19.67929346565677</v>
      </c>
      <c r="W95" s="41" t="n">
        <v>297</v>
      </c>
      <c r="X95" s="24" t="n">
        <v>0.825</v>
      </c>
    </row>
    <row r="96" ht="13.9" customHeight="1">
      <c r="A96" s="10" t="n">
        <v>44045030</v>
      </c>
      <c r="B96" s="21" t="inlineStr">
        <is>
          <t>CO</t>
        </is>
      </c>
      <c r="C96" s="21" t="inlineStr">
        <is>
          <t>La Mono</t>
        </is>
      </c>
      <c r="D96" s="21" t="inlineStr">
        <is>
          <t>Belén de Los Andaquíes</t>
        </is>
      </c>
      <c r="E96" s="21" t="inlineStr">
        <is>
          <t>Caquetá</t>
        </is>
      </c>
      <c r="F96" s="21" t="n">
        <v>4</v>
      </c>
      <c r="G96" s="21" t="n">
        <v>300</v>
      </c>
      <c r="H96" s="42" t="n">
        <v>-75.80772222</v>
      </c>
      <c r="I96" s="43" t="n">
        <v>1.30336111</v>
      </c>
      <c r="J96" s="22" t="n">
        <v>26.11196444129682</v>
      </c>
      <c r="K96" s="23" t="n">
        <v>25.96997130080352</v>
      </c>
      <c r="L96" s="23" t="n">
        <v>25.37213281342313</v>
      </c>
      <c r="M96" s="23" t="n">
        <v>25.13739693962203</v>
      </c>
      <c r="N96" s="23" t="n">
        <v>24.97448945366419</v>
      </c>
      <c r="O96" s="23" t="n">
        <v>24.62230650286816</v>
      </c>
      <c r="P96" s="23" t="n">
        <v>24.43432993068467</v>
      </c>
      <c r="Q96" s="23" t="n">
        <v>24.92161476602455</v>
      </c>
      <c r="R96" s="23" t="n">
        <v>25.53360045441344</v>
      </c>
      <c r="S96" s="23" t="n">
        <v>25.75738450989438</v>
      </c>
      <c r="T96" s="23" t="n">
        <v>25.78811975655985</v>
      </c>
      <c r="U96" s="23" t="n">
        <v>25.94716450823348</v>
      </c>
      <c r="V96" s="38" t="n">
        <v>25.38087294812401</v>
      </c>
      <c r="W96" s="41" t="n">
        <v>306</v>
      </c>
      <c r="X96" s="24" t="n">
        <v>0.85</v>
      </c>
    </row>
    <row r="97" ht="13.9" customHeight="1">
      <c r="A97" s="10" t="n">
        <v>46035010</v>
      </c>
      <c r="B97" s="21" t="inlineStr">
        <is>
          <t>CO</t>
        </is>
      </c>
      <c r="C97" s="21" t="inlineStr">
        <is>
          <t>Maguare</t>
        </is>
      </c>
      <c r="D97" s="21" t="inlineStr">
        <is>
          <t>El Doncello</t>
        </is>
      </c>
      <c r="E97" s="21" t="inlineStr">
        <is>
          <t>Caquetá</t>
        </is>
      </c>
      <c r="F97" s="21" t="n">
        <v>4</v>
      </c>
      <c r="G97" s="21" t="n">
        <v>270</v>
      </c>
      <c r="H97" s="42" t="n">
        <v>-75.16266666999999</v>
      </c>
      <c r="I97" s="43" t="n">
        <v>1.64022222</v>
      </c>
      <c r="J97" s="22" t="n">
        <v>26.92670079198417</v>
      </c>
      <c r="K97" s="23" t="n">
        <v>26.81148206991612</v>
      </c>
      <c r="L97" s="23" t="n">
        <v>25.88438555986045</v>
      </c>
      <c r="M97" s="23" t="n">
        <v>25.5731389716861</v>
      </c>
      <c r="N97" s="23" t="n">
        <v>25.25006437687582</v>
      </c>
      <c r="O97" s="23" t="n">
        <v>24.64556904540833</v>
      </c>
      <c r="P97" s="23" t="n">
        <v>24.55303810176996</v>
      </c>
      <c r="Q97" s="23" t="n">
        <v>25.10211312294577</v>
      </c>
      <c r="R97" s="23" t="n">
        <v>25.80088112184538</v>
      </c>
      <c r="S97" s="23" t="n">
        <v>25.91104333033211</v>
      </c>
      <c r="T97" s="23" t="n">
        <v>26.11204199634845</v>
      </c>
      <c r="U97" s="23" t="n">
        <v>26.51782554216802</v>
      </c>
      <c r="V97" s="38" t="n">
        <v>25.75735700259506</v>
      </c>
      <c r="W97" s="41" t="n">
        <v>338</v>
      </c>
      <c r="X97" s="24" t="n">
        <v>0.9388888888888889</v>
      </c>
    </row>
    <row r="98" ht="13.9" customHeight="1">
      <c r="A98" s="10" t="n">
        <v>44035020</v>
      </c>
      <c r="B98" s="21" t="inlineStr">
        <is>
          <t>CO</t>
        </is>
      </c>
      <c r="C98" s="21" t="inlineStr">
        <is>
          <t>Aeropuerto Gustavo Artunduaga</t>
        </is>
      </c>
      <c r="D98" s="21" t="inlineStr">
        <is>
          <t xml:space="preserve">Florencia </t>
        </is>
      </c>
      <c r="E98" s="21" t="inlineStr">
        <is>
          <t>Caquetá</t>
        </is>
      </c>
      <c r="F98" s="21" t="n">
        <v>4</v>
      </c>
      <c r="G98" s="21" t="n">
        <v>244</v>
      </c>
      <c r="H98" s="42" t="n">
        <v>-75.55955556000001</v>
      </c>
      <c r="I98" s="43" t="n">
        <v>1.58905556</v>
      </c>
      <c r="J98" s="22" t="n">
        <v>27.20052678461077</v>
      </c>
      <c r="K98" s="23" t="n">
        <v>26.91204611735646</v>
      </c>
      <c r="L98" s="23" t="n">
        <v>26.21541675599292</v>
      </c>
      <c r="M98" s="23" t="n">
        <v>25.90836431057153</v>
      </c>
      <c r="N98" s="23" t="n">
        <v>25.71549844081267</v>
      </c>
      <c r="O98" s="23" t="n">
        <v>25.13484256510836</v>
      </c>
      <c r="P98" s="23" t="n">
        <v>25.00175205659016</v>
      </c>
      <c r="Q98" s="23" t="n">
        <v>25.57833861821776</v>
      </c>
      <c r="R98" s="23" t="n">
        <v>26.04996050785633</v>
      </c>
      <c r="S98" s="23" t="n">
        <v>26.3126968176222</v>
      </c>
      <c r="T98" s="23" t="n">
        <v>26.40890124299622</v>
      </c>
      <c r="U98" s="23" t="n">
        <v>26.72362422643324</v>
      </c>
      <c r="V98" s="38" t="n">
        <v>26.09683070368072</v>
      </c>
      <c r="W98" s="41" t="n">
        <v>301</v>
      </c>
      <c r="X98" s="24" t="n">
        <v>0.8361111111111111</v>
      </c>
    </row>
    <row r="99" ht="13.9" customHeight="1">
      <c r="A99" s="10" t="n">
        <v>44035030</v>
      </c>
      <c r="B99" s="35" t="inlineStr">
        <is>
          <t>AM</t>
        </is>
      </c>
      <c r="C99" s="35" t="inlineStr">
        <is>
          <t>Macagual</t>
        </is>
      </c>
      <c r="D99" s="21" t="inlineStr">
        <is>
          <t xml:space="preserve">Florencia </t>
        </is>
      </c>
      <c r="E99" s="35" t="inlineStr">
        <is>
          <t>Caquetá</t>
        </is>
      </c>
      <c r="F99" s="35" t="n">
        <v>4</v>
      </c>
      <c r="G99" s="35" t="n">
        <v>280</v>
      </c>
      <c r="H99" s="36" t="n">
        <v>-75.66</v>
      </c>
      <c r="I99" s="37" t="n">
        <v>1.5</v>
      </c>
      <c r="J99" s="22" t="n">
        <v>26.11101062567723</v>
      </c>
      <c r="K99" s="23" t="n">
        <v>25.98870795588633</v>
      </c>
      <c r="L99" s="23" t="n">
        <v>25.48430214599024</v>
      </c>
      <c r="M99" s="23" t="n">
        <v>25.23221895186302</v>
      </c>
      <c r="N99" s="23" t="n">
        <v>25.11449465217784</v>
      </c>
      <c r="O99" s="23" t="n">
        <v>24.47890214480525</v>
      </c>
      <c r="P99" s="23" t="n">
        <v>24.20591154528907</v>
      </c>
      <c r="Q99" s="23" t="n">
        <v>24.78923390779443</v>
      </c>
      <c r="R99" s="23" t="n">
        <v>25.24567286547972</v>
      </c>
      <c r="S99" s="23" t="n">
        <v>25.60031010449084</v>
      </c>
      <c r="T99" s="23" t="n">
        <v>25.82266133066851</v>
      </c>
      <c r="U99" s="23" t="n">
        <v>25.92031251417301</v>
      </c>
      <c r="V99" s="38" t="n">
        <v>25.33281156202463</v>
      </c>
      <c r="W99" s="41" t="n">
        <v>320</v>
      </c>
      <c r="X99" s="24" t="n">
        <v>0.8888888888888888</v>
      </c>
    </row>
    <row r="100" ht="13.9" customHeight="1">
      <c r="A100" s="10" t="n">
        <v>44045010</v>
      </c>
      <c r="B100" s="21" t="inlineStr">
        <is>
          <t>CO</t>
        </is>
      </c>
      <c r="C100" s="21" t="inlineStr">
        <is>
          <t>San José del Fragüa</t>
        </is>
      </c>
      <c r="D100" s="21" t="inlineStr">
        <is>
          <t>San José del Fragua</t>
        </is>
      </c>
      <c r="E100" s="21" t="inlineStr">
        <is>
          <t>Caquetá</t>
        </is>
      </c>
      <c r="F100" s="21" t="n">
        <v>4</v>
      </c>
      <c r="G100" s="21" t="n">
        <v>320</v>
      </c>
      <c r="H100" s="42" t="n">
        <v>-75.9615</v>
      </c>
      <c r="I100" s="43" t="n">
        <v>1.32513889</v>
      </c>
      <c r="J100" s="22" t="n">
        <v>26.13663197443134</v>
      </c>
      <c r="K100" s="23" t="n">
        <v>26.01718532389439</v>
      </c>
      <c r="L100" s="23" t="n">
        <v>25.37044851984604</v>
      </c>
      <c r="M100" s="23" t="n">
        <v>25.18118449952155</v>
      </c>
      <c r="N100" s="23" t="n">
        <v>24.9385783270838</v>
      </c>
      <c r="O100" s="23" t="n">
        <v>24.36162960446188</v>
      </c>
      <c r="P100" s="23" t="n">
        <v>24.17462990609177</v>
      </c>
      <c r="Q100" s="23" t="n">
        <v>24.75985436007766</v>
      </c>
      <c r="R100" s="23" t="n">
        <v>25.57783376292731</v>
      </c>
      <c r="S100" s="23" t="n">
        <v>25.64900110034679</v>
      </c>
      <c r="T100" s="23" t="n">
        <v>25.64875848070062</v>
      </c>
      <c r="U100" s="23" t="n">
        <v>25.77348541492497</v>
      </c>
      <c r="V100" s="38" t="n">
        <v>25.29910177285901</v>
      </c>
      <c r="W100" s="41" t="n">
        <v>333</v>
      </c>
      <c r="X100" s="24" t="n">
        <v>0.925</v>
      </c>
    </row>
    <row r="101" ht="13.9" customHeight="1">
      <c r="A101" s="10" t="n">
        <v>46015020</v>
      </c>
      <c r="B101" s="21" t="inlineStr">
        <is>
          <t>CO</t>
        </is>
      </c>
      <c r="C101" s="21" t="inlineStr">
        <is>
          <t>Santa Rosa Caguán</t>
        </is>
      </c>
      <c r="D101" s="21" t="inlineStr">
        <is>
          <t>San Vicente del Caguán</t>
        </is>
      </c>
      <c r="E101" s="21" t="inlineStr">
        <is>
          <t>Caquetá</t>
        </is>
      </c>
      <c r="F101" s="21" t="n">
        <v>4</v>
      </c>
      <c r="G101" s="21" t="n">
        <v>240</v>
      </c>
      <c r="H101" s="42" t="n">
        <v>-74.78505556</v>
      </c>
      <c r="I101" s="43" t="n">
        <v>1.73547222</v>
      </c>
      <c r="J101" s="44" t="n">
        <v>27.00393621834733</v>
      </c>
      <c r="K101" s="45" t="n">
        <v>27.05014773900138</v>
      </c>
      <c r="L101" s="45" t="n">
        <v>26.25226815430433</v>
      </c>
      <c r="M101" s="45" t="n">
        <v>25.8864521389929</v>
      </c>
      <c r="N101" s="45" t="n">
        <v>25.4760830133786</v>
      </c>
      <c r="O101" s="45" t="n">
        <v>24.82148181698628</v>
      </c>
      <c r="P101" s="45" t="n">
        <v>24.55337490518234</v>
      </c>
      <c r="Q101" s="45" t="n">
        <v>25.14764925134926</v>
      </c>
      <c r="R101" s="45" t="n">
        <v>25.80659594213656</v>
      </c>
      <c r="S101" s="45" t="n">
        <v>26.04526126471178</v>
      </c>
      <c r="T101" s="45" t="n">
        <v>26.32431390999638</v>
      </c>
      <c r="U101" s="45" t="n">
        <v>26.65638758717411</v>
      </c>
      <c r="V101" s="38" t="n">
        <v>25.91866266179677</v>
      </c>
      <c r="W101" s="41" t="n">
        <v>312</v>
      </c>
      <c r="X101" s="24" t="n">
        <v>0.8666666666666667</v>
      </c>
    </row>
    <row r="102" ht="13.9" customHeight="1">
      <c r="A102" s="10" t="n">
        <v>44055010</v>
      </c>
      <c r="B102" s="21" t="inlineStr">
        <is>
          <t>CP</t>
        </is>
      </c>
      <c r="C102" s="21" t="inlineStr">
        <is>
          <t>Tres Esquinas</t>
        </is>
      </c>
      <c r="D102" s="21" t="inlineStr">
        <is>
          <t>Solano</t>
        </is>
      </c>
      <c r="E102" s="21" t="inlineStr">
        <is>
          <t>Caquetá</t>
        </is>
      </c>
      <c r="F102" s="21" t="n">
        <v>11</v>
      </c>
      <c r="G102" s="21" t="n">
        <v>219</v>
      </c>
      <c r="H102" s="42" t="n">
        <v>-75.23611111</v>
      </c>
      <c r="I102" s="43" t="n">
        <v>0.7375</v>
      </c>
      <c r="J102" s="22" t="n">
        <v>26.94249874080004</v>
      </c>
      <c r="K102" s="23" t="n">
        <v>26.48031091569778</v>
      </c>
      <c r="L102" s="23" t="n">
        <v>25.91384348354418</v>
      </c>
      <c r="M102" s="23" t="n">
        <v>25.40784285515209</v>
      </c>
      <c r="N102" s="23" t="n">
        <v>25.16484057071959</v>
      </c>
      <c r="O102" s="23" t="n">
        <v>24.74501542530744</v>
      </c>
      <c r="P102" s="23" t="n">
        <v>24.75262201723671</v>
      </c>
      <c r="Q102" s="23" t="n">
        <v>25.06780625298692</v>
      </c>
      <c r="R102" s="23" t="n">
        <v>25.66202985049751</v>
      </c>
      <c r="S102" s="23" t="n">
        <v>25.92314134820808</v>
      </c>
      <c r="T102" s="23" t="n">
        <v>26.25103516913322</v>
      </c>
      <c r="U102" s="23" t="n">
        <v>26.32379192184676</v>
      </c>
      <c r="V102" s="38" t="n">
        <v>25.71956487926086</v>
      </c>
      <c r="W102" s="41" t="n">
        <v>109</v>
      </c>
      <c r="X102" s="24" t="n">
        <v>0.9083333333333333</v>
      </c>
    </row>
    <row r="103" ht="13.9" customHeight="1">
      <c r="A103" s="10" t="n">
        <v>44045020</v>
      </c>
      <c r="B103" s="21" t="inlineStr">
        <is>
          <t>CO</t>
        </is>
      </c>
      <c r="C103" s="21" t="inlineStr">
        <is>
          <t>Valparaiso</t>
        </is>
      </c>
      <c r="D103" s="21" t="inlineStr">
        <is>
          <t>Valparaíso</t>
        </is>
      </c>
      <c r="E103" s="21" t="inlineStr">
        <is>
          <t>Caquetá</t>
        </is>
      </c>
      <c r="F103" s="21" t="n">
        <v>4</v>
      </c>
      <c r="G103" s="21" t="n">
        <v>270</v>
      </c>
      <c r="H103" s="42" t="n">
        <v>-75.70447222000001</v>
      </c>
      <c r="I103" s="43" t="n">
        <v>1.19525</v>
      </c>
      <c r="J103" s="22" t="n">
        <v>26.98121360001825</v>
      </c>
      <c r="K103" s="23" t="n">
        <v>26.79471603903402</v>
      </c>
      <c r="L103" s="23" t="n">
        <v>26.20744740442922</v>
      </c>
      <c r="M103" s="23" t="n">
        <v>25.93200773534679</v>
      </c>
      <c r="N103" s="23" t="n">
        <v>25.71879969266127</v>
      </c>
      <c r="O103" s="23" t="n">
        <v>25.37990319757814</v>
      </c>
      <c r="P103" s="23" t="n">
        <v>25.17372245742158</v>
      </c>
      <c r="Q103" s="23" t="n">
        <v>25.77342848176564</v>
      </c>
      <c r="R103" s="23" t="n">
        <v>26.422429947394</v>
      </c>
      <c r="S103" s="23" t="n">
        <v>26.62117511996097</v>
      </c>
      <c r="T103" s="23" t="n">
        <v>26.77386767925558</v>
      </c>
      <c r="U103" s="23" t="n">
        <v>26.918513127325</v>
      </c>
      <c r="V103" s="38" t="n">
        <v>26.2247687068492</v>
      </c>
      <c r="W103" s="41" t="n">
        <v>313</v>
      </c>
      <c r="X103" s="24" t="n">
        <v>0.8694444444444445</v>
      </c>
    </row>
    <row r="104" ht="13.9" customHeight="1">
      <c r="A104" s="10" t="n">
        <v>35195030</v>
      </c>
      <c r="B104" s="21" t="inlineStr">
        <is>
          <t>CO</t>
        </is>
      </c>
      <c r="C104" s="21" t="inlineStr">
        <is>
          <t>Aguazul</t>
        </is>
      </c>
      <c r="D104" s="21" t="inlineStr">
        <is>
          <t>Aguazul</t>
        </is>
      </c>
      <c r="E104" s="21" t="inlineStr">
        <is>
          <t>Casanare</t>
        </is>
      </c>
      <c r="F104" s="21" t="n">
        <v>6</v>
      </c>
      <c r="G104" s="21" t="n">
        <v>380</v>
      </c>
      <c r="H104" s="42" t="n">
        <v>-72.54738889000001</v>
      </c>
      <c r="I104" s="43" t="n">
        <v>5.177083329999999</v>
      </c>
      <c r="J104" s="22" t="n">
        <v>28.54318637992828</v>
      </c>
      <c r="K104" s="23" t="n">
        <v>29.4591922094508</v>
      </c>
      <c r="L104" s="23" t="n">
        <v>28.8049741138988</v>
      </c>
      <c r="M104" s="23" t="n">
        <v>27.35863771817791</v>
      </c>
      <c r="N104" s="23" t="n">
        <v>26.99867908787538</v>
      </c>
      <c r="O104" s="23" t="n">
        <v>26.09122605363981</v>
      </c>
      <c r="P104" s="23" t="n">
        <v>25.84447997775302</v>
      </c>
      <c r="Q104" s="23" t="n">
        <v>26.54836320191155</v>
      </c>
      <c r="R104" s="23" t="n">
        <v>27.43545927890752</v>
      </c>
      <c r="S104" s="23" t="n">
        <v>27.48447580645158</v>
      </c>
      <c r="T104" s="23" t="n">
        <v>27.67194923371644</v>
      </c>
      <c r="U104" s="23" t="n">
        <v>28.15887096774189</v>
      </c>
      <c r="V104" s="38" t="n">
        <v>27.53329116912109</v>
      </c>
      <c r="W104" s="41" t="n">
        <v>104</v>
      </c>
      <c r="X104" s="24" t="n">
        <v>0.8666666666666667</v>
      </c>
    </row>
    <row r="105" ht="13.9" customHeight="1">
      <c r="A105" s="10" t="n">
        <v>35225030</v>
      </c>
      <c r="B105" s="21" t="inlineStr">
        <is>
          <t>CO</t>
        </is>
      </c>
      <c r="C105" s="21" t="inlineStr">
        <is>
          <t xml:space="preserve">Módulos - AUT </t>
        </is>
      </c>
      <c r="D105" s="21" t="inlineStr">
        <is>
          <t>Orocué</t>
        </is>
      </c>
      <c r="E105" s="21" t="inlineStr">
        <is>
          <t>Casanare</t>
        </is>
      </c>
      <c r="F105" s="21" t="n">
        <v>3</v>
      </c>
      <c r="G105" s="21" t="n">
        <v>130</v>
      </c>
      <c r="H105" s="42" t="n">
        <v>-71.43305556000001</v>
      </c>
      <c r="I105" s="43" t="n">
        <v>4.91047222</v>
      </c>
      <c r="J105" s="44" t="n">
        <v>27.75241700673331</v>
      </c>
      <c r="K105" s="45" t="n">
        <v>28.50405538330549</v>
      </c>
      <c r="L105" s="45" t="n">
        <v>28.43765099689018</v>
      </c>
      <c r="M105" s="45" t="n">
        <v>27.0382544458493</v>
      </c>
      <c r="N105" s="45" t="n">
        <v>26.36912361520639</v>
      </c>
      <c r="O105" s="45" t="n">
        <v>25.78700430330591</v>
      </c>
      <c r="P105" s="45" t="n">
        <v>25.66244291365353</v>
      </c>
      <c r="Q105" s="45" t="n">
        <v>26.11725216497783</v>
      </c>
      <c r="R105" s="45" t="n">
        <v>26.74394091788727</v>
      </c>
      <c r="S105" s="45" t="n">
        <v>26.93452682858913</v>
      </c>
      <c r="T105" s="45" t="n">
        <v>27.19456848623917</v>
      </c>
      <c r="U105" s="45" t="n">
        <v>27.26561576913795</v>
      </c>
      <c r="V105" s="38" t="n">
        <v>26.98390440264795</v>
      </c>
      <c r="W105" s="41" t="n">
        <v>311</v>
      </c>
      <c r="X105" s="24" t="n">
        <v>0.8638888888888889</v>
      </c>
    </row>
    <row r="106" ht="13.9" customHeight="1">
      <c r="A106" s="10" t="n">
        <v>36015010</v>
      </c>
      <c r="B106" s="21" t="inlineStr">
        <is>
          <t>CP</t>
        </is>
      </c>
      <c r="C106" s="21" t="inlineStr">
        <is>
          <t>Paz de Ariporo</t>
        </is>
      </c>
      <c r="D106" s="21" t="inlineStr">
        <is>
          <t>Paz de Ariporo</t>
        </is>
      </c>
      <c r="E106" s="21" t="inlineStr">
        <is>
          <t>Casanare</t>
        </is>
      </c>
      <c r="F106" s="21" t="n">
        <v>6</v>
      </c>
      <c r="G106" s="21" t="n">
        <v>342</v>
      </c>
      <c r="H106" s="42" t="n">
        <v>-71.88719444</v>
      </c>
      <c r="I106" s="43" t="n">
        <v>5.87852778</v>
      </c>
      <c r="J106" s="22" t="n">
        <v>28.04063519597443</v>
      </c>
      <c r="K106" s="23" t="n">
        <v>28.92453524280796</v>
      </c>
      <c r="L106" s="23" t="n">
        <v>28.89335529958442</v>
      </c>
      <c r="M106" s="23" t="n">
        <v>27.52138245828243</v>
      </c>
      <c r="N106" s="23" t="n">
        <v>26.48533119210535</v>
      </c>
      <c r="O106" s="23" t="n">
        <v>25.93753499361427</v>
      </c>
      <c r="P106" s="23" t="n">
        <v>25.70804901932819</v>
      </c>
      <c r="Q106" s="23" t="n">
        <v>26.10197057710959</v>
      </c>
      <c r="R106" s="23" t="n">
        <v>26.74852872744536</v>
      </c>
      <c r="S106" s="23" t="n">
        <v>27.08701552597141</v>
      </c>
      <c r="T106" s="23" t="n">
        <v>27.13195635366004</v>
      </c>
      <c r="U106" s="23" t="n">
        <v>27.45098494623653</v>
      </c>
      <c r="V106" s="38" t="n">
        <v>27.16927329434333</v>
      </c>
      <c r="W106" s="41" t="n">
        <v>117</v>
      </c>
      <c r="X106" s="24" t="n">
        <v>0.975</v>
      </c>
    </row>
    <row r="107" ht="13.9" customHeight="1">
      <c r="A107" s="10" t="n">
        <v>35235050</v>
      </c>
      <c r="B107" s="21" t="inlineStr">
        <is>
          <t>CO</t>
        </is>
      </c>
      <c r="C107" s="21" t="inlineStr">
        <is>
          <t xml:space="preserve">Tamara - AUT </t>
        </is>
      </c>
      <c r="D107" s="21" t="inlineStr">
        <is>
          <t>Támara</t>
        </is>
      </c>
      <c r="E107" s="21" t="inlineStr">
        <is>
          <t>Casanare</t>
        </is>
      </c>
      <c r="F107" s="21" t="n">
        <v>6</v>
      </c>
      <c r="G107" s="21" t="n">
        <v>1017</v>
      </c>
      <c r="H107" s="42" t="n">
        <v>-72.16677778</v>
      </c>
      <c r="I107" s="43" t="n">
        <v>5.81858333</v>
      </c>
      <c r="J107" s="22" t="n">
        <v>23.16448118279566</v>
      </c>
      <c r="K107" s="23" t="n">
        <v>23.85461579395484</v>
      </c>
      <c r="L107" s="23" t="n">
        <v>23.83396415770605</v>
      </c>
      <c r="M107" s="23" t="n">
        <v>22.95226190476187</v>
      </c>
      <c r="N107" s="23" t="n">
        <v>22.62215053763437</v>
      </c>
      <c r="O107" s="23" t="n">
        <v>21.95166666666663</v>
      </c>
      <c r="P107" s="23" t="n">
        <v>21.72844086021501</v>
      </c>
      <c r="Q107" s="23" t="n">
        <v>22.0977150537634</v>
      </c>
      <c r="R107" s="23" t="n">
        <v>22.72716049382712</v>
      </c>
      <c r="S107" s="23" t="n">
        <v>22.61409796893664</v>
      </c>
      <c r="T107" s="23" t="n">
        <v>22.76637931034479</v>
      </c>
      <c r="U107" s="23" t="n">
        <v>22.97690860215049</v>
      </c>
      <c r="V107" s="38" t="n">
        <v>22.77415354439641</v>
      </c>
      <c r="W107" s="41" t="n">
        <v>112</v>
      </c>
      <c r="X107" s="24" t="n">
        <v>0.9333333333333333</v>
      </c>
    </row>
    <row r="108" ht="13.9" customHeight="1">
      <c r="A108" s="10" t="n">
        <v>35235040</v>
      </c>
      <c r="B108" s="21" t="inlineStr">
        <is>
          <t>CO</t>
        </is>
      </c>
      <c r="C108" s="21" t="inlineStr">
        <is>
          <t xml:space="preserve">Trinidad - AUT </t>
        </is>
      </c>
      <c r="D108" s="21" t="inlineStr">
        <is>
          <t>Trinidad</t>
        </is>
      </c>
      <c r="E108" s="21" t="inlineStr">
        <is>
          <t>Casanare</t>
        </is>
      </c>
      <c r="F108" s="21" t="n">
        <v>6</v>
      </c>
      <c r="G108" s="21" t="n">
        <v>265</v>
      </c>
      <c r="H108" s="42" t="n">
        <v>-71.66616667</v>
      </c>
      <c r="I108" s="43" t="n">
        <v>5.41902778</v>
      </c>
      <c r="J108" s="22" t="n">
        <v>27.50485928809788</v>
      </c>
      <c r="K108" s="23" t="n">
        <v>28.31637729580976</v>
      </c>
      <c r="L108" s="23" t="n">
        <v>28.30104454685099</v>
      </c>
      <c r="M108" s="23" t="n">
        <v>27.22143039591315</v>
      </c>
      <c r="N108" s="23" t="n">
        <v>26.55119474313022</v>
      </c>
      <c r="O108" s="23" t="n">
        <v>26.01518518518518</v>
      </c>
      <c r="P108" s="23" t="n">
        <v>25.75327956989246</v>
      </c>
      <c r="Q108" s="23" t="n">
        <v>26.06477419354838</v>
      </c>
      <c r="R108" s="23" t="n">
        <v>26.77615517241379</v>
      </c>
      <c r="S108" s="23" t="n">
        <v>26.967688172043</v>
      </c>
      <c r="T108" s="23" t="n">
        <v>27.01483935413245</v>
      </c>
      <c r="U108" s="23" t="n">
        <v>27.05598998887652</v>
      </c>
      <c r="V108" s="38" t="n">
        <v>26.96190149215782</v>
      </c>
      <c r="W108" s="41" t="n">
        <v>115</v>
      </c>
      <c r="X108" s="24" t="n">
        <v>0.9583333333333334</v>
      </c>
    </row>
    <row r="109" ht="13.9" customHeight="1">
      <c r="A109" s="10" t="n">
        <v>35095110</v>
      </c>
      <c r="B109" s="21" t="inlineStr">
        <is>
          <t>CP</t>
        </is>
      </c>
      <c r="C109" s="21" t="inlineStr">
        <is>
          <t>La Huerta Grande</t>
        </is>
      </c>
      <c r="D109" s="21" t="inlineStr">
        <is>
          <t xml:space="preserve">Villanueva </t>
        </is>
      </c>
      <c r="E109" s="21" t="inlineStr">
        <is>
          <t>Casanare</t>
        </is>
      </c>
      <c r="F109" s="21" t="n">
        <v>3</v>
      </c>
      <c r="G109" s="21" t="n">
        <v>352</v>
      </c>
      <c r="H109" s="42" t="n">
        <v>-72.91547</v>
      </c>
      <c r="I109" s="43" t="n">
        <v>4.65147</v>
      </c>
      <c r="J109" s="22" t="n">
        <v>27.09698116909535</v>
      </c>
      <c r="K109" s="23" t="n">
        <v>27.69093497232957</v>
      </c>
      <c r="L109" s="23" t="n">
        <v>27.12166137666278</v>
      </c>
      <c r="M109" s="23" t="n">
        <v>25.81891088901519</v>
      </c>
      <c r="N109" s="23" t="n">
        <v>25.1471003936648</v>
      </c>
      <c r="O109" s="23" t="n">
        <v>24.53291288518133</v>
      </c>
      <c r="P109" s="23" t="n">
        <v>24.32239768663201</v>
      </c>
      <c r="Q109" s="23" t="n">
        <v>24.8597341342183</v>
      </c>
      <c r="R109" s="23" t="n">
        <v>25.43385565880656</v>
      </c>
      <c r="S109" s="23" t="n">
        <v>25.72848061100953</v>
      </c>
      <c r="T109" s="23" t="n">
        <v>26.02325597767228</v>
      </c>
      <c r="U109" s="23" t="n">
        <v>26.47162583368537</v>
      </c>
      <c r="V109" s="38" t="n">
        <v>25.85398763233109</v>
      </c>
      <c r="W109" s="41" t="n">
        <v>286</v>
      </c>
      <c r="X109" s="24" t="n">
        <v>0.7944444444444444</v>
      </c>
    </row>
    <row r="110" ht="13.9" customHeight="1">
      <c r="A110" s="10" t="n">
        <v>35215020</v>
      </c>
      <c r="B110" s="21" t="inlineStr">
        <is>
          <t>CP</t>
        </is>
      </c>
      <c r="C110" s="21" t="inlineStr">
        <is>
          <t xml:space="preserve">Aeropuerto Yopal - AUT </t>
        </is>
      </c>
      <c r="D110" s="21" t="inlineStr">
        <is>
          <t>Yopal</t>
        </is>
      </c>
      <c r="E110" s="21" t="inlineStr">
        <is>
          <t>Casanare</t>
        </is>
      </c>
      <c r="F110" s="21" t="n">
        <v>6</v>
      </c>
      <c r="G110" s="21" t="n">
        <v>325</v>
      </c>
      <c r="H110" s="42" t="n">
        <v>-72.3875</v>
      </c>
      <c r="I110" s="43" t="n">
        <v>5.32044444</v>
      </c>
      <c r="J110" s="22" t="n">
        <v>28.17413669509328</v>
      </c>
      <c r="K110" s="23" t="n">
        <v>29.08651232813587</v>
      </c>
      <c r="L110" s="23" t="n">
        <v>28.71462619333862</v>
      </c>
      <c r="M110" s="23" t="n">
        <v>26.9061461059162</v>
      </c>
      <c r="N110" s="23" t="n">
        <v>25.94163620071682</v>
      </c>
      <c r="O110" s="23" t="n">
        <v>25.324646189868</v>
      </c>
      <c r="P110" s="23" t="n">
        <v>25.36883960573475</v>
      </c>
      <c r="Q110" s="23" t="n">
        <v>25.72630645161288</v>
      </c>
      <c r="R110" s="23" t="n">
        <v>26.39198997936926</v>
      </c>
      <c r="S110" s="23" t="n">
        <v>26.59831004118276</v>
      </c>
      <c r="T110" s="23" t="n">
        <v>27.03231905872458</v>
      </c>
      <c r="U110" s="23" t="n">
        <v>27.40048854007881</v>
      </c>
      <c r="V110" s="38" t="n">
        <v>26.88882978248099</v>
      </c>
      <c r="W110" s="41" t="n">
        <v>116</v>
      </c>
      <c r="X110" s="24" t="n">
        <v>0.9666666666666667</v>
      </c>
    </row>
    <row r="111" ht="13.9" customHeight="1">
      <c r="A111" s="10" t="n">
        <v>52025010</v>
      </c>
      <c r="B111" s="21" t="inlineStr">
        <is>
          <t>CO</t>
        </is>
      </c>
      <c r="C111" s="21" t="inlineStr">
        <is>
          <t>Bolívar</t>
        </is>
      </c>
      <c r="D111" s="21" t="inlineStr">
        <is>
          <t xml:space="preserve">Bolívar </t>
        </is>
      </c>
      <c r="E111" s="21" t="inlineStr">
        <is>
          <t>Cauca</t>
        </is>
      </c>
      <c r="F111" s="21" t="n">
        <v>7</v>
      </c>
      <c r="G111" s="21" t="n">
        <v>1510</v>
      </c>
      <c r="H111" s="42" t="n">
        <v>-77.00402778</v>
      </c>
      <c r="I111" s="43" t="n">
        <v>1.82994444</v>
      </c>
      <c r="J111" s="22" t="n">
        <v>21.35698873456636</v>
      </c>
      <c r="K111" s="23" t="n">
        <v>21.56143220663054</v>
      </c>
      <c r="L111" s="23" t="n">
        <v>21.61464529635336</v>
      </c>
      <c r="M111" s="23" t="n">
        <v>21.64427552649692</v>
      </c>
      <c r="N111" s="23" t="n">
        <v>21.64218227496682</v>
      </c>
      <c r="O111" s="23" t="n">
        <v>22.0878040458709</v>
      </c>
      <c r="P111" s="23" t="n">
        <v>22.61852705223384</v>
      </c>
      <c r="Q111" s="23" t="n">
        <v>23.22307046141277</v>
      </c>
      <c r="R111" s="23" t="n">
        <v>23.00172303013079</v>
      </c>
      <c r="S111" s="23" t="n">
        <v>21.78113824467529</v>
      </c>
      <c r="T111" s="23" t="n">
        <v>20.97365287802235</v>
      </c>
      <c r="U111" s="23" t="n">
        <v>21.01971085659873</v>
      </c>
      <c r="V111" s="38" t="n">
        <v>21.87709588399656</v>
      </c>
      <c r="W111" s="41" t="n">
        <v>285</v>
      </c>
      <c r="X111" s="24" t="n">
        <v>0.7916666666666666</v>
      </c>
    </row>
    <row r="112" ht="13.9" customHeight="1">
      <c r="A112" s="10" t="n">
        <v>52025020</v>
      </c>
      <c r="B112" s="21" t="inlineStr">
        <is>
          <t>CO</t>
        </is>
      </c>
      <c r="C112" s="21" t="inlineStr">
        <is>
          <t xml:space="preserve">Los Milagros </t>
        </is>
      </c>
      <c r="D112" s="21" t="inlineStr">
        <is>
          <t xml:space="preserve">Bolívar </t>
        </is>
      </c>
      <c r="E112" s="21" t="inlineStr">
        <is>
          <t>Cauca</t>
        </is>
      </c>
      <c r="F112" s="21" t="n">
        <v>7</v>
      </c>
      <c r="G112" s="21" t="n">
        <v>2300</v>
      </c>
      <c r="H112" s="42" t="n">
        <v>-76.89166666999999</v>
      </c>
      <c r="I112" s="43" t="n">
        <v>1.75333333</v>
      </c>
      <c r="J112" s="22" t="n">
        <v>16.30892893118785</v>
      </c>
      <c r="K112" s="23" t="n">
        <v>16.29353504699644</v>
      </c>
      <c r="L112" s="23" t="n">
        <v>16.37032609956048</v>
      </c>
      <c r="M112" s="23" t="n">
        <v>16.65200417775806</v>
      </c>
      <c r="N112" s="23" t="n">
        <v>16.74148093261219</v>
      </c>
      <c r="O112" s="23" t="n">
        <v>16.85609237167685</v>
      </c>
      <c r="P112" s="23" t="n">
        <v>16.79289699890395</v>
      </c>
      <c r="Q112" s="23" t="n">
        <v>17.0180397596215</v>
      </c>
      <c r="R112" s="23" t="n">
        <v>17.16027750807135</v>
      </c>
      <c r="S112" s="23" t="n">
        <v>16.55177959187796</v>
      </c>
      <c r="T112" s="23" t="n">
        <v>15.95360912603949</v>
      </c>
      <c r="U112" s="23" t="n">
        <v>16.07116402744499</v>
      </c>
      <c r="V112" s="38" t="n">
        <v>16.56417788097925</v>
      </c>
      <c r="W112" s="41" t="n">
        <v>331</v>
      </c>
      <c r="X112" s="24" t="n">
        <v>0.9194444444444444</v>
      </c>
    </row>
    <row r="113" ht="13.9" customHeight="1">
      <c r="A113" s="10" t="n">
        <v>26025090</v>
      </c>
      <c r="B113" s="21" t="inlineStr">
        <is>
          <t>CO</t>
        </is>
      </c>
      <c r="C113" s="21" t="inlineStr">
        <is>
          <t>Venta de Cajibío</t>
        </is>
      </c>
      <c r="D113" s="21" t="inlineStr">
        <is>
          <t>Cajibío</t>
        </is>
      </c>
      <c r="E113" s="21" t="inlineStr">
        <is>
          <t>Cauca</t>
        </is>
      </c>
      <c r="F113" s="21" t="n">
        <v>9</v>
      </c>
      <c r="G113" s="21" t="n">
        <v>1850</v>
      </c>
      <c r="H113" s="42" t="n">
        <v>-76.56183333</v>
      </c>
      <c r="I113" s="43" t="n">
        <v>2.58475</v>
      </c>
      <c r="J113" s="22" t="n">
        <v>18.3827334795044</v>
      </c>
      <c r="K113" s="23" t="n">
        <v>18.46773637789016</v>
      </c>
      <c r="L113" s="23" t="n">
        <v>18.37780974603317</v>
      </c>
      <c r="M113" s="23" t="n">
        <v>18.43832873280108</v>
      </c>
      <c r="N113" s="23" t="n">
        <v>18.49131645888039</v>
      </c>
      <c r="O113" s="23" t="n">
        <v>18.74991213146741</v>
      </c>
      <c r="P113" s="23" t="n">
        <v>18.92892602225192</v>
      </c>
      <c r="Q113" s="23" t="n">
        <v>19.27753501501529</v>
      </c>
      <c r="R113" s="23" t="n">
        <v>18.83550959983776</v>
      </c>
      <c r="S113" s="23" t="n">
        <v>18.15503279216766</v>
      </c>
      <c r="T113" s="23" t="n">
        <v>17.9451177669712</v>
      </c>
      <c r="U113" s="23" t="n">
        <v>18.12495348230825</v>
      </c>
      <c r="V113" s="38" t="n">
        <v>18.51457596709406</v>
      </c>
      <c r="W113" s="41" t="n">
        <v>338</v>
      </c>
      <c r="X113" s="24" t="n">
        <v>0.9388888888888889</v>
      </c>
    </row>
    <row r="114" ht="13.9" customHeight="1">
      <c r="A114" s="10" t="n">
        <v>53045040</v>
      </c>
      <c r="B114" s="21" t="inlineStr">
        <is>
          <t>CP</t>
        </is>
      </c>
      <c r="C114" s="21" t="inlineStr">
        <is>
          <t xml:space="preserve">Aeropuerto Guapi - AUT </t>
        </is>
      </c>
      <c r="D114" s="21" t="inlineStr">
        <is>
          <t>Guapi</t>
        </is>
      </c>
      <c r="E114" s="21" t="inlineStr">
        <is>
          <t>Cauca</t>
        </is>
      </c>
      <c r="F114" s="21" t="n">
        <v>7</v>
      </c>
      <c r="G114" s="21" t="n">
        <v>42</v>
      </c>
      <c r="H114" s="42" t="n">
        <v>-77.89475</v>
      </c>
      <c r="I114" s="43" t="n">
        <v>2.57441667</v>
      </c>
      <c r="J114" s="22" t="n">
        <v>25.72564998146087</v>
      </c>
      <c r="K114" s="23" t="n">
        <v>26.01622833424557</v>
      </c>
      <c r="L114" s="23" t="n">
        <v>26.21929022988504</v>
      </c>
      <c r="M114" s="23" t="n">
        <v>26.4504411340575</v>
      </c>
      <c r="N114" s="23" t="n">
        <v>26.23072431302269</v>
      </c>
      <c r="O114" s="23" t="n">
        <v>25.90278769841269</v>
      </c>
      <c r="P114" s="23" t="n">
        <v>25.86194009216588</v>
      </c>
      <c r="Q114" s="23" t="n">
        <v>25.99254320276497</v>
      </c>
      <c r="R114" s="23" t="n">
        <v>25.8451271551724</v>
      </c>
      <c r="S114" s="23" t="n">
        <v>25.81759955506117</v>
      </c>
      <c r="T114" s="23" t="n">
        <v>25.70434546615579</v>
      </c>
      <c r="U114" s="23" t="n">
        <v>25.65744160177974</v>
      </c>
      <c r="V114" s="38" t="n">
        <v>25.95200989701536</v>
      </c>
      <c r="W114" s="41" t="n">
        <v>118</v>
      </c>
      <c r="X114" s="24" t="n">
        <v>0.9833333333333333</v>
      </c>
    </row>
    <row r="115" ht="13.9" customHeight="1">
      <c r="A115" s="10" t="n">
        <v>21055030</v>
      </c>
      <c r="B115" s="21" t="inlineStr">
        <is>
          <t>CO</t>
        </is>
      </c>
      <c r="C115" s="21" t="inlineStr">
        <is>
          <t>Santa Leticia</t>
        </is>
      </c>
      <c r="D115" s="21" t="inlineStr">
        <is>
          <t>Inzá</t>
        </is>
      </c>
      <c r="E115" s="21" t="inlineStr">
        <is>
          <t>Cauca</t>
        </is>
      </c>
      <c r="F115" s="21" t="n">
        <v>4</v>
      </c>
      <c r="G115" s="21" t="n">
        <v>2085</v>
      </c>
      <c r="H115" s="42" t="n">
        <v>-76.16</v>
      </c>
      <c r="I115" s="43" t="n">
        <v>2.24</v>
      </c>
      <c r="J115" s="22" t="n">
        <v>16.15509329267476</v>
      </c>
      <c r="K115" s="23" t="n">
        <v>16.2645184638043</v>
      </c>
      <c r="L115" s="23" t="n">
        <v>16.07134129096632</v>
      </c>
      <c r="M115" s="23" t="n">
        <v>16.00376049208438</v>
      </c>
      <c r="N115" s="23" t="n">
        <v>16.06601602800479</v>
      </c>
      <c r="O115" s="23" t="n">
        <v>15.62306062901883</v>
      </c>
      <c r="P115" s="23" t="n">
        <v>15.18104369196679</v>
      </c>
      <c r="Q115" s="23" t="n">
        <v>15.19681653161025</v>
      </c>
      <c r="R115" s="23" t="n">
        <v>15.70187767256581</v>
      </c>
      <c r="S115" s="23" t="n">
        <v>15.83718953992389</v>
      </c>
      <c r="T115" s="23" t="n">
        <v>15.94978998602594</v>
      </c>
      <c r="U115" s="23" t="n">
        <v>16.00311209947986</v>
      </c>
      <c r="V115" s="38" t="n">
        <v>15.83780164317716</v>
      </c>
      <c r="W115" s="41" t="n">
        <v>300</v>
      </c>
      <c r="X115" s="24" t="n">
        <v>0.8333333333333334</v>
      </c>
    </row>
    <row r="116" ht="13.9" customHeight="1">
      <c r="A116" s="10" t="n">
        <v>52025090</v>
      </c>
      <c r="B116" s="21" t="inlineStr">
        <is>
          <t>CP</t>
        </is>
      </c>
      <c r="C116" s="21" t="inlineStr">
        <is>
          <t>La Sierra</t>
        </is>
      </c>
      <c r="D116" s="21" t="inlineStr">
        <is>
          <t>La Sierra</t>
        </is>
      </c>
      <c r="E116" s="21" t="inlineStr">
        <is>
          <t>Cauca</t>
        </is>
      </c>
      <c r="F116" s="21" t="n">
        <v>7</v>
      </c>
      <c r="G116" s="21" t="n">
        <v>1870</v>
      </c>
      <c r="H116" s="42" t="n">
        <v>-76.75033332999999</v>
      </c>
      <c r="I116" s="43" t="n">
        <v>2.19383333</v>
      </c>
      <c r="J116" s="44" t="n">
        <v>17.67484733070057</v>
      </c>
      <c r="K116" s="45" t="n">
        <v>17.86408538300141</v>
      </c>
      <c r="L116" s="45" t="n">
        <v>17.9948731326893</v>
      </c>
      <c r="M116" s="45" t="n">
        <v>18.06102882319467</v>
      </c>
      <c r="N116" s="45" t="n">
        <v>18.16632232805564</v>
      </c>
      <c r="O116" s="45" t="n">
        <v>18.28823661691623</v>
      </c>
      <c r="P116" s="45" t="n">
        <v>18.52350404535784</v>
      </c>
      <c r="Q116" s="45" t="n">
        <v>18.97499906710982</v>
      </c>
      <c r="R116" s="45" t="n">
        <v>18.87171766342611</v>
      </c>
      <c r="S116" s="45" t="n">
        <v>18.07603789174123</v>
      </c>
      <c r="T116" s="45" t="n">
        <v>17.33048586593459</v>
      </c>
      <c r="U116" s="45" t="n">
        <v>17.43355690248125</v>
      </c>
      <c r="V116" s="38" t="n">
        <v>18.10497458755072</v>
      </c>
      <c r="W116" s="41" t="n">
        <v>313</v>
      </c>
      <c r="X116" s="24" t="n">
        <v>0.8694444444444445</v>
      </c>
    </row>
    <row r="117" ht="13.9" customHeight="1">
      <c r="A117" s="10" t="n">
        <v>52025060</v>
      </c>
      <c r="B117" s="35" t="inlineStr">
        <is>
          <t>CP</t>
        </is>
      </c>
      <c r="C117" s="35" t="inlineStr">
        <is>
          <t>Granja Experimental Universidad de Nariño</t>
        </is>
      </c>
      <c r="D117" s="35" t="inlineStr">
        <is>
          <t>Mercaderes</t>
        </is>
      </c>
      <c r="E117" s="35" t="inlineStr">
        <is>
          <t>Cauca</t>
        </is>
      </c>
      <c r="F117" s="35" t="n">
        <v>7</v>
      </c>
      <c r="G117" s="35" t="n">
        <v>580</v>
      </c>
      <c r="H117" s="36" t="n">
        <v>-77.19</v>
      </c>
      <c r="I117" s="37" t="n">
        <v>1.91</v>
      </c>
      <c r="J117" s="22" t="n">
        <v>26.24244871414303</v>
      </c>
      <c r="K117" s="23" t="n">
        <v>26.2723363501122</v>
      </c>
      <c r="L117" s="23" t="n">
        <v>26.04098519263272</v>
      </c>
      <c r="M117" s="23" t="n">
        <v>26.1125747554914</v>
      </c>
      <c r="N117" s="23" t="n">
        <v>26.11311532935454</v>
      </c>
      <c r="O117" s="23" t="n">
        <v>26.00508088323712</v>
      </c>
      <c r="P117" s="23" t="n">
        <v>26.28547265846115</v>
      </c>
      <c r="Q117" s="23" t="n">
        <v>27.10935054945053</v>
      </c>
      <c r="R117" s="23" t="n">
        <v>26.72884759604324</v>
      </c>
      <c r="S117" s="23" t="n">
        <v>26.18128159224287</v>
      </c>
      <c r="T117" s="23" t="n">
        <v>25.42765803334595</v>
      </c>
      <c r="U117" s="23" t="n">
        <v>25.620950875815</v>
      </c>
      <c r="V117" s="38" t="n">
        <v>26.17834187752748</v>
      </c>
      <c r="W117" s="41" t="n">
        <v>110</v>
      </c>
      <c r="X117" s="24" t="n">
        <v>0.9166666666666666</v>
      </c>
    </row>
    <row r="118" ht="13.9" customHeight="1">
      <c r="A118" s="10" t="n">
        <v>26065010</v>
      </c>
      <c r="B118" s="21" t="inlineStr">
        <is>
          <t>CO</t>
        </is>
      </c>
      <c r="C118" s="21" t="inlineStr">
        <is>
          <t>Ingenio Cauca</t>
        </is>
      </c>
      <c r="D118" s="21" t="inlineStr">
        <is>
          <t>Miranda</t>
        </is>
      </c>
      <c r="E118" s="21" t="inlineStr">
        <is>
          <t>Cauca</t>
        </is>
      </c>
      <c r="F118" s="21" t="n">
        <v>9</v>
      </c>
      <c r="G118" s="21" t="n">
        <v>1003</v>
      </c>
      <c r="H118" s="42" t="n">
        <v>-76.34733333</v>
      </c>
      <c r="I118" s="43" t="n">
        <v>3.26916667</v>
      </c>
      <c r="J118" s="22" t="n">
        <v>23.36945564516128</v>
      </c>
      <c r="K118" s="23" t="n">
        <v>23.63301258894362</v>
      </c>
      <c r="L118" s="23" t="n">
        <v>23.52572137766242</v>
      </c>
      <c r="M118" s="23" t="n">
        <v>23.31068833943834</v>
      </c>
      <c r="N118" s="23" t="n">
        <v>23.31951612903226</v>
      </c>
      <c r="O118" s="23" t="n">
        <v>23.52</v>
      </c>
      <c r="P118" s="23" t="n">
        <v>23.45673894862604</v>
      </c>
      <c r="Q118" s="23" t="n">
        <v>23.772945041816</v>
      </c>
      <c r="R118" s="23" t="n">
        <v>23.43926851851851</v>
      </c>
      <c r="S118" s="23" t="n">
        <v>23.34887694145758</v>
      </c>
      <c r="T118" s="23" t="n">
        <v>22.84939814814814</v>
      </c>
      <c r="U118" s="23" t="n">
        <v>23.25477662570404</v>
      </c>
      <c r="V118" s="38" t="n">
        <v>23.40003319204235</v>
      </c>
      <c r="W118" s="41" t="n">
        <v>110</v>
      </c>
      <c r="X118" s="24" t="n">
        <v>0.9166666666666666</v>
      </c>
    </row>
    <row r="119" ht="13.9" customHeight="1">
      <c r="A119" s="10" t="n">
        <v>26065020</v>
      </c>
      <c r="B119" s="21" t="inlineStr">
        <is>
          <t>CO</t>
        </is>
      </c>
      <c r="C119" s="21" t="inlineStr">
        <is>
          <t>Miranda</t>
        </is>
      </c>
      <c r="D119" s="21" t="inlineStr">
        <is>
          <t>Miranda</t>
        </is>
      </c>
      <c r="E119" s="21" t="inlineStr">
        <is>
          <t>Cauca</t>
        </is>
      </c>
      <c r="F119" s="21" t="n">
        <v>9</v>
      </c>
      <c r="G119" s="21" t="n">
        <v>1133</v>
      </c>
      <c r="H119" s="42" t="n">
        <v>-76.22305556000001</v>
      </c>
      <c r="I119" s="43" t="n">
        <v>3.24566667</v>
      </c>
      <c r="J119" s="22" t="n">
        <v>23.68471232978831</v>
      </c>
      <c r="K119" s="23" t="n">
        <v>23.75836847907001</v>
      </c>
      <c r="L119" s="23" t="n">
        <v>23.7290807782141</v>
      </c>
      <c r="M119" s="23" t="n">
        <v>23.67734241469231</v>
      </c>
      <c r="N119" s="23" t="n">
        <v>23.60009419637336</v>
      </c>
      <c r="O119" s="23" t="n">
        <v>23.68585612366227</v>
      </c>
      <c r="P119" s="23" t="n">
        <v>23.72713175447427</v>
      </c>
      <c r="Q119" s="23" t="n">
        <v>23.86482522087117</v>
      </c>
      <c r="R119" s="23" t="n">
        <v>23.67002270120182</v>
      </c>
      <c r="S119" s="23" t="n">
        <v>23.62984217133129</v>
      </c>
      <c r="T119" s="23" t="n">
        <v>23.56540220201251</v>
      </c>
      <c r="U119" s="23" t="n">
        <v>23.61713751312218</v>
      </c>
      <c r="V119" s="38" t="n">
        <v>23.68415132373447</v>
      </c>
      <c r="W119" s="41" t="n">
        <v>330</v>
      </c>
      <c r="X119" s="24" t="n">
        <v>0.9166666666666666</v>
      </c>
    </row>
    <row r="120" ht="13.9" customHeight="1">
      <c r="A120" s="10" t="n">
        <v>52015020</v>
      </c>
      <c r="B120" s="21" t="inlineStr">
        <is>
          <t>CO</t>
        </is>
      </c>
      <c r="C120" s="21" t="inlineStr">
        <is>
          <t>La Fonda Citec</t>
        </is>
      </c>
      <c r="D120" s="21" t="inlineStr">
        <is>
          <t>Patía (El Bordo)</t>
        </is>
      </c>
      <c r="E120" s="21" t="inlineStr">
        <is>
          <t>Cauca</t>
        </is>
      </c>
      <c r="F120" s="21" t="n">
        <v>7</v>
      </c>
      <c r="G120" s="21" t="n">
        <v>580</v>
      </c>
      <c r="H120" s="42" t="n">
        <v>-77.04999721999999</v>
      </c>
      <c r="I120" s="43" t="n">
        <v>2.14999722</v>
      </c>
      <c r="J120" s="22" t="n">
        <v>26.03417338709677</v>
      </c>
      <c r="K120" s="23" t="n">
        <v>26.4740302552563</v>
      </c>
      <c r="L120" s="23" t="n">
        <v>26.2414765377168</v>
      </c>
      <c r="M120" s="23" t="n">
        <v>26.0216072227758</v>
      </c>
      <c r="N120" s="23" t="n">
        <v>26.11265322580644</v>
      </c>
      <c r="O120" s="23" t="n">
        <v>25.82579397007844</v>
      </c>
      <c r="P120" s="23" t="n">
        <v>26.56377419354838</v>
      </c>
      <c r="Q120" s="23" t="n">
        <v>27.60484357398872</v>
      </c>
      <c r="R120" s="23" t="n">
        <v>27.37194801061008</v>
      </c>
      <c r="S120" s="23" t="n">
        <v>26.54768851965146</v>
      </c>
      <c r="T120" s="23" t="n">
        <v>25.83554168947272</v>
      </c>
      <c r="U120" s="23" t="n">
        <v>25.70760853306459</v>
      </c>
      <c r="V120" s="38" t="n">
        <v>26.36176159325555</v>
      </c>
      <c r="W120" s="41" t="n">
        <v>112</v>
      </c>
      <c r="X120" s="24" t="n">
        <v>0.9333333333333333</v>
      </c>
    </row>
    <row r="121" ht="13.9" customHeight="1">
      <c r="A121" s="10" t="n">
        <v>26025100</v>
      </c>
      <c r="B121" s="35" t="inlineStr">
        <is>
          <t>CO</t>
        </is>
      </c>
      <c r="C121" s="35" t="inlineStr">
        <is>
          <t>Tunia</t>
        </is>
      </c>
      <c r="D121" s="35" t="inlineStr">
        <is>
          <t>Piendamó</t>
        </is>
      </c>
      <c r="E121" s="35" t="inlineStr">
        <is>
          <t>Cauca</t>
        </is>
      </c>
      <c r="F121" s="35" t="n">
        <v>9</v>
      </c>
      <c r="G121" s="35" t="n">
        <v>1822</v>
      </c>
      <c r="H121" s="36" t="n">
        <v>-76.52633333</v>
      </c>
      <c r="I121" s="37" t="n">
        <v>2.67447222</v>
      </c>
      <c r="J121" s="44" t="n">
        <v>19.34427400918531</v>
      </c>
      <c r="K121" s="45" t="n">
        <v>19.34262390605531</v>
      </c>
      <c r="L121" s="45" t="n">
        <v>19.38769843250514</v>
      </c>
      <c r="M121" s="45" t="n">
        <v>19.33248035397574</v>
      </c>
      <c r="N121" s="45" t="n">
        <v>19.29091124431526</v>
      </c>
      <c r="O121" s="45" t="n">
        <v>19.60584550461031</v>
      </c>
      <c r="P121" s="45" t="n">
        <v>19.84319009184309</v>
      </c>
      <c r="Q121" s="45" t="n">
        <v>20.13561638860168</v>
      </c>
      <c r="R121" s="45" t="n">
        <v>19.76228657038999</v>
      </c>
      <c r="S121" s="45" t="n">
        <v>19.16782511266164</v>
      </c>
      <c r="T121" s="45" t="n">
        <v>18.92774648962147</v>
      </c>
      <c r="U121" s="45" t="n">
        <v>19.217318632309</v>
      </c>
      <c r="V121" s="38" t="n">
        <v>19.44648472800616</v>
      </c>
      <c r="W121" s="41" t="n">
        <v>323</v>
      </c>
      <c r="X121" s="24" t="n">
        <v>0.8972222222222223</v>
      </c>
    </row>
    <row r="122" ht="13.9" customHeight="1">
      <c r="A122" s="10" t="n">
        <v>26035030</v>
      </c>
      <c r="B122" s="21" t="inlineStr">
        <is>
          <t>CP</t>
        </is>
      </c>
      <c r="C122" s="21" t="inlineStr">
        <is>
          <t>Aeropuerto Guillermo León Valencia</t>
        </is>
      </c>
      <c r="D122" s="21" t="inlineStr">
        <is>
          <t>Popayán</t>
        </is>
      </c>
      <c r="E122" s="21" t="inlineStr">
        <is>
          <t>Cauca</t>
        </is>
      </c>
      <c r="F122" s="21" t="n">
        <v>9</v>
      </c>
      <c r="G122" s="21" t="n">
        <v>1752</v>
      </c>
      <c r="H122" s="42" t="n">
        <v>-76.60875</v>
      </c>
      <c r="I122" s="43" t="n">
        <v>2.45288889</v>
      </c>
      <c r="J122" s="22" t="n">
        <v>19.63252309942128</v>
      </c>
      <c r="K122" s="23" t="n">
        <v>19.77808051590809</v>
      </c>
      <c r="L122" s="23" t="n">
        <v>19.54835535250807</v>
      </c>
      <c r="M122" s="23" t="n">
        <v>19.53497303948103</v>
      </c>
      <c r="N122" s="23" t="n">
        <v>19.49603509131251</v>
      </c>
      <c r="O122" s="23" t="n">
        <v>19.7397756171979</v>
      </c>
      <c r="P122" s="23" t="n">
        <v>19.86873649742962</v>
      </c>
      <c r="Q122" s="23" t="n">
        <v>20.06648042555917</v>
      </c>
      <c r="R122" s="23" t="n">
        <v>19.84694604300474</v>
      </c>
      <c r="S122" s="23" t="n">
        <v>19.1560933769493</v>
      </c>
      <c r="T122" s="23" t="n">
        <v>18.83224909688012</v>
      </c>
      <c r="U122" s="23" t="n">
        <v>19.17766645988419</v>
      </c>
      <c r="V122" s="38" t="n">
        <v>19.556492884628</v>
      </c>
      <c r="W122" s="41" t="n">
        <v>298</v>
      </c>
      <c r="X122" s="24" t="n">
        <v>0.8277777777777777</v>
      </c>
    </row>
    <row r="123" ht="13.9" customHeight="1">
      <c r="A123" s="10" t="n">
        <v>26045010</v>
      </c>
      <c r="B123" s="21" t="inlineStr">
        <is>
          <t>CO</t>
        </is>
      </c>
      <c r="C123" s="21" t="inlineStr">
        <is>
          <t>Ingenio Bengala</t>
        </is>
      </c>
      <c r="D123" s="21" t="inlineStr">
        <is>
          <t>Puerto Tejada</t>
        </is>
      </c>
      <c r="E123" s="21" t="inlineStr">
        <is>
          <t>Cauca</t>
        </is>
      </c>
      <c r="F123" s="21" t="n">
        <v>9</v>
      </c>
      <c r="G123" s="21" t="n">
        <v>983</v>
      </c>
      <c r="H123" s="42" t="n">
        <v>-76.41447222000001</v>
      </c>
      <c r="I123" s="43" t="n">
        <v>3.26280556</v>
      </c>
      <c r="J123" s="44" t="n">
        <v>24.57320958066398</v>
      </c>
      <c r="K123" s="45" t="n">
        <v>24.70538668150661</v>
      </c>
      <c r="L123" s="45" t="n">
        <v>24.55496523962997</v>
      </c>
      <c r="M123" s="45" t="n">
        <v>24.49795042954713</v>
      </c>
      <c r="N123" s="45" t="n">
        <v>24.58499571282906</v>
      </c>
      <c r="O123" s="45" t="n">
        <v>24.65084285714285</v>
      </c>
      <c r="P123" s="45" t="n">
        <v>24.77636211174809</v>
      </c>
      <c r="Q123" s="45" t="n">
        <v>24.81012867383512</v>
      </c>
      <c r="R123" s="45" t="n">
        <v>24.57967168764824</v>
      </c>
      <c r="S123" s="45" t="n">
        <v>24.56226941972561</v>
      </c>
      <c r="T123" s="45" t="n">
        <v>24.49889025725231</v>
      </c>
      <c r="U123" s="45" t="n">
        <v>24.73435473468566</v>
      </c>
      <c r="V123" s="38" t="n">
        <v>24.62741894885122</v>
      </c>
      <c r="W123" s="41" t="n">
        <v>286</v>
      </c>
      <c r="X123" s="24" t="n">
        <v>0.7944444444444444</v>
      </c>
    </row>
    <row r="124" ht="13.9" customHeight="1">
      <c r="A124" s="10" t="n">
        <v>44015030</v>
      </c>
      <c r="B124" s="21" t="inlineStr">
        <is>
          <t>CP</t>
        </is>
      </c>
      <c r="C124" s="21" t="inlineStr">
        <is>
          <t>Valencia</t>
        </is>
      </c>
      <c r="D124" s="21" t="inlineStr">
        <is>
          <t>San Sebastián</t>
        </is>
      </c>
      <c r="E124" s="21" t="inlineStr">
        <is>
          <t>Cauca</t>
        </is>
      </c>
      <c r="F124" s="21" t="n">
        <v>7</v>
      </c>
      <c r="G124" s="21" t="n">
        <v>2900</v>
      </c>
      <c r="H124" s="42" t="n">
        <v>-76.66875</v>
      </c>
      <c r="I124" s="43" t="n">
        <v>1.90041667</v>
      </c>
      <c r="J124" s="22" t="n">
        <v>11.03172931541534</v>
      </c>
      <c r="K124" s="23" t="n">
        <v>11.30582469988503</v>
      </c>
      <c r="L124" s="23" t="n">
        <v>11.33744350491312</v>
      </c>
      <c r="M124" s="23" t="n">
        <v>11.35447259920439</v>
      </c>
      <c r="N124" s="23" t="n">
        <v>11.29041831124936</v>
      </c>
      <c r="O124" s="23" t="n">
        <v>10.70734644928247</v>
      </c>
      <c r="P124" s="23" t="n">
        <v>10.30275699597028</v>
      </c>
      <c r="Q124" s="23" t="n">
        <v>10.16042031206253</v>
      </c>
      <c r="R124" s="23" t="n">
        <v>10.48061315551124</v>
      </c>
      <c r="S124" s="23" t="n">
        <v>10.85633242813253</v>
      </c>
      <c r="T124" s="23" t="n">
        <v>11.17369640576536</v>
      </c>
      <c r="U124" s="23" t="n">
        <v>11.17732404219463</v>
      </c>
      <c r="V124" s="38" t="n">
        <v>10.93153151829886</v>
      </c>
      <c r="W124" s="41" t="n">
        <v>323</v>
      </c>
      <c r="X124" s="24" t="n">
        <v>0.8972222222222223</v>
      </c>
    </row>
    <row r="125" ht="13.9" customHeight="1">
      <c r="A125" s="10" t="n">
        <v>26025110</v>
      </c>
      <c r="B125" s="21" t="inlineStr">
        <is>
          <t>CO</t>
        </is>
      </c>
      <c r="C125" s="21" t="inlineStr">
        <is>
          <t>Lomitas</t>
        </is>
      </c>
      <c r="D125" s="21" t="inlineStr">
        <is>
          <t>Santander de Quilichao</t>
        </is>
      </c>
      <c r="E125" s="21" t="inlineStr">
        <is>
          <t>Cauca</t>
        </is>
      </c>
      <c r="F125" s="21" t="n">
        <v>9</v>
      </c>
      <c r="G125" s="21" t="n">
        <v>1009</v>
      </c>
      <c r="H125" s="42" t="n">
        <v>-76.55625000000001</v>
      </c>
      <c r="I125" s="43" t="n">
        <v>3.07538889</v>
      </c>
      <c r="J125" s="22" t="n">
        <v>24.33406072106261</v>
      </c>
      <c r="K125" s="23" t="n">
        <v>24.40615182604775</v>
      </c>
      <c r="L125" s="23" t="n">
        <v>24.19769409906981</v>
      </c>
      <c r="M125" s="23" t="n">
        <v>24.09387933717548</v>
      </c>
      <c r="N125" s="23" t="n">
        <v>24.13461693548387</v>
      </c>
      <c r="O125" s="23" t="n">
        <v>24.24874485596708</v>
      </c>
      <c r="P125" s="23" t="n">
        <v>24.43862836851188</v>
      </c>
      <c r="Q125" s="23" t="n">
        <v>24.57887662705149</v>
      </c>
      <c r="R125" s="23" t="n">
        <v>24.50567676485644</v>
      </c>
      <c r="S125" s="23" t="n">
        <v>24.05026263705169</v>
      </c>
      <c r="T125" s="23" t="n">
        <v>23.95957719918237</v>
      </c>
      <c r="U125" s="23" t="n">
        <v>24.16939946191643</v>
      </c>
      <c r="V125" s="38" t="n">
        <v>24.25979740278141</v>
      </c>
      <c r="W125" s="41" t="n">
        <v>217</v>
      </c>
      <c r="X125" s="24" t="n">
        <v>0.9041666666666667</v>
      </c>
    </row>
    <row r="126" ht="13.9" customHeight="1">
      <c r="A126" s="10" t="n">
        <v>52015010</v>
      </c>
      <c r="B126" s="21" t="inlineStr">
        <is>
          <t>CO</t>
        </is>
      </c>
      <c r="C126" s="21" t="inlineStr">
        <is>
          <t>Paispamba</t>
        </is>
      </c>
      <c r="D126" s="21" t="inlineStr">
        <is>
          <t>Sotará (Paispamba)</t>
        </is>
      </c>
      <c r="E126" s="21" t="inlineStr">
        <is>
          <t>Cauca</t>
        </is>
      </c>
      <c r="F126" s="21" t="n">
        <v>7</v>
      </c>
      <c r="G126" s="21" t="n">
        <v>2450</v>
      </c>
      <c r="H126" s="42" t="n">
        <v>-76.61194444</v>
      </c>
      <c r="I126" s="43" t="n">
        <v>2.24972222</v>
      </c>
      <c r="J126" s="22" t="n">
        <v>13.88617919291035</v>
      </c>
      <c r="K126" s="23" t="n">
        <v>13.9294917918025</v>
      </c>
      <c r="L126" s="23" t="n">
        <v>14.06461021505375</v>
      </c>
      <c r="M126" s="23" t="n">
        <v>14.20053408460287</v>
      </c>
      <c r="N126" s="23" t="n">
        <v>14.34365247651711</v>
      </c>
      <c r="O126" s="23" t="n">
        <v>14.28809320521617</v>
      </c>
      <c r="P126" s="23" t="n">
        <v>14.25324237446745</v>
      </c>
      <c r="Q126" s="23" t="n">
        <v>14.37068910561999</v>
      </c>
      <c r="R126" s="23" t="n">
        <v>14.40976256368152</v>
      </c>
      <c r="S126" s="23" t="n">
        <v>13.84639004184542</v>
      </c>
      <c r="T126" s="23" t="n">
        <v>13.45595851332574</v>
      </c>
      <c r="U126" s="23" t="n">
        <v>13.6325613939911</v>
      </c>
      <c r="V126" s="38" t="n">
        <v>14.05676374658617</v>
      </c>
      <c r="W126" s="41" t="n">
        <v>288</v>
      </c>
      <c r="X126" s="24" t="n">
        <v>0.8</v>
      </c>
    </row>
    <row r="127" ht="13.9" customHeight="1">
      <c r="A127" s="10" t="n">
        <v>26025070</v>
      </c>
      <c r="B127" s="21" t="inlineStr">
        <is>
          <t>CO</t>
        </is>
      </c>
      <c r="C127" s="21" t="inlineStr">
        <is>
          <t>Gabriel López</t>
        </is>
      </c>
      <c r="D127" s="21" t="inlineStr">
        <is>
          <t>Totoró</t>
        </is>
      </c>
      <c r="E127" s="21" t="inlineStr">
        <is>
          <t>Cauca</t>
        </is>
      </c>
      <c r="F127" s="21" t="n">
        <v>9</v>
      </c>
      <c r="G127" s="21" t="n">
        <v>3071</v>
      </c>
      <c r="H127" s="42" t="n">
        <v>-76.28905556000001</v>
      </c>
      <c r="I127" s="43" t="n">
        <v>2.50975</v>
      </c>
      <c r="J127" s="22" t="n">
        <v>10.55689930216046</v>
      </c>
      <c r="K127" s="23" t="n">
        <v>10.68448275682263</v>
      </c>
      <c r="L127" s="23" t="n">
        <v>10.78630876399995</v>
      </c>
      <c r="M127" s="23" t="n">
        <v>10.74445044497149</v>
      </c>
      <c r="N127" s="23" t="n">
        <v>10.69957206592213</v>
      </c>
      <c r="O127" s="23" t="n">
        <v>10.28421819666071</v>
      </c>
      <c r="P127" s="23" t="n">
        <v>9.869761133996381</v>
      </c>
      <c r="Q127" s="23" t="n">
        <v>9.981793924959675</v>
      </c>
      <c r="R127" s="23" t="n">
        <v>10.43469930086143</v>
      </c>
      <c r="S127" s="23" t="n">
        <v>10.6646805710048</v>
      </c>
      <c r="T127" s="23" t="n">
        <v>10.69956266447639</v>
      </c>
      <c r="U127" s="23" t="n">
        <v>10.63706515672682</v>
      </c>
      <c r="V127" s="38" t="n">
        <v>10.5036245235469</v>
      </c>
      <c r="W127" s="41" t="n">
        <v>310</v>
      </c>
      <c r="X127" s="24" t="n">
        <v>0.8611111111111112</v>
      </c>
    </row>
    <row r="128" ht="13.9" customHeight="1">
      <c r="A128" s="10" t="n">
        <v>23215030</v>
      </c>
      <c r="B128" s="35" t="inlineStr">
        <is>
          <t>PM</t>
        </is>
      </c>
      <c r="C128" s="35" t="inlineStr">
        <is>
          <t>Aguas Claras</t>
        </is>
      </c>
      <c r="D128" s="35" t="inlineStr">
        <is>
          <t>Aguachica</t>
        </is>
      </c>
      <c r="E128" s="35" t="inlineStr">
        <is>
          <t>Cesar</t>
        </is>
      </c>
      <c r="F128" s="35" t="n">
        <v>8</v>
      </c>
      <c r="G128" s="35" t="n">
        <v>208</v>
      </c>
      <c r="H128" s="36" t="n">
        <v>-73.60277778</v>
      </c>
      <c r="I128" s="37" t="n">
        <v>8.22888889</v>
      </c>
      <c r="J128" s="44" t="n">
        <v>29.42443012594609</v>
      </c>
      <c r="K128" s="45" t="n">
        <v>30.09799661476241</v>
      </c>
      <c r="L128" s="45" t="n">
        <v>29.79573839387077</v>
      </c>
      <c r="M128" s="45" t="n">
        <v>28.91191228967568</v>
      </c>
      <c r="N128" s="45" t="n">
        <v>28.35825868883677</v>
      </c>
      <c r="O128" s="45" t="n">
        <v>28.25247106067267</v>
      </c>
      <c r="P128" s="45" t="n">
        <v>28.4695659692713</v>
      </c>
      <c r="Q128" s="45" t="n">
        <v>28.52026510329985</v>
      </c>
      <c r="R128" s="45" t="n">
        <v>28.07715938802575</v>
      </c>
      <c r="S128" s="45" t="n">
        <v>27.87431746930048</v>
      </c>
      <c r="T128" s="45" t="n">
        <v>27.93532475327786</v>
      </c>
      <c r="U128" s="45" t="n">
        <v>28.51946443963454</v>
      </c>
      <c r="V128" s="38" t="n">
        <v>28.68640869138118</v>
      </c>
      <c r="W128" s="41" t="n">
        <v>226</v>
      </c>
      <c r="X128" s="24" t="n">
        <v>0.9416666666666667</v>
      </c>
    </row>
    <row r="129" ht="13.9" customHeight="1">
      <c r="A129" s="10" t="n">
        <v>28025090</v>
      </c>
      <c r="B129" s="21" t="inlineStr">
        <is>
          <t>CO</t>
        </is>
      </c>
      <c r="C129" s="21" t="inlineStr">
        <is>
          <t>Hacienda Centenario</t>
        </is>
      </c>
      <c r="D129" s="21" t="inlineStr">
        <is>
          <t>Agustín Codazzi</t>
        </is>
      </c>
      <c r="E129" s="21" t="inlineStr">
        <is>
          <t>Cesar</t>
        </is>
      </c>
      <c r="F129" s="21" t="n">
        <v>5</v>
      </c>
      <c r="G129" s="21" t="n">
        <v>100</v>
      </c>
      <c r="H129" s="42" t="n">
        <v>-73.26547222000001</v>
      </c>
      <c r="I129" s="43" t="n">
        <v>9.850250000000001</v>
      </c>
      <c r="J129" s="22" t="n">
        <v>27.92047373330744</v>
      </c>
      <c r="K129" s="23" t="n">
        <v>28.50952122015915</v>
      </c>
      <c r="L129" s="23" t="n">
        <v>28.9079212084958</v>
      </c>
      <c r="M129" s="23" t="n">
        <v>28.40879066742348</v>
      </c>
      <c r="N129" s="23" t="n">
        <v>27.91643406879189</v>
      </c>
      <c r="O129" s="23" t="n">
        <v>28.05272973844709</v>
      </c>
      <c r="P129" s="23" t="n">
        <v>28.29850291732014</v>
      </c>
      <c r="Q129" s="23" t="n">
        <v>28.00360314615691</v>
      </c>
      <c r="R129" s="23" t="n">
        <v>27.49687785952872</v>
      </c>
      <c r="S129" s="23" t="n">
        <v>27.21344548586186</v>
      </c>
      <c r="T129" s="23" t="n">
        <v>27.1464363873902</v>
      </c>
      <c r="U129" s="23" t="n">
        <v>27.2537555789011</v>
      </c>
      <c r="V129" s="38" t="n">
        <v>27.92737433431532</v>
      </c>
      <c r="W129" s="41" t="n">
        <v>330</v>
      </c>
      <c r="X129" s="24" t="n">
        <v>0.9166666666666666</v>
      </c>
    </row>
    <row r="130" ht="13.9" customHeight="1">
      <c r="A130" s="10" t="n">
        <v>28025070</v>
      </c>
      <c r="B130" s="35" t="inlineStr">
        <is>
          <t>AM</t>
        </is>
      </c>
      <c r="C130" s="35" t="inlineStr">
        <is>
          <t>Motilonia Codazzi</t>
        </is>
      </c>
      <c r="D130" s="35" t="inlineStr">
        <is>
          <t>Agustín Codazzi</t>
        </is>
      </c>
      <c r="E130" s="35" t="inlineStr">
        <is>
          <t>Cesar</t>
        </is>
      </c>
      <c r="F130" s="35" t="n">
        <v>5</v>
      </c>
      <c r="G130" s="35" t="n">
        <v>180</v>
      </c>
      <c r="H130" s="36" t="n">
        <v>-73.24938889000001</v>
      </c>
      <c r="I130" s="37" t="n">
        <v>10.00180556</v>
      </c>
      <c r="J130" s="44" t="n">
        <v>29.57270153250399</v>
      </c>
      <c r="K130" s="45" t="n">
        <v>30.48942468179377</v>
      </c>
      <c r="L130" s="45" t="n">
        <v>30.4757684817103</v>
      </c>
      <c r="M130" s="45" t="n">
        <v>29.7237896160518</v>
      </c>
      <c r="N130" s="45" t="n">
        <v>28.77260370523542</v>
      </c>
      <c r="O130" s="45" t="n">
        <v>28.97888356485414</v>
      </c>
      <c r="P130" s="45" t="n">
        <v>29.40532743273288</v>
      </c>
      <c r="Q130" s="45" t="n">
        <v>28.93426153986499</v>
      </c>
      <c r="R130" s="45" t="n">
        <v>28.25320376382876</v>
      </c>
      <c r="S130" s="45" t="n">
        <v>27.8187643620586</v>
      </c>
      <c r="T130" s="45" t="n">
        <v>27.84997116944851</v>
      </c>
      <c r="U130" s="45" t="n">
        <v>28.51136667627954</v>
      </c>
      <c r="V130" s="38" t="n">
        <v>29.06550554386355</v>
      </c>
      <c r="W130" s="41" t="n">
        <v>336</v>
      </c>
      <c r="X130" s="24" t="n">
        <v>0.9333333333333333</v>
      </c>
    </row>
    <row r="131" ht="13.9" customHeight="1">
      <c r="A131" s="10" t="n">
        <v>28025080</v>
      </c>
      <c r="B131" s="21" t="inlineStr">
        <is>
          <t>CP</t>
        </is>
      </c>
      <c r="C131" s="21" t="inlineStr">
        <is>
          <t>Socomba</t>
        </is>
      </c>
      <c r="D131" s="21" t="inlineStr">
        <is>
          <t>Becerrill</t>
        </is>
      </c>
      <c r="E131" s="21" t="inlineStr">
        <is>
          <t>Cesar</t>
        </is>
      </c>
      <c r="F131" s="21" t="n">
        <v>5</v>
      </c>
      <c r="G131" s="21" t="n">
        <v>170</v>
      </c>
      <c r="H131" s="42" t="n">
        <v>-73.24055556</v>
      </c>
      <c r="I131" s="43" t="n">
        <v>9.686666670000001</v>
      </c>
      <c r="J131" s="22" t="n">
        <v>28.20774791103871</v>
      </c>
      <c r="K131" s="23" t="n">
        <v>28.72576235386579</v>
      </c>
      <c r="L131" s="23" t="n">
        <v>28.86159069872779</v>
      </c>
      <c r="M131" s="23" t="n">
        <v>28.64193851486954</v>
      </c>
      <c r="N131" s="23" t="n">
        <v>27.97564972158218</v>
      </c>
      <c r="O131" s="23" t="n">
        <v>28.00784870461594</v>
      </c>
      <c r="P131" s="23" t="n">
        <v>28.14154677301645</v>
      </c>
      <c r="Q131" s="23" t="n">
        <v>27.98958912680755</v>
      </c>
      <c r="R131" s="23" t="n">
        <v>27.41798941798941</v>
      </c>
      <c r="S131" s="23" t="n">
        <v>27.09003092141702</v>
      </c>
      <c r="T131" s="23" t="n">
        <v>27.18716368667517</v>
      </c>
      <c r="U131" s="23" t="n">
        <v>27.73642788018432</v>
      </c>
      <c r="V131" s="38" t="n">
        <v>27.99860714256582</v>
      </c>
      <c r="W131" s="41" t="n">
        <v>109</v>
      </c>
      <c r="X131" s="24" t="n">
        <v>0.9083333333333333</v>
      </c>
    </row>
    <row r="132" ht="13.9" customHeight="1">
      <c r="A132" s="10" t="n">
        <v>25025250</v>
      </c>
      <c r="B132" s="35" t="inlineStr">
        <is>
          <t>CO</t>
        </is>
      </c>
      <c r="C132" s="35" t="inlineStr">
        <is>
          <t>Chiriguaná</t>
        </is>
      </c>
      <c r="D132" s="35" t="inlineStr">
        <is>
          <t>Chiriguaná</t>
        </is>
      </c>
      <c r="E132" s="35" t="inlineStr">
        <is>
          <t>Cesar</t>
        </is>
      </c>
      <c r="F132" s="35" t="n">
        <v>5</v>
      </c>
      <c r="G132" s="35" t="n">
        <v>40</v>
      </c>
      <c r="H132" s="36" t="n">
        <v>-73.59338889</v>
      </c>
      <c r="I132" s="37" t="n">
        <v>9.361027780000001</v>
      </c>
      <c r="J132" s="22" t="n">
        <v>28.87209677419354</v>
      </c>
      <c r="K132" s="23" t="n">
        <v>29.40239782886334</v>
      </c>
      <c r="L132" s="23" t="n">
        <v>29.46037365591398</v>
      </c>
      <c r="M132" s="23" t="n">
        <v>28.66083333333332</v>
      </c>
      <c r="N132" s="23" t="n">
        <v>28.2471935483871</v>
      </c>
      <c r="O132" s="23" t="n">
        <v>28.10818185550081</v>
      </c>
      <c r="P132" s="23" t="n">
        <v>28.55524468692433</v>
      </c>
      <c r="Q132" s="23" t="n">
        <v>29.00076344086022</v>
      </c>
      <c r="R132" s="23" t="n">
        <v>27.83660057471264</v>
      </c>
      <c r="S132" s="23" t="n">
        <v>27.67171505376344</v>
      </c>
      <c r="T132" s="23" t="n">
        <v>27.65875</v>
      </c>
      <c r="U132" s="23" t="n">
        <v>28.39181451612903</v>
      </c>
      <c r="V132" s="38" t="n">
        <v>28.48883043904848</v>
      </c>
      <c r="W132" s="41" t="n">
        <v>119</v>
      </c>
      <c r="X132" s="24" t="n">
        <v>0.9916666666666667</v>
      </c>
    </row>
    <row r="133" ht="13.9" customHeight="1">
      <c r="A133" s="10" t="n">
        <v>23215050</v>
      </c>
      <c r="B133" s="21" t="inlineStr">
        <is>
          <t>PM</t>
        </is>
      </c>
      <c r="C133" s="21" t="inlineStr">
        <is>
          <t>La Mata</t>
        </is>
      </c>
      <c r="D133" s="21" t="inlineStr">
        <is>
          <t>La Gloria</t>
        </is>
      </c>
      <c r="E133" s="21" t="inlineStr">
        <is>
          <t>Cesar</t>
        </is>
      </c>
      <c r="F133" s="21" t="n">
        <v>8</v>
      </c>
      <c r="G133" s="21" t="n">
        <v>163</v>
      </c>
      <c r="H133" s="42" t="n">
        <v>-73.63638889000001</v>
      </c>
      <c r="I133" s="43" t="n">
        <v>8.61444444</v>
      </c>
      <c r="J133" s="22" t="n">
        <v>28.84752995391705</v>
      </c>
      <c r="K133" s="23" t="n">
        <v>28.88495484400656</v>
      </c>
      <c r="L133" s="23" t="n">
        <v>28.74016129032258</v>
      </c>
      <c r="M133" s="23" t="n">
        <v>28.54738752052544</v>
      </c>
      <c r="N133" s="23" t="n">
        <v>28.29627783516076</v>
      </c>
      <c r="O133" s="23" t="n">
        <v>28.4731308155446</v>
      </c>
      <c r="P133" s="23" t="n">
        <v>28.54146970472776</v>
      </c>
      <c r="Q133" s="23" t="n">
        <v>28.52894072779278</v>
      </c>
      <c r="R133" s="23" t="n">
        <v>28.18040166028096</v>
      </c>
      <c r="S133" s="23" t="n">
        <v>28.1964281775572</v>
      </c>
      <c r="T133" s="23" t="n">
        <v>28.34361288491556</v>
      </c>
      <c r="U133" s="23" t="n">
        <v>28.72278622337576</v>
      </c>
      <c r="V133" s="38" t="n">
        <v>28.52525680317725</v>
      </c>
      <c r="W133" s="41" t="n">
        <v>117</v>
      </c>
      <c r="X133" s="24" t="n">
        <v>0.975</v>
      </c>
    </row>
    <row r="134" ht="13.9" customHeight="1">
      <c r="A134" s="10" t="n">
        <v>28025020</v>
      </c>
      <c r="B134" s="21" t="inlineStr">
        <is>
          <t>CO</t>
        </is>
      </c>
      <c r="C134" s="21" t="inlineStr">
        <is>
          <t xml:space="preserve">El Rincón </t>
        </is>
      </c>
      <c r="D134" s="21" t="inlineStr">
        <is>
          <t>San Diego</t>
        </is>
      </c>
      <c r="E134" s="21" t="inlineStr">
        <is>
          <t>Cesar</t>
        </is>
      </c>
      <c r="F134" s="21" t="n">
        <v>5</v>
      </c>
      <c r="G134" s="21" t="n">
        <v>350</v>
      </c>
      <c r="H134" s="42" t="n">
        <v>-73.13138889</v>
      </c>
      <c r="I134" s="43" t="n">
        <v>10.27138889</v>
      </c>
      <c r="J134" s="22" t="n">
        <v>26.1641071046584</v>
      </c>
      <c r="K134" s="23" t="n">
        <v>27.08272034969647</v>
      </c>
      <c r="L134" s="23" t="n">
        <v>27.64069692781904</v>
      </c>
      <c r="M134" s="23" t="n">
        <v>27.30900850665936</v>
      </c>
      <c r="N134" s="23" t="n">
        <v>26.66854413092945</v>
      </c>
      <c r="O134" s="23" t="n">
        <v>26.63077450326348</v>
      </c>
      <c r="P134" s="23" t="n">
        <v>26.84712680571113</v>
      </c>
      <c r="Q134" s="23" t="n">
        <v>26.66120022450667</v>
      </c>
      <c r="R134" s="23" t="n">
        <v>26.14927906925656</v>
      </c>
      <c r="S134" s="23" t="n">
        <v>25.74975281855703</v>
      </c>
      <c r="T134" s="23" t="n">
        <v>25.6127127995831</v>
      </c>
      <c r="U134" s="23" t="n">
        <v>25.82064026409733</v>
      </c>
      <c r="V134" s="38" t="n">
        <v>26.52804695872817</v>
      </c>
      <c r="W134" s="41" t="n">
        <v>316</v>
      </c>
      <c r="X134" s="24" t="n">
        <v>0.8777777777777778</v>
      </c>
    </row>
    <row r="135" ht="13.9" customHeight="1">
      <c r="A135" s="10" t="n">
        <v>28025502</v>
      </c>
      <c r="B135" s="21" t="inlineStr">
        <is>
          <t>SP</t>
        </is>
      </c>
      <c r="C135" s="11" t="inlineStr">
        <is>
          <t>Aeropuerto Alfonso López</t>
        </is>
      </c>
      <c r="D135" s="21" t="inlineStr">
        <is>
          <t>Valledupar</t>
        </is>
      </c>
      <c r="E135" s="21" t="inlineStr">
        <is>
          <t>Cesar</t>
        </is>
      </c>
      <c r="F135" s="21" t="n">
        <v>5</v>
      </c>
      <c r="G135" s="21" t="n">
        <v>138</v>
      </c>
      <c r="H135" s="42" t="n">
        <v>-73.24766667</v>
      </c>
      <c r="I135" s="43" t="n">
        <v>10.43616667</v>
      </c>
      <c r="J135" s="44" t="n">
        <v>29.28645191594648</v>
      </c>
      <c r="K135" s="45" t="n">
        <v>30.06611927867052</v>
      </c>
      <c r="L135" s="45" t="n">
        <v>30.29880147351653</v>
      </c>
      <c r="M135" s="45" t="n">
        <v>29.85213971462544</v>
      </c>
      <c r="N135" s="45" t="n">
        <v>28.90744181487305</v>
      </c>
      <c r="O135" s="45" t="n">
        <v>29.34801000030488</v>
      </c>
      <c r="P135" s="45" t="n">
        <v>30.00391407722785</v>
      </c>
      <c r="Q135" s="45" t="n">
        <v>29.27551903617397</v>
      </c>
      <c r="R135" s="45" t="n">
        <v>28.21428787063774</v>
      </c>
      <c r="S135" s="45" t="n">
        <v>27.70973675853716</v>
      </c>
      <c r="T135" s="45" t="n">
        <v>27.89779465426016</v>
      </c>
      <c r="U135" s="45" t="n">
        <v>28.6093966798283</v>
      </c>
      <c r="V135" s="38" t="n">
        <v>29.1224677728835</v>
      </c>
      <c r="W135" s="41" t="n">
        <v>341</v>
      </c>
      <c r="X135" s="24" t="n">
        <v>0.9472222222222222</v>
      </c>
    </row>
    <row r="136" ht="13.9" customHeight="1">
      <c r="A136" s="10" t="n">
        <v>28035020</v>
      </c>
      <c r="B136" s="21" t="inlineStr">
        <is>
          <t>CO</t>
        </is>
      </c>
      <c r="C136" s="21" t="inlineStr">
        <is>
          <t>El Callao</t>
        </is>
      </c>
      <c r="D136" s="21" t="inlineStr">
        <is>
          <t>Valledupar</t>
        </is>
      </c>
      <c r="E136" s="21" t="inlineStr">
        <is>
          <t>Cesar</t>
        </is>
      </c>
      <c r="F136" s="21" t="n">
        <v>5</v>
      </c>
      <c r="G136" s="21" t="n">
        <v>110</v>
      </c>
      <c r="H136" s="42" t="n">
        <v>-73.31944444</v>
      </c>
      <c r="I136" s="43" t="n">
        <v>10.36305556</v>
      </c>
      <c r="J136" s="44" t="n">
        <v>28.59066308243727</v>
      </c>
      <c r="K136" s="45" t="n">
        <v>29.43980243033929</v>
      </c>
      <c r="L136" s="45" t="n">
        <v>29.69158402781456</v>
      </c>
      <c r="M136" s="45" t="n">
        <v>29.22417769921946</v>
      </c>
      <c r="N136" s="45" t="n">
        <v>28.34034459700477</v>
      </c>
      <c r="O136" s="45" t="n">
        <v>28.61794704940299</v>
      </c>
      <c r="P136" s="45" t="n">
        <v>29.03506005791266</v>
      </c>
      <c r="Q136" s="45" t="n">
        <v>28.65663048795713</v>
      </c>
      <c r="R136" s="45" t="n">
        <v>27.68573940212433</v>
      </c>
      <c r="S136" s="45" t="n">
        <v>27.32960939214395</v>
      </c>
      <c r="T136" s="45" t="n">
        <v>27.34810658719502</v>
      </c>
      <c r="U136" s="45" t="n">
        <v>27.93193342754231</v>
      </c>
      <c r="V136" s="38" t="n">
        <v>28.49096652009115</v>
      </c>
      <c r="W136" s="41" t="n">
        <v>334</v>
      </c>
      <c r="X136" s="24" t="n">
        <v>0.9277777777777778</v>
      </c>
    </row>
    <row r="137" ht="13.9" customHeight="1">
      <c r="A137" s="10" t="n">
        <v>28035040</v>
      </c>
      <c r="B137" s="21" t="inlineStr">
        <is>
          <t>CO</t>
        </is>
      </c>
      <c r="C137" s="21" t="inlineStr">
        <is>
          <t>Guaymaral</t>
        </is>
      </c>
      <c r="D137" s="21" t="inlineStr">
        <is>
          <t>Valledupar</t>
        </is>
      </c>
      <c r="E137" s="21" t="inlineStr">
        <is>
          <t>Cesar</t>
        </is>
      </c>
      <c r="F137" s="21" t="n">
        <v>5</v>
      </c>
      <c r="G137" s="21" t="n">
        <v>50</v>
      </c>
      <c r="H137" s="42" t="n">
        <v>-73.64752777999999</v>
      </c>
      <c r="I137" s="43" t="n">
        <v>9.90491667</v>
      </c>
      <c r="J137" s="22" t="n">
        <v>30.92726523248446</v>
      </c>
      <c r="K137" s="23" t="n">
        <v>31.28227566984648</v>
      </c>
      <c r="L137" s="23" t="n">
        <v>31.12777751923904</v>
      </c>
      <c r="M137" s="23" t="n">
        <v>30.85406651161407</v>
      </c>
      <c r="N137" s="23" t="n">
        <v>30.37972662560846</v>
      </c>
      <c r="O137" s="23" t="n">
        <v>30.49780853554704</v>
      </c>
      <c r="P137" s="23" t="n">
        <v>30.63650531245542</v>
      </c>
      <c r="Q137" s="23" t="n">
        <v>30.3096477907212</v>
      </c>
      <c r="R137" s="23" t="n">
        <v>29.93651104017842</v>
      </c>
      <c r="S137" s="23" t="n">
        <v>29.47674306148813</v>
      </c>
      <c r="T137" s="23" t="n">
        <v>29.3215918826301</v>
      </c>
      <c r="U137" s="23" t="n">
        <v>30.28321356997374</v>
      </c>
      <c r="V137" s="38" t="n">
        <v>30.41942772931555</v>
      </c>
      <c r="W137" s="41" t="n">
        <v>314</v>
      </c>
      <c r="X137" s="24" t="n">
        <v>0.8722222222222222</v>
      </c>
    </row>
    <row r="138" ht="13.9" customHeight="1">
      <c r="A138" s="10" t="n">
        <v>28035010</v>
      </c>
      <c r="B138" s="21" t="inlineStr">
        <is>
          <t>CO</t>
        </is>
      </c>
      <c r="C138" s="21" t="inlineStr">
        <is>
          <t>Villa Rosa</t>
        </is>
      </c>
      <c r="D138" s="21" t="inlineStr">
        <is>
          <t>Valledupar</t>
        </is>
      </c>
      <c r="E138" s="21" t="inlineStr">
        <is>
          <t>Cesar</t>
        </is>
      </c>
      <c r="F138" s="21" t="n">
        <v>5</v>
      </c>
      <c r="G138" s="21" t="n">
        <v>70</v>
      </c>
      <c r="H138" s="42" t="n">
        <v>-73.54738889000001</v>
      </c>
      <c r="I138" s="43" t="n">
        <v>10.19066667</v>
      </c>
      <c r="J138" s="22" t="n">
        <v>29.37466623020299</v>
      </c>
      <c r="K138" s="23" t="n">
        <v>30.49237988449553</v>
      </c>
      <c r="L138" s="23" t="n">
        <v>30.51934196534549</v>
      </c>
      <c r="M138" s="23" t="n">
        <v>29.58812107151043</v>
      </c>
      <c r="N138" s="23" t="n">
        <v>28.99279422274824</v>
      </c>
      <c r="O138" s="23" t="n">
        <v>29.16460337395682</v>
      </c>
      <c r="P138" s="23" t="n">
        <v>29.4824990416467</v>
      </c>
      <c r="Q138" s="23" t="n">
        <v>29.04418363547244</v>
      </c>
      <c r="R138" s="23" t="n">
        <v>28.15701374072578</v>
      </c>
      <c r="S138" s="23" t="n">
        <v>27.70520930749529</v>
      </c>
      <c r="T138" s="23" t="n">
        <v>27.78252751378889</v>
      </c>
      <c r="U138" s="23" t="n">
        <v>28.66206002506142</v>
      </c>
      <c r="V138" s="38" t="n">
        <v>29.0804500010375</v>
      </c>
      <c r="W138" s="41" t="n">
        <v>294</v>
      </c>
      <c r="X138" s="24" t="n">
        <v>0.8166666666666667</v>
      </c>
    </row>
    <row r="139" ht="13.9" customHeight="1">
      <c r="A139" s="10" t="n">
        <v>56015010</v>
      </c>
      <c r="B139" s="21" t="inlineStr">
        <is>
          <t>CO</t>
        </is>
      </c>
      <c r="C139" s="21" t="inlineStr">
        <is>
          <t>Panamericana</t>
        </is>
      </c>
      <c r="D139" s="21" t="inlineStr">
        <is>
          <t xml:space="preserve">Bahía Solano </t>
        </is>
      </c>
      <c r="E139" s="21" t="inlineStr">
        <is>
          <t>Chocó</t>
        </is>
      </c>
      <c r="F139" s="21" t="n">
        <v>1</v>
      </c>
      <c r="G139" s="21" t="n">
        <v>4</v>
      </c>
      <c r="H139" s="42" t="n">
        <v>-77.40444443999999</v>
      </c>
      <c r="I139" s="43" t="n">
        <v>6.22333333</v>
      </c>
      <c r="J139" s="44" t="n">
        <v>26.32550636653062</v>
      </c>
      <c r="K139" s="45" t="n">
        <v>26.4661938404771</v>
      </c>
      <c r="L139" s="45" t="n">
        <v>26.44616056263066</v>
      </c>
      <c r="M139" s="45" t="n">
        <v>26.29536294418573</v>
      </c>
      <c r="N139" s="45" t="n">
        <v>26.21342637472528</v>
      </c>
      <c r="O139" s="45" t="n">
        <v>25.98240710332661</v>
      </c>
      <c r="P139" s="45" t="n">
        <v>26.02820726054316</v>
      </c>
      <c r="Q139" s="45" t="n">
        <v>26.05602395203175</v>
      </c>
      <c r="R139" s="45" t="n">
        <v>25.90046353019051</v>
      </c>
      <c r="S139" s="45" t="n">
        <v>25.75796876701963</v>
      </c>
      <c r="T139" s="45" t="n">
        <v>25.68853387249995</v>
      </c>
      <c r="U139" s="45" t="n">
        <v>25.84772693603454</v>
      </c>
      <c r="V139" s="38" t="n">
        <v>26.08399845918295</v>
      </c>
      <c r="W139" s="41" t="n">
        <v>345</v>
      </c>
      <c r="X139" s="24" t="n">
        <v>0.9583333333333334</v>
      </c>
    </row>
    <row r="140" ht="13.9" customHeight="1">
      <c r="A140" s="10" t="n">
        <v>11035010</v>
      </c>
      <c r="B140" s="21" t="inlineStr">
        <is>
          <t>CP</t>
        </is>
      </c>
      <c r="C140" s="21" t="inlineStr">
        <is>
          <t>Lloró</t>
        </is>
      </c>
      <c r="D140" s="21" t="inlineStr">
        <is>
          <t>Lloró</t>
        </is>
      </c>
      <c r="E140" s="21" t="inlineStr">
        <is>
          <t>Chocó</t>
        </is>
      </c>
      <c r="F140" s="21" t="n">
        <v>1</v>
      </c>
      <c r="G140" s="21" t="n">
        <v>41</v>
      </c>
      <c r="H140" s="42" t="n">
        <v>-76.58</v>
      </c>
      <c r="I140" s="43" t="n">
        <v>5.51</v>
      </c>
      <c r="J140" s="22" t="n">
        <v>26.27875223597449</v>
      </c>
      <c r="K140" s="23" t="n">
        <v>26.3855908956296</v>
      </c>
      <c r="L140" s="23" t="n">
        <v>26.58067288299297</v>
      </c>
      <c r="M140" s="23" t="n">
        <v>26.76539352558891</v>
      </c>
      <c r="N140" s="23" t="n">
        <v>26.93147247676722</v>
      </c>
      <c r="O140" s="23" t="n">
        <v>26.84106321839077</v>
      </c>
      <c r="P140" s="23" t="n">
        <v>26.90183651080669</v>
      </c>
      <c r="Q140" s="23" t="n">
        <v>26.93204676871134</v>
      </c>
      <c r="R140" s="23" t="n">
        <v>26.55170574104479</v>
      </c>
      <c r="S140" s="23" t="n">
        <v>26.45358313776523</v>
      </c>
      <c r="T140" s="23" t="n">
        <v>26.41340128824474</v>
      </c>
      <c r="U140" s="23" t="n">
        <v>26.41268829117691</v>
      </c>
      <c r="V140" s="38" t="n">
        <v>26.62068391442447</v>
      </c>
      <c r="W140" s="41" t="n">
        <v>109</v>
      </c>
      <c r="X140" s="24" t="n">
        <v>0.9083333333333333</v>
      </c>
    </row>
    <row r="141" ht="13.9" customHeight="1">
      <c r="A141" s="10" t="n">
        <v>54025010</v>
      </c>
      <c r="B141" s="21" t="inlineStr">
        <is>
          <t>CO</t>
        </is>
      </c>
      <c r="C141" s="21" t="inlineStr">
        <is>
          <t>San José Palmar</t>
        </is>
      </c>
      <c r="D141" s="21" t="inlineStr">
        <is>
          <t>Nóvita</t>
        </is>
      </c>
      <c r="E141" s="21" t="inlineStr">
        <is>
          <t>Chocó</t>
        </is>
      </c>
      <c r="F141" s="21" t="n">
        <v>9</v>
      </c>
      <c r="G141" s="21" t="n">
        <v>1115</v>
      </c>
      <c r="H141" s="42" t="n">
        <v>-76.67666666999999</v>
      </c>
      <c r="I141" s="43" t="n">
        <v>4.89808333</v>
      </c>
      <c r="J141" s="22" t="n">
        <v>20.78480301763094</v>
      </c>
      <c r="K141" s="23" t="n">
        <v>20.94052602931335</v>
      </c>
      <c r="L141" s="23" t="n">
        <v>21.18832846175323</v>
      </c>
      <c r="M141" s="23" t="n">
        <v>21.37450724958031</v>
      </c>
      <c r="N141" s="23" t="n">
        <v>21.40500543533216</v>
      </c>
      <c r="O141" s="23" t="n">
        <v>21.41708471027761</v>
      </c>
      <c r="P141" s="23" t="n">
        <v>21.36190467178402</v>
      </c>
      <c r="Q141" s="23" t="n">
        <v>21.45301761555392</v>
      </c>
      <c r="R141" s="23" t="n">
        <v>21.25261277328365</v>
      </c>
      <c r="S141" s="23" t="n">
        <v>20.93967784604878</v>
      </c>
      <c r="T141" s="23" t="n">
        <v>20.7318975192947</v>
      </c>
      <c r="U141" s="23" t="n">
        <v>20.78979848122596</v>
      </c>
      <c r="V141" s="38" t="n">
        <v>21.13659698425655</v>
      </c>
      <c r="W141" s="41" t="n">
        <v>290</v>
      </c>
      <c r="X141" s="24" t="n">
        <v>0.8055555555555556</v>
      </c>
    </row>
    <row r="142" ht="13.9" customHeight="1">
      <c r="A142" s="10" t="n">
        <v>56015030</v>
      </c>
      <c r="B142" s="21" t="inlineStr">
        <is>
          <t>CO</t>
        </is>
      </c>
      <c r="C142" s="21" t="inlineStr">
        <is>
          <t>Amargal</t>
        </is>
      </c>
      <c r="D142" s="21" t="inlineStr">
        <is>
          <t>Nuquí</t>
        </is>
      </c>
      <c r="E142" s="21" t="inlineStr">
        <is>
          <t>Chocó</t>
        </is>
      </c>
      <c r="F142" s="21" t="n">
        <v>1</v>
      </c>
      <c r="G142" s="21" t="n">
        <v>30</v>
      </c>
      <c r="H142" s="42" t="n">
        <v>-77.50277778</v>
      </c>
      <c r="I142" s="43" t="n">
        <v>5.57083333</v>
      </c>
      <c r="J142" s="44" t="n">
        <v>25.47528829295029</v>
      </c>
      <c r="K142" s="45" t="n">
        <v>25.73784727752118</v>
      </c>
      <c r="L142" s="45" t="n">
        <v>25.71278989441531</v>
      </c>
      <c r="M142" s="45" t="n">
        <v>25.92203811769328</v>
      </c>
      <c r="N142" s="45" t="n">
        <v>25.81310658138672</v>
      </c>
      <c r="O142" s="45" t="n">
        <v>25.49349792679293</v>
      </c>
      <c r="P142" s="45" t="n">
        <v>25.42909559212673</v>
      </c>
      <c r="Q142" s="45" t="n">
        <v>25.55383941004407</v>
      </c>
      <c r="R142" s="45" t="n">
        <v>25.26283904654814</v>
      </c>
      <c r="S142" s="45" t="n">
        <v>25.07182008522108</v>
      </c>
      <c r="T142" s="45" t="n">
        <v>24.96282163363102</v>
      </c>
      <c r="U142" s="45" t="n">
        <v>24.98567427755655</v>
      </c>
      <c r="V142" s="38" t="n">
        <v>25.45172151132394</v>
      </c>
      <c r="W142" s="41" t="n">
        <v>114</v>
      </c>
      <c r="X142" s="24" t="n">
        <v>0.95</v>
      </c>
    </row>
    <row r="143" ht="13.9" customHeight="1">
      <c r="A143" s="10" t="n">
        <v>11045010</v>
      </c>
      <c r="B143" s="21" t="inlineStr">
        <is>
          <t>SP</t>
        </is>
      </c>
      <c r="C143" s="21" t="inlineStr">
        <is>
          <t>Aeropuerto El Caraño</t>
        </is>
      </c>
      <c r="D143" s="21" t="inlineStr">
        <is>
          <t>Quibdó</t>
        </is>
      </c>
      <c r="E143" s="21" t="inlineStr">
        <is>
          <t>Chocó</t>
        </is>
      </c>
      <c r="F143" s="21" t="n">
        <v>1</v>
      </c>
      <c r="G143" s="21" t="n">
        <v>75</v>
      </c>
      <c r="H143" s="42" t="n">
        <v>-76.64377777999999</v>
      </c>
      <c r="I143" s="43" t="n">
        <v>5.69055556</v>
      </c>
      <c r="J143" s="44" t="n">
        <v>26.76184139784946</v>
      </c>
      <c r="K143" s="45" t="n">
        <v>27.06783486894118</v>
      </c>
      <c r="L143" s="45" t="n">
        <v>27.18554480286738</v>
      </c>
      <c r="M143" s="45" t="n">
        <v>27.20630555555555</v>
      </c>
      <c r="N143" s="45" t="n">
        <v>27.10119982078852</v>
      </c>
      <c r="O143" s="45" t="n">
        <v>26.89284003831417</v>
      </c>
      <c r="P143" s="45" t="n">
        <v>26.98870596959585</v>
      </c>
      <c r="Q143" s="45" t="n">
        <v>26.9782275985663</v>
      </c>
      <c r="R143" s="45" t="n">
        <v>26.70931226053638</v>
      </c>
      <c r="S143" s="45" t="n">
        <v>26.42848998887652</v>
      </c>
      <c r="T143" s="45" t="n">
        <v>26.18199712643678</v>
      </c>
      <c r="U143" s="45" t="n">
        <v>26.3653853046595</v>
      </c>
      <c r="V143" s="38" t="n">
        <v>26.8223070610823</v>
      </c>
      <c r="W143" s="41" t="n">
        <v>358</v>
      </c>
      <c r="X143" s="24" t="n">
        <v>0.9944444444444445</v>
      </c>
    </row>
    <row r="144" ht="13.9" customHeight="1">
      <c r="A144" s="10" t="n">
        <v>11035020</v>
      </c>
      <c r="B144" s="35" t="inlineStr">
        <is>
          <t>PM</t>
        </is>
      </c>
      <c r="C144" s="35" t="inlineStr">
        <is>
          <t>San Isidro</t>
        </is>
      </c>
      <c r="D144" s="35" t="inlineStr">
        <is>
          <t>Rio Quito (Paimadó)</t>
        </is>
      </c>
      <c r="E144" s="35" t="inlineStr">
        <is>
          <t>Chocó</t>
        </is>
      </c>
      <c r="F144" s="35" t="n">
        <v>1</v>
      </c>
      <c r="G144" s="35" t="n">
        <v>53</v>
      </c>
      <c r="H144" s="36" t="n">
        <v>-76.74972222000001</v>
      </c>
      <c r="I144" s="37" t="n">
        <v>5.62616667</v>
      </c>
      <c r="J144" s="22" t="n">
        <v>26.15831125833747</v>
      </c>
      <c r="K144" s="23" t="n">
        <v>26.38843797933143</v>
      </c>
      <c r="L144" s="23" t="n">
        <v>26.62530444170758</v>
      </c>
      <c r="M144" s="23" t="n">
        <v>26.74737383025008</v>
      </c>
      <c r="N144" s="23" t="n">
        <v>26.78066471516663</v>
      </c>
      <c r="O144" s="23" t="n">
        <v>26.53115952643391</v>
      </c>
      <c r="P144" s="23" t="n">
        <v>26.56205315473127</v>
      </c>
      <c r="Q144" s="23" t="n">
        <v>26.58883380219364</v>
      </c>
      <c r="R144" s="23" t="n">
        <v>26.44797895022453</v>
      </c>
      <c r="S144" s="23" t="n">
        <v>26.21630528798512</v>
      </c>
      <c r="T144" s="23" t="n">
        <v>25.94285524330564</v>
      </c>
      <c r="U144" s="23" t="n">
        <v>25.99302871474064</v>
      </c>
      <c r="V144" s="38" t="n">
        <v>26.415192242034</v>
      </c>
      <c r="W144" s="41" t="n">
        <v>230</v>
      </c>
      <c r="X144" s="24" t="n">
        <v>0.9583333333333334</v>
      </c>
    </row>
    <row r="145" ht="13.9" customHeight="1">
      <c r="A145" s="10" t="n">
        <v>25025030</v>
      </c>
      <c r="B145" s="21" t="inlineStr">
        <is>
          <t>ME</t>
        </is>
      </c>
      <c r="C145" s="21" t="inlineStr">
        <is>
          <t xml:space="preserve">Ayapel - AUT </t>
        </is>
      </c>
      <c r="D145" s="21" t="inlineStr">
        <is>
          <t>Ayapel</t>
        </is>
      </c>
      <c r="E145" s="21" t="inlineStr">
        <is>
          <t>Córdoba</t>
        </is>
      </c>
      <c r="F145" s="21" t="n">
        <v>2</v>
      </c>
      <c r="G145" s="21" t="n">
        <v>20</v>
      </c>
      <c r="H145" s="42" t="n">
        <v>-75.16455556000001</v>
      </c>
      <c r="I145" s="43" t="n">
        <v>8.29506389</v>
      </c>
      <c r="J145" s="22" t="n">
        <v>28.24042356666292</v>
      </c>
      <c r="K145" s="23" t="n">
        <v>28.82950869567736</v>
      </c>
      <c r="L145" s="23" t="n">
        <v>28.97836136101569</v>
      </c>
      <c r="M145" s="23" t="n">
        <v>28.62735867038771</v>
      </c>
      <c r="N145" s="23" t="n">
        <v>28.18889967885147</v>
      </c>
      <c r="O145" s="23" t="n">
        <v>28.1708335613939</v>
      </c>
      <c r="P145" s="23" t="n">
        <v>28.17431842202003</v>
      </c>
      <c r="Q145" s="23" t="n">
        <v>27.98231012542539</v>
      </c>
      <c r="R145" s="23" t="n">
        <v>27.8486064612484</v>
      </c>
      <c r="S145" s="23" t="n">
        <v>27.6993527908814</v>
      </c>
      <c r="T145" s="23" t="n">
        <v>27.79290218710851</v>
      </c>
      <c r="U145" s="23" t="n">
        <v>28.04073260442231</v>
      </c>
      <c r="V145" s="38" t="n">
        <v>28.21446734375792</v>
      </c>
      <c r="W145" s="41" t="n">
        <v>301</v>
      </c>
      <c r="X145" s="24" t="n">
        <v>0.8361111111111111</v>
      </c>
    </row>
    <row r="146" ht="13.9" customHeight="1">
      <c r="A146" s="10" t="n">
        <v>13075010</v>
      </c>
      <c r="B146" s="21" t="inlineStr">
        <is>
          <t>CO</t>
        </is>
      </c>
      <c r="C146" s="21" t="inlineStr">
        <is>
          <t>Chima</t>
        </is>
      </c>
      <c r="D146" s="21" t="inlineStr">
        <is>
          <t xml:space="preserve">Chima </t>
        </is>
      </c>
      <c r="E146" s="11" t="inlineStr">
        <is>
          <t>Córdoba</t>
        </is>
      </c>
      <c r="F146" s="21" t="n">
        <v>2</v>
      </c>
      <c r="G146" s="21" t="n">
        <v>20</v>
      </c>
      <c r="H146" s="42" t="n">
        <v>-75.62208333</v>
      </c>
      <c r="I146" s="43" t="n">
        <v>9.15075</v>
      </c>
      <c r="J146" s="44" t="n">
        <v>27.63793950950791</v>
      </c>
      <c r="K146" s="45" t="n">
        <v>27.86530178052653</v>
      </c>
      <c r="L146" s="45" t="n">
        <v>28.08991935483871</v>
      </c>
      <c r="M146" s="45" t="n">
        <v>28.1641882183908</v>
      </c>
      <c r="N146" s="45" t="n">
        <v>27.87417914746544</v>
      </c>
      <c r="O146" s="45" t="n">
        <v>27.86301445578232</v>
      </c>
      <c r="P146" s="45" t="n">
        <v>27.90619763189748</v>
      </c>
      <c r="Q146" s="45" t="n">
        <v>27.73897694375516</v>
      </c>
      <c r="R146" s="45" t="n">
        <v>27.50254412972085</v>
      </c>
      <c r="S146" s="45" t="n">
        <v>27.47884726160935</v>
      </c>
      <c r="T146" s="45" t="n">
        <v>27.4901645320197</v>
      </c>
      <c r="U146" s="45" t="n">
        <v>27.60047058371735</v>
      </c>
      <c r="V146" s="38" t="n">
        <v>27.7676452957693</v>
      </c>
      <c r="W146" s="41" t="n">
        <v>323</v>
      </c>
      <c r="X146" s="24" t="n">
        <v>0.8972222222222223</v>
      </c>
    </row>
    <row r="147" ht="13.9" customHeight="1">
      <c r="A147" s="10" t="n">
        <v>13075020</v>
      </c>
      <c r="B147" s="35" t="inlineStr">
        <is>
          <t>CO</t>
        </is>
      </c>
      <c r="C147" s="35" t="inlineStr">
        <is>
          <t>El Salado</t>
        </is>
      </c>
      <c r="D147" s="35" t="inlineStr">
        <is>
          <t>Ciénaga de Oro</t>
        </is>
      </c>
      <c r="E147" s="35" t="inlineStr">
        <is>
          <t>Córdoba</t>
        </is>
      </c>
      <c r="F147" s="35" t="n">
        <v>2</v>
      </c>
      <c r="G147" s="35" t="n">
        <v>40</v>
      </c>
      <c r="H147" s="36" t="n">
        <v>-75.58222222000001</v>
      </c>
      <c r="I147" s="37" t="n">
        <v>8.913888890000001</v>
      </c>
      <c r="J147" s="22" t="n">
        <v>28.06740959552048</v>
      </c>
      <c r="K147" s="23" t="n">
        <v>28.40311961613715</v>
      </c>
      <c r="L147" s="23" t="n">
        <v>28.57068290584786</v>
      </c>
      <c r="M147" s="23" t="n">
        <v>28.49903410600496</v>
      </c>
      <c r="N147" s="23" t="n">
        <v>27.9423587955449</v>
      </c>
      <c r="O147" s="23" t="n">
        <v>28.02377551759724</v>
      </c>
      <c r="P147" s="23" t="n">
        <v>27.96887585931739</v>
      </c>
      <c r="Q147" s="23" t="n">
        <v>27.87742247854888</v>
      </c>
      <c r="R147" s="23" t="n">
        <v>27.54746859495313</v>
      </c>
      <c r="S147" s="23" t="n">
        <v>27.51725916407367</v>
      </c>
      <c r="T147" s="23" t="n">
        <v>27.64490702388165</v>
      </c>
      <c r="U147" s="23" t="n">
        <v>27.85106079241485</v>
      </c>
      <c r="V147" s="38" t="n">
        <v>27.99278120415352</v>
      </c>
      <c r="W147" s="41" t="n">
        <v>331</v>
      </c>
      <c r="X147" s="24" t="n">
        <v>0.9194444444444444</v>
      </c>
    </row>
    <row r="148" ht="13.9" customHeight="1">
      <c r="A148" s="10" t="n">
        <v>13085010</v>
      </c>
      <c r="B148" s="21" t="inlineStr">
        <is>
          <t>CP</t>
        </is>
      </c>
      <c r="C148" s="21" t="inlineStr">
        <is>
          <t xml:space="preserve">La Doctrina </t>
        </is>
      </c>
      <c r="D148" s="21" t="inlineStr">
        <is>
          <t>Lorica</t>
        </is>
      </c>
      <c r="E148" s="21" t="inlineStr">
        <is>
          <t>Córdoba</t>
        </is>
      </c>
      <c r="F148" s="21" t="n">
        <v>2</v>
      </c>
      <c r="G148" s="21" t="n">
        <v>20</v>
      </c>
      <c r="H148" s="42" t="n">
        <v>-75.89277778</v>
      </c>
      <c r="I148" s="43" t="n">
        <v>9.29722222</v>
      </c>
      <c r="J148" s="22" t="n">
        <v>27.70097793086101</v>
      </c>
      <c r="K148" s="23" t="n">
        <v>27.7060867978709</v>
      </c>
      <c r="L148" s="23" t="n">
        <v>27.90693022597124</v>
      </c>
      <c r="M148" s="23" t="n">
        <v>28.22125924912322</v>
      </c>
      <c r="N148" s="23" t="n">
        <v>28.13849621189944</v>
      </c>
      <c r="O148" s="23" t="n">
        <v>28.24302097659683</v>
      </c>
      <c r="P148" s="23" t="n">
        <v>28.30192547522764</v>
      </c>
      <c r="Q148" s="23" t="n">
        <v>28.04503904018269</v>
      </c>
      <c r="R148" s="23" t="n">
        <v>27.83504220790606</v>
      </c>
      <c r="S148" s="23" t="n">
        <v>27.62038840495597</v>
      </c>
      <c r="T148" s="23" t="n">
        <v>27.60331023647301</v>
      </c>
      <c r="U148" s="23" t="n">
        <v>27.95005513527047</v>
      </c>
      <c r="V148" s="38" t="n">
        <v>27.93937765769487</v>
      </c>
      <c r="W148" s="41" t="n">
        <v>224</v>
      </c>
      <c r="X148" s="24" t="n">
        <v>0.9333333333333333</v>
      </c>
    </row>
    <row r="149" ht="13.9" customHeight="1">
      <c r="A149" s="10" t="n">
        <v>13085050</v>
      </c>
      <c r="B149" s="21" t="inlineStr">
        <is>
          <t>CP</t>
        </is>
      </c>
      <c r="C149" s="21" t="inlineStr">
        <is>
          <t xml:space="preserve">Lorica Ita - AUT </t>
        </is>
      </c>
      <c r="D149" s="21" t="inlineStr">
        <is>
          <t>Lorica</t>
        </is>
      </c>
      <c r="E149" s="21" t="inlineStr">
        <is>
          <t>Córdoba</t>
        </is>
      </c>
      <c r="F149" s="21" t="n">
        <v>2</v>
      </c>
      <c r="G149" s="21" t="n">
        <v>30</v>
      </c>
      <c r="H149" s="42" t="n">
        <v>-75.84441666999999</v>
      </c>
      <c r="I149" s="43" t="n">
        <v>9.252722220000001</v>
      </c>
      <c r="J149" s="22" t="n">
        <v>27.4513266919671</v>
      </c>
      <c r="K149" s="23" t="n">
        <v>27.59758328382274</v>
      </c>
      <c r="L149" s="23" t="n">
        <v>27.90527902025831</v>
      </c>
      <c r="M149" s="23" t="n">
        <v>28.16570653062285</v>
      </c>
      <c r="N149" s="23" t="n">
        <v>27.81797645937143</v>
      </c>
      <c r="O149" s="23" t="n">
        <v>27.7582043230682</v>
      </c>
      <c r="P149" s="23" t="n">
        <v>27.80499830464649</v>
      </c>
      <c r="Q149" s="23" t="n">
        <v>27.66315890541388</v>
      </c>
      <c r="R149" s="23" t="n">
        <v>27.38665719957302</v>
      </c>
      <c r="S149" s="23" t="n">
        <v>27.16916591351501</v>
      </c>
      <c r="T149" s="23" t="n">
        <v>27.13496318247125</v>
      </c>
      <c r="U149" s="23" t="n">
        <v>27.4021742693826</v>
      </c>
      <c r="V149" s="38" t="n">
        <v>27.60476617367607</v>
      </c>
      <c r="W149" s="41" t="n">
        <v>211</v>
      </c>
      <c r="X149" s="24" t="n">
        <v>0.8791666666666667</v>
      </c>
    </row>
    <row r="150" ht="13.9" customHeight="1">
      <c r="A150" s="10" t="n">
        <v>25025160</v>
      </c>
      <c r="B150" s="35" t="inlineStr">
        <is>
          <t>CO</t>
        </is>
      </c>
      <c r="C150" s="35" t="inlineStr">
        <is>
          <t>Hacienda Cuba</t>
        </is>
      </c>
      <c r="D150" s="35" t="inlineStr">
        <is>
          <t>Montelíbano</t>
        </is>
      </c>
      <c r="E150" s="35" t="inlineStr">
        <is>
          <t>Córdoba</t>
        </is>
      </c>
      <c r="F150" s="35" t="n">
        <v>2</v>
      </c>
      <c r="G150" s="35" t="n">
        <v>50</v>
      </c>
      <c r="H150" s="36" t="n">
        <v>-75.40277777999999</v>
      </c>
      <c r="I150" s="37" t="n">
        <v>8.003888890000001</v>
      </c>
      <c r="J150" s="22" t="n">
        <v>27.57594324169372</v>
      </c>
      <c r="K150" s="23" t="n">
        <v>27.74211997835085</v>
      </c>
      <c r="L150" s="23" t="n">
        <v>27.81079214544165</v>
      </c>
      <c r="M150" s="23" t="n">
        <v>27.66008512669512</v>
      </c>
      <c r="N150" s="23" t="n">
        <v>27.40170625983493</v>
      </c>
      <c r="O150" s="23" t="n">
        <v>27.34200976658033</v>
      </c>
      <c r="P150" s="23" t="n">
        <v>27.28869034603182</v>
      </c>
      <c r="Q150" s="23" t="n">
        <v>27.21920614995987</v>
      </c>
      <c r="R150" s="23" t="n">
        <v>27.10451350820315</v>
      </c>
      <c r="S150" s="23" t="n">
        <v>27.18989960270259</v>
      </c>
      <c r="T150" s="23" t="n">
        <v>27.25317172595021</v>
      </c>
      <c r="U150" s="23" t="n">
        <v>27.5233183325388</v>
      </c>
      <c r="V150" s="38" t="n">
        <v>27.42595468199859</v>
      </c>
      <c r="W150" s="41" t="n">
        <v>305</v>
      </c>
      <c r="X150" s="24" t="n">
        <v>0.8472222222222222</v>
      </c>
    </row>
    <row r="151" ht="13.9" customHeight="1">
      <c r="A151" s="10" t="n">
        <v>13035501</v>
      </c>
      <c r="B151" s="21" t="inlineStr">
        <is>
          <t>SP</t>
        </is>
      </c>
      <c r="C151" s="11" t="inlineStr">
        <is>
          <t>Aeropuerto Los Garzones</t>
        </is>
      </c>
      <c r="D151" s="21" t="inlineStr">
        <is>
          <t>Montería</t>
        </is>
      </c>
      <c r="E151" s="21" t="inlineStr">
        <is>
          <t>Córdoba</t>
        </is>
      </c>
      <c r="F151" s="21" t="n">
        <v>2</v>
      </c>
      <c r="G151" s="21" t="n">
        <v>20</v>
      </c>
      <c r="H151" s="42" t="n">
        <v>-75.82513889000001</v>
      </c>
      <c r="I151" s="43" t="n">
        <v>8.825833330000002</v>
      </c>
      <c r="J151" s="22" t="n">
        <v>27.9537911395668</v>
      </c>
      <c r="K151" s="23" t="n">
        <v>28.3285650884875</v>
      </c>
      <c r="L151" s="23" t="n">
        <v>28.53952300413157</v>
      </c>
      <c r="M151" s="23" t="n">
        <v>28.560297771088</v>
      </c>
      <c r="N151" s="23" t="n">
        <v>28.23130138907186</v>
      </c>
      <c r="O151" s="23" t="n">
        <v>28.28040054561606</v>
      </c>
      <c r="P151" s="23" t="n">
        <v>28.26566638931558</v>
      </c>
      <c r="Q151" s="23" t="n">
        <v>28.08210560234475</v>
      </c>
      <c r="R151" s="23" t="n">
        <v>27.70823838484932</v>
      </c>
      <c r="S151" s="23" t="n">
        <v>27.55799685231136</v>
      </c>
      <c r="T151" s="23" t="n">
        <v>27.5747740129935</v>
      </c>
      <c r="U151" s="23" t="n">
        <v>27.84215485098882</v>
      </c>
      <c r="V151" s="38" t="n">
        <v>28.07706791923043</v>
      </c>
      <c r="W151" s="41" t="n">
        <v>312</v>
      </c>
      <c r="X151" s="24" t="n">
        <v>0.8666666666666667</v>
      </c>
    </row>
    <row r="152" ht="13.9" customHeight="1">
      <c r="A152" s="10" t="n">
        <v>13055030</v>
      </c>
      <c r="B152" s="35" t="inlineStr">
        <is>
          <t>CO</t>
        </is>
      </c>
      <c r="C152" s="35" t="inlineStr">
        <is>
          <t>Galán</t>
        </is>
      </c>
      <c r="D152" s="35" t="inlineStr">
        <is>
          <t>Montería</t>
        </is>
      </c>
      <c r="E152" s="35" t="inlineStr">
        <is>
          <t>Córdoba</t>
        </is>
      </c>
      <c r="F152" s="35" t="n">
        <v>2</v>
      </c>
      <c r="G152" s="35" t="n">
        <v>30</v>
      </c>
      <c r="H152" s="36" t="n">
        <v>-75.9725</v>
      </c>
      <c r="I152" s="37" t="n">
        <v>8.659166670000001</v>
      </c>
      <c r="J152" s="22" t="n">
        <v>27.27629032258064</v>
      </c>
      <c r="K152" s="23" t="n">
        <v>27.4504801815362</v>
      </c>
      <c r="L152" s="23" t="n">
        <v>27.53297061549869</v>
      </c>
      <c r="M152" s="23" t="n">
        <v>27.72554022988505</v>
      </c>
      <c r="N152" s="23" t="n">
        <v>27.48362096774193</v>
      </c>
      <c r="O152" s="23" t="n">
        <v>27.65158908045976</v>
      </c>
      <c r="P152" s="23" t="n">
        <v>27.53086981566819</v>
      </c>
      <c r="Q152" s="23" t="n">
        <v>27.61099462365591</v>
      </c>
      <c r="R152" s="23" t="n">
        <v>27.30630172413792</v>
      </c>
      <c r="S152" s="23" t="n">
        <v>27.36360400444938</v>
      </c>
      <c r="T152" s="23" t="n">
        <v>27.35821551724137</v>
      </c>
      <c r="U152" s="23" t="n">
        <v>27.34680241935483</v>
      </c>
      <c r="V152" s="38" t="n">
        <v>27.46977329185082</v>
      </c>
      <c r="W152" s="41" t="n">
        <v>120</v>
      </c>
      <c r="X152" s="24" t="n">
        <v>1</v>
      </c>
    </row>
    <row r="153" ht="13.9" customHeight="1">
      <c r="A153" s="10" t="n">
        <v>13065020</v>
      </c>
      <c r="B153" s="21" t="inlineStr">
        <is>
          <t>CO</t>
        </is>
      </c>
      <c r="C153" s="21" t="inlineStr">
        <is>
          <t>Maracayo</t>
        </is>
      </c>
      <c r="D153" s="21" t="inlineStr">
        <is>
          <t>Montería</t>
        </is>
      </c>
      <c r="E153" s="21" t="inlineStr">
        <is>
          <t>Córdoba</t>
        </is>
      </c>
      <c r="F153" s="21" t="n">
        <v>2</v>
      </c>
      <c r="G153" s="21" t="n">
        <v>25</v>
      </c>
      <c r="H153" s="42" t="n">
        <v>-75.88</v>
      </c>
      <c r="I153" s="43" t="n">
        <v>8.41</v>
      </c>
      <c r="J153" s="44" t="n">
        <v>27.61099790919952</v>
      </c>
      <c r="K153" s="45" t="n">
        <v>27.97735971081919</v>
      </c>
      <c r="L153" s="45" t="n">
        <v>27.96512365591398</v>
      </c>
      <c r="M153" s="45" t="n">
        <v>27.86494578123026</v>
      </c>
      <c r="N153" s="45" t="n">
        <v>27.76664516129031</v>
      </c>
      <c r="O153" s="45" t="n">
        <v>27.65135714285714</v>
      </c>
      <c r="P153" s="45" t="n">
        <v>27.66975806451612</v>
      </c>
      <c r="Q153" s="45" t="n">
        <v>27.49933602150537</v>
      </c>
      <c r="R153" s="45" t="n">
        <v>27.38402729885057</v>
      </c>
      <c r="S153" s="45" t="n">
        <v>27.52919419725621</v>
      </c>
      <c r="T153" s="45" t="n">
        <v>27.34465692640692</v>
      </c>
      <c r="U153" s="45" t="n">
        <v>27.41517686318131</v>
      </c>
      <c r="V153" s="38" t="n">
        <v>27.63988156108557</v>
      </c>
      <c r="W153" s="41" t="n">
        <v>120</v>
      </c>
      <c r="X153" s="24" t="n">
        <v>1</v>
      </c>
    </row>
    <row r="154" ht="13.9" customHeight="1">
      <c r="A154" s="10" t="n">
        <v>25015010</v>
      </c>
      <c r="B154" s="21" t="inlineStr">
        <is>
          <t>CO</t>
        </is>
      </c>
      <c r="C154" s="21" t="inlineStr">
        <is>
          <t>Centro Alegre</t>
        </is>
      </c>
      <c r="D154" s="21" t="inlineStr">
        <is>
          <t>Planeta Rica</t>
        </is>
      </c>
      <c r="E154" s="21" t="inlineStr">
        <is>
          <t>Córdoba</t>
        </is>
      </c>
      <c r="F154" s="21" t="n">
        <v>2</v>
      </c>
      <c r="G154" s="21" t="n">
        <v>170</v>
      </c>
      <c r="H154" s="42" t="n">
        <v>-75.63227778</v>
      </c>
      <c r="I154" s="43" t="n">
        <v>8.18077778</v>
      </c>
      <c r="J154" s="44" t="n">
        <v>28.33831167124392</v>
      </c>
      <c r="K154" s="45" t="n">
        <v>28.5569327039247</v>
      </c>
      <c r="L154" s="45" t="n">
        <v>28.38675689895492</v>
      </c>
      <c r="M154" s="45" t="n">
        <v>28.12463395327798</v>
      </c>
      <c r="N154" s="45" t="n">
        <v>27.91469732791821</v>
      </c>
      <c r="O154" s="45" t="n">
        <v>27.90504660063129</v>
      </c>
      <c r="P154" s="45" t="n">
        <v>27.94011536900019</v>
      </c>
      <c r="Q154" s="45" t="n">
        <v>27.94251393376531</v>
      </c>
      <c r="R154" s="45" t="n">
        <v>27.8780774710906</v>
      </c>
      <c r="S154" s="45" t="n">
        <v>27.80439926640522</v>
      </c>
      <c r="T154" s="45" t="n">
        <v>27.88305034169125</v>
      </c>
      <c r="U154" s="45" t="n">
        <v>28.20603697246702</v>
      </c>
      <c r="V154" s="38" t="n">
        <v>28.07338104253088</v>
      </c>
      <c r="W154" s="41" t="n">
        <v>281</v>
      </c>
      <c r="X154" s="24" t="n">
        <v>0.7805555555555556</v>
      </c>
    </row>
    <row r="155" ht="13.9" customHeight="1">
      <c r="A155" s="10" t="n">
        <v>25025190</v>
      </c>
      <c r="B155" s="35" t="inlineStr">
        <is>
          <t>CO</t>
        </is>
      </c>
      <c r="C155" s="35" t="inlineStr">
        <is>
          <t>Planeta Rica</t>
        </is>
      </c>
      <c r="D155" s="35" t="inlineStr">
        <is>
          <t>Planeta Rica</t>
        </is>
      </c>
      <c r="E155" s="35" t="inlineStr">
        <is>
          <t>Córdoba</t>
        </is>
      </c>
      <c r="F155" s="35" t="n">
        <v>2</v>
      </c>
      <c r="G155" s="35" t="n">
        <v>90</v>
      </c>
      <c r="H155" s="36" t="n">
        <v>-75.58372222</v>
      </c>
      <c r="I155" s="37" t="n">
        <v>8.399333330000001</v>
      </c>
      <c r="J155" s="22" t="n">
        <v>28.14899253711664</v>
      </c>
      <c r="K155" s="23" t="n">
        <v>28.5399974603625</v>
      </c>
      <c r="L155" s="23" t="n">
        <v>28.65788120751208</v>
      </c>
      <c r="M155" s="23" t="n">
        <v>28.47544880891304</v>
      </c>
      <c r="N155" s="23" t="n">
        <v>27.91448530794846</v>
      </c>
      <c r="O155" s="23" t="n">
        <v>27.89870976485199</v>
      </c>
      <c r="P155" s="23" t="n">
        <v>27.93814297842482</v>
      </c>
      <c r="Q155" s="23" t="n">
        <v>27.81316618347252</v>
      </c>
      <c r="R155" s="23" t="n">
        <v>27.5836079243357</v>
      </c>
      <c r="S155" s="23" t="n">
        <v>27.43146605155304</v>
      </c>
      <c r="T155" s="23" t="n">
        <v>27.51400243330716</v>
      </c>
      <c r="U155" s="23" t="n">
        <v>27.78159322892317</v>
      </c>
      <c r="V155" s="38" t="n">
        <v>27.97479115722676</v>
      </c>
      <c r="W155" s="41" t="n">
        <v>314</v>
      </c>
      <c r="X155" s="24" t="n">
        <v>0.8722222222222222</v>
      </c>
    </row>
    <row r="156" ht="13.9" customHeight="1">
      <c r="A156" s="10" t="n">
        <v>25025170</v>
      </c>
      <c r="B156" s="21" t="inlineStr">
        <is>
          <t>CO</t>
        </is>
      </c>
      <c r="C156" s="21" t="inlineStr">
        <is>
          <t>Colomboy</t>
        </is>
      </c>
      <c r="D156" s="21" t="inlineStr">
        <is>
          <t>Sahagún</t>
        </is>
      </c>
      <c r="E156" s="21" t="inlineStr">
        <is>
          <t>Córdoba</t>
        </is>
      </c>
      <c r="F156" s="21" t="n">
        <v>2</v>
      </c>
      <c r="G156" s="21" t="n">
        <v>125</v>
      </c>
      <c r="H156" s="42" t="n">
        <v>-75.49883333</v>
      </c>
      <c r="I156" s="43" t="n">
        <v>8.740861110000001</v>
      </c>
      <c r="J156" s="44" t="n">
        <v>27.58014795302335</v>
      </c>
      <c r="K156" s="45" t="n">
        <v>27.89447873799725</v>
      </c>
      <c r="L156" s="45" t="n">
        <v>28.01252461582828</v>
      </c>
      <c r="M156" s="45" t="n">
        <v>27.83049134021424</v>
      </c>
      <c r="N156" s="45" t="n">
        <v>27.3878380787799</v>
      </c>
      <c r="O156" s="45" t="n">
        <v>27.55655540819333</v>
      </c>
      <c r="P156" s="45" t="n">
        <v>27.54408315412185</v>
      </c>
      <c r="Q156" s="45" t="n">
        <v>27.42116681731114</v>
      </c>
      <c r="R156" s="45" t="n">
        <v>26.96576867816091</v>
      </c>
      <c r="S156" s="45" t="n">
        <v>26.74164454685098</v>
      </c>
      <c r="T156" s="45" t="n">
        <v>26.76486066490563</v>
      </c>
      <c r="U156" s="45" t="n">
        <v>27.17156230688418</v>
      </c>
      <c r="V156" s="38" t="n">
        <v>27.40592685852259</v>
      </c>
      <c r="W156" s="41" t="n">
        <v>309</v>
      </c>
      <c r="X156" s="24" t="n">
        <v>0.8583333333333333</v>
      </c>
    </row>
    <row r="157" ht="13.9" customHeight="1">
      <c r="A157" s="10" t="n">
        <v>13085030</v>
      </c>
      <c r="B157" s="21" t="inlineStr">
        <is>
          <t>CO</t>
        </is>
      </c>
      <c r="C157" s="21" t="inlineStr">
        <is>
          <t>San Bernardo del Viento</t>
        </is>
      </c>
      <c r="D157" s="21" t="inlineStr">
        <is>
          <t>San Bernardo del Viento</t>
        </is>
      </c>
      <c r="E157" s="21" t="inlineStr">
        <is>
          <t>Córdoba</t>
        </is>
      </c>
      <c r="F157" s="21" t="n">
        <v>2</v>
      </c>
      <c r="G157" s="21" t="n">
        <v>22</v>
      </c>
      <c r="H157" s="42" t="n">
        <v>-75.95</v>
      </c>
      <c r="I157" s="43" t="n">
        <v>9.369999999999999</v>
      </c>
      <c r="J157" s="44" t="n">
        <v>27.36207116498059</v>
      </c>
      <c r="K157" s="45" t="n">
        <v>27.36281809107256</v>
      </c>
      <c r="L157" s="45" t="n">
        <v>27.44165706605222</v>
      </c>
      <c r="M157" s="45" t="n">
        <v>27.51122497849714</v>
      </c>
      <c r="N157" s="45" t="n">
        <v>27.40513911204493</v>
      </c>
      <c r="O157" s="45" t="n">
        <v>27.32693893185603</v>
      </c>
      <c r="P157" s="45" t="n">
        <v>27.33463974658191</v>
      </c>
      <c r="Q157" s="45" t="n">
        <v>27.3188525923602</v>
      </c>
      <c r="R157" s="45" t="n">
        <v>27.20166699872285</v>
      </c>
      <c r="S157" s="45" t="n">
        <v>27.22081054131053</v>
      </c>
      <c r="T157" s="45" t="n">
        <v>27.25844924833769</v>
      </c>
      <c r="U157" s="45" t="n">
        <v>27.36261842160273</v>
      </c>
      <c r="V157" s="38" t="n">
        <v>27.34224057445162</v>
      </c>
      <c r="W157" s="41" t="n">
        <v>319</v>
      </c>
      <c r="X157" s="24" t="n">
        <v>0.8861111111111111</v>
      </c>
    </row>
    <row r="158" ht="13.9" customHeight="1">
      <c r="A158" s="10" t="n">
        <v>13015040</v>
      </c>
      <c r="B158" s="21" t="inlineStr">
        <is>
          <t>CP</t>
        </is>
      </c>
      <c r="C158" s="21" t="inlineStr">
        <is>
          <t>Represa Urra</t>
        </is>
      </c>
      <c r="D158" s="21" t="inlineStr">
        <is>
          <t>Tierralta</t>
        </is>
      </c>
      <c r="E158" s="21" t="inlineStr">
        <is>
          <t>Córdoba</t>
        </is>
      </c>
      <c r="F158" s="21" t="n">
        <v>2</v>
      </c>
      <c r="G158" s="21" t="n">
        <v>300</v>
      </c>
      <c r="H158" s="42" t="n">
        <v>-76.20305556000001</v>
      </c>
      <c r="I158" s="43" t="n">
        <v>8.01416667</v>
      </c>
      <c r="J158" s="44" t="n">
        <v>27.54330367810206</v>
      </c>
      <c r="K158" s="45" t="n">
        <v>27.70583158533675</v>
      </c>
      <c r="L158" s="45" t="n">
        <v>27.57734475806451</v>
      </c>
      <c r="M158" s="45" t="n">
        <v>27.59707006318268</v>
      </c>
      <c r="N158" s="45" t="n">
        <v>27.35794373377826</v>
      </c>
      <c r="O158" s="45" t="n">
        <v>27.39560689655172</v>
      </c>
      <c r="P158" s="45" t="n">
        <v>27.34234344428282</v>
      </c>
      <c r="Q158" s="45" t="n">
        <v>27.22851750737534</v>
      </c>
      <c r="R158" s="45" t="n">
        <v>27.27140172869914</v>
      </c>
      <c r="S158" s="45" t="n">
        <v>27.22822487949573</v>
      </c>
      <c r="T158" s="45" t="n">
        <v>27.10341315453384</v>
      </c>
      <c r="U158" s="45" t="n">
        <v>27.24735065710871</v>
      </c>
      <c r="V158" s="38" t="n">
        <v>27.3831960072093</v>
      </c>
      <c r="W158" s="41" t="n">
        <v>116</v>
      </c>
      <c r="X158" s="24" t="n">
        <v>0.9666666666666667</v>
      </c>
    </row>
    <row r="159" ht="13.9" customHeight="1">
      <c r="A159" s="10" t="n">
        <v>21205660</v>
      </c>
      <c r="B159" s="21" t="inlineStr">
        <is>
          <t>CP</t>
        </is>
      </c>
      <c r="C159" s="21" t="inlineStr">
        <is>
          <t>Mercedes</t>
        </is>
      </c>
      <c r="D159" s="21" t="inlineStr">
        <is>
          <t>Anapoima</t>
        </is>
      </c>
      <c r="E159" s="21" t="inlineStr">
        <is>
          <t>Cundinamarca</t>
        </is>
      </c>
      <c r="F159" s="21" t="n">
        <v>11</v>
      </c>
      <c r="G159" s="21" t="n">
        <v>810</v>
      </c>
      <c r="H159" s="42" t="n">
        <v>-74.52661111</v>
      </c>
      <c r="I159" s="43" t="n">
        <v>4.58188889</v>
      </c>
      <c r="J159" s="22" t="n">
        <v>25.65032649184092</v>
      </c>
      <c r="K159" s="23" t="n">
        <v>25.81015077898602</v>
      </c>
      <c r="L159" s="23" t="n">
        <v>25.41627749909908</v>
      </c>
      <c r="M159" s="23" t="n">
        <v>25.09565968498834</v>
      </c>
      <c r="N159" s="23" t="n">
        <v>24.95510943308328</v>
      </c>
      <c r="O159" s="23" t="n">
        <v>25.08992514350272</v>
      </c>
      <c r="P159" s="23" t="n">
        <v>25.53752926833085</v>
      </c>
      <c r="Q159" s="23" t="n">
        <v>26.42009640850436</v>
      </c>
      <c r="R159" s="23" t="n">
        <v>26.39648668983917</v>
      </c>
      <c r="S159" s="23" t="n">
        <v>25.41023632306847</v>
      </c>
      <c r="T159" s="23" t="n">
        <v>24.67921157172196</v>
      </c>
      <c r="U159" s="23" t="n">
        <v>25.03626946776275</v>
      </c>
      <c r="V159" s="38" t="n">
        <v>25.45810656339399</v>
      </c>
      <c r="W159" s="41" t="n">
        <v>336</v>
      </c>
      <c r="X159" s="24" t="n">
        <v>0.9333333333333333</v>
      </c>
    </row>
    <row r="160" ht="13.9" customHeight="1">
      <c r="A160" s="10" t="n">
        <v>21205670</v>
      </c>
      <c r="B160" s="21" t="inlineStr">
        <is>
          <t>CO</t>
        </is>
      </c>
      <c r="C160" s="21" t="inlineStr">
        <is>
          <t xml:space="preserve">La Florida </t>
        </is>
      </c>
      <c r="D160" s="21" t="inlineStr">
        <is>
          <t>Anolaima</t>
        </is>
      </c>
      <c r="E160" s="21" t="inlineStr">
        <is>
          <t>Cundinamarca</t>
        </is>
      </c>
      <c r="F160" s="21" t="n">
        <v>11</v>
      </c>
      <c r="G160" s="21" t="n">
        <v>1915</v>
      </c>
      <c r="H160" s="42" t="n">
        <v>-74.43763889</v>
      </c>
      <c r="I160" s="43" t="n">
        <v>4.77088889</v>
      </c>
      <c r="J160" s="22" t="n">
        <v>17.35054817273114</v>
      </c>
      <c r="K160" s="23" t="n">
        <v>17.31291191007312</v>
      </c>
      <c r="L160" s="23" t="n">
        <v>17.16670607668566</v>
      </c>
      <c r="M160" s="23" t="n">
        <v>17.25405420688824</v>
      </c>
      <c r="N160" s="23" t="n">
        <v>17.26253481373485</v>
      </c>
      <c r="O160" s="23" t="n">
        <v>17.23744165083531</v>
      </c>
      <c r="P160" s="23" t="n">
        <v>17.10897133682934</v>
      </c>
      <c r="Q160" s="23" t="n">
        <v>17.47743857968777</v>
      </c>
      <c r="R160" s="23" t="n">
        <v>17.54902006717124</v>
      </c>
      <c r="S160" s="23" t="n">
        <v>17.16756448049271</v>
      </c>
      <c r="T160" s="23" t="n">
        <v>17.16108461544339</v>
      </c>
      <c r="U160" s="23" t="n">
        <v>17.1524258169677</v>
      </c>
      <c r="V160" s="38" t="n">
        <v>17.26672514396171</v>
      </c>
      <c r="W160" s="41" t="n">
        <v>309</v>
      </c>
      <c r="X160" s="24" t="n">
        <v>0.8583333333333333</v>
      </c>
    </row>
    <row r="161" ht="13.9" customHeight="1">
      <c r="A161" s="10" t="n">
        <v>21206180</v>
      </c>
      <c r="B161" s="21" t="inlineStr">
        <is>
          <t>CO</t>
        </is>
      </c>
      <c r="C161" s="21" t="inlineStr">
        <is>
          <t>Primavera de Matima</t>
        </is>
      </c>
      <c r="D161" s="21" t="inlineStr">
        <is>
          <t>Anolaima</t>
        </is>
      </c>
      <c r="E161" s="21" t="inlineStr">
        <is>
          <t>Cundinamarca</t>
        </is>
      </c>
      <c r="F161" s="21" t="n">
        <v>11</v>
      </c>
      <c r="G161" s="21" t="n">
        <v>1850</v>
      </c>
      <c r="H161" s="42" t="n">
        <v>-74.44347222</v>
      </c>
      <c r="I161" s="43" t="n">
        <v>4.8055</v>
      </c>
      <c r="J161" s="44" t="n">
        <v>17.73487476433842</v>
      </c>
      <c r="K161" s="45" t="n">
        <v>17.6833349542446</v>
      </c>
      <c r="L161" s="45" t="n">
        <v>17.6740518771327</v>
      </c>
      <c r="M161" s="45" t="n">
        <v>17.7555172015418</v>
      </c>
      <c r="N161" s="45" t="n">
        <v>17.82067714972518</v>
      </c>
      <c r="O161" s="45" t="n">
        <v>17.52883552833371</v>
      </c>
      <c r="P161" s="45" t="n">
        <v>17.41328089363454</v>
      </c>
      <c r="Q161" s="45" t="n">
        <v>17.81355231489064</v>
      </c>
      <c r="R161" s="45" t="n">
        <v>18.02263667141115</v>
      </c>
      <c r="S161" s="45" t="n">
        <v>17.86597290645933</v>
      </c>
      <c r="T161" s="45" t="n">
        <v>17.56304127972841</v>
      </c>
      <c r="U161" s="45" t="n">
        <v>17.65863385962207</v>
      </c>
      <c r="V161" s="38" t="n">
        <v>17.71120078342188</v>
      </c>
      <c r="W161" s="41" t="n">
        <v>292</v>
      </c>
      <c r="X161" s="24" t="n">
        <v>0.8111111111111111</v>
      </c>
    </row>
    <row r="162" ht="13.9" customHeight="1">
      <c r="A162" s="10" t="n">
        <v>21205791</v>
      </c>
      <c r="B162" s="21" t="inlineStr">
        <is>
          <t>SP</t>
        </is>
      </c>
      <c r="C162" s="21" t="inlineStr">
        <is>
          <t xml:space="preserve">Aeropuerto El Dorado Catam - AUT </t>
        </is>
      </c>
      <c r="D162" s="21" t="inlineStr">
        <is>
          <t>Bogotá</t>
        </is>
      </c>
      <c r="E162" s="21" t="inlineStr">
        <is>
          <t>Cundinamarca</t>
        </is>
      </c>
      <c r="F162" s="21" t="n">
        <v>11</v>
      </c>
      <c r="G162" s="21" t="n">
        <v>2547</v>
      </c>
      <c r="H162" s="42" t="n">
        <v>-74.15066666999999</v>
      </c>
      <c r="I162" s="43" t="n">
        <v>4.70558333</v>
      </c>
      <c r="J162" s="44" t="n">
        <v>13.62787488479262</v>
      </c>
      <c r="K162" s="45" t="n">
        <v>13.96936772486771</v>
      </c>
      <c r="L162" s="45" t="n">
        <v>14.10173173896922</v>
      </c>
      <c r="M162" s="45" t="n">
        <v>14.29101754241926</v>
      </c>
      <c r="N162" s="45" t="n">
        <v>14.33928203405017</v>
      </c>
      <c r="O162" s="45" t="n">
        <v>14.19419858906524</v>
      </c>
      <c r="P162" s="45" t="n">
        <v>13.7803329197684</v>
      </c>
      <c r="Q162" s="45" t="n">
        <v>13.82781972847322</v>
      </c>
      <c r="R162" s="45" t="n">
        <v>13.76971109637488</v>
      </c>
      <c r="S162" s="45" t="n">
        <v>13.74946812596005</v>
      </c>
      <c r="T162" s="45" t="n">
        <v>13.75519195402298</v>
      </c>
      <c r="U162" s="45" t="n">
        <v>13.73320052483358</v>
      </c>
      <c r="V162" s="38" t="n">
        <v>13.92826640529978</v>
      </c>
      <c r="W162" s="41" t="n">
        <v>302</v>
      </c>
      <c r="X162" s="24" t="n">
        <v>0.8388888888888889</v>
      </c>
    </row>
    <row r="163" ht="13.9" customHeight="1">
      <c r="A163" s="10" t="n">
        <v>21206230</v>
      </c>
      <c r="B163" s="21" t="inlineStr">
        <is>
          <t>CO</t>
        </is>
      </c>
      <c r="C163" s="21" t="inlineStr">
        <is>
          <t xml:space="preserve">Hacienda Las Vegas </t>
        </is>
      </c>
      <c r="D163" s="21" t="inlineStr">
        <is>
          <t>Bogotá</t>
        </is>
      </c>
      <c r="E163" s="21" t="inlineStr">
        <is>
          <t>Cundinamarca</t>
        </is>
      </c>
      <c r="F163" s="21" t="n">
        <v>11</v>
      </c>
      <c r="G163" s="21" t="n">
        <v>2543</v>
      </c>
      <c r="H163" s="42" t="n">
        <v>-74.15141944</v>
      </c>
      <c r="I163" s="43" t="n">
        <v>4.66166667</v>
      </c>
      <c r="J163" s="22" t="n">
        <v>13.21479926461899</v>
      </c>
      <c r="K163" s="23" t="n">
        <v>13.51954802893747</v>
      </c>
      <c r="L163" s="23" t="n">
        <v>13.71309315648908</v>
      </c>
      <c r="M163" s="23" t="n">
        <v>13.9161420778155</v>
      </c>
      <c r="N163" s="23" t="n">
        <v>13.99971920289854</v>
      </c>
      <c r="O163" s="23" t="n">
        <v>13.7878822865353</v>
      </c>
      <c r="P163" s="23" t="n">
        <v>13.63605909113024</v>
      </c>
      <c r="Q163" s="23" t="n">
        <v>13.57524857685009</v>
      </c>
      <c r="R163" s="23" t="n">
        <v>13.59710123547851</v>
      </c>
      <c r="S163" s="23" t="n">
        <v>13.66757892211389</v>
      </c>
      <c r="T163" s="23" t="n">
        <v>13.61294334975369</v>
      </c>
      <c r="U163" s="23" t="n">
        <v>13.48764251946607</v>
      </c>
      <c r="V163" s="38" t="n">
        <v>13.64397980934061</v>
      </c>
      <c r="W163" s="41" t="n">
        <v>200</v>
      </c>
      <c r="X163" s="24" t="n">
        <v>0.8333333333333334</v>
      </c>
    </row>
    <row r="164" ht="13.9" customHeight="1">
      <c r="A164" s="10" t="n">
        <v>21206260</v>
      </c>
      <c r="B164" s="21" t="inlineStr">
        <is>
          <t>CO</t>
        </is>
      </c>
      <c r="C164" s="21" t="inlineStr">
        <is>
          <t>Universidad Agropecuaria-Udca</t>
        </is>
      </c>
      <c r="D164" s="21" t="inlineStr">
        <is>
          <t>Bogotá</t>
        </is>
      </c>
      <c r="E164" s="21" t="inlineStr">
        <is>
          <t>Cundinamarca</t>
        </is>
      </c>
      <c r="F164" s="21" t="n">
        <v>11</v>
      </c>
      <c r="G164" s="21" t="n">
        <v>2570</v>
      </c>
      <c r="H164" s="42" t="n">
        <v>-74.04972222000001</v>
      </c>
      <c r="I164" s="43" t="n">
        <v>4.79863889</v>
      </c>
      <c r="J164" s="22" t="n">
        <v>13.75221302523242</v>
      </c>
      <c r="K164" s="23" t="n">
        <v>13.84062499691482</v>
      </c>
      <c r="L164" s="23" t="n">
        <v>13.90100833477042</v>
      </c>
      <c r="M164" s="23" t="n">
        <v>13.94869029381828</v>
      </c>
      <c r="N164" s="23" t="n">
        <v>13.97136450157239</v>
      </c>
      <c r="O164" s="23" t="n">
        <v>13.72864474694548</v>
      </c>
      <c r="P164" s="23" t="n">
        <v>13.56077580506272</v>
      </c>
      <c r="Q164" s="23" t="n">
        <v>13.57373096275793</v>
      </c>
      <c r="R164" s="23" t="n">
        <v>13.62560929915731</v>
      </c>
      <c r="S164" s="23" t="n">
        <v>13.76939164245368</v>
      </c>
      <c r="T164" s="23" t="n">
        <v>13.86195790947386</v>
      </c>
      <c r="U164" s="23" t="n">
        <v>13.78967181032449</v>
      </c>
      <c r="V164" s="38" t="n">
        <v>13.77697361070698</v>
      </c>
      <c r="W164" s="41" t="n">
        <v>280</v>
      </c>
      <c r="X164" s="24" t="n">
        <v>0.7777777777777778</v>
      </c>
    </row>
    <row r="165" ht="13.9" customHeight="1">
      <c r="A165" s="10" t="n">
        <v>35025060</v>
      </c>
      <c r="B165" s="21" t="inlineStr">
        <is>
          <t>CO</t>
        </is>
      </c>
      <c r="C165" s="21" t="inlineStr">
        <is>
          <t>La Bolsa</t>
        </is>
      </c>
      <c r="D165" s="21" t="inlineStr">
        <is>
          <t>Choachí</t>
        </is>
      </c>
      <c r="E165" s="21" t="inlineStr">
        <is>
          <t>Cundinamarca</t>
        </is>
      </c>
      <c r="F165" s="21" t="n">
        <v>11</v>
      </c>
      <c r="G165" s="21" t="n">
        <v>3195</v>
      </c>
      <c r="H165" s="42" t="n">
        <v>-73.98141666999999</v>
      </c>
      <c r="I165" s="43" t="n">
        <v>4.57541667</v>
      </c>
      <c r="J165" s="22" t="n">
        <v>8.69685270327799</v>
      </c>
      <c r="K165" s="23" t="n">
        <v>8.681678960885854</v>
      </c>
      <c r="L165" s="23" t="n">
        <v>8.661288483500183</v>
      </c>
      <c r="M165" s="23" t="n">
        <v>8.582048730158727</v>
      </c>
      <c r="N165" s="23" t="n">
        <v>8.491580613194918</v>
      </c>
      <c r="O165" s="23" t="n">
        <v>8.305984220907296</v>
      </c>
      <c r="P165" s="23" t="n">
        <v>8.0801328816904</v>
      </c>
      <c r="Q165" s="23" t="n">
        <v>8.149162378222442</v>
      </c>
      <c r="R165" s="23" t="n">
        <v>8.364695446221628</v>
      </c>
      <c r="S165" s="23" t="n">
        <v>8.527937806513918</v>
      </c>
      <c r="T165" s="23" t="n">
        <v>8.66782139050817</v>
      </c>
      <c r="U165" s="23" t="n">
        <v>8.663405534173966</v>
      </c>
      <c r="V165" s="38" t="n">
        <v>8.489382429104625</v>
      </c>
      <c r="W165" s="41" t="n">
        <v>315</v>
      </c>
      <c r="X165" s="24" t="n">
        <v>0.875</v>
      </c>
    </row>
    <row r="166" ht="13.9" customHeight="1">
      <c r="A166" s="10" t="n">
        <v>21205740</v>
      </c>
      <c r="B166" s="21" t="inlineStr">
        <is>
          <t>CO</t>
        </is>
      </c>
      <c r="C166" s="21" t="inlineStr">
        <is>
          <t>Silos</t>
        </is>
      </c>
      <c r="D166" s="21" t="inlineStr">
        <is>
          <t>Chocontá</t>
        </is>
      </c>
      <c r="E166" s="21" t="inlineStr">
        <is>
          <t>Cundinamarca</t>
        </is>
      </c>
      <c r="F166" s="21" t="n">
        <v>11</v>
      </c>
      <c r="G166" s="21" t="n">
        <v>2709</v>
      </c>
      <c r="H166" s="42" t="n">
        <v>-73.70141667</v>
      </c>
      <c r="I166" s="43" t="n">
        <v>5.11772222</v>
      </c>
      <c r="J166" s="22" t="n">
        <v>12.5324442263509</v>
      </c>
      <c r="K166" s="23" t="n">
        <v>12.87884884561877</v>
      </c>
      <c r="L166" s="23" t="n">
        <v>12.96366539851908</v>
      </c>
      <c r="M166" s="23" t="n">
        <v>12.94580693112089</v>
      </c>
      <c r="N166" s="23" t="n">
        <v>12.84258346897776</v>
      </c>
      <c r="O166" s="23" t="n">
        <v>12.10134440062159</v>
      </c>
      <c r="P166" s="23" t="n">
        <v>11.7713132203526</v>
      </c>
      <c r="Q166" s="23" t="n">
        <v>11.99101257589212</v>
      </c>
      <c r="R166" s="23" t="n">
        <v>12.3403874657604</v>
      </c>
      <c r="S166" s="23" t="n">
        <v>12.74337332408849</v>
      </c>
      <c r="T166" s="23" t="n">
        <v>13.0265361633896</v>
      </c>
      <c r="U166" s="23" t="n">
        <v>12.73532150408942</v>
      </c>
      <c r="V166" s="38" t="n">
        <v>12.5727197937318</v>
      </c>
      <c r="W166" s="41" t="n">
        <v>220</v>
      </c>
      <c r="X166" s="24" t="n">
        <v>0.9166666666666666</v>
      </c>
    </row>
    <row r="167" ht="13.9" customHeight="1">
      <c r="A167" s="10" t="n">
        <v>24015120</v>
      </c>
      <c r="B167" s="35" t="inlineStr">
        <is>
          <t>CP</t>
        </is>
      </c>
      <c r="C167" s="35" t="inlineStr">
        <is>
          <t>Isla del Santuario</t>
        </is>
      </c>
      <c r="D167" s="35" t="inlineStr">
        <is>
          <t>Fúquene</t>
        </is>
      </c>
      <c r="E167" s="35" t="inlineStr">
        <is>
          <t>Cundinamarca</t>
        </is>
      </c>
      <c r="F167" s="35" t="n">
        <v>11</v>
      </c>
      <c r="G167" s="35" t="n">
        <v>2580</v>
      </c>
      <c r="H167" s="36" t="n">
        <v>-73.73480556000001</v>
      </c>
      <c r="I167" s="37" t="n">
        <v>5.46727778</v>
      </c>
      <c r="J167" s="22" t="n">
        <v>14.61886373859897</v>
      </c>
      <c r="K167" s="23" t="n">
        <v>14.86200430957588</v>
      </c>
      <c r="L167" s="23" t="n">
        <v>14.87114720497094</v>
      </c>
      <c r="M167" s="23" t="n">
        <v>14.85789736894118</v>
      </c>
      <c r="N167" s="23" t="n">
        <v>14.87783875390013</v>
      </c>
      <c r="O167" s="23" t="n">
        <v>14.60301576213124</v>
      </c>
      <c r="P167" s="23" t="n">
        <v>14.32967020528393</v>
      </c>
      <c r="Q167" s="23" t="n">
        <v>14.34313084076789</v>
      </c>
      <c r="R167" s="23" t="n">
        <v>14.4377601063053</v>
      </c>
      <c r="S167" s="23" t="n">
        <v>14.42417779177202</v>
      </c>
      <c r="T167" s="23" t="n">
        <v>14.52597142498482</v>
      </c>
      <c r="U167" s="23" t="n">
        <v>14.53640160746296</v>
      </c>
      <c r="V167" s="38" t="n">
        <v>14.60732325955794</v>
      </c>
      <c r="W167" s="41" t="n">
        <v>339</v>
      </c>
      <c r="X167" s="24" t="n">
        <v>0.9416666666666667</v>
      </c>
    </row>
    <row r="168" ht="13.9" customHeight="1">
      <c r="A168" s="10" t="n">
        <v>35065010</v>
      </c>
      <c r="B168" s="35" t="inlineStr">
        <is>
          <t>CO</t>
        </is>
      </c>
      <c r="C168" s="35" t="inlineStr">
        <is>
          <t>Gachetá</t>
        </is>
      </c>
      <c r="D168" s="35" t="inlineStr">
        <is>
          <t>Gachetá</t>
        </is>
      </c>
      <c r="E168" s="35" t="inlineStr">
        <is>
          <t>Cundinamarca</t>
        </is>
      </c>
      <c r="F168" s="35" t="n">
        <v>11</v>
      </c>
      <c r="G168" s="35" t="n">
        <v>1752</v>
      </c>
      <c r="H168" s="36" t="n">
        <v>-73.64647222000001</v>
      </c>
      <c r="I168" s="37" t="n">
        <v>4.83038889</v>
      </c>
      <c r="J168" s="44" t="n">
        <v>19.57759856630824</v>
      </c>
      <c r="K168" s="45" t="n">
        <v>19.84852216748768</v>
      </c>
      <c r="L168" s="45" t="n">
        <v>19.96370967741935</v>
      </c>
      <c r="M168" s="45" t="n">
        <v>19.76141666666667</v>
      </c>
      <c r="N168" s="45" t="n">
        <v>19.51459677419354</v>
      </c>
      <c r="O168" s="45" t="n">
        <v>19.10113218390804</v>
      </c>
      <c r="P168" s="45" t="n">
        <v>18.49539784946236</v>
      </c>
      <c r="Q168" s="45" t="n">
        <v>18.72414575866188</v>
      </c>
      <c r="R168" s="45" t="n">
        <v>19.33095238095238</v>
      </c>
      <c r="S168" s="45" t="n">
        <v>19.5723972520908</v>
      </c>
      <c r="T168" s="45" t="n">
        <v>19.80354022988505</v>
      </c>
      <c r="U168" s="45" t="n">
        <v>19.55354838709678</v>
      </c>
      <c r="V168" s="38" t="n">
        <v>19.43724649117773</v>
      </c>
      <c r="W168" s="41" t="n">
        <v>116</v>
      </c>
      <c r="X168" s="24" t="n">
        <v>0.9666666666666667</v>
      </c>
    </row>
    <row r="169" ht="13.9" customHeight="1">
      <c r="A169" s="10" t="n">
        <v>21205700</v>
      </c>
      <c r="B169" s="21" t="inlineStr">
        <is>
          <t>CO</t>
        </is>
      </c>
      <c r="C169" s="21" t="inlineStr">
        <is>
          <t>Guasca</t>
        </is>
      </c>
      <c r="D169" s="21" t="inlineStr">
        <is>
          <t>Guasca</t>
        </is>
      </c>
      <c r="E169" s="21" t="inlineStr">
        <is>
          <t>Cundinamarca</t>
        </is>
      </c>
      <c r="F169" s="21" t="n">
        <v>11</v>
      </c>
      <c r="G169" s="21" t="n">
        <v>2750</v>
      </c>
      <c r="H169" s="42" t="n">
        <v>-73.86811111</v>
      </c>
      <c r="I169" s="43" t="n">
        <v>4.87986111</v>
      </c>
      <c r="J169" s="22" t="n">
        <v>13.30601101452499</v>
      </c>
      <c r="K169" s="23" t="n">
        <v>13.61841564102956</v>
      </c>
      <c r="L169" s="23" t="n">
        <v>13.48281531281111</v>
      </c>
      <c r="M169" s="23" t="n">
        <v>13.46313280260991</v>
      </c>
      <c r="N169" s="23" t="n">
        <v>13.53341073571505</v>
      </c>
      <c r="O169" s="23" t="n">
        <v>13.11745015982634</v>
      </c>
      <c r="P169" s="23" t="n">
        <v>12.80356395850392</v>
      </c>
      <c r="Q169" s="23" t="n">
        <v>12.92387825817962</v>
      </c>
      <c r="R169" s="23" t="n">
        <v>13.08979464177302</v>
      </c>
      <c r="S169" s="23" t="n">
        <v>13.32168547966316</v>
      </c>
      <c r="T169" s="23" t="n">
        <v>13.4199421627874</v>
      </c>
      <c r="U169" s="23" t="n">
        <v>13.22928907937281</v>
      </c>
      <c r="V169" s="38" t="n">
        <v>13.27578243723308</v>
      </c>
      <c r="W169" s="41" t="n">
        <v>297</v>
      </c>
      <c r="X169" s="24" t="n">
        <v>0.825</v>
      </c>
    </row>
    <row r="170" ht="13.9" customHeight="1">
      <c r="A170" s="10" t="n">
        <v>23065060</v>
      </c>
      <c r="B170" s="21" t="inlineStr">
        <is>
          <t>CO</t>
        </is>
      </c>
      <c r="C170" s="21" t="inlineStr">
        <is>
          <t>Santa Teresa</t>
        </is>
      </c>
      <c r="D170" s="21" t="inlineStr">
        <is>
          <t>Guayabal de Síquima</t>
        </is>
      </c>
      <c r="E170" s="21" t="inlineStr">
        <is>
          <t>Cundinamarca</t>
        </is>
      </c>
      <c r="F170" s="21" t="n">
        <v>11</v>
      </c>
      <c r="G170" s="21" t="n">
        <v>2200</v>
      </c>
      <c r="H170" s="42" t="n">
        <v>-74.46169444</v>
      </c>
      <c r="I170" s="43" t="n">
        <v>4.84216667</v>
      </c>
      <c r="J170" s="22" t="n">
        <v>15.51281146011735</v>
      </c>
      <c r="K170" s="23" t="n">
        <v>15.57653587154834</v>
      </c>
      <c r="L170" s="23" t="n">
        <v>15.60304910276967</v>
      </c>
      <c r="M170" s="23" t="n">
        <v>15.53172024590383</v>
      </c>
      <c r="N170" s="23" t="n">
        <v>15.70375898558656</v>
      </c>
      <c r="O170" s="23" t="n">
        <v>15.2882763684095</v>
      </c>
      <c r="P170" s="23" t="n">
        <v>15.39283645371374</v>
      </c>
      <c r="Q170" s="23" t="n">
        <v>15.58143393012618</v>
      </c>
      <c r="R170" s="23" t="n">
        <v>15.66753125638451</v>
      </c>
      <c r="S170" s="23" t="n">
        <v>15.64739214428563</v>
      </c>
      <c r="T170" s="23" t="n">
        <v>15.59653081384715</v>
      </c>
      <c r="U170" s="23" t="n">
        <v>15.3960092789016</v>
      </c>
      <c r="V170" s="38" t="n">
        <v>15.54149049263284</v>
      </c>
      <c r="W170" s="41" t="n">
        <v>113</v>
      </c>
      <c r="X170" s="24" t="n">
        <v>0.9416666666666667</v>
      </c>
    </row>
    <row r="171" ht="13.9" customHeight="1">
      <c r="A171" s="10" t="n">
        <v>21235010</v>
      </c>
      <c r="B171" s="21" t="inlineStr">
        <is>
          <t>CO</t>
        </is>
      </c>
      <c r="C171" s="21" t="inlineStr">
        <is>
          <t>Jerusalén</t>
        </is>
      </c>
      <c r="D171" s="21" t="inlineStr">
        <is>
          <t>Jerusalén</t>
        </is>
      </c>
      <c r="E171" s="21" t="inlineStr">
        <is>
          <t>Cundinamarca</t>
        </is>
      </c>
      <c r="F171" s="21" t="n">
        <v>10</v>
      </c>
      <c r="G171" s="21" t="n">
        <v>297</v>
      </c>
      <c r="H171" s="42" t="n">
        <v>-74.70238888999999</v>
      </c>
      <c r="I171" s="43" t="n">
        <v>4.56180556</v>
      </c>
      <c r="J171" s="22" t="n">
        <v>28.42136746983223</v>
      </c>
      <c r="K171" s="23" t="n">
        <v>28.73222365537361</v>
      </c>
      <c r="L171" s="23" t="n">
        <v>28.43857927862251</v>
      </c>
      <c r="M171" s="23" t="n">
        <v>28.08127223805423</v>
      </c>
      <c r="N171" s="23" t="n">
        <v>27.9679098148397</v>
      </c>
      <c r="O171" s="23" t="n">
        <v>28.29401280794023</v>
      </c>
      <c r="P171" s="23" t="n">
        <v>29.07012600455531</v>
      </c>
      <c r="Q171" s="23" t="n">
        <v>29.72132755685893</v>
      </c>
      <c r="R171" s="23" t="n">
        <v>29.33934772109616</v>
      </c>
      <c r="S171" s="23" t="n">
        <v>28.17619206294287</v>
      </c>
      <c r="T171" s="23" t="n">
        <v>27.46062138484386</v>
      </c>
      <c r="U171" s="23" t="n">
        <v>27.78004970847908</v>
      </c>
      <c r="V171" s="38" t="n">
        <v>28.45691914195322</v>
      </c>
      <c r="W171" s="41" t="n">
        <v>299</v>
      </c>
      <c r="X171" s="24" t="n">
        <v>0.8305555555555556</v>
      </c>
    </row>
    <row r="172" ht="13.9" customHeight="1">
      <c r="A172" s="10" t="n">
        <v>23065100</v>
      </c>
      <c r="B172" s="21" t="inlineStr">
        <is>
          <t>CO</t>
        </is>
      </c>
      <c r="C172" s="21" t="inlineStr">
        <is>
          <t>Sabaneta</t>
        </is>
      </c>
      <c r="D172" s="21" t="inlineStr">
        <is>
          <t>La Vega</t>
        </is>
      </c>
      <c r="E172" s="21" t="inlineStr">
        <is>
          <t>Cundinamarca</t>
        </is>
      </c>
      <c r="F172" s="21" t="n">
        <v>11</v>
      </c>
      <c r="G172" s="21" t="n">
        <v>2475</v>
      </c>
      <c r="H172" s="42" t="n">
        <v>-74.30738889</v>
      </c>
      <c r="I172" s="43" t="n">
        <v>4.90175</v>
      </c>
      <c r="J172" s="44" t="n">
        <v>13.14836538540765</v>
      </c>
      <c r="K172" s="45" t="n">
        <v>13.32030412544032</v>
      </c>
      <c r="L172" s="45" t="n">
        <v>13.58485897764123</v>
      </c>
      <c r="M172" s="45" t="n">
        <v>14.02608944535668</v>
      </c>
      <c r="N172" s="45" t="n">
        <v>14.25724422965879</v>
      </c>
      <c r="O172" s="45" t="n">
        <v>14.18224743414311</v>
      </c>
      <c r="P172" s="45" t="n">
        <v>13.58670620839733</v>
      </c>
      <c r="Q172" s="45" t="n">
        <v>13.61545131936719</v>
      </c>
      <c r="R172" s="45" t="n">
        <v>13.68369372294371</v>
      </c>
      <c r="S172" s="45" t="n">
        <v>13.50578221907351</v>
      </c>
      <c r="T172" s="45" t="n">
        <v>13.24431799245879</v>
      </c>
      <c r="U172" s="45" t="n">
        <v>13.20390631621112</v>
      </c>
      <c r="V172" s="38" t="n">
        <v>13.61324728134162</v>
      </c>
      <c r="W172" s="41" t="n">
        <v>114</v>
      </c>
      <c r="X172" s="24" t="n">
        <v>0.95</v>
      </c>
    </row>
    <row r="173" ht="13.9" customHeight="1">
      <c r="A173" s="10" t="n">
        <v>21205420</v>
      </c>
      <c r="B173" s="35" t="inlineStr">
        <is>
          <t>AM</t>
        </is>
      </c>
      <c r="C173" s="35" t="inlineStr">
        <is>
          <t>Tibaitata</t>
        </is>
      </c>
      <c r="D173" s="35" t="inlineStr">
        <is>
          <t xml:space="preserve">Mosquera </t>
        </is>
      </c>
      <c r="E173" s="35" t="inlineStr">
        <is>
          <t>Cundinamarca</t>
        </is>
      </c>
      <c r="F173" s="35" t="n">
        <v>11</v>
      </c>
      <c r="G173" s="35" t="n">
        <v>2543</v>
      </c>
      <c r="H173" s="36" t="n">
        <v>-74.209</v>
      </c>
      <c r="I173" s="37" t="n">
        <v>4.69141667</v>
      </c>
      <c r="J173" s="22" t="n">
        <v>12.97663296094519</v>
      </c>
      <c r="K173" s="23" t="n">
        <v>13.47816498003403</v>
      </c>
      <c r="L173" s="23" t="n">
        <v>13.68073660237672</v>
      </c>
      <c r="M173" s="23" t="n">
        <v>13.85816299267948</v>
      </c>
      <c r="N173" s="23" t="n">
        <v>13.94917887586519</v>
      </c>
      <c r="O173" s="23" t="n">
        <v>13.66614851721648</v>
      </c>
      <c r="P173" s="23" t="n">
        <v>13.36561246778364</v>
      </c>
      <c r="Q173" s="23" t="n">
        <v>13.34497788238894</v>
      </c>
      <c r="R173" s="23" t="n">
        <v>13.31035878811257</v>
      </c>
      <c r="S173" s="23" t="n">
        <v>13.37964369403375</v>
      </c>
      <c r="T173" s="23" t="n">
        <v>13.41560414484559</v>
      </c>
      <c r="U173" s="23" t="n">
        <v>13.22428781312611</v>
      </c>
      <c r="V173" s="38" t="n">
        <v>13.47079247661731</v>
      </c>
      <c r="W173" s="41" t="n">
        <v>345</v>
      </c>
      <c r="X173" s="24" t="n">
        <v>0.9583333333333334</v>
      </c>
    </row>
    <row r="174" ht="13.9" customHeight="1">
      <c r="A174" s="10" t="n">
        <v>23065120</v>
      </c>
      <c r="B174" s="21" t="inlineStr">
        <is>
          <t>CO</t>
        </is>
      </c>
      <c r="C174" s="21" t="inlineStr">
        <is>
          <t xml:space="preserve">La Cabrera </t>
        </is>
      </c>
      <c r="D174" s="21" t="inlineStr">
        <is>
          <t>Pacho</t>
        </is>
      </c>
      <c r="E174" s="21" t="inlineStr">
        <is>
          <t>Cundinamarca</t>
        </is>
      </c>
      <c r="F174" s="21" t="n">
        <v>11</v>
      </c>
      <c r="G174" s="21" t="n">
        <v>2000</v>
      </c>
      <c r="H174" s="42" t="n">
        <v>-74.13936111000001</v>
      </c>
      <c r="I174" s="43" t="n">
        <v>5.14155556</v>
      </c>
      <c r="J174" s="22" t="n">
        <v>16.44111981232865</v>
      </c>
      <c r="K174" s="23" t="n">
        <v>16.38731028518097</v>
      </c>
      <c r="L174" s="23" t="n">
        <v>16.44791016564043</v>
      </c>
      <c r="M174" s="23" t="n">
        <v>16.71258414189942</v>
      </c>
      <c r="N174" s="23" t="n">
        <v>16.84431056247091</v>
      </c>
      <c r="O174" s="23" t="n">
        <v>16.99986093371583</v>
      </c>
      <c r="P174" s="23" t="n">
        <v>17.11925461363326</v>
      </c>
      <c r="Q174" s="23" t="n">
        <v>17.2198687386621</v>
      </c>
      <c r="R174" s="23" t="n">
        <v>16.97054882281668</v>
      </c>
      <c r="S174" s="23" t="n">
        <v>16.61451626740578</v>
      </c>
      <c r="T174" s="23" t="n">
        <v>16.3323488461813</v>
      </c>
      <c r="U174" s="23" t="n">
        <v>16.44974182812238</v>
      </c>
      <c r="V174" s="38" t="n">
        <v>16.71161458483814</v>
      </c>
      <c r="W174" s="41" t="n">
        <v>294</v>
      </c>
      <c r="X174" s="24" t="n">
        <v>0.8166666666666667</v>
      </c>
    </row>
    <row r="175" ht="13.9" customHeight="1">
      <c r="A175" s="10" t="n">
        <v>21195060</v>
      </c>
      <c r="B175" s="21" t="inlineStr">
        <is>
          <t>CO</t>
        </is>
      </c>
      <c r="C175" s="21" t="inlineStr">
        <is>
          <t>Pandi</t>
        </is>
      </c>
      <c r="D175" s="21" t="inlineStr">
        <is>
          <t>Pandi</t>
        </is>
      </c>
      <c r="E175" s="21" t="inlineStr">
        <is>
          <t>Cundinamarca</t>
        </is>
      </c>
      <c r="F175" s="21" t="n">
        <v>11</v>
      </c>
      <c r="G175" s="21" t="n">
        <v>950</v>
      </c>
      <c r="H175" s="42" t="n">
        <v>-74.48741666999999</v>
      </c>
      <c r="I175" s="43" t="n">
        <v>4.19272222</v>
      </c>
      <c r="J175" s="22" t="n">
        <v>24.14303371042502</v>
      </c>
      <c r="K175" s="23" t="n">
        <v>24.42787059511006</v>
      </c>
      <c r="L175" s="23" t="n">
        <v>24.17020773169482</v>
      </c>
      <c r="M175" s="23" t="n">
        <v>23.89888013136288</v>
      </c>
      <c r="N175" s="23" t="n">
        <v>23.78185668243509</v>
      </c>
      <c r="O175" s="23" t="n">
        <v>23.89734908692838</v>
      </c>
      <c r="P175" s="23" t="n">
        <v>24.12738300117053</v>
      </c>
      <c r="Q175" s="23" t="n">
        <v>24.66962015848216</v>
      </c>
      <c r="R175" s="23" t="n">
        <v>24.80996849865301</v>
      </c>
      <c r="S175" s="23" t="n">
        <v>24.0673912445339</v>
      </c>
      <c r="T175" s="23" t="n">
        <v>23.49457377882984</v>
      </c>
      <c r="U175" s="23" t="n">
        <v>23.78533236899404</v>
      </c>
      <c r="V175" s="38" t="n">
        <v>24.10612224905164</v>
      </c>
      <c r="W175" s="41" t="n">
        <v>315</v>
      </c>
      <c r="X175" s="24" t="n">
        <v>0.875</v>
      </c>
    </row>
    <row r="176" ht="13.9" customHeight="1">
      <c r="A176" s="10" t="n">
        <v>35055010</v>
      </c>
      <c r="B176" s="21" t="inlineStr">
        <is>
          <t>CO</t>
        </is>
      </c>
      <c r="C176" s="21" t="inlineStr">
        <is>
          <t>El Japón</t>
        </is>
      </c>
      <c r="D176" s="21" t="inlineStr">
        <is>
          <t>Paratebueno</t>
        </is>
      </c>
      <c r="E176" s="21" t="inlineStr">
        <is>
          <t>Cundinamarca</t>
        </is>
      </c>
      <c r="F176" s="21" t="n">
        <v>3</v>
      </c>
      <c r="G176" s="21" t="n">
        <v>280</v>
      </c>
      <c r="H176" s="42" t="n">
        <v>-73.30130556</v>
      </c>
      <c r="I176" s="43" t="n">
        <v>4.37697222</v>
      </c>
      <c r="J176" s="22" t="n">
        <v>27.39249865591397</v>
      </c>
      <c r="K176" s="23" t="n">
        <v>27.49078222297581</v>
      </c>
      <c r="L176" s="23" t="n">
        <v>27.03333963420481</v>
      </c>
      <c r="M176" s="23" t="n">
        <v>25.93177820512819</v>
      </c>
      <c r="N176" s="23" t="n">
        <v>25.44724265644954</v>
      </c>
      <c r="O176" s="23" t="n">
        <v>24.9293255526083</v>
      </c>
      <c r="P176" s="23" t="n">
        <v>24.38753252953016</v>
      </c>
      <c r="Q176" s="23" t="n">
        <v>25.08927544901334</v>
      </c>
      <c r="R176" s="23" t="n">
        <v>25.79936269525493</v>
      </c>
      <c r="S176" s="23" t="n">
        <v>26.02632989329708</v>
      </c>
      <c r="T176" s="23" t="n">
        <v>26.07448076923076</v>
      </c>
      <c r="U176" s="23" t="n">
        <v>26.55011119350718</v>
      </c>
      <c r="V176" s="38" t="n">
        <v>26.01267162142618</v>
      </c>
      <c r="W176" s="41" t="n">
        <v>119</v>
      </c>
      <c r="X176" s="24" t="n">
        <v>0.9916666666666667</v>
      </c>
    </row>
    <row r="177" ht="13.9" customHeight="1">
      <c r="A177" s="10" t="n">
        <v>21195190</v>
      </c>
      <c r="B177" s="21" t="inlineStr">
        <is>
          <t>AM</t>
        </is>
      </c>
      <c r="C177" s="21" t="inlineStr">
        <is>
          <t xml:space="preserve">Pasca - AUT </t>
        </is>
      </c>
      <c r="D177" s="21" t="inlineStr">
        <is>
          <t>Pasca</t>
        </is>
      </c>
      <c r="E177" s="21" t="inlineStr">
        <is>
          <t>Cundinamarca</t>
        </is>
      </c>
      <c r="F177" s="21" t="n">
        <v>11</v>
      </c>
      <c r="G177" s="21" t="n">
        <v>2256</v>
      </c>
      <c r="H177" s="42" t="n">
        <v>-74.31175</v>
      </c>
      <c r="I177" s="43" t="n">
        <v>4.31011111</v>
      </c>
      <c r="J177" s="22" t="n">
        <v>15.83064886108184</v>
      </c>
      <c r="K177" s="23" t="n">
        <v>15.82256283575583</v>
      </c>
      <c r="L177" s="23" t="n">
        <v>15.94528376054793</v>
      </c>
      <c r="M177" s="23" t="n">
        <v>15.97827903505565</v>
      </c>
      <c r="N177" s="23" t="n">
        <v>16.02131958735695</v>
      </c>
      <c r="O177" s="23" t="n">
        <v>15.99320119937297</v>
      </c>
      <c r="P177" s="23" t="n">
        <v>15.78766040619119</v>
      </c>
      <c r="Q177" s="23" t="n">
        <v>15.9056050475294</v>
      </c>
      <c r="R177" s="23" t="n">
        <v>16.08117593402275</v>
      </c>
      <c r="S177" s="23" t="n">
        <v>15.99157282206114</v>
      </c>
      <c r="T177" s="23" t="n">
        <v>15.82271023398705</v>
      </c>
      <c r="U177" s="23" t="n">
        <v>15.87949512871335</v>
      </c>
      <c r="V177" s="38" t="n">
        <v>15.92162623763967</v>
      </c>
      <c r="W177" s="41" t="n">
        <v>323</v>
      </c>
      <c r="X177" s="24" t="n">
        <v>0.8972222222222223</v>
      </c>
    </row>
    <row r="178" ht="13.9" customHeight="1">
      <c r="A178" s="10" t="n">
        <v>23035020</v>
      </c>
      <c r="B178" s="21" t="inlineStr">
        <is>
          <t>SP</t>
        </is>
      </c>
      <c r="C178" s="21" t="inlineStr">
        <is>
          <t>Aeropuerto Palanquero</t>
        </is>
      </c>
      <c r="D178" s="21" t="inlineStr">
        <is>
          <t>Puerto Salgar</t>
        </is>
      </c>
      <c r="E178" s="21" t="inlineStr">
        <is>
          <t>Cundinamarca</t>
        </is>
      </c>
      <c r="F178" s="21" t="n">
        <v>10</v>
      </c>
      <c r="G178" s="21" t="n">
        <v>172</v>
      </c>
      <c r="H178" s="42" t="n">
        <v>-74.65472222000001</v>
      </c>
      <c r="I178" s="43" t="n">
        <v>5.47138889</v>
      </c>
      <c r="J178" s="22" t="n">
        <v>28.84224941292791</v>
      </c>
      <c r="K178" s="23" t="n">
        <v>29.23398046982814</v>
      </c>
      <c r="L178" s="23" t="n">
        <v>28.85729988052565</v>
      </c>
      <c r="M178" s="23" t="n">
        <v>28.50246062154104</v>
      </c>
      <c r="N178" s="23" t="n">
        <v>28.75726370040782</v>
      </c>
      <c r="O178" s="23" t="n">
        <v>28.80969062538325</v>
      </c>
      <c r="P178" s="23" t="n">
        <v>29.52838750875454</v>
      </c>
      <c r="Q178" s="23" t="n">
        <v>30.0904212246411</v>
      </c>
      <c r="R178" s="23" t="n">
        <v>28.77373285579428</v>
      </c>
      <c r="S178" s="23" t="n">
        <v>28.27115796210954</v>
      </c>
      <c r="T178" s="23" t="n">
        <v>28.08694798932439</v>
      </c>
      <c r="U178" s="23" t="n">
        <v>28.38511687147975</v>
      </c>
      <c r="V178" s="38" t="n">
        <v>28.84489242689312</v>
      </c>
      <c r="W178" s="41" t="n">
        <v>115</v>
      </c>
      <c r="X178" s="24" t="n">
        <v>0.9583333333333334</v>
      </c>
    </row>
    <row r="179" ht="13.9" customHeight="1">
      <c r="A179" s="10" t="n">
        <v>21205720</v>
      </c>
      <c r="B179" s="35" t="inlineStr">
        <is>
          <t>CO</t>
        </is>
      </c>
      <c r="C179" s="35" t="inlineStr">
        <is>
          <t>Granja San Jorge</t>
        </is>
      </c>
      <c r="D179" s="35" t="inlineStr">
        <is>
          <t>Soacha</t>
        </is>
      </c>
      <c r="E179" s="35" t="inlineStr">
        <is>
          <t>Cundinamarca</t>
        </is>
      </c>
      <c r="F179" s="35" t="n">
        <v>11</v>
      </c>
      <c r="G179" s="35" t="n">
        <v>2900</v>
      </c>
      <c r="H179" s="36" t="n">
        <v>-74.18927778</v>
      </c>
      <c r="I179" s="37" t="n">
        <v>4.50575</v>
      </c>
      <c r="J179" s="22" t="n">
        <v>12.14052016386518</v>
      </c>
      <c r="K179" s="23" t="n">
        <v>12.22326010498387</v>
      </c>
      <c r="L179" s="23" t="n">
        <v>12.4848927752314</v>
      </c>
      <c r="M179" s="23" t="n">
        <v>12.32335424688956</v>
      </c>
      <c r="N179" s="23" t="n">
        <v>12.3459408456049</v>
      </c>
      <c r="O179" s="23" t="n">
        <v>12.21447367881514</v>
      </c>
      <c r="P179" s="23" t="n">
        <v>11.97087485048104</v>
      </c>
      <c r="Q179" s="23" t="n">
        <v>12.08606971546653</v>
      </c>
      <c r="R179" s="23" t="n">
        <v>12.22132350003263</v>
      </c>
      <c r="S179" s="23" t="n">
        <v>12.34760616022419</v>
      </c>
      <c r="T179" s="23" t="n">
        <v>12.29031746421592</v>
      </c>
      <c r="U179" s="23" t="n">
        <v>12.44151884665606</v>
      </c>
      <c r="V179" s="38" t="n">
        <v>12.25751269603887</v>
      </c>
      <c r="W179" s="41" t="n">
        <v>290</v>
      </c>
      <c r="X179" s="24" t="n">
        <v>0.8055555555555556</v>
      </c>
    </row>
    <row r="180" ht="13.9" customHeight="1">
      <c r="A180" s="10" t="n">
        <v>21205920</v>
      </c>
      <c r="B180" s="21" t="inlineStr">
        <is>
          <t>ME</t>
        </is>
      </c>
      <c r="C180" s="21" t="inlineStr">
        <is>
          <t>Suasuque</t>
        </is>
      </c>
      <c r="D180" s="21" t="inlineStr">
        <is>
          <t>Sopó</t>
        </is>
      </c>
      <c r="E180" s="21" t="inlineStr">
        <is>
          <t>Cundinamarca</t>
        </is>
      </c>
      <c r="F180" s="21" t="n">
        <v>11</v>
      </c>
      <c r="G180" s="21" t="n">
        <v>2650</v>
      </c>
      <c r="H180" s="42" t="n">
        <v>-73.96388889000001</v>
      </c>
      <c r="I180" s="43" t="n">
        <v>4.82083333</v>
      </c>
      <c r="J180" s="22" t="n">
        <v>14.02045185706016</v>
      </c>
      <c r="K180" s="23" t="n">
        <v>14.26380182317682</v>
      </c>
      <c r="L180" s="23" t="n">
        <v>14.56394081676076</v>
      </c>
      <c r="M180" s="23" t="n">
        <v>14.29207733007732</v>
      </c>
      <c r="N180" s="23" t="n">
        <v>14.17004352278545</v>
      </c>
      <c r="O180" s="23" t="n">
        <v>13.61098127271833</v>
      </c>
      <c r="P180" s="23" t="n">
        <v>13.41489411681767</v>
      </c>
      <c r="Q180" s="23" t="n">
        <v>13.43544585253456</v>
      </c>
      <c r="R180" s="23" t="n">
        <v>13.66598918422733</v>
      </c>
      <c r="S180" s="23" t="n">
        <v>14.24654912535092</v>
      </c>
      <c r="T180" s="23" t="n">
        <v>14.30852883825944</v>
      </c>
      <c r="U180" s="23" t="n">
        <v>13.79682026144971</v>
      </c>
      <c r="V180" s="38" t="n">
        <v>13.98246033343487</v>
      </c>
      <c r="W180" s="41" t="n">
        <v>105</v>
      </c>
      <c r="X180" s="24" t="n">
        <v>0.875</v>
      </c>
    </row>
    <row r="181" ht="13.9" customHeight="1">
      <c r="A181" s="10" t="n">
        <v>21205980</v>
      </c>
      <c r="B181" s="35" t="inlineStr">
        <is>
          <t>CO</t>
        </is>
      </c>
      <c r="C181" s="35" t="inlineStr">
        <is>
          <t>Granja Providencia</t>
        </is>
      </c>
      <c r="D181" s="35" t="inlineStr">
        <is>
          <t>Tenjo</t>
        </is>
      </c>
      <c r="E181" s="35" t="inlineStr">
        <is>
          <t>Cundinamarca</t>
        </is>
      </c>
      <c r="F181" s="35" t="n">
        <v>11</v>
      </c>
      <c r="G181" s="35" t="n">
        <v>2560</v>
      </c>
      <c r="H181" s="36" t="n">
        <v>-74.20091667</v>
      </c>
      <c r="I181" s="37" t="n">
        <v>4.79238889</v>
      </c>
      <c r="J181" s="22" t="n">
        <v>13.47387971446105</v>
      </c>
      <c r="K181" s="23" t="n">
        <v>13.9399188143735</v>
      </c>
      <c r="L181" s="23" t="n">
        <v>14.16833290037434</v>
      </c>
      <c r="M181" s="23" t="n">
        <v>14.36689117258521</v>
      </c>
      <c r="N181" s="23" t="n">
        <v>14.38210252580572</v>
      </c>
      <c r="O181" s="23" t="n">
        <v>14.08904464969708</v>
      </c>
      <c r="P181" s="23" t="n">
        <v>13.80178543488981</v>
      </c>
      <c r="Q181" s="23" t="n">
        <v>13.84158180385612</v>
      </c>
      <c r="R181" s="23" t="n">
        <v>13.85180147264697</v>
      </c>
      <c r="S181" s="23" t="n">
        <v>13.89609538061894</v>
      </c>
      <c r="T181" s="23" t="n">
        <v>13.97178371128474</v>
      </c>
      <c r="U181" s="23" t="n">
        <v>13.8004688407322</v>
      </c>
      <c r="V181" s="38" t="n">
        <v>13.96530720177714</v>
      </c>
      <c r="W181" s="41" t="n">
        <v>351</v>
      </c>
      <c r="X181" s="24" t="n">
        <v>0.975</v>
      </c>
    </row>
    <row r="182" ht="13.9" customHeight="1">
      <c r="A182" s="10" t="n">
        <v>35025050</v>
      </c>
      <c r="B182" s="21" t="inlineStr">
        <is>
          <t>CO</t>
        </is>
      </c>
      <c r="C182" s="21" t="inlineStr">
        <is>
          <t>Llano Largo</t>
        </is>
      </c>
      <c r="D182" s="21" t="inlineStr">
        <is>
          <t>Ubaque</t>
        </is>
      </c>
      <c r="E182" s="21" t="inlineStr">
        <is>
          <t>Cundinamarca</t>
        </is>
      </c>
      <c r="F182" s="21" t="n">
        <v>11</v>
      </c>
      <c r="G182" s="21" t="n">
        <v>2980</v>
      </c>
      <c r="H182" s="42" t="n">
        <v>-74.03027777999999</v>
      </c>
      <c r="I182" s="43" t="n">
        <v>4.48283333</v>
      </c>
      <c r="J182" s="44" t="n">
        <v>11.68422225758501</v>
      </c>
      <c r="K182" s="45" t="n">
        <v>11.56701572596439</v>
      </c>
      <c r="L182" s="45" t="n">
        <v>11.60468202997487</v>
      </c>
      <c r="M182" s="45" t="n">
        <v>11.50513041392105</v>
      </c>
      <c r="N182" s="45" t="n">
        <v>11.38237810623663</v>
      </c>
      <c r="O182" s="45" t="n">
        <v>10.71065995112725</v>
      </c>
      <c r="P182" s="45" t="n">
        <v>10.23724338906873</v>
      </c>
      <c r="Q182" s="45" t="n">
        <v>10.36119699987892</v>
      </c>
      <c r="R182" s="45" t="n">
        <v>11.00327830009024</v>
      </c>
      <c r="S182" s="45" t="n">
        <v>11.54777200485402</v>
      </c>
      <c r="T182" s="45" t="n">
        <v>11.83207770164496</v>
      </c>
      <c r="U182" s="45" t="n">
        <v>11.65429919055661</v>
      </c>
      <c r="V182" s="38" t="n">
        <v>11.25749633924189</v>
      </c>
      <c r="W182" s="41" t="n">
        <v>323</v>
      </c>
      <c r="X182" s="24" t="n">
        <v>0.8972222222222223</v>
      </c>
    </row>
    <row r="183" ht="13.9" customHeight="1">
      <c r="A183" s="10" t="n">
        <v>23065110</v>
      </c>
      <c r="B183" s="21" t="inlineStr">
        <is>
          <t>CP</t>
        </is>
      </c>
      <c r="C183" s="21" t="inlineStr">
        <is>
          <t>Yacopí - AUT</t>
        </is>
      </c>
      <c r="D183" s="21" t="inlineStr">
        <is>
          <t>Yacopí</t>
        </is>
      </c>
      <c r="E183" s="21" t="inlineStr">
        <is>
          <t>Cundinamarca</t>
        </is>
      </c>
      <c r="F183" s="21" t="n">
        <v>11</v>
      </c>
      <c r="G183" s="21" t="n">
        <v>1347</v>
      </c>
      <c r="H183" s="42" t="n">
        <v>-74.35458333</v>
      </c>
      <c r="I183" s="43" t="n">
        <v>5.48416667</v>
      </c>
      <c r="J183" s="44" t="n">
        <v>21.18779219248492</v>
      </c>
      <c r="K183" s="45" t="n">
        <v>21.38675610227141</v>
      </c>
      <c r="L183" s="45" t="n">
        <v>21.3629975937112</v>
      </c>
      <c r="M183" s="45" t="n">
        <v>21.31031634449931</v>
      </c>
      <c r="N183" s="45" t="n">
        <v>21.48777217159106</v>
      </c>
      <c r="O183" s="45" t="n">
        <v>21.59341626871748</v>
      </c>
      <c r="P183" s="45" t="n">
        <v>21.69105060921464</v>
      </c>
      <c r="Q183" s="45" t="n">
        <v>21.89835980103728</v>
      </c>
      <c r="R183" s="45" t="n">
        <v>21.63600194289791</v>
      </c>
      <c r="S183" s="45" t="n">
        <v>21.23928989937161</v>
      </c>
      <c r="T183" s="45" t="n">
        <v>20.94892675425553</v>
      </c>
      <c r="U183" s="45" t="n">
        <v>21.02963645849382</v>
      </c>
      <c r="V183" s="38" t="n">
        <v>21.39769301154551</v>
      </c>
      <c r="W183" s="41" t="n">
        <v>310</v>
      </c>
      <c r="X183" s="24" t="n">
        <v>0.8611111111111112</v>
      </c>
    </row>
    <row r="184" ht="13.9" customHeight="1">
      <c r="A184" s="10" t="n">
        <v>31095030</v>
      </c>
      <c r="B184" s="21" t="inlineStr">
        <is>
          <t>AM</t>
        </is>
      </c>
      <c r="C184" s="21" t="inlineStr">
        <is>
          <t xml:space="preserve">Puerto Inirida - AUT </t>
        </is>
      </c>
      <c r="D184" s="21" t="inlineStr">
        <is>
          <t>Inírida</t>
        </is>
      </c>
      <c r="E184" s="21" t="inlineStr">
        <is>
          <t>Guainía</t>
        </is>
      </c>
      <c r="F184" s="21" t="n">
        <v>3</v>
      </c>
      <c r="G184" s="21" t="n">
        <v>100</v>
      </c>
      <c r="H184" s="42" t="n">
        <v>-67.91905556</v>
      </c>
      <c r="I184" s="43" t="n">
        <v>3.87441667</v>
      </c>
      <c r="J184" s="44" t="n">
        <v>27.24687575757399</v>
      </c>
      <c r="K184" s="45" t="n">
        <v>27.33655817850003</v>
      </c>
      <c r="L184" s="45" t="n">
        <v>27.19599717791732</v>
      </c>
      <c r="M184" s="45" t="n">
        <v>26.68807156951272</v>
      </c>
      <c r="N184" s="45" t="n">
        <v>26.25657549798798</v>
      </c>
      <c r="O184" s="45" t="n">
        <v>25.86135786732305</v>
      </c>
      <c r="P184" s="45" t="n">
        <v>25.70667168172596</v>
      </c>
      <c r="Q184" s="45" t="n">
        <v>26.14540821795481</v>
      </c>
      <c r="R184" s="45" t="n">
        <v>26.63289979199454</v>
      </c>
      <c r="S184" s="45" t="n">
        <v>26.80479433892413</v>
      </c>
      <c r="T184" s="45" t="n">
        <v>26.94174809872465</v>
      </c>
      <c r="U184" s="45" t="n">
        <v>26.97879340179965</v>
      </c>
      <c r="V184" s="38" t="n">
        <v>26.6496459649949</v>
      </c>
      <c r="W184" s="41" t="n">
        <v>299</v>
      </c>
      <c r="X184" s="24" t="n">
        <v>0.8305555555555556</v>
      </c>
    </row>
    <row r="185" ht="13.9" customHeight="1">
      <c r="A185" s="10" t="n">
        <v>31015010</v>
      </c>
      <c r="B185" s="35" t="inlineStr">
        <is>
          <t>CO</t>
        </is>
      </c>
      <c r="C185" s="35" t="inlineStr">
        <is>
          <t>El Trueno</t>
        </is>
      </c>
      <c r="D185" s="35" t="inlineStr">
        <is>
          <t>El Retorno</t>
        </is>
      </c>
      <c r="E185" s="35" t="inlineStr">
        <is>
          <t>Guaviare</t>
        </is>
      </c>
      <c r="F185" s="35" t="n">
        <v>3</v>
      </c>
      <c r="G185" s="35" t="n">
        <v>150</v>
      </c>
      <c r="H185" s="36" t="n">
        <v>-72.64</v>
      </c>
      <c r="I185" s="37" t="n">
        <v>2.37277778</v>
      </c>
      <c r="J185" s="22" t="n">
        <v>26.19591436929702</v>
      </c>
      <c r="K185" s="23" t="n">
        <v>26.48662067006535</v>
      </c>
      <c r="L185" s="23" t="n">
        <v>25.98264656159121</v>
      </c>
      <c r="M185" s="23" t="n">
        <v>25.37896798947196</v>
      </c>
      <c r="N185" s="23" t="n">
        <v>24.99437961776976</v>
      </c>
      <c r="O185" s="23" t="n">
        <v>24.44273018746085</v>
      </c>
      <c r="P185" s="23" t="n">
        <v>24.14456421494833</v>
      </c>
      <c r="Q185" s="23" t="n">
        <v>24.59380332385499</v>
      </c>
      <c r="R185" s="23" t="n">
        <v>25.17327717195532</v>
      </c>
      <c r="S185" s="23" t="n">
        <v>25.40553026864524</v>
      </c>
      <c r="T185" s="23" t="n">
        <v>25.38294981344914</v>
      </c>
      <c r="U185" s="23" t="n">
        <v>25.58755563944974</v>
      </c>
      <c r="V185" s="38" t="n">
        <v>25.31407831899658</v>
      </c>
      <c r="W185" s="41" t="n">
        <v>315</v>
      </c>
      <c r="X185" s="24" t="n">
        <v>0.875</v>
      </c>
    </row>
    <row r="186" ht="13.9" customHeight="1">
      <c r="A186" s="10" t="n">
        <v>32155010</v>
      </c>
      <c r="B186" s="21" t="inlineStr">
        <is>
          <t>CO</t>
        </is>
      </c>
      <c r="C186" s="21" t="inlineStr">
        <is>
          <t>Mapiripana</t>
        </is>
      </c>
      <c r="D186" s="21" t="inlineStr">
        <is>
          <t>San José del Guaviare</t>
        </is>
      </c>
      <c r="E186" s="21" t="inlineStr">
        <is>
          <t>Guaviare</t>
        </is>
      </c>
      <c r="F186" s="21" t="n">
        <v>3</v>
      </c>
      <c r="G186" s="21" t="n">
        <v>140</v>
      </c>
      <c r="H186" s="42" t="n">
        <v>-70.53333332999999</v>
      </c>
      <c r="I186" s="43" t="n">
        <v>2.8</v>
      </c>
      <c r="J186" s="22" t="n">
        <v>26.58260117980883</v>
      </c>
      <c r="K186" s="23" t="n">
        <v>26.93914432612124</v>
      </c>
      <c r="L186" s="23" t="n">
        <v>26.53035716737978</v>
      </c>
      <c r="M186" s="23" t="n">
        <v>26.20020731537065</v>
      </c>
      <c r="N186" s="23" t="n">
        <v>25.87382223479846</v>
      </c>
      <c r="O186" s="23" t="n">
        <v>25.39790254032647</v>
      </c>
      <c r="P186" s="23" t="n">
        <v>25.27951911589007</v>
      </c>
      <c r="Q186" s="23" t="n">
        <v>25.6502504244482</v>
      </c>
      <c r="R186" s="23" t="n">
        <v>26.14389418321813</v>
      </c>
      <c r="S186" s="23" t="n">
        <v>26.2635709767778</v>
      </c>
      <c r="T186" s="23" t="n">
        <v>26.38344228725973</v>
      </c>
      <c r="U186" s="23" t="n">
        <v>26.28816244629108</v>
      </c>
      <c r="V186" s="38" t="n">
        <v>26.1277395164742</v>
      </c>
      <c r="W186" s="41" t="n">
        <v>213</v>
      </c>
      <c r="X186" s="24" t="n">
        <v>0.8875</v>
      </c>
    </row>
    <row r="187" ht="13.9" customHeight="1">
      <c r="A187" s="10" t="n">
        <v>32105080</v>
      </c>
      <c r="B187" s="35" t="inlineStr">
        <is>
          <t>AM</t>
        </is>
      </c>
      <c r="C187" s="35" t="inlineStr">
        <is>
          <t>San Jose del Guaviare</t>
        </is>
      </c>
      <c r="D187" s="21" t="inlineStr">
        <is>
          <t>San José del Guaviare</t>
        </is>
      </c>
      <c r="E187" s="35" t="inlineStr">
        <is>
          <t>Guaviare</t>
        </is>
      </c>
      <c r="F187" s="35" t="n">
        <v>3</v>
      </c>
      <c r="G187" s="35" t="n">
        <v>165</v>
      </c>
      <c r="H187" s="36" t="n">
        <v>-72.65000000000001</v>
      </c>
      <c r="I187" s="37" t="n">
        <v>2.54999972</v>
      </c>
      <c r="J187" s="22" t="n">
        <v>26.55761964248063</v>
      </c>
      <c r="K187" s="23" t="n">
        <v>26.78587360319353</v>
      </c>
      <c r="L187" s="23" t="n">
        <v>26.39141374004548</v>
      </c>
      <c r="M187" s="23" t="n">
        <v>25.86457272690798</v>
      </c>
      <c r="N187" s="23" t="n">
        <v>25.38052072390104</v>
      </c>
      <c r="O187" s="23" t="n">
        <v>24.78422969497258</v>
      </c>
      <c r="P187" s="23" t="n">
        <v>24.7300075107194</v>
      </c>
      <c r="Q187" s="23" t="n">
        <v>25.17097603605898</v>
      </c>
      <c r="R187" s="23" t="n">
        <v>25.62702579435258</v>
      </c>
      <c r="S187" s="23" t="n">
        <v>25.87447063652195</v>
      </c>
      <c r="T187" s="23" t="n">
        <v>25.94870962320753</v>
      </c>
      <c r="U187" s="23" t="n">
        <v>26.1535404156472</v>
      </c>
      <c r="V187" s="38" t="n">
        <v>25.77241334566741</v>
      </c>
      <c r="W187" s="41" t="n">
        <v>210</v>
      </c>
      <c r="X187" s="24" t="n">
        <v>0.875</v>
      </c>
    </row>
    <row r="188" ht="13.9" customHeight="1">
      <c r="A188" s="10" t="n">
        <v>21045010</v>
      </c>
      <c r="B188" s="21" t="inlineStr">
        <is>
          <t>CO</t>
        </is>
      </c>
      <c r="C188" s="21" t="inlineStr">
        <is>
          <t xml:space="preserve">La Betulia </t>
        </is>
      </c>
      <c r="D188" s="21" t="inlineStr">
        <is>
          <t>Agrado</t>
        </is>
      </c>
      <c r="E188" s="21" t="inlineStr">
        <is>
          <t>Huila</t>
        </is>
      </c>
      <c r="F188" s="21" t="n">
        <v>4</v>
      </c>
      <c r="G188" s="21" t="n">
        <v>780</v>
      </c>
      <c r="H188" s="42" t="n">
        <v>-75.70508332999999</v>
      </c>
      <c r="I188" s="43" t="n">
        <v>2.28158333</v>
      </c>
      <c r="J188" s="22" t="n">
        <v>24.70650658030423</v>
      </c>
      <c r="K188" s="23" t="n">
        <v>24.76354550875747</v>
      </c>
      <c r="L188" s="23" t="n">
        <v>24.40841702584015</v>
      </c>
      <c r="M188" s="23" t="n">
        <v>24.29764644225505</v>
      </c>
      <c r="N188" s="23" t="n">
        <v>24.30713273926666</v>
      </c>
      <c r="O188" s="23" t="n">
        <v>23.99353950009121</v>
      </c>
      <c r="P188" s="23" t="n">
        <v>23.90037009864882</v>
      </c>
      <c r="Q188" s="23" t="n">
        <v>24.47641504401105</v>
      </c>
      <c r="R188" s="23" t="n">
        <v>24.99687031952304</v>
      </c>
      <c r="S188" s="23" t="n">
        <v>24.95228838219313</v>
      </c>
      <c r="T188" s="23" t="n">
        <v>24.42463036854588</v>
      </c>
      <c r="U188" s="23" t="n">
        <v>24.33001073318946</v>
      </c>
      <c r="V188" s="38" t="n">
        <v>24.46311439521884</v>
      </c>
      <c r="W188" s="41" t="n">
        <v>296</v>
      </c>
      <c r="X188" s="24" t="n">
        <v>0.8222222222222222</v>
      </c>
    </row>
    <row r="189" ht="13.9" customHeight="1">
      <c r="A189" s="10" t="n">
        <v>21105030</v>
      </c>
      <c r="B189" s="21" t="inlineStr">
        <is>
          <t>CO</t>
        </is>
      </c>
      <c r="C189" s="21" t="inlineStr">
        <is>
          <t>Algeciras</t>
        </is>
      </c>
      <c r="D189" s="21" t="inlineStr">
        <is>
          <t>Algeciras</t>
        </is>
      </c>
      <c r="E189" s="21" t="inlineStr">
        <is>
          <t>Huila</t>
        </is>
      </c>
      <c r="F189" s="21" t="n">
        <v>4</v>
      </c>
      <c r="G189" s="21" t="n">
        <v>1155</v>
      </c>
      <c r="H189" s="42" t="n">
        <v>-75.31999722</v>
      </c>
      <c r="I189" s="43" t="n">
        <v>2.52</v>
      </c>
      <c r="J189" s="22" t="n">
        <v>23.29056086574509</v>
      </c>
      <c r="K189" s="23" t="n">
        <v>23.5384168504372</v>
      </c>
      <c r="L189" s="23" t="n">
        <v>23.35182431147949</v>
      </c>
      <c r="M189" s="23" t="n">
        <v>23.14227840966733</v>
      </c>
      <c r="N189" s="23" t="n">
        <v>23.271629415264</v>
      </c>
      <c r="O189" s="23" t="n">
        <v>23.13152154157598</v>
      </c>
      <c r="P189" s="23" t="n">
        <v>23.11883921040395</v>
      </c>
      <c r="Q189" s="23" t="n">
        <v>23.44152972035824</v>
      </c>
      <c r="R189" s="23" t="n">
        <v>23.69816879640155</v>
      </c>
      <c r="S189" s="23" t="n">
        <v>23.51204742809797</v>
      </c>
      <c r="T189" s="23" t="n">
        <v>22.97448830809462</v>
      </c>
      <c r="U189" s="23" t="n">
        <v>22.98846632320242</v>
      </c>
      <c r="V189" s="38" t="n">
        <v>23.28831426506065</v>
      </c>
      <c r="W189" s="41" t="n">
        <v>226</v>
      </c>
      <c r="X189" s="24" t="n">
        <v>0.9416666666666667</v>
      </c>
    </row>
    <row r="190" ht="13.9" customHeight="1">
      <c r="A190" s="10" t="n">
        <v>21025030</v>
      </c>
      <c r="B190" s="35" t="inlineStr">
        <is>
          <t>CO</t>
        </is>
      </c>
      <c r="C190" s="35" t="inlineStr">
        <is>
          <t xml:space="preserve">El Grifo Altamira </t>
        </is>
      </c>
      <c r="D190" s="35" t="inlineStr">
        <is>
          <t>Altamira</t>
        </is>
      </c>
      <c r="E190" s="35" t="inlineStr">
        <is>
          <t>Huila</t>
        </is>
      </c>
      <c r="F190" s="35" t="n">
        <v>4</v>
      </c>
      <c r="G190" s="35" t="n">
        <v>1368</v>
      </c>
      <c r="H190" s="36" t="n">
        <v>-75.73622222</v>
      </c>
      <c r="I190" s="37" t="n">
        <v>2.07916667</v>
      </c>
      <c r="J190" s="22" t="n">
        <v>21.6756003645536</v>
      </c>
      <c r="K190" s="23" t="n">
        <v>21.64678434555294</v>
      </c>
      <c r="L190" s="23" t="n">
        <v>21.18056165866898</v>
      </c>
      <c r="M190" s="23" t="n">
        <v>20.92483276568998</v>
      </c>
      <c r="N190" s="23" t="n">
        <v>20.66652952031818</v>
      </c>
      <c r="O190" s="23" t="n">
        <v>20.08711543551049</v>
      </c>
      <c r="P190" s="23" t="n">
        <v>19.99849874936011</v>
      </c>
      <c r="Q190" s="23" t="n">
        <v>20.33780487249993</v>
      </c>
      <c r="R190" s="23" t="n">
        <v>21.0133878380074</v>
      </c>
      <c r="S190" s="23" t="n">
        <v>21.2260175846041</v>
      </c>
      <c r="T190" s="23" t="n">
        <v>21.08823501136381</v>
      </c>
      <c r="U190" s="23" t="n">
        <v>21.15249139960726</v>
      </c>
      <c r="V190" s="38">
        <f>AVERAGE(J190:U190)</f>
        <v/>
      </c>
      <c r="W190" s="41" t="n">
        <v>217</v>
      </c>
      <c r="X190" s="24" t="n">
        <v>0.9</v>
      </c>
    </row>
    <row r="191" ht="13.9" customHeight="1">
      <c r="A191" s="10" t="n">
        <v>21115160</v>
      </c>
      <c r="B191" s="21" t="inlineStr">
        <is>
          <t>AM</t>
        </is>
      </c>
      <c r="C191" s="21" t="inlineStr">
        <is>
          <t>Hacienda Manila - AUT</t>
        </is>
      </c>
      <c r="D191" s="21" t="inlineStr">
        <is>
          <t>Baraya</t>
        </is>
      </c>
      <c r="E191" s="21" t="inlineStr">
        <is>
          <t>Huila</t>
        </is>
      </c>
      <c r="F191" s="21" t="n">
        <v>4</v>
      </c>
      <c r="G191" s="21" t="n">
        <v>600</v>
      </c>
      <c r="H191" s="42" t="n">
        <v>-75.08152778</v>
      </c>
      <c r="I191" s="43" t="n">
        <v>3.13305556</v>
      </c>
      <c r="J191" s="22" t="n">
        <v>27.24817452467762</v>
      </c>
      <c r="K191" s="23" t="n">
        <v>27.40647637415266</v>
      </c>
      <c r="L191" s="23" t="n">
        <v>26.81911934829548</v>
      </c>
      <c r="M191" s="23" t="n">
        <v>26.41309934318554</v>
      </c>
      <c r="N191" s="23" t="n">
        <v>26.55077215792385</v>
      </c>
      <c r="O191" s="23" t="n">
        <v>26.85804500416569</v>
      </c>
      <c r="P191" s="23" t="n">
        <v>27.30028511391484</v>
      </c>
      <c r="Q191" s="23" t="n">
        <v>28.00194847343722</v>
      </c>
      <c r="R191" s="23" t="n">
        <v>27.96499510528458</v>
      </c>
      <c r="S191" s="23" t="n">
        <v>27.16050661385257</v>
      </c>
      <c r="T191" s="23" t="n">
        <v>26.20941599388797</v>
      </c>
      <c r="U191" s="23" t="n">
        <v>26.3497808444568</v>
      </c>
      <c r="V191" s="38" t="n">
        <v>27.02355157476957</v>
      </c>
      <c r="W191" s="41" t="n">
        <v>235</v>
      </c>
      <c r="X191" s="24" t="n">
        <v>0.9791666666666666</v>
      </c>
    </row>
    <row r="192" ht="13.9" customHeight="1">
      <c r="A192" s="10" t="n">
        <v>21105040</v>
      </c>
      <c r="B192" s="21" t="inlineStr">
        <is>
          <t>CO</t>
        </is>
      </c>
      <c r="C192" s="21" t="inlineStr">
        <is>
          <t>Hacienda Potosí</t>
        </is>
      </c>
      <c r="D192" s="21" t="inlineStr">
        <is>
          <t>Campoalegre</t>
        </is>
      </c>
      <c r="E192" s="21" t="inlineStr">
        <is>
          <t>Huila</t>
        </is>
      </c>
      <c r="F192" s="21" t="n">
        <v>4</v>
      </c>
      <c r="G192" s="21" t="n">
        <v>680</v>
      </c>
      <c r="H192" s="42" t="n">
        <v>-75.29888889</v>
      </c>
      <c r="I192" s="43" t="n">
        <v>2.69680556</v>
      </c>
      <c r="J192" s="44" t="n">
        <v>25.78355258335471</v>
      </c>
      <c r="K192" s="45" t="n">
        <v>25.98451820791294</v>
      </c>
      <c r="L192" s="45" t="n">
        <v>25.45935375893057</v>
      </c>
      <c r="M192" s="45" t="n">
        <v>25.2213280440137</v>
      </c>
      <c r="N192" s="45" t="n">
        <v>25.28171360848428</v>
      </c>
      <c r="O192" s="45" t="n">
        <v>25.15878075102719</v>
      </c>
      <c r="P192" s="45" t="n">
        <v>25.52629552162995</v>
      </c>
      <c r="Q192" s="45" t="n">
        <v>26.18725400455061</v>
      </c>
      <c r="R192" s="45" t="n">
        <v>26.54854704155222</v>
      </c>
      <c r="S192" s="45" t="n">
        <v>26.02351929833854</v>
      </c>
      <c r="T192" s="45" t="n">
        <v>25.17819157088122</v>
      </c>
      <c r="U192" s="45" t="n">
        <v>25.22999134617278</v>
      </c>
      <c r="V192" s="38" t="n">
        <v>25.63192047807073</v>
      </c>
      <c r="W192" s="41" t="n">
        <v>220</v>
      </c>
      <c r="X192" s="24" t="n">
        <v>0.9166666666666666</v>
      </c>
    </row>
    <row r="193" ht="13.9" customHeight="1">
      <c r="A193" s="10" t="n">
        <v>21105060</v>
      </c>
      <c r="B193" s="21" t="inlineStr">
        <is>
          <t>CP</t>
        </is>
      </c>
      <c r="C193" s="21" t="inlineStr">
        <is>
          <t>Hidrobetania</t>
        </is>
      </c>
      <c r="D193" s="21" t="inlineStr">
        <is>
          <t>Campoalegre</t>
        </is>
      </c>
      <c r="E193" s="21" t="inlineStr">
        <is>
          <t>Huila</t>
        </is>
      </c>
      <c r="F193" s="21" t="n">
        <v>4</v>
      </c>
      <c r="G193" s="21" t="n">
        <v>500</v>
      </c>
      <c r="H193" s="42" t="n">
        <v>-75.42491666999999</v>
      </c>
      <c r="I193" s="43" t="n">
        <v>2.71344444</v>
      </c>
      <c r="J193" s="44" t="n">
        <v>27.62441617110179</v>
      </c>
      <c r="K193" s="45" t="n">
        <v>27.83590344530624</v>
      </c>
      <c r="L193" s="45" t="n">
        <v>27.21557802399265</v>
      </c>
      <c r="M193" s="45" t="n">
        <v>26.85275503663003</v>
      </c>
      <c r="N193" s="45" t="n">
        <v>26.9439518274285</v>
      </c>
      <c r="O193" s="45" t="n">
        <v>27.08561745020347</v>
      </c>
      <c r="P193" s="45" t="n">
        <v>27.50816432491781</v>
      </c>
      <c r="Q193" s="45" t="n">
        <v>28.10572565710871</v>
      </c>
      <c r="R193" s="45" t="n">
        <v>28.10780906500906</v>
      </c>
      <c r="S193" s="45" t="n">
        <v>27.48411710462322</v>
      </c>
      <c r="T193" s="45" t="n">
        <v>26.41550644122383</v>
      </c>
      <c r="U193" s="45" t="n">
        <v>26.52527066868511</v>
      </c>
      <c r="V193" s="38" t="n">
        <v>27.30873460135254</v>
      </c>
      <c r="W193" s="41" t="n">
        <v>113</v>
      </c>
      <c r="X193" s="24" t="n">
        <v>0.9416666666666667</v>
      </c>
    </row>
    <row r="194" ht="13.9" customHeight="1">
      <c r="A194" s="10" t="n">
        <v>21105050</v>
      </c>
      <c r="B194" s="21" t="inlineStr">
        <is>
          <t>CP</t>
        </is>
      </c>
      <c r="C194" s="21" t="inlineStr">
        <is>
          <t xml:space="preserve">Los Rosales </t>
        </is>
      </c>
      <c r="D194" s="21" t="inlineStr">
        <is>
          <t>Campoalegre</t>
        </is>
      </c>
      <c r="E194" s="21" t="inlineStr">
        <is>
          <t>Huila</t>
        </is>
      </c>
      <c r="F194" s="21" t="n">
        <v>4</v>
      </c>
      <c r="G194" s="21" t="n">
        <v>553</v>
      </c>
      <c r="H194" s="42" t="n">
        <v>-75.41833333</v>
      </c>
      <c r="I194" s="43" t="n">
        <v>2.60305556</v>
      </c>
      <c r="J194" s="22" t="n">
        <v>26.29438068401517</v>
      </c>
      <c r="K194" s="23" t="n">
        <v>26.60335223578464</v>
      </c>
      <c r="L194" s="23" t="n">
        <v>26.10356569484853</v>
      </c>
      <c r="M194" s="23" t="n">
        <v>25.89805975074255</v>
      </c>
      <c r="N194" s="23" t="n">
        <v>26.0381255844282</v>
      </c>
      <c r="O194" s="23" t="n">
        <v>26.34933893115254</v>
      </c>
      <c r="P194" s="23" t="n">
        <v>26.88577102395955</v>
      </c>
      <c r="Q194" s="23" t="n">
        <v>27.72405669255647</v>
      </c>
      <c r="R194" s="23" t="n">
        <v>28.01085821107402</v>
      </c>
      <c r="S194" s="23" t="n">
        <v>27.03292401561805</v>
      </c>
      <c r="T194" s="23" t="n">
        <v>25.80562322995215</v>
      </c>
      <c r="U194" s="23" t="n">
        <v>25.72316203565178</v>
      </c>
      <c r="V194" s="38" t="n">
        <v>26.53910150748198</v>
      </c>
      <c r="W194" s="41" t="n">
        <v>283</v>
      </c>
      <c r="X194" s="24" t="n">
        <v>0.7861111111111111</v>
      </c>
    </row>
    <row r="195" ht="13.9" customHeight="1">
      <c r="A195" s="10" t="n">
        <v>21145080</v>
      </c>
      <c r="B195" s="21" t="inlineStr">
        <is>
          <t>CO</t>
        </is>
      </c>
      <c r="C195" s="21" t="inlineStr">
        <is>
          <t>Santa Ana</t>
        </is>
      </c>
      <c r="D195" s="21" t="inlineStr">
        <is>
          <t>Colombia</t>
        </is>
      </c>
      <c r="E195" s="21" t="inlineStr">
        <is>
          <t>Huila</t>
        </is>
      </c>
      <c r="F195" s="21" t="n">
        <v>4</v>
      </c>
      <c r="G195" s="21" t="n">
        <v>1410</v>
      </c>
      <c r="H195" s="42" t="n">
        <v>-74.70294444</v>
      </c>
      <c r="I195" s="43" t="n">
        <v>3.58977778</v>
      </c>
      <c r="J195" s="22" t="n">
        <v>20.39436131869463</v>
      </c>
      <c r="K195" s="23" t="n">
        <v>20.57574908745953</v>
      </c>
      <c r="L195" s="23" t="n">
        <v>20.38337360750266</v>
      </c>
      <c r="M195" s="23" t="n">
        <v>20.14944969168959</v>
      </c>
      <c r="N195" s="23" t="n">
        <v>19.88918214488537</v>
      </c>
      <c r="O195" s="23" t="n">
        <v>19.43023067614203</v>
      </c>
      <c r="P195" s="23" t="n">
        <v>19.30657942893052</v>
      </c>
      <c r="Q195" s="23" t="n">
        <v>19.90685961902943</v>
      </c>
      <c r="R195" s="23" t="n">
        <v>20.40026634590846</v>
      </c>
      <c r="S195" s="23" t="n">
        <v>20.3636890694053</v>
      </c>
      <c r="T195" s="23" t="n">
        <v>20.01960897842693</v>
      </c>
      <c r="U195" s="23" t="n">
        <v>20.11323992229145</v>
      </c>
      <c r="V195" s="38" t="n">
        <v>20.07771582419716</v>
      </c>
      <c r="W195" s="41" t="n">
        <v>339</v>
      </c>
      <c r="X195" s="24" t="n">
        <v>0.9416666666666667</v>
      </c>
    </row>
    <row r="196" ht="13.9" customHeight="1">
      <c r="A196" s="10" t="n">
        <v>21065040</v>
      </c>
      <c r="B196" s="21" t="inlineStr">
        <is>
          <t>CO</t>
        </is>
      </c>
      <c r="C196" s="21" t="inlineStr">
        <is>
          <t>Zuluaga</t>
        </is>
      </c>
      <c r="D196" s="21" t="inlineStr">
        <is>
          <t>Garzón</t>
        </is>
      </c>
      <c r="E196" s="21" t="inlineStr">
        <is>
          <t>Huila</t>
        </is>
      </c>
      <c r="F196" s="21" t="n">
        <v>4</v>
      </c>
      <c r="G196" s="21" t="n">
        <v>1270</v>
      </c>
      <c r="H196" s="42" t="n">
        <v>-75.52944443999999</v>
      </c>
      <c r="I196" s="43" t="n">
        <v>2.2525</v>
      </c>
      <c r="J196" s="22" t="n">
        <v>20.8814918860121</v>
      </c>
      <c r="K196" s="23" t="n">
        <v>21.11449316021497</v>
      </c>
      <c r="L196" s="23" t="n">
        <v>20.78749539764123</v>
      </c>
      <c r="M196" s="23" t="n">
        <v>20.68356837684307</v>
      </c>
      <c r="N196" s="23" t="n">
        <v>20.61245831758354</v>
      </c>
      <c r="O196" s="23" t="n">
        <v>20.17354366688491</v>
      </c>
      <c r="P196" s="23" t="n">
        <v>19.79996661152622</v>
      </c>
      <c r="Q196" s="23" t="n">
        <v>19.97314578052206</v>
      </c>
      <c r="R196" s="23" t="n">
        <v>20.329282890428</v>
      </c>
      <c r="S196" s="23" t="n">
        <v>20.58024705695469</v>
      </c>
      <c r="T196" s="23" t="n">
        <v>20.54671705353482</v>
      </c>
      <c r="U196" s="23" t="n">
        <v>20.56219074953099</v>
      </c>
      <c r="V196" s="38" t="n">
        <v>20.50371674563972</v>
      </c>
      <c r="W196" s="41" t="n">
        <v>348</v>
      </c>
      <c r="X196" s="24" t="n">
        <v>0.9666666666666667</v>
      </c>
    </row>
    <row r="197" ht="13.9" customHeight="1">
      <c r="A197" s="10" t="n">
        <v>21085020</v>
      </c>
      <c r="B197" s="21" t="inlineStr">
        <is>
          <t>CO</t>
        </is>
      </c>
      <c r="C197" s="21" t="inlineStr">
        <is>
          <t>Íquira</t>
        </is>
      </c>
      <c r="D197" s="21" t="inlineStr">
        <is>
          <t>Íquira</t>
        </is>
      </c>
      <c r="E197" s="21" t="inlineStr">
        <is>
          <t>Huila</t>
        </is>
      </c>
      <c r="F197" s="21" t="n">
        <v>4</v>
      </c>
      <c r="G197" s="21" t="n">
        <v>1095</v>
      </c>
      <c r="H197" s="42" t="n">
        <v>-75.62925</v>
      </c>
      <c r="I197" s="43" t="n">
        <v>2.65219444</v>
      </c>
      <c r="J197" s="22" t="n">
        <v>22.9030146712358</v>
      </c>
      <c r="K197" s="23" t="n">
        <v>22.87293357051632</v>
      </c>
      <c r="L197" s="23" t="n">
        <v>22.75008333333333</v>
      </c>
      <c r="M197" s="23" t="n">
        <v>23.02520726144864</v>
      </c>
      <c r="N197" s="23" t="n">
        <v>23.10438083308772</v>
      </c>
      <c r="O197" s="23" t="n">
        <v>23.15675025542783</v>
      </c>
      <c r="P197" s="23" t="n">
        <v>22.8625157582499</v>
      </c>
      <c r="Q197" s="23" t="n">
        <v>23.51348223481705</v>
      </c>
      <c r="R197" s="23" t="n">
        <v>23.96204114932002</v>
      </c>
      <c r="S197" s="23" t="n">
        <v>23.534228313307</v>
      </c>
      <c r="T197" s="23" t="n">
        <v>22.57408087027914</v>
      </c>
      <c r="U197" s="23" t="n">
        <v>22.6226863781174</v>
      </c>
      <c r="V197" s="38" t="n">
        <v>23.07345038576168</v>
      </c>
      <c r="W197" s="41" t="n">
        <v>119</v>
      </c>
      <c r="X197" s="24" t="n">
        <v>0.9916666666666667</v>
      </c>
    </row>
    <row r="198" ht="13.9" customHeight="1">
      <c r="A198" s="10" t="n">
        <v>21085040</v>
      </c>
      <c r="B198" s="21" t="inlineStr">
        <is>
          <t>CO</t>
        </is>
      </c>
      <c r="C198" s="21" t="inlineStr">
        <is>
          <t>Terpeya Colombia</t>
        </is>
      </c>
      <c r="D198" s="21" t="inlineStr">
        <is>
          <t>Íquira</t>
        </is>
      </c>
      <c r="E198" s="21" t="inlineStr">
        <is>
          <t>Huila</t>
        </is>
      </c>
      <c r="F198" s="21" t="n">
        <v>4</v>
      </c>
      <c r="G198" s="21" t="n">
        <v>1650</v>
      </c>
      <c r="H198" s="42" t="n">
        <v>-75.66555556</v>
      </c>
      <c r="I198" s="43" t="n">
        <v>2.66280556</v>
      </c>
      <c r="J198" s="22" t="n">
        <v>18.70967428879054</v>
      </c>
      <c r="K198" s="23" t="n">
        <v>18.93996419272776</v>
      </c>
      <c r="L198" s="23" t="n">
        <v>18.84873230485666</v>
      </c>
      <c r="M198" s="23" t="n">
        <v>18.95529544584431</v>
      </c>
      <c r="N198" s="23" t="n">
        <v>18.99362369314768</v>
      </c>
      <c r="O198" s="23" t="n">
        <v>18.82678519756761</v>
      </c>
      <c r="P198" s="23" t="n">
        <v>18.61301649996948</v>
      </c>
      <c r="Q198" s="23" t="n">
        <v>19.06329957856641</v>
      </c>
      <c r="R198" s="23" t="n">
        <v>19.45217374966763</v>
      </c>
      <c r="S198" s="23" t="n">
        <v>19.09195014222485</v>
      </c>
      <c r="T198" s="23" t="n">
        <v>18.53375677594187</v>
      </c>
      <c r="U198" s="23" t="n">
        <v>18.55899771203081</v>
      </c>
      <c r="V198" s="38" t="n">
        <v>18.8822724651113</v>
      </c>
      <c r="W198" s="41" t="n">
        <v>228</v>
      </c>
      <c r="X198" s="24" t="n">
        <v>0.95</v>
      </c>
    </row>
    <row r="199" ht="13.9" customHeight="1">
      <c r="A199" s="10" t="n">
        <v>21055020</v>
      </c>
      <c r="B199" s="21" t="inlineStr">
        <is>
          <t>CP</t>
        </is>
      </c>
      <c r="C199" s="21" t="inlineStr">
        <is>
          <t>Escuela Agricola La Plata</t>
        </is>
      </c>
      <c r="D199" s="21" t="inlineStr">
        <is>
          <t>La Plata</t>
        </is>
      </c>
      <c r="E199" s="21" t="inlineStr">
        <is>
          <t>Huila</t>
        </is>
      </c>
      <c r="F199" s="21" t="n">
        <v>4</v>
      </c>
      <c r="G199" s="21" t="n">
        <v>1070</v>
      </c>
      <c r="H199" s="42" t="n">
        <v>-75.89</v>
      </c>
      <c r="I199" s="43" t="n">
        <v>2.38</v>
      </c>
      <c r="J199" s="44" t="n">
        <v>22.77812675044616</v>
      </c>
      <c r="K199" s="45" t="n">
        <v>23.08670884630665</v>
      </c>
      <c r="L199" s="45" t="n">
        <v>22.81117926854392</v>
      </c>
      <c r="M199" s="45" t="n">
        <v>22.55729552207479</v>
      </c>
      <c r="N199" s="45" t="n">
        <v>22.63472654816474</v>
      </c>
      <c r="O199" s="45" t="n">
        <v>22.22330869613956</v>
      </c>
      <c r="P199" s="45" t="n">
        <v>22.07992221233878</v>
      </c>
      <c r="Q199" s="45" t="n">
        <v>22.50614075048732</v>
      </c>
      <c r="R199" s="45" t="n">
        <v>23.15267750701593</v>
      </c>
      <c r="S199" s="45" t="n">
        <v>23.07553742017778</v>
      </c>
      <c r="T199" s="45" t="n">
        <v>22.66725119225918</v>
      </c>
      <c r="U199" s="45" t="n">
        <v>22.63133545416893</v>
      </c>
      <c r="V199" s="38" t="n">
        <v>22.68368418067698</v>
      </c>
      <c r="W199" s="41" t="n">
        <v>302</v>
      </c>
      <c r="X199" s="24" t="n">
        <v>0.8388888888888889</v>
      </c>
    </row>
    <row r="200" ht="13.9" customHeight="1">
      <c r="A200" s="10" t="n">
        <v>21115020</v>
      </c>
      <c r="B200" s="21" t="inlineStr">
        <is>
          <t>SS</t>
        </is>
      </c>
      <c r="C200" s="21" t="inlineStr">
        <is>
          <t>Aeropuerto Benito Salas</t>
        </is>
      </c>
      <c r="D200" s="21" t="inlineStr">
        <is>
          <t>Neiva</t>
        </is>
      </c>
      <c r="E200" s="21" t="inlineStr">
        <is>
          <t>Huila</t>
        </is>
      </c>
      <c r="F200" s="21" t="n">
        <v>4</v>
      </c>
      <c r="G200" s="21" t="n">
        <v>439</v>
      </c>
      <c r="H200" s="42" t="n">
        <v>-75.29305556000001</v>
      </c>
      <c r="I200" s="43" t="n">
        <v>2.94875</v>
      </c>
      <c r="J200" s="22" t="n">
        <v>28.03366308243727</v>
      </c>
      <c r="K200" s="23" t="n">
        <v>28.3514350331448</v>
      </c>
      <c r="L200" s="23" t="n">
        <v>27.74694623655913</v>
      </c>
      <c r="M200" s="23" t="n">
        <v>27.53684674329501</v>
      </c>
      <c r="N200" s="23" t="n">
        <v>27.65442025089605</v>
      </c>
      <c r="O200" s="23" t="n">
        <v>27.94174074074074</v>
      </c>
      <c r="P200" s="23" t="n">
        <v>28.36235848473612</v>
      </c>
      <c r="Q200" s="23" t="n">
        <v>29.11707885304658</v>
      </c>
      <c r="R200" s="23" t="n">
        <v>29.32257056194124</v>
      </c>
      <c r="S200" s="23" t="n">
        <v>28.25381391875746</v>
      </c>
      <c r="T200" s="23" t="n">
        <v>27.07298371647509</v>
      </c>
      <c r="U200" s="23" t="n">
        <v>27.30466845878135</v>
      </c>
      <c r="V200" s="38" t="n">
        <v>28.05821050673424</v>
      </c>
      <c r="W200" s="41" t="n">
        <v>359</v>
      </c>
      <c r="X200" s="24" t="n">
        <v>0.9972222222222222</v>
      </c>
    </row>
    <row r="201" ht="13.9" customHeight="1">
      <c r="A201" s="10" t="n">
        <v>21135050</v>
      </c>
      <c r="B201" s="21" t="inlineStr">
        <is>
          <t>CO</t>
        </is>
      </c>
      <c r="C201" s="21" t="inlineStr">
        <is>
          <t>La Julia</t>
        </is>
      </c>
      <c r="D201" s="21" t="inlineStr">
        <is>
          <t>Neiva</t>
        </is>
      </c>
      <c r="E201" s="21" t="inlineStr">
        <is>
          <t>Huila</t>
        </is>
      </c>
      <c r="F201" s="21" t="n">
        <v>4</v>
      </c>
      <c r="G201" s="21" t="n">
        <v>1691</v>
      </c>
      <c r="H201" s="42" t="n">
        <v>-75.53002778</v>
      </c>
      <c r="I201" s="43" t="n">
        <v>3.09877778</v>
      </c>
      <c r="J201" s="44" t="n">
        <v>18.6471626947038</v>
      </c>
      <c r="K201" s="45" t="n">
        <v>18.62290043373906</v>
      </c>
      <c r="L201" s="45" t="n">
        <v>18.66558287187625</v>
      </c>
      <c r="M201" s="45" t="n">
        <v>18.72600137942091</v>
      </c>
      <c r="N201" s="45" t="n">
        <v>18.91659195487738</v>
      </c>
      <c r="O201" s="45" t="n">
        <v>19.00224038034574</v>
      </c>
      <c r="P201" s="45" t="n">
        <v>18.8494621856565</v>
      </c>
      <c r="Q201" s="45" t="n">
        <v>19.03781286311932</v>
      </c>
      <c r="R201" s="45" t="n">
        <v>19.11764787202241</v>
      </c>
      <c r="S201" s="45" t="n">
        <v>18.6494924022307</v>
      </c>
      <c r="T201" s="45" t="n">
        <v>18.37539904027717</v>
      </c>
      <c r="U201" s="45" t="n">
        <v>18.50421677352124</v>
      </c>
      <c r="V201" s="38" t="n">
        <v>18.75954257098254</v>
      </c>
      <c r="W201" s="41" t="n">
        <v>297</v>
      </c>
      <c r="X201" s="24" t="n">
        <v>0.825</v>
      </c>
    </row>
    <row r="202" ht="13.9" customHeight="1">
      <c r="A202" s="10" t="n">
        <v>21115100</v>
      </c>
      <c r="B202" s="21" t="inlineStr">
        <is>
          <t>CO</t>
        </is>
      </c>
      <c r="C202" s="21" t="inlineStr">
        <is>
          <t>Palacio-Vegalarga</t>
        </is>
      </c>
      <c r="D202" s="21" t="inlineStr">
        <is>
          <t>Neiva</t>
        </is>
      </c>
      <c r="E202" s="21" t="inlineStr">
        <is>
          <t>Huila</t>
        </is>
      </c>
      <c r="F202" s="21" t="n">
        <v>4</v>
      </c>
      <c r="G202" s="21" t="n">
        <v>1100</v>
      </c>
      <c r="H202" s="42" t="n">
        <v>-75.06638889</v>
      </c>
      <c r="I202" s="43" t="n">
        <v>2.94263889</v>
      </c>
      <c r="J202" s="44" t="n">
        <v>22.70796190390566</v>
      </c>
      <c r="K202" s="45" t="n">
        <v>22.8807470790861</v>
      </c>
      <c r="L202" s="45" t="n">
        <v>22.47574600951543</v>
      </c>
      <c r="M202" s="45" t="n">
        <v>22.37547844067382</v>
      </c>
      <c r="N202" s="45" t="n">
        <v>22.45760557403377</v>
      </c>
      <c r="O202" s="45" t="n">
        <v>22.57017545587279</v>
      </c>
      <c r="P202" s="45" t="n">
        <v>22.68324085597892</v>
      </c>
      <c r="Q202" s="45" t="n">
        <v>23.04155701747708</v>
      </c>
      <c r="R202" s="45" t="n">
        <v>23.18119028866053</v>
      </c>
      <c r="S202" s="45" t="n">
        <v>22.70019584328888</v>
      </c>
      <c r="T202" s="45" t="n">
        <v>22.09949547861955</v>
      </c>
      <c r="U202" s="45" t="n">
        <v>22.29078051416508</v>
      </c>
      <c r="V202" s="38" t="n">
        <v>22.6220145384398</v>
      </c>
      <c r="W202" s="41" t="n">
        <v>340</v>
      </c>
      <c r="X202" s="24" t="n">
        <v>0.9444444444444444</v>
      </c>
    </row>
    <row r="203" ht="13.9" customHeight="1">
      <c r="A203" s="10" t="n">
        <v>21125020</v>
      </c>
      <c r="B203" s="21" t="inlineStr">
        <is>
          <t>CO</t>
        </is>
      </c>
      <c r="C203" s="21" t="inlineStr">
        <is>
          <t>Palermo</t>
        </is>
      </c>
      <c r="D203" s="21" t="inlineStr">
        <is>
          <t>Palermo</t>
        </is>
      </c>
      <c r="E203" s="21" t="inlineStr">
        <is>
          <t>Huila</t>
        </is>
      </c>
      <c r="F203" s="21" t="n">
        <v>4</v>
      </c>
      <c r="G203" s="21" t="n">
        <v>550</v>
      </c>
      <c r="H203" s="42" t="n">
        <v>-75.44333332999999</v>
      </c>
      <c r="I203" s="43" t="n">
        <v>2.9075</v>
      </c>
      <c r="J203" s="22" t="n">
        <v>26.04108194501222</v>
      </c>
      <c r="K203" s="23" t="n">
        <v>26.23911074861823</v>
      </c>
      <c r="L203" s="23" t="n">
        <v>26.05919831094234</v>
      </c>
      <c r="M203" s="23" t="n">
        <v>26.15528408628408</v>
      </c>
      <c r="N203" s="23" t="n">
        <v>26.38417137414846</v>
      </c>
      <c r="O203" s="23" t="n">
        <v>26.48509578544059</v>
      </c>
      <c r="P203" s="23" t="n">
        <v>26.82935473285359</v>
      </c>
      <c r="Q203" s="23" t="n">
        <v>27.68850746026673</v>
      </c>
      <c r="R203" s="23" t="n">
        <v>27.57705717578447</v>
      </c>
      <c r="S203" s="23" t="n">
        <v>26.48664956342194</v>
      </c>
      <c r="T203" s="23" t="n">
        <v>25.85770958766646</v>
      </c>
      <c r="U203" s="23" t="n">
        <v>25.68268295131671</v>
      </c>
      <c r="V203" s="38" t="n">
        <v>26.45715864347966</v>
      </c>
      <c r="W203" s="41" t="n">
        <v>214</v>
      </c>
      <c r="X203" s="24" t="n">
        <v>0.8916666666666667</v>
      </c>
    </row>
    <row r="204" ht="13.9" customHeight="1">
      <c r="A204" s="10" t="n">
        <v>21015020</v>
      </c>
      <c r="B204" s="21" t="inlineStr">
        <is>
          <t>CO</t>
        </is>
      </c>
      <c r="C204" s="21" t="inlineStr">
        <is>
          <t>Sevilla</t>
        </is>
      </c>
      <c r="D204" s="21" t="inlineStr">
        <is>
          <t>Pitalito</t>
        </is>
      </c>
      <c r="E204" s="21" t="inlineStr">
        <is>
          <t>Huila</t>
        </is>
      </c>
      <c r="F204" s="21" t="n">
        <v>4</v>
      </c>
      <c r="G204" s="21" t="n">
        <v>1320</v>
      </c>
      <c r="H204" s="42" t="n">
        <v>-76.13027778</v>
      </c>
      <c r="I204" s="43" t="n">
        <v>1.82483333</v>
      </c>
      <c r="J204" s="22" t="n">
        <v>21.06752690080514</v>
      </c>
      <c r="K204" s="23" t="n">
        <v>21.30603923867854</v>
      </c>
      <c r="L204" s="23" t="n">
        <v>20.76183365969322</v>
      </c>
      <c r="M204" s="23" t="n">
        <v>20.68134082740374</v>
      </c>
      <c r="N204" s="23" t="n">
        <v>20.59968208038251</v>
      </c>
      <c r="O204" s="23" t="n">
        <v>19.99596209108999</v>
      </c>
      <c r="P204" s="23" t="n">
        <v>19.52184338390052</v>
      </c>
      <c r="Q204" s="23" t="n">
        <v>19.60314493036875</v>
      </c>
      <c r="R204" s="23" t="n">
        <v>20.25979112079153</v>
      </c>
      <c r="S204" s="23" t="n">
        <v>20.56480359767817</v>
      </c>
      <c r="T204" s="23" t="n">
        <v>20.77959821982635</v>
      </c>
      <c r="U204" s="23" t="n">
        <v>20.75741061996339</v>
      </c>
      <c r="V204" s="38" t="n">
        <v>20.49158138921515</v>
      </c>
      <c r="W204" s="41" t="n">
        <v>348</v>
      </c>
      <c r="X204" s="24" t="n">
        <v>0.9666666666666667</v>
      </c>
    </row>
    <row r="205" ht="13.9" customHeight="1">
      <c r="A205" s="10" t="n">
        <v>21015030</v>
      </c>
      <c r="B205" s="21" t="inlineStr">
        <is>
          <t>PM</t>
        </is>
      </c>
      <c r="C205" s="21" t="inlineStr">
        <is>
          <t>Parque Arqueológico</t>
        </is>
      </c>
      <c r="D205" s="21" t="inlineStr">
        <is>
          <t>San Agustín</t>
        </is>
      </c>
      <c r="E205" s="21" t="inlineStr">
        <is>
          <t>Huila</t>
        </is>
      </c>
      <c r="F205" s="21" t="n">
        <v>4</v>
      </c>
      <c r="G205" s="21" t="n">
        <v>1800</v>
      </c>
      <c r="H205" s="42" t="n">
        <v>-76.29497222000001</v>
      </c>
      <c r="I205" s="43" t="n">
        <v>1.88847222</v>
      </c>
      <c r="J205" s="22" t="n">
        <v>19.15116472507699</v>
      </c>
      <c r="K205" s="23" t="n">
        <v>19.30675609353101</v>
      </c>
      <c r="L205" s="23" t="n">
        <v>19.04559002588933</v>
      </c>
      <c r="M205" s="23" t="n">
        <v>18.88642207587626</v>
      </c>
      <c r="N205" s="23" t="n">
        <v>18.73870180754757</v>
      </c>
      <c r="O205" s="23" t="n">
        <v>18.01446435869363</v>
      </c>
      <c r="P205" s="23" t="n">
        <v>17.53846011002137</v>
      </c>
      <c r="Q205" s="23" t="n">
        <v>17.68180666883275</v>
      </c>
      <c r="R205" s="23" t="n">
        <v>18.4324425287356</v>
      </c>
      <c r="S205" s="23" t="n">
        <v>18.87896603962437</v>
      </c>
      <c r="T205" s="23" t="n">
        <v>18.93676161088093</v>
      </c>
      <c r="U205" s="23" t="n">
        <v>19.00825008920957</v>
      </c>
      <c r="V205" s="38" t="n">
        <v>18.63498217782661</v>
      </c>
      <c r="W205" s="41" t="n">
        <v>356</v>
      </c>
      <c r="X205" s="24" t="n">
        <v>0.9888888888888889</v>
      </c>
    </row>
    <row r="206" ht="13.9" customHeight="1">
      <c r="A206" s="10" t="n">
        <v>21125010</v>
      </c>
      <c r="B206" s="35" t="inlineStr">
        <is>
          <t>CO</t>
        </is>
      </c>
      <c r="C206" s="35" t="inlineStr">
        <is>
          <t>Santa María</t>
        </is>
      </c>
      <c r="D206" s="35" t="inlineStr">
        <is>
          <t xml:space="preserve">Santa María </t>
        </is>
      </c>
      <c r="E206" s="35" t="inlineStr">
        <is>
          <t>Huila</t>
        </is>
      </c>
      <c r="F206" s="35" t="n">
        <v>4</v>
      </c>
      <c r="G206" s="35" t="n">
        <v>1300</v>
      </c>
      <c r="H206" s="36" t="n">
        <v>-75.58905556000001</v>
      </c>
      <c r="I206" s="37" t="n">
        <v>2.93569444</v>
      </c>
      <c r="J206" s="44" t="n">
        <v>20.66641750336978</v>
      </c>
      <c r="K206" s="45" t="n">
        <v>20.8404541996401</v>
      </c>
      <c r="L206" s="45" t="n">
        <v>20.83654730197857</v>
      </c>
      <c r="M206" s="45" t="n">
        <v>20.87363336073249</v>
      </c>
      <c r="N206" s="45" t="n">
        <v>20.92730475928717</v>
      </c>
      <c r="O206" s="45" t="n">
        <v>20.70654641714447</v>
      </c>
      <c r="P206" s="45" t="n">
        <v>20.75263459586596</v>
      </c>
      <c r="Q206" s="45" t="n">
        <v>20.99876108732859</v>
      </c>
      <c r="R206" s="45" t="n">
        <v>21.1939444100828</v>
      </c>
      <c r="S206" s="45" t="n">
        <v>20.84395608441594</v>
      </c>
      <c r="T206" s="45" t="n">
        <v>20.55973612881371</v>
      </c>
      <c r="U206" s="45" t="n">
        <v>20.52804929737725</v>
      </c>
      <c r="V206" s="38" t="n">
        <v>20.8106654288364</v>
      </c>
      <c r="W206" s="41" t="n">
        <v>280</v>
      </c>
      <c r="X206" s="24" t="n">
        <v>0.7777777777777778</v>
      </c>
    </row>
    <row r="207" ht="13.9" customHeight="1">
      <c r="A207" s="10" t="n">
        <v>21035040</v>
      </c>
      <c r="B207" s="21" t="inlineStr">
        <is>
          <t>CO</t>
        </is>
      </c>
      <c r="C207" s="21" t="inlineStr">
        <is>
          <t>El Líbano</t>
        </is>
      </c>
      <c r="D207" s="21" t="inlineStr">
        <is>
          <t>Suaza</t>
        </is>
      </c>
      <c r="E207" s="21" t="inlineStr">
        <is>
          <t>Huila</t>
        </is>
      </c>
      <c r="F207" s="21" t="n">
        <v>4</v>
      </c>
      <c r="G207" s="21" t="n">
        <v>1045</v>
      </c>
      <c r="H207" s="42" t="n">
        <v>-75.83</v>
      </c>
      <c r="I207" s="43" t="n">
        <v>1.87</v>
      </c>
      <c r="J207" s="22" t="n">
        <v>23.11846318871533</v>
      </c>
      <c r="K207" s="23" t="n">
        <v>23.07647592126284</v>
      </c>
      <c r="L207" s="23" t="n">
        <v>22.76906712506046</v>
      </c>
      <c r="M207" s="23" t="n">
        <v>22.73087066310757</v>
      </c>
      <c r="N207" s="23" t="n">
        <v>22.62281078705118</v>
      </c>
      <c r="O207" s="23" t="n">
        <v>22.42147055794914</v>
      </c>
      <c r="P207" s="23" t="n">
        <v>22.15028877890285</v>
      </c>
      <c r="Q207" s="23" t="n">
        <v>22.30519347542976</v>
      </c>
      <c r="R207" s="23" t="n">
        <v>22.53775066799764</v>
      </c>
      <c r="S207" s="23" t="n">
        <v>22.76272355604515</v>
      </c>
      <c r="T207" s="23" t="n">
        <v>22.83325096376645</v>
      </c>
      <c r="U207" s="23" t="n">
        <v>22.87754821866931</v>
      </c>
      <c r="V207" s="38" t="n">
        <v>22.68382615866314</v>
      </c>
      <c r="W207" s="41" t="n">
        <v>316</v>
      </c>
      <c r="X207" s="24" t="n">
        <v>0.8777777777777778</v>
      </c>
    </row>
    <row r="208" ht="13.9" customHeight="1">
      <c r="A208" s="10" t="n">
        <v>21115070</v>
      </c>
      <c r="B208" s="21" t="inlineStr">
        <is>
          <t>CO</t>
        </is>
      </c>
      <c r="C208" s="21" t="inlineStr">
        <is>
          <t>El Portal</t>
        </is>
      </c>
      <c r="D208" s="21" t="inlineStr">
        <is>
          <t>Tello</t>
        </is>
      </c>
      <c r="E208" s="21" t="inlineStr">
        <is>
          <t>Huila</t>
        </is>
      </c>
      <c r="F208" s="21" t="n">
        <v>4</v>
      </c>
      <c r="G208" s="21" t="n">
        <v>1300</v>
      </c>
      <c r="H208" s="42" t="n">
        <v>-75.07299999999999</v>
      </c>
      <c r="I208" s="43" t="n">
        <v>3.01494444</v>
      </c>
      <c r="J208" s="22" t="n">
        <v>22.18188686453362</v>
      </c>
      <c r="K208" s="23" t="n">
        <v>22.4512972647193</v>
      </c>
      <c r="L208" s="23" t="n">
        <v>22.15823368261812</v>
      </c>
      <c r="M208" s="23" t="n">
        <v>22.0893366321223</v>
      </c>
      <c r="N208" s="23" t="n">
        <v>22.1433086930519</v>
      </c>
      <c r="O208" s="23" t="n">
        <v>22.03085493591062</v>
      </c>
      <c r="P208" s="23" t="n">
        <v>22.0754021427388</v>
      </c>
      <c r="Q208" s="23" t="n">
        <v>22.67983625556401</v>
      </c>
      <c r="R208" s="23" t="n">
        <v>22.98347030495401</v>
      </c>
      <c r="S208" s="23" t="n">
        <v>22.50534816634414</v>
      </c>
      <c r="T208" s="23" t="n">
        <v>21.74752497493526</v>
      </c>
      <c r="U208" s="23" t="n">
        <v>21.74754530441828</v>
      </c>
      <c r="V208" s="38" t="n">
        <v>22.23283710182587</v>
      </c>
      <c r="W208" s="41" t="n">
        <v>214</v>
      </c>
      <c r="X208" s="24" t="n">
        <v>0.8916666666666667</v>
      </c>
    </row>
    <row r="209" ht="13.9" customHeight="1">
      <c r="A209" s="10" t="n">
        <v>21145040</v>
      </c>
      <c r="B209" s="21" t="inlineStr">
        <is>
          <t>AM</t>
        </is>
      </c>
      <c r="C209" s="21" t="inlineStr">
        <is>
          <t>San Alfonso</t>
        </is>
      </c>
      <c r="D209" s="21" t="inlineStr">
        <is>
          <t>Villavieja</t>
        </is>
      </c>
      <c r="E209" s="21" t="inlineStr">
        <is>
          <t>Huila</t>
        </is>
      </c>
      <c r="F209" s="21" t="n">
        <v>4</v>
      </c>
      <c r="G209" s="21" t="n">
        <v>440</v>
      </c>
      <c r="H209" s="42" t="n">
        <v>-75.11011111000001</v>
      </c>
      <c r="I209" s="43" t="n">
        <v>3.37336111</v>
      </c>
      <c r="J209" s="22" t="n">
        <v>28.71598389176816</v>
      </c>
      <c r="K209" s="23" t="n">
        <v>29.20911104667346</v>
      </c>
      <c r="L209" s="23" t="n">
        <v>28.70016329581242</v>
      </c>
      <c r="M209" s="23" t="n">
        <v>28.39083296266888</v>
      </c>
      <c r="N209" s="23" t="n">
        <v>28.60170335570718</v>
      </c>
      <c r="O209" s="23" t="n">
        <v>29.08959322197208</v>
      </c>
      <c r="P209" s="23" t="n">
        <v>29.46905288445073</v>
      </c>
      <c r="Q209" s="23" t="n">
        <v>30.2833215669562</v>
      </c>
      <c r="R209" s="23" t="n">
        <v>30.13182500148543</v>
      </c>
      <c r="S209" s="23" t="n">
        <v>29.03471256683039</v>
      </c>
      <c r="T209" s="23" t="n">
        <v>27.74745027919259</v>
      </c>
      <c r="U209" s="23" t="n">
        <v>28.00748409880919</v>
      </c>
      <c r="V209" s="38" t="n">
        <v>28.94843618102723</v>
      </c>
      <c r="W209" s="41" t="n">
        <v>302</v>
      </c>
      <c r="X209" s="24" t="n">
        <v>0.8388888888888889</v>
      </c>
    </row>
    <row r="210" ht="13.9" customHeight="1">
      <c r="A210" s="10" t="n">
        <v>21115060</v>
      </c>
      <c r="B210" s="46" t="inlineStr">
        <is>
          <t>CO</t>
        </is>
      </c>
      <c r="C210" s="46" t="inlineStr">
        <is>
          <t>San José</t>
        </is>
      </c>
      <c r="D210" s="46" t="inlineStr">
        <is>
          <t>Villavieja</t>
        </is>
      </c>
      <c r="E210" s="46" t="inlineStr">
        <is>
          <t>Huila</t>
        </is>
      </c>
      <c r="F210" s="46" t="n">
        <v>4</v>
      </c>
      <c r="G210" s="46" t="n">
        <v>400</v>
      </c>
      <c r="H210" s="47" t="n">
        <v>-75.18405556</v>
      </c>
      <c r="I210" s="48" t="n">
        <v>3.32922222</v>
      </c>
      <c r="J210" s="22" t="n">
        <v>29.04977956989248</v>
      </c>
      <c r="K210" s="23" t="n">
        <v>29.25939790254445</v>
      </c>
      <c r="L210" s="23" t="n">
        <v>28.70985768137437</v>
      </c>
      <c r="M210" s="23" t="n">
        <v>28.50391351943075</v>
      </c>
      <c r="N210" s="23" t="n">
        <v>28.61478494623655</v>
      </c>
      <c r="O210" s="23" t="n">
        <v>29.04186951894422</v>
      </c>
      <c r="P210" s="23" t="n">
        <v>29.5317939112241</v>
      </c>
      <c r="Q210" s="23" t="n">
        <v>30.30984904302841</v>
      </c>
      <c r="R210" s="23" t="n">
        <v>30.32474418971833</v>
      </c>
      <c r="S210" s="23" t="n">
        <v>29.15677719070572</v>
      </c>
      <c r="T210" s="23" t="n">
        <v>27.79197988505747</v>
      </c>
      <c r="U210" s="23" t="n">
        <v>28.07638162086817</v>
      </c>
      <c r="V210" s="38" t="n">
        <v>29.03092741491875</v>
      </c>
      <c r="W210" s="41" t="n">
        <v>360</v>
      </c>
      <c r="X210" s="24" t="n">
        <v>1</v>
      </c>
    </row>
    <row r="211" ht="13.9" customHeight="1">
      <c r="A211" s="10" t="n">
        <v>21115080</v>
      </c>
      <c r="B211" s="21" t="inlineStr">
        <is>
          <t>CO</t>
        </is>
      </c>
      <c r="C211" s="21" t="inlineStr">
        <is>
          <t>Villavieja FFCC</t>
        </is>
      </c>
      <c r="D211" s="21" t="inlineStr">
        <is>
          <t>Villavieja</t>
        </is>
      </c>
      <c r="E211" s="21" t="inlineStr">
        <is>
          <t>Huila</t>
        </is>
      </c>
      <c r="F211" s="21" t="n">
        <v>4</v>
      </c>
      <c r="G211" s="21" t="n">
        <v>430</v>
      </c>
      <c r="H211" s="42" t="n">
        <v>-75.2475</v>
      </c>
      <c r="I211" s="43" t="n">
        <v>3.18305556</v>
      </c>
      <c r="J211" s="44" t="n">
        <v>27.87639202212801</v>
      </c>
      <c r="K211" s="45" t="n">
        <v>27.95157008390551</v>
      </c>
      <c r="L211" s="45" t="n">
        <v>27.61628272905014</v>
      </c>
      <c r="M211" s="45" t="n">
        <v>27.41500029472443</v>
      </c>
      <c r="N211" s="45" t="n">
        <v>27.45673602126972</v>
      </c>
      <c r="O211" s="45" t="n">
        <v>27.8125567162604</v>
      </c>
      <c r="P211" s="45" t="n">
        <v>28.05214405973322</v>
      </c>
      <c r="Q211" s="45" t="n">
        <v>28.65670121328452</v>
      </c>
      <c r="R211" s="45" t="n">
        <v>28.97501377979666</v>
      </c>
      <c r="S211" s="45" t="n">
        <v>27.94546654609536</v>
      </c>
      <c r="T211" s="45" t="n">
        <v>27.00992404811024</v>
      </c>
      <c r="U211" s="45" t="n">
        <v>27.21067763172764</v>
      </c>
      <c r="V211" s="38" t="n">
        <v>27.83153876217382</v>
      </c>
      <c r="W211" s="41" t="n">
        <v>317</v>
      </c>
      <c r="X211" s="24" t="n">
        <v>0.8805555555555555</v>
      </c>
    </row>
    <row r="212" ht="13.9" customHeight="1">
      <c r="A212" s="10" t="n">
        <v>15065501</v>
      </c>
      <c r="B212" s="35" t="inlineStr">
        <is>
          <t>CP</t>
        </is>
      </c>
      <c r="C212" s="35" t="inlineStr">
        <is>
          <t xml:space="preserve">La Mina Cerrejón  - AUT </t>
        </is>
      </c>
      <c r="D212" s="35" t="inlineStr">
        <is>
          <t>Albania</t>
        </is>
      </c>
      <c r="E212" s="35" t="inlineStr">
        <is>
          <t>La Guajira</t>
        </is>
      </c>
      <c r="F212" s="35" t="n">
        <v>5</v>
      </c>
      <c r="G212" s="35" t="n">
        <v>80</v>
      </c>
      <c r="H212" s="36" t="n">
        <v>-72.61594443999999</v>
      </c>
      <c r="I212" s="37" t="n">
        <v>11.13758333</v>
      </c>
      <c r="J212" s="22" t="n">
        <v>27.66790686511165</v>
      </c>
      <c r="K212" s="23" t="n">
        <v>28.23553244822595</v>
      </c>
      <c r="L212" s="23" t="n">
        <v>28.92952789867439</v>
      </c>
      <c r="M212" s="23" t="n">
        <v>29.45176488475338</v>
      </c>
      <c r="N212" s="23" t="n">
        <v>29.31771768807324</v>
      </c>
      <c r="O212" s="23" t="n">
        <v>29.82466787958551</v>
      </c>
      <c r="P212" s="23" t="n">
        <v>30.28448995859178</v>
      </c>
      <c r="Q212" s="23" t="n">
        <v>30.10592235428392</v>
      </c>
      <c r="R212" s="23" t="n">
        <v>29.06139303858884</v>
      </c>
      <c r="S212" s="23" t="n">
        <v>28.16616110816839</v>
      </c>
      <c r="T212" s="23" t="n">
        <v>27.90556167068268</v>
      </c>
      <c r="U212" s="23" t="n">
        <v>27.65163379259756</v>
      </c>
      <c r="V212" s="38" t="n">
        <v>28.88352329894478</v>
      </c>
      <c r="W212" s="41" t="n">
        <v>322</v>
      </c>
      <c r="X212" s="24" t="n">
        <v>0.8944444444444445</v>
      </c>
    </row>
    <row r="213" ht="13.9" customHeight="1">
      <c r="A213" s="10" t="n">
        <v>15035020</v>
      </c>
      <c r="B213" s="21" t="inlineStr">
        <is>
          <t>CO</t>
        </is>
      </c>
      <c r="C213" s="21" t="inlineStr">
        <is>
          <t>Termoguajira -AUT</t>
        </is>
      </c>
      <c r="D213" s="21" t="inlineStr">
        <is>
          <t>Dibulla</t>
        </is>
      </c>
      <c r="E213" s="21" t="inlineStr">
        <is>
          <t>La Guajira</t>
        </is>
      </c>
      <c r="F213" s="21" t="n">
        <v>5</v>
      </c>
      <c r="G213" s="21" t="n">
        <v>5</v>
      </c>
      <c r="H213" s="42" t="n">
        <v>-73.41138889</v>
      </c>
      <c r="I213" s="43" t="n">
        <v>11.2525</v>
      </c>
      <c r="J213" s="44" t="n">
        <v>25.88071505376343</v>
      </c>
      <c r="K213" s="45" t="n">
        <v>25.86278626163109</v>
      </c>
      <c r="L213" s="45" t="n">
        <v>26.10328627023287</v>
      </c>
      <c r="M213" s="45" t="n">
        <v>26.79730062437916</v>
      </c>
      <c r="N213" s="45" t="n">
        <v>27.25530303030303</v>
      </c>
      <c r="O213" s="45" t="n">
        <v>27.64742261904761</v>
      </c>
      <c r="P213" s="45" t="n">
        <v>27.8431420714374</v>
      </c>
      <c r="Q213" s="45" t="n">
        <v>27.95392259771291</v>
      </c>
      <c r="R213" s="45" t="n">
        <v>27.01497988505746</v>
      </c>
      <c r="S213" s="45" t="n">
        <v>26.60337514934288</v>
      </c>
      <c r="T213" s="45" t="n">
        <v>26.40902618135376</v>
      </c>
      <c r="U213" s="45" t="n">
        <v>26.42186404545275</v>
      </c>
      <c r="V213" s="38" t="n">
        <v>26.81609364914286</v>
      </c>
      <c r="W213" s="41" t="n">
        <v>113</v>
      </c>
      <c r="X213" s="24" t="n">
        <v>0.9416666666666667</v>
      </c>
    </row>
    <row r="214" ht="13.9" customHeight="1">
      <c r="A214" s="10" t="n">
        <v>15085030</v>
      </c>
      <c r="B214" s="21" t="inlineStr">
        <is>
          <t>CO</t>
        </is>
      </c>
      <c r="C214" s="21" t="inlineStr">
        <is>
          <t>Escuela Agrícola Carraipía - AUT</t>
        </is>
      </c>
      <c r="D214" s="21" t="inlineStr">
        <is>
          <t>Maicao</t>
        </is>
      </c>
      <c r="E214" s="21" t="inlineStr">
        <is>
          <t>La Guajira</t>
        </is>
      </c>
      <c r="F214" s="21" t="n">
        <v>5</v>
      </c>
      <c r="G214" s="21" t="n">
        <v>118</v>
      </c>
      <c r="H214" s="42" t="n">
        <v>-72.35994443999999</v>
      </c>
      <c r="I214" s="43" t="n">
        <v>11.21675</v>
      </c>
      <c r="J214" s="22" t="n">
        <v>26.1742482738673</v>
      </c>
      <c r="K214" s="23" t="n">
        <v>26.43858517378299</v>
      </c>
      <c r="L214" s="23" t="n">
        <v>27.19172302895473</v>
      </c>
      <c r="M214" s="23" t="n">
        <v>27.86228375123793</v>
      </c>
      <c r="N214" s="23" t="n">
        <v>28.10238066134171</v>
      </c>
      <c r="O214" s="23" t="n">
        <v>28.36738488791319</v>
      </c>
      <c r="P214" s="23" t="n">
        <v>28.61208316155479</v>
      </c>
      <c r="Q214" s="23" t="n">
        <v>28.83382033964488</v>
      </c>
      <c r="R214" s="23" t="n">
        <v>28.26649409244662</v>
      </c>
      <c r="S214" s="23" t="n">
        <v>27.37972809127949</v>
      </c>
      <c r="T214" s="23" t="n">
        <v>26.84779154000798</v>
      </c>
      <c r="U214" s="23" t="n">
        <v>26.4542463423664</v>
      </c>
      <c r="V214" s="38" t="n">
        <v>27.54423077869983</v>
      </c>
      <c r="W214" s="41" t="n">
        <v>291</v>
      </c>
      <c r="X214" s="24" t="n">
        <v>0.8083333333333333</v>
      </c>
    </row>
    <row r="215" ht="13.9" customHeight="1">
      <c r="A215" s="10" t="n">
        <v>15065180</v>
      </c>
      <c r="B215" s="21" t="inlineStr">
        <is>
          <t>SP</t>
        </is>
      </c>
      <c r="C215" s="21" t="inlineStr">
        <is>
          <t xml:space="preserve">Aeropuerto Almirante Padilla </t>
        </is>
      </c>
      <c r="D215" s="21" t="inlineStr">
        <is>
          <t>Riohacha</t>
        </is>
      </c>
      <c r="E215" s="21" t="inlineStr">
        <is>
          <t>La Guajira</t>
        </is>
      </c>
      <c r="F215" s="21" t="n">
        <v>5</v>
      </c>
      <c r="G215" s="21" t="n">
        <v>4</v>
      </c>
      <c r="H215" s="42" t="n">
        <v>-72.91766666999999</v>
      </c>
      <c r="I215" s="43" t="n">
        <v>11.52961111</v>
      </c>
      <c r="J215" s="44" t="n">
        <v>27.2217001695005</v>
      </c>
      <c r="K215" s="45" t="n">
        <v>27.33296136591241</v>
      </c>
      <c r="L215" s="45" t="n">
        <v>27.38893288115494</v>
      </c>
      <c r="M215" s="45" t="n">
        <v>28.16586325488049</v>
      </c>
      <c r="N215" s="45" t="n">
        <v>28.99232333499545</v>
      </c>
      <c r="O215" s="45" t="n">
        <v>30.0075934261933</v>
      </c>
      <c r="P215" s="45" t="n">
        <v>30.07942203440506</v>
      </c>
      <c r="Q215" s="45" t="n">
        <v>29.55639347861802</v>
      </c>
      <c r="R215" s="45" t="n">
        <v>28.72138584578392</v>
      </c>
      <c r="S215" s="45" t="n">
        <v>28.12269883939239</v>
      </c>
      <c r="T215" s="45" t="n">
        <v>27.86106614107475</v>
      </c>
      <c r="U215" s="45" t="n">
        <v>27.55317613328459</v>
      </c>
      <c r="V215" s="38" t="n">
        <v>28.41695974209965</v>
      </c>
      <c r="W215" s="41" t="n">
        <v>335</v>
      </c>
      <c r="X215" s="24" t="n">
        <v>0.9305555555555556</v>
      </c>
    </row>
    <row r="216" ht="13.9" customHeight="1">
      <c r="A216" s="10" t="n">
        <v>15075501</v>
      </c>
      <c r="B216" s="21" t="inlineStr">
        <is>
          <t>CP</t>
        </is>
      </c>
      <c r="C216" s="11" t="inlineStr">
        <is>
          <t xml:space="preserve">Aeropuerto Puerto Bolívar  - AUT </t>
        </is>
      </c>
      <c r="D216" s="21" t="inlineStr">
        <is>
          <t>Uribia</t>
        </is>
      </c>
      <c r="E216" s="21" t="inlineStr">
        <is>
          <t>La Guajira</t>
        </is>
      </c>
      <c r="F216" s="21" t="n">
        <v>5</v>
      </c>
      <c r="G216" s="21" t="n">
        <v>10</v>
      </c>
      <c r="H216" s="42" t="n">
        <v>-71.98288889</v>
      </c>
      <c r="I216" s="43" t="n">
        <v>12.22430556</v>
      </c>
      <c r="J216" s="44" t="n">
        <v>27.23166081654513</v>
      </c>
      <c r="K216" s="45" t="n">
        <v>27.39370493692013</v>
      </c>
      <c r="L216" s="45" t="n">
        <v>27.66695399110907</v>
      </c>
      <c r="M216" s="45" t="n">
        <v>28.43812441095597</v>
      </c>
      <c r="N216" s="45" t="n">
        <v>29.15003977558839</v>
      </c>
      <c r="O216" s="45" t="n">
        <v>29.6984494441091</v>
      </c>
      <c r="P216" s="45" t="n">
        <v>29.53953260077144</v>
      </c>
      <c r="Q216" s="45" t="n">
        <v>29.76740312782937</v>
      </c>
      <c r="R216" s="45" t="n">
        <v>29.60112323846822</v>
      </c>
      <c r="S216" s="45" t="n">
        <v>29.04272733818751</v>
      </c>
      <c r="T216" s="45" t="n">
        <v>28.49432658975762</v>
      </c>
      <c r="U216" s="45" t="n">
        <v>27.86541889649985</v>
      </c>
      <c r="V216" s="38" t="n">
        <v>28.65745543056181</v>
      </c>
      <c r="W216" s="41" t="n">
        <v>307</v>
      </c>
      <c r="X216" s="24" t="n">
        <v>0.8527777777777777</v>
      </c>
    </row>
    <row r="217" ht="13.9" customHeight="1">
      <c r="A217" s="10" t="n">
        <v>15085040</v>
      </c>
      <c r="B217" s="21" t="inlineStr">
        <is>
          <t>CO</t>
        </is>
      </c>
      <c r="C217" s="21" t="inlineStr">
        <is>
          <t>Rancho Grande</t>
        </is>
      </c>
      <c r="D217" s="21" t="inlineStr">
        <is>
          <t>Uribia</t>
        </is>
      </c>
      <c r="E217" s="21" t="inlineStr">
        <is>
          <t>La Guajira</t>
        </is>
      </c>
      <c r="F217" s="21" t="n">
        <v>5</v>
      </c>
      <c r="G217" s="21" t="n">
        <v>50</v>
      </c>
      <c r="H217" s="42" t="n">
        <v>-71.83305556000001</v>
      </c>
      <c r="I217" s="43" t="n">
        <v>11.68605556</v>
      </c>
      <c r="J217" s="44" t="n">
        <v>28.03316449240463</v>
      </c>
      <c r="K217" s="45" t="n">
        <v>28.1256479823959</v>
      </c>
      <c r="L217" s="45" t="n">
        <v>28.64129671826617</v>
      </c>
      <c r="M217" s="45" t="n">
        <v>29.35743487603641</v>
      </c>
      <c r="N217" s="45" t="n">
        <v>29.77102901131127</v>
      </c>
      <c r="O217" s="45" t="n">
        <v>29.98830034057044</v>
      </c>
      <c r="P217" s="45" t="n">
        <v>30.18948574462245</v>
      </c>
      <c r="Q217" s="45" t="n">
        <v>30.5462918693463</v>
      </c>
      <c r="R217" s="45" t="n">
        <v>30.23955439176016</v>
      </c>
      <c r="S217" s="45" t="n">
        <v>29.44331933286642</v>
      </c>
      <c r="T217" s="45" t="n">
        <v>29.05250473664266</v>
      </c>
      <c r="U217" s="45" t="n">
        <v>28.49770515326967</v>
      </c>
      <c r="V217" s="38" t="n">
        <v>29.32381122079104</v>
      </c>
      <c r="W217" s="41" t="n">
        <v>323</v>
      </c>
      <c r="X217" s="24" t="n">
        <v>0.8972222222222223</v>
      </c>
    </row>
    <row r="218" ht="13.9" customHeight="1">
      <c r="A218" s="10" t="n">
        <v>28015070</v>
      </c>
      <c r="B218" s="35" t="inlineStr">
        <is>
          <t>CO</t>
        </is>
      </c>
      <c r="C218" s="35" t="inlineStr">
        <is>
          <t>Urumita</t>
        </is>
      </c>
      <c r="D218" s="35" t="inlineStr">
        <is>
          <t>Urumita</t>
        </is>
      </c>
      <c r="E218" s="35" t="inlineStr">
        <is>
          <t>La Guajira</t>
        </is>
      </c>
      <c r="F218" s="35" t="n">
        <v>5</v>
      </c>
      <c r="G218" s="35" t="n">
        <v>255</v>
      </c>
      <c r="H218" s="36" t="n">
        <v>-73.01638889</v>
      </c>
      <c r="I218" s="37" t="n">
        <v>10.56638889</v>
      </c>
      <c r="J218" s="22" t="n">
        <v>27.33559616505112</v>
      </c>
      <c r="K218" s="23" t="n">
        <v>28.09127293637761</v>
      </c>
      <c r="L218" s="23" t="n">
        <v>28.51861008606466</v>
      </c>
      <c r="M218" s="23" t="n">
        <v>28.62476678200015</v>
      </c>
      <c r="N218" s="23" t="n">
        <v>27.94632215708123</v>
      </c>
      <c r="O218" s="23" t="n">
        <v>28.15639105546432</v>
      </c>
      <c r="P218" s="23" t="n">
        <v>28.69087461597541</v>
      </c>
      <c r="Q218" s="23" t="n">
        <v>28.34415994623655</v>
      </c>
      <c r="R218" s="23" t="n">
        <v>27.48712632747447</v>
      </c>
      <c r="S218" s="23" t="n">
        <v>27.0697789725209</v>
      </c>
      <c r="T218" s="23" t="n">
        <v>26.83587316791339</v>
      </c>
      <c r="U218" s="23" t="n">
        <v>26.90415994623655</v>
      </c>
      <c r="V218" s="38" t="n">
        <v>27.83374434653303</v>
      </c>
      <c r="W218" s="41" t="n">
        <v>332</v>
      </c>
      <c r="X218" s="24" t="n">
        <v>0.9222222222222223</v>
      </c>
    </row>
    <row r="219" ht="13.9" customHeight="1">
      <c r="A219" s="10" t="n">
        <v>15015020</v>
      </c>
      <c r="B219" s="21" t="inlineStr">
        <is>
          <t>CO</t>
        </is>
      </c>
      <c r="C219" s="21" t="inlineStr">
        <is>
          <t xml:space="preserve">La Ye </t>
        </is>
      </c>
      <c r="D219" s="21" t="inlineStr">
        <is>
          <t>Ciénaga</t>
        </is>
      </c>
      <c r="E219" s="21" t="inlineStr">
        <is>
          <t>Magdalena</t>
        </is>
      </c>
      <c r="F219" s="21" t="n">
        <v>5</v>
      </c>
      <c r="G219" s="21" t="n">
        <v>20</v>
      </c>
      <c r="H219" s="42" t="n">
        <v>-74.21113889</v>
      </c>
      <c r="I219" s="43" t="n">
        <v>10.99241667</v>
      </c>
      <c r="J219" s="22" t="n">
        <v>28.61213496477566</v>
      </c>
      <c r="K219" s="23" t="n">
        <v>28.86177723218669</v>
      </c>
      <c r="L219" s="23" t="n">
        <v>29.12121588089328</v>
      </c>
      <c r="M219" s="23" t="n">
        <v>29.58486529883205</v>
      </c>
      <c r="N219" s="23" t="n">
        <v>29.23265867326618</v>
      </c>
      <c r="O219" s="23" t="n">
        <v>29.12655270655269</v>
      </c>
      <c r="P219" s="23" t="n">
        <v>29.29353635050113</v>
      </c>
      <c r="Q219" s="23" t="n">
        <v>29.06258007400664</v>
      </c>
      <c r="R219" s="23" t="n">
        <v>28.49471413835206</v>
      </c>
      <c r="S219" s="23" t="n">
        <v>28.21559139784945</v>
      </c>
      <c r="T219" s="23" t="n">
        <v>28.42180555555554</v>
      </c>
      <c r="U219" s="23" t="n">
        <v>28.20275012168678</v>
      </c>
      <c r="V219" s="38" t="n">
        <v>28.85251519953818</v>
      </c>
      <c r="W219" s="41" t="n">
        <v>114</v>
      </c>
      <c r="X219" s="24" t="n">
        <v>0.95</v>
      </c>
    </row>
    <row r="220" ht="13.9" customHeight="1">
      <c r="A220" s="10" t="n">
        <v>25025090</v>
      </c>
      <c r="B220" s="21" t="inlineStr">
        <is>
          <t>CP</t>
        </is>
      </c>
      <c r="C220" s="21" t="inlineStr">
        <is>
          <t>Aeropuerto Las Flores</t>
        </is>
      </c>
      <c r="D220" s="21" t="inlineStr">
        <is>
          <t>El Banco</t>
        </is>
      </c>
      <c r="E220" s="21" t="inlineStr">
        <is>
          <t>Magdalena</t>
        </is>
      </c>
      <c r="F220" s="21" t="n">
        <v>5</v>
      </c>
      <c r="G220" s="21" t="n">
        <v>34</v>
      </c>
      <c r="H220" s="42" t="n">
        <v>-73.97083332999999</v>
      </c>
      <c r="I220" s="43" t="n">
        <v>9.046333330000001</v>
      </c>
      <c r="J220" s="22" t="n">
        <v>28.76622808621656</v>
      </c>
      <c r="K220" s="23" t="n">
        <v>29.3165777491073</v>
      </c>
      <c r="L220" s="23" t="n">
        <v>29.64224797534971</v>
      </c>
      <c r="M220" s="23" t="n">
        <v>29.23084364868847</v>
      </c>
      <c r="N220" s="23" t="n">
        <v>28.78265026763273</v>
      </c>
      <c r="O220" s="23" t="n">
        <v>28.94810279146141</v>
      </c>
      <c r="P220" s="23" t="n">
        <v>29.09390150796811</v>
      </c>
      <c r="Q220" s="23" t="n">
        <v>28.86678743803882</v>
      </c>
      <c r="R220" s="23" t="n">
        <v>28.36409642401021</v>
      </c>
      <c r="S220" s="23" t="n">
        <v>28.07319327103601</v>
      </c>
      <c r="T220" s="23" t="n">
        <v>28.11949236148574</v>
      </c>
      <c r="U220" s="23" t="n">
        <v>28.44407708965167</v>
      </c>
      <c r="V220" s="38" t="n">
        <v>28.80401655088723</v>
      </c>
      <c r="W220" s="41" t="n">
        <v>308</v>
      </c>
      <c r="X220" s="24" t="n">
        <v>0.8555555555555555</v>
      </c>
    </row>
    <row r="221" ht="13.9" customHeight="1">
      <c r="A221" s="10" t="n">
        <v>29065000</v>
      </c>
      <c r="B221" s="21" t="inlineStr">
        <is>
          <t>CP</t>
        </is>
      </c>
      <c r="C221" s="21" t="inlineStr">
        <is>
          <t xml:space="preserve">Media Luna - AUT </t>
        </is>
      </c>
      <c r="D221" s="21" t="inlineStr">
        <is>
          <t>Pivijai</t>
        </is>
      </c>
      <c r="E221" s="21" t="inlineStr">
        <is>
          <t>Magdalena</t>
        </is>
      </c>
      <c r="F221" s="21" t="n">
        <v>5</v>
      </c>
      <c r="G221" s="21" t="n">
        <v>20</v>
      </c>
      <c r="H221" s="42" t="n">
        <v>-74.50666667</v>
      </c>
      <c r="I221" s="43" t="n">
        <v>10.51002778</v>
      </c>
      <c r="J221" s="22" t="n">
        <v>27.76298029886436</v>
      </c>
      <c r="K221" s="23" t="n">
        <v>28.12815265380637</v>
      </c>
      <c r="L221" s="23" t="n">
        <v>28.54375745176218</v>
      </c>
      <c r="M221" s="23" t="n">
        <v>28.87982763462275</v>
      </c>
      <c r="N221" s="23" t="n">
        <v>28.63779826201283</v>
      </c>
      <c r="O221" s="23" t="n">
        <v>28.63911713310011</v>
      </c>
      <c r="P221" s="23" t="n">
        <v>28.5491865768194</v>
      </c>
      <c r="Q221" s="23" t="n">
        <v>28.42308606062498</v>
      </c>
      <c r="R221" s="23" t="n">
        <v>28.06421215625179</v>
      </c>
      <c r="S221" s="23" t="n">
        <v>27.82844047127364</v>
      </c>
      <c r="T221" s="23" t="n">
        <v>27.79422903192199</v>
      </c>
      <c r="U221" s="23" t="n">
        <v>27.95927805218614</v>
      </c>
      <c r="V221" s="38" t="n">
        <v>28.26750548193722</v>
      </c>
      <c r="W221" s="41" t="n">
        <v>347</v>
      </c>
      <c r="X221" s="24" t="n">
        <v>0.9638888888888889</v>
      </c>
    </row>
    <row r="222" ht="13.9" customHeight="1">
      <c r="A222" s="10" t="n">
        <v>25025300</v>
      </c>
      <c r="B222" s="21" t="inlineStr">
        <is>
          <t>CO</t>
        </is>
      </c>
      <c r="C222" s="21" t="inlineStr">
        <is>
          <t>El Seis</t>
        </is>
      </c>
      <c r="D222" s="21" t="inlineStr">
        <is>
          <t>San Sebastián de Buenavista</t>
        </is>
      </c>
      <c r="E222" s="21" t="inlineStr">
        <is>
          <t>Magdalena</t>
        </is>
      </c>
      <c r="F222" s="21" t="n">
        <v>5</v>
      </c>
      <c r="G222" s="21" t="n">
        <v>50</v>
      </c>
      <c r="H222" s="42" t="n">
        <v>-74.32227777999999</v>
      </c>
      <c r="I222" s="43" t="n">
        <v>9.683666670000001</v>
      </c>
      <c r="J222" s="44" t="n">
        <v>29.17209305493871</v>
      </c>
      <c r="K222" s="45" t="n">
        <v>29.92494185604767</v>
      </c>
      <c r="L222" s="45" t="n">
        <v>29.99640318200146</v>
      </c>
      <c r="M222" s="45" t="n">
        <v>29.46242352714335</v>
      </c>
      <c r="N222" s="45" t="n">
        <v>28.80018375148195</v>
      </c>
      <c r="O222" s="45" t="n">
        <v>28.96090345621261</v>
      </c>
      <c r="P222" s="45" t="n">
        <v>29.2162975634404</v>
      </c>
      <c r="Q222" s="45" t="n">
        <v>28.9027750993167</v>
      </c>
      <c r="R222" s="45" t="n">
        <v>28.43965138514635</v>
      </c>
      <c r="S222" s="45" t="n">
        <v>28.09044725167305</v>
      </c>
      <c r="T222" s="45" t="n">
        <v>28.12541899204267</v>
      </c>
      <c r="U222" s="45" t="n">
        <v>28.61419054572579</v>
      </c>
      <c r="V222" s="38" t="n">
        <v>28.97547747209756</v>
      </c>
      <c r="W222" s="41" t="n">
        <v>333</v>
      </c>
      <c r="X222" s="24" t="n">
        <v>0.925</v>
      </c>
    </row>
    <row r="223" ht="13.9" customHeight="1">
      <c r="A223" s="10" t="n">
        <v>25025002</v>
      </c>
      <c r="B223" s="21" t="inlineStr">
        <is>
          <t>CP</t>
        </is>
      </c>
      <c r="C223" s="21" t="inlineStr">
        <is>
          <t xml:space="preserve">Los Alamos - AUT </t>
        </is>
      </c>
      <c r="D223" s="21" t="inlineStr">
        <is>
          <t>San Sebastián de Buenavista</t>
        </is>
      </c>
      <c r="E223" s="21" t="inlineStr">
        <is>
          <t>Magdalena</t>
        </is>
      </c>
      <c r="F223" s="21" t="n">
        <v>5</v>
      </c>
      <c r="G223" s="21" t="n">
        <v>25</v>
      </c>
      <c r="H223" s="42" t="n">
        <v>-74.27363889</v>
      </c>
      <c r="I223" s="43" t="n">
        <v>9.30405556</v>
      </c>
      <c r="J223" s="22" t="n">
        <v>28.50235221041553</v>
      </c>
      <c r="K223" s="23" t="n">
        <v>29.31929628351608</v>
      </c>
      <c r="L223" s="23" t="n">
        <v>29.78855318740399</v>
      </c>
      <c r="M223" s="23" t="n">
        <v>29.12011400472603</v>
      </c>
      <c r="N223" s="23" t="n">
        <v>28.61460254923043</v>
      </c>
      <c r="O223" s="23" t="n">
        <v>28.74302928694382</v>
      </c>
      <c r="P223" s="23" t="n">
        <v>29.00618997246239</v>
      </c>
      <c r="Q223" s="23" t="n">
        <v>28.89432531281962</v>
      </c>
      <c r="R223" s="23" t="n">
        <v>28.46747541407867</v>
      </c>
      <c r="S223" s="23" t="n">
        <v>27.72058273236511</v>
      </c>
      <c r="T223" s="23" t="n">
        <v>27.41848321577847</v>
      </c>
      <c r="U223" s="23" t="n">
        <v>27.8303564807458</v>
      </c>
      <c r="V223" s="38" t="n">
        <v>28.61878005420716</v>
      </c>
      <c r="W223" s="41" t="n">
        <v>107</v>
      </c>
      <c r="X223" s="24" t="n">
        <v>0.8916666666666667</v>
      </c>
    </row>
    <row r="224" ht="13.9" customHeight="1">
      <c r="A224" s="10" t="n">
        <v>15015050</v>
      </c>
      <c r="B224" s="21" t="inlineStr">
        <is>
          <t>SP</t>
        </is>
      </c>
      <c r="C224" s="11" t="inlineStr">
        <is>
          <t>Aeropuerto Simón Bolívar</t>
        </is>
      </c>
      <c r="D224" s="21" t="inlineStr">
        <is>
          <t>Santa Marta</t>
        </is>
      </c>
      <c r="E224" s="21" t="inlineStr">
        <is>
          <t>Magdalena</t>
        </is>
      </c>
      <c r="F224" s="21" t="n">
        <v>5</v>
      </c>
      <c r="G224" s="21" t="n">
        <v>4</v>
      </c>
      <c r="H224" s="42" t="n">
        <v>-74.22888889000001</v>
      </c>
      <c r="I224" s="43" t="n">
        <v>11.12833333</v>
      </c>
      <c r="J224" s="22" t="n">
        <v>27.60895481310803</v>
      </c>
      <c r="K224" s="23" t="n">
        <v>28.09343903571509</v>
      </c>
      <c r="L224" s="23" t="n">
        <v>28.54613227660363</v>
      </c>
      <c r="M224" s="23" t="n">
        <v>29.16725044910389</v>
      </c>
      <c r="N224" s="23" t="n">
        <v>29.31755002986857</v>
      </c>
      <c r="O224" s="23" t="n">
        <v>29.35744471811712</v>
      </c>
      <c r="P224" s="23" t="n">
        <v>29.20018049155146</v>
      </c>
      <c r="Q224" s="23" t="n">
        <v>28.8789247311828</v>
      </c>
      <c r="R224" s="23" t="n">
        <v>28.58979893295109</v>
      </c>
      <c r="S224" s="23" t="n">
        <v>28.17911710695162</v>
      </c>
      <c r="T224" s="23" t="n">
        <v>28.02547543298929</v>
      </c>
      <c r="U224" s="23" t="n">
        <v>27.82833991973776</v>
      </c>
      <c r="V224" s="38" t="n">
        <v>28.56605066149002</v>
      </c>
      <c r="W224" s="41" t="n">
        <v>336</v>
      </c>
      <c r="X224" s="24" t="n">
        <v>0.9333333333333333</v>
      </c>
    </row>
    <row r="225" ht="13.9" customHeight="1">
      <c r="A225" s="10" t="n">
        <v>15015110</v>
      </c>
      <c r="B225" s="21" t="inlineStr">
        <is>
          <t>CO</t>
        </is>
      </c>
      <c r="C225" s="21" t="inlineStr">
        <is>
          <t>Alto de Mira</t>
        </is>
      </c>
      <c r="D225" s="21" t="inlineStr">
        <is>
          <t>Santa Marta</t>
        </is>
      </c>
      <c r="E225" s="21" t="inlineStr">
        <is>
          <t>Magdalena</t>
        </is>
      </c>
      <c r="F225" s="21" t="n">
        <v>5</v>
      </c>
      <c r="G225" s="21" t="n">
        <v>1080</v>
      </c>
      <c r="H225" s="42" t="n">
        <v>-73.93238889</v>
      </c>
      <c r="I225" s="43" t="n">
        <v>11.0915</v>
      </c>
      <c r="J225" s="22" t="n">
        <v>19.82888278642935</v>
      </c>
      <c r="K225" s="23" t="n">
        <v>19.84497600101047</v>
      </c>
      <c r="L225" s="23" t="n">
        <v>20.33286985539487</v>
      </c>
      <c r="M225" s="23" t="n">
        <v>21.05273946360152</v>
      </c>
      <c r="N225" s="23" t="n">
        <v>21.55322580645161</v>
      </c>
      <c r="O225" s="23" t="n">
        <v>21.57974548440065</v>
      </c>
      <c r="P225" s="23" t="n">
        <v>21.61103800519095</v>
      </c>
      <c r="Q225" s="23" t="n">
        <v>21.77451612903225</v>
      </c>
      <c r="R225" s="23" t="n">
        <v>21.672922705314</v>
      </c>
      <c r="S225" s="23" t="n">
        <v>21.29705854241337</v>
      </c>
      <c r="T225" s="23" t="n">
        <v>20.92533205619412</v>
      </c>
      <c r="U225" s="23" t="n">
        <v>20.5118395439377</v>
      </c>
      <c r="V225" s="38" t="n">
        <v>20.9987621982809</v>
      </c>
      <c r="W225" s="41" t="n">
        <v>109</v>
      </c>
      <c r="X225" s="24" t="n">
        <v>0.91</v>
      </c>
    </row>
    <row r="226" ht="13.9" customHeight="1">
      <c r="A226" s="10" t="n">
        <v>15015060</v>
      </c>
      <c r="B226" s="21" t="inlineStr">
        <is>
          <t>CP</t>
        </is>
      </c>
      <c r="C226" s="21" t="inlineStr">
        <is>
          <t>San Lorenzo</t>
        </is>
      </c>
      <c r="D226" s="21" t="inlineStr">
        <is>
          <t>Santa Marta</t>
        </is>
      </c>
      <c r="E226" s="21" t="inlineStr">
        <is>
          <t>Magdalena</t>
        </is>
      </c>
      <c r="F226" s="21" t="n">
        <v>5</v>
      </c>
      <c r="G226" s="21" t="n">
        <v>2200</v>
      </c>
      <c r="H226" s="42" t="n">
        <v>-74.05469443999999</v>
      </c>
      <c r="I226" s="43" t="n">
        <v>11.11108333</v>
      </c>
      <c r="J226" s="44" t="n">
        <v>12.31569129099474</v>
      </c>
      <c r="K226" s="45" t="n">
        <v>12.84714946220418</v>
      </c>
      <c r="L226" s="45" t="n">
        <v>13.45064796028961</v>
      </c>
      <c r="M226" s="45" t="n">
        <v>13.89708715409911</v>
      </c>
      <c r="N226" s="45" t="n">
        <v>14.39084002100512</v>
      </c>
      <c r="O226" s="45" t="n">
        <v>14.5112763281546</v>
      </c>
      <c r="P226" s="45" t="n">
        <v>14.37337382308512</v>
      </c>
      <c r="Q226" s="45" t="n">
        <v>14.18793752110449</v>
      </c>
      <c r="R226" s="45" t="n">
        <v>13.82888643575037</v>
      </c>
      <c r="S226" s="45" t="n">
        <v>13.61033505022745</v>
      </c>
      <c r="T226" s="45" t="n">
        <v>13.41955477359173</v>
      </c>
      <c r="U226" s="45" t="n">
        <v>12.79582002507054</v>
      </c>
      <c r="V226" s="38" t="n">
        <v>13.63571665379809</v>
      </c>
      <c r="W226" s="41" t="n">
        <v>290</v>
      </c>
      <c r="X226" s="24" t="n">
        <v>0.8055555555555556</v>
      </c>
    </row>
    <row r="227" ht="13.9" customHeight="1">
      <c r="A227" s="10" t="n">
        <v>29065020</v>
      </c>
      <c r="B227" s="21" t="inlineStr">
        <is>
          <t>CO</t>
        </is>
      </c>
      <c r="C227" s="21" t="inlineStr">
        <is>
          <t>Padelma</t>
        </is>
      </c>
      <c r="D227" s="21" t="inlineStr">
        <is>
          <t>Zona Bananera</t>
        </is>
      </c>
      <c r="E227" s="21" t="inlineStr">
        <is>
          <t>Magdalena</t>
        </is>
      </c>
      <c r="F227" s="21" t="n">
        <v>5</v>
      </c>
      <c r="G227" s="21" t="n">
        <v>20</v>
      </c>
      <c r="H227" s="42" t="n">
        <v>-74.19972222000001</v>
      </c>
      <c r="I227" s="43" t="n">
        <v>10.72111111</v>
      </c>
      <c r="J227" s="22" t="n">
        <v>27.61061626660589</v>
      </c>
      <c r="K227" s="23" t="n">
        <v>28.08783833208322</v>
      </c>
      <c r="L227" s="23" t="n">
        <v>28.48334642106749</v>
      </c>
      <c r="M227" s="23" t="n">
        <v>28.66336206896551</v>
      </c>
      <c r="N227" s="23" t="n">
        <v>28.28962277861644</v>
      </c>
      <c r="O227" s="23" t="n">
        <v>28.25601905065984</v>
      </c>
      <c r="P227" s="23" t="n">
        <v>28.33849316308827</v>
      </c>
      <c r="Q227" s="23" t="n">
        <v>28.07139807356159</v>
      </c>
      <c r="R227" s="23" t="n">
        <v>27.96861380429914</v>
      </c>
      <c r="S227" s="23" t="n">
        <v>27.57078740883423</v>
      </c>
      <c r="T227" s="23" t="n">
        <v>27.61873582223438</v>
      </c>
      <c r="U227" s="23" t="n">
        <v>27.75770273297491</v>
      </c>
      <c r="V227" s="38" t="n">
        <v>28.05971132691591</v>
      </c>
      <c r="W227" s="41" t="n">
        <v>323</v>
      </c>
      <c r="X227" s="24" t="n">
        <v>0.8972222222222223</v>
      </c>
    </row>
    <row r="228" ht="13.9" customHeight="1">
      <c r="A228" s="10" t="n">
        <v>29065030</v>
      </c>
      <c r="B228" s="21" t="inlineStr">
        <is>
          <t>CO</t>
        </is>
      </c>
      <c r="C228" s="21" t="inlineStr">
        <is>
          <t>Prado Sevilla</t>
        </is>
      </c>
      <c r="D228" s="21" t="inlineStr">
        <is>
          <t>Zona Bananera</t>
        </is>
      </c>
      <c r="E228" s="21" t="inlineStr">
        <is>
          <t>Magdalena</t>
        </is>
      </c>
      <c r="F228" s="21" t="n">
        <v>5</v>
      </c>
      <c r="G228" s="21" t="n">
        <v>18</v>
      </c>
      <c r="H228" s="42" t="n">
        <v>-74.15472222000001</v>
      </c>
      <c r="I228" s="43" t="n">
        <v>10.76416667</v>
      </c>
      <c r="J228" s="22" t="n">
        <v>27.35338709677419</v>
      </c>
      <c r="K228" s="23" t="n">
        <v>27.85420081873745</v>
      </c>
      <c r="L228" s="23" t="n">
        <v>28.4025274114095</v>
      </c>
      <c r="M228" s="23" t="n">
        <v>28.39569576719576</v>
      </c>
      <c r="N228" s="23" t="n">
        <v>27.98339379145552</v>
      </c>
      <c r="O228" s="23" t="n">
        <v>27.89683333333333</v>
      </c>
      <c r="P228" s="23" t="n">
        <v>27.81510215053762</v>
      </c>
      <c r="Q228" s="23" t="n">
        <v>27.63730107526881</v>
      </c>
      <c r="R228" s="23" t="n">
        <v>27.28014254136667</v>
      </c>
      <c r="S228" s="23" t="n">
        <v>27.12192795698924</v>
      </c>
      <c r="T228" s="23" t="n">
        <v>27.08044345111394</v>
      </c>
      <c r="U228" s="23" t="n">
        <v>27.26531949079223</v>
      </c>
      <c r="V228" s="38" t="n">
        <v>27.67385624041452</v>
      </c>
      <c r="W228" s="41" t="n">
        <v>118</v>
      </c>
      <c r="X228" s="24" t="n">
        <v>0.9833333333333333</v>
      </c>
    </row>
    <row r="229" ht="13.9" customHeight="1">
      <c r="A229" s="10" t="n">
        <v>35105050</v>
      </c>
      <c r="B229" s="21" t="inlineStr">
        <is>
          <t>CO</t>
        </is>
      </c>
      <c r="C229" s="21" t="inlineStr">
        <is>
          <t>Guaicaramo</t>
        </is>
      </c>
      <c r="D229" s="21" t="inlineStr">
        <is>
          <t>Barranca de Upía</t>
        </is>
      </c>
      <c r="E229" s="21" t="inlineStr">
        <is>
          <t>Meta</t>
        </is>
      </c>
      <c r="F229" s="21" t="n">
        <v>3</v>
      </c>
      <c r="G229" s="21" t="n">
        <v>206</v>
      </c>
      <c r="H229" s="42" t="n">
        <v>-72.95363999999999</v>
      </c>
      <c r="I229" s="43" t="n">
        <v>4.46865</v>
      </c>
      <c r="J229" s="22" t="n">
        <v>27.64796871945257</v>
      </c>
      <c r="K229" s="23" t="n">
        <v>28.30676602505623</v>
      </c>
      <c r="L229" s="23" t="n">
        <v>27.84446281362004</v>
      </c>
      <c r="M229" s="23" t="n">
        <v>26.82752086919501</v>
      </c>
      <c r="N229" s="23" t="n">
        <v>26.45971217774794</v>
      </c>
      <c r="O229" s="23" t="n">
        <v>25.90366111751167</v>
      </c>
      <c r="P229" s="23" t="n">
        <v>25.5699586910432</v>
      </c>
      <c r="Q229" s="23" t="n">
        <v>26.28861277959394</v>
      </c>
      <c r="R229" s="23" t="n">
        <v>26.78526553852701</v>
      </c>
      <c r="S229" s="23" t="n">
        <v>27.05443050577457</v>
      </c>
      <c r="T229" s="23" t="n">
        <v>27.21691091954022</v>
      </c>
      <c r="U229" s="23" t="n">
        <v>27.56117374575403</v>
      </c>
      <c r="V229" s="38" t="n">
        <v>26.95553699190137</v>
      </c>
      <c r="W229" s="41" t="n">
        <v>110</v>
      </c>
      <c r="X229" s="24" t="n">
        <v>0.9166666666666666</v>
      </c>
    </row>
    <row r="230" ht="13.9" customHeight="1">
      <c r="A230" s="10" t="n">
        <v>35045020</v>
      </c>
      <c r="B230" s="21" t="inlineStr">
        <is>
          <t>CO</t>
        </is>
      </c>
      <c r="C230" s="21" t="inlineStr">
        <is>
          <t>Hacienda La Cabaña</t>
        </is>
      </c>
      <c r="D230" s="21" t="inlineStr">
        <is>
          <t>Cumaral</t>
        </is>
      </c>
      <c r="E230" s="21" t="inlineStr">
        <is>
          <t>Meta</t>
        </is>
      </c>
      <c r="F230" s="21" t="n">
        <v>3</v>
      </c>
      <c r="G230" s="21" t="n">
        <v>305</v>
      </c>
      <c r="H230" s="42" t="n">
        <v>-73.3575</v>
      </c>
      <c r="I230" s="43" t="n">
        <v>4.30044444</v>
      </c>
      <c r="J230" s="22" t="n">
        <v>26.92996615215795</v>
      </c>
      <c r="K230" s="23" t="n">
        <v>27.36305261243578</v>
      </c>
      <c r="L230" s="23" t="n">
        <v>26.71807925822828</v>
      </c>
      <c r="M230" s="23" t="n">
        <v>25.82090076848548</v>
      </c>
      <c r="N230" s="23" t="n">
        <v>25.43284494533391</v>
      </c>
      <c r="O230" s="23" t="n">
        <v>24.79232677045176</v>
      </c>
      <c r="P230" s="23" t="n">
        <v>24.52508750274302</v>
      </c>
      <c r="Q230" s="23" t="n">
        <v>25.10505030942669</v>
      </c>
      <c r="R230" s="23" t="n">
        <v>25.69936023080939</v>
      </c>
      <c r="S230" s="23" t="n">
        <v>25.78104610820762</v>
      </c>
      <c r="T230" s="23" t="n">
        <v>25.85143491151249</v>
      </c>
      <c r="U230" s="23" t="n">
        <v>26.27450935048348</v>
      </c>
      <c r="V230" s="38" t="n">
        <v>25.85780491002299</v>
      </c>
      <c r="W230" s="41" t="n">
        <v>349</v>
      </c>
      <c r="X230" s="24" t="n">
        <v>0.9694444444444444</v>
      </c>
    </row>
    <row r="231" ht="13.9" customHeight="1">
      <c r="A231" s="10" t="n">
        <v>32075060</v>
      </c>
      <c r="B231" s="21" t="inlineStr">
        <is>
          <t>CO</t>
        </is>
      </c>
      <c r="C231" s="21" t="inlineStr">
        <is>
          <t xml:space="preserve">La Cooperativa </t>
        </is>
      </c>
      <c r="D231" s="21" t="inlineStr">
        <is>
          <t>Fuente de Oro</t>
        </is>
      </c>
      <c r="E231" s="21" t="inlineStr">
        <is>
          <t>Meta</t>
        </is>
      </c>
      <c r="F231" s="21" t="n">
        <v>3</v>
      </c>
      <c r="G231" s="21" t="n">
        <v>280</v>
      </c>
      <c r="H231" s="42" t="n">
        <v>-73.7</v>
      </c>
      <c r="I231" s="43" t="n">
        <v>3.36666667</v>
      </c>
      <c r="J231" s="22" t="n">
        <v>25.22229569892472</v>
      </c>
      <c r="K231" s="23" t="n">
        <v>25.08896141215106</v>
      </c>
      <c r="L231" s="23" t="n">
        <v>25.09106929510155</v>
      </c>
      <c r="M231" s="23" t="n">
        <v>24.71926436781609</v>
      </c>
      <c r="N231" s="23" t="n">
        <v>24.61020430107526</v>
      </c>
      <c r="O231" s="23" t="n">
        <v>24.45723275862068</v>
      </c>
      <c r="P231" s="23" t="n">
        <v>24.54758064516128</v>
      </c>
      <c r="Q231" s="23" t="n">
        <v>24.7393817204301</v>
      </c>
      <c r="R231" s="23" t="n">
        <v>24.87236781609195</v>
      </c>
      <c r="S231" s="23" t="n">
        <v>24.89806472211922</v>
      </c>
      <c r="T231" s="23" t="n">
        <v>24.89101149425287</v>
      </c>
      <c r="U231" s="23" t="n">
        <v>24.87141577060932</v>
      </c>
      <c r="V231" s="38" t="n">
        <v>24.83407083352951</v>
      </c>
      <c r="W231" s="41" t="n">
        <v>117</v>
      </c>
      <c r="X231" s="24" t="n">
        <v>0.975</v>
      </c>
    </row>
    <row r="232" ht="13.9" customHeight="1">
      <c r="A232" s="10" t="n">
        <v>32035010</v>
      </c>
      <c r="B232" s="35" t="inlineStr">
        <is>
          <t>CP</t>
        </is>
      </c>
      <c r="C232" s="35" t="inlineStr">
        <is>
          <t>La Macarena</t>
        </is>
      </c>
      <c r="D232" s="35" t="inlineStr">
        <is>
          <t>La Macarena</t>
        </is>
      </c>
      <c r="E232" s="35" t="inlineStr">
        <is>
          <t>Meta</t>
        </is>
      </c>
      <c r="F232" s="35" t="n">
        <v>3</v>
      </c>
      <c r="G232" s="35" t="n">
        <v>248</v>
      </c>
      <c r="H232" s="36" t="n">
        <v>-73.79333333</v>
      </c>
      <c r="I232" s="37" t="n">
        <v>2.17611111</v>
      </c>
      <c r="J232" s="44" t="n">
        <v>26.93553406485051</v>
      </c>
      <c r="K232" s="45" t="n">
        <v>27.0385756692355</v>
      </c>
      <c r="L232" s="45" t="n">
        <v>26.4080596601554</v>
      </c>
      <c r="M232" s="45" t="n">
        <v>25.79356382776864</v>
      </c>
      <c r="N232" s="45" t="n">
        <v>25.52235627826421</v>
      </c>
      <c r="O232" s="45" t="n">
        <v>24.85992051821012</v>
      </c>
      <c r="P232" s="45" t="n">
        <v>24.53900393996389</v>
      </c>
      <c r="Q232" s="45" t="n">
        <v>25.12904940316772</v>
      </c>
      <c r="R232" s="45" t="n">
        <v>25.63602002658137</v>
      </c>
      <c r="S232" s="45" t="n">
        <v>25.86650485081659</v>
      </c>
      <c r="T232" s="45" t="n">
        <v>26.10724222978716</v>
      </c>
      <c r="U232" s="45" t="n">
        <v>26.49550029786835</v>
      </c>
      <c r="V232" s="38" t="n">
        <v>25.86094423055579</v>
      </c>
      <c r="W232" s="41" t="n">
        <v>314</v>
      </c>
      <c r="X232" s="24" t="n">
        <v>0.8722222222222222</v>
      </c>
    </row>
    <row r="233" ht="13.9" customHeight="1">
      <c r="A233" s="10" t="n">
        <v>32065010</v>
      </c>
      <c r="B233" s="21" t="inlineStr">
        <is>
          <t>CO</t>
        </is>
      </c>
      <c r="C233" s="21" t="inlineStr">
        <is>
          <t>Lejanias</t>
        </is>
      </c>
      <c r="D233" s="21" t="inlineStr">
        <is>
          <t>Lejanías</t>
        </is>
      </c>
      <c r="E233" s="21" t="inlineStr">
        <is>
          <t>Meta</t>
        </is>
      </c>
      <c r="F233" s="21" t="n">
        <v>3</v>
      </c>
      <c r="G233" s="21" t="n">
        <v>680</v>
      </c>
      <c r="H233" s="42" t="n">
        <v>-74.01666666999999</v>
      </c>
      <c r="I233" s="43" t="n">
        <v>3.53333333</v>
      </c>
      <c r="J233" s="22" t="n">
        <v>24.55642339040732</v>
      </c>
      <c r="K233" s="23" t="n">
        <v>24.98655032370955</v>
      </c>
      <c r="L233" s="23" t="n">
        <v>24.25790631939907</v>
      </c>
      <c r="M233" s="23" t="n">
        <v>23.51119405089375</v>
      </c>
      <c r="N233" s="23" t="n">
        <v>23.26922137414394</v>
      </c>
      <c r="O233" s="23" t="n">
        <v>22.74788635639842</v>
      </c>
      <c r="P233" s="23" t="n">
        <v>22.45534562467869</v>
      </c>
      <c r="Q233" s="23" t="n">
        <v>23.0145041227466</v>
      </c>
      <c r="R233" s="23" t="n">
        <v>23.51739166172534</v>
      </c>
      <c r="S233" s="23" t="n">
        <v>23.58723302608097</v>
      </c>
      <c r="T233" s="23" t="n">
        <v>23.50538001298495</v>
      </c>
      <c r="U233" s="23" t="n">
        <v>23.7930661741726</v>
      </c>
      <c r="V233" s="38" t="n">
        <v>23.60017520311177</v>
      </c>
      <c r="W233" s="41" t="n">
        <v>281</v>
      </c>
      <c r="X233" s="24" t="n">
        <v>0.7805555555555556</v>
      </c>
    </row>
    <row r="234" ht="13.9" customHeight="1">
      <c r="A234" s="10" t="n">
        <v>32075050</v>
      </c>
      <c r="B234" s="21" t="inlineStr">
        <is>
          <t>CO</t>
        </is>
      </c>
      <c r="C234" s="21" t="inlineStr">
        <is>
          <t>Mesetas</t>
        </is>
      </c>
      <c r="D234" s="21" t="inlineStr">
        <is>
          <t>Mesetas</t>
        </is>
      </c>
      <c r="E234" s="21" t="inlineStr">
        <is>
          <t>Meta</t>
        </is>
      </c>
      <c r="F234" s="21" t="n">
        <v>3</v>
      </c>
      <c r="G234" s="21" t="n">
        <v>556</v>
      </c>
      <c r="H234" s="42" t="n">
        <v>-74.04300000000001</v>
      </c>
      <c r="I234" s="43" t="n">
        <v>3.38008</v>
      </c>
      <c r="J234" s="22" t="n">
        <v>25.296495611053</v>
      </c>
      <c r="K234" s="23" t="n">
        <v>25.72048107772272</v>
      </c>
      <c r="L234" s="23" t="n">
        <v>25.27664651955956</v>
      </c>
      <c r="M234" s="23" t="n">
        <v>24.64337871479595</v>
      </c>
      <c r="N234" s="23" t="n">
        <v>24.43012074383902</v>
      </c>
      <c r="O234" s="23" t="n">
        <v>23.84525491502112</v>
      </c>
      <c r="P234" s="23" t="n">
        <v>23.47768612925975</v>
      </c>
      <c r="Q234" s="23" t="n">
        <v>23.9397035691359</v>
      </c>
      <c r="R234" s="23" t="n">
        <v>24.42915964617953</v>
      </c>
      <c r="S234" s="23" t="n">
        <v>24.55464610863833</v>
      </c>
      <c r="T234" s="23" t="n">
        <v>24.7411641420766</v>
      </c>
      <c r="U234" s="23" t="n">
        <v>25.01135066085811</v>
      </c>
      <c r="V234" s="38" t="n">
        <v>24.6138406531783</v>
      </c>
      <c r="W234" s="41" t="n">
        <v>293</v>
      </c>
      <c r="X234" s="24" t="n">
        <v>0.8138888888888889</v>
      </c>
    </row>
    <row r="235" ht="13.9" customHeight="1">
      <c r="A235" s="10" t="n">
        <v>33035010</v>
      </c>
      <c r="B235" s="35" t="inlineStr">
        <is>
          <t>ME</t>
        </is>
      </c>
      <c r="C235" s="35" t="inlineStr">
        <is>
          <t xml:space="preserve">Carimagua - AUT </t>
        </is>
      </c>
      <c r="D235" s="35" t="inlineStr">
        <is>
          <t>Puerto Gaitán</t>
        </is>
      </c>
      <c r="E235" s="35" t="inlineStr">
        <is>
          <t>Meta</t>
        </is>
      </c>
      <c r="F235" s="35" t="n">
        <v>3</v>
      </c>
      <c r="G235" s="35" t="n">
        <v>200</v>
      </c>
      <c r="H235" s="36" t="n">
        <v>-71.34075</v>
      </c>
      <c r="I235" s="37" t="n">
        <v>4.57441667</v>
      </c>
      <c r="J235" s="22" t="n">
        <v>27.07634707287932</v>
      </c>
      <c r="K235" s="23" t="n">
        <v>27.5960835274772</v>
      </c>
      <c r="L235" s="23" t="n">
        <v>27.68706989247311</v>
      </c>
      <c r="M235" s="23" t="n">
        <v>26.27524425287356</v>
      </c>
      <c r="N235" s="23" t="n">
        <v>25.48333249907304</v>
      </c>
      <c r="O235" s="23" t="n">
        <v>24.82274904214559</v>
      </c>
      <c r="P235" s="23" t="n">
        <v>24.64779233870966</v>
      </c>
      <c r="Q235" s="23" t="n">
        <v>25.15384408602149</v>
      </c>
      <c r="R235" s="23" t="n">
        <v>25.61576947637292</v>
      </c>
      <c r="S235" s="23" t="n">
        <v>26.02931811635944</v>
      </c>
      <c r="T235" s="23" t="n">
        <v>26.44613095238094</v>
      </c>
      <c r="U235" s="23" t="n">
        <v>26.42557123655913</v>
      </c>
      <c r="V235" s="38" t="n">
        <v>26.10493770777711</v>
      </c>
      <c r="W235" s="41" t="n">
        <v>105</v>
      </c>
      <c r="X235" s="24" t="n">
        <v>0.875</v>
      </c>
    </row>
    <row r="236" ht="13.9" customHeight="1">
      <c r="A236" s="10" t="n">
        <v>32075080</v>
      </c>
      <c r="B236" s="21" t="inlineStr">
        <is>
          <t>CO</t>
        </is>
      </c>
      <c r="C236" s="21" t="inlineStr">
        <is>
          <t>Puerto Lleras</t>
        </is>
      </c>
      <c r="D236" s="21" t="inlineStr">
        <is>
          <t>Puerto Lleras</t>
        </is>
      </c>
      <c r="E236" s="21" t="inlineStr">
        <is>
          <t>Meta</t>
        </is>
      </c>
      <c r="F236" s="21" t="n">
        <v>3</v>
      </c>
      <c r="G236" s="21" t="n">
        <v>245</v>
      </c>
      <c r="H236" s="42" t="n">
        <v>-73.37319443999999</v>
      </c>
      <c r="I236" s="43" t="n">
        <v>3.26769444</v>
      </c>
      <c r="J236" s="22" t="n">
        <v>26.69891622500915</v>
      </c>
      <c r="K236" s="23" t="n">
        <v>26.96190834833099</v>
      </c>
      <c r="L236" s="23" t="n">
        <v>26.78074529214312</v>
      </c>
      <c r="M236" s="23" t="n">
        <v>26.24139650512738</v>
      </c>
      <c r="N236" s="23" t="n">
        <v>25.93912068411592</v>
      </c>
      <c r="O236" s="23" t="n">
        <v>25.43053723817148</v>
      </c>
      <c r="P236" s="23" t="n">
        <v>25.29478179858886</v>
      </c>
      <c r="Q236" s="23" t="n">
        <v>25.51224636159397</v>
      </c>
      <c r="R236" s="23" t="n">
        <v>25.93198724846772</v>
      </c>
      <c r="S236" s="23" t="n">
        <v>26.2192017960447</v>
      </c>
      <c r="T236" s="23" t="n">
        <v>26.13922577191793</v>
      </c>
      <c r="U236" s="23" t="n">
        <v>26.3891248985234</v>
      </c>
      <c r="V236" s="38" t="n">
        <v>26.12826601400289</v>
      </c>
      <c r="W236" s="41" t="n">
        <v>212</v>
      </c>
      <c r="X236" s="24" t="n">
        <v>0.8833333333333333</v>
      </c>
    </row>
    <row r="237" ht="13.9" customHeight="1">
      <c r="A237" s="10" t="n">
        <v>35015050</v>
      </c>
      <c r="B237" s="21" t="inlineStr">
        <is>
          <t>CO</t>
        </is>
      </c>
      <c r="C237" s="21" t="inlineStr">
        <is>
          <t>Barbascal</t>
        </is>
      </c>
      <c r="D237" s="21" t="inlineStr">
        <is>
          <t xml:space="preserve">San Martín </t>
        </is>
      </c>
      <c r="E237" s="21" t="inlineStr">
        <is>
          <t>Meta</t>
        </is>
      </c>
      <c r="F237" s="21" t="n">
        <v>3</v>
      </c>
      <c r="G237" s="21" t="n">
        <v>250</v>
      </c>
      <c r="H237" s="42" t="n">
        <v>-73.34927777999999</v>
      </c>
      <c r="I237" s="43" t="n">
        <v>3.63077778</v>
      </c>
      <c r="J237" s="22" t="n">
        <v>26.36291439341772</v>
      </c>
      <c r="K237" s="23" t="n">
        <v>26.91283127178625</v>
      </c>
      <c r="L237" s="23" t="n">
        <v>26.1753689201626</v>
      </c>
      <c r="M237" s="23" t="n">
        <v>25.53826371833076</v>
      </c>
      <c r="N237" s="23" t="n">
        <v>25.20031894884184</v>
      </c>
      <c r="O237" s="23" t="n">
        <v>24.65665285145887</v>
      </c>
      <c r="P237" s="23" t="n">
        <v>24.4641733265634</v>
      </c>
      <c r="Q237" s="23" t="n">
        <v>24.95475690949967</v>
      </c>
      <c r="R237" s="23" t="n">
        <v>25.52302946911184</v>
      </c>
      <c r="S237" s="23" t="n">
        <v>25.7114108989412</v>
      </c>
      <c r="T237" s="23" t="n">
        <v>25.7923470980559</v>
      </c>
      <c r="U237" s="23" t="n">
        <v>25.93624066048096</v>
      </c>
      <c r="V237" s="38" t="n">
        <v>25.60235903888759</v>
      </c>
      <c r="W237" s="41" t="n">
        <v>107</v>
      </c>
      <c r="X237" s="24" t="n">
        <v>0.8916666666666667</v>
      </c>
    </row>
    <row r="238" ht="13.9" customHeight="1">
      <c r="A238" s="10" t="n">
        <v>35035020</v>
      </c>
      <c r="B238" s="21" t="inlineStr">
        <is>
          <t>SP</t>
        </is>
      </c>
      <c r="C238" s="21" t="inlineStr">
        <is>
          <t>Aeropuerto Vanguardia</t>
        </is>
      </c>
      <c r="D238" s="21" t="inlineStr">
        <is>
          <t>Villavicencio</t>
        </is>
      </c>
      <c r="E238" s="21" t="inlineStr">
        <is>
          <t>Meta</t>
        </is>
      </c>
      <c r="F238" s="21" t="n">
        <v>3</v>
      </c>
      <c r="G238" s="21" t="n">
        <v>422</v>
      </c>
      <c r="H238" s="42" t="n">
        <v>-73.61757778</v>
      </c>
      <c r="I238" s="43" t="n">
        <v>4.16191944</v>
      </c>
      <c r="J238" s="22" t="n">
        <v>26.9352033123223</v>
      </c>
      <c r="K238" s="23" t="n">
        <v>27.57781694128302</v>
      </c>
      <c r="L238" s="23" t="n">
        <v>26.92110184155231</v>
      </c>
      <c r="M238" s="23" t="n">
        <v>25.89219924315342</v>
      </c>
      <c r="N238" s="23" t="n">
        <v>25.44339111358296</v>
      </c>
      <c r="O238" s="23" t="n">
        <v>24.77473080988238</v>
      </c>
      <c r="P238" s="23" t="n">
        <v>24.51800148312937</v>
      </c>
      <c r="Q238" s="23" t="n">
        <v>25.20575639599551</v>
      </c>
      <c r="R238" s="23" t="n">
        <v>25.8193588981371</v>
      </c>
      <c r="S238" s="23" t="n">
        <v>25.87283273596173</v>
      </c>
      <c r="T238" s="23" t="n">
        <v>25.78505555555552</v>
      </c>
      <c r="U238" s="23" t="n">
        <v>26.14177120669052</v>
      </c>
      <c r="V238" s="38" t="n">
        <v>25.90726829477051</v>
      </c>
      <c r="W238" s="41" t="n">
        <v>351</v>
      </c>
      <c r="X238" s="24" t="n">
        <v>0.975</v>
      </c>
    </row>
    <row r="239" ht="13.9" customHeight="1">
      <c r="A239" s="10" t="n">
        <v>35025110</v>
      </c>
      <c r="B239" s="35" t="inlineStr">
        <is>
          <t>AM</t>
        </is>
      </c>
      <c r="C239" s="35" t="inlineStr">
        <is>
          <t xml:space="preserve">La Libertad- AUT </t>
        </is>
      </c>
      <c r="D239" s="35" t="inlineStr">
        <is>
          <t>Villavicencio</t>
        </is>
      </c>
      <c r="E239" s="35" t="inlineStr">
        <is>
          <t>Meta</t>
        </is>
      </c>
      <c r="F239" s="35" t="n">
        <v>3</v>
      </c>
      <c r="G239" s="35" t="n">
        <v>336</v>
      </c>
      <c r="H239" s="36" t="n">
        <v>-73.46791666999999</v>
      </c>
      <c r="I239" s="37" t="n">
        <v>4.05736111</v>
      </c>
      <c r="J239" s="44" t="n">
        <v>27.38393603389154</v>
      </c>
      <c r="K239" s="45" t="n">
        <v>27.83621460846396</v>
      </c>
      <c r="L239" s="45" t="n">
        <v>27.2733436584375</v>
      </c>
      <c r="M239" s="45" t="n">
        <v>26.04782608840255</v>
      </c>
      <c r="N239" s="45" t="n">
        <v>25.58105660395981</v>
      </c>
      <c r="O239" s="45" t="n">
        <v>24.85824806179327</v>
      </c>
      <c r="P239" s="45" t="n">
        <v>24.65120691183121</v>
      </c>
      <c r="Q239" s="45" t="n">
        <v>25.2771016560936</v>
      </c>
      <c r="R239" s="45" t="n">
        <v>25.97226545794563</v>
      </c>
      <c r="S239" s="45" t="n">
        <v>26.11110672902156</v>
      </c>
      <c r="T239" s="45" t="n">
        <v>26.19720613924187</v>
      </c>
      <c r="U239" s="45" t="n">
        <v>26.50002829611097</v>
      </c>
      <c r="V239" s="38" t="n">
        <v>26.14079502043279</v>
      </c>
      <c r="W239" s="41" t="n">
        <v>288</v>
      </c>
      <c r="X239" s="24" t="n">
        <v>0.8</v>
      </c>
    </row>
    <row r="240" ht="13.9" customHeight="1">
      <c r="A240" s="10" t="n">
        <v>35035070</v>
      </c>
      <c r="B240" s="21" t="inlineStr">
        <is>
          <t>CP</t>
        </is>
      </c>
      <c r="C240" s="21" t="inlineStr">
        <is>
          <t>Unillanos</t>
        </is>
      </c>
      <c r="D240" s="21" t="inlineStr">
        <is>
          <t>Villavicencio</t>
        </is>
      </c>
      <c r="E240" s="21" t="inlineStr">
        <is>
          <t>Meta</t>
        </is>
      </c>
      <c r="F240" s="21" t="n">
        <v>3</v>
      </c>
      <c r="G240" s="21" t="n">
        <v>340</v>
      </c>
      <c r="H240" s="42" t="n">
        <v>-73.58199999999999</v>
      </c>
      <c r="I240" s="43" t="n">
        <v>4.07672222</v>
      </c>
      <c r="J240" s="22" t="n">
        <v>26.37539126807564</v>
      </c>
      <c r="K240" s="23" t="n">
        <v>26.64593596059112</v>
      </c>
      <c r="L240" s="23" t="n">
        <v>26.31094892473117</v>
      </c>
      <c r="M240" s="23" t="n">
        <v>25.48698467432949</v>
      </c>
      <c r="N240" s="23" t="n">
        <v>24.98919354838708</v>
      </c>
      <c r="O240" s="23" t="n">
        <v>24.44113333333332</v>
      </c>
      <c r="P240" s="23" t="n">
        <v>24.34166397849462</v>
      </c>
      <c r="Q240" s="23" t="n">
        <v>24.84922344271412</v>
      </c>
      <c r="R240" s="23" t="n">
        <v>25.34195083014048</v>
      </c>
      <c r="S240" s="23" t="n">
        <v>25.56419898177461</v>
      </c>
      <c r="T240" s="23" t="n">
        <v>25.64256074481074</v>
      </c>
      <c r="U240" s="23" t="n">
        <v>25.72747222222222</v>
      </c>
      <c r="V240" s="38" t="n">
        <v>25.47638815913372</v>
      </c>
      <c r="W240" s="41" t="n">
        <v>117</v>
      </c>
      <c r="X240" s="24" t="n">
        <v>0.975</v>
      </c>
    </row>
    <row r="241" ht="13.9" customHeight="1">
      <c r="A241" s="10" t="n">
        <v>32075030</v>
      </c>
      <c r="B241" s="35" t="inlineStr">
        <is>
          <t>CO</t>
        </is>
      </c>
      <c r="C241" s="35" t="inlineStr">
        <is>
          <t>Vista Hermosa</t>
        </is>
      </c>
      <c r="D241" s="35" t="inlineStr">
        <is>
          <t>Vistahermosa</t>
        </is>
      </c>
      <c r="E241" s="35" t="inlineStr">
        <is>
          <t>Meta</t>
        </is>
      </c>
      <c r="F241" s="35" t="n">
        <v>3</v>
      </c>
      <c r="G241" s="35" t="n">
        <v>325</v>
      </c>
      <c r="H241" s="36" t="n">
        <v>-73.75402778</v>
      </c>
      <c r="I241" s="37" t="n">
        <v>3.12038889</v>
      </c>
      <c r="J241" s="44" t="n">
        <v>27.5724130871783</v>
      </c>
      <c r="K241" s="45" t="n">
        <v>27.67892186147184</v>
      </c>
      <c r="L241" s="45" t="n">
        <v>26.75743811907409</v>
      </c>
      <c r="M241" s="45" t="n">
        <v>25.7622988505747</v>
      </c>
      <c r="N241" s="45" t="n">
        <v>25.50286314011452</v>
      </c>
      <c r="O241" s="45" t="n">
        <v>24.79253107705406</v>
      </c>
      <c r="P241" s="45" t="n">
        <v>24.74850201281847</v>
      </c>
      <c r="Q241" s="45" t="n">
        <v>25.37054981159819</v>
      </c>
      <c r="R241" s="45" t="n">
        <v>25.9429382183908</v>
      </c>
      <c r="S241" s="45" t="n">
        <v>26.13563824884792</v>
      </c>
      <c r="T241" s="45" t="n">
        <v>26.33443025400879</v>
      </c>
      <c r="U241" s="45" t="n">
        <v>26.74046234499236</v>
      </c>
      <c r="V241" s="38" t="n">
        <v>26.111582252177</v>
      </c>
      <c r="W241" s="41" t="n">
        <v>111</v>
      </c>
      <c r="X241" s="24" t="n">
        <v>0.925</v>
      </c>
    </row>
    <row r="242" ht="13.9" customHeight="1">
      <c r="A242" s="10" t="n">
        <v>52055230</v>
      </c>
      <c r="B242" s="21" t="inlineStr">
        <is>
          <t>SP</t>
        </is>
      </c>
      <c r="C242" s="21" t="inlineStr">
        <is>
          <t xml:space="preserve">Aeropuerto San Luis - AUT </t>
        </is>
      </c>
      <c r="D242" s="21" t="inlineStr">
        <is>
          <t>Aldana</t>
        </is>
      </c>
      <c r="E242" s="21" t="inlineStr">
        <is>
          <t>Nariño</t>
        </is>
      </c>
      <c r="F242" s="21" t="n">
        <v>7</v>
      </c>
      <c r="G242" s="21" t="n">
        <v>2961</v>
      </c>
      <c r="H242" s="42" t="n">
        <v>-77.67775</v>
      </c>
      <c r="I242" s="43" t="n">
        <v>0.8570833300000001</v>
      </c>
      <c r="J242" s="22" t="n">
        <v>11.46499172870137</v>
      </c>
      <c r="K242" s="23" t="n">
        <v>11.57783175211333</v>
      </c>
      <c r="L242" s="23" t="n">
        <v>11.69492164421596</v>
      </c>
      <c r="M242" s="23" t="n">
        <v>11.68282137666795</v>
      </c>
      <c r="N242" s="23" t="n">
        <v>11.57458717357908</v>
      </c>
      <c r="O242" s="23" t="n">
        <v>10.94297619047616</v>
      </c>
      <c r="P242" s="23" t="n">
        <v>10.37031490015359</v>
      </c>
      <c r="Q242" s="23" t="n">
        <v>10.2499147200593</v>
      </c>
      <c r="R242" s="23" t="n">
        <v>10.71746913580245</v>
      </c>
      <c r="S242" s="23" t="n">
        <v>11.36215437788015</v>
      </c>
      <c r="T242" s="23" t="n">
        <v>11.74224958949094</v>
      </c>
      <c r="U242" s="23" t="n">
        <v>11.57233102918583</v>
      </c>
      <c r="V242" s="38" t="n">
        <v>11.24604696819384</v>
      </c>
      <c r="W242" s="41" t="n">
        <v>334</v>
      </c>
      <c r="X242" s="24" t="n">
        <v>0.9277777777777778</v>
      </c>
    </row>
    <row r="243" ht="13.9" customHeight="1">
      <c r="A243" s="10" t="n">
        <v>51025080</v>
      </c>
      <c r="B243" s="21" t="inlineStr">
        <is>
          <t>CP</t>
        </is>
      </c>
      <c r="C243" s="21" t="inlineStr">
        <is>
          <t xml:space="preserve">Altaquer - AUT </t>
        </is>
      </c>
      <c r="D243" s="21" t="inlineStr">
        <is>
          <t>Barbacoas</t>
        </is>
      </c>
      <c r="E243" s="21" t="inlineStr">
        <is>
          <t>Nariño</t>
        </is>
      </c>
      <c r="F243" s="21" t="n">
        <v>7</v>
      </c>
      <c r="G243" s="21" t="n">
        <v>1010</v>
      </c>
      <c r="H243" s="42" t="n">
        <v>-78.0925</v>
      </c>
      <c r="I243" s="43" t="n">
        <v>1.24833333</v>
      </c>
      <c r="J243" s="22" t="n">
        <v>20.47538680645786</v>
      </c>
      <c r="K243" s="23" t="n">
        <v>20.62016508075171</v>
      </c>
      <c r="L243" s="23" t="n">
        <v>20.84764208590574</v>
      </c>
      <c r="M243" s="23" t="n">
        <v>20.88905946498844</v>
      </c>
      <c r="N243" s="23" t="n">
        <v>20.82308476579913</v>
      </c>
      <c r="O243" s="23" t="n">
        <v>20.50309415613828</v>
      </c>
      <c r="P243" s="23" t="n">
        <v>20.43186831523145</v>
      </c>
      <c r="Q243" s="23" t="n">
        <v>20.48844298300578</v>
      </c>
      <c r="R243" s="23" t="n">
        <v>20.35610386918763</v>
      </c>
      <c r="S243" s="23" t="n">
        <v>20.35581890940364</v>
      </c>
      <c r="T243" s="23" t="n">
        <v>20.24454596258713</v>
      </c>
      <c r="U243" s="23" t="n">
        <v>20.20956200524728</v>
      </c>
      <c r="V243" s="38" t="n">
        <v>20.52039786705867</v>
      </c>
      <c r="W243" s="41" t="n">
        <v>222</v>
      </c>
      <c r="X243" s="24" t="n">
        <v>0.925</v>
      </c>
    </row>
    <row r="244" ht="13.9" customHeight="1">
      <c r="A244" s="10" t="n">
        <v>52065020</v>
      </c>
      <c r="B244" s="35" t="inlineStr">
        <is>
          <t>PM</t>
        </is>
      </c>
      <c r="C244" s="35" t="inlineStr">
        <is>
          <t>Barbacoas</t>
        </is>
      </c>
      <c r="D244" s="35" t="inlineStr">
        <is>
          <t>Barbacoas</t>
        </is>
      </c>
      <c r="E244" s="35" t="inlineStr">
        <is>
          <t>Nariño</t>
        </is>
      </c>
      <c r="F244" s="35" t="n">
        <v>7</v>
      </c>
      <c r="G244" s="35" t="n">
        <v>32</v>
      </c>
      <c r="H244" s="36" t="n">
        <v>-78.14</v>
      </c>
      <c r="I244" s="37" t="n">
        <v>1.67</v>
      </c>
      <c r="J244" s="22" t="n">
        <v>26.02754807424445</v>
      </c>
      <c r="K244" s="23" t="n">
        <v>26.10999323118169</v>
      </c>
      <c r="L244" s="23" t="n">
        <v>26.3150641929206</v>
      </c>
      <c r="M244" s="23" t="n">
        <v>26.29460886940982</v>
      </c>
      <c r="N244" s="23" t="n">
        <v>26.198077803271</v>
      </c>
      <c r="O244" s="23" t="n">
        <v>26.01982749071415</v>
      </c>
      <c r="P244" s="23" t="n">
        <v>25.96275161224818</v>
      </c>
      <c r="Q244" s="23" t="n">
        <v>26.06117805236523</v>
      </c>
      <c r="R244" s="23" t="n">
        <v>25.8679801349373</v>
      </c>
      <c r="S244" s="23" t="n">
        <v>25.82203682953553</v>
      </c>
      <c r="T244" s="23" t="n">
        <v>25.82702538314176</v>
      </c>
      <c r="U244" s="23" t="n">
        <v>25.8890540219085</v>
      </c>
      <c r="V244" s="38" t="n">
        <v>26.03292880798985</v>
      </c>
      <c r="W244" s="41" t="n">
        <v>206</v>
      </c>
      <c r="X244" s="24" t="n">
        <v>0.8583333333333333</v>
      </c>
    </row>
    <row r="245" ht="13.9" customHeight="1">
      <c r="A245" s="10" t="n">
        <v>52045020</v>
      </c>
      <c r="B245" s="21" t="inlineStr">
        <is>
          <t>SP</t>
        </is>
      </c>
      <c r="C245" s="21" t="inlineStr">
        <is>
          <t>Aeropuerto Antonio Nariño</t>
        </is>
      </c>
      <c r="D245" s="21" t="inlineStr">
        <is>
          <t>Chachaguí</t>
        </is>
      </c>
      <c r="E245" s="21" t="inlineStr">
        <is>
          <t>Nariño</t>
        </is>
      </c>
      <c r="F245" s="21" t="n">
        <v>7</v>
      </c>
      <c r="G245" s="21" t="n">
        <v>1796</v>
      </c>
      <c r="H245" s="42" t="n">
        <v>-77.29086111000001</v>
      </c>
      <c r="I245" s="43" t="n">
        <v>1.39408333</v>
      </c>
      <c r="J245" s="22" t="n">
        <v>18.65487217144112</v>
      </c>
      <c r="K245" s="23" t="n">
        <v>18.8285948081538</v>
      </c>
      <c r="L245" s="23" t="n">
        <v>19.01311048382189</v>
      </c>
      <c r="M245" s="23" t="n">
        <v>19.14475420283053</v>
      </c>
      <c r="N245" s="23" t="n">
        <v>19.2900029219671</v>
      </c>
      <c r="O245" s="23" t="n">
        <v>19.57355409596785</v>
      </c>
      <c r="P245" s="23" t="n">
        <v>19.9334244562022</v>
      </c>
      <c r="Q245" s="23" t="n">
        <v>20.31807314482939</v>
      </c>
      <c r="R245" s="23" t="n">
        <v>19.99457851590564</v>
      </c>
      <c r="S245" s="23" t="n">
        <v>18.98610390945077</v>
      </c>
      <c r="T245" s="23" t="n">
        <v>18.32476475502539</v>
      </c>
      <c r="U245" s="23" t="n">
        <v>18.41914652823491</v>
      </c>
      <c r="V245" s="38" t="n">
        <v>19.20674833281921</v>
      </c>
      <c r="W245" s="41" t="n">
        <v>331</v>
      </c>
      <c r="X245" s="24" t="n">
        <v>0.9194444444444444</v>
      </c>
    </row>
    <row r="246" ht="13.9" customHeight="1">
      <c r="A246" s="10" t="n">
        <v>52055030</v>
      </c>
      <c r="B246" s="35" t="inlineStr">
        <is>
          <t>CO</t>
        </is>
      </c>
      <c r="C246" s="35" t="inlineStr">
        <is>
          <t>Bombona</t>
        </is>
      </c>
      <c r="D246" s="35" t="inlineStr">
        <is>
          <t>Consacá</t>
        </is>
      </c>
      <c r="E246" s="35" t="inlineStr">
        <is>
          <t>Nariño</t>
        </is>
      </c>
      <c r="F246" s="35" t="n">
        <v>7</v>
      </c>
      <c r="G246" s="35" t="n">
        <v>1493</v>
      </c>
      <c r="H246" s="36" t="n">
        <v>-77.46511111000001</v>
      </c>
      <c r="I246" s="37" t="n">
        <v>1.18436111</v>
      </c>
      <c r="J246" s="44" t="n">
        <v>19.73592248919567</v>
      </c>
      <c r="K246" s="45" t="n">
        <v>19.85515576819085</v>
      </c>
      <c r="L246" s="45" t="n">
        <v>19.96496182924511</v>
      </c>
      <c r="M246" s="45" t="n">
        <v>20.03677433596453</v>
      </c>
      <c r="N246" s="45" t="n">
        <v>20.08329316372255</v>
      </c>
      <c r="O246" s="45" t="n">
        <v>20.25698845902609</v>
      </c>
      <c r="P246" s="45" t="n">
        <v>20.78980021635475</v>
      </c>
      <c r="Q246" s="45" t="n">
        <v>21.17784322150361</v>
      </c>
      <c r="R246" s="45" t="n">
        <v>21.05560000728674</v>
      </c>
      <c r="S246" s="45" t="n">
        <v>20.28538105818683</v>
      </c>
      <c r="T246" s="45" t="n">
        <v>19.7668233431322</v>
      </c>
      <c r="U246" s="45" t="n">
        <v>19.62248131604491</v>
      </c>
      <c r="V246" s="38" t="n">
        <v>20.21925210065449</v>
      </c>
      <c r="W246" s="41" t="n">
        <v>318</v>
      </c>
      <c r="X246" s="24" t="n">
        <v>0.8833333333333333</v>
      </c>
    </row>
    <row r="247" ht="13.9" customHeight="1">
      <c r="A247" s="10" t="n">
        <v>52055200</v>
      </c>
      <c r="B247" s="21" t="inlineStr">
        <is>
          <t>CO</t>
        </is>
      </c>
      <c r="C247" s="21" t="inlineStr">
        <is>
          <t>Funes</t>
        </is>
      </c>
      <c r="D247" s="21" t="inlineStr">
        <is>
          <t>Funes</t>
        </is>
      </c>
      <c r="E247" s="21" t="inlineStr">
        <is>
          <t>Nariño</t>
        </is>
      </c>
      <c r="F247" s="21" t="n">
        <v>7</v>
      </c>
      <c r="G247" s="21" t="n">
        <v>2181</v>
      </c>
      <c r="H247" s="42" t="n">
        <v>-77.44580556000001</v>
      </c>
      <c r="I247" s="43" t="n">
        <v>1.00422222</v>
      </c>
      <c r="J247" s="22" t="n">
        <v>15.43271060437522</v>
      </c>
      <c r="K247" s="23" t="n">
        <v>15.46256431308154</v>
      </c>
      <c r="L247" s="23" t="n">
        <v>15.72854569892472</v>
      </c>
      <c r="M247" s="23" t="n">
        <v>15.89423659003831</v>
      </c>
      <c r="N247" s="23" t="n">
        <v>15.89043010752688</v>
      </c>
      <c r="O247" s="23" t="n">
        <v>15.72678799489143</v>
      </c>
      <c r="P247" s="23" t="n">
        <v>15.59435057176992</v>
      </c>
      <c r="Q247" s="23" t="n">
        <v>15.718876344086</v>
      </c>
      <c r="R247" s="23" t="n">
        <v>15.86800396825396</v>
      </c>
      <c r="S247" s="23" t="n">
        <v>15.71793409343715</v>
      </c>
      <c r="T247" s="23" t="n">
        <v>15.60359829059828</v>
      </c>
      <c r="U247" s="23" t="n">
        <v>15.42684139784945</v>
      </c>
      <c r="V247" s="38" t="n">
        <v>15.67207333123607</v>
      </c>
      <c r="W247" s="41" t="n">
        <v>119</v>
      </c>
      <c r="X247" s="24" t="n">
        <v>0.9916666666666667</v>
      </c>
    </row>
    <row r="248" ht="13.9" customHeight="1">
      <c r="A248" s="10" t="n">
        <v>52055210</v>
      </c>
      <c r="B248" s="21" t="inlineStr">
        <is>
          <t>CP</t>
        </is>
      </c>
      <c r="C248" s="21" t="inlineStr">
        <is>
          <t xml:space="preserve">Botana - AUT </t>
        </is>
      </c>
      <c r="D248" s="21" t="inlineStr">
        <is>
          <t>Pasto</t>
        </is>
      </c>
      <c r="E248" s="21" t="inlineStr">
        <is>
          <t>Nariño</t>
        </is>
      </c>
      <c r="F248" s="21" t="n">
        <v>7</v>
      </c>
      <c r="G248" s="21" t="n">
        <v>2820</v>
      </c>
      <c r="H248" s="42" t="n">
        <v>-77.27880556000001</v>
      </c>
      <c r="I248" s="43" t="n">
        <v>1.16</v>
      </c>
      <c r="J248" s="22" t="n">
        <v>12.5769792355998</v>
      </c>
      <c r="K248" s="23" t="n">
        <v>12.81901857080675</v>
      </c>
      <c r="L248" s="23" t="n">
        <v>12.96419856332872</v>
      </c>
      <c r="M248" s="23" t="n">
        <v>13.05103513957305</v>
      </c>
      <c r="N248" s="23" t="n">
        <v>13.10260599347022</v>
      </c>
      <c r="O248" s="23" t="n">
        <v>12.53164764992349</v>
      </c>
      <c r="P248" s="23" t="n">
        <v>12.01402939683805</v>
      </c>
      <c r="Q248" s="23" t="n">
        <v>11.96938723887346</v>
      </c>
      <c r="R248" s="23" t="n">
        <v>12.41555836002585</v>
      </c>
      <c r="S248" s="23" t="n">
        <v>12.76068490562231</v>
      </c>
      <c r="T248" s="23" t="n">
        <v>12.72953696101683</v>
      </c>
      <c r="U248" s="23" t="n">
        <v>12.63569608755577</v>
      </c>
      <c r="V248" s="38" t="n">
        <v>12.63086484188619</v>
      </c>
      <c r="W248" s="41" t="n">
        <v>308</v>
      </c>
      <c r="X248" s="24" t="n">
        <v>0.8555555555555555</v>
      </c>
    </row>
    <row r="249" ht="13.9" customHeight="1">
      <c r="A249" s="10" t="n">
        <v>47015100</v>
      </c>
      <c r="B249" s="35" t="inlineStr">
        <is>
          <t>CP</t>
        </is>
      </c>
      <c r="C249" s="35" t="inlineStr">
        <is>
          <t xml:space="preserve">El Encano </t>
        </is>
      </c>
      <c r="D249" s="35" t="inlineStr">
        <is>
          <t>Pasto</t>
        </is>
      </c>
      <c r="E249" s="35" t="inlineStr">
        <is>
          <t>Nariño</t>
        </is>
      </c>
      <c r="F249" s="35" t="n">
        <v>7</v>
      </c>
      <c r="G249" s="35" t="n">
        <v>2830</v>
      </c>
      <c r="H249" s="36" t="n">
        <v>-77.16147222000001</v>
      </c>
      <c r="I249" s="37" t="n">
        <v>1.15994444</v>
      </c>
      <c r="J249" s="22" t="n">
        <v>12.02103688015191</v>
      </c>
      <c r="K249" s="23" t="n">
        <v>12.15727044910041</v>
      </c>
      <c r="L249" s="23" t="n">
        <v>12.12982453982283</v>
      </c>
      <c r="M249" s="23" t="n">
        <v>12.14871945439419</v>
      </c>
      <c r="N249" s="23" t="n">
        <v>12.03945452775669</v>
      </c>
      <c r="O249" s="23" t="n">
        <v>11.31622892507302</v>
      </c>
      <c r="P249" s="23" t="n">
        <v>10.71244621606374</v>
      </c>
      <c r="Q249" s="23" t="n">
        <v>10.65101847759455</v>
      </c>
      <c r="R249" s="23" t="n">
        <v>11.07136321278024</v>
      </c>
      <c r="S249" s="23" t="n">
        <v>11.80604891850913</v>
      </c>
      <c r="T249" s="23" t="n">
        <v>12.39814998468596</v>
      </c>
      <c r="U249" s="23" t="n">
        <v>12.23547896935286</v>
      </c>
      <c r="V249" s="38" t="n">
        <v>11.7239200462738</v>
      </c>
      <c r="W249" s="41" t="n">
        <v>323</v>
      </c>
      <c r="X249" s="24" t="n">
        <v>0.8972222222222223</v>
      </c>
    </row>
    <row r="250" ht="13.9" customHeight="1">
      <c r="A250" s="10" t="n">
        <v>52045010</v>
      </c>
      <c r="B250" s="21" t="inlineStr">
        <is>
          <t>AM</t>
        </is>
      </c>
      <c r="C250" s="21" t="inlineStr">
        <is>
          <t>Obonuco</t>
        </is>
      </c>
      <c r="D250" s="21" t="inlineStr">
        <is>
          <t>Pasto</t>
        </is>
      </c>
      <c r="E250" s="21" t="inlineStr">
        <is>
          <t>Nariño</t>
        </is>
      </c>
      <c r="F250" s="21" t="n">
        <v>7</v>
      </c>
      <c r="G250" s="21" t="n">
        <v>2710</v>
      </c>
      <c r="H250" s="42" t="n">
        <v>-77.30308332999999</v>
      </c>
      <c r="I250" s="43" t="n">
        <v>1.19822222</v>
      </c>
      <c r="J250" s="22" t="n">
        <v>12.88100583836969</v>
      </c>
      <c r="K250" s="23" t="n">
        <v>13.18202402964646</v>
      </c>
      <c r="L250" s="23" t="n">
        <v>13.27629447202724</v>
      </c>
      <c r="M250" s="23" t="n">
        <v>13.43316584771715</v>
      </c>
      <c r="N250" s="23" t="n">
        <v>13.50061031966531</v>
      </c>
      <c r="O250" s="23" t="n">
        <v>13.0839604938617</v>
      </c>
      <c r="P250" s="23" t="n">
        <v>12.63533977465384</v>
      </c>
      <c r="Q250" s="23" t="n">
        <v>12.63206445104026</v>
      </c>
      <c r="R250" s="23" t="n">
        <v>13.06958421434354</v>
      </c>
      <c r="S250" s="23" t="n">
        <v>13.13826330396255</v>
      </c>
      <c r="T250" s="23" t="n">
        <v>12.97239785298512</v>
      </c>
      <c r="U250" s="23" t="n">
        <v>12.99480396461968</v>
      </c>
      <c r="V250" s="38" t="n">
        <v>13.06662621357438</v>
      </c>
      <c r="W250" s="41" t="n">
        <v>292</v>
      </c>
      <c r="X250" s="24" t="n">
        <v>0.8111111111111111</v>
      </c>
    </row>
    <row r="251" ht="13.9" customHeight="1">
      <c r="A251" s="10" t="n">
        <v>47015080</v>
      </c>
      <c r="B251" s="21" t="inlineStr">
        <is>
          <t>CO</t>
        </is>
      </c>
      <c r="C251" s="21" t="inlineStr">
        <is>
          <t>Monopamba</t>
        </is>
      </c>
      <c r="D251" s="21" t="inlineStr">
        <is>
          <t>Puerres</t>
        </is>
      </c>
      <c r="E251" s="21" t="inlineStr">
        <is>
          <t>Nariño</t>
        </is>
      </c>
      <c r="F251" s="21" t="n">
        <v>7</v>
      </c>
      <c r="G251" s="21" t="n">
        <v>1776</v>
      </c>
      <c r="H251" s="42" t="n">
        <v>-77.30361111000001</v>
      </c>
      <c r="I251" s="43" t="n">
        <v>0.8049166700000001</v>
      </c>
      <c r="J251" s="22" t="n">
        <v>17.22624241802133</v>
      </c>
      <c r="K251" s="23" t="n">
        <v>17.35612999316865</v>
      </c>
      <c r="L251" s="23" t="n">
        <v>17.37005755585913</v>
      </c>
      <c r="M251" s="23" t="n">
        <v>17.34801975193351</v>
      </c>
      <c r="N251" s="23" t="n">
        <v>17.14313256165616</v>
      </c>
      <c r="O251" s="23" t="n">
        <v>16.47387041598247</v>
      </c>
      <c r="P251" s="23" t="n">
        <v>15.95144388582431</v>
      </c>
      <c r="Q251" s="23" t="n">
        <v>16.28602908601345</v>
      </c>
      <c r="R251" s="23" t="n">
        <v>16.89655340242705</v>
      </c>
      <c r="S251" s="23" t="n">
        <v>17.40263649876782</v>
      </c>
      <c r="T251" s="23" t="n">
        <v>17.63492628963481</v>
      </c>
      <c r="U251" s="23" t="n">
        <v>17.40794638617756</v>
      </c>
      <c r="V251" s="38" t="n">
        <v>17.04141568712219</v>
      </c>
      <c r="W251" s="41" t="n">
        <v>292</v>
      </c>
      <c r="X251" s="24" t="n">
        <v>0.8111111111111111</v>
      </c>
    </row>
    <row r="252" ht="13.9" customHeight="1">
      <c r="A252" s="10" t="n">
        <v>52045090</v>
      </c>
      <c r="B252" s="21" t="inlineStr">
        <is>
          <t>CO</t>
        </is>
      </c>
      <c r="C252" s="21" t="inlineStr">
        <is>
          <t>El común</t>
        </is>
      </c>
      <c r="D252" s="21" t="inlineStr">
        <is>
          <t>Pupiales</t>
        </is>
      </c>
      <c r="E252" s="21" t="inlineStr">
        <is>
          <t>Nariño</t>
        </is>
      </c>
      <c r="F252" s="21" t="n">
        <v>7</v>
      </c>
      <c r="G252" s="21" t="n">
        <v>3141</v>
      </c>
      <c r="H252" s="42" t="n">
        <v>-77.62958332999999</v>
      </c>
      <c r="I252" s="43" t="n">
        <v>0.9326388900000001</v>
      </c>
      <c r="J252" s="22" t="n">
        <v>12.40838453661033</v>
      </c>
      <c r="K252" s="23" t="n">
        <v>12.20605421253216</v>
      </c>
      <c r="L252" s="23" t="n">
        <v>12.36841397849461</v>
      </c>
      <c r="M252" s="23" t="n">
        <v>12.27607598978287</v>
      </c>
      <c r="N252" s="23" t="n">
        <v>12.25324771007565</v>
      </c>
      <c r="O252" s="23" t="n">
        <v>11.48474069512861</v>
      </c>
      <c r="P252" s="23" t="n">
        <v>10.85765007415646</v>
      </c>
      <c r="Q252" s="23" t="n">
        <v>10.86293637992831</v>
      </c>
      <c r="R252" s="23" t="n">
        <v>11.35006818181817</v>
      </c>
      <c r="S252" s="23" t="n">
        <v>12.22117204301074</v>
      </c>
      <c r="T252" s="23" t="n">
        <v>12.67317901234566</v>
      </c>
      <c r="U252" s="23" t="n">
        <v>12.18847132616485</v>
      </c>
      <c r="V252" s="38" t="n">
        <v>11.9291995116707</v>
      </c>
      <c r="W252" s="41" t="n">
        <v>116</v>
      </c>
      <c r="X252" s="24" t="n">
        <v>0.97</v>
      </c>
    </row>
    <row r="253" ht="13.9" customHeight="1">
      <c r="A253" s="10" t="n">
        <v>52055060</v>
      </c>
      <c r="B253" s="21" t="inlineStr">
        <is>
          <t>CO</t>
        </is>
      </c>
      <c r="C253" s="21" t="inlineStr">
        <is>
          <t>Tanama</t>
        </is>
      </c>
      <c r="D253" s="21" t="inlineStr">
        <is>
          <t>Samaniego</t>
        </is>
      </c>
      <c r="E253" s="21" t="inlineStr">
        <is>
          <t>Nariño</t>
        </is>
      </c>
      <c r="F253" s="21" t="n">
        <v>7</v>
      </c>
      <c r="G253" s="21" t="n">
        <v>1500</v>
      </c>
      <c r="H253" s="42" t="n">
        <v>-77.58305556000001</v>
      </c>
      <c r="I253" s="43" t="n">
        <v>1.37355556</v>
      </c>
      <c r="J253" s="22" t="n">
        <v>19.77472122396204</v>
      </c>
      <c r="K253" s="23" t="n">
        <v>19.8218651957762</v>
      </c>
      <c r="L253" s="23" t="n">
        <v>19.89634447318003</v>
      </c>
      <c r="M253" s="23" t="n">
        <v>19.91657569227574</v>
      </c>
      <c r="N253" s="23" t="n">
        <v>19.95303092664852</v>
      </c>
      <c r="O253" s="23" t="n">
        <v>19.88647789163912</v>
      </c>
      <c r="P253" s="23" t="n">
        <v>20.0102210973484</v>
      </c>
      <c r="Q253" s="23" t="n">
        <v>20.23555035693055</v>
      </c>
      <c r="R253" s="23" t="n">
        <v>20.21254936446284</v>
      </c>
      <c r="S253" s="23" t="n">
        <v>19.99554469062373</v>
      </c>
      <c r="T253" s="23" t="n">
        <v>19.74669209542053</v>
      </c>
      <c r="U253" s="23" t="n">
        <v>19.72538950421102</v>
      </c>
      <c r="V253" s="38" t="n">
        <v>19.9312468760399</v>
      </c>
      <c r="W253" s="41" t="n">
        <v>331</v>
      </c>
      <c r="X253" s="24" t="n">
        <v>0.9194444444444444</v>
      </c>
    </row>
    <row r="254" ht="13.9" customHeight="1">
      <c r="A254" s="10" t="n">
        <v>52045030</v>
      </c>
      <c r="B254" s="21" t="inlineStr">
        <is>
          <t>CO</t>
        </is>
      </c>
      <c r="C254" s="21" t="inlineStr">
        <is>
          <t>San Bernardo</t>
        </is>
      </c>
      <c r="D254" s="21" t="inlineStr">
        <is>
          <t xml:space="preserve">San Bernardo </t>
        </is>
      </c>
      <c r="E254" s="21" t="inlineStr">
        <is>
          <t>Nariño</t>
        </is>
      </c>
      <c r="F254" s="21" t="n">
        <v>7</v>
      </c>
      <c r="G254" s="21" t="n">
        <v>2190</v>
      </c>
      <c r="H254" s="42" t="n">
        <v>-77.03261111</v>
      </c>
      <c r="I254" s="43" t="n">
        <v>1.53872222</v>
      </c>
      <c r="J254" s="22" t="n">
        <v>16.01681023721304</v>
      </c>
      <c r="K254" s="23" t="n">
        <v>16.1386166331997</v>
      </c>
      <c r="L254" s="23" t="n">
        <v>16.1637759256545</v>
      </c>
      <c r="M254" s="23" t="n">
        <v>16.35471881054</v>
      </c>
      <c r="N254" s="23" t="n">
        <v>16.31800277384819</v>
      </c>
      <c r="O254" s="23" t="n">
        <v>16.01323571679768</v>
      </c>
      <c r="P254" s="23" t="n">
        <v>15.58217884238367</v>
      </c>
      <c r="Q254" s="23" t="n">
        <v>15.77617103004156</v>
      </c>
      <c r="R254" s="23" t="n">
        <v>16.15323610467862</v>
      </c>
      <c r="S254" s="23" t="n">
        <v>16.12380426286438</v>
      </c>
      <c r="T254" s="23" t="n">
        <v>15.84093941945974</v>
      </c>
      <c r="U254" s="23" t="n">
        <v>15.82944151945857</v>
      </c>
      <c r="V254" s="38" t="n">
        <v>16.0259109396783</v>
      </c>
      <c r="W254" s="41" t="n">
        <v>317</v>
      </c>
      <c r="X254" s="24" t="n">
        <v>0.8805555555555555</v>
      </c>
    </row>
    <row r="255" ht="13.9" customHeight="1">
      <c r="A255" s="10" t="n">
        <v>52045040</v>
      </c>
      <c r="B255" s="21" t="inlineStr">
        <is>
          <t>CO</t>
        </is>
      </c>
      <c r="C255" s="21" t="inlineStr">
        <is>
          <t>Taminango</t>
        </is>
      </c>
      <c r="D255" s="21" t="inlineStr">
        <is>
          <t>Taminango</t>
        </is>
      </c>
      <c r="E255" s="21" t="inlineStr">
        <is>
          <t>Nariño</t>
        </is>
      </c>
      <c r="F255" s="21" t="n">
        <v>7</v>
      </c>
      <c r="G255" s="21" t="n">
        <v>1875</v>
      </c>
      <c r="H255" s="42" t="n">
        <v>-77.2675</v>
      </c>
      <c r="I255" s="43" t="n">
        <v>1.54916667</v>
      </c>
      <c r="J255" s="22" t="n">
        <v>17.60480646301592</v>
      </c>
      <c r="K255" s="23" t="n">
        <v>17.75434580486879</v>
      </c>
      <c r="L255" s="23" t="n">
        <v>17.88758251728744</v>
      </c>
      <c r="M255" s="23" t="n">
        <v>17.99666770316324</v>
      </c>
      <c r="N255" s="23" t="n">
        <v>18.09204972605059</v>
      </c>
      <c r="O255" s="23" t="n">
        <v>18.26519580487533</v>
      </c>
      <c r="P255" s="23" t="n">
        <v>18.68188063740513</v>
      </c>
      <c r="Q255" s="23" t="n">
        <v>19.08404124452408</v>
      </c>
      <c r="R255" s="23" t="n">
        <v>18.50804582249707</v>
      </c>
      <c r="S255" s="23" t="n">
        <v>17.80342561194301</v>
      </c>
      <c r="T255" s="23" t="n">
        <v>17.25472124970677</v>
      </c>
      <c r="U255" s="23" t="n">
        <v>17.3806960675012</v>
      </c>
      <c r="V255" s="38" t="n">
        <v>18.02612155440321</v>
      </c>
      <c r="W255" s="41" t="n">
        <v>334</v>
      </c>
      <c r="X255" s="24" t="n">
        <v>0.9277777777777778</v>
      </c>
    </row>
    <row r="256" ht="13.9" customHeight="1">
      <c r="A256" s="10" t="n">
        <v>52055090</v>
      </c>
      <c r="B256" s="21" t="inlineStr">
        <is>
          <t>CP</t>
        </is>
      </c>
      <c r="C256" s="21" t="inlineStr">
        <is>
          <t>Sindagua</t>
        </is>
      </c>
      <c r="D256" s="21" t="inlineStr">
        <is>
          <t>Tangua</t>
        </is>
      </c>
      <c r="E256" s="21" t="inlineStr">
        <is>
          <t>Nariño</t>
        </is>
      </c>
      <c r="F256" s="21" t="n">
        <v>7</v>
      </c>
      <c r="G256" s="21" t="n">
        <v>2800</v>
      </c>
      <c r="H256" s="42" t="n">
        <v>-77.38936111000001</v>
      </c>
      <c r="I256" s="43" t="n">
        <v>1.10758333</v>
      </c>
      <c r="J256" s="22" t="n">
        <v>13.1315437142357</v>
      </c>
      <c r="K256" s="23" t="n">
        <v>13.15033814875956</v>
      </c>
      <c r="L256" s="23" t="n">
        <v>13.25566940277104</v>
      </c>
      <c r="M256" s="23" t="n">
        <v>13.34068003663003</v>
      </c>
      <c r="N256" s="23" t="n">
        <v>13.34762962706418</v>
      </c>
      <c r="O256" s="23" t="n">
        <v>13.13113991431679</v>
      </c>
      <c r="P256" s="23" t="n">
        <v>12.90421777283401</v>
      </c>
      <c r="Q256" s="23" t="n">
        <v>12.97471752858849</v>
      </c>
      <c r="R256" s="23" t="n">
        <v>13.24473771858926</v>
      </c>
      <c r="S256" s="23" t="n">
        <v>13.25229822156893</v>
      </c>
      <c r="T256" s="23" t="n">
        <v>13.01789861056061</v>
      </c>
      <c r="U256" s="23" t="n">
        <v>13.05996781902415</v>
      </c>
      <c r="V256" s="38" t="n">
        <v>13.15090320957856</v>
      </c>
      <c r="W256" s="41" t="n">
        <v>330</v>
      </c>
      <c r="X256" s="24" t="n">
        <v>0.9166666666666666</v>
      </c>
    </row>
    <row r="257" ht="13.9" customHeight="1">
      <c r="A257" s="10" t="n">
        <v>51035020</v>
      </c>
      <c r="B257" s="35" t="inlineStr">
        <is>
          <t>CP</t>
        </is>
      </c>
      <c r="C257" s="11" t="inlineStr">
        <is>
          <t>CCCP del Pacífico</t>
        </is>
      </c>
      <c r="D257" s="35" t="inlineStr">
        <is>
          <t>Tumaco</t>
        </is>
      </c>
      <c r="E257" s="35" t="inlineStr">
        <is>
          <t>Nariño</t>
        </is>
      </c>
      <c r="F257" s="35" t="n">
        <v>7</v>
      </c>
      <c r="G257" s="35" t="n">
        <v>1</v>
      </c>
      <c r="H257" s="36" t="n">
        <v>-78.73</v>
      </c>
      <c r="I257" s="37" t="n">
        <v>1.81916667</v>
      </c>
      <c r="J257" s="44" t="n">
        <v>25.7511790905385</v>
      </c>
      <c r="K257" s="45" t="n">
        <v>26.12629803822333</v>
      </c>
      <c r="L257" s="45" t="n">
        <v>26.3765689547529</v>
      </c>
      <c r="M257" s="45" t="n">
        <v>26.47677662515042</v>
      </c>
      <c r="N257" s="45" t="n">
        <v>26.38332897770336</v>
      </c>
      <c r="O257" s="45" t="n">
        <v>26.09469667670912</v>
      </c>
      <c r="P257" s="45" t="n">
        <v>25.92240051386631</v>
      </c>
      <c r="Q257" s="45" t="n">
        <v>25.90710639527324</v>
      </c>
      <c r="R257" s="45" t="n">
        <v>25.80792955084956</v>
      </c>
      <c r="S257" s="45" t="n">
        <v>25.80535531248712</v>
      </c>
      <c r="T257" s="45" t="n">
        <v>25.73002287468184</v>
      </c>
      <c r="U257" s="45" t="n">
        <v>25.6825963885467</v>
      </c>
      <c r="V257" s="38" t="n">
        <v>26.00535494989853</v>
      </c>
      <c r="W257" s="41" t="n">
        <v>210</v>
      </c>
      <c r="X257" s="24" t="n">
        <v>0.875</v>
      </c>
    </row>
    <row r="258" ht="13.9" customHeight="1">
      <c r="A258" s="10" t="n">
        <v>51025090</v>
      </c>
      <c r="B258" s="21" t="inlineStr">
        <is>
          <t>CP</t>
        </is>
      </c>
      <c r="C258" s="21" t="inlineStr">
        <is>
          <t xml:space="preserve">Granja El Mira - AUT </t>
        </is>
      </c>
      <c r="D258" s="21" t="inlineStr">
        <is>
          <t>Tumaco</t>
        </is>
      </c>
      <c r="E258" s="21" t="inlineStr">
        <is>
          <t>Nariño</t>
        </is>
      </c>
      <c r="F258" s="21" t="n">
        <v>7</v>
      </c>
      <c r="G258" s="21" t="n">
        <v>16</v>
      </c>
      <c r="H258" s="42" t="n">
        <v>-78.69558332999999</v>
      </c>
      <c r="I258" s="43" t="n">
        <v>1.55019444</v>
      </c>
      <c r="J258" s="22" t="n">
        <v>26.11125547219889</v>
      </c>
      <c r="K258" s="23" t="n">
        <v>26.30137028430273</v>
      </c>
      <c r="L258" s="23" t="n">
        <v>26.58170394087745</v>
      </c>
      <c r="M258" s="23" t="n">
        <v>26.67010583764892</v>
      </c>
      <c r="N258" s="23" t="n">
        <v>26.39476838091923</v>
      </c>
      <c r="O258" s="23" t="n">
        <v>26.05508958721017</v>
      </c>
      <c r="P258" s="23" t="n">
        <v>25.85411159230192</v>
      </c>
      <c r="Q258" s="23" t="n">
        <v>25.78143971553896</v>
      </c>
      <c r="R258" s="23" t="n">
        <v>25.72422858798519</v>
      </c>
      <c r="S258" s="23" t="n">
        <v>25.67502599706608</v>
      </c>
      <c r="T258" s="23" t="n">
        <v>25.56517181732697</v>
      </c>
      <c r="U258" s="23" t="n">
        <v>25.74180461663844</v>
      </c>
      <c r="V258" s="38" t="n">
        <v>26.03800631916792</v>
      </c>
      <c r="W258" s="41" t="n">
        <v>308</v>
      </c>
      <c r="X258" s="24" t="n">
        <v>0.8555555555555555</v>
      </c>
    </row>
    <row r="259" ht="13.9" customHeight="1">
      <c r="A259" s="10" t="n">
        <v>52055220</v>
      </c>
      <c r="B259" s="21" t="inlineStr">
        <is>
          <t>CP</t>
        </is>
      </c>
      <c r="C259" s="21" t="inlineStr">
        <is>
          <t xml:space="preserve">El Paraiso - AUT </t>
        </is>
      </c>
      <c r="D259" s="21" t="inlineStr">
        <is>
          <t>Túquerres</t>
        </is>
      </c>
      <c r="E259" s="21" t="inlineStr">
        <is>
          <t>Nariño</t>
        </is>
      </c>
      <c r="F259" s="21" t="n">
        <v>7</v>
      </c>
      <c r="G259" s="21" t="n">
        <v>3120</v>
      </c>
      <c r="H259" s="42" t="n">
        <v>-77.63688888999999</v>
      </c>
      <c r="I259" s="43" t="n">
        <v>1.07061111</v>
      </c>
      <c r="J259" s="22" t="n">
        <v>11.15919682286827</v>
      </c>
      <c r="K259" s="23" t="n">
        <v>11.27337398334364</v>
      </c>
      <c r="L259" s="23" t="n">
        <v>11.35135028044093</v>
      </c>
      <c r="M259" s="23" t="n">
        <v>11.48419971972141</v>
      </c>
      <c r="N259" s="23" t="n">
        <v>11.48316956351793</v>
      </c>
      <c r="O259" s="23" t="n">
        <v>11.0427288941736</v>
      </c>
      <c r="P259" s="23" t="n">
        <v>10.5289859764818</v>
      </c>
      <c r="Q259" s="23" t="n">
        <v>10.49248004916649</v>
      </c>
      <c r="R259" s="23" t="n">
        <v>10.87883601262273</v>
      </c>
      <c r="S259" s="23" t="n">
        <v>11.19315959344102</v>
      </c>
      <c r="T259" s="23" t="n">
        <v>11.28994698907414</v>
      </c>
      <c r="U259" s="23" t="n">
        <v>11.29133181243905</v>
      </c>
      <c r="V259" s="38" t="n">
        <v>11.12239664144091</v>
      </c>
      <c r="W259" s="41" t="n">
        <v>331</v>
      </c>
      <c r="X259" s="24" t="n">
        <v>0.9194444444444444</v>
      </c>
    </row>
    <row r="260" ht="13.9" customHeight="1">
      <c r="A260" s="10" t="n">
        <v>16055040</v>
      </c>
      <c r="B260" s="21" t="inlineStr">
        <is>
          <t>CP</t>
        </is>
      </c>
      <c r="C260" s="21" t="inlineStr">
        <is>
          <t>Abrego Centro Administrativo</t>
        </is>
      </c>
      <c r="D260" s="21" t="inlineStr">
        <is>
          <t>Ábrego</t>
        </is>
      </c>
      <c r="E260" s="21" t="inlineStr">
        <is>
          <t>Norte de Santander</t>
        </is>
      </c>
      <c r="F260" s="21" t="n">
        <v>8</v>
      </c>
      <c r="G260" s="21" t="n">
        <v>1430</v>
      </c>
      <c r="H260" s="42" t="n">
        <v>-73.22305556000001</v>
      </c>
      <c r="I260" s="43" t="n">
        <v>8.087222219999999</v>
      </c>
      <c r="J260" s="22" t="n">
        <v>20.35917657394461</v>
      </c>
      <c r="K260" s="23" t="n">
        <v>20.77266139030401</v>
      </c>
      <c r="L260" s="23" t="n">
        <v>21.31176666404083</v>
      </c>
      <c r="M260" s="23" t="n">
        <v>21.54022939230829</v>
      </c>
      <c r="N260" s="23" t="n">
        <v>21.66410989696237</v>
      </c>
      <c r="O260" s="23" t="n">
        <v>21.65059055715195</v>
      </c>
      <c r="P260" s="23" t="n">
        <v>21.81258727862064</v>
      </c>
      <c r="Q260" s="23" t="n">
        <v>21.71822731611977</v>
      </c>
      <c r="R260" s="23" t="n">
        <v>21.41000914105626</v>
      </c>
      <c r="S260" s="23" t="n">
        <v>21.24528101551</v>
      </c>
      <c r="T260" s="23" t="n">
        <v>21.01920093145794</v>
      </c>
      <c r="U260" s="23" t="n">
        <v>20.54880700991267</v>
      </c>
      <c r="V260" s="38" t="n">
        <v>21.25438726394911</v>
      </c>
      <c r="W260" s="41" t="n">
        <v>301</v>
      </c>
      <c r="X260" s="24" t="n">
        <v>0.8361111111111111</v>
      </c>
    </row>
    <row r="261" ht="13.9" customHeight="1">
      <c r="A261" s="10" t="n">
        <v>23195180</v>
      </c>
      <c r="B261" s="35" t="inlineStr">
        <is>
          <t>CO</t>
        </is>
      </c>
      <c r="C261" s="35" t="inlineStr">
        <is>
          <t>Escuela Agrícola Cáchira</t>
        </is>
      </c>
      <c r="D261" s="35" t="inlineStr">
        <is>
          <t>Cáchira</t>
        </is>
      </c>
      <c r="E261" s="35" t="inlineStr">
        <is>
          <t>Norte de Santander</t>
        </is>
      </c>
      <c r="F261" s="35" t="n">
        <v>8</v>
      </c>
      <c r="G261" s="35" t="n">
        <v>1882</v>
      </c>
      <c r="H261" s="36" t="n">
        <v>-73.05166666999999</v>
      </c>
      <c r="I261" s="37" t="n">
        <v>7.73527778</v>
      </c>
      <c r="J261" s="22" t="n">
        <v>16.7047656760969</v>
      </c>
      <c r="K261" s="23" t="n">
        <v>17.20137530750203</v>
      </c>
      <c r="L261" s="23" t="n">
        <v>17.43442489422035</v>
      </c>
      <c r="M261" s="23" t="n">
        <v>17.61890946493392</v>
      </c>
      <c r="N261" s="23" t="n">
        <v>17.78193078118271</v>
      </c>
      <c r="O261" s="23" t="n">
        <v>17.69582433352512</v>
      </c>
      <c r="P261" s="23" t="n">
        <v>17.55988006564905</v>
      </c>
      <c r="Q261" s="23" t="n">
        <v>17.51821190157897</v>
      </c>
      <c r="R261" s="23" t="n">
        <v>17.28877805431308</v>
      </c>
      <c r="S261" s="23" t="n">
        <v>17.14471915619541</v>
      </c>
      <c r="T261" s="23" t="n">
        <v>17.05134403112849</v>
      </c>
      <c r="U261" s="23" t="n">
        <v>16.88828469323832</v>
      </c>
      <c r="V261" s="38" t="n">
        <v>17.32403736329703</v>
      </c>
      <c r="W261" s="41" t="n">
        <v>312</v>
      </c>
      <c r="X261" s="24" t="n">
        <v>0.8666666666666667</v>
      </c>
    </row>
    <row r="262" ht="13.9" customHeight="1">
      <c r="A262" s="10" t="n">
        <v>16055090</v>
      </c>
      <c r="B262" s="21" t="inlineStr">
        <is>
          <t>CP</t>
        </is>
      </c>
      <c r="C262" s="21" t="inlineStr">
        <is>
          <t>Institución Agrícola Convención</t>
        </is>
      </c>
      <c r="D262" s="21" t="inlineStr">
        <is>
          <t>Convención</t>
        </is>
      </c>
      <c r="E262" s="21" t="inlineStr">
        <is>
          <t>Norte de Santander</t>
        </is>
      </c>
      <c r="F262" s="21" t="n">
        <v>8</v>
      </c>
      <c r="G262" s="21" t="n">
        <v>1076</v>
      </c>
      <c r="H262" s="42" t="n">
        <v>-73.34388889</v>
      </c>
      <c r="I262" s="43" t="n">
        <v>8.470555559999999</v>
      </c>
      <c r="J262" s="44" t="n">
        <v>20.78829180571004</v>
      </c>
      <c r="K262" s="45" t="n">
        <v>21.25882857213029</v>
      </c>
      <c r="L262" s="45" t="n">
        <v>21.78471967309355</v>
      </c>
      <c r="M262" s="45" t="n">
        <v>22.20195219850391</v>
      </c>
      <c r="N262" s="45" t="n">
        <v>22.60467719688542</v>
      </c>
      <c r="O262" s="45" t="n">
        <v>22.59567750410508</v>
      </c>
      <c r="P262" s="45" t="n">
        <v>22.47913978494623</v>
      </c>
      <c r="Q262" s="45" t="n">
        <v>22.78686540600667</v>
      </c>
      <c r="R262" s="45" t="n">
        <v>22.61267361111111</v>
      </c>
      <c r="S262" s="45" t="n">
        <v>22.2693769214471</v>
      </c>
      <c r="T262" s="45" t="n">
        <v>21.69455357142857</v>
      </c>
      <c r="U262" s="45" t="n">
        <v>21.04331577931862</v>
      </c>
      <c r="V262" s="38" t="n">
        <v>22.01000600205722</v>
      </c>
      <c r="W262" s="41" t="n">
        <v>296</v>
      </c>
      <c r="X262" s="24" t="n">
        <v>0.8222222222222222</v>
      </c>
    </row>
    <row r="263" ht="13.9" customHeight="1">
      <c r="A263" s="10" t="n">
        <v>16015010</v>
      </c>
      <c r="B263" s="21" t="inlineStr">
        <is>
          <t>SP</t>
        </is>
      </c>
      <c r="C263" s="21" t="inlineStr">
        <is>
          <t>Aeropuerto Camilo Daza</t>
        </is>
      </c>
      <c r="D263" s="21" t="inlineStr">
        <is>
          <t>Cúcuta</t>
        </is>
      </c>
      <c r="E263" s="21" t="inlineStr">
        <is>
          <t>Norte de Santander</t>
        </is>
      </c>
      <c r="F263" s="21" t="n">
        <v>8</v>
      </c>
      <c r="G263" s="21" t="n">
        <v>250</v>
      </c>
      <c r="H263" s="42" t="n">
        <v>-72.50916667</v>
      </c>
      <c r="I263" s="43" t="n">
        <v>7.93027778</v>
      </c>
      <c r="J263" s="22" t="n">
        <v>25.86079569892472</v>
      </c>
      <c r="K263" s="23" t="n">
        <v>26.37533821382959</v>
      </c>
      <c r="L263" s="23" t="n">
        <v>26.74558494623655</v>
      </c>
      <c r="M263" s="23" t="n">
        <v>27.19592758620689</v>
      </c>
      <c r="N263" s="23" t="n">
        <v>27.92006451612902</v>
      </c>
      <c r="O263" s="23" t="n">
        <v>28.23587126436781</v>
      </c>
      <c r="P263" s="23" t="n">
        <v>28.23550537634408</v>
      </c>
      <c r="Q263" s="23" t="n">
        <v>28.74261182795698</v>
      </c>
      <c r="R263" s="23" t="n">
        <v>28.72118414750956</v>
      </c>
      <c r="S263" s="23" t="n">
        <v>27.67304723502303</v>
      </c>
      <c r="T263" s="23" t="n">
        <v>26.60994572158364</v>
      </c>
      <c r="U263" s="23" t="n">
        <v>25.96632280465949</v>
      </c>
      <c r="V263" s="38" t="n">
        <v>27.35684994489761</v>
      </c>
      <c r="W263" s="41" t="n">
        <v>296</v>
      </c>
      <c r="X263" s="24" t="n">
        <v>0.8222222222222222</v>
      </c>
    </row>
    <row r="264" ht="13.9" customHeight="1">
      <c r="A264" s="10" t="n">
        <v>16025010</v>
      </c>
      <c r="B264" s="21" t="inlineStr">
        <is>
          <t>CP</t>
        </is>
      </c>
      <c r="C264" s="21" t="inlineStr">
        <is>
          <t>Carmen de Tonchalá</t>
        </is>
      </c>
      <c r="D264" s="21" t="inlineStr">
        <is>
          <t>Cúcuta</t>
        </is>
      </c>
      <c r="E264" s="21" t="inlineStr">
        <is>
          <t>Norte de Santander</t>
        </is>
      </c>
      <c r="F264" s="21" t="n">
        <v>8</v>
      </c>
      <c r="G264" s="21" t="n">
        <v>285</v>
      </c>
      <c r="H264" s="42" t="n">
        <v>-72.56611111000001</v>
      </c>
      <c r="I264" s="43" t="n">
        <v>7.84888889</v>
      </c>
      <c r="J264" s="44" t="n">
        <v>26.00338510553564</v>
      </c>
      <c r="K264" s="45" t="n">
        <v>26.52017766926853</v>
      </c>
      <c r="L264" s="45" t="n">
        <v>26.8080534054441</v>
      </c>
      <c r="M264" s="45" t="n">
        <v>27.42988351951556</v>
      </c>
      <c r="N264" s="45" t="n">
        <v>28.43972585746538</v>
      </c>
      <c r="O264" s="45" t="n">
        <v>28.73089747724907</v>
      </c>
      <c r="P264" s="45" t="n">
        <v>28.75719953779723</v>
      </c>
      <c r="Q264" s="45" t="n">
        <v>29.30631762592139</v>
      </c>
      <c r="R264" s="45" t="n">
        <v>29.35775054262687</v>
      </c>
      <c r="S264" s="45" t="n">
        <v>28.23129393152885</v>
      </c>
      <c r="T264" s="45" t="n">
        <v>26.83313043806503</v>
      </c>
      <c r="U264" s="45" t="n">
        <v>26.33993245434374</v>
      </c>
      <c r="V264" s="38" t="n">
        <v>27.72981229706345</v>
      </c>
      <c r="W264" s="41" t="n">
        <v>351</v>
      </c>
      <c r="X264" s="24" t="n">
        <v>0.975</v>
      </c>
    </row>
    <row r="265" ht="13.9" customHeight="1">
      <c r="A265" s="10" t="n">
        <v>16025040</v>
      </c>
      <c r="B265" s="21" t="inlineStr">
        <is>
          <t>CP</t>
        </is>
      </c>
      <c r="C265" s="21" t="inlineStr">
        <is>
          <t>Cinera-Villa Olga</t>
        </is>
      </c>
      <c r="D265" s="21" t="inlineStr">
        <is>
          <t>Cúcuta</t>
        </is>
      </c>
      <c r="E265" s="21" t="inlineStr">
        <is>
          <t>Norte de Santander</t>
        </is>
      </c>
      <c r="F265" s="21" t="n">
        <v>8</v>
      </c>
      <c r="G265" s="21" t="n">
        <v>100</v>
      </c>
      <c r="H265" s="42" t="n">
        <v>-72.46861111</v>
      </c>
      <c r="I265" s="43" t="n">
        <v>8.16777778</v>
      </c>
      <c r="J265" s="22" t="n">
        <v>26.73600611119333</v>
      </c>
      <c r="K265" s="23" t="n">
        <v>27.18910961082776</v>
      </c>
      <c r="L265" s="23" t="n">
        <v>27.61226978185899</v>
      </c>
      <c r="M265" s="23" t="n">
        <v>28.05000038010092</v>
      </c>
      <c r="N265" s="23" t="n">
        <v>28.5862676175611</v>
      </c>
      <c r="O265" s="23" t="n">
        <v>28.6581655747648</v>
      </c>
      <c r="P265" s="23" t="n">
        <v>28.64153123085478</v>
      </c>
      <c r="Q265" s="23" t="n">
        <v>29.17936497960693</v>
      </c>
      <c r="R265" s="23" t="n">
        <v>28.92897935714445</v>
      </c>
      <c r="S265" s="23" t="n">
        <v>28.26979236691603</v>
      </c>
      <c r="T265" s="23" t="n">
        <v>27.56548530183021</v>
      </c>
      <c r="U265" s="23" t="n">
        <v>27.0674821431778</v>
      </c>
      <c r="V265" s="38" t="n">
        <v>28.04037120465309</v>
      </c>
      <c r="W265" s="41" t="n">
        <v>308</v>
      </c>
      <c r="X265" s="24" t="n">
        <v>0.8555555555555555</v>
      </c>
    </row>
    <row r="266" ht="13.9" customHeight="1">
      <c r="A266" s="10" t="n">
        <v>16055060</v>
      </c>
      <c r="B266" s="21" t="inlineStr">
        <is>
          <t>CO</t>
        </is>
      </c>
      <c r="C266" s="21" t="inlineStr">
        <is>
          <t>La Playa</t>
        </is>
      </c>
      <c r="D266" s="21" t="inlineStr">
        <is>
          <t>La Playa</t>
        </is>
      </c>
      <c r="E266" s="21" t="inlineStr">
        <is>
          <t>Norte de Santander</t>
        </is>
      </c>
      <c r="F266" s="21" t="n">
        <v>8</v>
      </c>
      <c r="G266" s="21" t="n">
        <v>1500</v>
      </c>
      <c r="H266" s="42" t="n">
        <v>-73.235</v>
      </c>
      <c r="I266" s="43" t="n">
        <v>8.217499999999999</v>
      </c>
      <c r="J266" s="22" t="n">
        <v>18.81869992584351</v>
      </c>
      <c r="K266" s="23" t="n">
        <v>19.42996138370781</v>
      </c>
      <c r="L266" s="23" t="n">
        <v>20.0306957416922</v>
      </c>
      <c r="M266" s="23" t="n">
        <v>20.47386571995111</v>
      </c>
      <c r="N266" s="23" t="n">
        <v>20.82850570637069</v>
      </c>
      <c r="O266" s="23" t="n">
        <v>20.86927129384024</v>
      </c>
      <c r="P266" s="23" t="n">
        <v>21.04923923256049</v>
      </c>
      <c r="Q266" s="23" t="n">
        <v>20.96033076864481</v>
      </c>
      <c r="R266" s="23" t="n">
        <v>20.4191107968943</v>
      </c>
      <c r="S266" s="23" t="n">
        <v>20.07632894506568</v>
      </c>
      <c r="T266" s="23" t="n">
        <v>19.75273927728147</v>
      </c>
      <c r="U266" s="23" t="n">
        <v>19.14158586569226</v>
      </c>
      <c r="V266" s="38" t="n">
        <v>20.15419455479538</v>
      </c>
      <c r="W266" s="41" t="n">
        <v>324</v>
      </c>
      <c r="X266" s="24" t="n">
        <v>0.9</v>
      </c>
    </row>
    <row r="267" ht="13.9" customHeight="1">
      <c r="A267" s="10" t="n">
        <v>16055010</v>
      </c>
      <c r="B267" s="21" t="inlineStr">
        <is>
          <t>CP</t>
        </is>
      </c>
      <c r="C267" s="21" t="inlineStr">
        <is>
          <t>Aeropuerto Aguas Claras</t>
        </is>
      </c>
      <c r="D267" s="21" t="inlineStr">
        <is>
          <t>Ocaña</t>
        </is>
      </c>
      <c r="E267" s="21" t="inlineStr">
        <is>
          <t>Norte de Santander</t>
        </is>
      </c>
      <c r="F267" s="21" t="n">
        <v>8</v>
      </c>
      <c r="G267" s="21" t="n">
        <v>1435</v>
      </c>
      <c r="H267" s="42" t="n">
        <v>-73.3575</v>
      </c>
      <c r="I267" s="43" t="n">
        <v>8.315277780000001</v>
      </c>
      <c r="J267" s="22" t="n">
        <v>20.25485215053762</v>
      </c>
      <c r="K267" s="23" t="n">
        <v>20.72356620598431</v>
      </c>
      <c r="L267" s="23" t="n">
        <v>21.32418335187245</v>
      </c>
      <c r="M267" s="23" t="n">
        <v>21.61423792270531</v>
      </c>
      <c r="N267" s="23" t="n">
        <v>22.0887696990385</v>
      </c>
      <c r="O267" s="23" t="n">
        <v>21.733225440851</v>
      </c>
      <c r="P267" s="23" t="n">
        <v>21.87606777295285</v>
      </c>
      <c r="Q267" s="23" t="n">
        <v>21.98128955804011</v>
      </c>
      <c r="R267" s="23" t="n">
        <v>21.50314153439153</v>
      </c>
      <c r="S267" s="23" t="n">
        <v>21.51672599184278</v>
      </c>
      <c r="T267" s="23" t="n">
        <v>21.07592592592592</v>
      </c>
      <c r="U267" s="23" t="n">
        <v>20.70060870102583</v>
      </c>
      <c r="V267" s="38" t="n">
        <v>21.36604952126402</v>
      </c>
      <c r="W267" s="41" t="n">
        <v>110</v>
      </c>
      <c r="X267" s="24" t="n">
        <v>0.9166666666666666</v>
      </c>
    </row>
    <row r="268" ht="13.9" customHeight="1">
      <c r="A268" s="10" t="n">
        <v>16055100</v>
      </c>
      <c r="B268" s="21" t="inlineStr">
        <is>
          <t>CO</t>
        </is>
      </c>
      <c r="C268" s="21" t="inlineStr">
        <is>
          <t>Universidad Francisco de Paula Santander</t>
        </is>
      </c>
      <c r="D268" s="21" t="inlineStr">
        <is>
          <t>Ocaña</t>
        </is>
      </c>
      <c r="E268" s="21" t="inlineStr">
        <is>
          <t>Norte de Santander</t>
        </is>
      </c>
      <c r="F268" s="21" t="n">
        <v>8</v>
      </c>
      <c r="G268" s="21" t="n">
        <v>1150</v>
      </c>
      <c r="H268" s="42" t="n">
        <v>-73.32222222</v>
      </c>
      <c r="I268" s="43" t="n">
        <v>8.23777778</v>
      </c>
      <c r="J268" s="22" t="n">
        <v>20.37596641416052</v>
      </c>
      <c r="K268" s="23" t="n">
        <v>20.95934547553635</v>
      </c>
      <c r="L268" s="23" t="n">
        <v>21.51910282318227</v>
      </c>
      <c r="M268" s="23" t="n">
        <v>21.73482478227635</v>
      </c>
      <c r="N268" s="23" t="n">
        <v>21.99329641294558</v>
      </c>
      <c r="O268" s="23" t="n">
        <v>22.17750110386712</v>
      </c>
      <c r="P268" s="23" t="n">
        <v>22.24150811117061</v>
      </c>
      <c r="Q268" s="23" t="n">
        <v>22.14333633418473</v>
      </c>
      <c r="R268" s="23" t="n">
        <v>21.90048430418979</v>
      </c>
      <c r="S268" s="23" t="n">
        <v>21.5141724872101</v>
      </c>
      <c r="T268" s="23" t="n">
        <v>21.20854471451318</v>
      </c>
      <c r="U268" s="23" t="n">
        <v>20.67504812102608</v>
      </c>
      <c r="V268" s="38" t="n">
        <v>21.53692759035522</v>
      </c>
      <c r="W268" s="41" t="n">
        <v>319</v>
      </c>
      <c r="X268" s="24" t="n">
        <v>0.8861111111111111</v>
      </c>
    </row>
    <row r="269" ht="13.9" customHeight="1">
      <c r="A269" s="10" t="n">
        <v>16015020</v>
      </c>
      <c r="B269" s="21" t="inlineStr">
        <is>
          <t>AM</t>
        </is>
      </c>
      <c r="C269" s="21" t="inlineStr">
        <is>
          <t>Iser Pamplona</t>
        </is>
      </c>
      <c r="D269" s="21" t="inlineStr">
        <is>
          <t>Pamplona</t>
        </is>
      </c>
      <c r="E269" s="21" t="inlineStr">
        <is>
          <t>Norte de Santander</t>
        </is>
      </c>
      <c r="F269" s="21" t="n">
        <v>8</v>
      </c>
      <c r="G269" s="21" t="n">
        <v>2340</v>
      </c>
      <c r="H269" s="42" t="n">
        <v>-72.645</v>
      </c>
      <c r="I269" s="43" t="n">
        <v>7.37311111</v>
      </c>
      <c r="J269" s="22" t="n">
        <v>14.17947722123893</v>
      </c>
      <c r="K269" s="23" t="n">
        <v>14.51751981939221</v>
      </c>
      <c r="L269" s="23" t="n">
        <v>15.26266082879732</v>
      </c>
      <c r="M269" s="23" t="n">
        <v>15.77760292962894</v>
      </c>
      <c r="N269" s="23" t="n">
        <v>16.16076803251476</v>
      </c>
      <c r="O269" s="23" t="n">
        <v>15.8901301971154</v>
      </c>
      <c r="P269" s="23" t="n">
        <v>15.71288575391429</v>
      </c>
      <c r="Q269" s="23" t="n">
        <v>15.9826099414474</v>
      </c>
      <c r="R269" s="23" t="n">
        <v>16.04979934470593</v>
      </c>
      <c r="S269" s="23" t="n">
        <v>15.68907352555914</v>
      </c>
      <c r="T269" s="23" t="n">
        <v>15.13988540873695</v>
      </c>
      <c r="U269" s="23" t="n">
        <v>14.59337157765924</v>
      </c>
      <c r="V269" s="38" t="n">
        <v>15.41298204839254</v>
      </c>
      <c r="W269" s="41" t="n">
        <v>349</v>
      </c>
      <c r="X269" s="24" t="n">
        <v>0.9694444444444444</v>
      </c>
    </row>
    <row r="270" ht="13.9" customHeight="1">
      <c r="A270" s="10" t="n">
        <v>16015030</v>
      </c>
      <c r="B270" s="46" t="inlineStr">
        <is>
          <t>CO</t>
        </is>
      </c>
      <c r="C270" s="46" t="inlineStr">
        <is>
          <t>La Esperanza</t>
        </is>
      </c>
      <c r="D270" s="46" t="inlineStr">
        <is>
          <t>Ragonvalia</t>
        </is>
      </c>
      <c r="E270" s="46" t="inlineStr">
        <is>
          <t>Norte de Santander</t>
        </is>
      </c>
      <c r="F270" s="46" t="n">
        <v>8</v>
      </c>
      <c r="G270" s="46" t="n">
        <v>1760</v>
      </c>
      <c r="H270" s="47" t="n">
        <v>-72.53388889</v>
      </c>
      <c r="I270" s="48" t="n">
        <v>7.56972222</v>
      </c>
      <c r="J270" s="44" t="n">
        <v>16.15700900145082</v>
      </c>
      <c r="K270" s="45" t="n">
        <v>16.46845103305591</v>
      </c>
      <c r="L270" s="45" t="n">
        <v>16.9945708012445</v>
      </c>
      <c r="M270" s="45" t="n">
        <v>17.62972664601255</v>
      </c>
      <c r="N270" s="45" t="n">
        <v>17.92781590087358</v>
      </c>
      <c r="O270" s="45" t="n">
        <v>17.56837002067747</v>
      </c>
      <c r="P270" s="45" t="n">
        <v>17.27028290575653</v>
      </c>
      <c r="Q270" s="45" t="n">
        <v>17.58127057390491</v>
      </c>
      <c r="R270" s="45" t="n">
        <v>17.66866582284253</v>
      </c>
      <c r="S270" s="45" t="n">
        <v>17.54795014003559</v>
      </c>
      <c r="T270" s="45" t="n">
        <v>17.06810379653929</v>
      </c>
      <c r="U270" s="45" t="n">
        <v>16.46079284833733</v>
      </c>
      <c r="V270" s="38" t="n">
        <v>17.19525079089425</v>
      </c>
      <c r="W270" s="41" t="n">
        <v>354</v>
      </c>
      <c r="X270" s="24" t="n">
        <v>0.9833333333333333</v>
      </c>
    </row>
    <row r="271" ht="13.9" customHeight="1">
      <c r="A271" s="10" t="n">
        <v>16015100</v>
      </c>
      <c r="B271" s="21" t="inlineStr">
        <is>
          <t>CP</t>
        </is>
      </c>
      <c r="C271" s="21" t="inlineStr">
        <is>
          <t>Ragonvalia</t>
        </is>
      </c>
      <c r="D271" s="21" t="inlineStr">
        <is>
          <t>Ragonvalia</t>
        </is>
      </c>
      <c r="E271" s="21" t="inlineStr">
        <is>
          <t>Norte de Santander</t>
        </is>
      </c>
      <c r="F271" s="21" t="n">
        <v>8</v>
      </c>
      <c r="G271" s="21" t="n">
        <v>1550</v>
      </c>
      <c r="H271" s="42" t="n">
        <v>-72.48388889</v>
      </c>
      <c r="I271" s="43" t="n">
        <v>7.57666667</v>
      </c>
      <c r="J271" s="22" t="n">
        <v>17.88346716996934</v>
      </c>
      <c r="K271" s="23" t="n">
        <v>18.20753290066146</v>
      </c>
      <c r="L271" s="23" t="n">
        <v>18.58610344827583</v>
      </c>
      <c r="M271" s="23" t="n">
        <v>19.32723761631086</v>
      </c>
      <c r="N271" s="23" t="n">
        <v>19.63715908080668</v>
      </c>
      <c r="O271" s="23" t="n">
        <v>19.2240320197044</v>
      </c>
      <c r="P271" s="23" t="n">
        <v>19.04201653449812</v>
      </c>
      <c r="Q271" s="23" t="n">
        <v>19.40683329936412</v>
      </c>
      <c r="R271" s="23" t="n">
        <v>19.60942301581591</v>
      </c>
      <c r="S271" s="23" t="n">
        <v>19.41999576766914</v>
      </c>
      <c r="T271" s="23" t="n">
        <v>18.98953931881227</v>
      </c>
      <c r="U271" s="23" t="n">
        <v>18.32842738756067</v>
      </c>
      <c r="V271" s="38" t="n">
        <v>18.9718139632874</v>
      </c>
      <c r="W271" s="41" t="n">
        <v>236</v>
      </c>
      <c r="X271" s="24" t="n">
        <v>0.9833333333333333</v>
      </c>
    </row>
    <row r="272" ht="13.9" customHeight="1">
      <c r="A272" s="10" t="n">
        <v>16025030</v>
      </c>
      <c r="B272" s="21" t="inlineStr">
        <is>
          <t>CP</t>
        </is>
      </c>
      <c r="C272" s="21" t="inlineStr">
        <is>
          <t>Salazar</t>
        </is>
      </c>
      <c r="D272" s="21" t="inlineStr">
        <is>
          <t>Salazar</t>
        </is>
      </c>
      <c r="E272" s="21" t="inlineStr">
        <is>
          <t>Norte de Santander</t>
        </is>
      </c>
      <c r="F272" s="21" t="n">
        <v>8</v>
      </c>
      <c r="G272" s="21" t="n">
        <v>860</v>
      </c>
      <c r="H272" s="42" t="n">
        <v>-72.83055556000001</v>
      </c>
      <c r="I272" s="43" t="n">
        <v>7.77458333</v>
      </c>
      <c r="J272" s="22" t="n">
        <v>22.04037387678122</v>
      </c>
      <c r="K272" s="23" t="n">
        <v>22.23646066259197</v>
      </c>
      <c r="L272" s="23" t="n">
        <v>22.57549121598953</v>
      </c>
      <c r="M272" s="23" t="n">
        <v>23.25979416280215</v>
      </c>
      <c r="N272" s="23" t="n">
        <v>23.72893672529166</v>
      </c>
      <c r="O272" s="23" t="n">
        <v>23.47915983210868</v>
      </c>
      <c r="P272" s="23" t="n">
        <v>23.50405749186336</v>
      </c>
      <c r="Q272" s="23" t="n">
        <v>24.06157421215539</v>
      </c>
      <c r="R272" s="23" t="n">
        <v>24.12521236571591</v>
      </c>
      <c r="S272" s="23" t="n">
        <v>23.43587905893113</v>
      </c>
      <c r="T272" s="23" t="n">
        <v>22.77880140485311</v>
      </c>
      <c r="U272" s="23" t="n">
        <v>22.28616407119019</v>
      </c>
      <c r="V272" s="38" t="n">
        <v>23.12599209002286</v>
      </c>
      <c r="W272" s="41" t="n">
        <v>353</v>
      </c>
      <c r="X272" s="24" t="n">
        <v>0.9805555555555555</v>
      </c>
    </row>
    <row r="273" ht="13.9" customHeight="1">
      <c r="A273" s="10" t="n">
        <v>16035030</v>
      </c>
      <c r="B273" s="21" t="inlineStr">
        <is>
          <t>PM</t>
        </is>
      </c>
      <c r="C273" s="21" t="inlineStr">
        <is>
          <t>Sardinata</t>
        </is>
      </c>
      <c r="D273" s="21" t="inlineStr">
        <is>
          <t>Sardinata</t>
        </is>
      </c>
      <c r="E273" s="21" t="inlineStr">
        <is>
          <t>Norte de Santander</t>
        </is>
      </c>
      <c r="F273" s="21" t="n">
        <v>8</v>
      </c>
      <c r="G273" s="21" t="n">
        <v>320</v>
      </c>
      <c r="H273" s="42" t="n">
        <v>-72.80305556</v>
      </c>
      <c r="I273" s="43" t="n">
        <v>8.07666667</v>
      </c>
      <c r="J273" s="22" t="n">
        <v>25.16726748154273</v>
      </c>
      <c r="K273" s="23" t="n">
        <v>25.77979178459212</v>
      </c>
      <c r="L273" s="23" t="n">
        <v>26.22699346813013</v>
      </c>
      <c r="M273" s="23" t="n">
        <v>26.65900700443427</v>
      </c>
      <c r="N273" s="23" t="n">
        <v>27.18941368435667</v>
      </c>
      <c r="O273" s="23" t="n">
        <v>27.59155899477084</v>
      </c>
      <c r="P273" s="23" t="n">
        <v>27.85973640725028</v>
      </c>
      <c r="Q273" s="23" t="n">
        <v>28.14541063308144</v>
      </c>
      <c r="R273" s="23" t="n">
        <v>27.64573114718543</v>
      </c>
      <c r="S273" s="23" t="n">
        <v>26.71787061927517</v>
      </c>
      <c r="T273" s="23" t="n">
        <v>26.03832924344704</v>
      </c>
      <c r="U273" s="23" t="n">
        <v>25.35042048484204</v>
      </c>
      <c r="V273" s="38" t="n">
        <v>26.69762757940901</v>
      </c>
      <c r="W273" s="41" t="n">
        <v>281</v>
      </c>
      <c r="X273" s="24" t="n">
        <v>0.7805555555555556</v>
      </c>
    </row>
    <row r="274" ht="13.9" customHeight="1">
      <c r="A274" s="10" t="n">
        <v>37015010</v>
      </c>
      <c r="B274" s="21" t="inlineStr">
        <is>
          <t>CO</t>
        </is>
      </c>
      <c r="C274" s="21" t="inlineStr">
        <is>
          <t>Silos</t>
        </is>
      </c>
      <c r="D274" s="21" t="inlineStr">
        <is>
          <t>Silos</t>
        </is>
      </c>
      <c r="E274" s="21" t="inlineStr">
        <is>
          <t>Norte de Santander</t>
        </is>
      </c>
      <c r="F274" s="21" t="n">
        <v>8</v>
      </c>
      <c r="G274" s="21" t="n">
        <v>2765</v>
      </c>
      <c r="H274" s="42" t="n">
        <v>-72.75333332999999</v>
      </c>
      <c r="I274" s="43" t="n">
        <v>7.2075</v>
      </c>
      <c r="J274" s="22" t="n">
        <v>11.9992186379928</v>
      </c>
      <c r="K274" s="23" t="n">
        <v>12.2805705286093</v>
      </c>
      <c r="L274" s="23" t="n">
        <v>12.37284139763732</v>
      </c>
      <c r="M274" s="23" t="n">
        <v>12.48698383890759</v>
      </c>
      <c r="N274" s="23" t="n">
        <v>12.53495095265042</v>
      </c>
      <c r="O274" s="23" t="n">
        <v>12.04555715811964</v>
      </c>
      <c r="P274" s="23" t="n">
        <v>11.72747497219129</v>
      </c>
      <c r="Q274" s="23" t="n">
        <v>12.06117009640338</v>
      </c>
      <c r="R274" s="23" t="n">
        <v>12.24149970527554</v>
      </c>
      <c r="S274" s="23" t="n">
        <v>12.3450862206292</v>
      </c>
      <c r="T274" s="23" t="n">
        <v>12.32603448275859</v>
      </c>
      <c r="U274" s="23" t="n">
        <v>12.03499999999997</v>
      </c>
      <c r="V274" s="38" t="n">
        <v>12.20469899926459</v>
      </c>
      <c r="W274" s="41" t="n">
        <v>237</v>
      </c>
      <c r="X274" s="24" t="n">
        <v>0.9875</v>
      </c>
    </row>
    <row r="275" ht="13.9" customHeight="1">
      <c r="A275" s="10" t="n">
        <v>16055020</v>
      </c>
      <c r="B275" s="35" t="inlineStr">
        <is>
          <t>CO</t>
        </is>
      </c>
      <c r="C275" s="35" t="inlineStr">
        <is>
          <t>Teorama</t>
        </is>
      </c>
      <c r="D275" s="35" t="inlineStr">
        <is>
          <t>Teorama</t>
        </is>
      </c>
      <c r="E275" s="35" t="inlineStr">
        <is>
          <t>Norte de Santander</t>
        </is>
      </c>
      <c r="F275" s="35" t="n">
        <v>8</v>
      </c>
      <c r="G275" s="35" t="n">
        <v>1160</v>
      </c>
      <c r="H275" s="36" t="n">
        <v>-73.28527778</v>
      </c>
      <c r="I275" s="37" t="n">
        <v>8.44222222</v>
      </c>
      <c r="J275" s="44" t="n">
        <v>20.75014909148142</v>
      </c>
      <c r="K275" s="45" t="n">
        <v>21.17005926565964</v>
      </c>
      <c r="L275" s="45" t="n">
        <v>21.50422373162908</v>
      </c>
      <c r="M275" s="45" t="n">
        <v>21.85233695004137</v>
      </c>
      <c r="N275" s="45" t="n">
        <v>22.43728689143042</v>
      </c>
      <c r="O275" s="45" t="n">
        <v>22.5023265724048</v>
      </c>
      <c r="P275" s="45" t="n">
        <v>22.33775557417732</v>
      </c>
      <c r="Q275" s="45" t="n">
        <v>22.73964778661836</v>
      </c>
      <c r="R275" s="45" t="n">
        <v>22.53624042187695</v>
      </c>
      <c r="S275" s="45" t="n">
        <v>22.15209540019616</v>
      </c>
      <c r="T275" s="45" t="n">
        <v>21.54222462118099</v>
      </c>
      <c r="U275" s="45" t="n">
        <v>20.94409483900008</v>
      </c>
      <c r="V275" s="38" t="n">
        <v>21.87237009547472</v>
      </c>
      <c r="W275" s="41" t="n">
        <v>291</v>
      </c>
      <c r="X275" s="24" t="n">
        <v>0.8083333333333333</v>
      </c>
    </row>
    <row r="276" ht="13.9" customHeight="1">
      <c r="A276" s="10" t="n">
        <v>37035010</v>
      </c>
      <c r="B276" s="21" t="inlineStr">
        <is>
          <t>CO</t>
        </is>
      </c>
      <c r="C276" s="21" t="inlineStr">
        <is>
          <t>Tunebia</t>
        </is>
      </c>
      <c r="D276" s="21" t="inlineStr">
        <is>
          <t xml:space="preserve">Toledo </t>
        </is>
      </c>
      <c r="E276" s="21" t="inlineStr">
        <is>
          <t>Norte de Santander</t>
        </is>
      </c>
      <c r="F276" s="21" t="n">
        <v>8</v>
      </c>
      <c r="G276" s="21" t="n">
        <v>370</v>
      </c>
      <c r="H276" s="42" t="n">
        <v>-72.11583332999999</v>
      </c>
      <c r="I276" s="43" t="n">
        <v>7.00611111</v>
      </c>
      <c r="J276" s="44" t="n">
        <v>24.13833021536457</v>
      </c>
      <c r="K276" s="45" t="n">
        <v>24.46491415622762</v>
      </c>
      <c r="L276" s="45" t="n">
        <v>24.58306045446111</v>
      </c>
      <c r="M276" s="45" t="n">
        <v>24.78503421853221</v>
      </c>
      <c r="N276" s="45" t="n">
        <v>24.84980274610787</v>
      </c>
      <c r="O276" s="45" t="n">
        <v>24.16299942655044</v>
      </c>
      <c r="P276" s="45" t="n">
        <v>24.09062394186247</v>
      </c>
      <c r="Q276" s="45" t="n">
        <v>24.39560994479192</v>
      </c>
      <c r="R276" s="45" t="n">
        <v>24.92591211948968</v>
      </c>
      <c r="S276" s="45" t="n">
        <v>25.17231805702733</v>
      </c>
      <c r="T276" s="45" t="n">
        <v>25.13213965658262</v>
      </c>
      <c r="U276" s="45" t="n">
        <v>24.72109792950425</v>
      </c>
      <c r="V276" s="38" t="n">
        <v>24.61848690554184</v>
      </c>
      <c r="W276" s="41" t="n">
        <v>316</v>
      </c>
      <c r="X276" s="24" t="n">
        <v>0.8777777777777778</v>
      </c>
    </row>
    <row r="277" ht="13.9" customHeight="1">
      <c r="A277" s="10" t="n">
        <v>47015040</v>
      </c>
      <c r="B277" s="21" t="inlineStr">
        <is>
          <t>CO</t>
        </is>
      </c>
      <c r="C277" s="21" t="inlineStr">
        <is>
          <t>Michoacán</t>
        </is>
      </c>
      <c r="D277" s="21" t="inlineStr">
        <is>
          <t>Colón</t>
        </is>
      </c>
      <c r="E277" s="21" t="inlineStr">
        <is>
          <t>Putumayo</t>
        </is>
      </c>
      <c r="F277" s="21" t="n">
        <v>7</v>
      </c>
      <c r="G277" s="21" t="n">
        <v>2100</v>
      </c>
      <c r="H277" s="42" t="n">
        <v>-76.96097222</v>
      </c>
      <c r="I277" s="43" t="n">
        <v>1.19827778</v>
      </c>
      <c r="J277" s="22" t="n">
        <v>16.35854529724385</v>
      </c>
      <c r="K277" s="23" t="n">
        <v>16.3104186789117</v>
      </c>
      <c r="L277" s="23" t="n">
        <v>16.08953526071196</v>
      </c>
      <c r="M277" s="23" t="n">
        <v>16.16400991303289</v>
      </c>
      <c r="N277" s="23" t="n">
        <v>15.94717513220972</v>
      </c>
      <c r="O277" s="23" t="n">
        <v>15.38400222992559</v>
      </c>
      <c r="P277" s="23" t="n">
        <v>15.04905895954351</v>
      </c>
      <c r="Q277" s="23" t="n">
        <v>15.06104007232437</v>
      </c>
      <c r="R277" s="23" t="n">
        <v>15.58138117706284</v>
      </c>
      <c r="S277" s="23" t="n">
        <v>16.22913282004424</v>
      </c>
      <c r="T277" s="23" t="n">
        <v>16.63223805614198</v>
      </c>
      <c r="U277" s="23" t="n">
        <v>16.40315555643836</v>
      </c>
      <c r="V277" s="38" t="n">
        <v>15.93414109613258</v>
      </c>
      <c r="W277" s="41" t="n">
        <v>326</v>
      </c>
      <c r="X277" s="24" t="n">
        <v>0.9055555555555556</v>
      </c>
    </row>
    <row r="278" ht="13.9" customHeight="1">
      <c r="A278" s="10" t="n">
        <v>44015060</v>
      </c>
      <c r="B278" s="21" t="inlineStr">
        <is>
          <t>CP</t>
        </is>
      </c>
      <c r="C278" s="21" t="inlineStr">
        <is>
          <t xml:space="preserve">Acueducto Mocoa - AUT </t>
        </is>
      </c>
      <c r="D278" s="21" t="inlineStr">
        <is>
          <t>Mocoa</t>
        </is>
      </c>
      <c r="E278" s="21" t="inlineStr">
        <is>
          <t>Putumayo</t>
        </is>
      </c>
      <c r="F278" s="21" t="n">
        <v>7</v>
      </c>
      <c r="G278" s="21" t="n">
        <v>650</v>
      </c>
      <c r="H278" s="42" t="n">
        <v>-76.65183332999999</v>
      </c>
      <c r="I278" s="43" t="n">
        <v>1.15733333</v>
      </c>
      <c r="J278" s="22" t="n">
        <v>23.61406834091601</v>
      </c>
      <c r="K278" s="23" t="n">
        <v>23.7155139243452</v>
      </c>
      <c r="L278" s="23" t="n">
        <v>23.40962372839482</v>
      </c>
      <c r="M278" s="23" t="n">
        <v>23.21204542456662</v>
      </c>
      <c r="N278" s="23" t="n">
        <v>22.88593430212483</v>
      </c>
      <c r="O278" s="23" t="n">
        <v>22.37365115328476</v>
      </c>
      <c r="P278" s="23" t="n">
        <v>22.11442528467698</v>
      </c>
      <c r="Q278" s="23" t="n">
        <v>22.671273455879</v>
      </c>
      <c r="R278" s="23" t="n">
        <v>23.32028173939725</v>
      </c>
      <c r="S278" s="23" t="n">
        <v>23.63845960028829</v>
      </c>
      <c r="T278" s="23" t="n">
        <v>23.75970324665999</v>
      </c>
      <c r="U278" s="23" t="n">
        <v>23.59145968655045</v>
      </c>
      <c r="V278" s="38" t="n">
        <v>23.19220332392368</v>
      </c>
      <c r="W278" s="41" t="n">
        <v>320</v>
      </c>
      <c r="X278" s="24" t="n">
        <v>0.8888888888888888</v>
      </c>
    </row>
    <row r="279" ht="13.9" customHeight="1">
      <c r="A279" s="10" t="n">
        <v>44115020</v>
      </c>
      <c r="B279" s="21" t="inlineStr">
        <is>
          <t>AM</t>
        </is>
      </c>
      <c r="C279" s="21" t="inlineStr">
        <is>
          <t>La Tagua</t>
        </is>
      </c>
      <c r="D279" s="21" t="inlineStr">
        <is>
          <t>Puerto Leguízamo</t>
        </is>
      </c>
      <c r="E279" s="21" t="inlineStr">
        <is>
          <t>Putumayo</t>
        </is>
      </c>
      <c r="F279" s="21" t="n">
        <v>4</v>
      </c>
      <c r="G279" s="21" t="n">
        <v>153</v>
      </c>
      <c r="H279" s="42" t="n">
        <v>-74.66522222</v>
      </c>
      <c r="I279" s="43" t="n">
        <v>-0.06075000000000001</v>
      </c>
      <c r="J279" s="44" t="n">
        <v>26.91360639408141</v>
      </c>
      <c r="K279" s="45" t="n">
        <v>26.74673555430693</v>
      </c>
      <c r="L279" s="45" t="n">
        <v>26.23455916757469</v>
      </c>
      <c r="M279" s="45" t="n">
        <v>25.86081062214404</v>
      </c>
      <c r="N279" s="45" t="n">
        <v>25.43731817734836</v>
      </c>
      <c r="O279" s="45" t="n">
        <v>25.05953582217589</v>
      </c>
      <c r="P279" s="45" t="n">
        <v>25.00274626561222</v>
      </c>
      <c r="Q279" s="45" t="n">
        <v>25.56619786399484</v>
      </c>
      <c r="R279" s="45" t="n">
        <v>26.03563134305967</v>
      </c>
      <c r="S279" s="45" t="n">
        <v>26.30232290334523</v>
      </c>
      <c r="T279" s="45" t="n">
        <v>26.51215771621801</v>
      </c>
      <c r="U279" s="45" t="n">
        <v>26.62415482657333</v>
      </c>
      <c r="V279" s="38" t="n">
        <v>26.02464805470288</v>
      </c>
      <c r="W279" s="41" t="n">
        <v>294</v>
      </c>
      <c r="X279" s="24" t="n">
        <v>0.8166666666666667</v>
      </c>
    </row>
    <row r="280" ht="13.9" customHeight="1">
      <c r="A280" s="10" t="n">
        <v>47045010</v>
      </c>
      <c r="B280" s="21" t="inlineStr">
        <is>
          <t>CO</t>
        </is>
      </c>
      <c r="C280" s="21" t="inlineStr">
        <is>
          <t>Puerto Leguízamo</t>
        </is>
      </c>
      <c r="D280" s="21" t="inlineStr">
        <is>
          <t>Puerto Leguízamo</t>
        </is>
      </c>
      <c r="E280" s="21" t="inlineStr">
        <is>
          <t>Putumayo</t>
        </is>
      </c>
      <c r="F280" s="21" t="n">
        <v>7</v>
      </c>
      <c r="G280" s="21" t="n">
        <v>147</v>
      </c>
      <c r="H280" s="42" t="n">
        <v>-74.77627778</v>
      </c>
      <c r="I280" s="43" t="n">
        <v>-0.18061111</v>
      </c>
      <c r="J280" s="22" t="n">
        <v>27.13315578563076</v>
      </c>
      <c r="K280" s="23" t="n">
        <v>27.08701914474861</v>
      </c>
      <c r="L280" s="23" t="n">
        <v>26.25808069632443</v>
      </c>
      <c r="M280" s="23" t="n">
        <v>25.90558165971959</v>
      </c>
      <c r="N280" s="23" t="n">
        <v>25.5515256869773</v>
      </c>
      <c r="O280" s="23" t="n">
        <v>25.06545327660844</v>
      </c>
      <c r="P280" s="23" t="n">
        <v>24.96254062126642</v>
      </c>
      <c r="Q280" s="23" t="n">
        <v>25.50491167434715</v>
      </c>
      <c r="R280" s="23" t="n">
        <v>26.09274226699226</v>
      </c>
      <c r="S280" s="23" t="n">
        <v>26.36804858622063</v>
      </c>
      <c r="T280" s="23" t="n">
        <v>26.72807326007325</v>
      </c>
      <c r="U280" s="23" t="n">
        <v>26.84783666154633</v>
      </c>
      <c r="V280" s="38" t="n">
        <v>26.12541411003793</v>
      </c>
      <c r="W280" s="41" t="n">
        <v>117</v>
      </c>
      <c r="X280" s="24" t="n">
        <v>0.975</v>
      </c>
    </row>
    <row r="281" ht="13.9" customHeight="1">
      <c r="A281" s="10" t="n">
        <v>47035020</v>
      </c>
      <c r="B281" s="35" t="inlineStr">
        <is>
          <t>CO</t>
        </is>
      </c>
      <c r="C281" s="35" t="inlineStr">
        <is>
          <t>Puerto Ospina</t>
        </is>
      </c>
      <c r="D281" s="35" t="inlineStr">
        <is>
          <t>Puerto Leguízamo</t>
        </is>
      </c>
      <c r="E281" s="35" t="inlineStr">
        <is>
          <t>Putumayo</t>
        </is>
      </c>
      <c r="F281" s="35" t="n">
        <v>7</v>
      </c>
      <c r="G281" s="35" t="n">
        <v>190</v>
      </c>
      <c r="H281" s="36" t="n">
        <v>-75.85111111000001</v>
      </c>
      <c r="I281" s="37" t="n">
        <v>0.13286111</v>
      </c>
      <c r="J281" s="22" t="n">
        <v>26.55620208153091</v>
      </c>
      <c r="K281" s="23" t="n">
        <v>26.1029761090761</v>
      </c>
      <c r="L281" s="23" t="n">
        <v>25.74536785944044</v>
      </c>
      <c r="M281" s="23" t="n">
        <v>25.79636481470664</v>
      </c>
      <c r="N281" s="23" t="n">
        <v>25.04096454993632</v>
      </c>
      <c r="O281" s="23" t="n">
        <v>24.83847392875262</v>
      </c>
      <c r="P281" s="23" t="n">
        <v>25.05878529329324</v>
      </c>
      <c r="Q281" s="23" t="n">
        <v>25.44091800674731</v>
      </c>
      <c r="R281" s="23" t="n">
        <v>25.8212447089947</v>
      </c>
      <c r="S281" s="23" t="n">
        <v>26.17007032692515</v>
      </c>
      <c r="T281" s="23" t="n">
        <v>26.10329025198939</v>
      </c>
      <c r="U281" s="23" t="n">
        <v>26.18981170034492</v>
      </c>
      <c r="V281" s="38" t="n">
        <v>25.73870580264482</v>
      </c>
      <c r="W281" s="41" t="n">
        <v>109</v>
      </c>
      <c r="X281" s="24" t="n">
        <v>0.9083333333333333</v>
      </c>
    </row>
    <row r="282" ht="13.9" customHeight="1">
      <c r="A282" s="10" t="n">
        <v>47015090</v>
      </c>
      <c r="B282" s="21" t="inlineStr">
        <is>
          <t>CO</t>
        </is>
      </c>
      <c r="C282" s="21" t="inlineStr">
        <is>
          <t>La Primavera</t>
        </is>
      </c>
      <c r="D282" s="21" t="inlineStr">
        <is>
          <t>Sibundoy</t>
        </is>
      </c>
      <c r="E282" s="21" t="inlineStr">
        <is>
          <t>Putumayo</t>
        </is>
      </c>
      <c r="F282" s="21" t="n">
        <v>7</v>
      </c>
      <c r="G282" s="21" t="n">
        <v>2067</v>
      </c>
      <c r="H282" s="42" t="n">
        <v>-76.93269443999999</v>
      </c>
      <c r="I282" s="43" t="n">
        <v>1.16830556</v>
      </c>
      <c r="J282" s="22" t="n">
        <v>15.95575940860214</v>
      </c>
      <c r="K282" s="23" t="n">
        <v>15.7141230778587</v>
      </c>
      <c r="L282" s="23" t="n">
        <v>15.65328344409267</v>
      </c>
      <c r="M282" s="23" t="n">
        <v>15.83439005188762</v>
      </c>
      <c r="N282" s="23" t="n">
        <v>15.64265692031664</v>
      </c>
      <c r="O282" s="23" t="n">
        <v>15.05201149425287</v>
      </c>
      <c r="P282" s="23" t="n">
        <v>14.7545411033627</v>
      </c>
      <c r="Q282" s="23" t="n">
        <v>14.70258045020628</v>
      </c>
      <c r="R282" s="23" t="n">
        <v>14.89431168292115</v>
      </c>
      <c r="S282" s="23" t="n">
        <v>15.66871264367815</v>
      </c>
      <c r="T282" s="23" t="n">
        <v>16.20628489326764</v>
      </c>
      <c r="U282" s="23" t="n">
        <v>16.01632340777501</v>
      </c>
      <c r="V282" s="38" t="n">
        <v>15.50791488151847</v>
      </c>
      <c r="W282" s="41" t="n">
        <v>106</v>
      </c>
      <c r="X282" s="24" t="n">
        <v>0.8833333333333333</v>
      </c>
    </row>
    <row r="283" ht="13.9" customHeight="1">
      <c r="A283" s="10" t="n">
        <v>47015070</v>
      </c>
      <c r="B283" s="21" t="inlineStr">
        <is>
          <t>CO</t>
        </is>
      </c>
      <c r="C283" s="21" t="inlineStr">
        <is>
          <t>Puerto Umbría</t>
        </is>
      </c>
      <c r="D283" s="21" t="inlineStr">
        <is>
          <t>Villagarzón</t>
        </is>
      </c>
      <c r="E283" s="21" t="inlineStr">
        <is>
          <t>Putumayo</t>
        </is>
      </c>
      <c r="F283" s="21" t="n">
        <v>7</v>
      </c>
      <c r="G283" s="21" t="n">
        <v>362</v>
      </c>
      <c r="H283" s="42" t="n">
        <v>-76.57044444</v>
      </c>
      <c r="I283" s="43" t="n">
        <v>0.83897222</v>
      </c>
      <c r="J283" s="22" t="n">
        <v>25.72809552953741</v>
      </c>
      <c r="K283" s="23" t="n">
        <v>25.59419596139048</v>
      </c>
      <c r="L283" s="23" t="n">
        <v>25.3165367185445</v>
      </c>
      <c r="M283" s="23" t="n">
        <v>25.21221629089301</v>
      </c>
      <c r="N283" s="23" t="n">
        <v>24.9675940860215</v>
      </c>
      <c r="O283" s="23" t="n">
        <v>24.62345091083883</v>
      </c>
      <c r="P283" s="23" t="n">
        <v>24.61536962218455</v>
      </c>
      <c r="Q283" s="23" t="n">
        <v>25.10339245987605</v>
      </c>
      <c r="R283" s="23" t="n">
        <v>25.43803096204916</v>
      </c>
      <c r="S283" s="23" t="n">
        <v>25.61043421031419</v>
      </c>
      <c r="T283" s="23" t="n">
        <v>25.75886668719211</v>
      </c>
      <c r="U283" s="23" t="n">
        <v>25.75617364200964</v>
      </c>
      <c r="V283" s="38" t="n">
        <v>25.31036309007095</v>
      </c>
      <c r="W283" s="41" t="n">
        <v>115</v>
      </c>
      <c r="X283" s="24" t="n">
        <v>0.9583333333333334</v>
      </c>
    </row>
    <row r="284" ht="13.9" customHeight="1">
      <c r="A284" s="10" t="n">
        <v>44015010</v>
      </c>
      <c r="B284" s="21" t="inlineStr">
        <is>
          <t>AM</t>
        </is>
      </c>
      <c r="C284" s="21" t="inlineStr">
        <is>
          <t>Villagarzón</t>
        </is>
      </c>
      <c r="D284" s="21" t="inlineStr">
        <is>
          <t>Villagarzón</t>
        </is>
      </c>
      <c r="E284" s="21" t="inlineStr">
        <is>
          <t>Putumayo</t>
        </is>
      </c>
      <c r="F284" s="21" t="n">
        <v>7</v>
      </c>
      <c r="G284" s="21" t="n">
        <v>440</v>
      </c>
      <c r="H284" s="42" t="n">
        <v>-76.61925000000001</v>
      </c>
      <c r="I284" s="43" t="n">
        <v>1.03425</v>
      </c>
      <c r="J284" s="22" t="n">
        <v>25.42400007439789</v>
      </c>
      <c r="K284" s="23" t="n">
        <v>25.23680382580378</v>
      </c>
      <c r="L284" s="23" t="n">
        <v>24.88846050784128</v>
      </c>
      <c r="M284" s="23" t="n">
        <v>24.63931107494035</v>
      </c>
      <c r="N284" s="23" t="n">
        <v>24.07647902023816</v>
      </c>
      <c r="O284" s="23" t="n">
        <v>23.71785215359349</v>
      </c>
      <c r="P284" s="23" t="n">
        <v>23.71043787335719</v>
      </c>
      <c r="Q284" s="23" t="n">
        <v>24.39566603251111</v>
      </c>
      <c r="R284" s="23" t="n">
        <v>24.91776050131219</v>
      </c>
      <c r="S284" s="23" t="n">
        <v>25.38161890101134</v>
      </c>
      <c r="T284" s="23" t="n">
        <v>25.18092885362136</v>
      </c>
      <c r="U284" s="23" t="n">
        <v>24.89998540561599</v>
      </c>
      <c r="V284" s="38" t="n">
        <v>24.70577535202034</v>
      </c>
      <c r="W284" s="41" t="n">
        <v>115</v>
      </c>
      <c r="X284" s="24" t="n">
        <v>0.9583333333333334</v>
      </c>
    </row>
    <row r="285" ht="13.9" customHeight="1">
      <c r="A285" s="10" t="n">
        <v>26125061</v>
      </c>
      <c r="B285" s="21" t="inlineStr">
        <is>
          <t>SP</t>
        </is>
      </c>
      <c r="C285" s="21" t="inlineStr">
        <is>
          <t xml:space="preserve">Aeropuerto El Edén - AUT </t>
        </is>
      </c>
      <c r="D285" s="21" t="inlineStr">
        <is>
          <t xml:space="preserve">Armenia </t>
        </is>
      </c>
      <c r="E285" s="21" t="inlineStr">
        <is>
          <t>Quindío</t>
        </is>
      </c>
      <c r="F285" s="21" t="n">
        <v>9</v>
      </c>
      <c r="G285" s="21" t="n">
        <v>1229</v>
      </c>
      <c r="H285" s="42" t="n">
        <v>-75.76638889</v>
      </c>
      <c r="I285" s="43" t="n">
        <v>4.45472222</v>
      </c>
      <c r="J285" s="22" t="n">
        <v>22.30123978494623</v>
      </c>
      <c r="K285" s="23" t="n">
        <v>22.53921083743842</v>
      </c>
      <c r="L285" s="23" t="n">
        <v>22.14688452060931</v>
      </c>
      <c r="M285" s="23" t="n">
        <v>22.06030958345614</v>
      </c>
      <c r="N285" s="23" t="n">
        <v>22.08013070726085</v>
      </c>
      <c r="O285" s="23" t="n">
        <v>22.31514769878434</v>
      </c>
      <c r="P285" s="23" t="n">
        <v>22.60766542597187</v>
      </c>
      <c r="Q285" s="23" t="n">
        <v>22.8077076095947</v>
      </c>
      <c r="R285" s="23" t="n">
        <v>22.11881789187823</v>
      </c>
      <c r="S285" s="23" t="n">
        <v>21.60757575757575</v>
      </c>
      <c r="T285" s="23" t="n">
        <v>21.51265935214211</v>
      </c>
      <c r="U285" s="23" t="n">
        <v>21.93676016830294</v>
      </c>
      <c r="V285" s="38" t="n">
        <v>22.16950911149674</v>
      </c>
      <c r="W285" s="41" t="n">
        <v>298</v>
      </c>
      <c r="X285" s="24" t="n">
        <v>0.8277777777777777</v>
      </c>
    </row>
    <row r="286" ht="13.9" customHeight="1">
      <c r="A286" s="10" t="n">
        <v>26135040</v>
      </c>
      <c r="B286" s="21" t="inlineStr">
        <is>
          <t>SP</t>
        </is>
      </c>
      <c r="C286" s="21" t="inlineStr">
        <is>
          <t>Aeropuerto Matecaña</t>
        </is>
      </c>
      <c r="D286" s="21" t="inlineStr">
        <is>
          <t>Pereira</t>
        </is>
      </c>
      <c r="E286" s="21" t="inlineStr">
        <is>
          <t>RIsaralda</t>
        </is>
      </c>
      <c r="F286" s="21" t="n">
        <v>9</v>
      </c>
      <c r="G286" s="21" t="n">
        <v>1342</v>
      </c>
      <c r="H286" s="42" t="n">
        <v>-75.73722222000001</v>
      </c>
      <c r="I286" s="43" t="n">
        <v>4.81586111</v>
      </c>
      <c r="J286" s="22" t="n">
        <v>22.17016129032258</v>
      </c>
      <c r="K286" s="23" t="n">
        <v>22.33032293377121</v>
      </c>
      <c r="L286" s="23" t="n">
        <v>22.01317411083539</v>
      </c>
      <c r="M286" s="23" t="n">
        <v>21.76563333333333</v>
      </c>
      <c r="N286" s="23" t="n">
        <v>21.70048387096773</v>
      </c>
      <c r="O286" s="23" t="n">
        <v>21.86313333333332</v>
      </c>
      <c r="P286" s="23" t="n">
        <v>22.13353494623655</v>
      </c>
      <c r="Q286" s="23" t="n">
        <v>22.36829032258064</v>
      </c>
      <c r="R286" s="23" t="n">
        <v>21.94589743589743</v>
      </c>
      <c r="S286" s="23" t="n">
        <v>21.27792338709677</v>
      </c>
      <c r="T286" s="23" t="n">
        <v>21.24883103448276</v>
      </c>
      <c r="U286" s="23" t="n">
        <v>21.72637096774193</v>
      </c>
      <c r="V286" s="38" t="n">
        <v>21.8786464138833</v>
      </c>
      <c r="W286" s="41" t="n">
        <v>305</v>
      </c>
      <c r="X286" s="24" t="n">
        <v>0.8472222222222222</v>
      </c>
    </row>
    <row r="287" ht="13.9" customHeight="1">
      <c r="A287" s="10" t="n">
        <v>26135100</v>
      </c>
      <c r="B287" s="21" t="inlineStr">
        <is>
          <t>CO</t>
        </is>
      </c>
      <c r="C287" s="21" t="inlineStr">
        <is>
          <t>La Bohemia</t>
        </is>
      </c>
      <c r="D287" s="21" t="inlineStr">
        <is>
          <t>Pereira</t>
        </is>
      </c>
      <c r="E287" s="21" t="inlineStr">
        <is>
          <t>RIsaralda</t>
        </is>
      </c>
      <c r="F287" s="21" t="n">
        <v>9</v>
      </c>
      <c r="G287" s="21" t="n">
        <v>995</v>
      </c>
      <c r="H287" s="42" t="n">
        <v>-75.87755556</v>
      </c>
      <c r="I287" s="43" t="n">
        <v>4.87802778</v>
      </c>
      <c r="J287" s="44" t="n">
        <v>24.6356820785248</v>
      </c>
      <c r="K287" s="45" t="n">
        <v>24.60987719576079</v>
      </c>
      <c r="L287" s="45" t="n">
        <v>24.55737016818305</v>
      </c>
      <c r="M287" s="45" t="n">
        <v>24.21795517241377</v>
      </c>
      <c r="N287" s="45" t="n">
        <v>24.1522580542166</v>
      </c>
      <c r="O287" s="45" t="n">
        <v>24.29684789035521</v>
      </c>
      <c r="P287" s="45" t="n">
        <v>24.55228034687889</v>
      </c>
      <c r="Q287" s="45" t="n">
        <v>24.7642814967324</v>
      </c>
      <c r="R287" s="45" t="n">
        <v>24.46306276064064</v>
      </c>
      <c r="S287" s="45" t="n">
        <v>23.85648665355251</v>
      </c>
      <c r="T287" s="45" t="n">
        <v>23.61288372653313</v>
      </c>
      <c r="U287" s="45" t="n">
        <v>24.01388849788202</v>
      </c>
      <c r="V287" s="38" t="n">
        <v>24.31107283680615</v>
      </c>
      <c r="W287" s="41" t="n">
        <v>305</v>
      </c>
      <c r="X287" s="24" t="n">
        <v>0.8472222222222222</v>
      </c>
    </row>
    <row r="288" ht="13.9" customHeight="1">
      <c r="A288" s="10" t="n">
        <v>54015010</v>
      </c>
      <c r="B288" s="21" t="inlineStr">
        <is>
          <t>CO</t>
        </is>
      </c>
      <c r="C288" s="21" t="inlineStr">
        <is>
          <t>Pueblo Rico</t>
        </is>
      </c>
      <c r="D288" s="21" t="inlineStr">
        <is>
          <t>Pueblo Rico</t>
        </is>
      </c>
      <c r="E288" s="21" t="inlineStr">
        <is>
          <t>RIsaralda</t>
        </is>
      </c>
      <c r="F288" s="21" t="n">
        <v>9</v>
      </c>
      <c r="G288" s="21" t="n">
        <v>1505</v>
      </c>
      <c r="H288" s="42" t="n">
        <v>-76.03163889</v>
      </c>
      <c r="I288" s="43" t="n">
        <v>5.23344444</v>
      </c>
      <c r="J288" s="22" t="n">
        <v>18.58912090496396</v>
      </c>
      <c r="K288" s="23" t="n">
        <v>18.56263027414862</v>
      </c>
      <c r="L288" s="23" t="n">
        <v>18.65306385516918</v>
      </c>
      <c r="M288" s="23" t="n">
        <v>18.76494019016132</v>
      </c>
      <c r="N288" s="23" t="n">
        <v>18.87474424078283</v>
      </c>
      <c r="O288" s="23" t="n">
        <v>18.82025692698106</v>
      </c>
      <c r="P288" s="23" t="n">
        <v>18.79954745241625</v>
      </c>
      <c r="Q288" s="23" t="n">
        <v>18.69197533837567</v>
      </c>
      <c r="R288" s="23" t="n">
        <v>18.68967810127292</v>
      </c>
      <c r="S288" s="23" t="n">
        <v>18.42402087955851</v>
      </c>
      <c r="T288" s="23" t="n">
        <v>18.21641139232733</v>
      </c>
      <c r="U288" s="23" t="n">
        <v>18.48051868571578</v>
      </c>
      <c r="V288" s="38" t="n">
        <v>18.63057568682278</v>
      </c>
      <c r="W288" s="41" t="n">
        <v>282</v>
      </c>
      <c r="X288" s="24" t="n">
        <v>0.7833333333333333</v>
      </c>
    </row>
    <row r="289" ht="13.9" customHeight="1">
      <c r="A289" s="10" t="n">
        <v>26135160</v>
      </c>
      <c r="B289" s="35" t="inlineStr">
        <is>
          <t>PM</t>
        </is>
      </c>
      <c r="C289" s="35" t="inlineStr">
        <is>
          <t>San Remo</t>
        </is>
      </c>
      <c r="D289" s="35" t="inlineStr">
        <is>
          <t>Santa Rosa de Cabal</t>
        </is>
      </c>
      <c r="E289" s="35" t="inlineStr">
        <is>
          <t>RIsaralda</t>
        </is>
      </c>
      <c r="F289" s="35" t="n">
        <v>9</v>
      </c>
      <c r="G289" s="35" t="n">
        <v>1947</v>
      </c>
      <c r="H289" s="36" t="n">
        <v>-75.57997222</v>
      </c>
      <c r="I289" s="37" t="n">
        <v>4.84166667</v>
      </c>
      <c r="J289" s="22" t="n">
        <v>17.07867795492933</v>
      </c>
      <c r="K289" s="23" t="n">
        <v>17.35303210566572</v>
      </c>
      <c r="L289" s="23" t="n">
        <v>17.30609106944222</v>
      </c>
      <c r="M289" s="23" t="n">
        <v>17.31672450984519</v>
      </c>
      <c r="N289" s="23" t="n">
        <v>17.36653976295507</v>
      </c>
      <c r="O289" s="23" t="n">
        <v>17.17013273125341</v>
      </c>
      <c r="P289" s="23" t="n">
        <v>17.36660020393028</v>
      </c>
      <c r="Q289" s="23" t="n">
        <v>17.64910633213858</v>
      </c>
      <c r="R289" s="23" t="n">
        <v>16.82444458089093</v>
      </c>
      <c r="S289" s="23" t="n">
        <v>16.8250915562129</v>
      </c>
      <c r="T289" s="23" t="n">
        <v>16.83379629629629</v>
      </c>
      <c r="U289" s="23" t="n">
        <v>16.89510114382657</v>
      </c>
      <c r="V289" s="38" t="n">
        <v>17.16544485394888</v>
      </c>
      <c r="W289" s="41" t="n">
        <v>116</v>
      </c>
      <c r="X289" s="24" t="n">
        <v>0.9666666666666667</v>
      </c>
    </row>
    <row r="290" ht="13.9" customHeight="1">
      <c r="A290" s="10" t="n">
        <v>26145030</v>
      </c>
      <c r="B290" s="21" t="inlineStr">
        <is>
          <t>CO</t>
        </is>
      </c>
      <c r="C290" s="21" t="inlineStr">
        <is>
          <t xml:space="preserve">La Camelia </t>
        </is>
      </c>
      <c r="D290" s="21" t="inlineStr">
        <is>
          <t xml:space="preserve">Santuario </t>
        </is>
      </c>
      <c r="E290" s="21" t="inlineStr">
        <is>
          <t>RIsaralda</t>
        </is>
      </c>
      <c r="F290" s="21" t="n">
        <v>9</v>
      </c>
      <c r="G290" s="21" t="n">
        <v>1763</v>
      </c>
      <c r="H290" s="42" t="n">
        <v>-75.97</v>
      </c>
      <c r="I290" s="43" t="n">
        <v>5.08</v>
      </c>
      <c r="J290" s="22" t="n">
        <v>19.3851519001124</v>
      </c>
      <c r="K290" s="23" t="n">
        <v>19.49556367168401</v>
      </c>
      <c r="L290" s="23" t="n">
        <v>19.41917432848328</v>
      </c>
      <c r="M290" s="23" t="n">
        <v>19.3862737801917</v>
      </c>
      <c r="N290" s="23" t="n">
        <v>19.27426688153619</v>
      </c>
      <c r="O290" s="23" t="n">
        <v>19.38866709749648</v>
      </c>
      <c r="P290" s="23" t="n">
        <v>19.63675464440885</v>
      </c>
      <c r="Q290" s="23" t="n">
        <v>19.84370172505242</v>
      </c>
      <c r="R290" s="23" t="n">
        <v>19.43089941434044</v>
      </c>
      <c r="S290" s="23" t="n">
        <v>18.89269310162631</v>
      </c>
      <c r="T290" s="23" t="n">
        <v>18.71473592180488</v>
      </c>
      <c r="U290" s="23" t="n">
        <v>18.99772260096228</v>
      </c>
      <c r="V290" s="38" t="n">
        <v>19.32213375564161</v>
      </c>
      <c r="W290" s="41" t="n">
        <v>296</v>
      </c>
      <c r="X290" s="24" t="n">
        <v>0.8222222222222222</v>
      </c>
    </row>
    <row r="291" ht="13.9" customHeight="1">
      <c r="A291" s="10" t="n">
        <v>23125060</v>
      </c>
      <c r="B291" s="21" t="inlineStr">
        <is>
          <t>CO</t>
        </is>
      </c>
      <c r="C291" s="21" t="inlineStr">
        <is>
          <t>Albania</t>
        </is>
      </c>
      <c r="D291" s="21" t="inlineStr">
        <is>
          <t>Albania</t>
        </is>
      </c>
      <c r="E291" s="21" t="inlineStr">
        <is>
          <t>Santander</t>
        </is>
      </c>
      <c r="F291" s="21" t="n">
        <v>8</v>
      </c>
      <c r="G291" s="21" t="n">
        <v>1690</v>
      </c>
      <c r="H291" s="42" t="n">
        <v>-73.91333333</v>
      </c>
      <c r="I291" s="43" t="n">
        <v>5.75833333</v>
      </c>
      <c r="J291" s="22" t="n">
        <v>19.24227011494252</v>
      </c>
      <c r="K291" s="23" t="n">
        <v>19.23428502133243</v>
      </c>
      <c r="L291" s="23" t="n">
        <v>19.36143279569892</v>
      </c>
      <c r="M291" s="23" t="n">
        <v>19.42954565772668</v>
      </c>
      <c r="N291" s="23" t="n">
        <v>19.40735576566555</v>
      </c>
      <c r="O291" s="23" t="n">
        <v>19.46509218325309</v>
      </c>
      <c r="P291" s="23" t="n">
        <v>19.51362075439494</v>
      </c>
      <c r="Q291" s="23" t="n">
        <v>19.60337019969277</v>
      </c>
      <c r="R291" s="23" t="n">
        <v>19.49112000547345</v>
      </c>
      <c r="S291" s="23" t="n">
        <v>19.26545544432085</v>
      </c>
      <c r="T291" s="23" t="n">
        <v>19.0998479748221</v>
      </c>
      <c r="U291" s="23" t="n">
        <v>19.24600255427841</v>
      </c>
      <c r="V291" s="38" t="n">
        <v>19.36328320596681</v>
      </c>
      <c r="W291" s="41" t="n">
        <v>117</v>
      </c>
      <c r="X291" s="24" t="n">
        <v>0.98</v>
      </c>
    </row>
    <row r="292" ht="13.9" customHeight="1">
      <c r="A292" s="10" t="n">
        <v>23155030</v>
      </c>
      <c r="B292" s="35" t="inlineStr">
        <is>
          <t>SP</t>
        </is>
      </c>
      <c r="C292" s="35" t="inlineStr">
        <is>
          <t>Aeropuerto Yariguies</t>
        </is>
      </c>
      <c r="D292" s="35" t="inlineStr">
        <is>
          <t>Barrancabermeja</t>
        </is>
      </c>
      <c r="E292" s="35" t="inlineStr">
        <is>
          <t>Santander</t>
        </is>
      </c>
      <c r="F292" s="35" t="n">
        <v>8</v>
      </c>
      <c r="G292" s="35" t="n">
        <v>126</v>
      </c>
      <c r="H292" s="36" t="n">
        <v>-73.80861111</v>
      </c>
      <c r="I292" s="37" t="n">
        <v>7.02638889</v>
      </c>
      <c r="J292" s="44" t="n">
        <v>28.61387785369985</v>
      </c>
      <c r="K292" s="45" t="n">
        <v>29.00710113476162</v>
      </c>
      <c r="L292" s="45" t="n">
        <v>28.52087798170804</v>
      </c>
      <c r="M292" s="45" t="n">
        <v>28.07260437310077</v>
      </c>
      <c r="N292" s="45" t="n">
        <v>27.93924576690146</v>
      </c>
      <c r="O292" s="45" t="n">
        <v>28.10761870552816</v>
      </c>
      <c r="P292" s="45" t="n">
        <v>28.32939469781236</v>
      </c>
      <c r="Q292" s="45" t="n">
        <v>28.27563032999626</v>
      </c>
      <c r="R292" s="45" t="n">
        <v>27.82144282128226</v>
      </c>
      <c r="S292" s="45" t="n">
        <v>27.38263440860212</v>
      </c>
      <c r="T292" s="45" t="n">
        <v>27.34286090585657</v>
      </c>
      <c r="U292" s="45" t="n">
        <v>27.90557878667194</v>
      </c>
      <c r="V292" s="38" t="n">
        <v>28.10990564716012</v>
      </c>
      <c r="W292" s="41" t="n">
        <v>343</v>
      </c>
      <c r="X292" s="24" t="n">
        <v>0.9527777777777777</v>
      </c>
    </row>
    <row r="293" ht="13.9" customHeight="1">
      <c r="A293" s="10" t="n">
        <v>23155040</v>
      </c>
      <c r="B293" s="21" t="inlineStr">
        <is>
          <t>CO</t>
        </is>
      </c>
      <c r="C293" s="21" t="inlineStr">
        <is>
          <t xml:space="preserve">El Centro </t>
        </is>
      </c>
      <c r="D293" s="21" t="inlineStr">
        <is>
          <t>Barrancabermeja</t>
        </is>
      </c>
      <c r="E293" s="21" t="inlineStr">
        <is>
          <t>Santander</t>
        </is>
      </c>
      <c r="F293" s="21" t="n">
        <v>8</v>
      </c>
      <c r="G293" s="21" t="n">
        <v>114</v>
      </c>
      <c r="H293" s="42" t="n">
        <v>-73.76508333</v>
      </c>
      <c r="I293" s="43" t="n">
        <v>6.85955556</v>
      </c>
      <c r="J293" s="22" t="n">
        <v>27.67592148588147</v>
      </c>
      <c r="K293" s="23" t="n">
        <v>27.76345396831761</v>
      </c>
      <c r="L293" s="23" t="n">
        <v>27.62179544367601</v>
      </c>
      <c r="M293" s="23" t="n">
        <v>27.35593329808514</v>
      </c>
      <c r="N293" s="23" t="n">
        <v>27.44192406803604</v>
      </c>
      <c r="O293" s="23" t="n">
        <v>27.43346438132428</v>
      </c>
      <c r="P293" s="23" t="n">
        <v>27.5844274966094</v>
      </c>
      <c r="Q293" s="23" t="n">
        <v>27.58607472401974</v>
      </c>
      <c r="R293" s="23" t="n">
        <v>27.36990123063398</v>
      </c>
      <c r="S293" s="23" t="n">
        <v>26.98420492870563</v>
      </c>
      <c r="T293" s="23" t="n">
        <v>27.04782025727572</v>
      </c>
      <c r="U293" s="23" t="n">
        <v>27.36929316919797</v>
      </c>
      <c r="V293" s="38" t="n">
        <v>27.43618453764692</v>
      </c>
      <c r="W293" s="41" t="n">
        <v>309</v>
      </c>
      <c r="X293" s="24" t="n">
        <v>0.8583333333333333</v>
      </c>
    </row>
    <row r="294" ht="13.9" customHeight="1">
      <c r="A294" s="10" t="n">
        <v>24035260</v>
      </c>
      <c r="B294" s="21" t="inlineStr">
        <is>
          <t>CO</t>
        </is>
      </c>
      <c r="C294" s="21" t="inlineStr">
        <is>
          <t>Capitanejo</t>
        </is>
      </c>
      <c r="D294" s="21" t="inlineStr">
        <is>
          <t>Capitanejo</t>
        </is>
      </c>
      <c r="E294" s="21" t="inlineStr">
        <is>
          <t>Santander</t>
        </is>
      </c>
      <c r="F294" s="21" t="n">
        <v>6</v>
      </c>
      <c r="G294" s="21" t="n">
        <v>1082</v>
      </c>
      <c r="H294" s="42" t="n">
        <v>-72.69661111000001</v>
      </c>
      <c r="I294" s="43" t="n">
        <v>6.52072222</v>
      </c>
      <c r="J294" s="44" t="n">
        <v>26.3962901029441</v>
      </c>
      <c r="K294" s="45" t="n">
        <v>26.73526149878596</v>
      </c>
      <c r="L294" s="45" t="n">
        <v>26.4675487846528</v>
      </c>
      <c r="M294" s="45" t="n">
        <v>25.97482495508213</v>
      </c>
      <c r="N294" s="45" t="n">
        <v>25.5134464209691</v>
      </c>
      <c r="O294" s="45" t="n">
        <v>25.38059357051525</v>
      </c>
      <c r="P294" s="45" t="n">
        <v>25.395078143362</v>
      </c>
      <c r="Q294" s="45" t="n">
        <v>25.66703827189866</v>
      </c>
      <c r="R294" s="45" t="n">
        <v>25.57230906407169</v>
      </c>
      <c r="S294" s="45" t="n">
        <v>25.13070503981595</v>
      </c>
      <c r="T294" s="45" t="n">
        <v>25.45106475042505</v>
      </c>
      <c r="U294" s="45" t="n">
        <v>25.98255084720823</v>
      </c>
      <c r="V294" s="38" t="n">
        <v>25.80555928747758</v>
      </c>
      <c r="W294" s="41" t="n">
        <v>309</v>
      </c>
      <c r="X294" s="24" t="n">
        <v>0.8583333333333333</v>
      </c>
    </row>
    <row r="295" ht="13.9" customHeight="1">
      <c r="A295" s="10" t="n">
        <v>24035400</v>
      </c>
      <c r="B295" s="21" t="inlineStr">
        <is>
          <t>CO</t>
        </is>
      </c>
      <c r="C295" s="21" t="inlineStr">
        <is>
          <t>El Volcán</t>
        </is>
      </c>
      <c r="D295" s="21" t="inlineStr">
        <is>
          <t>Cerrito</t>
        </is>
      </c>
      <c r="E295" s="21" t="inlineStr">
        <is>
          <t>Santander</t>
        </is>
      </c>
      <c r="F295" s="21" t="n">
        <v>8</v>
      </c>
      <c r="G295" s="21" t="n">
        <v>2841</v>
      </c>
      <c r="H295" s="42" t="n">
        <v>-72.67777778</v>
      </c>
      <c r="I295" s="43" t="n">
        <v>6.84527778</v>
      </c>
      <c r="J295" s="44" t="n">
        <v>13.69448924731179</v>
      </c>
      <c r="K295" s="45" t="n">
        <v>14.10941551724135</v>
      </c>
      <c r="L295" s="45" t="n">
        <v>14.15315412186377</v>
      </c>
      <c r="M295" s="45" t="n">
        <v>14.03665079365076</v>
      </c>
      <c r="N295" s="45" t="n">
        <v>14.08784946236556</v>
      </c>
      <c r="O295" s="45" t="n">
        <v>13.86165325670495</v>
      </c>
      <c r="P295" s="45" t="n">
        <v>13.59846953405014</v>
      </c>
      <c r="Q295" s="45" t="n">
        <v>13.59731182795695</v>
      </c>
      <c r="R295" s="45" t="n">
        <v>13.62066666666663</v>
      </c>
      <c r="S295" s="45" t="n">
        <v>13.44716277345195</v>
      </c>
      <c r="T295" s="45" t="n">
        <v>13.53411111111108</v>
      </c>
      <c r="U295" s="45" t="n">
        <v>13.690605734767</v>
      </c>
      <c r="V295" s="38" t="n">
        <v>13.78596167059516</v>
      </c>
      <c r="W295" s="41" t="n">
        <v>120</v>
      </c>
      <c r="X295" s="24" t="n">
        <v>1</v>
      </c>
    </row>
    <row r="296" ht="13.9" customHeight="1">
      <c r="A296" s="10" t="n">
        <v>24035270</v>
      </c>
      <c r="B296" s="21" t="inlineStr">
        <is>
          <t>CO</t>
        </is>
      </c>
      <c r="C296" s="21" t="inlineStr">
        <is>
          <t xml:space="preserve">Granja Tinaga </t>
        </is>
      </c>
      <c r="D296" s="21" t="inlineStr">
        <is>
          <t>Cerrito</t>
        </is>
      </c>
      <c r="E296" s="21" t="inlineStr">
        <is>
          <t>Santander</t>
        </is>
      </c>
      <c r="F296" s="21" t="n">
        <v>8</v>
      </c>
      <c r="G296" s="21" t="n">
        <v>2698</v>
      </c>
      <c r="H296" s="42" t="n">
        <v>-72.7075</v>
      </c>
      <c r="I296" s="43" t="n">
        <v>6.84083333</v>
      </c>
      <c r="J296" s="22" t="n">
        <v>13.66138980113118</v>
      </c>
      <c r="K296" s="23" t="n">
        <v>14.01580943574511</v>
      </c>
      <c r="L296" s="23" t="n">
        <v>13.84540023955226</v>
      </c>
      <c r="M296" s="23" t="n">
        <v>13.74891654014262</v>
      </c>
      <c r="N296" s="23" t="n">
        <v>13.74719367447858</v>
      </c>
      <c r="O296" s="23" t="n">
        <v>13.63238718334666</v>
      </c>
      <c r="P296" s="23" t="n">
        <v>13.27972190858391</v>
      </c>
      <c r="Q296" s="23" t="n">
        <v>13.1989872976043</v>
      </c>
      <c r="R296" s="23" t="n">
        <v>13.27925580326442</v>
      </c>
      <c r="S296" s="23" t="n">
        <v>13.1279333235488</v>
      </c>
      <c r="T296" s="23" t="n">
        <v>13.43518676986061</v>
      </c>
      <c r="U296" s="23" t="n">
        <v>13.80727773092066</v>
      </c>
      <c r="V296" s="38" t="n">
        <v>13.56495497568159</v>
      </c>
      <c r="W296" s="41" t="n">
        <v>111</v>
      </c>
      <c r="X296" s="24" t="n">
        <v>0.925</v>
      </c>
    </row>
    <row r="297" ht="13.9" customHeight="1">
      <c r="A297" s="10" t="n">
        <v>24025050</v>
      </c>
      <c r="B297" s="21" t="inlineStr">
        <is>
          <t>CO</t>
        </is>
      </c>
      <c r="C297" s="21" t="inlineStr">
        <is>
          <t>Charalá</t>
        </is>
      </c>
      <c r="D297" s="21" t="inlineStr">
        <is>
          <t>Charalá</t>
        </is>
      </c>
      <c r="E297" s="21" t="inlineStr">
        <is>
          <t>Santander</t>
        </is>
      </c>
      <c r="F297" s="21" t="n">
        <v>8</v>
      </c>
      <c r="G297" s="21" t="n">
        <v>1350</v>
      </c>
      <c r="H297" s="42" t="n">
        <v>-73.15055556</v>
      </c>
      <c r="I297" s="43" t="n">
        <v>6.27416667</v>
      </c>
      <c r="J297" s="22" t="n">
        <v>22.21119435772171</v>
      </c>
      <c r="K297" s="23" t="n">
        <v>22.29171767314543</v>
      </c>
      <c r="L297" s="23" t="n">
        <v>21.90495959460526</v>
      </c>
      <c r="M297" s="23" t="n">
        <v>21.79462920420758</v>
      </c>
      <c r="N297" s="23" t="n">
        <v>21.94782026070641</v>
      </c>
      <c r="O297" s="23" t="n">
        <v>21.87747596273457</v>
      </c>
      <c r="P297" s="23" t="n">
        <v>21.81971345021488</v>
      </c>
      <c r="Q297" s="23" t="n">
        <v>21.85411421131894</v>
      </c>
      <c r="R297" s="23" t="n">
        <v>21.91974263292469</v>
      </c>
      <c r="S297" s="23" t="n">
        <v>21.790225618999</v>
      </c>
      <c r="T297" s="23" t="n">
        <v>21.86933851016173</v>
      </c>
      <c r="U297" s="23" t="n">
        <v>22.07841714842565</v>
      </c>
      <c r="V297" s="38" t="n">
        <v>21.94661238543049</v>
      </c>
      <c r="W297" s="41" t="n">
        <v>299</v>
      </c>
      <c r="X297" s="24" t="n">
        <v>0.8305555555555556</v>
      </c>
    </row>
    <row r="298" ht="13.9" customHeight="1">
      <c r="A298" s="10" t="n">
        <v>24015260</v>
      </c>
      <c r="B298" s="21" t="inlineStr">
        <is>
          <t>CO</t>
        </is>
      </c>
      <c r="C298" s="21" t="inlineStr">
        <is>
          <t>Chima</t>
        </is>
      </c>
      <c r="D298" s="21" t="inlineStr">
        <is>
          <t xml:space="preserve">Chima </t>
        </is>
      </c>
      <c r="E298" s="21" t="inlineStr">
        <is>
          <t>Santander</t>
        </is>
      </c>
      <c r="F298" s="21" t="n">
        <v>8</v>
      </c>
      <c r="G298" s="21" t="n">
        <v>1090</v>
      </c>
      <c r="H298" s="42" t="n">
        <v>-73.36833333</v>
      </c>
      <c r="I298" s="43" t="n">
        <v>6.355</v>
      </c>
      <c r="J298" s="22" t="n">
        <v>24.13316812345555</v>
      </c>
      <c r="K298" s="23" t="n">
        <v>24.32923550067546</v>
      </c>
      <c r="L298" s="23" t="n">
        <v>24.20631605572815</v>
      </c>
      <c r="M298" s="23" t="n">
        <v>24.02349107895547</v>
      </c>
      <c r="N298" s="23" t="n">
        <v>23.97250838380092</v>
      </c>
      <c r="O298" s="23" t="n">
        <v>23.90227839354132</v>
      </c>
      <c r="P298" s="23" t="n">
        <v>23.79792760916008</v>
      </c>
      <c r="Q298" s="23" t="n">
        <v>23.88601158465968</v>
      </c>
      <c r="R298" s="23" t="n">
        <v>23.89155800492609</v>
      </c>
      <c r="S298" s="23" t="n">
        <v>23.81233065966467</v>
      </c>
      <c r="T298" s="23" t="n">
        <v>23.83190745144669</v>
      </c>
      <c r="U298" s="23" t="n">
        <v>24.08271893837395</v>
      </c>
      <c r="V298" s="38" t="n">
        <v>23.98912098203233</v>
      </c>
      <c r="W298" s="41" t="n">
        <v>352</v>
      </c>
      <c r="X298" s="24" t="n">
        <v>0.9777777777777777</v>
      </c>
    </row>
    <row r="299" ht="13.9" customHeight="1">
      <c r="A299" s="10" t="n">
        <v>23125120</v>
      </c>
      <c r="B299" s="21" t="inlineStr">
        <is>
          <t>CO</t>
        </is>
      </c>
      <c r="C299" s="21" t="inlineStr">
        <is>
          <t>Cimitarra</t>
        </is>
      </c>
      <c r="D299" s="21" t="inlineStr">
        <is>
          <t>Cimitarra</t>
        </is>
      </c>
      <c r="E299" s="21" t="inlineStr">
        <is>
          <t>Santander</t>
        </is>
      </c>
      <c r="F299" s="21" t="n">
        <v>8</v>
      </c>
      <c r="G299" s="21" t="n">
        <v>198</v>
      </c>
      <c r="H299" s="42" t="n">
        <v>-73.95222222000001</v>
      </c>
      <c r="I299" s="43" t="n">
        <v>6.30861111</v>
      </c>
      <c r="J299" s="22" t="n">
        <v>27.55279958104762</v>
      </c>
      <c r="K299" s="23" t="n">
        <v>27.7056233126333</v>
      </c>
      <c r="L299" s="23" t="n">
        <v>27.5895128008061</v>
      </c>
      <c r="M299" s="23" t="n">
        <v>27.47005959726278</v>
      </c>
      <c r="N299" s="23" t="n">
        <v>27.53153929246617</v>
      </c>
      <c r="O299" s="23" t="n">
        <v>27.56990421961109</v>
      </c>
      <c r="P299" s="23" t="n">
        <v>27.7227865608558</v>
      </c>
      <c r="Q299" s="23" t="n">
        <v>27.79808282295025</v>
      </c>
      <c r="R299" s="23" t="n">
        <v>27.65146031109238</v>
      </c>
      <c r="S299" s="23" t="n">
        <v>27.32736414260012</v>
      </c>
      <c r="T299" s="23" t="n">
        <v>27.2055343639561</v>
      </c>
      <c r="U299" s="23" t="n">
        <v>27.36712413972753</v>
      </c>
      <c r="V299" s="38" t="n">
        <v>27.54098259541744</v>
      </c>
      <c r="W299" s="41" t="n">
        <v>319</v>
      </c>
      <c r="X299" s="24" t="n">
        <v>0.8861111111111111</v>
      </c>
    </row>
    <row r="300" ht="13.9" customHeight="1">
      <c r="A300" s="10" t="n">
        <v>23145020</v>
      </c>
      <c r="B300" s="21" t="inlineStr">
        <is>
          <t>CO</t>
        </is>
      </c>
      <c r="C300" s="21" t="inlineStr">
        <is>
          <t>El Carmen</t>
        </is>
      </c>
      <c r="D300" s="21" t="inlineStr">
        <is>
          <t xml:space="preserve">El Carmen </t>
        </is>
      </c>
      <c r="E300" s="21" t="inlineStr">
        <is>
          <t>Santander</t>
        </is>
      </c>
      <c r="F300" s="21" t="n">
        <v>8</v>
      </c>
      <c r="G300" s="21" t="n">
        <v>805</v>
      </c>
      <c r="H300" s="42" t="n">
        <v>-73.51000000000001</v>
      </c>
      <c r="I300" s="43" t="n">
        <v>6.69638889</v>
      </c>
      <c r="J300" s="22" t="n">
        <v>24.56423357386646</v>
      </c>
      <c r="K300" s="23" t="n">
        <v>24.73989861245605</v>
      </c>
      <c r="L300" s="23" t="n">
        <v>24.54548337659123</v>
      </c>
      <c r="M300" s="23" t="n">
        <v>24.51168746579087</v>
      </c>
      <c r="N300" s="23" t="n">
        <v>24.55820223528784</v>
      </c>
      <c r="O300" s="23" t="n">
        <v>24.83045733746879</v>
      </c>
      <c r="P300" s="23" t="n">
        <v>24.71559228916573</v>
      </c>
      <c r="Q300" s="23" t="n">
        <v>24.85900849449233</v>
      </c>
      <c r="R300" s="23" t="n">
        <v>24.42668249208725</v>
      </c>
      <c r="S300" s="23" t="n">
        <v>23.8776576796087</v>
      </c>
      <c r="T300" s="23" t="n">
        <v>23.69889363722694</v>
      </c>
      <c r="U300" s="23" t="n">
        <v>24.20596439166683</v>
      </c>
      <c r="V300" s="38" t="n">
        <v>24.46114679880908</v>
      </c>
      <c r="W300" s="41" t="n">
        <v>114</v>
      </c>
      <c r="X300" s="24" t="n">
        <v>0.95</v>
      </c>
    </row>
    <row r="301" ht="13.9" customHeight="1">
      <c r="A301" s="10" t="n">
        <v>24015280</v>
      </c>
      <c r="B301" s="35" t="inlineStr">
        <is>
          <t>CO</t>
        </is>
      </c>
      <c r="C301" s="35" t="inlineStr">
        <is>
          <t>Gámbita</t>
        </is>
      </c>
      <c r="D301" s="35" t="inlineStr">
        <is>
          <t>Gámbita</t>
        </is>
      </c>
      <c r="E301" s="35" t="inlineStr">
        <is>
          <t>Santander</t>
        </is>
      </c>
      <c r="F301" s="35" t="n">
        <v>8</v>
      </c>
      <c r="G301" s="35" t="n">
        <v>1900</v>
      </c>
      <c r="H301" s="36" t="n">
        <v>-73.34361111</v>
      </c>
      <c r="I301" s="37" t="n">
        <v>5.94472222</v>
      </c>
      <c r="J301" s="22" t="n">
        <v>18.18557525034465</v>
      </c>
      <c r="K301" s="23" t="n">
        <v>18.25597060856778</v>
      </c>
      <c r="L301" s="23" t="n">
        <v>18.16168047219699</v>
      </c>
      <c r="M301" s="23" t="n">
        <v>17.9539018053208</v>
      </c>
      <c r="N301" s="23" t="n">
        <v>18.13773570902167</v>
      </c>
      <c r="O301" s="23" t="n">
        <v>18.1598678902856</v>
      </c>
      <c r="P301" s="23" t="n">
        <v>18.05512320870861</v>
      </c>
      <c r="Q301" s="23" t="n">
        <v>18.13747036597083</v>
      </c>
      <c r="R301" s="23" t="n">
        <v>18.18375284343592</v>
      </c>
      <c r="S301" s="23" t="n">
        <v>18.10193763621303</v>
      </c>
      <c r="T301" s="23" t="n">
        <v>18.16466784655012</v>
      </c>
      <c r="U301" s="23" t="n">
        <v>18.12620450131206</v>
      </c>
      <c r="V301" s="38" t="n">
        <v>18.13532401149401</v>
      </c>
      <c r="W301" s="41" t="n">
        <v>295</v>
      </c>
      <c r="X301" s="24" t="n">
        <v>0.8194444444444444</v>
      </c>
    </row>
    <row r="302" ht="13.9" customHeight="1">
      <c r="A302" s="10" t="n">
        <v>24015250</v>
      </c>
      <c r="B302" s="21" t="inlineStr">
        <is>
          <t>CO</t>
        </is>
      </c>
      <c r="C302" s="21" t="inlineStr">
        <is>
          <t>La Laja</t>
        </is>
      </c>
      <c r="D302" s="21" t="inlineStr">
        <is>
          <t xml:space="preserve">Guadalupe </t>
        </is>
      </c>
      <c r="E302" s="21" t="inlineStr">
        <is>
          <t>Santander</t>
        </is>
      </c>
      <c r="F302" s="21" t="n">
        <v>8</v>
      </c>
      <c r="G302" s="21" t="n">
        <v>1400</v>
      </c>
      <c r="H302" s="42" t="n">
        <v>-73.41538889</v>
      </c>
      <c r="I302" s="43" t="n">
        <v>6.23716667</v>
      </c>
      <c r="J302" s="22" t="n">
        <v>21.54571733828718</v>
      </c>
      <c r="K302" s="23" t="n">
        <v>21.56081696473874</v>
      </c>
      <c r="L302" s="23" t="n">
        <v>21.61709578318025</v>
      </c>
      <c r="M302" s="23" t="n">
        <v>21.57244615381368</v>
      </c>
      <c r="N302" s="23" t="n">
        <v>21.50777716712624</v>
      </c>
      <c r="O302" s="23" t="n">
        <v>21.43125417109875</v>
      </c>
      <c r="P302" s="23" t="n">
        <v>21.24942381560058</v>
      </c>
      <c r="Q302" s="23" t="n">
        <v>21.30484645828849</v>
      </c>
      <c r="R302" s="23" t="n">
        <v>21.22896057140672</v>
      </c>
      <c r="S302" s="23" t="n">
        <v>21.15031425389615</v>
      </c>
      <c r="T302" s="23" t="n">
        <v>21.25233769104457</v>
      </c>
      <c r="U302" s="23" t="n">
        <v>21.57876038073763</v>
      </c>
      <c r="V302" s="38" t="n">
        <v>21.41664589576824</v>
      </c>
      <c r="W302" s="41" t="n">
        <v>334</v>
      </c>
      <c r="X302" s="24" t="n">
        <v>0.9277777777777778</v>
      </c>
    </row>
    <row r="303" ht="13.9" customHeight="1">
      <c r="A303" s="10" t="n">
        <v>23125130</v>
      </c>
      <c r="B303" s="21" t="inlineStr">
        <is>
          <t>PG</t>
        </is>
      </c>
      <c r="C303" s="21" t="inlineStr">
        <is>
          <t>Landázuri</t>
        </is>
      </c>
      <c r="D303" s="21" t="inlineStr">
        <is>
          <t>Landázuri</t>
        </is>
      </c>
      <c r="E303" s="21" t="inlineStr">
        <is>
          <t>Santander</t>
        </is>
      </c>
      <c r="F303" s="21" t="n">
        <v>8</v>
      </c>
      <c r="G303" s="21" t="n">
        <v>935</v>
      </c>
      <c r="H303" s="42" t="n">
        <v>-73.80888889000001</v>
      </c>
      <c r="I303" s="43" t="n">
        <v>6.22138889</v>
      </c>
      <c r="J303" s="22" t="n">
        <v>22.75176110159724</v>
      </c>
      <c r="K303" s="23" t="n">
        <v>22.67040375986559</v>
      </c>
      <c r="L303" s="23" t="n">
        <v>22.65750800962708</v>
      </c>
      <c r="M303" s="23" t="n">
        <v>22.81689998340479</v>
      </c>
      <c r="N303" s="23" t="n">
        <v>22.82712109414173</v>
      </c>
      <c r="O303" s="23" t="n">
        <v>22.88325459562057</v>
      </c>
      <c r="P303" s="23" t="n">
        <v>22.95868883450451</v>
      </c>
      <c r="Q303" s="23" t="n">
        <v>23.09461708269596</v>
      </c>
      <c r="R303" s="23" t="n">
        <v>22.76949160695874</v>
      </c>
      <c r="S303" s="23" t="n">
        <v>22.56172489409389</v>
      </c>
      <c r="T303" s="23" t="n">
        <v>22.39153887569368</v>
      </c>
      <c r="U303" s="23" t="n">
        <v>22.57783394677836</v>
      </c>
      <c r="V303" s="38" t="n">
        <v>22.74673698208185</v>
      </c>
      <c r="W303" s="41" t="n">
        <v>221</v>
      </c>
      <c r="X303" s="24" t="n">
        <v>0.9208333333333333</v>
      </c>
    </row>
    <row r="304" ht="13.9" customHeight="1">
      <c r="A304" s="10" t="n">
        <v>23195502</v>
      </c>
      <c r="B304" s="21" t="inlineStr">
        <is>
          <t>SP</t>
        </is>
      </c>
      <c r="C304" s="21" t="inlineStr">
        <is>
          <t>Aeropuerto Palonegro</t>
        </is>
      </c>
      <c r="D304" s="21" t="inlineStr">
        <is>
          <t>Lebrija</t>
        </is>
      </c>
      <c r="E304" s="21" t="inlineStr">
        <is>
          <t>Santander</t>
        </is>
      </c>
      <c r="F304" s="21" t="n">
        <v>8</v>
      </c>
      <c r="G304" s="21" t="n">
        <v>1189</v>
      </c>
      <c r="H304" s="42" t="n">
        <v>-73.18452778</v>
      </c>
      <c r="I304" s="43" t="n">
        <v>7.12147222</v>
      </c>
      <c r="J304" s="22" t="n">
        <v>21.61948725607326</v>
      </c>
      <c r="K304" s="23" t="n">
        <v>21.94461131383161</v>
      </c>
      <c r="L304" s="23" t="n">
        <v>21.89226723843658</v>
      </c>
      <c r="M304" s="23" t="n">
        <v>21.76507658512122</v>
      </c>
      <c r="N304" s="23" t="n">
        <v>21.73541548222304</v>
      </c>
      <c r="O304" s="23" t="n">
        <v>21.73402821316614</v>
      </c>
      <c r="P304" s="23" t="n">
        <v>21.72154002389485</v>
      </c>
      <c r="Q304" s="23" t="n">
        <v>21.81499793217534</v>
      </c>
      <c r="R304" s="23" t="n">
        <v>21.6451923076923</v>
      </c>
      <c r="S304" s="23" t="n">
        <v>21.2590478607414</v>
      </c>
      <c r="T304" s="23" t="n">
        <v>21.04783333333332</v>
      </c>
      <c r="U304" s="23" t="n">
        <v>21.25217165898617</v>
      </c>
      <c r="V304" s="38" t="n">
        <v>21.6193057671396</v>
      </c>
      <c r="W304" s="41" t="n">
        <v>319</v>
      </c>
      <c r="X304" s="24" t="n">
        <v>0.8861111111111111</v>
      </c>
    </row>
    <row r="305" ht="13.9" customHeight="1">
      <c r="A305" s="10" t="n">
        <v>24025040</v>
      </c>
      <c r="B305" s="21" t="inlineStr">
        <is>
          <t>CP</t>
        </is>
      </c>
      <c r="C305" s="21" t="inlineStr">
        <is>
          <t>Escuela Agrícola Mogotes</t>
        </is>
      </c>
      <c r="D305" s="21" t="inlineStr">
        <is>
          <t>Mogotes</t>
        </is>
      </c>
      <c r="E305" s="21" t="inlineStr">
        <is>
          <t>Santander</t>
        </is>
      </c>
      <c r="F305" s="21" t="n">
        <v>8</v>
      </c>
      <c r="G305" s="21" t="n">
        <v>1673</v>
      </c>
      <c r="H305" s="42" t="n">
        <v>-72.96888889</v>
      </c>
      <c r="I305" s="43" t="n">
        <v>6.47</v>
      </c>
      <c r="J305" s="22" t="n">
        <v>19.06859183074325</v>
      </c>
      <c r="K305" s="23" t="n">
        <v>19.40689534046908</v>
      </c>
      <c r="L305" s="23" t="n">
        <v>19.53336866673335</v>
      </c>
      <c r="M305" s="23" t="n">
        <v>19.47363878401999</v>
      </c>
      <c r="N305" s="23" t="n">
        <v>19.42754061734278</v>
      </c>
      <c r="O305" s="23" t="n">
        <v>19.2142532703886</v>
      </c>
      <c r="P305" s="23" t="n">
        <v>18.99020217944507</v>
      </c>
      <c r="Q305" s="23" t="n">
        <v>19.07500450844547</v>
      </c>
      <c r="R305" s="23" t="n">
        <v>19.0774795279168</v>
      </c>
      <c r="S305" s="23" t="n">
        <v>19.06592956779196</v>
      </c>
      <c r="T305" s="23" t="n">
        <v>19.12801159007459</v>
      </c>
      <c r="U305" s="23" t="n">
        <v>19.0838016148309</v>
      </c>
      <c r="V305" s="38" t="n">
        <v>19.21205979151682</v>
      </c>
      <c r="W305" s="41" t="n">
        <v>354</v>
      </c>
      <c r="X305" s="24" t="n">
        <v>0.9833333333333333</v>
      </c>
    </row>
    <row r="306" ht="13.9" customHeight="1">
      <c r="A306" s="10" t="n">
        <v>24055040</v>
      </c>
      <c r="B306" s="21" t="inlineStr">
        <is>
          <t>CO</t>
        </is>
      </c>
      <c r="C306" s="21" t="inlineStr">
        <is>
          <t xml:space="preserve">El Palmar </t>
        </is>
      </c>
      <c r="D306" s="21" t="inlineStr">
        <is>
          <t>Palmar</t>
        </is>
      </c>
      <c r="E306" s="21" t="inlineStr">
        <is>
          <t>Santander</t>
        </is>
      </c>
      <c r="F306" s="21" t="n">
        <v>8</v>
      </c>
      <c r="G306" s="21" t="n">
        <v>940</v>
      </c>
      <c r="H306" s="42" t="n">
        <v>-73.292</v>
      </c>
      <c r="I306" s="43" t="n">
        <v>6.54972222</v>
      </c>
      <c r="J306" s="22" t="n">
        <v>26.7494545813584</v>
      </c>
      <c r="K306" s="23" t="n">
        <v>26.96616077283905</v>
      </c>
      <c r="L306" s="23" t="n">
        <v>26.74443053127814</v>
      </c>
      <c r="M306" s="23" t="n">
        <v>26.26454132576568</v>
      </c>
      <c r="N306" s="23" t="n">
        <v>26.01080915861079</v>
      </c>
      <c r="O306" s="23" t="n">
        <v>26.01523061309698</v>
      </c>
      <c r="P306" s="23" t="n">
        <v>26.06586446606658</v>
      </c>
      <c r="Q306" s="23" t="n">
        <v>26.11906044753972</v>
      </c>
      <c r="R306" s="23" t="n">
        <v>26.09698538623828</v>
      </c>
      <c r="S306" s="23" t="n">
        <v>25.68526828154393</v>
      </c>
      <c r="T306" s="23" t="n">
        <v>25.72979468846925</v>
      </c>
      <c r="U306" s="23" t="n">
        <v>26.22972605264188</v>
      </c>
      <c r="V306" s="38" t="n">
        <v>26.22311052545406</v>
      </c>
      <c r="W306" s="41" t="n">
        <v>357</v>
      </c>
      <c r="X306" s="24" t="n">
        <v>0.9916666666666667</v>
      </c>
    </row>
    <row r="307" ht="13.9" customHeight="1">
      <c r="A307" s="10" t="n">
        <v>24025020</v>
      </c>
      <c r="B307" s="21" t="inlineStr">
        <is>
          <t>PM</t>
        </is>
      </c>
      <c r="C307" s="21" t="inlineStr">
        <is>
          <t>El Cucharo</t>
        </is>
      </c>
      <c r="D307" s="21" t="inlineStr">
        <is>
          <t>Pinchote</t>
        </is>
      </c>
      <c r="E307" s="21" t="inlineStr">
        <is>
          <t>Santander</t>
        </is>
      </c>
      <c r="F307" s="21" t="n">
        <v>8</v>
      </c>
      <c r="G307" s="21" t="n">
        <v>975</v>
      </c>
      <c r="H307" s="42" t="n">
        <v>-73.19916667</v>
      </c>
      <c r="I307" s="43" t="n">
        <v>6.53222222</v>
      </c>
      <c r="J307" s="22" t="n">
        <v>25.45628772710418</v>
      </c>
      <c r="K307" s="23" t="n">
        <v>25.86606686735997</v>
      </c>
      <c r="L307" s="23" t="n">
        <v>25.81271311598424</v>
      </c>
      <c r="M307" s="23" t="n">
        <v>24.9599461859979</v>
      </c>
      <c r="N307" s="23" t="n">
        <v>24.62258185631572</v>
      </c>
      <c r="O307" s="23" t="n">
        <v>24.17878843697808</v>
      </c>
      <c r="P307" s="23" t="n">
        <v>24.53018029864</v>
      </c>
      <c r="Q307" s="23" t="n">
        <v>24.77608680585265</v>
      </c>
      <c r="R307" s="23" t="n">
        <v>24.45872374527022</v>
      </c>
      <c r="S307" s="23" t="n">
        <v>24.2811954464396</v>
      </c>
      <c r="T307" s="23" t="n">
        <v>24.29875223499361</v>
      </c>
      <c r="U307" s="23" t="n">
        <v>24.80652490421455</v>
      </c>
      <c r="V307" s="38" t="n">
        <v>24.83732063542923</v>
      </c>
      <c r="W307" s="41" t="n">
        <v>118</v>
      </c>
      <c r="X307" s="24" t="n">
        <v>0.9833333333333333</v>
      </c>
    </row>
    <row r="308" ht="13.9" customHeight="1">
      <c r="A308" s="10" t="n">
        <v>23125050</v>
      </c>
      <c r="B308" s="21" t="inlineStr">
        <is>
          <t>CO</t>
        </is>
      </c>
      <c r="C308" s="21" t="inlineStr">
        <is>
          <t>Carare</t>
        </is>
      </c>
      <c r="D308" s="21" t="inlineStr">
        <is>
          <t>Puerto Parra</t>
        </is>
      </c>
      <c r="E308" s="21" t="inlineStr">
        <is>
          <t>Santander</t>
        </is>
      </c>
      <c r="F308" s="21" t="n">
        <v>8</v>
      </c>
      <c r="G308" s="21" t="n">
        <v>168</v>
      </c>
      <c r="H308" s="42" t="n">
        <v>-74.06138889</v>
      </c>
      <c r="I308" s="43" t="n">
        <v>6.64944444</v>
      </c>
      <c r="J308" s="22" t="n">
        <v>29.11759580920868</v>
      </c>
      <c r="K308" s="23" t="n">
        <v>29.14846080554889</v>
      </c>
      <c r="L308" s="23" t="n">
        <v>28.82301075268813</v>
      </c>
      <c r="M308" s="23" t="n">
        <v>28.70881651766705</v>
      </c>
      <c r="N308" s="23" t="n">
        <v>28.8144245320589</v>
      </c>
      <c r="O308" s="23" t="n">
        <v>28.87421001220997</v>
      </c>
      <c r="P308" s="23" t="n">
        <v>29.10020045788674</v>
      </c>
      <c r="Q308" s="23" t="n">
        <v>28.96477325853198</v>
      </c>
      <c r="R308" s="23" t="n">
        <v>28.68589772243504</v>
      </c>
      <c r="S308" s="23" t="n">
        <v>28.43963761373032</v>
      </c>
      <c r="T308" s="23" t="n">
        <v>28.26079597701145</v>
      </c>
      <c r="U308" s="23" t="n">
        <v>28.65030126065996</v>
      </c>
      <c r="V308" s="38" t="n">
        <v>28.79901039330309</v>
      </c>
      <c r="W308" s="41" t="n">
        <v>103</v>
      </c>
      <c r="X308" s="24" t="n">
        <v>0.8583333333333333</v>
      </c>
    </row>
    <row r="309" ht="13.9" customHeight="1">
      <c r="A309" s="10" t="n">
        <v>24065010</v>
      </c>
      <c r="B309" s="21" t="inlineStr">
        <is>
          <t>PM</t>
        </is>
      </c>
      <c r="C309" s="21" t="inlineStr">
        <is>
          <t xml:space="preserve">Hacienda Las Brisas </t>
        </is>
      </c>
      <c r="D309" s="21" t="inlineStr">
        <is>
          <t>Puerto Wilches</t>
        </is>
      </c>
      <c r="E309" s="21" t="inlineStr">
        <is>
          <t>Santander</t>
        </is>
      </c>
      <c r="F309" s="21" t="n">
        <v>8</v>
      </c>
      <c r="G309" s="21" t="n">
        <v>138</v>
      </c>
      <c r="H309" s="42" t="n">
        <v>-73.79000000000001</v>
      </c>
      <c r="I309" s="43" t="n">
        <v>7.24611111</v>
      </c>
      <c r="J309" s="22" t="n">
        <v>29.3559549584897</v>
      </c>
      <c r="K309" s="23" t="n">
        <v>29.74630002294897</v>
      </c>
      <c r="L309" s="23" t="n">
        <v>29.28282732996538</v>
      </c>
      <c r="M309" s="23" t="n">
        <v>29.0427860170571</v>
      </c>
      <c r="N309" s="23" t="n">
        <v>28.90850393913643</v>
      </c>
      <c r="O309" s="23" t="n">
        <v>28.9239538609013</v>
      </c>
      <c r="P309" s="23" t="n">
        <v>29.06972303466712</v>
      </c>
      <c r="Q309" s="23" t="n">
        <v>29.13763449738871</v>
      </c>
      <c r="R309" s="23" t="n">
        <v>28.75748405694813</v>
      </c>
      <c r="S309" s="23" t="n">
        <v>28.67249571234804</v>
      </c>
      <c r="T309" s="23" t="n">
        <v>28.64781570187756</v>
      </c>
      <c r="U309" s="23" t="n">
        <v>28.77599958852704</v>
      </c>
      <c r="V309" s="38" t="n">
        <v>29.02678989335462</v>
      </c>
      <c r="W309" s="41" t="n">
        <v>220</v>
      </c>
      <c r="X309" s="24" t="n">
        <v>0.9166666666666666</v>
      </c>
    </row>
    <row r="310" ht="13.9" customHeight="1">
      <c r="A310" s="10" t="n">
        <v>23185010</v>
      </c>
      <c r="B310" s="21" t="inlineStr">
        <is>
          <t>CP</t>
        </is>
      </c>
      <c r="C310" s="21" t="inlineStr">
        <is>
          <t>Villa Leiva</t>
        </is>
      </c>
      <c r="D310" s="21" t="inlineStr">
        <is>
          <t>Sabana de Torres</t>
        </is>
      </c>
      <c r="E310" s="21" t="inlineStr">
        <is>
          <t>Santander</t>
        </is>
      </c>
      <c r="F310" s="21" t="n">
        <v>8</v>
      </c>
      <c r="G310" s="21" t="n">
        <v>328</v>
      </c>
      <c r="H310" s="42" t="n">
        <v>-73.53722222</v>
      </c>
      <c r="I310" s="43" t="n">
        <v>7.45611111</v>
      </c>
      <c r="J310" s="22" t="n">
        <v>27.94264740707817</v>
      </c>
      <c r="K310" s="23" t="n">
        <v>28.66147421714905</v>
      </c>
      <c r="L310" s="23" t="n">
        <v>28.58512981864342</v>
      </c>
      <c r="M310" s="23" t="n">
        <v>28.04036603337115</v>
      </c>
      <c r="N310" s="23" t="n">
        <v>27.96254023618977</v>
      </c>
      <c r="O310" s="23" t="n">
        <v>27.92247786705875</v>
      </c>
      <c r="P310" s="23" t="n">
        <v>28.0184121670802</v>
      </c>
      <c r="Q310" s="23" t="n">
        <v>28.01868834514944</v>
      </c>
      <c r="R310" s="23" t="n">
        <v>27.72609056343011</v>
      </c>
      <c r="S310" s="23" t="n">
        <v>27.28295244566628</v>
      </c>
      <c r="T310" s="23" t="n">
        <v>27.24464899001859</v>
      </c>
      <c r="U310" s="23" t="n">
        <v>27.5986736006022</v>
      </c>
      <c r="V310" s="38" t="n">
        <v>27.91700847428642</v>
      </c>
      <c r="W310" s="41" t="n">
        <v>300</v>
      </c>
      <c r="X310" s="24" t="n">
        <v>0.8333333333333334</v>
      </c>
    </row>
    <row r="311" ht="13.9" customHeight="1">
      <c r="A311" s="10" t="n">
        <v>23195090</v>
      </c>
      <c r="B311" s="21" t="inlineStr">
        <is>
          <t>CO</t>
        </is>
      </c>
      <c r="C311" s="21" t="inlineStr">
        <is>
          <t>Vivero Suratá - AUT</t>
        </is>
      </c>
      <c r="D311" s="21" t="inlineStr">
        <is>
          <t>Suratá</t>
        </is>
      </c>
      <c r="E311" s="21" t="inlineStr">
        <is>
          <t>Santander</t>
        </is>
      </c>
      <c r="F311" s="21" t="n">
        <v>8</v>
      </c>
      <c r="G311" s="21" t="n">
        <v>1725</v>
      </c>
      <c r="H311" s="42" t="n">
        <v>-72.9875</v>
      </c>
      <c r="I311" s="43" t="n">
        <v>7.36583333</v>
      </c>
      <c r="J311" s="22" t="n">
        <v>18.67654518094556</v>
      </c>
      <c r="K311" s="23" t="n">
        <v>18.99311955874735</v>
      </c>
      <c r="L311" s="23" t="n">
        <v>18.99941891209732</v>
      </c>
      <c r="M311" s="23" t="n">
        <v>18.71517095990693</v>
      </c>
      <c r="N311" s="23" t="n">
        <v>18.81847857071813</v>
      </c>
      <c r="O311" s="23" t="n">
        <v>18.86250673947245</v>
      </c>
      <c r="P311" s="23" t="n">
        <v>18.9909371146904</v>
      </c>
      <c r="Q311" s="23" t="n">
        <v>19.08305278679832</v>
      </c>
      <c r="R311" s="23" t="n">
        <v>18.83505836297186</v>
      </c>
      <c r="S311" s="23" t="n">
        <v>18.50720835851228</v>
      </c>
      <c r="T311" s="23" t="n">
        <v>18.45455562614571</v>
      </c>
      <c r="U311" s="23" t="n">
        <v>18.49047517863422</v>
      </c>
      <c r="V311" s="38" t="n">
        <v>18.78554394580338</v>
      </c>
      <c r="W311" s="41" t="n">
        <v>333</v>
      </c>
      <c r="X311" s="24" t="n">
        <v>0.925</v>
      </c>
    </row>
    <row r="312" ht="13.9" customHeight="1">
      <c r="A312" s="10" t="n">
        <v>37015020</v>
      </c>
      <c r="B312" s="21" t="inlineStr">
        <is>
          <t>CP</t>
        </is>
      </c>
      <c r="C312" s="21" t="inlineStr">
        <is>
          <t>Berlín Automática</t>
        </is>
      </c>
      <c r="D312" s="21" t="inlineStr">
        <is>
          <t>Tona</t>
        </is>
      </c>
      <c r="E312" s="21" t="inlineStr">
        <is>
          <t>Santander</t>
        </is>
      </c>
      <c r="F312" s="21" t="n">
        <v>8</v>
      </c>
      <c r="G312" s="21" t="n">
        <v>3214</v>
      </c>
      <c r="H312" s="42" t="n">
        <v>-72.86861111</v>
      </c>
      <c r="I312" s="43" t="n">
        <v>7.18694444</v>
      </c>
      <c r="J312" s="22" t="n">
        <v>8.429294773650406</v>
      </c>
      <c r="K312" s="23" t="n">
        <v>8.791729293106373</v>
      </c>
      <c r="L312" s="23" t="n">
        <v>9.146072245175414</v>
      </c>
      <c r="M312" s="23" t="n">
        <v>9.401933172170525</v>
      </c>
      <c r="N312" s="23" t="n">
        <v>9.360224622649353</v>
      </c>
      <c r="O312" s="23" t="n">
        <v>8.862393816283754</v>
      </c>
      <c r="P312" s="23" t="n">
        <v>8.542124281354537</v>
      </c>
      <c r="Q312" s="23" t="n">
        <v>8.94181107315006</v>
      </c>
      <c r="R312" s="23" t="n">
        <v>9.121369826170655</v>
      </c>
      <c r="S312" s="23" t="n">
        <v>9.178372847935192</v>
      </c>
      <c r="T312" s="23" t="n">
        <v>9.142908136475318</v>
      </c>
      <c r="U312" s="23" t="n">
        <v>8.635776799386797</v>
      </c>
      <c r="V312" s="38" t="n">
        <v>8.962834240625698</v>
      </c>
      <c r="W312" s="41" t="n">
        <v>352</v>
      </c>
      <c r="X312" s="24" t="n">
        <v>0.9777777777777777</v>
      </c>
    </row>
    <row r="313" ht="13.9" customHeight="1">
      <c r="A313" s="10" t="n">
        <v>24015270</v>
      </c>
      <c r="B313" s="35" t="inlineStr">
        <is>
          <t>PM</t>
        </is>
      </c>
      <c r="C313" s="35" t="inlineStr">
        <is>
          <t xml:space="preserve">Granja Vélez </t>
        </is>
      </c>
      <c r="D313" s="35" t="inlineStr">
        <is>
          <t>Vélez</t>
        </is>
      </c>
      <c r="E313" s="35" t="inlineStr">
        <is>
          <t>Santander</t>
        </is>
      </c>
      <c r="F313" s="35" t="n">
        <v>8</v>
      </c>
      <c r="G313" s="35" t="n">
        <v>2170</v>
      </c>
      <c r="H313" s="36" t="n">
        <v>-73.67277778</v>
      </c>
      <c r="I313" s="37" t="n">
        <v>5.99722222</v>
      </c>
      <c r="J313" s="22" t="n">
        <v>16.68896151168413</v>
      </c>
      <c r="K313" s="23" t="n">
        <v>16.64816591395271</v>
      </c>
      <c r="L313" s="23" t="n">
        <v>16.65257135610701</v>
      </c>
      <c r="M313" s="23" t="n">
        <v>16.62788436867293</v>
      </c>
      <c r="N313" s="23" t="n">
        <v>16.501207606325</v>
      </c>
      <c r="O313" s="23" t="n">
        <v>16.5720849075976</v>
      </c>
      <c r="P313" s="23" t="n">
        <v>16.4242428841862</v>
      </c>
      <c r="Q313" s="23" t="n">
        <v>16.47803392533413</v>
      </c>
      <c r="R313" s="23" t="n">
        <v>16.52572026884185</v>
      </c>
      <c r="S313" s="23" t="n">
        <v>16.32442979750297</v>
      </c>
      <c r="T313" s="23" t="n">
        <v>16.17917117196528</v>
      </c>
      <c r="U313" s="23" t="n">
        <v>16.4509574044483</v>
      </c>
      <c r="V313" s="38" t="n">
        <v>16.50611925971817</v>
      </c>
      <c r="W313" s="41" t="n">
        <v>214</v>
      </c>
      <c r="X313" s="24" t="n">
        <v>0.8916666666666667</v>
      </c>
    </row>
    <row r="314" ht="13.9" customHeight="1">
      <c r="A314" s="10" t="n">
        <v>24055030</v>
      </c>
      <c r="B314" s="21" t="inlineStr">
        <is>
          <t>CO</t>
        </is>
      </c>
      <c r="C314" s="21" t="inlineStr">
        <is>
          <t>Zapatoca</t>
        </is>
      </c>
      <c r="D314" s="21" t="inlineStr">
        <is>
          <t>Zapatoca</t>
        </is>
      </c>
      <c r="E314" s="21" t="inlineStr">
        <is>
          <t>Santander</t>
        </is>
      </c>
      <c r="F314" s="21" t="n">
        <v>8</v>
      </c>
      <c r="G314" s="21" t="n">
        <v>1810</v>
      </c>
      <c r="H314" s="42" t="n">
        <v>-73.28275000000001</v>
      </c>
      <c r="I314" s="43" t="n">
        <v>6.79277778</v>
      </c>
      <c r="J314" s="22" t="n">
        <v>18.76284865805414</v>
      </c>
      <c r="K314" s="23" t="n">
        <v>19.10171789064585</v>
      </c>
      <c r="L314" s="23" t="n">
        <v>19.1272785752464</v>
      </c>
      <c r="M314" s="23" t="n">
        <v>19.18218949942</v>
      </c>
      <c r="N314" s="23" t="n">
        <v>19.22387114500588</v>
      </c>
      <c r="O314" s="23" t="n">
        <v>19.18219384898654</v>
      </c>
      <c r="P314" s="23" t="n">
        <v>19.03556780961064</v>
      </c>
      <c r="Q314" s="23" t="n">
        <v>19.13276242752738</v>
      </c>
      <c r="R314" s="23" t="n">
        <v>19.08208868706501</v>
      </c>
      <c r="S314" s="23" t="n">
        <v>18.68505216810511</v>
      </c>
      <c r="T314" s="23" t="n">
        <v>18.53849434231051</v>
      </c>
      <c r="U314" s="23" t="n">
        <v>18.6284139737592</v>
      </c>
      <c r="V314" s="38" t="n">
        <v>18.97353991881139</v>
      </c>
      <c r="W314" s="41" t="n">
        <v>341</v>
      </c>
      <c r="X314" s="24" t="n">
        <v>0.9472222222222222</v>
      </c>
    </row>
    <row r="315" ht="13.9" customHeight="1">
      <c r="A315" s="10" t="n">
        <v>13095020</v>
      </c>
      <c r="B315" s="21" t="inlineStr">
        <is>
          <t>CP</t>
        </is>
      </c>
      <c r="C315" s="21" t="inlineStr">
        <is>
          <t>Primates</t>
        </is>
      </c>
      <c r="D315" s="21" t="inlineStr">
        <is>
          <t>Colosó</t>
        </is>
      </c>
      <c r="E315" s="21" t="inlineStr">
        <is>
          <t>Sucre</t>
        </is>
      </c>
      <c r="F315" s="21" t="n">
        <v>2</v>
      </c>
      <c r="G315" s="21" t="n">
        <v>200</v>
      </c>
      <c r="H315" s="42" t="n">
        <v>-75.35136111</v>
      </c>
      <c r="I315" s="43" t="n">
        <v>9.530138890000002</v>
      </c>
      <c r="J315" s="44" t="n">
        <v>27.15032962286137</v>
      </c>
      <c r="K315" s="45" t="n">
        <v>27.56336754217676</v>
      </c>
      <c r="L315" s="45" t="n">
        <v>27.43948361090511</v>
      </c>
      <c r="M315" s="45" t="n">
        <v>27.38117259455221</v>
      </c>
      <c r="N315" s="45" t="n">
        <v>27.15046864304354</v>
      </c>
      <c r="O315" s="45" t="n">
        <v>27.0082477292822</v>
      </c>
      <c r="P315" s="45" t="n">
        <v>27.0574773268465</v>
      </c>
      <c r="Q315" s="45" t="n">
        <v>26.88443600901604</v>
      </c>
      <c r="R315" s="45" t="n">
        <v>26.55198906485262</v>
      </c>
      <c r="S315" s="45" t="n">
        <v>26.2695825855185</v>
      </c>
      <c r="T315" s="45" t="n">
        <v>26.08605626928089</v>
      </c>
      <c r="U315" s="45" t="n">
        <v>26.48250754540322</v>
      </c>
      <c r="V315" s="38" t="n">
        <v>26.91875987864492</v>
      </c>
      <c r="W315" s="41" t="n">
        <v>108</v>
      </c>
      <c r="X315" s="24" t="n">
        <v>0.9</v>
      </c>
    </row>
    <row r="316" ht="13.9" customHeight="1">
      <c r="A316" s="10" t="n">
        <v>25025080</v>
      </c>
      <c r="B316" s="21" t="inlineStr">
        <is>
          <t>CP</t>
        </is>
      </c>
      <c r="C316" s="21" t="inlineStr">
        <is>
          <t>Aeropuerto Rafael Barvo</t>
        </is>
      </c>
      <c r="D316" s="21" t="inlineStr">
        <is>
          <t>Corozal</t>
        </is>
      </c>
      <c r="E316" s="21" t="inlineStr">
        <is>
          <t>Sucre</t>
        </is>
      </c>
      <c r="F316" s="21" t="n">
        <v>2</v>
      </c>
      <c r="G316" s="21" t="n">
        <v>166</v>
      </c>
      <c r="H316" s="42" t="n">
        <v>-75.28305556000001</v>
      </c>
      <c r="I316" s="43" t="n">
        <v>9.333888890000001</v>
      </c>
      <c r="J316" s="22" t="n">
        <v>27.83595655696217</v>
      </c>
      <c r="K316" s="23" t="n">
        <v>28.283483538185</v>
      </c>
      <c r="L316" s="23" t="n">
        <v>28.44017107045533</v>
      </c>
      <c r="M316" s="23" t="n">
        <v>28.30543051169774</v>
      </c>
      <c r="N316" s="23" t="n">
        <v>27.74731718932787</v>
      </c>
      <c r="O316" s="23" t="n">
        <v>27.71507275021862</v>
      </c>
      <c r="P316" s="23" t="n">
        <v>27.76810747493143</v>
      </c>
      <c r="Q316" s="23" t="n">
        <v>27.59710610268562</v>
      </c>
      <c r="R316" s="23" t="n">
        <v>27.17088384875022</v>
      </c>
      <c r="S316" s="23" t="n">
        <v>26.88883173065823</v>
      </c>
      <c r="T316" s="23" t="n">
        <v>26.94398984077863</v>
      </c>
      <c r="U316" s="23" t="n">
        <v>27.48000588194648</v>
      </c>
      <c r="V316" s="38" t="n">
        <v>27.68136304138311</v>
      </c>
      <c r="W316" s="41" t="n">
        <v>315</v>
      </c>
      <c r="X316" s="24" t="n">
        <v>0.875</v>
      </c>
    </row>
    <row r="317" ht="13.9" customHeight="1">
      <c r="A317" s="10" t="n">
        <v>25025270</v>
      </c>
      <c r="B317" s="21" t="inlineStr">
        <is>
          <t>AM</t>
        </is>
      </c>
      <c r="C317" s="21" t="inlineStr">
        <is>
          <t>Universidad de Sucre</t>
        </is>
      </c>
      <c r="D317" s="21" t="inlineStr">
        <is>
          <t>Sampués</t>
        </is>
      </c>
      <c r="E317" s="21" t="inlineStr">
        <is>
          <t>Sucre</t>
        </is>
      </c>
      <c r="F317" s="21" t="n">
        <v>2</v>
      </c>
      <c r="G317" s="21" t="n">
        <v>160</v>
      </c>
      <c r="H317" s="42" t="n">
        <v>-75.3875</v>
      </c>
      <c r="I317" s="43" t="n">
        <v>9.316388890000001</v>
      </c>
      <c r="J317" s="22" t="n">
        <v>27.10224694421468</v>
      </c>
      <c r="K317" s="23" t="n">
        <v>27.37268700022346</v>
      </c>
      <c r="L317" s="23" t="n">
        <v>27.5132580475422</v>
      </c>
      <c r="M317" s="23" t="n">
        <v>27.5436316997179</v>
      </c>
      <c r="N317" s="23" t="n">
        <v>27.21991675936225</v>
      </c>
      <c r="O317" s="23" t="n">
        <v>27.34665348927664</v>
      </c>
      <c r="P317" s="23" t="n">
        <v>27.35924629659055</v>
      </c>
      <c r="Q317" s="23" t="n">
        <v>27.2190910764708</v>
      </c>
      <c r="R317" s="23" t="n">
        <v>26.74982765462506</v>
      </c>
      <c r="S317" s="23" t="n">
        <v>26.49867881858615</v>
      </c>
      <c r="T317" s="23" t="n">
        <v>26.56284413428206</v>
      </c>
      <c r="U317" s="23" t="n">
        <v>26.97506997517921</v>
      </c>
      <c r="V317" s="38" t="n">
        <v>27.12192932467258</v>
      </c>
      <c r="W317" s="41" t="n">
        <v>318</v>
      </c>
      <c r="X317" s="24" t="n">
        <v>0.8833333333333333</v>
      </c>
    </row>
    <row r="318" ht="13.9" customHeight="1">
      <c r="A318" s="10" t="n">
        <v>25025380</v>
      </c>
      <c r="B318" s="21" t="inlineStr">
        <is>
          <t>ME</t>
        </is>
      </c>
      <c r="C318" s="21" t="inlineStr">
        <is>
          <t xml:space="preserve">San Benito - AUT </t>
        </is>
      </c>
      <c r="D318" s="21" t="inlineStr">
        <is>
          <t>San Benito Abad</t>
        </is>
      </c>
      <c r="E318" s="21" t="inlineStr">
        <is>
          <t>Sucre</t>
        </is>
      </c>
      <c r="F318" s="21" t="n">
        <v>2</v>
      </c>
      <c r="G318" s="21" t="n">
        <v>20</v>
      </c>
      <c r="H318" s="42" t="n">
        <v>-75.04472222000001</v>
      </c>
      <c r="I318" s="43" t="n">
        <v>9.163888890000001</v>
      </c>
      <c r="J318" s="44" t="n">
        <v>28.35899056572379</v>
      </c>
      <c r="K318" s="45" t="n">
        <v>28.75106952407366</v>
      </c>
      <c r="L318" s="45" t="n">
        <v>28.91684565687072</v>
      </c>
      <c r="M318" s="45" t="n">
        <v>28.83008735743289</v>
      </c>
      <c r="N318" s="45" t="n">
        <v>28.52885810799401</v>
      </c>
      <c r="O318" s="45" t="n">
        <v>28.53942273899104</v>
      </c>
      <c r="P318" s="45" t="n">
        <v>28.49822602506642</v>
      </c>
      <c r="Q318" s="45" t="n">
        <v>28.41139216335926</v>
      </c>
      <c r="R318" s="45" t="n">
        <v>28.23284892053128</v>
      </c>
      <c r="S318" s="45" t="n">
        <v>27.98927328530018</v>
      </c>
      <c r="T318" s="45" t="n">
        <v>28.07569097125318</v>
      </c>
      <c r="U318" s="45" t="n">
        <v>28.25731157300096</v>
      </c>
      <c r="V318" s="38" t="n">
        <v>28.44916807413312</v>
      </c>
      <c r="W318" s="41" t="n">
        <v>312</v>
      </c>
      <c r="X318" s="24" t="n">
        <v>0.8666666666666667</v>
      </c>
    </row>
    <row r="319" ht="13.9" customHeight="1">
      <c r="A319" s="10" t="n">
        <v>21255080</v>
      </c>
      <c r="B319" s="35" t="inlineStr">
        <is>
          <t>CP</t>
        </is>
      </c>
      <c r="C319" s="35" t="inlineStr">
        <is>
          <t>El Salto</t>
        </is>
      </c>
      <c r="D319" s="35" t="inlineStr">
        <is>
          <t>Ambalema</t>
        </is>
      </c>
      <c r="E319" s="35" t="inlineStr">
        <is>
          <t>Tolima</t>
        </is>
      </c>
      <c r="F319" s="35" t="n">
        <v>10</v>
      </c>
      <c r="G319" s="35" t="n">
        <v>450</v>
      </c>
      <c r="H319" s="36" t="n">
        <v>-74.76794443999999</v>
      </c>
      <c r="I319" s="37" t="n">
        <v>4.78375</v>
      </c>
      <c r="J319" s="44" t="n">
        <v>29.00248619378418</v>
      </c>
      <c r="K319" s="45" t="n">
        <v>29.12772962327511</v>
      </c>
      <c r="L319" s="45" t="n">
        <v>28.83732562252403</v>
      </c>
      <c r="M319" s="45" t="n">
        <v>28.13643870950585</v>
      </c>
      <c r="N319" s="45" t="n">
        <v>28.13063685246314</v>
      </c>
      <c r="O319" s="45" t="n">
        <v>28.69946091355708</v>
      </c>
      <c r="P319" s="45" t="n">
        <v>29.85158435805279</v>
      </c>
      <c r="Q319" s="45" t="n">
        <v>30.52033731695481</v>
      </c>
      <c r="R319" s="45" t="n">
        <v>29.64550222739159</v>
      </c>
      <c r="S319" s="45" t="n">
        <v>28.14153599027232</v>
      </c>
      <c r="T319" s="45" t="n">
        <v>27.59113010480404</v>
      </c>
      <c r="U319" s="45" t="n">
        <v>28.21892314072165</v>
      </c>
      <c r="V319" s="38" t="n">
        <v>28.82525758777555</v>
      </c>
      <c r="W319" s="41" t="n">
        <v>223</v>
      </c>
      <c r="X319" s="24" t="n">
        <v>0.9291666666666667</v>
      </c>
    </row>
    <row r="320" ht="13.9" customHeight="1">
      <c r="A320" s="10" t="n">
        <v>21255090</v>
      </c>
      <c r="B320" s="21" t="inlineStr">
        <is>
          <t>CP</t>
        </is>
      </c>
      <c r="C320" s="21" t="inlineStr">
        <is>
          <t>Granja Armero</t>
        </is>
      </c>
      <c r="D320" s="21" t="inlineStr">
        <is>
          <t>Armero (Guayabal)</t>
        </is>
      </c>
      <c r="E320" s="21" t="inlineStr">
        <is>
          <t>Tolima</t>
        </is>
      </c>
      <c r="F320" s="21" t="n">
        <v>10</v>
      </c>
      <c r="G320" s="21" t="n">
        <v>321</v>
      </c>
      <c r="H320" s="42" t="n">
        <v>-74.89999167000001</v>
      </c>
      <c r="I320" s="43" t="n">
        <v>5</v>
      </c>
      <c r="J320" s="22" t="n">
        <v>28.47524180122049</v>
      </c>
      <c r="K320" s="23" t="n">
        <v>28.62847992853387</v>
      </c>
      <c r="L320" s="23" t="n">
        <v>28.23380425493343</v>
      </c>
      <c r="M320" s="23" t="n">
        <v>27.99148366293041</v>
      </c>
      <c r="N320" s="23" t="n">
        <v>27.97204381999985</v>
      </c>
      <c r="O320" s="23" t="n">
        <v>28.22744366693329</v>
      </c>
      <c r="P320" s="23" t="n">
        <v>28.91652366148247</v>
      </c>
      <c r="Q320" s="23" t="n">
        <v>29.5520425580322</v>
      </c>
      <c r="R320" s="23" t="n">
        <v>29.06825057892295</v>
      </c>
      <c r="S320" s="23" t="n">
        <v>28.0219838893031</v>
      </c>
      <c r="T320" s="23" t="n">
        <v>27.73372096847381</v>
      </c>
      <c r="U320" s="23" t="n">
        <v>28.05123489537279</v>
      </c>
      <c r="V320" s="38" t="n">
        <v>28.40602114051155</v>
      </c>
      <c r="W320" s="41" t="n">
        <v>303</v>
      </c>
      <c r="X320" s="24" t="n">
        <v>0.8416666666666667</v>
      </c>
    </row>
    <row r="321" ht="13.9" customHeight="1">
      <c r="A321" s="10" t="n">
        <v>22055020</v>
      </c>
      <c r="B321" s="21" t="inlineStr">
        <is>
          <t>CO</t>
        </is>
      </c>
      <c r="C321" s="21" t="inlineStr">
        <is>
          <t>Mesa de Pole</t>
        </is>
      </c>
      <c r="D321" s="21" t="inlineStr">
        <is>
          <t>Ataco</t>
        </is>
      </c>
      <c r="E321" s="21" t="inlineStr">
        <is>
          <t>Tolima</t>
        </is>
      </c>
      <c r="F321" s="21" t="n">
        <v>10</v>
      </c>
      <c r="G321" s="21" t="n">
        <v>699</v>
      </c>
      <c r="H321" s="42" t="n">
        <v>-75.53636111</v>
      </c>
      <c r="I321" s="43" t="n">
        <v>3.45577778</v>
      </c>
      <c r="J321" s="22" t="n">
        <v>25.88973692385278</v>
      </c>
      <c r="K321" s="23" t="n">
        <v>26.04784672809098</v>
      </c>
      <c r="L321" s="23" t="n">
        <v>25.73374220208271</v>
      </c>
      <c r="M321" s="23" t="n">
        <v>25.70050868910782</v>
      </c>
      <c r="N321" s="23" t="n">
        <v>25.84097278225806</v>
      </c>
      <c r="O321" s="23" t="n">
        <v>25.89783862433862</v>
      </c>
      <c r="P321" s="23" t="n">
        <v>26.35276954000917</v>
      </c>
      <c r="Q321" s="23" t="n">
        <v>26.87641951829009</v>
      </c>
      <c r="R321" s="23" t="n">
        <v>26.95192360321671</v>
      </c>
      <c r="S321" s="23" t="n">
        <v>25.91131779343302</v>
      </c>
      <c r="T321" s="23" t="n">
        <v>25.37044573167094</v>
      </c>
      <c r="U321" s="23" t="n">
        <v>25.49258476536131</v>
      </c>
      <c r="V321" s="38" t="n">
        <v>26.00550890847601</v>
      </c>
      <c r="W321" s="41" t="n">
        <v>296</v>
      </c>
      <c r="X321" s="24" t="n">
        <v>0.8222222222222222</v>
      </c>
    </row>
    <row r="322" ht="13.9" customHeight="1">
      <c r="A322" s="10" t="n">
        <v>21215100</v>
      </c>
      <c r="B322" s="21" t="inlineStr">
        <is>
          <t>CO</t>
        </is>
      </c>
      <c r="C322" s="21" t="inlineStr">
        <is>
          <t>Cajamarca</t>
        </is>
      </c>
      <c r="D322" s="21" t="inlineStr">
        <is>
          <t>Cajamarca</t>
        </is>
      </c>
      <c r="E322" s="21" t="inlineStr">
        <is>
          <t>Tolima</t>
        </is>
      </c>
      <c r="F322" s="21" t="n">
        <v>10</v>
      </c>
      <c r="G322" s="21" t="n">
        <v>1920</v>
      </c>
      <c r="H322" s="42" t="n">
        <v>-75.42458332999999</v>
      </c>
      <c r="I322" s="43" t="n">
        <v>4.4415</v>
      </c>
      <c r="J322" s="22" t="n">
        <v>19.10915385286483</v>
      </c>
      <c r="K322" s="23" t="n">
        <v>19.26904832056605</v>
      </c>
      <c r="L322" s="23" t="n">
        <v>19.06698673289708</v>
      </c>
      <c r="M322" s="23" t="n">
        <v>18.88996793708407</v>
      </c>
      <c r="N322" s="23" t="n">
        <v>18.78357820730485</v>
      </c>
      <c r="O322" s="23" t="n">
        <v>18.79098343773439</v>
      </c>
      <c r="P322" s="23" t="n">
        <v>18.79090097013637</v>
      </c>
      <c r="Q322" s="23" t="n">
        <v>19.10867733850755</v>
      </c>
      <c r="R322" s="23" t="n">
        <v>19.02470003017416</v>
      </c>
      <c r="S322" s="23" t="n">
        <v>18.86128136200715</v>
      </c>
      <c r="T322" s="23" t="n">
        <v>18.76257306709892</v>
      </c>
      <c r="U322" s="23" t="n">
        <v>18.91568480433563</v>
      </c>
      <c r="V322" s="38" t="n">
        <v>18.94779467172592</v>
      </c>
      <c r="W322" s="41" t="n">
        <v>220</v>
      </c>
      <c r="X322" s="24" t="n">
        <v>0.9166666666666666</v>
      </c>
    </row>
    <row r="323" ht="13.9" customHeight="1">
      <c r="A323" s="10" t="n">
        <v>21215130</v>
      </c>
      <c r="B323" s="35" t="inlineStr">
        <is>
          <t>CO</t>
        </is>
      </c>
      <c r="C323" s="35" t="inlineStr">
        <is>
          <t xml:space="preserve">Hacienda Cucuana </t>
        </is>
      </c>
      <c r="D323" s="35" t="inlineStr">
        <is>
          <t>Cajamarca</t>
        </is>
      </c>
      <c r="E323" s="35" t="inlineStr">
        <is>
          <t>Tolima</t>
        </is>
      </c>
      <c r="F323" s="35" t="n">
        <v>10</v>
      </c>
      <c r="G323" s="35" t="n">
        <v>2229</v>
      </c>
      <c r="H323" s="36" t="n">
        <v>-75.51858333</v>
      </c>
      <c r="I323" s="37" t="n">
        <v>4.34138889</v>
      </c>
      <c r="J323" s="44" t="n">
        <v>16.17726204254537</v>
      </c>
      <c r="K323" s="45" t="n">
        <v>16.25663680273478</v>
      </c>
      <c r="L323" s="45" t="n">
        <v>16.36646843750085</v>
      </c>
      <c r="M323" s="45" t="n">
        <v>16.4634261370931</v>
      </c>
      <c r="N323" s="45" t="n">
        <v>16.46578560365923</v>
      </c>
      <c r="O323" s="45" t="n">
        <v>16.30963329380281</v>
      </c>
      <c r="P323" s="45" t="n">
        <v>16.11558393642682</v>
      </c>
      <c r="Q323" s="45" t="n">
        <v>16.17982169966921</v>
      </c>
      <c r="R323" s="45" t="n">
        <v>16.13597174329499</v>
      </c>
      <c r="S323" s="45" t="n">
        <v>16.09218363689559</v>
      </c>
      <c r="T323" s="45" t="n">
        <v>16.10493738158391</v>
      </c>
      <c r="U323" s="45" t="n">
        <v>16.05822905079716</v>
      </c>
      <c r="V323" s="38" t="n">
        <v>16.22716164716699</v>
      </c>
      <c r="W323" s="41" t="n">
        <v>226</v>
      </c>
      <c r="X323" s="24" t="n">
        <v>0.9416666666666667</v>
      </c>
    </row>
    <row r="324" ht="13.9" customHeight="1">
      <c r="A324" s="10" t="n">
        <v>22045020</v>
      </c>
      <c r="B324" s="21" t="inlineStr">
        <is>
          <t>CO</t>
        </is>
      </c>
      <c r="C324" s="21" t="inlineStr">
        <is>
          <t>El Limón</t>
        </is>
      </c>
      <c r="D324" s="21" t="inlineStr">
        <is>
          <t>Chaparral</t>
        </is>
      </c>
      <c r="E324" s="21" t="inlineStr">
        <is>
          <t>Tolima</t>
        </is>
      </c>
      <c r="F324" s="21" t="n">
        <v>10</v>
      </c>
      <c r="G324" s="21" t="n">
        <v>1030</v>
      </c>
      <c r="H324" s="42" t="n">
        <v>-75.58419444</v>
      </c>
      <c r="I324" s="43" t="n">
        <v>3.65183333</v>
      </c>
      <c r="J324" s="22" t="n">
        <v>23.25101522268022</v>
      </c>
      <c r="K324" s="23" t="n">
        <v>23.54201253220039</v>
      </c>
      <c r="L324" s="23" t="n">
        <v>23.33099374007955</v>
      </c>
      <c r="M324" s="23" t="n">
        <v>23.38909633350568</v>
      </c>
      <c r="N324" s="23" t="n">
        <v>23.51684676403331</v>
      </c>
      <c r="O324" s="23" t="n">
        <v>23.63236696495817</v>
      </c>
      <c r="P324" s="23" t="n">
        <v>23.99713278710843</v>
      </c>
      <c r="Q324" s="23" t="n">
        <v>24.46036705077895</v>
      </c>
      <c r="R324" s="23" t="n">
        <v>24.48878261349033</v>
      </c>
      <c r="S324" s="23" t="n">
        <v>23.53503700105738</v>
      </c>
      <c r="T324" s="23" t="n">
        <v>22.88950677585381</v>
      </c>
      <c r="U324" s="23" t="n">
        <v>23.24757754689052</v>
      </c>
      <c r="V324" s="38" t="n">
        <v>23.60672794438639</v>
      </c>
      <c r="W324" s="41" t="n">
        <v>298</v>
      </c>
      <c r="X324" s="24" t="n">
        <v>0.8277777777777777</v>
      </c>
    </row>
    <row r="325" ht="13.9" customHeight="1">
      <c r="A325" s="10" t="n">
        <v>22045010</v>
      </c>
      <c r="B325" s="21" t="inlineStr">
        <is>
          <t>CO</t>
        </is>
      </c>
      <c r="C325" s="21" t="inlineStr">
        <is>
          <t>Granja Demostración</t>
        </is>
      </c>
      <c r="D325" s="21" t="inlineStr">
        <is>
          <t>Chaparral</t>
        </is>
      </c>
      <c r="E325" s="21" t="inlineStr">
        <is>
          <t>Tolima</t>
        </is>
      </c>
      <c r="F325" s="21" t="n">
        <v>10</v>
      </c>
      <c r="G325" s="21" t="n">
        <v>908</v>
      </c>
      <c r="H325" s="42" t="n">
        <v>-75.50344444</v>
      </c>
      <c r="I325" s="43" t="n">
        <v>3.72244444</v>
      </c>
      <c r="J325" s="22" t="n">
        <v>24.50939291513453</v>
      </c>
      <c r="K325" s="23" t="n">
        <v>24.5434678067161</v>
      </c>
      <c r="L325" s="23" t="n">
        <v>24.33710376255801</v>
      </c>
      <c r="M325" s="23" t="n">
        <v>24.47968659003829</v>
      </c>
      <c r="N325" s="23" t="n">
        <v>24.65082165898614</v>
      </c>
      <c r="O325" s="23" t="n">
        <v>24.89656540777228</v>
      </c>
      <c r="P325" s="23" t="n">
        <v>25.24450718081817</v>
      </c>
      <c r="Q325" s="23" t="n">
        <v>25.59892106730383</v>
      </c>
      <c r="R325" s="23" t="n">
        <v>25.50200031928476</v>
      </c>
      <c r="S325" s="23" t="n">
        <v>24.47218981595962</v>
      </c>
      <c r="T325" s="23" t="n">
        <v>23.87637471264365</v>
      </c>
      <c r="U325" s="23" t="n">
        <v>24.12700331820774</v>
      </c>
      <c r="V325" s="38" t="n">
        <v>24.6865028796186</v>
      </c>
      <c r="W325" s="41" t="n">
        <v>297</v>
      </c>
      <c r="X325" s="24" t="n">
        <v>0.825</v>
      </c>
    </row>
    <row r="326" ht="13.9" customHeight="1">
      <c r="A326" s="10" t="n">
        <v>21135040</v>
      </c>
      <c r="B326" s="21" t="inlineStr">
        <is>
          <t>CO</t>
        </is>
      </c>
      <c r="C326" s="21" t="inlineStr">
        <is>
          <t>Media Luna</t>
        </is>
      </c>
      <c r="D326" s="21" t="inlineStr">
        <is>
          <t>Coyaima</t>
        </is>
      </c>
      <c r="E326" s="21" t="inlineStr">
        <is>
          <t>Tolima</t>
        </is>
      </c>
      <c r="F326" s="21" t="n">
        <v>10</v>
      </c>
      <c r="G326" s="21" t="n">
        <v>485</v>
      </c>
      <c r="H326" s="42" t="n">
        <v>-75.11980556</v>
      </c>
      <c r="I326" s="43" t="n">
        <v>3.77375</v>
      </c>
      <c r="J326" s="22" t="n">
        <v>28.31173248053391</v>
      </c>
      <c r="K326" s="23" t="n">
        <v>28.55653191795432</v>
      </c>
      <c r="L326" s="23" t="n">
        <v>28.15853225806451</v>
      </c>
      <c r="M326" s="23" t="n">
        <v>27.68792816091953</v>
      </c>
      <c r="N326" s="23" t="n">
        <v>27.80673835125447</v>
      </c>
      <c r="O326" s="23" t="n">
        <v>28.41789910600254</v>
      </c>
      <c r="P326" s="23" t="n">
        <v>29.32366666666666</v>
      </c>
      <c r="Q326" s="23" t="n">
        <v>30.64226881720429</v>
      </c>
      <c r="R326" s="23" t="n">
        <v>29.66223148148147</v>
      </c>
      <c r="S326" s="23" t="n">
        <v>28.30530098257322</v>
      </c>
      <c r="T326" s="23" t="n">
        <v>27.3947356321839</v>
      </c>
      <c r="U326" s="23" t="n">
        <v>27.57673237753882</v>
      </c>
      <c r="V326" s="38" t="n">
        <v>28.48702485269814</v>
      </c>
      <c r="W326" s="41" t="n">
        <v>118</v>
      </c>
      <c r="X326" s="24" t="n">
        <v>0.9833333333333333</v>
      </c>
    </row>
    <row r="327" ht="13.9" customHeight="1">
      <c r="A327" s="10" t="n">
        <v>21155040</v>
      </c>
      <c r="B327" s="21" t="inlineStr">
        <is>
          <t>CO</t>
        </is>
      </c>
      <c r="C327" s="21" t="inlineStr">
        <is>
          <t>Hacienda Dolores Madron</t>
        </is>
      </c>
      <c r="D327" s="21" t="inlineStr">
        <is>
          <t>Dolores</t>
        </is>
      </c>
      <c r="E327" s="21" t="inlineStr">
        <is>
          <t>Tolima</t>
        </is>
      </c>
      <c r="F327" s="21" t="n">
        <v>10</v>
      </c>
      <c r="G327" s="21" t="n">
        <v>1456</v>
      </c>
      <c r="H327" s="42" t="n">
        <v>-74.90577777999999</v>
      </c>
      <c r="I327" s="43" t="n">
        <v>3.53305556</v>
      </c>
      <c r="J327" s="22" t="n">
        <v>21.43883945124211</v>
      </c>
      <c r="K327" s="23" t="n">
        <v>21.4676404853129</v>
      </c>
      <c r="L327" s="23" t="n">
        <v>21.27670133481646</v>
      </c>
      <c r="M327" s="23" t="n">
        <v>21.03479310344827</v>
      </c>
      <c r="N327" s="23" t="n">
        <v>21.09793906810036</v>
      </c>
      <c r="O327" s="23" t="n">
        <v>20.93710408684546</v>
      </c>
      <c r="P327" s="23" t="n">
        <v>20.92439516129031</v>
      </c>
      <c r="Q327" s="23" t="n">
        <v>21.65551075268816</v>
      </c>
      <c r="R327" s="23" t="n">
        <v>21.75185185185184</v>
      </c>
      <c r="S327" s="23" t="n">
        <v>21.25669930875575</v>
      </c>
      <c r="T327" s="23" t="n">
        <v>20.61937356321838</v>
      </c>
      <c r="U327" s="23" t="n">
        <v>20.76806451612903</v>
      </c>
      <c r="V327" s="38" t="n">
        <v>21.18574272364159</v>
      </c>
      <c r="W327" s="41" t="n">
        <v>114</v>
      </c>
      <c r="X327" s="24" t="n">
        <v>0.95</v>
      </c>
    </row>
    <row r="328" ht="13.9" customHeight="1">
      <c r="A328" s="10" t="n">
        <v>21215080</v>
      </c>
      <c r="B328" s="35" t="inlineStr">
        <is>
          <t>CO</t>
        </is>
      </c>
      <c r="C328" s="35" t="inlineStr">
        <is>
          <t>Chicoral</t>
        </is>
      </c>
      <c r="D328" s="35" t="inlineStr">
        <is>
          <t>Espinal</t>
        </is>
      </c>
      <c r="E328" s="35" t="inlineStr">
        <is>
          <t>Tolima</t>
        </is>
      </c>
      <c r="F328" s="35" t="n">
        <v>10</v>
      </c>
      <c r="G328" s="35" t="n">
        <v>432</v>
      </c>
      <c r="H328" s="36" t="n">
        <v>-74.99536111</v>
      </c>
      <c r="I328" s="37" t="n">
        <v>4.23152778</v>
      </c>
      <c r="J328" s="44" t="n">
        <v>27.65019669227313</v>
      </c>
      <c r="K328" s="45" t="n">
        <v>27.82160703667816</v>
      </c>
      <c r="L328" s="45" t="n">
        <v>27.24883035893383</v>
      </c>
      <c r="M328" s="45" t="n">
        <v>26.85949514156109</v>
      </c>
      <c r="N328" s="45" t="n">
        <v>26.85484863612573</v>
      </c>
      <c r="O328" s="45" t="n">
        <v>27.07292323030006</v>
      </c>
      <c r="P328" s="45" t="n">
        <v>27.60863228501137</v>
      </c>
      <c r="Q328" s="45" t="n">
        <v>28.42687952621412</v>
      </c>
      <c r="R328" s="45" t="n">
        <v>28.293327865203</v>
      </c>
      <c r="S328" s="45" t="n">
        <v>27.31400804070297</v>
      </c>
      <c r="T328" s="45" t="n">
        <v>26.79489265391553</v>
      </c>
      <c r="U328" s="45" t="n">
        <v>27.07529870668987</v>
      </c>
      <c r="V328" s="38" t="n">
        <v>27.41841168113407</v>
      </c>
      <c r="W328" s="41" t="n">
        <v>331</v>
      </c>
      <c r="X328" s="24" t="n">
        <v>0.9194444444444444</v>
      </c>
    </row>
    <row r="329" ht="13.9" customHeight="1">
      <c r="A329" s="10" t="n">
        <v>21185090</v>
      </c>
      <c r="B329" s="21" t="inlineStr">
        <is>
          <t>AM</t>
        </is>
      </c>
      <c r="C329" s="21" t="inlineStr">
        <is>
          <t xml:space="preserve">Nataima - AUT </t>
        </is>
      </c>
      <c r="D329" s="21" t="inlineStr">
        <is>
          <t>Espinal</t>
        </is>
      </c>
      <c r="E329" s="21" t="inlineStr">
        <is>
          <t>Tolima</t>
        </is>
      </c>
      <c r="F329" s="21" t="n">
        <v>10</v>
      </c>
      <c r="G329" s="21" t="n">
        <v>393</v>
      </c>
      <c r="H329" s="42" t="n">
        <v>-74.96047222000001</v>
      </c>
      <c r="I329" s="43" t="n">
        <v>4.18813889</v>
      </c>
      <c r="J329" s="44" t="n">
        <v>28.59707469278033</v>
      </c>
      <c r="K329" s="45" t="n">
        <v>28.65336863711001</v>
      </c>
      <c r="L329" s="45" t="n">
        <v>28.49842597187758</v>
      </c>
      <c r="M329" s="45" t="n">
        <v>27.88097454844007</v>
      </c>
      <c r="N329" s="45" t="n">
        <v>27.75447477253928</v>
      </c>
      <c r="O329" s="45" t="n">
        <v>27.76010119047618</v>
      </c>
      <c r="P329" s="45" t="n">
        <v>28.54331234293247</v>
      </c>
      <c r="Q329" s="45" t="n">
        <v>29.89501729780271</v>
      </c>
      <c r="R329" s="45" t="n">
        <v>28.9417875229052</v>
      </c>
      <c r="S329" s="45" t="n">
        <v>28.08999133652776</v>
      </c>
      <c r="T329" s="45" t="n">
        <v>27.5883134713307</v>
      </c>
      <c r="U329" s="45" t="n">
        <v>27.7639783163629</v>
      </c>
      <c r="V329" s="38" t="n">
        <v>28.3305683417571</v>
      </c>
      <c r="W329" s="41" t="n">
        <v>120</v>
      </c>
      <c r="X329" s="24" t="n">
        <v>1</v>
      </c>
    </row>
    <row r="330" ht="13.9" customHeight="1">
      <c r="A330" s="10" t="n">
        <v>21185040</v>
      </c>
      <c r="B330" s="35" t="inlineStr">
        <is>
          <t>CP</t>
        </is>
      </c>
      <c r="C330" s="35" t="inlineStr">
        <is>
          <t>Aeropuerto Santiago Vila</t>
        </is>
      </c>
      <c r="D330" s="35" t="inlineStr">
        <is>
          <t>Flandes</t>
        </is>
      </c>
      <c r="E330" s="35" t="inlineStr">
        <is>
          <t>Tolima</t>
        </is>
      </c>
      <c r="F330" s="35" t="n">
        <v>10</v>
      </c>
      <c r="G330" s="35" t="n">
        <v>305</v>
      </c>
      <c r="H330" s="36" t="n">
        <v>-74.798</v>
      </c>
      <c r="I330" s="37" t="n">
        <v>4.27544444</v>
      </c>
      <c r="J330" s="44" t="n">
        <v>29.23052526865816</v>
      </c>
      <c r="K330" s="45" t="n">
        <v>29.41234537156342</v>
      </c>
      <c r="L330" s="45" t="n">
        <v>28.8691536238746</v>
      </c>
      <c r="M330" s="45" t="n">
        <v>28.47495445614442</v>
      </c>
      <c r="N330" s="45" t="n">
        <v>28.38417998888185</v>
      </c>
      <c r="O330" s="45" t="n">
        <v>28.54192822839305</v>
      </c>
      <c r="P330" s="45" t="n">
        <v>29.24783683120573</v>
      </c>
      <c r="Q330" s="45" t="n">
        <v>29.96144039435817</v>
      </c>
      <c r="R330" s="45" t="n">
        <v>29.57426911372914</v>
      </c>
      <c r="S330" s="45" t="n">
        <v>28.59575908015128</v>
      </c>
      <c r="T330" s="45" t="n">
        <v>28.02240965276238</v>
      </c>
      <c r="U330" s="45" t="n">
        <v>28.6535406797224</v>
      </c>
      <c r="V330" s="38" t="n">
        <v>28.91402855745372</v>
      </c>
      <c r="W330" s="41" t="n">
        <v>301</v>
      </c>
      <c r="X330" s="24" t="n">
        <v>0.8361111111111111</v>
      </c>
    </row>
    <row r="331" ht="13.9" customHeight="1">
      <c r="A331" s="10" t="n">
        <v>21185030</v>
      </c>
      <c r="B331" s="21" t="inlineStr">
        <is>
          <t>CP</t>
        </is>
      </c>
      <c r="C331" s="21" t="inlineStr">
        <is>
          <t>Guamo</t>
        </is>
      </c>
      <c r="D331" s="21" t="inlineStr">
        <is>
          <t>Guamo</t>
        </is>
      </c>
      <c r="E331" s="21" t="inlineStr">
        <is>
          <t>Tolima</t>
        </is>
      </c>
      <c r="F331" s="21" t="n">
        <v>10</v>
      </c>
      <c r="G331" s="21" t="n">
        <v>332</v>
      </c>
      <c r="H331" s="42" t="n">
        <v>-74.98138889000001</v>
      </c>
      <c r="I331" s="43" t="n">
        <v>4.00883333</v>
      </c>
      <c r="J331" s="44" t="n">
        <v>28.29302628434885</v>
      </c>
      <c r="K331" s="45" t="n">
        <v>28.55384034512384</v>
      </c>
      <c r="L331" s="45" t="n">
        <v>27.96356481481479</v>
      </c>
      <c r="M331" s="45" t="n">
        <v>27.71850872036054</v>
      </c>
      <c r="N331" s="45" t="n">
        <v>27.65141696535242</v>
      </c>
      <c r="O331" s="45" t="n">
        <v>27.98856837606835</v>
      </c>
      <c r="P331" s="45" t="n">
        <v>28.77035045798484</v>
      </c>
      <c r="Q331" s="45" t="n">
        <v>29.84081360241536</v>
      </c>
      <c r="R331" s="45" t="n">
        <v>29.85065845648601</v>
      </c>
      <c r="S331" s="45" t="n">
        <v>27.97698387096772</v>
      </c>
      <c r="T331" s="45" t="n">
        <v>27.24445821228577</v>
      </c>
      <c r="U331" s="45" t="n">
        <v>27.60967780337939</v>
      </c>
      <c r="V331" s="38" t="n">
        <v>28.28848899246566</v>
      </c>
      <c r="W331" s="41" t="n">
        <v>113</v>
      </c>
      <c r="X331" s="24" t="n">
        <v>0.9416666666666667</v>
      </c>
    </row>
    <row r="332" ht="13.9" customHeight="1">
      <c r="A332" s="10" t="n">
        <v>23025020</v>
      </c>
      <c r="B332" s="21" t="inlineStr">
        <is>
          <t>CO</t>
        </is>
      </c>
      <c r="C332" s="21" t="inlineStr">
        <is>
          <t>La Esperanza</t>
        </is>
      </c>
      <c r="D332" s="21" t="inlineStr">
        <is>
          <t>Honda</t>
        </is>
      </c>
      <c r="E332" s="21" t="inlineStr">
        <is>
          <t>Tolima</t>
        </is>
      </c>
      <c r="F332" s="21" t="n">
        <v>10</v>
      </c>
      <c r="G332" s="21" t="n">
        <v>208</v>
      </c>
      <c r="H332" s="42" t="n">
        <v>-74.72913889</v>
      </c>
      <c r="I332" s="43" t="n">
        <v>5.26263889</v>
      </c>
      <c r="J332" s="22" t="n">
        <v>28.12784417413324</v>
      </c>
      <c r="K332" s="23" t="n">
        <v>28.38914453972307</v>
      </c>
      <c r="L332" s="23" t="n">
        <v>28.5930397481849</v>
      </c>
      <c r="M332" s="23" t="n">
        <v>28.00847273643058</v>
      </c>
      <c r="N332" s="23" t="n">
        <v>28.22101129663809</v>
      </c>
      <c r="O332" s="23" t="n">
        <v>28.08710011859149</v>
      </c>
      <c r="P332" s="23" t="n">
        <v>29.19042946046352</v>
      </c>
      <c r="Q332" s="23" t="n">
        <v>30.15475861620126</v>
      </c>
      <c r="R332" s="23" t="n">
        <v>28.91682802408319</v>
      </c>
      <c r="S332" s="23" t="n">
        <v>27.92074491498489</v>
      </c>
      <c r="T332" s="23" t="n">
        <v>27.40262582101805</v>
      </c>
      <c r="U332" s="23" t="n">
        <v>27.65822649409164</v>
      </c>
      <c r="V332" s="38" t="n">
        <v>28.38918549537865</v>
      </c>
      <c r="W332" s="41" t="n">
        <v>115</v>
      </c>
      <c r="X332" s="24" t="n">
        <v>0.9583333333333334</v>
      </c>
    </row>
    <row r="333" ht="13.9" customHeight="1">
      <c r="A333" s="10" t="n">
        <v>21245040</v>
      </c>
      <c r="B333" s="21" t="inlineStr">
        <is>
          <t>SS</t>
        </is>
      </c>
      <c r="C333" s="21" t="inlineStr">
        <is>
          <t>Aeropuerto Perales</t>
        </is>
      </c>
      <c r="D333" s="21" t="inlineStr">
        <is>
          <t>Ibagué</t>
        </is>
      </c>
      <c r="E333" s="21" t="inlineStr">
        <is>
          <t>Tolima</t>
        </is>
      </c>
      <c r="F333" s="21" t="n">
        <v>10</v>
      </c>
      <c r="G333" s="21" t="n">
        <v>943</v>
      </c>
      <c r="H333" s="42" t="n">
        <v>-75.13941666999999</v>
      </c>
      <c r="I333" s="43" t="n">
        <v>4.42413889</v>
      </c>
      <c r="J333" s="44" t="n">
        <v>23.92452419354838</v>
      </c>
      <c r="K333" s="45" t="n">
        <v>24.27118025147479</v>
      </c>
      <c r="L333" s="45" t="n">
        <v>23.9985599078341</v>
      </c>
      <c r="M333" s="45" t="n">
        <v>23.80823864258346</v>
      </c>
      <c r="N333" s="45" t="n">
        <v>23.84005916078986</v>
      </c>
      <c r="O333" s="45" t="n">
        <v>24.17623741577487</v>
      </c>
      <c r="P333" s="45" t="n">
        <v>24.69008189175713</v>
      </c>
      <c r="Q333" s="45" t="n">
        <v>25.44587223351616</v>
      </c>
      <c r="R333" s="45" t="n">
        <v>24.94104505218654</v>
      </c>
      <c r="S333" s="45" t="n">
        <v>23.65469039673711</v>
      </c>
      <c r="T333" s="45" t="n">
        <v>23.08366395825075</v>
      </c>
      <c r="U333" s="45" t="n">
        <v>23.48047044608952</v>
      </c>
      <c r="V333" s="38" t="n">
        <v>24.10955196254522</v>
      </c>
      <c r="W333" s="41" t="n">
        <v>348</v>
      </c>
      <c r="X333" s="24" t="n">
        <v>0.9666666666666667</v>
      </c>
    </row>
    <row r="334" ht="13.9" customHeight="1">
      <c r="A334" s="10" t="n">
        <v>21245010</v>
      </c>
      <c r="B334" s="21" t="inlineStr">
        <is>
          <t>CO</t>
        </is>
      </c>
      <c r="C334" s="21" t="inlineStr">
        <is>
          <t>Hato Perales Opia</t>
        </is>
      </c>
      <c r="D334" s="21" t="inlineStr">
        <is>
          <t>Ibagué</t>
        </is>
      </c>
      <c r="E334" s="21" t="inlineStr">
        <is>
          <t>Tolima</t>
        </is>
      </c>
      <c r="F334" s="21" t="n">
        <v>10</v>
      </c>
      <c r="G334" s="21" t="n">
        <v>826</v>
      </c>
      <c r="H334" s="42" t="n">
        <v>-75.20052222000001</v>
      </c>
      <c r="I334" s="43" t="n">
        <v>4.42966667</v>
      </c>
      <c r="J334" s="22" t="n">
        <v>25.39303525470728</v>
      </c>
      <c r="K334" s="23" t="n">
        <v>25.45791701257158</v>
      </c>
      <c r="L334" s="23" t="n">
        <v>25.01204162421049</v>
      </c>
      <c r="M334" s="23" t="n">
        <v>24.97176538997022</v>
      </c>
      <c r="N334" s="23" t="n">
        <v>24.9882608905563</v>
      </c>
      <c r="O334" s="23" t="n">
        <v>25.48968646591374</v>
      </c>
      <c r="P334" s="23" t="n">
        <v>26.26894448294732</v>
      </c>
      <c r="Q334" s="23" t="n">
        <v>26.72747074630702</v>
      </c>
      <c r="R334" s="23" t="n">
        <v>26.27920358859835</v>
      </c>
      <c r="S334" s="23" t="n">
        <v>24.93341060609438</v>
      </c>
      <c r="T334" s="23" t="n">
        <v>24.47473293737327</v>
      </c>
      <c r="U334" s="23" t="n">
        <v>24.80798582154193</v>
      </c>
      <c r="V334" s="38" t="n">
        <v>25.40037123506599</v>
      </c>
      <c r="W334" s="41" t="n">
        <v>211</v>
      </c>
      <c r="X334" s="24" t="n">
        <v>0.8791666666666667</v>
      </c>
    </row>
    <row r="335" ht="13.9" customHeight="1">
      <c r="A335" s="10" t="n">
        <v>21255150</v>
      </c>
      <c r="B335" s="21" t="inlineStr">
        <is>
          <t>CP</t>
        </is>
      </c>
      <c r="C335" s="21" t="inlineStr">
        <is>
          <t xml:space="preserve">Hacienda Garcia </t>
        </is>
      </c>
      <c r="D335" s="21" t="inlineStr">
        <is>
          <t>Lérida</t>
        </is>
      </c>
      <c r="E335" s="21" t="inlineStr">
        <is>
          <t>Tolima</t>
        </is>
      </c>
      <c r="F335" s="21" t="n">
        <v>10</v>
      </c>
      <c r="G335" s="21" t="n">
        <v>350</v>
      </c>
      <c r="H335" s="42" t="n">
        <v>-74.89155556</v>
      </c>
      <c r="I335" s="43" t="n">
        <v>4.85541667</v>
      </c>
      <c r="J335" s="22" t="n">
        <v>28.11551971326161</v>
      </c>
      <c r="K335" s="23" t="n">
        <v>28.42548234811163</v>
      </c>
      <c r="L335" s="23" t="n">
        <v>28.0696494046883</v>
      </c>
      <c r="M335" s="23" t="n">
        <v>27.46263580246911</v>
      </c>
      <c r="N335" s="23" t="n">
        <v>27.43843983614948</v>
      </c>
      <c r="O335" s="23" t="n">
        <v>27.74812654320986</v>
      </c>
      <c r="P335" s="23" t="n">
        <v>28.7178881885222</v>
      </c>
      <c r="Q335" s="23" t="n">
        <v>29.24995698924728</v>
      </c>
      <c r="R335" s="23" t="n">
        <v>28.0323333333333</v>
      </c>
      <c r="S335" s="23" t="n">
        <v>27.1427921146953</v>
      </c>
      <c r="T335" s="23" t="n">
        <v>26.89477777777774</v>
      </c>
      <c r="U335" s="23" t="n">
        <v>27.30150537634406</v>
      </c>
      <c r="V335" s="38" t="n">
        <v>27.88325895231749</v>
      </c>
      <c r="W335" s="41" t="n">
        <v>118</v>
      </c>
      <c r="X335" s="24" t="n">
        <v>0.9833333333333333</v>
      </c>
    </row>
    <row r="336" ht="13.9" customHeight="1">
      <c r="A336" s="10" t="n">
        <v>23015040</v>
      </c>
      <c r="B336" s="21" t="inlineStr">
        <is>
          <t>SS</t>
        </is>
      </c>
      <c r="C336" s="21" t="inlineStr">
        <is>
          <t>Aetopuerto Mariquita</t>
        </is>
      </c>
      <c r="D336" s="21" t="inlineStr">
        <is>
          <t>Mariquita</t>
        </is>
      </c>
      <c r="E336" s="21" t="inlineStr">
        <is>
          <t>Tolima</t>
        </is>
      </c>
      <c r="F336" s="21" t="n">
        <v>10</v>
      </c>
      <c r="G336" s="21" t="n">
        <v>475</v>
      </c>
      <c r="H336" s="42" t="n">
        <v>-74.88638889000001</v>
      </c>
      <c r="I336" s="43" t="n">
        <v>5.20972222</v>
      </c>
      <c r="J336" s="22" t="n">
        <v>26.22363292547271</v>
      </c>
      <c r="K336" s="23" t="n">
        <v>26.70589882016661</v>
      </c>
      <c r="L336" s="23" t="n">
        <v>26.49833469286859</v>
      </c>
      <c r="M336" s="23" t="n">
        <v>26.1963666491269</v>
      </c>
      <c r="N336" s="23" t="n">
        <v>26.33843227729023</v>
      </c>
      <c r="O336" s="23" t="n">
        <v>26.51291583044453</v>
      </c>
      <c r="P336" s="23" t="n">
        <v>27.13960131186324</v>
      </c>
      <c r="Q336" s="23" t="n">
        <v>27.9104520788334</v>
      </c>
      <c r="R336" s="23" t="n">
        <v>26.61440107265135</v>
      </c>
      <c r="S336" s="23" t="n">
        <v>26.03520552916915</v>
      </c>
      <c r="T336" s="23" t="n">
        <v>25.7743662956881</v>
      </c>
      <c r="U336" s="23" t="n">
        <v>25.97211777270913</v>
      </c>
      <c r="V336" s="38" t="n">
        <v>26.49347710469032</v>
      </c>
      <c r="W336" s="41" t="n">
        <v>115</v>
      </c>
      <c r="X336" s="24" t="n">
        <v>0.9583333333333334</v>
      </c>
    </row>
    <row r="337" ht="13.9" customHeight="1">
      <c r="A337" s="10" t="n">
        <v>23025040</v>
      </c>
      <c r="B337" s="21" t="inlineStr">
        <is>
          <t>CO</t>
        </is>
      </c>
      <c r="C337" s="21" t="inlineStr">
        <is>
          <t>Albania</t>
        </is>
      </c>
      <c r="D337" s="21" t="inlineStr">
        <is>
          <t>Mariquita</t>
        </is>
      </c>
      <c r="E337" s="21" t="inlineStr">
        <is>
          <t>Tolima</t>
        </is>
      </c>
      <c r="F337" s="21" t="n">
        <v>10</v>
      </c>
      <c r="G337" s="21" t="n">
        <v>788</v>
      </c>
      <c r="H337" s="42" t="n">
        <v>-74.91458056</v>
      </c>
      <c r="I337" s="43" t="n">
        <v>5.30110889</v>
      </c>
      <c r="J337" s="22" t="n">
        <v>24.8631000484567</v>
      </c>
      <c r="K337" s="23" t="n">
        <v>25.01460516477275</v>
      </c>
      <c r="L337" s="23" t="n">
        <v>24.90804502435584</v>
      </c>
      <c r="M337" s="23" t="n">
        <v>24.893144540957</v>
      </c>
      <c r="N337" s="23" t="n">
        <v>24.97543266556103</v>
      </c>
      <c r="O337" s="23" t="n">
        <v>25.23682681586892</v>
      </c>
      <c r="P337" s="23" t="n">
        <v>25.68748820970976</v>
      </c>
      <c r="Q337" s="23" t="n">
        <v>25.93887423035611</v>
      </c>
      <c r="R337" s="23" t="n">
        <v>25.42742281116725</v>
      </c>
      <c r="S337" s="23" t="n">
        <v>24.66382060057091</v>
      </c>
      <c r="T337" s="23" t="n">
        <v>24.40579614920394</v>
      </c>
      <c r="U337" s="23" t="n">
        <v>24.59709193349253</v>
      </c>
      <c r="V337" s="38" t="n">
        <v>25.05097068287273</v>
      </c>
      <c r="W337" s="41" t="n">
        <v>301</v>
      </c>
      <c r="X337" s="24" t="n">
        <v>0.8361111111111111</v>
      </c>
    </row>
    <row r="338" ht="13.9" customHeight="1">
      <c r="A338" s="10" t="n">
        <v>21135030</v>
      </c>
      <c r="B338" s="21" t="inlineStr">
        <is>
          <t>CP</t>
        </is>
      </c>
      <c r="C338" s="21" t="inlineStr">
        <is>
          <t>Anchique</t>
        </is>
      </c>
      <c r="D338" s="21" t="inlineStr">
        <is>
          <t>Natagaima</t>
        </is>
      </c>
      <c r="E338" s="21" t="inlineStr">
        <is>
          <t>Tolima</t>
        </is>
      </c>
      <c r="F338" s="21" t="n">
        <v>4</v>
      </c>
      <c r="G338" s="21" t="n">
        <v>415</v>
      </c>
      <c r="H338" s="42" t="n">
        <v>-75.10899999999999</v>
      </c>
      <c r="I338" s="43" t="n">
        <v>3.57383333</v>
      </c>
      <c r="J338" s="22" t="n">
        <v>27.83453229684532</v>
      </c>
      <c r="K338" s="23" t="n">
        <v>28.27925697441898</v>
      </c>
      <c r="L338" s="23" t="n">
        <v>27.66842387820073</v>
      </c>
      <c r="M338" s="23" t="n">
        <v>27.394588051223</v>
      </c>
      <c r="N338" s="23" t="n">
        <v>27.62243550355673</v>
      </c>
      <c r="O338" s="23" t="n">
        <v>28.3074625956463</v>
      </c>
      <c r="P338" s="23" t="n">
        <v>29.18392981052265</v>
      </c>
      <c r="Q338" s="23" t="n">
        <v>30.2005453494609</v>
      </c>
      <c r="R338" s="23" t="n">
        <v>29.97257857239019</v>
      </c>
      <c r="S338" s="23" t="n">
        <v>28.36125399000905</v>
      </c>
      <c r="T338" s="23" t="n">
        <v>26.88330917645573</v>
      </c>
      <c r="U338" s="23" t="n">
        <v>27.09312649993684</v>
      </c>
      <c r="V338" s="38" t="n">
        <v>28.2334535582222</v>
      </c>
      <c r="W338" s="41" t="n">
        <v>336</v>
      </c>
      <c r="X338" s="24" t="n">
        <v>0.9333333333333333</v>
      </c>
    </row>
    <row r="339" ht="13.9" customHeight="1">
      <c r="A339" s="10" t="n">
        <v>21165010</v>
      </c>
      <c r="B339" s="21" t="inlineStr">
        <is>
          <t>CO</t>
        </is>
      </c>
      <c r="C339" s="11" t="inlineStr">
        <is>
          <t>PST de Monta</t>
        </is>
      </c>
      <c r="D339" s="21" t="inlineStr">
        <is>
          <t>Prado</t>
        </is>
      </c>
      <c r="E339" s="21" t="inlineStr">
        <is>
          <t>Tolima</t>
        </is>
      </c>
      <c r="F339" s="21" t="n">
        <v>10</v>
      </c>
      <c r="G339" s="21" t="n">
        <v>321</v>
      </c>
      <c r="H339" s="42" t="n">
        <v>-74.91702778</v>
      </c>
      <c r="I339" s="43" t="n">
        <v>3.78761111</v>
      </c>
      <c r="J339" s="22" t="n">
        <v>28.09834787513189</v>
      </c>
      <c r="K339" s="23" t="n">
        <v>28.28787600361321</v>
      </c>
      <c r="L339" s="23" t="n">
        <v>27.91958454686336</v>
      </c>
      <c r="M339" s="23" t="n">
        <v>27.64471925158703</v>
      </c>
      <c r="N339" s="23" t="n">
        <v>27.72162903157894</v>
      </c>
      <c r="O339" s="23" t="n">
        <v>27.80385012250493</v>
      </c>
      <c r="P339" s="23" t="n">
        <v>28.22995986732925</v>
      </c>
      <c r="Q339" s="23" t="n">
        <v>28.99202510405596</v>
      </c>
      <c r="R339" s="23" t="n">
        <v>29.07052497201131</v>
      </c>
      <c r="S339" s="23" t="n">
        <v>28.10239113050358</v>
      </c>
      <c r="T339" s="23" t="n">
        <v>27.55855751405679</v>
      </c>
      <c r="U339" s="23" t="n">
        <v>27.59107367003898</v>
      </c>
      <c r="V339" s="38" t="n">
        <v>28.08504492410627</v>
      </c>
      <c r="W339" s="41" t="n">
        <v>304</v>
      </c>
      <c r="X339" s="24" t="n">
        <v>0.8444444444444444</v>
      </c>
    </row>
    <row r="340" ht="13.9" customHeight="1">
      <c r="A340" s="10" t="n">
        <v>21165030</v>
      </c>
      <c r="B340" s="21" t="inlineStr">
        <is>
          <t>PM</t>
        </is>
      </c>
      <c r="C340" s="21" t="inlineStr">
        <is>
          <t>Lozanía</t>
        </is>
      </c>
      <c r="D340" s="21" t="inlineStr">
        <is>
          <t>Purificación</t>
        </is>
      </c>
      <c r="E340" s="21" t="inlineStr">
        <is>
          <t>Tolima</t>
        </is>
      </c>
      <c r="F340" s="21" t="n">
        <v>10</v>
      </c>
      <c r="G340" s="21" t="n">
        <v>394</v>
      </c>
      <c r="H340" s="42" t="n">
        <v>-74.77152778</v>
      </c>
      <c r="I340" s="43" t="n">
        <v>3.89791667</v>
      </c>
      <c r="J340" s="22" t="n">
        <v>26.79588638237301</v>
      </c>
      <c r="K340" s="23" t="n">
        <v>27.06602482819434</v>
      </c>
      <c r="L340" s="23" t="n">
        <v>26.80366746316205</v>
      </c>
      <c r="M340" s="23" t="n">
        <v>26.37465038314173</v>
      </c>
      <c r="N340" s="23" t="n">
        <v>26.50945782130053</v>
      </c>
      <c r="O340" s="23" t="n">
        <v>26.17112506841814</v>
      </c>
      <c r="P340" s="23" t="n">
        <v>26.4248026776091</v>
      </c>
      <c r="Q340" s="23" t="n">
        <v>26.78638934501</v>
      </c>
      <c r="R340" s="23" t="n">
        <v>27.3227764094143</v>
      </c>
      <c r="S340" s="23" t="n">
        <v>26.78563797452127</v>
      </c>
      <c r="T340" s="23" t="n">
        <v>26.35809141369483</v>
      </c>
      <c r="U340" s="23" t="n">
        <v>26.51180290013063</v>
      </c>
      <c r="V340" s="38" t="n">
        <v>26.6591927222475</v>
      </c>
      <c r="W340" s="41" t="n">
        <v>113</v>
      </c>
      <c r="X340" s="24" t="n">
        <v>0.9416666666666667</v>
      </c>
    </row>
    <row r="341" ht="13.9" customHeight="1">
      <c r="A341" s="10" t="n">
        <v>22055030</v>
      </c>
      <c r="B341" s="21" t="inlineStr">
        <is>
          <t>CO</t>
        </is>
      </c>
      <c r="C341" s="21" t="inlineStr">
        <is>
          <t>Santa Helena</t>
        </is>
      </c>
      <c r="D341" s="21" t="inlineStr">
        <is>
          <t>Purificación</t>
        </is>
      </c>
      <c r="E341" s="21" t="inlineStr">
        <is>
          <t>Tolima</t>
        </is>
      </c>
      <c r="F341" s="21" t="n">
        <v>10</v>
      </c>
      <c r="G341" s="21" t="n">
        <v>300</v>
      </c>
      <c r="H341" s="42" t="n">
        <v>-74.89880556</v>
      </c>
      <c r="I341" s="43" t="n">
        <v>3.98605556</v>
      </c>
      <c r="J341" s="22" t="n">
        <v>28.27946774193547</v>
      </c>
      <c r="K341" s="23" t="n">
        <v>28.31486517819132</v>
      </c>
      <c r="L341" s="23" t="n">
        <v>27.84507974910392</v>
      </c>
      <c r="M341" s="23" t="n">
        <v>27.4419540229885</v>
      </c>
      <c r="N341" s="23" t="n">
        <v>27.57703712237582</v>
      </c>
      <c r="O341" s="23" t="n">
        <v>27.64463793103447</v>
      </c>
      <c r="P341" s="23" t="n">
        <v>27.84045997610513</v>
      </c>
      <c r="Q341" s="23" t="n">
        <v>28.55535663082436</v>
      </c>
      <c r="R341" s="23" t="n">
        <v>28.31109461472965</v>
      </c>
      <c r="S341" s="23" t="n">
        <v>27.62647843282658</v>
      </c>
      <c r="T341" s="23" t="n">
        <v>27.31811685823754</v>
      </c>
      <c r="U341" s="23" t="n">
        <v>27.52856945989369</v>
      </c>
      <c r="V341" s="38" t="n">
        <v>27.85692647652054</v>
      </c>
      <c r="W341" s="41" t="n">
        <v>119</v>
      </c>
      <c r="X341" s="24" t="n">
        <v>0.9916666666666667</v>
      </c>
    </row>
    <row r="342" ht="13.9" customHeight="1">
      <c r="A342" s="10" t="n">
        <v>22015020</v>
      </c>
      <c r="B342" s="21" t="inlineStr">
        <is>
          <t>CO</t>
        </is>
      </c>
      <c r="C342" s="21" t="inlineStr">
        <is>
          <t>Relator</t>
        </is>
      </c>
      <c r="D342" s="21" t="inlineStr">
        <is>
          <t>Rioblanco</t>
        </is>
      </c>
      <c r="E342" s="21" t="inlineStr">
        <is>
          <t>Tolima</t>
        </is>
      </c>
      <c r="F342" s="21" t="n">
        <v>10</v>
      </c>
      <c r="G342" s="21" t="n">
        <v>1160</v>
      </c>
      <c r="H342" s="42" t="n">
        <v>-75.63141666999999</v>
      </c>
      <c r="I342" s="43" t="n">
        <v>3.52913889</v>
      </c>
      <c r="J342" s="22" t="n">
        <v>23.24019473068024</v>
      </c>
      <c r="K342" s="23" t="n">
        <v>23.46203706744508</v>
      </c>
      <c r="L342" s="23" t="n">
        <v>23.44290801507844</v>
      </c>
      <c r="M342" s="23" t="n">
        <v>23.53928397494371</v>
      </c>
      <c r="N342" s="23" t="n">
        <v>23.669704121777</v>
      </c>
      <c r="O342" s="23" t="n">
        <v>23.65548114465352</v>
      </c>
      <c r="P342" s="23" t="n">
        <v>23.70149871863532</v>
      </c>
      <c r="Q342" s="23" t="n">
        <v>24.05592194608969</v>
      </c>
      <c r="R342" s="23" t="n">
        <v>24.18776868940337</v>
      </c>
      <c r="S342" s="23" t="n">
        <v>23.42464268977579</v>
      </c>
      <c r="T342" s="23" t="n">
        <v>22.83810267901528</v>
      </c>
      <c r="U342" s="23" t="n">
        <v>22.9920732798674</v>
      </c>
      <c r="V342" s="38" t="n">
        <v>23.51746808811373</v>
      </c>
      <c r="W342" s="41" t="n">
        <v>298</v>
      </c>
      <c r="X342" s="24" t="n">
        <v>0.8277777777777777</v>
      </c>
    </row>
    <row r="343" ht="13.9" customHeight="1">
      <c r="A343" s="10" t="n">
        <v>22075030</v>
      </c>
      <c r="B343" s="21" t="inlineStr">
        <is>
          <t>CO</t>
        </is>
      </c>
      <c r="C343" s="21" t="inlineStr">
        <is>
          <t>Riomanso</t>
        </is>
      </c>
      <c r="D343" s="21" t="inlineStr">
        <is>
          <t>Rovira</t>
        </is>
      </c>
      <c r="E343" s="21" t="inlineStr">
        <is>
          <t>Tolima</t>
        </is>
      </c>
      <c r="F343" s="21" t="n">
        <v>10</v>
      </c>
      <c r="G343" s="21" t="n">
        <v>2053</v>
      </c>
      <c r="H343" s="42" t="n">
        <v>-75.41558332999999</v>
      </c>
      <c r="I343" s="43" t="n">
        <v>4.206777779999999</v>
      </c>
      <c r="J343" s="22" t="n">
        <v>17.09055613729216</v>
      </c>
      <c r="K343" s="23" t="n">
        <v>17.17773141237218</v>
      </c>
      <c r="L343" s="23" t="n">
        <v>17.18619178382842</v>
      </c>
      <c r="M343" s="23" t="n">
        <v>17.47681189695326</v>
      </c>
      <c r="N343" s="23" t="n">
        <v>17.42164413144399</v>
      </c>
      <c r="O343" s="23" t="n">
        <v>17.38254908005369</v>
      </c>
      <c r="P343" s="23" t="n">
        <v>17.2289819092304</v>
      </c>
      <c r="Q343" s="23" t="n">
        <v>17.38634476379757</v>
      </c>
      <c r="R343" s="23" t="n">
        <v>17.43184394428297</v>
      </c>
      <c r="S343" s="23" t="n">
        <v>17.28333261259055</v>
      </c>
      <c r="T343" s="23" t="n">
        <v>16.99694791578087</v>
      </c>
      <c r="U343" s="23" t="n">
        <v>17.06218727822517</v>
      </c>
      <c r="V343" s="38" t="n">
        <v>17.2604269054876</v>
      </c>
      <c r="W343" s="41" t="n">
        <v>222</v>
      </c>
      <c r="X343" s="24" t="n">
        <v>0.925</v>
      </c>
    </row>
    <row r="344" ht="13.9" customHeight="1">
      <c r="A344" s="10" t="n">
        <v>21135020</v>
      </c>
      <c r="B344" s="21" t="inlineStr">
        <is>
          <t>CO</t>
        </is>
      </c>
      <c r="C344" s="21" t="inlineStr">
        <is>
          <t>Jabalcon</t>
        </is>
      </c>
      <c r="D344" s="21" t="inlineStr">
        <is>
          <t>Saldaña</t>
        </is>
      </c>
      <c r="E344" s="21" t="inlineStr">
        <is>
          <t>Tolima</t>
        </is>
      </c>
      <c r="F344" s="21" t="n">
        <v>10</v>
      </c>
      <c r="G344" s="21" t="n">
        <v>425</v>
      </c>
      <c r="H344" s="42" t="n">
        <v>-75.01572222</v>
      </c>
      <c r="I344" s="43" t="n">
        <v>3.85583333</v>
      </c>
      <c r="J344" s="22" t="n">
        <v>28.3363278258845</v>
      </c>
      <c r="K344" s="23" t="n">
        <v>28.45983398767245</v>
      </c>
      <c r="L344" s="23" t="n">
        <v>27.93098384273736</v>
      </c>
      <c r="M344" s="23" t="n">
        <v>27.80722760156254</v>
      </c>
      <c r="N344" s="23" t="n">
        <v>27.84584152529645</v>
      </c>
      <c r="O344" s="23" t="n">
        <v>27.9205049790301</v>
      </c>
      <c r="P344" s="23" t="n">
        <v>28.53323638756981</v>
      </c>
      <c r="Q344" s="23" t="n">
        <v>29.49452065732864</v>
      </c>
      <c r="R344" s="23" t="n">
        <v>29.30312746427728</v>
      </c>
      <c r="S344" s="23" t="n">
        <v>28.16690230040273</v>
      </c>
      <c r="T344" s="23" t="n">
        <v>27.46449399393708</v>
      </c>
      <c r="U344" s="23" t="n">
        <v>27.72402921231419</v>
      </c>
      <c r="V344" s="38" t="n">
        <v>28.24891914816776</v>
      </c>
      <c r="W344" s="41" t="n">
        <v>291</v>
      </c>
      <c r="X344" s="24" t="n">
        <v>0.8083333333333333</v>
      </c>
    </row>
    <row r="345" ht="14.45" customHeight="1">
      <c r="A345" s="10" t="n">
        <v>22065040</v>
      </c>
      <c r="B345" s="21" t="inlineStr">
        <is>
          <t>CP</t>
        </is>
      </c>
      <c r="C345" s="21" t="inlineStr">
        <is>
          <t>San Antonio Quinta</t>
        </is>
      </c>
      <c r="D345" s="21" t="inlineStr">
        <is>
          <t>San Antonio</t>
        </is>
      </c>
      <c r="E345" s="21" t="inlineStr">
        <is>
          <t>Tolima</t>
        </is>
      </c>
      <c r="F345" s="21" t="n">
        <v>10</v>
      </c>
      <c r="G345" s="21" t="n">
        <v>1448</v>
      </c>
      <c r="H345" s="42" t="n">
        <v>-75.48808332999999</v>
      </c>
      <c r="I345" s="43" t="n">
        <v>3.90691667</v>
      </c>
      <c r="J345" s="44" t="n">
        <v>21.32441519015835</v>
      </c>
      <c r="K345" s="45" t="n">
        <v>21.46325701734583</v>
      </c>
      <c r="L345" s="45" t="n">
        <v>21.40443604042829</v>
      </c>
      <c r="M345" s="45" t="n">
        <v>21.32351317941314</v>
      </c>
      <c r="N345" s="45" t="n">
        <v>21.4768568912548</v>
      </c>
      <c r="O345" s="45" t="n">
        <v>21.53584102561049</v>
      </c>
      <c r="P345" s="45" t="n">
        <v>21.60766179705843</v>
      </c>
      <c r="Q345" s="45" t="n">
        <v>21.92453935902186</v>
      </c>
      <c r="R345" s="45" t="n">
        <v>22.05916615791612</v>
      </c>
      <c r="S345" s="45" t="n">
        <v>21.21211037218728</v>
      </c>
      <c r="T345" s="45" t="n">
        <v>20.78370679392443</v>
      </c>
      <c r="U345" s="45" t="n">
        <v>20.9810119841926</v>
      </c>
      <c r="V345" s="38" t="n">
        <v>21.4247096507093</v>
      </c>
      <c r="W345" s="41" t="n">
        <v>295</v>
      </c>
      <c r="X345" s="24" t="n">
        <v>0.8194444444444444</v>
      </c>
    </row>
    <row r="346" ht="13.9" customHeight="1">
      <c r="A346" s="10" t="n">
        <v>21245140</v>
      </c>
      <c r="B346" s="35" t="inlineStr">
        <is>
          <t>ME</t>
        </is>
      </c>
      <c r="C346" s="35" t="inlineStr">
        <is>
          <t>Santa Isabel</t>
        </is>
      </c>
      <c r="D346" s="35" t="inlineStr">
        <is>
          <t>Santa Isabel</t>
        </is>
      </c>
      <c r="E346" s="35" t="inlineStr">
        <is>
          <t>Tolima</t>
        </is>
      </c>
      <c r="F346" s="35" t="n">
        <v>10</v>
      </c>
      <c r="G346" s="35" t="n">
        <v>2288</v>
      </c>
      <c r="H346" s="36" t="n">
        <v>-75.09445556</v>
      </c>
      <c r="I346" s="37" t="n">
        <v>4.71186111</v>
      </c>
      <c r="J346" s="44" t="n">
        <v>15.32012525844975</v>
      </c>
      <c r="K346" s="45" t="n">
        <v>15.44190927446326</v>
      </c>
      <c r="L346" s="45" t="n">
        <v>15.58978555119222</v>
      </c>
      <c r="M346" s="45" t="n">
        <v>15.71771121811347</v>
      </c>
      <c r="N346" s="45" t="n">
        <v>16.01212088907257</v>
      </c>
      <c r="O346" s="45" t="n">
        <v>16.09859507244561</v>
      </c>
      <c r="P346" s="45" t="n">
        <v>15.99559198953173</v>
      </c>
      <c r="Q346" s="45" t="n">
        <v>16.21999267773517</v>
      </c>
      <c r="R346" s="45" t="n">
        <v>16.21270616909693</v>
      </c>
      <c r="S346" s="45" t="n">
        <v>15.63268119252172</v>
      </c>
      <c r="T346" s="45" t="n">
        <v>15.26053149652276</v>
      </c>
      <c r="U346" s="45" t="n">
        <v>15.54744137845028</v>
      </c>
      <c r="V346" s="38" t="n">
        <v>15.75409934729962</v>
      </c>
      <c r="W346" s="41" t="n">
        <v>115</v>
      </c>
      <c r="X346" s="24" t="n">
        <v>0.9583333333333334</v>
      </c>
    </row>
    <row r="347" ht="13.9" customHeight="1">
      <c r="A347" s="10" t="n">
        <v>21255110</v>
      </c>
      <c r="B347" s="21" t="inlineStr">
        <is>
          <t>CO</t>
        </is>
      </c>
      <c r="C347" s="21" t="inlineStr">
        <is>
          <t>Santa Isabel</t>
        </is>
      </c>
      <c r="D347" s="21" t="inlineStr">
        <is>
          <t>Santa Isabel</t>
        </is>
      </c>
      <c r="E347" s="21" t="inlineStr">
        <is>
          <t>Tolima</t>
        </is>
      </c>
      <c r="F347" s="21" t="n">
        <v>10</v>
      </c>
      <c r="G347" s="21" t="n">
        <v>2817</v>
      </c>
      <c r="H347" s="42" t="n">
        <v>-75.13183332999999</v>
      </c>
      <c r="I347" s="43" t="n">
        <v>4.70175</v>
      </c>
      <c r="J347" s="22" t="n">
        <v>12.20084020825608</v>
      </c>
      <c r="K347" s="23" t="n">
        <v>12.60192673173994</v>
      </c>
      <c r="L347" s="23" t="n">
        <v>12.58568056544635</v>
      </c>
      <c r="M347" s="23" t="n">
        <v>12.8685571192324</v>
      </c>
      <c r="N347" s="23" t="n">
        <v>13.32525120504264</v>
      </c>
      <c r="O347" s="23" t="n">
        <v>12.91926635447708</v>
      </c>
      <c r="P347" s="23" t="n">
        <v>12.77737489406218</v>
      </c>
      <c r="Q347" s="23" t="n">
        <v>12.80403476702508</v>
      </c>
      <c r="R347" s="23" t="n">
        <v>12.62347576983113</v>
      </c>
      <c r="S347" s="23" t="n">
        <v>12.58788206455823</v>
      </c>
      <c r="T347" s="23" t="n">
        <v>12.45057120051085</v>
      </c>
      <c r="U347" s="23" t="n">
        <v>12.43647945468509</v>
      </c>
      <c r="V347" s="38" t="n">
        <v>12.68177836123892</v>
      </c>
      <c r="W347" s="41" t="n">
        <v>107</v>
      </c>
      <c r="X347" s="24" t="n">
        <v>0.89</v>
      </c>
    </row>
    <row r="348" ht="13.9" customHeight="1">
      <c r="A348" s="10" t="n">
        <v>21185080</v>
      </c>
      <c r="B348" s="35" t="inlineStr">
        <is>
          <t>CO</t>
        </is>
      </c>
      <c r="C348" s="35" t="inlineStr">
        <is>
          <t>Valle de San Juan</t>
        </is>
      </c>
      <c r="D348" s="35" t="inlineStr">
        <is>
          <t>Valle De San Juan</t>
        </is>
      </c>
      <c r="E348" s="35" t="inlineStr">
        <is>
          <t>Tolima</t>
        </is>
      </c>
      <c r="F348" s="35" t="n">
        <v>10</v>
      </c>
      <c r="G348" s="35" t="n">
        <v>591</v>
      </c>
      <c r="H348" s="36" t="n">
        <v>-75.10461111000001</v>
      </c>
      <c r="I348" s="37" t="n">
        <v>4.21645833</v>
      </c>
      <c r="J348" s="22" t="n">
        <v>26.08541992337163</v>
      </c>
      <c r="K348" s="23" t="n">
        <v>26.56641116673875</v>
      </c>
      <c r="L348" s="23" t="n">
        <v>26.41405668026201</v>
      </c>
      <c r="M348" s="23" t="n">
        <v>26.04878750228059</v>
      </c>
      <c r="N348" s="23" t="n">
        <v>25.96074193548386</v>
      </c>
      <c r="O348" s="23" t="n">
        <v>25.96259999999999</v>
      </c>
      <c r="P348" s="23" t="n">
        <v>26.63837121761699</v>
      </c>
      <c r="Q348" s="23" t="n">
        <v>27.6252438841511</v>
      </c>
      <c r="R348" s="23" t="n">
        <v>27.44577311344327</v>
      </c>
      <c r="S348" s="23" t="n">
        <v>26.16601419906257</v>
      </c>
      <c r="T348" s="23" t="n">
        <v>25.50511085568326</v>
      </c>
      <c r="U348" s="23" t="n">
        <v>25.47222500213912</v>
      </c>
      <c r="V348" s="38" t="n">
        <v>26.32422962335276</v>
      </c>
      <c r="W348" s="41" t="n">
        <v>302</v>
      </c>
      <c r="X348" s="24" t="n">
        <v>0.8388888888888889</v>
      </c>
    </row>
    <row r="349" ht="13.9" customHeight="1">
      <c r="A349" s="10" t="n">
        <v>21255120</v>
      </c>
      <c r="B349" s="21" t="inlineStr">
        <is>
          <t>CO</t>
        </is>
      </c>
      <c r="C349" s="21" t="inlineStr">
        <is>
          <t>Villahermosa</t>
        </is>
      </c>
      <c r="D349" s="21" t="inlineStr">
        <is>
          <t>Villahermosa</t>
        </is>
      </c>
      <c r="E349" s="21" t="inlineStr">
        <is>
          <t>Tolima</t>
        </is>
      </c>
      <c r="F349" s="21" t="n">
        <v>10</v>
      </c>
      <c r="G349" s="21" t="n">
        <v>2069</v>
      </c>
      <c r="H349" s="42" t="n">
        <v>-75.11733611</v>
      </c>
      <c r="I349" s="43" t="n">
        <v>5.02676194</v>
      </c>
      <c r="J349" s="22" t="n">
        <v>16.81717673272084</v>
      </c>
      <c r="K349" s="23" t="n">
        <v>17.04952568881157</v>
      </c>
      <c r="L349" s="23" t="n">
        <v>17.05353987068964</v>
      </c>
      <c r="M349" s="23" t="n">
        <v>17.34713029556649</v>
      </c>
      <c r="N349" s="23" t="n">
        <v>17.58435750857434</v>
      </c>
      <c r="O349" s="23" t="n">
        <v>17.42857089620877</v>
      </c>
      <c r="P349" s="23" t="n">
        <v>17.38721901466061</v>
      </c>
      <c r="Q349" s="23" t="n">
        <v>17.46411207926501</v>
      </c>
      <c r="R349" s="23" t="n">
        <v>17.43390555087432</v>
      </c>
      <c r="S349" s="23" t="n">
        <v>17.03172300498495</v>
      </c>
      <c r="T349" s="23" t="n">
        <v>16.86915490716179</v>
      </c>
      <c r="U349" s="23" t="n">
        <v>16.87456097647048</v>
      </c>
      <c r="V349" s="38" t="n">
        <v>17.19508137716574</v>
      </c>
      <c r="W349" s="41" t="n">
        <v>293</v>
      </c>
      <c r="X349" s="24" t="n">
        <v>0.8138888888888889</v>
      </c>
    </row>
    <row r="350" ht="13.9" customHeight="1">
      <c r="A350" s="10" t="n">
        <v>53115010</v>
      </c>
      <c r="B350" s="21" t="inlineStr">
        <is>
          <t>PM</t>
        </is>
      </c>
      <c r="C350" s="21" t="inlineStr">
        <is>
          <t>Aeropuerto Buenaventura</t>
        </is>
      </c>
      <c r="D350" s="21" t="inlineStr">
        <is>
          <t>Buenaventura</t>
        </is>
      </c>
      <c r="E350" s="21" t="inlineStr">
        <is>
          <t>Valle del Cauca</t>
        </is>
      </c>
      <c r="F350" s="21" t="n">
        <v>9</v>
      </c>
      <c r="G350" s="21" t="n">
        <v>28</v>
      </c>
      <c r="H350" s="42" t="n">
        <v>-76.99238889</v>
      </c>
      <c r="I350" s="43" t="n">
        <v>3.82011111</v>
      </c>
      <c r="J350" s="22" t="n">
        <v>25.92651872450868</v>
      </c>
      <c r="K350" s="23" t="n">
        <v>26.13977467615396</v>
      </c>
      <c r="L350" s="23" t="n">
        <v>26.41496057347667</v>
      </c>
      <c r="M350" s="23" t="n">
        <v>26.73865517241375</v>
      </c>
      <c r="N350" s="23" t="n">
        <v>26.51421505376341</v>
      </c>
      <c r="O350" s="23" t="n">
        <v>26.28749531715621</v>
      </c>
      <c r="P350" s="23" t="n">
        <v>26.20750840915354</v>
      </c>
      <c r="Q350" s="23" t="n">
        <v>26.10966769073217</v>
      </c>
      <c r="R350" s="23" t="n">
        <v>26.06865961199291</v>
      </c>
      <c r="S350" s="23" t="n">
        <v>25.78275038108183</v>
      </c>
      <c r="T350" s="23" t="n">
        <v>25.69104938271601</v>
      </c>
      <c r="U350" s="23" t="n">
        <v>25.60483723831885</v>
      </c>
      <c r="V350" s="38" t="n">
        <v>26.123841019289</v>
      </c>
      <c r="W350" s="41" t="n">
        <v>116</v>
      </c>
      <c r="X350" s="24" t="n">
        <v>0.9666666666666667</v>
      </c>
    </row>
    <row r="351" ht="13.9" customHeight="1">
      <c r="A351" s="10" t="n">
        <v>26105150</v>
      </c>
      <c r="B351" s="21" t="inlineStr">
        <is>
          <t>CO</t>
        </is>
      </c>
      <c r="C351" s="21" t="inlineStr">
        <is>
          <t>San Marcos</t>
        </is>
      </c>
      <c r="D351" s="21" t="inlineStr">
        <is>
          <t>Bugalagrande</t>
        </is>
      </c>
      <c r="E351" s="21" t="inlineStr">
        <is>
          <t>Valle del Cauca</t>
        </is>
      </c>
      <c r="F351" s="21" t="n">
        <v>9</v>
      </c>
      <c r="G351" s="21" t="n">
        <v>1011</v>
      </c>
      <c r="H351" s="42" t="n">
        <v>-76.03305556000001</v>
      </c>
      <c r="I351" s="43" t="n">
        <v>4.23891667</v>
      </c>
      <c r="J351" s="22" t="n">
        <v>23.43064896028127</v>
      </c>
      <c r="K351" s="23" t="n">
        <v>23.61345931561402</v>
      </c>
      <c r="L351" s="23" t="n">
        <v>23.59130601344684</v>
      </c>
      <c r="M351" s="23" t="n">
        <v>23.47887620228854</v>
      </c>
      <c r="N351" s="23" t="n">
        <v>23.36595554662227</v>
      </c>
      <c r="O351" s="23" t="n">
        <v>23.4091494518944</v>
      </c>
      <c r="P351" s="23" t="n">
        <v>23.53289334574705</v>
      </c>
      <c r="Q351" s="23" t="n">
        <v>23.81000293641964</v>
      </c>
      <c r="R351" s="23" t="n">
        <v>23.69956569584174</v>
      </c>
      <c r="S351" s="23" t="n">
        <v>23.1422602484216</v>
      </c>
      <c r="T351" s="23" t="n">
        <v>23.00793321065969</v>
      </c>
      <c r="U351" s="23" t="n">
        <v>23.1720942989575</v>
      </c>
      <c r="V351" s="38" t="n">
        <v>23.43784543551621</v>
      </c>
      <c r="W351" s="41" t="n">
        <v>293</v>
      </c>
      <c r="X351" s="24" t="n">
        <v>0.8138888888888889</v>
      </c>
    </row>
    <row r="352" ht="13.9" customHeight="1">
      <c r="A352" s="10" t="n">
        <v>26095080</v>
      </c>
      <c r="B352" s="21" t="inlineStr">
        <is>
          <t>CO</t>
        </is>
      </c>
      <c r="C352" s="21" t="inlineStr">
        <is>
          <t>Tenerife</t>
        </is>
      </c>
      <c r="D352" s="21" t="inlineStr">
        <is>
          <t>El Cerrito</t>
        </is>
      </c>
      <c r="E352" s="21" t="inlineStr">
        <is>
          <t>Valle del Cauca</t>
        </is>
      </c>
      <c r="F352" s="21" t="n">
        <v>9</v>
      </c>
      <c r="G352" s="21" t="n">
        <v>2628</v>
      </c>
      <c r="H352" s="42" t="n">
        <v>-76.07477778000001</v>
      </c>
      <c r="I352" s="43" t="n">
        <v>3.72997222</v>
      </c>
      <c r="J352" s="44" t="n">
        <v>12.6126995272525</v>
      </c>
      <c r="K352" s="45" t="n">
        <v>12.67502822249589</v>
      </c>
      <c r="L352" s="45" t="n">
        <v>13.00296557646356</v>
      </c>
      <c r="M352" s="45" t="n">
        <v>13.39575407088122</v>
      </c>
      <c r="N352" s="45" t="n">
        <v>13.36450298685782</v>
      </c>
      <c r="O352" s="45" t="n">
        <v>13.40645051085568</v>
      </c>
      <c r="P352" s="45" t="n">
        <v>13.16499047883892</v>
      </c>
      <c r="Q352" s="45" t="n">
        <v>13.31160595660261</v>
      </c>
      <c r="R352" s="45" t="n">
        <v>13.13205236270753</v>
      </c>
      <c r="S352" s="45" t="n">
        <v>12.88854241338112</v>
      </c>
      <c r="T352" s="45" t="n">
        <v>12.57698218320632</v>
      </c>
      <c r="U352" s="45" t="n">
        <v>12.77680841816532</v>
      </c>
      <c r="V352" s="38" t="n">
        <v>13.02569855897571</v>
      </c>
      <c r="W352" s="41" t="n">
        <v>111</v>
      </c>
      <c r="X352" s="24" t="n">
        <v>0.925</v>
      </c>
    </row>
    <row r="353" ht="13.9" customHeight="1">
      <c r="A353" s="10" t="n">
        <v>26095320</v>
      </c>
      <c r="B353" s="21" t="inlineStr">
        <is>
          <t>AM</t>
        </is>
      </c>
      <c r="C353" s="21" t="inlineStr">
        <is>
          <t xml:space="preserve">El Vinculo - AUT </t>
        </is>
      </c>
      <c r="D353" s="21" t="inlineStr">
        <is>
          <t>Florida</t>
        </is>
      </c>
      <c r="E353" s="21" t="inlineStr">
        <is>
          <t>Valle del Cauca</t>
        </is>
      </c>
      <c r="F353" s="21" t="n">
        <v>9</v>
      </c>
      <c r="G353" s="21" t="n">
        <v>980</v>
      </c>
      <c r="H353" s="42" t="n">
        <v>-76.30000556</v>
      </c>
      <c r="I353" s="43" t="n">
        <v>3.36041667</v>
      </c>
      <c r="J353" s="44" t="n">
        <v>23.76678742728005</v>
      </c>
      <c r="K353" s="45" t="n">
        <v>24.15118018538156</v>
      </c>
      <c r="L353" s="45" t="n">
        <v>24.09202468618184</v>
      </c>
      <c r="M353" s="45" t="n">
        <v>23.82724554850265</v>
      </c>
      <c r="N353" s="45" t="n">
        <v>23.61499077752469</v>
      </c>
      <c r="O353" s="45" t="n">
        <v>23.57844036992257</v>
      </c>
      <c r="P353" s="45" t="n">
        <v>23.86377015945224</v>
      </c>
      <c r="Q353" s="45" t="n">
        <v>24.12053583356606</v>
      </c>
      <c r="R353" s="45" t="n">
        <v>24.10030114732713</v>
      </c>
      <c r="S353" s="45" t="n">
        <v>23.31628480382397</v>
      </c>
      <c r="T353" s="45" t="n">
        <v>23.17024284194311</v>
      </c>
      <c r="U353" s="45" t="n">
        <v>23.29954884274667</v>
      </c>
      <c r="V353" s="38" t="n">
        <v>23.74177938530438</v>
      </c>
      <c r="W353" s="41" t="n">
        <v>299</v>
      </c>
      <c r="X353" s="24" t="n">
        <v>0.8305555555555556</v>
      </c>
    </row>
    <row r="354" ht="13.9" customHeight="1">
      <c r="A354" s="10" t="n">
        <v>26115040</v>
      </c>
      <c r="B354" s="21" t="inlineStr">
        <is>
          <t>CP</t>
        </is>
      </c>
      <c r="C354" s="21" t="inlineStr">
        <is>
          <t>Centro Administrativo La Unión</t>
        </is>
      </c>
      <c r="D354" s="21" t="inlineStr">
        <is>
          <t>La Unión</t>
        </is>
      </c>
      <c r="E354" s="21" t="inlineStr">
        <is>
          <t>Valle del Cauca</t>
        </is>
      </c>
      <c r="F354" s="21" t="n">
        <v>9</v>
      </c>
      <c r="G354" s="21" t="n">
        <v>934</v>
      </c>
      <c r="H354" s="42" t="n">
        <v>-76.06</v>
      </c>
      <c r="I354" s="43" t="n">
        <v>4.53</v>
      </c>
      <c r="J354" s="44" t="n">
        <v>24.30509605527844</v>
      </c>
      <c r="K354" s="45" t="n">
        <v>24.87070537174492</v>
      </c>
      <c r="L354" s="45" t="n">
        <v>24.88082636601791</v>
      </c>
      <c r="M354" s="45" t="n">
        <v>24.51281447213917</v>
      </c>
      <c r="N354" s="45" t="n">
        <v>24.24808823529411</v>
      </c>
      <c r="O354" s="45" t="n">
        <v>24.19456615277016</v>
      </c>
      <c r="P354" s="45" t="n">
        <v>24.39586710407426</v>
      </c>
      <c r="Q354" s="45" t="n">
        <v>24.65766927816457</v>
      </c>
      <c r="R354" s="45" t="n">
        <v>24.34080019525492</v>
      </c>
      <c r="S354" s="45" t="n">
        <v>23.91432289992995</v>
      </c>
      <c r="T354" s="45" t="n">
        <v>23.61078958078957</v>
      </c>
      <c r="U354" s="45" t="n">
        <v>23.97135467500938</v>
      </c>
      <c r="V354" s="38" t="n">
        <v>24.32524169887228</v>
      </c>
      <c r="W354" s="41" t="n">
        <v>213</v>
      </c>
      <c r="X354" s="24" t="n">
        <v>0.8875</v>
      </c>
    </row>
    <row r="355" ht="13.9" customHeight="1">
      <c r="A355" s="10" t="n">
        <v>26075100</v>
      </c>
      <c r="B355" s="21" t="inlineStr">
        <is>
          <t>CP</t>
        </is>
      </c>
      <c r="C355" s="21" t="inlineStr">
        <is>
          <t xml:space="preserve">Granja Exp Hoeschst </t>
        </is>
      </c>
      <c r="D355" s="21" t="inlineStr">
        <is>
          <t>Palmira</t>
        </is>
      </c>
      <c r="E355" s="21" t="inlineStr">
        <is>
          <t>Valle del Cauca</t>
        </is>
      </c>
      <c r="F355" s="21" t="n">
        <v>9</v>
      </c>
      <c r="G355" s="21" t="n">
        <v>950</v>
      </c>
      <c r="H355" s="42" t="n">
        <v>-76.43333333</v>
      </c>
      <c r="I355" s="43" t="n">
        <v>3.63333333</v>
      </c>
      <c r="J355" s="22" t="n">
        <v>24.5815564619124</v>
      </c>
      <c r="K355" s="23" t="n">
        <v>24.75121632305539</v>
      </c>
      <c r="L355" s="23" t="n">
        <v>24.74566308243726</v>
      </c>
      <c r="M355" s="23" t="n">
        <v>24.62394923371645</v>
      </c>
      <c r="N355" s="23" t="n">
        <v>24.55817680138423</v>
      </c>
      <c r="O355" s="23" t="n">
        <v>24.69663299440021</v>
      </c>
      <c r="P355" s="23" t="n">
        <v>24.74462903225805</v>
      </c>
      <c r="Q355" s="23" t="n">
        <v>24.99215490756924</v>
      </c>
      <c r="R355" s="23" t="n">
        <v>24.74890272456363</v>
      </c>
      <c r="S355" s="23" t="n">
        <v>24.36991818069458</v>
      </c>
      <c r="T355" s="23" t="n">
        <v>24.12033333333331</v>
      </c>
      <c r="U355" s="23" t="n">
        <v>24.26026881720428</v>
      </c>
      <c r="V355" s="38" t="n">
        <v>24.59945015771075</v>
      </c>
      <c r="W355" s="41" t="n">
        <v>117</v>
      </c>
      <c r="X355" s="24" t="n">
        <v>0.975</v>
      </c>
    </row>
    <row r="356" ht="13.9" customHeight="1">
      <c r="A356" s="10" t="n">
        <v>26075010</v>
      </c>
      <c r="B356" s="21" t="inlineStr">
        <is>
          <t>AM</t>
        </is>
      </c>
      <c r="C356" s="11" t="inlineStr">
        <is>
          <t>Palmira ICA</t>
        </is>
      </c>
      <c r="D356" s="21" t="inlineStr">
        <is>
          <t>Palmira</t>
        </is>
      </c>
      <c r="E356" s="21" t="inlineStr">
        <is>
          <t>Valle del Cauca</t>
        </is>
      </c>
      <c r="F356" s="21" t="n">
        <v>9</v>
      </c>
      <c r="G356" s="21" t="n">
        <v>1018</v>
      </c>
      <c r="H356" s="42" t="n">
        <v>-76.31488889000001</v>
      </c>
      <c r="I356" s="43" t="n">
        <v>3.51347222</v>
      </c>
      <c r="J356" s="22" t="n">
        <v>23.7594321385902</v>
      </c>
      <c r="K356" s="23" t="n">
        <v>24.02034148269779</v>
      </c>
      <c r="L356" s="23" t="n">
        <v>23.88391390382317</v>
      </c>
      <c r="M356" s="23" t="n">
        <v>23.71962962962962</v>
      </c>
      <c r="N356" s="23" t="n">
        <v>23.69756453930292</v>
      </c>
      <c r="O356" s="23" t="n">
        <v>23.68363146551723</v>
      </c>
      <c r="P356" s="23" t="n">
        <v>24.05440860215053</v>
      </c>
      <c r="Q356" s="23" t="n">
        <v>24.24334341397849</v>
      </c>
      <c r="R356" s="23" t="n">
        <v>24.01390924329501</v>
      </c>
      <c r="S356" s="23" t="n">
        <v>23.49785322987944</v>
      </c>
      <c r="T356" s="23" t="n">
        <v>23.31754622688655</v>
      </c>
      <c r="U356" s="23" t="n">
        <v>23.4701858345021</v>
      </c>
      <c r="V356" s="38" t="n">
        <v>23.78014664252109</v>
      </c>
      <c r="W356" s="41" t="n">
        <v>287</v>
      </c>
      <c r="X356" s="24" t="n">
        <v>0.7972222222222223</v>
      </c>
    </row>
    <row r="357" ht="13.9" customHeight="1">
      <c r="A357" s="10" t="n">
        <v>26125130</v>
      </c>
      <c r="B357" s="21" t="inlineStr">
        <is>
          <t>CO</t>
        </is>
      </c>
      <c r="C357" s="21" t="inlineStr">
        <is>
          <t>Cumbarco</t>
        </is>
      </c>
      <c r="D357" s="21" t="inlineStr">
        <is>
          <t>Sevilla</t>
        </is>
      </c>
      <c r="E357" s="21" t="inlineStr">
        <is>
          <t>Valle del Cauca</t>
        </is>
      </c>
      <c r="F357" s="21" t="n">
        <v>9</v>
      </c>
      <c r="G357" s="21" t="n">
        <v>1749</v>
      </c>
      <c r="H357" s="42" t="n">
        <v>-75.83236111000001</v>
      </c>
      <c r="I357" s="43" t="n">
        <v>4.185055559999999</v>
      </c>
      <c r="J357" s="22" t="n">
        <v>19.21651762950715</v>
      </c>
      <c r="K357" s="23" t="n">
        <v>19.24867528733144</v>
      </c>
      <c r="L357" s="23" t="n">
        <v>19.01510640864922</v>
      </c>
      <c r="M357" s="23" t="n">
        <v>19.00180406922974</v>
      </c>
      <c r="N357" s="23" t="n">
        <v>19.09541830824615</v>
      </c>
      <c r="O357" s="23" t="n">
        <v>19.25245825800422</v>
      </c>
      <c r="P357" s="23" t="n">
        <v>19.5698772272609</v>
      </c>
      <c r="Q357" s="23" t="n">
        <v>19.75763805885075</v>
      </c>
      <c r="R357" s="23" t="n">
        <v>19.41872352960818</v>
      </c>
      <c r="S357" s="23" t="n">
        <v>18.72049671445638</v>
      </c>
      <c r="T357" s="23" t="n">
        <v>18.58396138105189</v>
      </c>
      <c r="U357" s="23" t="n">
        <v>18.85089644975898</v>
      </c>
      <c r="V357" s="38" t="n">
        <v>19.14429777682959</v>
      </c>
      <c r="W357" s="41" t="n">
        <v>344</v>
      </c>
      <c r="X357" s="24" t="n">
        <v>0.9555555555555556</v>
      </c>
    </row>
    <row r="358" ht="13.9" customHeight="1">
      <c r="A358" s="10" t="n">
        <v>26105160</v>
      </c>
      <c r="B358" s="21" t="inlineStr">
        <is>
          <t>SP</t>
        </is>
      </c>
      <c r="C358" s="21" t="inlineStr">
        <is>
          <t>Aeropuerto Farfán</t>
        </is>
      </c>
      <c r="D358" s="21" t="inlineStr">
        <is>
          <t>Tuluá</t>
        </is>
      </c>
      <c r="E358" s="21" t="inlineStr">
        <is>
          <t>Valle del Cauca</t>
        </is>
      </c>
      <c r="F358" s="21" t="n">
        <v>9</v>
      </c>
      <c r="G358" s="21" t="n">
        <v>980</v>
      </c>
      <c r="H358" s="42" t="n">
        <v>-76.22358333</v>
      </c>
      <c r="I358" s="43" t="n">
        <v>4.09008333</v>
      </c>
      <c r="J358" s="22" t="n">
        <v>24.04470670122887</v>
      </c>
      <c r="K358" s="23" t="n">
        <v>24.28536728823893</v>
      </c>
      <c r="L358" s="23" t="n">
        <v>24.00457748350695</v>
      </c>
      <c r="M358" s="23" t="n">
        <v>23.87394586256654</v>
      </c>
      <c r="N358" s="23" t="n">
        <v>23.90263187214351</v>
      </c>
      <c r="O358" s="23" t="n">
        <v>23.79963146551723</v>
      </c>
      <c r="P358" s="23" t="n">
        <v>24.17425901924388</v>
      </c>
      <c r="Q358" s="23" t="n">
        <v>24.29099219039673</v>
      </c>
      <c r="R358" s="23" t="n">
        <v>24.00225688094597</v>
      </c>
      <c r="S358" s="23" t="n">
        <v>23.54505278195816</v>
      </c>
      <c r="T358" s="23" t="n">
        <v>23.2571130751151</v>
      </c>
      <c r="U358" s="23" t="n">
        <v>23.54561880098257</v>
      </c>
      <c r="V358" s="38" t="n">
        <v>23.89384611848704</v>
      </c>
      <c r="W358" s="41" t="n">
        <v>202</v>
      </c>
      <c r="X358" s="24" t="n">
        <v>0.8416666666666667</v>
      </c>
    </row>
    <row r="359" ht="13.9" customHeight="1">
      <c r="A359" s="10" t="n">
        <v>26105140</v>
      </c>
      <c r="B359" s="21" t="inlineStr">
        <is>
          <t>CO</t>
        </is>
      </c>
      <c r="C359" s="21" t="inlineStr">
        <is>
          <t>Barragán</t>
        </is>
      </c>
      <c r="D359" s="21" t="inlineStr">
        <is>
          <t>Tuluá</t>
        </is>
      </c>
      <c r="E359" s="21" t="inlineStr">
        <is>
          <t>Valle del Cauca</t>
        </is>
      </c>
      <c r="F359" s="21" t="n">
        <v>9</v>
      </c>
      <c r="G359" s="21" t="n">
        <v>2902</v>
      </c>
      <c r="H359" s="42" t="n">
        <v>-75.88802778</v>
      </c>
      <c r="I359" s="43" t="n">
        <v>4.03305556</v>
      </c>
      <c r="J359" s="22" t="n">
        <v>12.00371553237532</v>
      </c>
      <c r="K359" s="23" t="n">
        <v>12.08581323843485</v>
      </c>
      <c r="L359" s="23" t="n">
        <v>12.19080479232172</v>
      </c>
      <c r="M359" s="23" t="n">
        <v>12.31131666385974</v>
      </c>
      <c r="N359" s="23" t="n">
        <v>12.53271829125955</v>
      </c>
      <c r="O359" s="23" t="n">
        <v>12.38503587113418</v>
      </c>
      <c r="P359" s="23" t="n">
        <v>12.06075185767186</v>
      </c>
      <c r="Q359" s="23" t="n">
        <v>12.13034815541534</v>
      </c>
      <c r="R359" s="23" t="n">
        <v>12.18978290088969</v>
      </c>
      <c r="S359" s="23" t="n">
        <v>11.82221315351232</v>
      </c>
      <c r="T359" s="23" t="n">
        <v>11.63332924405519</v>
      </c>
      <c r="U359" s="23" t="n">
        <v>11.90332034206484</v>
      </c>
      <c r="V359" s="38" t="n">
        <v>12.10409583691622</v>
      </c>
      <c r="W359" s="41" t="n">
        <v>335</v>
      </c>
      <c r="X359" s="24" t="n">
        <v>0.9305555555555556</v>
      </c>
    </row>
    <row r="360" ht="13.9" customHeight="1">
      <c r="A360" s="10" t="n">
        <v>26105230</v>
      </c>
      <c r="B360" s="35" t="inlineStr">
        <is>
          <t>CO</t>
        </is>
      </c>
      <c r="C360" s="35" t="inlineStr">
        <is>
          <t>Mateguadua</t>
        </is>
      </c>
      <c r="D360" s="35" t="inlineStr">
        <is>
          <t>Tuluá</t>
        </is>
      </c>
      <c r="E360" s="35" t="inlineStr">
        <is>
          <t>Valle del Cauca</t>
        </is>
      </c>
      <c r="F360" s="35" t="n">
        <v>9</v>
      </c>
      <c r="G360" s="35" t="n">
        <v>1119</v>
      </c>
      <c r="H360" s="36" t="n">
        <v>-76.16852777999999</v>
      </c>
      <c r="I360" s="37" t="n">
        <v>4.02833333</v>
      </c>
      <c r="J360" s="44" t="n">
        <v>22.93314702664597</v>
      </c>
      <c r="K360" s="45" t="n">
        <v>23.10357093122394</v>
      </c>
      <c r="L360" s="45" t="n">
        <v>22.986734377769</v>
      </c>
      <c r="M360" s="45" t="n">
        <v>22.84454450468882</v>
      </c>
      <c r="N360" s="45" t="n">
        <v>22.77371111124663</v>
      </c>
      <c r="O360" s="45" t="n">
        <v>22.86651741836991</v>
      </c>
      <c r="P360" s="45" t="n">
        <v>22.91788397034211</v>
      </c>
      <c r="Q360" s="45" t="n">
        <v>23.23793130698154</v>
      </c>
      <c r="R360" s="45" t="n">
        <v>23.02992292701292</v>
      </c>
      <c r="S360" s="45" t="n">
        <v>22.55726609075596</v>
      </c>
      <c r="T360" s="45" t="n">
        <v>22.55671871948903</v>
      </c>
      <c r="U360" s="45" t="n">
        <v>22.64354125529933</v>
      </c>
      <c r="V360" s="38" t="n">
        <v>22.87095746998543</v>
      </c>
      <c r="W360" s="41" t="n">
        <v>326</v>
      </c>
      <c r="X360" s="24" t="n">
        <v>0.9055555555555556</v>
      </c>
    </row>
    <row r="361" ht="13.9" customHeight="1">
      <c r="A361" s="10" t="n">
        <v>42075010</v>
      </c>
      <c r="B361" s="21" t="inlineStr">
        <is>
          <t>CP</t>
        </is>
      </c>
      <c r="C361" s="21" t="inlineStr">
        <is>
          <t>Mitú</t>
        </is>
      </c>
      <c r="D361" s="21" t="inlineStr">
        <is>
          <t>Mitú</t>
        </is>
      </c>
      <c r="E361" s="21" t="inlineStr">
        <is>
          <t>Vaupés</t>
        </is>
      </c>
      <c r="F361" s="21" t="n">
        <v>3</v>
      </c>
      <c r="G361" s="21" t="n">
        <v>180</v>
      </c>
      <c r="H361" s="42" t="n">
        <v>-70.23999999999999</v>
      </c>
      <c r="I361" s="43" t="n">
        <v>1.26</v>
      </c>
      <c r="J361" s="22" t="n">
        <v>25.71587504736642</v>
      </c>
      <c r="K361" s="23" t="n">
        <v>25.65577622788733</v>
      </c>
      <c r="L361" s="23" t="n">
        <v>25.79260636383967</v>
      </c>
      <c r="M361" s="23" t="n">
        <v>25.70067087350707</v>
      </c>
      <c r="N361" s="23" t="n">
        <v>25.46720538093924</v>
      </c>
      <c r="O361" s="23" t="n">
        <v>25.09373354600557</v>
      </c>
      <c r="P361" s="23" t="n">
        <v>24.97320874295954</v>
      </c>
      <c r="Q361" s="23" t="n">
        <v>25.27783516958878</v>
      </c>
      <c r="R361" s="23" t="n">
        <v>25.67966610037471</v>
      </c>
      <c r="S361" s="23" t="n">
        <v>25.84451128626969</v>
      </c>
      <c r="T361" s="23" t="n">
        <v>25.90712205477694</v>
      </c>
      <c r="U361" s="23" t="n">
        <v>25.4826768689196</v>
      </c>
      <c r="V361" s="38" t="n">
        <v>25.54924063853622</v>
      </c>
      <c r="W361" s="41" t="n">
        <v>115</v>
      </c>
      <c r="X361" s="24" t="n">
        <v>0.9583333333333334</v>
      </c>
    </row>
    <row r="362" ht="13.9" customHeight="1">
      <c r="A362" s="10" t="n">
        <v>33055010</v>
      </c>
      <c r="B362" s="21" t="inlineStr">
        <is>
          <t>CO</t>
        </is>
      </c>
      <c r="C362" s="21" t="inlineStr">
        <is>
          <t>Cumaribo 2</t>
        </is>
      </c>
      <c r="D362" s="21" t="inlineStr">
        <is>
          <t>Cumaribo</t>
        </is>
      </c>
      <c r="E362" s="21" t="inlineStr">
        <is>
          <t>Vichada</t>
        </is>
      </c>
      <c r="F362" s="21" t="n">
        <v>3</v>
      </c>
      <c r="G362" s="21" t="n">
        <v>167</v>
      </c>
      <c r="H362" s="42" t="n">
        <v>-69.80333332999999</v>
      </c>
      <c r="I362" s="43" t="n">
        <v>4.49472222</v>
      </c>
      <c r="J362" s="22" t="n">
        <v>27.23056220810253</v>
      </c>
      <c r="K362" s="23" t="n">
        <v>27.74259953703703</v>
      </c>
      <c r="L362" s="23" t="n">
        <v>27.43954220780428</v>
      </c>
      <c r="M362" s="23" t="n">
        <v>26.43487992610837</v>
      </c>
      <c r="N362" s="23" t="n">
        <v>25.74867398070506</v>
      </c>
      <c r="O362" s="23" t="n">
        <v>25.24356660421315</v>
      </c>
      <c r="P362" s="23" t="n">
        <v>25.00520595831116</v>
      </c>
      <c r="Q362" s="23" t="n">
        <v>25.35926903967371</v>
      </c>
      <c r="R362" s="23" t="n">
        <v>25.93303305966063</v>
      </c>
      <c r="S362" s="23" t="n">
        <v>26.09758424786188</v>
      </c>
      <c r="T362" s="23" t="n">
        <v>26.42098790290169</v>
      </c>
      <c r="U362" s="23" t="n">
        <v>26.73426131728856</v>
      </c>
      <c r="V362" s="38" t="n">
        <v>26.28251383247234</v>
      </c>
      <c r="W362" s="41" t="n">
        <v>293</v>
      </c>
      <c r="X362" s="24" t="n">
        <v>0.8138888888888889</v>
      </c>
    </row>
    <row r="363" ht="13.9" customHeight="1">
      <c r="A363" s="10" t="n">
        <v>34015010</v>
      </c>
      <c r="B363" s="21" t="inlineStr">
        <is>
          <t>CP</t>
        </is>
      </c>
      <c r="C363" s="21" t="inlineStr">
        <is>
          <t xml:space="preserve">Las Gaviotas </t>
        </is>
      </c>
      <c r="D363" s="21" t="inlineStr">
        <is>
          <t>Cumaribo</t>
        </is>
      </c>
      <c r="E363" s="21" t="inlineStr">
        <is>
          <t>Vichada</t>
        </is>
      </c>
      <c r="F363" s="21" t="n">
        <v>3</v>
      </c>
      <c r="G363" s="21" t="n">
        <v>171</v>
      </c>
      <c r="H363" s="42" t="n">
        <v>-70.93011111</v>
      </c>
      <c r="I363" s="43" t="n">
        <v>4.55394444</v>
      </c>
      <c r="J363" s="44" t="n">
        <v>27.01982052000752</v>
      </c>
      <c r="K363" s="45" t="n">
        <v>27.63050304621172</v>
      </c>
      <c r="L363" s="45" t="n">
        <v>27.26665977503639</v>
      </c>
      <c r="M363" s="45" t="n">
        <v>26.33118642356607</v>
      </c>
      <c r="N363" s="45" t="n">
        <v>25.76050602710245</v>
      </c>
      <c r="O363" s="45" t="n">
        <v>25.27695786440113</v>
      </c>
      <c r="P363" s="45" t="n">
        <v>24.90911483027899</v>
      </c>
      <c r="Q363" s="45" t="n">
        <v>25.44921984241706</v>
      </c>
      <c r="R363" s="45" t="n">
        <v>26.03334788268257</v>
      </c>
      <c r="S363" s="45" t="n">
        <v>26.18643292457655</v>
      </c>
      <c r="T363" s="45" t="n">
        <v>26.33634971134046</v>
      </c>
      <c r="U363" s="45" t="n">
        <v>26.49462856898345</v>
      </c>
      <c r="V363" s="38" t="n">
        <v>26.22456061805036</v>
      </c>
      <c r="W363" s="41" t="n">
        <v>326</v>
      </c>
      <c r="X363" s="24" t="n">
        <v>0.9055555555555556</v>
      </c>
    </row>
    <row r="364" ht="13.5" customHeight="1" thickBot="1">
      <c r="A364" s="25" t="n">
        <v>38015030</v>
      </c>
      <c r="B364" s="26" t="inlineStr">
        <is>
          <t>SP</t>
        </is>
      </c>
      <c r="C364" s="26" t="inlineStr">
        <is>
          <t>Aeropuerto Puerto Carreño</t>
        </is>
      </c>
      <c r="D364" s="26" t="inlineStr">
        <is>
          <t>Puerto Carreño</t>
        </is>
      </c>
      <c r="E364" s="26" t="inlineStr">
        <is>
          <t>Vichada</t>
        </is>
      </c>
      <c r="F364" s="26" t="n">
        <v>3</v>
      </c>
      <c r="G364" s="26" t="n">
        <v>57</v>
      </c>
      <c r="H364" s="27" t="n">
        <v>-67.49122222000001</v>
      </c>
      <c r="I364" s="28" t="n">
        <v>6.18243611</v>
      </c>
      <c r="J364" s="29" t="n">
        <v>29.81688570290718</v>
      </c>
      <c r="K364" s="30" t="n">
        <v>30.72923044217685</v>
      </c>
      <c r="L364" s="30" t="n">
        <v>31.00656113102347</v>
      </c>
      <c r="M364" s="30" t="n">
        <v>29.52290674603171</v>
      </c>
      <c r="N364" s="30" t="n">
        <v>28.19852382276601</v>
      </c>
      <c r="O364" s="30" t="n">
        <v>27.25608955938694</v>
      </c>
      <c r="P364" s="30" t="n">
        <v>26.95404221425724</v>
      </c>
      <c r="Q364" s="30" t="n">
        <v>27.26843509984636</v>
      </c>
      <c r="R364" s="30" t="n">
        <v>27.90706246579089</v>
      </c>
      <c r="S364" s="30" t="n">
        <v>28.3711902113459</v>
      </c>
      <c r="T364" s="30" t="n">
        <v>28.80860185185182</v>
      </c>
      <c r="U364" s="30" t="n">
        <v>29.22035533308611</v>
      </c>
      <c r="V364" s="39" t="n">
        <v>28.75499038170587</v>
      </c>
      <c r="W364" s="49" t="n">
        <v>337</v>
      </c>
      <c r="X364" s="31" t="n">
        <v>0.9361111111111111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2" sqref="D2"/>
    </sheetView>
  </sheetViews>
  <sheetFormatPr baseColWidth="10" defaultRowHeight="12.75"/>
  <cols>
    <col width="73.140625" customWidth="1" min="3" max="3"/>
  </cols>
  <sheetData>
    <row r="1">
      <c r="A1" s="40" t="inlineStr">
        <is>
          <t>Fecha</t>
        </is>
      </c>
      <c r="B1" s="40" t="inlineStr">
        <is>
          <t>Hoja</t>
        </is>
      </c>
      <c r="C1" s="40" t="inlineStr">
        <is>
          <t>Descripción</t>
        </is>
      </c>
      <c r="D1" s="40" t="inlineStr">
        <is>
          <t>Responsale</t>
        </is>
      </c>
    </row>
    <row r="2" ht="25.5" customHeight="1">
      <c r="A2" s="34" t="n">
        <v>46071</v>
      </c>
      <c r="B2" s="33" t="inlineStr">
        <is>
          <t>Temperatura</t>
        </is>
      </c>
      <c r="C2" s="32" t="inlineStr">
        <is>
          <t>Se ajusto formula de MED_MES, agregando condicionante para las estaciones que no presentan datos en el periodo de tiempo evaluado</t>
        </is>
      </c>
      <c r="D2" s="33" t="inlineStr">
        <is>
          <t>ntoussaint</t>
        </is>
      </c>
    </row>
    <row r="3" ht="51" customHeight="1">
      <c r="A3" s="65" t="n">
        <v>46076</v>
      </c>
      <c r="B3" s="66" t="inlineStr">
        <is>
          <t>Temperatura</t>
        </is>
      </c>
      <c r="C3" s="67" t="inlineStr">
        <is>
      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      </is>
      </c>
      <c r="D3" s="66" t="inlineStr">
        <is>
          <t>ntoussaint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IDEAM</dc:creator>
  <dcterms:created xmlns:dcterms="http://purl.org/dc/terms/" xmlns:xsi="http://www.w3.org/2001/XMLSchema-instance" xsi:type="dcterms:W3CDTF">2008-10-19T17:20:03Z</dcterms:created>
  <dcterms:modified xmlns:dcterms="http://purl.org/dc/terms/" xmlns:xsi="http://www.w3.org/2001/XMLSchema-instance" xsi:type="dcterms:W3CDTF">2026-09-28T15:02:48Z</dcterms:modified>
  <cp:lastModifiedBy>Claudia Cristina Claro Palacios</cp:lastModifiedBy>
  <cp:lastPrinted>2017-06-11T12:02:38Z</cp:lastPrinted>
</cp:coreProperties>
</file>