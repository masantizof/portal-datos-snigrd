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CCD7E15-DAAC-4566-B284-670B7B1ED8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Temperatura!$AK$1:$AK$472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S255" i="1" s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S223" i="1" s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S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W215" i="1" s="1"/>
  <c r="AR215" i="1"/>
  <c r="AP215" i="1"/>
  <c r="AQ215" i="1" s="1"/>
  <c r="AS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S213" i="1" s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W211" i="1" s="1"/>
  <c r="AR211" i="1"/>
  <c r="AP211" i="1"/>
  <c r="AQ211" i="1" s="1"/>
  <c r="AV210" i="1" a="1"/>
  <c r="AV210" i="1"/>
  <c r="AU210" i="1" a="1"/>
  <c r="AU210" i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W191" i="1" s="1"/>
  <c r="AR191" i="1"/>
  <c r="AQ191" i="1"/>
  <c r="AS191" i="1" s="1"/>
  <c r="AP191" i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/>
  <c r="AT188" i="1"/>
  <c r="AR188" i="1"/>
  <c r="AP188" i="1"/>
  <c r="AQ188" i="1" s="1"/>
  <c r="AV187" i="1" a="1"/>
  <c r="AV187" i="1" s="1"/>
  <c r="AU187" i="1" a="1"/>
  <c r="AU187" i="1" s="1"/>
  <c r="AT187" i="1"/>
  <c r="AR187" i="1"/>
  <c r="AQ187" i="1"/>
  <c r="AP187" i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Q181" i="1"/>
  <c r="AP181" i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W165" i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/>
  <c r="AT156" i="1"/>
  <c r="AR156" i="1"/>
  <c r="AP156" i="1"/>
  <c r="AQ156" i="1" s="1"/>
  <c r="AV155" i="1" a="1"/>
  <c r="AV155" i="1" s="1"/>
  <c r="AU155" i="1" a="1"/>
  <c r="AU155" i="1" s="1"/>
  <c r="AT155" i="1"/>
  <c r="AR155" i="1"/>
  <c r="AQ155" i="1"/>
  <c r="AP155" i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P151" i="1"/>
  <c r="AQ151" i="1" s="1"/>
  <c r="AV150" i="1" a="1"/>
  <c r="AV150" i="1" s="1"/>
  <c r="AU150" i="1" a="1"/>
  <c r="AU150" i="1"/>
  <c r="AT150" i="1"/>
  <c r="AR150" i="1"/>
  <c r="AP150" i="1"/>
  <c r="AQ150" i="1" s="1"/>
  <c r="AV149" i="1" a="1"/>
  <c r="AV149" i="1" s="1"/>
  <c r="AU149" i="1" a="1"/>
  <c r="AU149" i="1" s="1"/>
  <c r="AT149" i="1"/>
  <c r="AW149" i="1" s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Q145" i="1"/>
  <c r="AS145" i="1" s="1"/>
  <c r="AP145" i="1"/>
  <c r="AV144" i="1" a="1"/>
  <c r="AV144" i="1"/>
  <c r="AU144" i="1" a="1"/>
  <c r="AU144" i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W139" i="1" s="1"/>
  <c r="AT139" i="1"/>
  <c r="AR139" i="1"/>
  <c r="AP139" i="1"/>
  <c r="AQ139" i="1" s="1"/>
  <c r="AV138" i="1" a="1"/>
  <c r="AV138" i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Q129" i="1"/>
  <c r="AP129" i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W127" i="1" s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/>
  <c r="AT118" i="1"/>
  <c r="AR118" i="1"/>
  <c r="AP118" i="1"/>
  <c r="AQ118" i="1" s="1"/>
  <c r="AV117" i="1" a="1"/>
  <c r="AV117" i="1" s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Q113" i="1"/>
  <c r="AS113" i="1" s="1"/>
  <c r="AP113" i="1"/>
  <c r="AV112" i="1" a="1"/>
  <c r="AV112" i="1" s="1"/>
  <c r="AU112" i="1" a="1"/>
  <c r="AU112" i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W107" i="1" s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W105" i="1" s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W102" i="1" s="1"/>
  <c r="AR102" i="1"/>
  <c r="AP102" i="1"/>
  <c r="AQ102" i="1" s="1"/>
  <c r="AS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Q99" i="1"/>
  <c r="AP99" i="1"/>
  <c r="AV98" i="1" a="1"/>
  <c r="AV98" i="1" s="1"/>
  <c r="AU98" i="1" a="1"/>
  <c r="AU98" i="1"/>
  <c r="AT98" i="1"/>
  <c r="AW98" i="1" s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/>
  <c r="AU92" i="1" a="1"/>
  <c r="AU92" i="1" s="1"/>
  <c r="AT92" i="1"/>
  <c r="AR92" i="1"/>
  <c r="AP92" i="1"/>
  <c r="AQ92" i="1" s="1"/>
  <c r="AV91" i="1" a="1"/>
  <c r="AV91" i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W83" i="1" s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W73" i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/>
  <c r="AU72" i="1" a="1"/>
  <c r="AU72" i="1" s="1"/>
  <c r="AT72" i="1"/>
  <c r="AR72" i="1"/>
  <c r="AP72" i="1"/>
  <c r="AQ72" i="1" s="1"/>
  <c r="AV71" i="1" a="1"/>
  <c r="AV71" i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W53" i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Q48" i="1"/>
  <c r="AS48" i="1" s="1"/>
  <c r="AP48" i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P45" i="1"/>
  <c r="AQ45" i="1" s="1"/>
  <c r="AW44" i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W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/>
  <c r="AT40" i="1"/>
  <c r="AW40" i="1" s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W37" i="1" s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W33" i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/>
  <c r="AT32" i="1"/>
  <c r="AW32" i="1" s="1"/>
  <c r="AR32" i="1"/>
  <c r="AP32" i="1"/>
  <c r="AQ32" i="1" s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W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/>
  <c r="AU22" i="1" a="1"/>
  <c r="AU22" i="1" s="1"/>
  <c r="AT22" i="1"/>
  <c r="AW22" i="1" s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W19" i="1" s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S8" i="1" s="1"/>
  <c r="AV7" i="1" a="1"/>
  <c r="AV7" i="1" s="1"/>
  <c r="AU7" i="1" a="1"/>
  <c r="AU7" i="1"/>
  <c r="AW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Q6" i="1"/>
  <c r="AP6" i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7" i="1" l="1"/>
  <c r="AW28" i="1"/>
  <c r="AS64" i="1"/>
  <c r="AW67" i="1"/>
  <c r="AW85" i="1"/>
  <c r="AS100" i="1"/>
  <c r="AS107" i="1"/>
  <c r="AW117" i="1"/>
  <c r="AW153" i="1"/>
  <c r="AS157" i="1"/>
  <c r="AS205" i="1"/>
  <c r="AS132" i="1"/>
  <c r="AW157" i="1"/>
  <c r="AS165" i="1"/>
  <c r="AS10" i="1"/>
  <c r="AW35" i="1"/>
  <c r="AS68" i="1"/>
  <c r="AW71" i="1"/>
  <c r="AS78" i="1"/>
  <c r="AS86" i="1"/>
  <c r="AW93" i="1"/>
  <c r="AS111" i="1"/>
  <c r="AW114" i="1"/>
  <c r="AW209" i="1"/>
  <c r="AW262" i="1"/>
  <c r="AS129" i="1"/>
  <c r="AS140" i="1"/>
  <c r="AW198" i="1"/>
  <c r="AW266" i="1"/>
  <c r="AW270" i="1"/>
  <c r="AW274" i="1"/>
  <c r="AW278" i="1"/>
  <c r="AS90" i="1"/>
  <c r="AS147" i="1"/>
  <c r="AS162" i="1"/>
  <c r="AS195" i="1"/>
  <c r="AS36" i="1"/>
  <c r="AW57" i="1"/>
  <c r="AW61" i="1"/>
  <c r="AS65" i="1"/>
  <c r="AW158" i="1"/>
  <c r="AS22" i="1"/>
  <c r="AW29" i="1"/>
  <c r="AS47" i="1"/>
  <c r="AW75" i="1"/>
  <c r="AS79" i="1"/>
  <c r="AS115" i="1"/>
  <c r="AS137" i="1"/>
  <c r="AW140" i="1"/>
  <c r="AW147" i="1"/>
  <c r="AW173" i="1"/>
  <c r="AW177" i="1"/>
  <c r="AW195" i="1"/>
  <c r="AW217" i="1"/>
  <c r="AW255" i="1"/>
  <c r="AW259" i="1"/>
  <c r="AS283" i="1"/>
  <c r="AS287" i="1"/>
  <c r="AS155" i="1"/>
  <c r="AS170" i="1"/>
  <c r="AS225" i="1"/>
  <c r="AW244" i="1"/>
  <c r="AS248" i="1"/>
  <c r="AW263" i="1"/>
  <c r="AW47" i="1"/>
  <c r="AS62" i="1"/>
  <c r="AS91" i="1"/>
  <c r="AS98" i="1"/>
  <c r="AS119" i="1"/>
  <c r="AS130" i="1"/>
  <c r="AW133" i="1"/>
  <c r="AW126" i="1"/>
  <c r="AW137" i="1"/>
  <c r="AW155" i="1"/>
  <c r="AS159" i="1"/>
  <c r="AW181" i="1"/>
  <c r="AW199" i="1"/>
  <c r="AS233" i="1"/>
  <c r="AS237" i="1"/>
  <c r="AS241" i="1"/>
  <c r="AS260" i="1"/>
  <c r="AW5" i="1"/>
  <c r="AW112" i="1"/>
  <c r="AW8" i="1"/>
  <c r="AW15" i="1"/>
  <c r="AS66" i="1"/>
  <c r="AS80" i="1"/>
  <c r="AW159" i="1"/>
  <c r="AS189" i="1"/>
  <c r="AW207" i="1"/>
  <c r="AS21" i="1"/>
  <c r="AW123" i="1"/>
  <c r="AS127" i="1"/>
  <c r="AW260" i="1"/>
  <c r="AS41" i="1"/>
  <c r="AS55" i="1"/>
  <c r="AS59" i="1"/>
  <c r="AW66" i="1"/>
  <c r="AW109" i="1"/>
  <c r="AS253" i="1"/>
  <c r="AW264" i="1"/>
  <c r="AW268" i="1"/>
  <c r="AW272" i="1"/>
  <c r="AW72" i="1"/>
  <c r="AS6" i="1"/>
  <c r="AS16" i="1"/>
  <c r="AW27" i="1"/>
  <c r="AS34" i="1"/>
  <c r="AW6" i="1"/>
  <c r="AS9" i="1"/>
  <c r="AW16" i="1"/>
  <c r="AS38" i="1"/>
  <c r="AS45" i="1"/>
  <c r="AW63" i="1"/>
  <c r="AS81" i="1"/>
  <c r="AW92" i="1"/>
  <c r="AS96" i="1"/>
  <c r="AS135" i="1"/>
  <c r="AW145" i="1"/>
  <c r="AS190" i="1"/>
  <c r="AW52" i="1"/>
  <c r="AS85" i="1"/>
  <c r="AS89" i="1"/>
  <c r="AS117" i="1"/>
  <c r="AS183" i="1"/>
  <c r="AS250" i="1"/>
  <c r="AW265" i="1"/>
  <c r="AW269" i="1"/>
  <c r="AW154" i="1"/>
  <c r="AS114" i="1"/>
  <c r="AS151" i="1"/>
  <c r="AW174" i="1"/>
  <c r="AW187" i="1"/>
  <c r="AS194" i="1"/>
  <c r="AW221" i="1"/>
  <c r="AS240" i="1"/>
  <c r="AS278" i="1"/>
  <c r="AW142" i="1"/>
  <c r="AS148" i="1"/>
  <c r="AS161" i="1"/>
  <c r="AS181" i="1"/>
  <c r="AW197" i="1"/>
  <c r="AS201" i="1"/>
  <c r="AS229" i="1"/>
  <c r="AS259" i="1"/>
  <c r="AW11" i="1"/>
  <c r="AS18" i="1"/>
  <c r="AW21" i="1"/>
  <c r="AS32" i="1"/>
  <c r="AS72" i="1"/>
  <c r="AW89" i="1"/>
  <c r="AW95" i="1"/>
  <c r="AW111" i="1"/>
  <c r="AW120" i="1"/>
  <c r="AW136" i="1"/>
  <c r="AW171" i="1"/>
  <c r="AS178" i="1"/>
  <c r="AW236" i="1"/>
  <c r="AS263" i="1"/>
  <c r="AW148" i="1"/>
  <c r="AW161" i="1"/>
  <c r="AW51" i="1"/>
  <c r="AW25" i="1"/>
  <c r="AS99" i="1"/>
  <c r="AW212" i="1"/>
  <c r="AW286" i="1"/>
  <c r="AS92" i="1"/>
  <c r="AW86" i="1"/>
  <c r="AW130" i="1"/>
  <c r="AS209" i="1"/>
  <c r="AW233" i="1"/>
  <c r="AW79" i="1"/>
  <c r="AS83" i="1"/>
  <c r="AW99" i="1"/>
  <c r="AW226" i="1"/>
  <c r="AS112" i="1"/>
  <c r="AS118" i="1"/>
  <c r="AW124" i="1"/>
  <c r="AW275" i="1"/>
  <c r="AW279" i="1"/>
  <c r="AP2" i="1"/>
  <c r="AS63" i="1"/>
  <c r="AS103" i="1"/>
  <c r="AW118" i="1"/>
  <c r="AS128" i="1"/>
  <c r="AS169" i="1"/>
  <c r="AW175" i="1"/>
  <c r="AW185" i="1"/>
  <c r="AW219" i="1"/>
  <c r="AW230" i="1"/>
  <c r="AS249" i="1"/>
  <c r="AS268" i="1"/>
  <c r="AW283" i="1"/>
  <c r="AS76" i="1"/>
  <c r="AW9" i="1"/>
  <c r="AS26" i="1"/>
  <c r="AW96" i="1"/>
  <c r="AW26" i="1"/>
  <c r="AW182" i="1"/>
  <c r="AS30" i="1"/>
  <c r="AW56" i="1"/>
  <c r="AS70" i="1"/>
  <c r="AW76" i="1"/>
  <c r="AS97" i="1"/>
  <c r="AW115" i="1"/>
  <c r="AW128" i="1"/>
  <c r="AW131" i="1"/>
  <c r="AW134" i="1"/>
  <c r="AS199" i="1"/>
  <c r="AW234" i="1"/>
  <c r="AS238" i="1"/>
  <c r="AW245" i="1"/>
  <c r="AW249" i="1"/>
  <c r="AW46" i="1"/>
  <c r="AW90" i="1"/>
  <c r="AS40" i="1"/>
  <c r="AW80" i="1"/>
  <c r="AW87" i="1"/>
  <c r="AW100" i="1"/>
  <c r="AW106" i="1"/>
  <c r="AS125" i="1"/>
  <c r="AW179" i="1"/>
  <c r="AS186" i="1"/>
  <c r="AS227" i="1"/>
  <c r="AW253" i="1"/>
  <c r="AS257" i="1"/>
  <c r="AS261" i="1"/>
  <c r="AS288" i="1"/>
  <c r="AS57" i="1"/>
  <c r="AS67" i="1"/>
  <c r="AS84" i="1"/>
  <c r="AW97" i="1"/>
  <c r="AS110" i="1"/>
  <c r="AS116" i="1"/>
  <c r="AW125" i="1"/>
  <c r="AS141" i="1"/>
  <c r="AS150" i="1"/>
  <c r="AW166" i="1"/>
  <c r="AW276" i="1"/>
  <c r="AW280" i="1"/>
  <c r="AW122" i="1"/>
  <c r="AS207" i="1"/>
  <c r="AS273" i="1"/>
  <c r="AW284" i="1"/>
  <c r="AW288" i="1"/>
  <c r="AS77" i="1"/>
  <c r="AS94" i="1"/>
  <c r="AW23" i="1"/>
  <c r="AW138" i="1"/>
  <c r="AW163" i="1"/>
  <c r="AS193" i="1"/>
  <c r="AW10" i="1"/>
  <c r="AW20" i="1"/>
  <c r="AW84" i="1"/>
  <c r="AS5" i="1"/>
  <c r="AS24" i="1"/>
  <c r="AS31" i="1"/>
  <c r="AS71" i="1"/>
  <c r="AW91" i="1"/>
  <c r="AS101" i="1"/>
  <c r="AW110" i="1"/>
  <c r="AW116" i="1"/>
  <c r="AS228" i="1"/>
  <c r="AS243" i="1"/>
  <c r="AW254" i="1"/>
  <c r="AS258" i="1"/>
  <c r="AW273" i="1"/>
  <c r="AS285" i="1"/>
  <c r="AS154" i="1"/>
  <c r="AS167" i="1"/>
  <c r="AS177" i="1"/>
  <c r="AW183" i="1"/>
  <c r="AW193" i="1"/>
  <c r="AS204" i="1"/>
  <c r="AS211" i="1"/>
  <c r="AW235" i="1"/>
  <c r="AS28" i="1"/>
  <c r="AW54" i="1"/>
  <c r="AS58" i="1"/>
  <c r="AW81" i="1"/>
  <c r="AS139" i="1"/>
  <c r="AS174" i="1"/>
  <c r="AW190" i="1"/>
  <c r="AS218" i="1"/>
  <c r="AW243" i="1"/>
  <c r="AS247" i="1"/>
  <c r="AS251" i="1"/>
  <c r="AS270" i="1"/>
  <c r="AW285" i="1"/>
  <c r="AS12" i="1"/>
  <c r="AW38" i="1"/>
  <c r="AW50" i="1"/>
  <c r="AW62" i="1"/>
  <c r="AS109" i="1"/>
  <c r="AS25" i="1"/>
  <c r="AW68" i="1"/>
  <c r="AW77" i="1"/>
  <c r="AS39" i="1"/>
  <c r="AS95" i="1"/>
  <c r="AW30" i="1"/>
  <c r="AW39" i="1"/>
  <c r="AW48" i="1"/>
  <c r="AW60" i="1"/>
  <c r="AS69" i="1"/>
  <c r="AW78" i="1"/>
  <c r="AS23" i="1"/>
  <c r="AS14" i="1"/>
  <c r="AW58" i="1"/>
  <c r="AW70" i="1"/>
  <c r="AW82" i="1"/>
  <c r="AW108" i="1"/>
  <c r="AW88" i="1"/>
  <c r="AW17" i="1"/>
  <c r="AS123" i="1"/>
  <c r="AW129" i="1"/>
  <c r="AW208" i="1"/>
  <c r="AS134" i="1"/>
  <c r="AS153" i="1"/>
  <c r="AW121" i="1"/>
  <c r="AW150" i="1"/>
  <c r="AW156" i="1"/>
  <c r="AW169" i="1"/>
  <c r="AS179" i="1"/>
  <c r="AW229" i="1"/>
  <c r="AW135" i="1"/>
  <c r="AW143" i="1"/>
  <c r="AW164" i="1"/>
  <c r="AS217" i="1"/>
  <c r="AW220" i="1"/>
  <c r="AW146" i="1"/>
  <c r="AS171" i="1"/>
  <c r="AS187" i="1"/>
  <c r="AS214" i="1"/>
  <c r="AS131" i="1"/>
  <c r="AW152" i="1"/>
  <c r="AW239" i="1"/>
  <c r="AS126" i="1"/>
  <c r="AW144" i="1"/>
  <c r="AW246" i="1"/>
  <c r="AW256" i="1"/>
  <c r="AS152" i="1"/>
  <c r="AW162" i="1"/>
  <c r="AW170" i="1"/>
  <c r="AW178" i="1"/>
  <c r="AW186" i="1"/>
  <c r="AW194" i="1"/>
  <c r="AW205" i="1"/>
  <c r="AW214" i="1"/>
  <c r="AW223" i="1"/>
  <c r="AS124" i="1"/>
  <c r="AS160" i="1"/>
  <c r="AS168" i="1"/>
  <c r="AS176" i="1"/>
  <c r="AS184" i="1"/>
  <c r="AS192" i="1"/>
  <c r="AW200" i="1"/>
  <c r="AS206" i="1"/>
  <c r="AS224" i="1"/>
  <c r="AW240" i="1"/>
  <c r="AW250" i="1"/>
  <c r="AS136" i="1"/>
  <c r="AW160" i="1"/>
  <c r="AW168" i="1"/>
  <c r="AW176" i="1"/>
  <c r="AW184" i="1"/>
  <c r="AW192" i="1"/>
  <c r="AW206" i="1"/>
  <c r="AS212" i="1"/>
  <c r="AW224" i="1"/>
  <c r="AS234" i="1"/>
  <c r="AS244" i="1"/>
  <c r="AS254" i="1"/>
  <c r="AS264" i="1"/>
  <c r="AS274" i="1"/>
  <c r="AS284" i="1"/>
  <c r="AW203" i="1"/>
  <c r="AW218" i="1"/>
  <c r="AW227" i="1"/>
  <c r="AW237" i="1"/>
  <c r="AW247" i="1"/>
  <c r="AW257" i="1"/>
  <c r="AW267" i="1"/>
  <c r="AW277" i="1"/>
  <c r="AW287" i="1"/>
  <c r="AS158" i="1"/>
  <c r="AS166" i="1"/>
  <c r="AS222" i="1"/>
  <c r="AW231" i="1"/>
  <c r="AW241" i="1"/>
  <c r="AW251" i="1"/>
  <c r="AW261" i="1"/>
  <c r="AW271" i="1"/>
  <c r="AW281" i="1"/>
  <c r="AW204" i="1"/>
  <c r="AW228" i="1"/>
  <c r="AW238" i="1"/>
  <c r="AW248" i="1"/>
  <c r="AW258" i="1"/>
  <c r="AS156" i="1"/>
  <c r="AW201" i="1"/>
  <c r="AW222" i="1"/>
  <c r="AS144" i="1"/>
  <c r="AS164" i="1"/>
  <c r="AS172" i="1"/>
  <c r="AS180" i="1"/>
  <c r="AS188" i="1"/>
  <c r="AS196" i="1"/>
  <c r="AW210" i="1"/>
  <c r="AW216" i="1"/>
  <c r="AW225" i="1"/>
  <c r="AS232" i="1"/>
  <c r="AS242" i="1"/>
  <c r="AS252" i="1"/>
  <c r="AS262" i="1"/>
  <c r="AS272" i="1"/>
  <c r="AS282" i="1"/>
  <c r="AW172" i="1"/>
  <c r="AW180" i="1"/>
  <c r="AW188" i="1"/>
  <c r="AW196" i="1"/>
  <c r="AS202" i="1"/>
  <c r="AW213" i="1"/>
  <c r="AW232" i="1"/>
  <c r="AW242" i="1"/>
  <c r="AW252" i="1"/>
  <c r="AW202" i="1"/>
  <c r="AS208" i="1"/>
  <c r="AS220" i="1"/>
  <c r="AS236" i="1"/>
  <c r="AS246" i="1"/>
  <c r="AS256" i="1"/>
  <c r="AS266" i="1"/>
  <c r="AS276" i="1"/>
  <c r="AS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<sst xmlns="http://schemas.openxmlformats.org/spreadsheetml/2006/main" count="3701" uniqueCount="1289">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</sst>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6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D191" zoomScale="77" zoomScaleNormal="77" workbookViewId="0">
      <selection activeCell="AN215" sqref="AN215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09" width="32.42578125" style="51" customWidth="1"/>
    <col min="21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40</v>
      </c>
      <c r="W2" s="92">
        <f t="shared" si="0"/>
        <v>39.799999999999997</v>
      </c>
      <c r="X2" s="92">
        <f t="shared" si="0"/>
        <v>43</v>
      </c>
      <c r="Y2" s="92">
        <f t="shared" si="0"/>
        <v>41</v>
      </c>
      <c r="Z2" s="92">
        <f t="shared" si="0"/>
        <v>40.6</v>
      </c>
      <c r="AA2" s="92">
        <f t="shared" si="0"/>
        <v>41.4</v>
      </c>
      <c r="AB2" s="92">
        <f t="shared" si="0"/>
        <v>41.4</v>
      </c>
      <c r="AC2" s="92">
        <f t="shared" si="0"/>
        <v>42</v>
      </c>
      <c r="AD2" s="92">
        <f t="shared" si="0"/>
        <v>42.4</v>
      </c>
      <c r="AE2" s="92">
        <f t="shared" si="0"/>
        <v>42.8</v>
      </c>
      <c r="AF2" s="92">
        <f t="shared" si="0"/>
        <v>40.6</v>
      </c>
      <c r="AG2" s="92">
        <f t="shared" si="0"/>
        <v>40</v>
      </c>
      <c r="AH2" s="92">
        <f t="shared" si="0"/>
        <v>41.2</v>
      </c>
      <c r="AI2" s="92">
        <f t="shared" si="0"/>
        <v>39.200000000000003</v>
      </c>
      <c r="AJ2" s="92">
        <f t="shared" si="0"/>
        <v>39.799999999999997</v>
      </c>
      <c r="AK2" s="92">
        <f t="shared" si="0"/>
        <v>39.6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>
        <v>32.4</v>
      </c>
      <c r="W5" s="66">
        <v>32.700000000000003</v>
      </c>
      <c r="X5" s="66">
        <v>31</v>
      </c>
      <c r="Y5" s="66">
        <v>31.5</v>
      </c>
      <c r="Z5" s="66">
        <v>31.7</v>
      </c>
      <c r="AA5" s="66">
        <v>29.6</v>
      </c>
      <c r="AB5" s="66">
        <v>31.9</v>
      </c>
      <c r="AC5" s="66">
        <v>32.1</v>
      </c>
      <c r="AD5" s="66">
        <v>29.6</v>
      </c>
      <c r="AE5" s="66">
        <v>31.5</v>
      </c>
      <c r="AF5" s="66">
        <v>32.700000000000003</v>
      </c>
      <c r="AG5" s="66">
        <v>32.299999999999997</v>
      </c>
      <c r="AH5" s="66">
        <v>32.700000000000003</v>
      </c>
      <c r="AI5" s="66">
        <v>32.299999999999997</v>
      </c>
      <c r="AJ5" s="66">
        <v>32.299999999999997</v>
      </c>
      <c r="AK5" s="66">
        <v>32.1</v>
      </c>
      <c r="AL5" s="66"/>
      <c r="AM5" s="66"/>
      <c r="AN5" s="66"/>
      <c r="AO5" s="66"/>
      <c r="AP5" s="67">
        <f t="shared" ref="AP5:AP68" si="1">COUNTIF(K5:AO5,"&gt;0")</f>
        <v>27</v>
      </c>
      <c r="AQ5" s="68">
        <f t="shared" ref="AQ5:AQ68" si="2">IF(AP5&gt;14,AVERAGE(K5:AO5),"")</f>
        <v>31.925925925925927</v>
      </c>
      <c r="AR5" s="68">
        <f>IFERROR(VLOOKUP(A5,Climatologia_TMAX!A:U,9+$E$2,FALSE),"")</f>
        <v>30.837144120247562</v>
      </c>
      <c r="AS5" s="68">
        <f t="shared" ref="AS5:AS68" si="3">IF(OR(AQ5="",AR5=""),"",IFERROR(AQ5-AR5,""))</f>
        <v>1.0887818056783658</v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>
        <v>32.5</v>
      </c>
      <c r="W6" s="66">
        <v>32.200000000000003</v>
      </c>
      <c r="X6" s="66">
        <v>32.200000000000003</v>
      </c>
      <c r="Y6" s="66">
        <v>31.4</v>
      </c>
      <c r="Z6" s="66">
        <v>32.1</v>
      </c>
      <c r="AA6" s="66">
        <v>30.2</v>
      </c>
      <c r="AB6" s="66">
        <v>32.799999999999997</v>
      </c>
      <c r="AC6" s="66">
        <v>32.6</v>
      </c>
      <c r="AD6" s="66">
        <v>29.7</v>
      </c>
      <c r="AE6" s="66">
        <v>30.6</v>
      </c>
      <c r="AF6" s="66">
        <v>32.6</v>
      </c>
      <c r="AG6" s="66">
        <v>32.200000000000003</v>
      </c>
      <c r="AH6" s="66">
        <v>32.9</v>
      </c>
      <c r="AI6" s="66">
        <v>33.1</v>
      </c>
      <c r="AJ6" s="66">
        <v>32.5</v>
      </c>
      <c r="AK6" s="66">
        <v>32.5</v>
      </c>
      <c r="AL6" s="66"/>
      <c r="AM6" s="66"/>
      <c r="AN6" s="66"/>
      <c r="AO6" s="66"/>
      <c r="AP6" s="67">
        <f t="shared" si="1"/>
        <v>27</v>
      </c>
      <c r="AQ6" s="68">
        <f t="shared" si="2"/>
        <v>32.092592592592595</v>
      </c>
      <c r="AR6" s="68">
        <f>IFERROR(VLOOKUP(A6,Climatologia_TMAX!A:U,9+$E$2,FALSE),"")</f>
        <v>31.213724845269681</v>
      </c>
      <c r="AS6" s="68">
        <f t="shared" si="3"/>
        <v>0.87886774732291428</v>
      </c>
      <c r="AT6" s="74">
        <f t="shared" si="4"/>
        <v>33.1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-0.10000000000000142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>
        <v>35.4</v>
      </c>
      <c r="W7" s="66">
        <v>35.200000000000003</v>
      </c>
      <c r="X7" s="66">
        <v>34.799999999999997</v>
      </c>
      <c r="Y7" s="66">
        <v>35.4</v>
      </c>
      <c r="Z7" s="66">
        <v>33.6</v>
      </c>
      <c r="AA7" s="66">
        <v>35.700000000000003</v>
      </c>
      <c r="AB7" s="66">
        <v>35.6</v>
      </c>
      <c r="AC7" s="66">
        <v>34.9</v>
      </c>
      <c r="AD7" s="66">
        <v>36.1</v>
      </c>
      <c r="AE7" s="114">
        <v>34.799999999999997</v>
      </c>
      <c r="AF7" s="66">
        <v>34.6</v>
      </c>
      <c r="AG7" s="66">
        <v>36.299999999999997</v>
      </c>
      <c r="AH7" s="66">
        <v>35.299999999999997</v>
      </c>
      <c r="AI7" s="66">
        <v>35.6</v>
      </c>
      <c r="AJ7" s="66">
        <v>35.799999999999997</v>
      </c>
      <c r="AK7" s="66">
        <v>32.700000000000003</v>
      </c>
      <c r="AL7" s="66"/>
      <c r="AM7" s="66"/>
      <c r="AN7" s="66"/>
      <c r="AO7" s="66"/>
      <c r="AP7" s="67">
        <f t="shared" si="1"/>
        <v>27</v>
      </c>
      <c r="AQ7" s="68">
        <f t="shared" si="2"/>
        <v>35.059259259259257</v>
      </c>
      <c r="AR7" s="68">
        <f>IFERROR(VLOOKUP(A7,Climatologia_TMAX!A:U,9+$E$2,FALSE),"")</f>
        <v>32.888880131362889</v>
      </c>
      <c r="AS7" s="68">
        <f t="shared" si="3"/>
        <v>2.1703791278963678</v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>
        <v>34.6</v>
      </c>
      <c r="W8" s="66">
        <v>32.799999999999997</v>
      </c>
      <c r="X8" s="66">
        <v>32.9</v>
      </c>
      <c r="Y8" s="66">
        <v>33.9</v>
      </c>
      <c r="Z8" s="66">
        <v>35.1</v>
      </c>
      <c r="AA8" s="66">
        <v>35</v>
      </c>
      <c r="AB8" s="66">
        <v>33.700000000000003</v>
      </c>
      <c r="AC8" s="66">
        <v>33.4</v>
      </c>
      <c r="AD8" s="66">
        <v>33.799999999999997</v>
      </c>
      <c r="AE8" s="66">
        <v>33.5</v>
      </c>
      <c r="AF8" s="66">
        <v>33.1</v>
      </c>
      <c r="AG8" s="66">
        <v>33.4</v>
      </c>
      <c r="AH8" s="66">
        <v>34.9</v>
      </c>
      <c r="AI8" s="66">
        <v>34.9</v>
      </c>
      <c r="AJ8" s="66">
        <v>31.6</v>
      </c>
      <c r="AK8" s="66">
        <v>32.5</v>
      </c>
      <c r="AL8" s="66"/>
      <c r="AM8" s="66"/>
      <c r="AN8" s="66"/>
      <c r="AO8" s="66"/>
      <c r="AP8" s="67">
        <f t="shared" si="1"/>
        <v>27</v>
      </c>
      <c r="AQ8" s="68">
        <f t="shared" si="2"/>
        <v>34.040740740740745</v>
      </c>
      <c r="AR8" s="68">
        <f>IFERROR(VLOOKUP(A8,Climatologia_TMAX!A:U,9+$E$2,FALSE),"")</f>
        <v>32.066531113753463</v>
      </c>
      <c r="AS8" s="68">
        <f t="shared" si="3"/>
        <v>1.9742096269872818</v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>
        <v>34.9</v>
      </c>
      <c r="W9" s="66">
        <v>34.700000000000003</v>
      </c>
      <c r="X9" s="66">
        <v>33.1</v>
      </c>
      <c r="Y9" s="66">
        <v>34.5</v>
      </c>
      <c r="Z9" s="66">
        <v>32.6</v>
      </c>
      <c r="AA9" s="66">
        <v>36.799999999999997</v>
      </c>
      <c r="AB9" s="66">
        <v>38.799999999999997</v>
      </c>
      <c r="AC9" s="66">
        <v>37</v>
      </c>
      <c r="AD9" s="66">
        <v>35.200000000000003</v>
      </c>
      <c r="AE9" s="66">
        <v>32.6</v>
      </c>
      <c r="AF9" s="66">
        <v>34.9</v>
      </c>
      <c r="AG9" s="66">
        <v>36.799999999999997</v>
      </c>
      <c r="AH9" s="66">
        <v>35.299999999999997</v>
      </c>
      <c r="AI9" s="66">
        <v>35.799999999999997</v>
      </c>
      <c r="AJ9" s="66">
        <v>33.6</v>
      </c>
      <c r="AK9" s="66">
        <v>33.799999999999997</v>
      </c>
      <c r="AL9" s="66"/>
      <c r="AM9" s="66"/>
      <c r="AN9" s="66"/>
      <c r="AO9" s="66"/>
      <c r="AP9" s="67">
        <f t="shared" si="1"/>
        <v>27</v>
      </c>
      <c r="AQ9" s="68">
        <f t="shared" si="2"/>
        <v>35.36296296296296</v>
      </c>
      <c r="AR9" s="68">
        <f>IFERROR(VLOOKUP(A9,Climatologia_TMAX!A:U,9+$E$2,FALSE),"")</f>
        <v>33.308997701149423</v>
      </c>
      <c r="AS9" s="68">
        <f t="shared" si="3"/>
        <v>2.0539652618135378</v>
      </c>
      <c r="AT9" s="74">
        <f t="shared" si="4"/>
        <v>38.799999999999997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>
        <v>36.200000000000003</v>
      </c>
      <c r="W10" s="66">
        <v>36.5</v>
      </c>
      <c r="X10" s="66">
        <v>35.9</v>
      </c>
      <c r="Y10" s="66">
        <v>35.9</v>
      </c>
      <c r="Z10" s="66">
        <v>36.4</v>
      </c>
      <c r="AA10" s="66">
        <v>37.1</v>
      </c>
      <c r="AB10" s="66">
        <v>39.799999999999997</v>
      </c>
      <c r="AC10" s="66">
        <v>35.4</v>
      </c>
      <c r="AD10" s="66">
        <v>32</v>
      </c>
      <c r="AE10" s="66">
        <v>32.1</v>
      </c>
      <c r="AF10" s="66">
        <v>32.6</v>
      </c>
      <c r="AG10" s="66">
        <v>36.299999999999997</v>
      </c>
      <c r="AH10" s="66">
        <v>35.799999999999997</v>
      </c>
      <c r="AI10" s="66">
        <v>34.799999999999997</v>
      </c>
      <c r="AJ10" s="66">
        <v>33.200000000000003</v>
      </c>
      <c r="AK10" s="66">
        <v>32.299999999999997</v>
      </c>
      <c r="AL10" s="66"/>
      <c r="AM10" s="66"/>
      <c r="AN10" s="66"/>
      <c r="AO10" s="66"/>
      <c r="AP10" s="67">
        <f t="shared" si="1"/>
        <v>27</v>
      </c>
      <c r="AQ10" s="68">
        <f t="shared" si="2"/>
        <v>36.0037037037037</v>
      </c>
      <c r="AR10" s="68">
        <f>IFERROR(VLOOKUP(A10,Climatologia_TMAX!A:U,9+$E$2,FALSE),"")</f>
        <v>33.75991221422256</v>
      </c>
      <c r="AS10" s="68">
        <f t="shared" si="3"/>
        <v>2.2437914894811399</v>
      </c>
      <c r="AT10" s="74">
        <f t="shared" si="4"/>
        <v>39.799999999999997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0.19999999999999574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>
        <v>37.5</v>
      </c>
      <c r="W11" s="66">
        <v>38.9</v>
      </c>
      <c r="X11" s="66">
        <v>35.9</v>
      </c>
      <c r="Y11" s="66">
        <v>38.6</v>
      </c>
      <c r="Z11" s="66">
        <v>37.200000000000003</v>
      </c>
      <c r="AA11" s="66">
        <v>40.4</v>
      </c>
      <c r="AB11" s="66">
        <v>40.6</v>
      </c>
      <c r="AC11" s="66">
        <v>35.6</v>
      </c>
      <c r="AD11" s="66">
        <v>36.200000000000003</v>
      </c>
      <c r="AE11" s="66">
        <v>36.799999999999997</v>
      </c>
      <c r="AF11" s="66">
        <v>38.799999999999997</v>
      </c>
      <c r="AG11" s="66">
        <v>38</v>
      </c>
      <c r="AH11" s="66">
        <v>38.700000000000003</v>
      </c>
      <c r="AI11" s="66">
        <v>38.5</v>
      </c>
      <c r="AJ11" s="66">
        <v>32.700000000000003</v>
      </c>
      <c r="AK11" s="66">
        <v>31</v>
      </c>
      <c r="AL11" s="66"/>
      <c r="AM11" s="66"/>
      <c r="AN11" s="66"/>
      <c r="AO11" s="66"/>
      <c r="AP11" s="67">
        <f t="shared" si="1"/>
        <v>27</v>
      </c>
      <c r="AQ11" s="68">
        <f t="shared" si="2"/>
        <v>37.640740740740746</v>
      </c>
      <c r="AR11" s="68">
        <f>IFERROR(VLOOKUP(A11,Climatologia_TMAX!A:U,9+$E$2,FALSE),"")</f>
        <v>34.012164961475307</v>
      </c>
      <c r="AS11" s="68">
        <f t="shared" si="3"/>
        <v>3.6285757792654394</v>
      </c>
      <c r="AT11" s="111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0.39999999999999858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3">
        <v>31.9</v>
      </c>
      <c r="V12" s="66">
        <v>35.5</v>
      </c>
      <c r="W12" s="66">
        <v>31.9</v>
      </c>
      <c r="X12" s="66">
        <v>34.6</v>
      </c>
      <c r="Y12" s="66">
        <v>31.4</v>
      </c>
      <c r="Z12" s="66">
        <v>33.799999999999997</v>
      </c>
      <c r="AA12" s="66">
        <v>36.9</v>
      </c>
      <c r="AB12" s="66">
        <v>35.200000000000003</v>
      </c>
      <c r="AC12" s="66">
        <v>29.6</v>
      </c>
      <c r="AD12" s="66">
        <v>33.4</v>
      </c>
      <c r="AE12" s="66">
        <v>32.200000000000003</v>
      </c>
      <c r="AF12" s="66">
        <v>34.6</v>
      </c>
      <c r="AG12" s="66">
        <v>34.799999999999997</v>
      </c>
      <c r="AH12" s="66">
        <v>34.5</v>
      </c>
      <c r="AI12" s="66">
        <v>34.4</v>
      </c>
      <c r="AJ12" s="66">
        <v>29.1</v>
      </c>
      <c r="AK12" s="66">
        <v>32.200000000000003</v>
      </c>
      <c r="AL12" s="66"/>
      <c r="AM12" s="66"/>
      <c r="AN12" s="66"/>
      <c r="AO12" s="66"/>
      <c r="AP12" s="67">
        <f t="shared" si="1"/>
        <v>27</v>
      </c>
      <c r="AQ12" s="68">
        <f t="shared" si="2"/>
        <v>33.792592592592591</v>
      </c>
      <c r="AR12" s="68">
        <f>IFERROR(VLOOKUP(A12,Climatologia_TMAX!A:U,9+$E$2,FALSE),"")</f>
        <v>32.561237881007962</v>
      </c>
      <c r="AS12" s="68">
        <f t="shared" si="3"/>
        <v>1.2313547115846291</v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>
        <v>36.5</v>
      </c>
      <c r="W13" s="66">
        <v>33</v>
      </c>
      <c r="X13" s="66">
        <v>36.4</v>
      </c>
      <c r="Y13" s="66">
        <v>35.4</v>
      </c>
      <c r="Z13" s="66">
        <v>33.6</v>
      </c>
      <c r="AA13" s="66">
        <v>36.5</v>
      </c>
      <c r="AB13" s="66">
        <v>37.200000000000003</v>
      </c>
      <c r="AC13" s="66">
        <v>30</v>
      </c>
      <c r="AD13" s="66">
        <v>35.200000000000003</v>
      </c>
      <c r="AE13" s="66">
        <v>30.8</v>
      </c>
      <c r="AF13" s="66">
        <v>34.700000000000003</v>
      </c>
      <c r="AG13" s="66">
        <v>32.4</v>
      </c>
      <c r="AH13" s="66">
        <v>33.799999999999997</v>
      </c>
      <c r="AI13" s="66">
        <v>29.7</v>
      </c>
      <c r="AJ13" s="66">
        <v>32</v>
      </c>
      <c r="AK13" s="66">
        <v>31</v>
      </c>
      <c r="AL13" s="66"/>
      <c r="AM13" s="66"/>
      <c r="AN13" s="66"/>
      <c r="AO13" s="66"/>
      <c r="AP13" s="67">
        <f t="shared" si="1"/>
        <v>27</v>
      </c>
      <c r="AQ13" s="68">
        <f t="shared" si="2"/>
        <v>34.200000000000003</v>
      </c>
      <c r="AR13" s="68">
        <f>IFERROR(VLOOKUP(A13,Climatologia_TMAX!A:U,9+$E$2,FALSE),"")</f>
        <v>32.028002378121293</v>
      </c>
      <c r="AS13" s="68">
        <f t="shared" si="3"/>
        <v>2.1719976218787096</v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2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2">
        <v>29.4</v>
      </c>
      <c r="S14" s="66">
        <v>29.6</v>
      </c>
      <c r="T14" s="66">
        <v>30.2</v>
      </c>
      <c r="U14" s="66">
        <v>28.6</v>
      </c>
      <c r="V14" s="66">
        <v>29.1</v>
      </c>
      <c r="W14" s="66">
        <v>28.6</v>
      </c>
      <c r="X14" s="66">
        <v>30</v>
      </c>
      <c r="Y14" s="66">
        <v>29.8</v>
      </c>
      <c r="Z14" s="66">
        <v>28</v>
      </c>
      <c r="AA14" s="66">
        <v>30.6</v>
      </c>
      <c r="AB14" s="66">
        <v>28.4</v>
      </c>
      <c r="AC14" s="66">
        <v>26.8</v>
      </c>
      <c r="AD14" s="66">
        <v>26.4</v>
      </c>
      <c r="AE14" s="66">
        <v>27.3</v>
      </c>
      <c r="AF14" s="66">
        <v>29.1</v>
      </c>
      <c r="AG14" s="66">
        <v>29</v>
      </c>
      <c r="AH14" s="66">
        <v>29.2</v>
      </c>
      <c r="AI14" s="66">
        <v>29</v>
      </c>
      <c r="AJ14" s="66">
        <v>27.4</v>
      </c>
      <c r="AK14" s="66">
        <v>27.1</v>
      </c>
      <c r="AL14" s="66"/>
      <c r="AM14" s="66"/>
      <c r="AN14" s="66"/>
      <c r="AO14" s="66"/>
      <c r="AP14" s="67">
        <f t="shared" si="1"/>
        <v>27</v>
      </c>
      <c r="AQ14" s="68">
        <f t="shared" si="2"/>
        <v>28.692592592592593</v>
      </c>
      <c r="AR14" s="68">
        <f>IFERROR(VLOOKUP(A14,Climatologia_TMAX!A:U,9+$E$2,FALSE),"")</f>
        <v>26.245613553113561</v>
      </c>
      <c r="AS14" s="68">
        <f t="shared" si="3"/>
        <v>2.4469790394790323</v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>
        <v>36.700000000000003</v>
      </c>
      <c r="W15" s="66">
        <v>35.5</v>
      </c>
      <c r="X15" s="66">
        <v>37</v>
      </c>
      <c r="Y15" s="66">
        <v>37.6</v>
      </c>
      <c r="Z15" s="66">
        <v>36.299999999999997</v>
      </c>
      <c r="AA15" s="66">
        <v>35</v>
      </c>
      <c r="AB15" s="66">
        <v>37.6</v>
      </c>
      <c r="AC15" s="66">
        <v>36.299999999999997</v>
      </c>
      <c r="AD15" s="66">
        <v>37.4</v>
      </c>
      <c r="AE15" s="66">
        <v>37.6</v>
      </c>
      <c r="AF15" s="66">
        <v>37.700000000000003</v>
      </c>
      <c r="AG15" s="66">
        <v>39.5</v>
      </c>
      <c r="AH15" s="66">
        <v>36.1</v>
      </c>
      <c r="AI15" s="66">
        <v>36.299999999999997</v>
      </c>
      <c r="AJ15" s="66">
        <v>38.799999999999997</v>
      </c>
      <c r="AK15" s="66">
        <v>33.299999999999997</v>
      </c>
      <c r="AL15" s="66"/>
      <c r="AM15" s="66"/>
      <c r="AN15" s="66"/>
      <c r="AO15" s="66"/>
      <c r="AP15" s="67">
        <f t="shared" si="1"/>
        <v>27</v>
      </c>
      <c r="AQ15" s="68">
        <f t="shared" si="2"/>
        <v>36.392592592592585</v>
      </c>
      <c r="AR15" s="68">
        <f>IFERROR(VLOOKUP(A15,Climatologia_TMAX!A:U,9+$E$2,FALSE),"")</f>
        <v>34.362535919540242</v>
      </c>
      <c r="AS15" s="68">
        <f t="shared" si="3"/>
        <v>2.0300566730523428</v>
      </c>
      <c r="AT15" s="74">
        <f t="shared" si="4"/>
        <v>39.5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>
        <v>32.200000000000003</v>
      </c>
      <c r="W16" s="66">
        <v>29.9</v>
      </c>
      <c r="X16" s="66">
        <v>33.200000000000003</v>
      </c>
      <c r="Y16" s="66">
        <v>32.299999999999997</v>
      </c>
      <c r="Z16" s="66">
        <v>34.299999999999997</v>
      </c>
      <c r="AA16" s="66">
        <v>34.200000000000003</v>
      </c>
      <c r="AB16" s="66">
        <v>31.1</v>
      </c>
      <c r="AC16" s="66">
        <v>33.6</v>
      </c>
      <c r="AD16" s="66">
        <v>32.6</v>
      </c>
      <c r="AE16" s="66">
        <v>32.9</v>
      </c>
      <c r="AF16" s="66">
        <v>33.200000000000003</v>
      </c>
      <c r="AG16" s="66">
        <v>32.200000000000003</v>
      </c>
      <c r="AH16" s="66">
        <v>31.8</v>
      </c>
      <c r="AI16" s="66">
        <v>33.700000000000003</v>
      </c>
      <c r="AJ16" s="66">
        <v>31</v>
      </c>
      <c r="AK16" s="66">
        <v>31.3</v>
      </c>
      <c r="AL16" s="66"/>
      <c r="AM16" s="66"/>
      <c r="AN16" s="66"/>
      <c r="AO16" s="66"/>
      <c r="AP16" s="67">
        <f t="shared" si="1"/>
        <v>27</v>
      </c>
      <c r="AQ16" s="68">
        <f t="shared" si="2"/>
        <v>32.18518518518519</v>
      </c>
      <c r="AR16" s="68">
        <f>IFERROR(VLOOKUP(A16,Climatologia_TMAX!A:U,9+$E$2,FALSE),"")</f>
        <v>31.91844417077176</v>
      </c>
      <c r="AS16" s="68">
        <f t="shared" si="3"/>
        <v>0.26674101441343012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>
        <v>31.3</v>
      </c>
      <c r="W17" s="66">
        <v>29</v>
      </c>
      <c r="X17" s="66">
        <v>31.9</v>
      </c>
      <c r="Y17" s="66">
        <v>31.1</v>
      </c>
      <c r="Z17" s="66">
        <v>30.6</v>
      </c>
      <c r="AA17" s="66">
        <v>32</v>
      </c>
      <c r="AB17" s="66">
        <v>32.700000000000003</v>
      </c>
      <c r="AC17" s="66">
        <v>28.1</v>
      </c>
      <c r="AD17" s="66">
        <v>31.9</v>
      </c>
      <c r="AE17" s="66">
        <v>32.1</v>
      </c>
      <c r="AF17" s="66">
        <v>30</v>
      </c>
      <c r="AG17" s="66">
        <v>30.7</v>
      </c>
      <c r="AH17" s="66">
        <v>31</v>
      </c>
      <c r="AI17" s="66">
        <v>27.8</v>
      </c>
      <c r="AJ17" s="66">
        <v>28.8</v>
      </c>
      <c r="AK17" s="66">
        <v>29.5</v>
      </c>
      <c r="AL17" s="66"/>
      <c r="AM17" s="66"/>
      <c r="AN17" s="66"/>
      <c r="AO17" s="66"/>
      <c r="AP17" s="67">
        <f t="shared" si="1"/>
        <v>27</v>
      </c>
      <c r="AQ17" s="68">
        <f t="shared" si="2"/>
        <v>30.614814814814817</v>
      </c>
      <c r="AR17" s="68">
        <f>IFERROR(VLOOKUP(A17,Climatologia_TMAX!A:U,9+$E$2,FALSE),"")</f>
        <v>28.140217569786529</v>
      </c>
      <c r="AS17" s="68">
        <f t="shared" si="3"/>
        <v>2.4745972450282885</v>
      </c>
      <c r="AT17" s="74">
        <f t="shared" si="4"/>
        <v>32.700000000000003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-0.39999999999999858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>
        <v>25.1</v>
      </c>
      <c r="W18" s="66">
        <v>25</v>
      </c>
      <c r="X18" s="66">
        <v>24.6</v>
      </c>
      <c r="Y18" s="66">
        <v>24.8</v>
      </c>
      <c r="Z18" s="66">
        <v>24.8</v>
      </c>
      <c r="AA18" s="66">
        <v>25</v>
      </c>
      <c r="AB18" s="66">
        <v>25.6</v>
      </c>
      <c r="AC18" s="66">
        <v>23.4</v>
      </c>
      <c r="AD18" s="66">
        <v>25</v>
      </c>
      <c r="AE18" s="66">
        <v>25.2</v>
      </c>
      <c r="AF18" s="66">
        <v>25.4</v>
      </c>
      <c r="AG18" s="66">
        <v>23.8</v>
      </c>
      <c r="AH18" s="66">
        <v>24.8</v>
      </c>
      <c r="AI18" s="66">
        <v>22.4</v>
      </c>
      <c r="AJ18" s="66">
        <v>24.2</v>
      </c>
      <c r="AK18" s="66">
        <v>24</v>
      </c>
      <c r="AL18" s="66"/>
      <c r="AM18" s="66"/>
      <c r="AN18" s="66"/>
      <c r="AO18" s="66"/>
      <c r="AP18" s="67">
        <f t="shared" si="1"/>
        <v>27</v>
      </c>
      <c r="AQ18" s="68">
        <f t="shared" si="2"/>
        <v>24.492592592592594</v>
      </c>
      <c r="AR18" s="68">
        <f>IFERROR(VLOOKUP(A18,Climatologia_TMAX!A:U,9+$E$2,FALSE),"")</f>
        <v>22.564435196194999</v>
      </c>
      <c r="AS18" s="68">
        <f t="shared" si="3"/>
        <v>1.9281573963975944</v>
      </c>
      <c r="AT18" s="74">
        <f t="shared" si="4"/>
        <v>25.6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-1.2999999999999972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3">
        <v>27.2</v>
      </c>
      <c r="V19" s="66">
        <v>30.2</v>
      </c>
      <c r="W19" s="66">
        <v>27.2</v>
      </c>
      <c r="X19" s="66">
        <v>29.3</v>
      </c>
      <c r="Y19" s="66">
        <v>31.2</v>
      </c>
      <c r="Z19" s="66">
        <v>30.9</v>
      </c>
      <c r="AA19" s="66">
        <v>34</v>
      </c>
      <c r="AB19" s="66">
        <v>31.4</v>
      </c>
      <c r="AC19" s="66">
        <v>29</v>
      </c>
      <c r="AD19" s="66">
        <v>27.2</v>
      </c>
      <c r="AE19" s="66">
        <v>30.2</v>
      </c>
      <c r="AF19" s="66">
        <v>28.6</v>
      </c>
      <c r="AG19" s="66">
        <v>28.8</v>
      </c>
      <c r="AH19" s="66">
        <v>28.6</v>
      </c>
      <c r="AI19" s="66">
        <v>29.8</v>
      </c>
      <c r="AJ19" s="66">
        <v>27.8</v>
      </c>
      <c r="AK19" s="66">
        <v>27.6</v>
      </c>
      <c r="AL19" s="66"/>
      <c r="AM19" s="66"/>
      <c r="AN19" s="66"/>
      <c r="AO19" s="66"/>
      <c r="AP19" s="67">
        <f t="shared" si="1"/>
        <v>27</v>
      </c>
      <c r="AQ19" s="68">
        <f t="shared" si="2"/>
        <v>29.4</v>
      </c>
      <c r="AR19" s="68">
        <f>IFERROR(VLOOKUP(A19,Climatologia_TMAX!A:U,9+$E$2,FALSE),"")</f>
        <v>27.03996905393457</v>
      </c>
      <c r="AS19" s="68">
        <f t="shared" si="3"/>
        <v>2.3600309460654287</v>
      </c>
      <c r="AT19" s="74">
        <f t="shared" si="4"/>
        <v>34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>
        <v>31</v>
      </c>
      <c r="W20" s="66">
        <v>28.3</v>
      </c>
      <c r="X20" s="66">
        <v>31.1</v>
      </c>
      <c r="Y20" s="66">
        <v>31.3</v>
      </c>
      <c r="Z20" s="66">
        <v>32.200000000000003</v>
      </c>
      <c r="AA20" s="66">
        <v>35.1</v>
      </c>
      <c r="AB20" s="66">
        <v>33.799999999999997</v>
      </c>
      <c r="AC20" s="66">
        <v>32.700000000000003</v>
      </c>
      <c r="AD20" s="66">
        <v>30.2</v>
      </c>
      <c r="AE20" s="66">
        <v>31.9</v>
      </c>
      <c r="AF20" s="66">
        <v>29</v>
      </c>
      <c r="AG20" s="66">
        <v>30.8</v>
      </c>
      <c r="AH20" s="66">
        <v>30</v>
      </c>
      <c r="AI20" s="66">
        <v>28.9</v>
      </c>
      <c r="AJ20" s="66">
        <v>29</v>
      </c>
      <c r="AK20" s="66">
        <v>28.3</v>
      </c>
      <c r="AL20" s="66"/>
      <c r="AM20" s="66"/>
      <c r="AN20" s="66"/>
      <c r="AO20" s="66"/>
      <c r="AP20" s="67">
        <f t="shared" si="1"/>
        <v>27</v>
      </c>
      <c r="AQ20" s="68">
        <f t="shared" si="2"/>
        <v>30.985185185185181</v>
      </c>
      <c r="AR20" s="68">
        <f>IFERROR(VLOOKUP(A20,Climatologia_TMAX!A:U,9+$E$2,FALSE),"")</f>
        <v>28.21960773581463</v>
      </c>
      <c r="AS20" s="68">
        <f t="shared" si="3"/>
        <v>2.7655774493705501</v>
      </c>
      <c r="AT20" s="74">
        <f t="shared" si="4"/>
        <v>35.1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>
        <v>36.200000000000003</v>
      </c>
      <c r="W21" s="66">
        <v>34.1</v>
      </c>
      <c r="X21" s="66">
        <v>34.6</v>
      </c>
      <c r="Y21" s="66">
        <v>35.200000000000003</v>
      </c>
      <c r="Z21" s="66">
        <v>34.6</v>
      </c>
      <c r="AA21" s="66">
        <v>35</v>
      </c>
      <c r="AB21" s="66">
        <v>36.1</v>
      </c>
      <c r="AC21" s="66">
        <v>34.700000000000003</v>
      </c>
      <c r="AD21" s="66">
        <v>34.9</v>
      </c>
      <c r="AE21" s="66">
        <v>34.4</v>
      </c>
      <c r="AF21" s="66">
        <v>34</v>
      </c>
      <c r="AG21" s="66">
        <v>33.6</v>
      </c>
      <c r="AH21" s="66">
        <v>33.799999999999997</v>
      </c>
      <c r="AI21" s="66">
        <v>28.9</v>
      </c>
      <c r="AJ21" s="66">
        <v>33.200000000000003</v>
      </c>
      <c r="AK21" s="66">
        <v>32</v>
      </c>
      <c r="AL21" s="66"/>
      <c r="AM21" s="66"/>
      <c r="AN21" s="66"/>
      <c r="AO21" s="66"/>
      <c r="AP21" s="67">
        <f t="shared" si="1"/>
        <v>27</v>
      </c>
      <c r="AQ21" s="68">
        <f t="shared" si="2"/>
        <v>34.000000000000007</v>
      </c>
      <c r="AR21" s="68">
        <f>IFERROR(VLOOKUP(A21,Climatologia_TMAX!A:U,9+$E$2,FALSE),"")</f>
        <v>30.83648877941982</v>
      </c>
      <c r="AS21" s="68">
        <f t="shared" si="3"/>
        <v>3.1635112205801867</v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-0.59999999999999432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>
        <v>21.7</v>
      </c>
      <c r="W22" s="66">
        <v>20.6</v>
      </c>
      <c r="X22" s="66">
        <v>21.3</v>
      </c>
      <c r="Y22" s="66">
        <v>20.5</v>
      </c>
      <c r="Z22" s="66">
        <v>20.9</v>
      </c>
      <c r="AA22" s="66">
        <v>19.7</v>
      </c>
      <c r="AB22" s="66">
        <v>19.3</v>
      </c>
      <c r="AC22" s="66">
        <v>20.7</v>
      </c>
      <c r="AD22" s="66">
        <v>22.2</v>
      </c>
      <c r="AE22" s="66">
        <v>22.1</v>
      </c>
      <c r="AF22" s="66">
        <v>22.6</v>
      </c>
      <c r="AG22" s="66">
        <v>23.3</v>
      </c>
      <c r="AH22" s="66">
        <v>20.6</v>
      </c>
      <c r="AI22" s="66">
        <v>20.7</v>
      </c>
      <c r="AJ22" s="66">
        <v>20.9</v>
      </c>
      <c r="AK22" s="66">
        <v>20.2</v>
      </c>
      <c r="AL22" s="66"/>
      <c r="AM22" s="66"/>
      <c r="AN22" s="66"/>
      <c r="AO22" s="66"/>
      <c r="AP22" s="67">
        <f t="shared" si="1"/>
        <v>27</v>
      </c>
      <c r="AQ22" s="68">
        <f t="shared" si="2"/>
        <v>20.56666666666667</v>
      </c>
      <c r="AR22" s="68">
        <f>IFERROR(VLOOKUP(A22,Climatologia_TMAX!A:U,9+$E$2,FALSE),"")</f>
        <v>19.205027672249159</v>
      </c>
      <c r="AS22" s="68">
        <f t="shared" si="3"/>
        <v>1.3616389944175111</v>
      </c>
      <c r="AT22" s="74">
        <f t="shared" si="4"/>
        <v>23.3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0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>
        <v>34.6</v>
      </c>
      <c r="W23" s="66">
        <v>30.7</v>
      </c>
      <c r="X23" s="66">
        <v>34.200000000000003</v>
      </c>
      <c r="Y23" s="66">
        <v>34.799999999999997</v>
      </c>
      <c r="Z23" s="66">
        <v>33.299999999999997</v>
      </c>
      <c r="AA23" s="66">
        <v>36.799999999999997</v>
      </c>
      <c r="AB23" s="66">
        <v>35.299999999999997</v>
      </c>
      <c r="AC23" s="66">
        <v>34.9</v>
      </c>
      <c r="AD23" s="66">
        <v>31.5</v>
      </c>
      <c r="AE23" s="66">
        <v>34.5</v>
      </c>
      <c r="AF23" s="66">
        <v>33.299999999999997</v>
      </c>
      <c r="AG23" s="66">
        <v>32.6</v>
      </c>
      <c r="AH23" s="66">
        <v>31.9</v>
      </c>
      <c r="AI23" s="66">
        <v>33.799999999999997</v>
      </c>
      <c r="AJ23" s="66">
        <v>31.9</v>
      </c>
      <c r="AK23" s="66">
        <v>29.6</v>
      </c>
      <c r="AL23" s="66"/>
      <c r="AM23" s="66"/>
      <c r="AN23" s="66"/>
      <c r="AO23" s="66"/>
      <c r="AP23" s="67">
        <f t="shared" si="1"/>
        <v>27</v>
      </c>
      <c r="AQ23" s="68">
        <f t="shared" si="2"/>
        <v>33.29999999999999</v>
      </c>
      <c r="AR23" s="68">
        <f>IFERROR(VLOOKUP(A23,Climatologia_TMAX!A:U,9+$E$2,FALSE),"")</f>
        <v>30.640448440448441</v>
      </c>
      <c r="AS23" s="68">
        <f t="shared" si="3"/>
        <v>2.6595515595515486</v>
      </c>
      <c r="AT23" s="74">
        <f t="shared" si="4"/>
        <v>36.799999999999997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1.6999999999999957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>
        <v>36.299999999999997</v>
      </c>
      <c r="W24" s="66">
        <v>35</v>
      </c>
      <c r="X24" s="66">
        <v>38.299999999999997</v>
      </c>
      <c r="Y24" s="66">
        <v>39</v>
      </c>
      <c r="Z24" s="66">
        <v>36.6</v>
      </c>
      <c r="AA24" s="66">
        <v>36.6</v>
      </c>
      <c r="AB24" s="66">
        <v>38</v>
      </c>
      <c r="AC24" s="66">
        <v>36.700000000000003</v>
      </c>
      <c r="AD24" s="66">
        <v>38.799999999999997</v>
      </c>
      <c r="AE24" s="66">
        <v>40</v>
      </c>
      <c r="AF24" s="66">
        <v>39.200000000000003</v>
      </c>
      <c r="AG24" s="66">
        <v>39.1</v>
      </c>
      <c r="AH24" s="66">
        <v>39.1</v>
      </c>
      <c r="AI24" s="66">
        <v>36.200000000000003</v>
      </c>
      <c r="AJ24" s="66">
        <v>36.6</v>
      </c>
      <c r="AK24" s="66">
        <v>38.299999999999997</v>
      </c>
      <c r="AL24" s="66"/>
      <c r="AM24" s="66"/>
      <c r="AN24" s="66"/>
      <c r="AO24" s="66"/>
      <c r="AP24" s="67">
        <f t="shared" si="1"/>
        <v>27</v>
      </c>
      <c r="AQ24" s="68">
        <f t="shared" si="2"/>
        <v>37.240740740740748</v>
      </c>
      <c r="AR24" s="68">
        <f>IFERROR(VLOOKUP(A24,Climatologia_TMAX!A:U,9+$E$2,FALSE),"")</f>
        <v>34.911888888888889</v>
      </c>
      <c r="AS24" s="68">
        <f t="shared" si="3"/>
        <v>2.3288518518518586</v>
      </c>
      <c r="AT24" s="74">
        <f t="shared" si="4"/>
        <v>40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>
        <v>28</v>
      </c>
      <c r="W25" s="66">
        <v>28.2</v>
      </c>
      <c r="X25" s="66">
        <v>28.2</v>
      </c>
      <c r="Y25" s="66">
        <v>27.8</v>
      </c>
      <c r="Z25" s="66">
        <v>28.5</v>
      </c>
      <c r="AA25" s="66">
        <v>28</v>
      </c>
      <c r="AB25" s="66">
        <v>28.3</v>
      </c>
      <c r="AC25" s="66">
        <v>27</v>
      </c>
      <c r="AD25" s="66">
        <v>28.3</v>
      </c>
      <c r="AE25" s="66">
        <v>30</v>
      </c>
      <c r="AF25" s="66">
        <v>25.8</v>
      </c>
      <c r="AG25" s="66">
        <v>28.8</v>
      </c>
      <c r="AH25" s="66">
        <v>26</v>
      </c>
      <c r="AI25" s="66">
        <v>27.1</v>
      </c>
      <c r="AJ25" s="66">
        <v>26.4</v>
      </c>
      <c r="AK25" s="66">
        <v>24.6</v>
      </c>
      <c r="AL25" s="66"/>
      <c r="AM25" s="66"/>
      <c r="AN25" s="66"/>
      <c r="AO25" s="66"/>
      <c r="AP25" s="67">
        <f t="shared" si="1"/>
        <v>27</v>
      </c>
      <c r="AQ25" s="68">
        <f t="shared" si="2"/>
        <v>27.762962962962959</v>
      </c>
      <c r="AR25" s="68">
        <f>IFERROR(VLOOKUP(A25,Climatologia_TMAX!A:U,9+$E$2,FALSE),"")</f>
        <v>25.982387369533619</v>
      </c>
      <c r="AS25" s="68">
        <f t="shared" si="3"/>
        <v>1.7805755934293401</v>
      </c>
      <c r="AT25" s="74">
        <f t="shared" si="4"/>
        <v>30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-1.1999999999999993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>
        <v>17.399999999999999</v>
      </c>
      <c r="W26" s="66">
        <v>16.8</v>
      </c>
      <c r="X26" s="66">
        <v>16.600000000000001</v>
      </c>
      <c r="Y26" s="66">
        <v>15.6</v>
      </c>
      <c r="Z26" s="66">
        <v>16.2</v>
      </c>
      <c r="AA26" s="66">
        <v>15.8</v>
      </c>
      <c r="AB26" s="66">
        <v>15.8</v>
      </c>
      <c r="AC26" s="66">
        <v>14.6</v>
      </c>
      <c r="AD26" s="66">
        <v>17.600000000000001</v>
      </c>
      <c r="AE26" s="66">
        <v>19.399999999999999</v>
      </c>
      <c r="AF26" s="66">
        <v>17.2</v>
      </c>
      <c r="AG26" s="66">
        <v>19.2</v>
      </c>
      <c r="AH26" s="66">
        <v>18.399999999999999</v>
      </c>
      <c r="AI26" s="66">
        <v>18.2</v>
      </c>
      <c r="AJ26" s="66">
        <v>18.600000000000001</v>
      </c>
      <c r="AK26" s="66">
        <v>19.2</v>
      </c>
      <c r="AL26" s="66"/>
      <c r="AM26" s="66"/>
      <c r="AN26" s="66"/>
      <c r="AO26" s="66"/>
      <c r="AP26" s="67">
        <f t="shared" si="1"/>
        <v>27</v>
      </c>
      <c r="AQ26" s="68">
        <f t="shared" si="2"/>
        <v>16.925925925925927</v>
      </c>
      <c r="AR26" s="68">
        <f>IFERROR(VLOOKUP(A26,Climatologia_TMAX!A:U,9+$E$2,FALSE),"")</f>
        <v>15.930309706257979</v>
      </c>
      <c r="AS26" s="68">
        <f t="shared" si="3"/>
        <v>0.99561621966794789</v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3">
        <v>29.2</v>
      </c>
      <c r="V27" s="66">
        <v>34.200000000000003</v>
      </c>
      <c r="W27" s="66">
        <v>29.2</v>
      </c>
      <c r="X27" s="66">
        <v>32.200000000000003</v>
      </c>
      <c r="Y27" s="66">
        <v>30.4</v>
      </c>
      <c r="Z27" s="66">
        <v>31.2</v>
      </c>
      <c r="AA27" s="66">
        <v>34</v>
      </c>
      <c r="AB27" s="66">
        <v>31.2</v>
      </c>
      <c r="AC27" s="66">
        <v>32.799999999999997</v>
      </c>
      <c r="AD27" s="66">
        <v>32.6</v>
      </c>
      <c r="AE27" s="66">
        <v>33.4</v>
      </c>
      <c r="AF27" s="66">
        <v>31.2</v>
      </c>
      <c r="AG27" s="66">
        <v>33</v>
      </c>
      <c r="AH27" s="66">
        <v>30.2</v>
      </c>
      <c r="AI27" s="66">
        <v>33.799999999999997</v>
      </c>
      <c r="AJ27" s="66">
        <v>31</v>
      </c>
      <c r="AK27" s="66">
        <v>27.6</v>
      </c>
      <c r="AL27" s="66"/>
      <c r="AM27" s="66"/>
      <c r="AN27" s="66"/>
      <c r="AO27" s="66"/>
      <c r="AP27" s="67">
        <f t="shared" si="1"/>
        <v>27</v>
      </c>
      <c r="AQ27" s="68">
        <f t="shared" si="2"/>
        <v>31.88148148148148</v>
      </c>
      <c r="AR27" s="68">
        <f>IFERROR(VLOOKUP(A27,Climatologia_TMAX!A:U,9+$E$2,FALSE),"")</f>
        <v>30.947113847837979</v>
      </c>
      <c r="AS27" s="68">
        <f t="shared" si="3"/>
        <v>0.93436763364350028</v>
      </c>
      <c r="AT27" s="74">
        <f t="shared" si="4"/>
        <v>34.200000000000003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>
        <v>31.8</v>
      </c>
      <c r="W28" s="66">
        <v>32.9</v>
      </c>
      <c r="X28" s="66">
        <v>32.9</v>
      </c>
      <c r="Y28" s="66">
        <v>32.6</v>
      </c>
      <c r="Z28" s="66">
        <v>32.200000000000003</v>
      </c>
      <c r="AA28" s="66">
        <v>32.5</v>
      </c>
      <c r="AB28" s="66">
        <v>33.700000000000003</v>
      </c>
      <c r="AC28" s="66">
        <v>30.1</v>
      </c>
      <c r="AD28" s="66">
        <v>32.4</v>
      </c>
      <c r="AE28" s="66">
        <v>34.4</v>
      </c>
      <c r="AF28" s="66">
        <v>34.5</v>
      </c>
      <c r="AG28" s="66">
        <v>34.700000000000003</v>
      </c>
      <c r="AH28" s="115">
        <v>26.1</v>
      </c>
      <c r="AI28" s="66">
        <v>30.6</v>
      </c>
      <c r="AJ28" s="66">
        <v>34.200000000000003</v>
      </c>
      <c r="AK28" s="66">
        <v>34.5</v>
      </c>
      <c r="AL28" s="66"/>
      <c r="AM28" s="66"/>
      <c r="AN28" s="66"/>
      <c r="AO28" s="66"/>
      <c r="AP28" s="67">
        <f t="shared" si="1"/>
        <v>27</v>
      </c>
      <c r="AQ28" s="68">
        <f t="shared" si="2"/>
        <v>32.63333333333334</v>
      </c>
      <c r="AR28" s="68">
        <f>IFERROR(VLOOKUP(A28,Climatologia_TMAX!A:U,9+$E$2,FALSE),"")</f>
        <v>31.67147144681628</v>
      </c>
      <c r="AS28" s="68">
        <f t="shared" si="3"/>
        <v>0.96186188651705962</v>
      </c>
      <c r="AT28" s="74">
        <f t="shared" si="4"/>
        <v>34.700000000000003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-0.89999999999999858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>
        <v>34.200000000000003</v>
      </c>
      <c r="W29" s="66">
        <v>34.4</v>
      </c>
      <c r="X29" s="66">
        <v>34.799999999999997</v>
      </c>
      <c r="Y29" s="66">
        <v>33.6</v>
      </c>
      <c r="Z29" s="66">
        <v>32.4</v>
      </c>
      <c r="AA29" s="66">
        <v>33</v>
      </c>
      <c r="AB29" s="66">
        <v>30</v>
      </c>
      <c r="AC29" s="66">
        <v>31.4</v>
      </c>
      <c r="AD29" s="66">
        <v>33.6</v>
      </c>
      <c r="AE29" s="66">
        <v>35.6</v>
      </c>
      <c r="AF29" s="66">
        <v>35.6</v>
      </c>
      <c r="AG29" s="66">
        <v>35.799999999999997</v>
      </c>
      <c r="AH29" s="66">
        <v>28.2</v>
      </c>
      <c r="AI29" s="66">
        <v>34.6</v>
      </c>
      <c r="AJ29" s="66">
        <v>34.5</v>
      </c>
      <c r="AK29" s="66">
        <v>33.4</v>
      </c>
      <c r="AL29" s="66"/>
      <c r="AM29" s="66"/>
      <c r="AN29" s="66"/>
      <c r="AO29" s="66"/>
      <c r="AP29" s="67">
        <f t="shared" si="1"/>
        <v>27</v>
      </c>
      <c r="AQ29" s="68">
        <f t="shared" si="2"/>
        <v>33.518518518518519</v>
      </c>
      <c r="AR29" s="68">
        <f>IFERROR(VLOOKUP(A29,Climatologia_TMAX!A:U,9+$E$2,FALSE),"")</f>
        <v>32.684863258026162</v>
      </c>
      <c r="AS29" s="68">
        <f t="shared" si="3"/>
        <v>0.83365526049235683</v>
      </c>
      <c r="AT29" s="74">
        <f t="shared" si="4"/>
        <v>35.799999999999997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-0.60000000000000142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>
        <v>31.4</v>
      </c>
      <c r="W30" s="66">
        <v>32.1</v>
      </c>
      <c r="X30" s="66">
        <v>33.200000000000003</v>
      </c>
      <c r="Y30" s="66">
        <v>32.200000000000003</v>
      </c>
      <c r="Z30" s="66">
        <v>32.299999999999997</v>
      </c>
      <c r="AA30" s="66">
        <v>31.9</v>
      </c>
      <c r="AB30" s="66">
        <v>28</v>
      </c>
      <c r="AC30" s="66">
        <v>31.7</v>
      </c>
      <c r="AD30" s="66">
        <v>34</v>
      </c>
      <c r="AE30" s="66">
        <v>32.200000000000003</v>
      </c>
      <c r="AF30" s="66">
        <v>33.6</v>
      </c>
      <c r="AG30" s="66">
        <v>33.200000000000003</v>
      </c>
      <c r="AH30" s="66">
        <v>29.2</v>
      </c>
      <c r="AI30" s="66">
        <v>31.8</v>
      </c>
      <c r="AJ30" s="66">
        <v>32.4</v>
      </c>
      <c r="AK30" s="66">
        <v>33.200000000000003</v>
      </c>
      <c r="AL30" s="66"/>
      <c r="AM30" s="66"/>
      <c r="AN30" s="66"/>
      <c r="AO30" s="66"/>
      <c r="AP30" s="67">
        <f t="shared" si="1"/>
        <v>27</v>
      </c>
      <c r="AQ30" s="68">
        <f t="shared" si="2"/>
        <v>31.911111111111122</v>
      </c>
      <c r="AR30" s="68">
        <f>IFERROR(VLOOKUP(A30,Climatologia_TMAX!A:U,9+$E$2,FALSE),"")</f>
        <v>30.79898193760263</v>
      </c>
      <c r="AS30" s="68">
        <f t="shared" si="3"/>
        <v>1.1121291735084924</v>
      </c>
      <c r="AT30" s="74">
        <f t="shared" si="4"/>
        <v>34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>
        <v>31</v>
      </c>
      <c r="W31" s="105">
        <v>31.5</v>
      </c>
      <c r="X31" s="105">
        <v>27.2</v>
      </c>
      <c r="Y31" s="105">
        <v>29.4</v>
      </c>
      <c r="Z31" s="105">
        <v>32.9</v>
      </c>
      <c r="AA31" s="105">
        <v>27.7</v>
      </c>
      <c r="AB31" s="105">
        <v>32.6</v>
      </c>
      <c r="AC31" s="105">
        <v>30.4</v>
      </c>
      <c r="AD31" s="105">
        <v>33.299999999999997</v>
      </c>
      <c r="AE31" s="105">
        <v>35</v>
      </c>
      <c r="AF31" s="105">
        <v>34.5</v>
      </c>
      <c r="AG31" s="105">
        <v>33.799999999999997</v>
      </c>
      <c r="AH31" s="105">
        <v>33.299999999999997</v>
      </c>
      <c r="AI31" s="105">
        <v>33.700000000000003</v>
      </c>
      <c r="AJ31" s="105">
        <v>29.6</v>
      </c>
      <c r="AK31" s="105">
        <v>33.299999999999997</v>
      </c>
      <c r="AL31" s="105"/>
      <c r="AM31" s="105"/>
      <c r="AN31" s="105"/>
      <c r="AO31" s="105"/>
      <c r="AP31" s="67">
        <f t="shared" si="1"/>
        <v>27</v>
      </c>
      <c r="AQ31" s="68">
        <f t="shared" si="2"/>
        <v>32.192592592592582</v>
      </c>
      <c r="AR31" s="68">
        <f>IFERROR(VLOOKUP(A31,Climatologia_TMAX!A:U,9+$E$2,FALSE),"")</f>
        <v>31.98844385499557</v>
      </c>
      <c r="AS31" s="68">
        <f t="shared" si="3"/>
        <v>0.2041487375970128</v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>
        <v>27.8</v>
      </c>
      <c r="AB32" s="66">
        <v>27.2</v>
      </c>
      <c r="AC32" s="66">
        <v>24.8</v>
      </c>
      <c r="AD32" s="66">
        <v>26.8</v>
      </c>
      <c r="AE32" s="66">
        <v>25.8</v>
      </c>
      <c r="AF32" s="66">
        <v>26.6</v>
      </c>
      <c r="AG32" s="66">
        <v>25.8</v>
      </c>
      <c r="AH32" s="66">
        <v>25.6</v>
      </c>
      <c r="AI32" s="66">
        <v>24</v>
      </c>
      <c r="AJ32" s="66">
        <v>25.6</v>
      </c>
      <c r="AK32" s="66">
        <v>25.8</v>
      </c>
      <c r="AL32" s="66"/>
      <c r="AM32" s="66"/>
      <c r="AN32" s="66"/>
      <c r="AO32" s="66"/>
      <c r="AP32" s="67">
        <f t="shared" si="1"/>
        <v>11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>
        <f t="shared" si="5"/>
        <v>-0.39999999999999858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>
        <v>25.4</v>
      </c>
      <c r="W33" s="66">
        <v>22.4</v>
      </c>
      <c r="X33" s="66">
        <v>26</v>
      </c>
      <c r="Y33" s="66">
        <v>25.4</v>
      </c>
      <c r="Z33" s="66">
        <v>25.2</v>
      </c>
      <c r="AA33" s="66">
        <v>27</v>
      </c>
      <c r="AB33" s="66">
        <v>26.4</v>
      </c>
      <c r="AC33" s="66">
        <v>24.2</v>
      </c>
      <c r="AD33" s="66">
        <v>26.6</v>
      </c>
      <c r="AE33" s="66">
        <v>24.8</v>
      </c>
      <c r="AF33" s="66">
        <v>26.4</v>
      </c>
      <c r="AG33" s="66">
        <v>25</v>
      </c>
      <c r="AH33" s="66">
        <v>26.2</v>
      </c>
      <c r="AI33" s="66">
        <v>22</v>
      </c>
      <c r="AJ33" s="66">
        <v>24</v>
      </c>
      <c r="AK33" s="66">
        <v>23.8</v>
      </c>
      <c r="AL33" s="66"/>
      <c r="AM33" s="66"/>
      <c r="AN33" s="66"/>
      <c r="AO33" s="66"/>
      <c r="AP33" s="67">
        <f t="shared" si="1"/>
        <v>27</v>
      </c>
      <c r="AQ33" s="68">
        <f t="shared" si="2"/>
        <v>25.370370370370363</v>
      </c>
      <c r="AR33" s="68">
        <f>IFERROR(VLOOKUP(A33,Climatologia_TMAX!A:U,9+$E$2,FALSE),"")</f>
        <v>24.23233678727139</v>
      </c>
      <c r="AS33" s="68">
        <f t="shared" si="3"/>
        <v>1.1380335830989736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>
        <v>38.799999999999997</v>
      </c>
      <c r="W36" s="66">
        <v>37</v>
      </c>
      <c r="X36" s="66">
        <v>38.6</v>
      </c>
      <c r="Y36" s="66">
        <v>36.799999999999997</v>
      </c>
      <c r="Z36" s="66">
        <v>35.799999999999997</v>
      </c>
      <c r="AA36" s="66">
        <v>41</v>
      </c>
      <c r="AB36" s="66">
        <v>38.4</v>
      </c>
      <c r="AC36" s="66">
        <v>34.6</v>
      </c>
      <c r="AD36" s="66">
        <v>39.200000000000003</v>
      </c>
      <c r="AE36" s="66">
        <v>37</v>
      </c>
      <c r="AF36" s="66">
        <v>35.799999999999997</v>
      </c>
      <c r="AG36" s="66">
        <v>35.799999999999997</v>
      </c>
      <c r="AH36" s="66">
        <v>38.200000000000003</v>
      </c>
      <c r="AI36" s="66">
        <v>37</v>
      </c>
      <c r="AJ36" s="66">
        <v>36.799999999999997</v>
      </c>
      <c r="AK36" s="66">
        <v>33.6</v>
      </c>
      <c r="AL36" s="66"/>
      <c r="AM36" s="66"/>
      <c r="AN36" s="66"/>
      <c r="AO36" s="66"/>
      <c r="AP36" s="67">
        <f t="shared" si="1"/>
        <v>27</v>
      </c>
      <c r="AQ36" s="68">
        <f t="shared" si="2"/>
        <v>37.511111111111106</v>
      </c>
      <c r="AR36" s="68">
        <f>IFERROR(VLOOKUP(A36,Climatologia_TMAX!A:U,9+$E$2,FALSE),"")</f>
        <v>33.454009491466387</v>
      </c>
      <c r="AS36" s="68">
        <f t="shared" si="3"/>
        <v>4.0571016196447189</v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2">
        <v>30</v>
      </c>
      <c r="S38" s="66">
        <v>29</v>
      </c>
      <c r="T38" s="66">
        <v>31</v>
      </c>
      <c r="U38" s="66">
        <v>25</v>
      </c>
      <c r="V38" s="66">
        <v>29.2</v>
      </c>
      <c r="W38" s="66">
        <v>27.4</v>
      </c>
      <c r="X38" s="66">
        <v>29</v>
      </c>
      <c r="Y38" s="66">
        <v>28.4</v>
      </c>
      <c r="Z38" s="66">
        <v>27</v>
      </c>
      <c r="AA38" s="66">
        <v>31</v>
      </c>
      <c r="AB38" s="66">
        <v>29.2</v>
      </c>
      <c r="AC38" s="66">
        <v>24.6</v>
      </c>
      <c r="AD38" s="66">
        <v>29.2</v>
      </c>
      <c r="AE38" s="66">
        <v>28.4</v>
      </c>
      <c r="AF38" s="66">
        <v>30</v>
      </c>
      <c r="AG38" s="66">
        <v>27.8</v>
      </c>
      <c r="AH38" s="66">
        <v>29.2</v>
      </c>
      <c r="AI38" s="66">
        <v>25</v>
      </c>
      <c r="AJ38" s="66">
        <v>25.6</v>
      </c>
      <c r="AK38" s="66">
        <v>26.2</v>
      </c>
      <c r="AL38" s="66"/>
      <c r="AM38" s="66"/>
      <c r="AN38" s="66"/>
      <c r="AO38" s="66"/>
      <c r="AP38" s="67">
        <f t="shared" si="1"/>
        <v>27</v>
      </c>
      <c r="AQ38" s="68">
        <f t="shared" si="2"/>
        <v>27.977777777777778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>
        <v>26.8</v>
      </c>
      <c r="W39" s="66">
        <v>25.4</v>
      </c>
      <c r="X39" s="66">
        <v>27.4</v>
      </c>
      <c r="Y39" s="66">
        <v>25.6</v>
      </c>
      <c r="Z39" s="66">
        <v>26.2</v>
      </c>
      <c r="AA39" s="66">
        <v>28.8</v>
      </c>
      <c r="AB39" s="66">
        <v>27.4</v>
      </c>
      <c r="AC39" s="66"/>
      <c r="AD39" s="66">
        <v>27.4</v>
      </c>
      <c r="AE39" s="66">
        <v>25.6</v>
      </c>
      <c r="AF39" s="66">
        <v>26.6</v>
      </c>
      <c r="AG39" s="66">
        <v>25.2</v>
      </c>
      <c r="AH39" s="66">
        <v>25.6</v>
      </c>
      <c r="AI39" s="66">
        <v>26.3</v>
      </c>
      <c r="AJ39" s="66">
        <v>23.2</v>
      </c>
      <c r="AK39" s="66">
        <v>23.6</v>
      </c>
      <c r="AL39" s="66"/>
      <c r="AM39" s="66"/>
      <c r="AN39" s="66"/>
      <c r="AO39" s="66"/>
      <c r="AP39" s="67">
        <f t="shared" si="1"/>
        <v>26</v>
      </c>
      <c r="AQ39" s="68">
        <f t="shared" si="2"/>
        <v>26.419230769230769</v>
      </c>
      <c r="AR39" s="68">
        <f>IFERROR(VLOOKUP(A39,Climatologia_TMAX!A:U,9+$E$2,FALSE),"")</f>
        <v>23.447134238213408</v>
      </c>
      <c r="AS39" s="68">
        <f t="shared" si="3"/>
        <v>2.9720965310173604</v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>
        <v>23</v>
      </c>
      <c r="W40" s="66">
        <v>21.8</v>
      </c>
      <c r="X40" s="66">
        <v>22.4</v>
      </c>
      <c r="Y40" s="66">
        <v>23</v>
      </c>
      <c r="Z40" s="66">
        <v>22</v>
      </c>
      <c r="AA40" s="66">
        <v>22.8</v>
      </c>
      <c r="AB40" s="66">
        <v>23</v>
      </c>
      <c r="AC40" s="66">
        <v>22.2</v>
      </c>
      <c r="AD40" s="66">
        <v>22.8</v>
      </c>
      <c r="AE40" s="66"/>
      <c r="AF40" s="66"/>
      <c r="AG40" s="66">
        <v>23.2</v>
      </c>
      <c r="AH40" s="66">
        <v>22.8</v>
      </c>
      <c r="AI40" s="66">
        <v>22.6</v>
      </c>
      <c r="AJ40" s="66">
        <v>22</v>
      </c>
      <c r="AK40" s="66">
        <v>21.4</v>
      </c>
      <c r="AL40" s="66"/>
      <c r="AM40" s="66"/>
      <c r="AN40" s="66"/>
      <c r="AO40" s="66"/>
      <c r="AP40" s="67">
        <f t="shared" si="1"/>
        <v>25</v>
      </c>
      <c r="AQ40" s="68">
        <f t="shared" si="2"/>
        <v>22.447999999999997</v>
      </c>
      <c r="AR40" s="68">
        <f>IFERROR(VLOOKUP(A40,Climatologia_TMAX!A:U,9+$E$2,FALSE),"")</f>
        <v>20.702408866995071</v>
      </c>
      <c r="AS40" s="68">
        <f t="shared" si="3"/>
        <v>1.7455911330049254</v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2">
        <v>33.4</v>
      </c>
      <c r="S42" s="66">
        <v>33</v>
      </c>
      <c r="T42" s="66">
        <v>33.6</v>
      </c>
      <c r="U42" s="66">
        <v>30.8</v>
      </c>
      <c r="V42" s="66">
        <v>32.200000000000003</v>
      </c>
      <c r="W42" s="66">
        <v>30.4</v>
      </c>
      <c r="X42" s="66">
        <v>32.799999999999997</v>
      </c>
      <c r="Y42" s="66">
        <v>30.6</v>
      </c>
      <c r="Z42" s="66">
        <v>31.8</v>
      </c>
      <c r="AA42" s="66">
        <v>33.6</v>
      </c>
      <c r="AB42" s="66">
        <v>34</v>
      </c>
      <c r="AC42" s="66">
        <v>28.6</v>
      </c>
      <c r="AD42" s="66">
        <v>33</v>
      </c>
      <c r="AE42" s="66">
        <v>32.6</v>
      </c>
      <c r="AF42" s="66">
        <v>33.5</v>
      </c>
      <c r="AG42" s="66">
        <v>31</v>
      </c>
      <c r="AH42" s="66">
        <v>33.4</v>
      </c>
      <c r="AI42" s="66">
        <v>28.4</v>
      </c>
      <c r="AJ42" s="66">
        <v>32</v>
      </c>
      <c r="AK42" s="66">
        <v>30.2</v>
      </c>
      <c r="AL42" s="66"/>
      <c r="AM42" s="66"/>
      <c r="AN42" s="66"/>
      <c r="AO42" s="66"/>
      <c r="AP42" s="67">
        <f t="shared" si="1"/>
        <v>27</v>
      </c>
      <c r="AQ42" s="68">
        <f t="shared" si="2"/>
        <v>31.892592592592596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>
        <v>31.6</v>
      </c>
      <c r="W43" s="66">
        <v>32.6</v>
      </c>
      <c r="X43" s="66">
        <v>33.4</v>
      </c>
      <c r="Y43" s="66">
        <v>33</v>
      </c>
      <c r="Z43" s="66">
        <v>35.200000000000003</v>
      </c>
      <c r="AA43" s="66">
        <v>35.200000000000003</v>
      </c>
      <c r="AB43" s="66">
        <v>32.200000000000003</v>
      </c>
      <c r="AC43" s="66">
        <v>33.799999999999997</v>
      </c>
      <c r="AD43" s="66">
        <v>33.799999999999997</v>
      </c>
      <c r="AE43" s="66">
        <v>33</v>
      </c>
      <c r="AF43" s="66">
        <v>34</v>
      </c>
      <c r="AG43" s="66">
        <v>32.799999999999997</v>
      </c>
      <c r="AH43" s="66">
        <v>32.200000000000003</v>
      </c>
      <c r="AI43" s="66">
        <v>33.200000000000003</v>
      </c>
      <c r="AJ43" s="66">
        <v>32.6</v>
      </c>
      <c r="AK43" s="66">
        <v>31.2</v>
      </c>
      <c r="AL43" s="66"/>
      <c r="AM43" s="66"/>
      <c r="AN43" s="66"/>
      <c r="AO43" s="66"/>
      <c r="AP43" s="67">
        <f t="shared" si="1"/>
        <v>27</v>
      </c>
      <c r="AQ43" s="68">
        <f t="shared" si="2"/>
        <v>32.800000000000004</v>
      </c>
      <c r="AR43" s="68">
        <f>IFERROR(VLOOKUP(A43,Climatologia_TMAX!A:U,9+$E$2,FALSE),"")</f>
        <v>31.718826815519439</v>
      </c>
      <c r="AS43" s="68">
        <f t="shared" si="3"/>
        <v>1.0811731844805657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0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>
        <v>27.4</v>
      </c>
      <c r="W44" s="66">
        <v>29</v>
      </c>
      <c r="X44" s="66">
        <v>28</v>
      </c>
      <c r="Y44" s="66">
        <v>26.8</v>
      </c>
      <c r="Z44" s="66">
        <v>26.8</v>
      </c>
      <c r="AA44" s="109">
        <v>29.8</v>
      </c>
      <c r="AB44" s="66">
        <v>29.6</v>
      </c>
      <c r="AC44" s="66">
        <v>28.4</v>
      </c>
      <c r="AD44" s="66">
        <v>29</v>
      </c>
      <c r="AE44" s="66">
        <v>28.4</v>
      </c>
      <c r="AF44" s="66">
        <v>30</v>
      </c>
      <c r="AG44" s="66">
        <v>29.2</v>
      </c>
      <c r="AH44" s="66">
        <v>29.4</v>
      </c>
      <c r="AI44" s="66">
        <v>26.8</v>
      </c>
      <c r="AJ44" s="66">
        <v>27.8</v>
      </c>
      <c r="AK44" s="66">
        <v>28</v>
      </c>
      <c r="AL44" s="66"/>
      <c r="AM44" s="66"/>
      <c r="AN44" s="66"/>
      <c r="AO44" s="66"/>
      <c r="AP44" s="67">
        <f t="shared" si="1"/>
        <v>27</v>
      </c>
      <c r="AQ44" s="68">
        <f t="shared" si="2"/>
        <v>27.918518518518518</v>
      </c>
      <c r="AR44" s="68">
        <f>IFERROR(VLOOKUP(A44,Climatologia_TMAX!A:U,9+$E$2,FALSE),"")</f>
        <v>22.451263483642791</v>
      </c>
      <c r="AS44" s="68">
        <f t="shared" si="3"/>
        <v>5.4672550348757269</v>
      </c>
      <c r="AT44" s="74">
        <f t="shared" si="4"/>
        <v>30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1.6000000000000014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>
        <v>36</v>
      </c>
      <c r="W45" s="66">
        <v>33</v>
      </c>
      <c r="X45" s="66">
        <v>34.200000000000003</v>
      </c>
      <c r="Y45" s="66">
        <v>35</v>
      </c>
      <c r="Z45" s="66">
        <v>32.200000000000003</v>
      </c>
      <c r="AA45" s="66">
        <v>36.799999999999997</v>
      </c>
      <c r="AB45" s="66">
        <v>36.6</v>
      </c>
      <c r="AC45" s="66">
        <v>31.2</v>
      </c>
      <c r="AD45" s="66">
        <v>34.200000000000003</v>
      </c>
      <c r="AE45" s="66">
        <v>32</v>
      </c>
      <c r="AF45" s="66">
        <v>34.799999999999997</v>
      </c>
      <c r="AG45" s="66">
        <v>36</v>
      </c>
      <c r="AH45" s="66">
        <v>34.799999999999997</v>
      </c>
      <c r="AI45" s="66">
        <v>33</v>
      </c>
      <c r="AJ45" s="66">
        <v>29</v>
      </c>
      <c r="AK45" s="66">
        <v>33.6</v>
      </c>
      <c r="AL45" s="66"/>
      <c r="AM45" s="66"/>
      <c r="AN45" s="66"/>
      <c r="AO45" s="66"/>
      <c r="AP45" s="67">
        <f t="shared" si="1"/>
        <v>27</v>
      </c>
      <c r="AQ45" s="68">
        <f t="shared" si="2"/>
        <v>34.355555555555554</v>
      </c>
      <c r="AR45" s="68">
        <f>IFERROR(VLOOKUP(A45,Climatologia_TMAX!A:U,9+$E$2,FALSE),"")</f>
        <v>32.199781609195398</v>
      </c>
      <c r="AS45" s="68">
        <f t="shared" si="3"/>
        <v>2.1557739463601564</v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>
        <v>31.4</v>
      </c>
      <c r="W46" s="66">
        <v>31.2</v>
      </c>
      <c r="X46" s="66">
        <v>31</v>
      </c>
      <c r="Y46" s="66">
        <v>30.2</v>
      </c>
      <c r="Z46" s="66">
        <v>31.8</v>
      </c>
      <c r="AA46" s="66">
        <v>32</v>
      </c>
      <c r="AB46" s="66">
        <v>31.8</v>
      </c>
      <c r="AC46" s="66">
        <v>30.2</v>
      </c>
      <c r="AD46" s="66">
        <v>31</v>
      </c>
      <c r="AE46" s="66">
        <v>30.8</v>
      </c>
      <c r="AF46" s="66">
        <v>32</v>
      </c>
      <c r="AG46" s="66">
        <v>32.4</v>
      </c>
      <c r="AH46" s="66">
        <v>32</v>
      </c>
      <c r="AI46" s="66">
        <v>32.200000000000003</v>
      </c>
      <c r="AJ46" s="66">
        <v>29.4</v>
      </c>
      <c r="AK46" s="66">
        <v>30</v>
      </c>
      <c r="AL46" s="66"/>
      <c r="AM46" s="66"/>
      <c r="AN46" s="66"/>
      <c r="AO46" s="66"/>
      <c r="AP46" s="67">
        <f t="shared" si="1"/>
        <v>27</v>
      </c>
      <c r="AQ46" s="68">
        <f t="shared" si="2"/>
        <v>31.4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>
        <v>37.4</v>
      </c>
      <c r="W49" s="66">
        <v>31.8</v>
      </c>
      <c r="X49" s="66">
        <v>34.200000000000003</v>
      </c>
      <c r="Y49" s="66">
        <v>33.799999999999997</v>
      </c>
      <c r="Z49" s="66">
        <v>34.200000000000003</v>
      </c>
      <c r="AA49" s="66">
        <v>33.6</v>
      </c>
      <c r="AB49" s="66">
        <v>35.200000000000003</v>
      </c>
      <c r="AC49" s="66">
        <v>30.4</v>
      </c>
      <c r="AD49" s="66">
        <v>33.6</v>
      </c>
      <c r="AE49" s="66">
        <v>32</v>
      </c>
      <c r="AF49" s="66">
        <v>34.799999999999997</v>
      </c>
      <c r="AG49" s="66">
        <v>34.4</v>
      </c>
      <c r="AH49" s="66">
        <v>33.4</v>
      </c>
      <c r="AI49" s="66">
        <v>35.799999999999997</v>
      </c>
      <c r="AJ49" s="66">
        <v>29.2</v>
      </c>
      <c r="AK49" s="66">
        <v>31</v>
      </c>
      <c r="AL49" s="66"/>
      <c r="AM49" s="66"/>
      <c r="AN49" s="66"/>
      <c r="AO49" s="66"/>
      <c r="AP49" s="67">
        <f t="shared" si="1"/>
        <v>27</v>
      </c>
      <c r="AQ49" s="68">
        <f t="shared" si="2"/>
        <v>33.829629629629629</v>
      </c>
      <c r="AR49" s="68">
        <f>IFERROR(VLOOKUP(A49,Climatologia_TMAX!A:U,9+$E$2,FALSE),"")</f>
        <v>32.006441202475692</v>
      </c>
      <c r="AS49" s="68">
        <f t="shared" si="3"/>
        <v>1.8231884271539371</v>
      </c>
      <c r="AT49" s="74">
        <f t="shared" si="4"/>
        <v>37.4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0.19999999999999574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>
        <v>32.200000000000003</v>
      </c>
      <c r="W52" s="66"/>
      <c r="X52" s="66">
        <v>31</v>
      </c>
      <c r="Y52" s="66">
        <v>31.8</v>
      </c>
      <c r="Z52" s="66">
        <v>31.2</v>
      </c>
      <c r="AA52" s="66">
        <v>34.200000000000003</v>
      </c>
      <c r="AB52" s="66">
        <v>32.4</v>
      </c>
      <c r="AC52" s="66">
        <v>29.8</v>
      </c>
      <c r="AD52" s="66">
        <v>31</v>
      </c>
      <c r="AE52" s="66">
        <v>30.6</v>
      </c>
      <c r="AF52" s="66">
        <v>32.200000000000003</v>
      </c>
      <c r="AG52" s="66">
        <v>32</v>
      </c>
      <c r="AH52" s="66">
        <v>32.4</v>
      </c>
      <c r="AI52" s="66">
        <v>32.6</v>
      </c>
      <c r="AJ52" s="66">
        <v>29</v>
      </c>
      <c r="AK52" s="66">
        <v>30.8</v>
      </c>
      <c r="AL52" s="66"/>
      <c r="AM52" s="66"/>
      <c r="AN52" s="66"/>
      <c r="AO52" s="66"/>
      <c r="AP52" s="67">
        <f t="shared" si="1"/>
        <v>26</v>
      </c>
      <c r="AQ52" s="68">
        <f t="shared" si="2"/>
        <v>31.930769230769229</v>
      </c>
      <c r="AR52" s="68">
        <f>IFERROR(VLOOKUP(A52,Climatologia_TMAX!A:U,9+$E$2,FALSE),"")</f>
        <v>30.893504627065631</v>
      </c>
      <c r="AS52" s="68">
        <f t="shared" si="3"/>
        <v>1.0372646037035977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>
        <v>34.200000000000003</v>
      </c>
      <c r="W53" s="66">
        <v>28.8</v>
      </c>
      <c r="X53" s="66">
        <v>34.200000000000003</v>
      </c>
      <c r="Y53" s="66">
        <v>33</v>
      </c>
      <c r="Z53" s="66">
        <v>33.799999999999997</v>
      </c>
      <c r="AA53" s="66">
        <v>35.200000000000003</v>
      </c>
      <c r="AB53" s="66">
        <v>35</v>
      </c>
      <c r="AC53" s="66">
        <v>27.2</v>
      </c>
      <c r="AD53" s="66">
        <v>32</v>
      </c>
      <c r="AE53" s="66">
        <v>32.200000000000003</v>
      </c>
      <c r="AF53" s="66">
        <v>34</v>
      </c>
      <c r="AG53" s="66">
        <v>32.200000000000003</v>
      </c>
      <c r="AH53" s="66">
        <v>34.200000000000003</v>
      </c>
      <c r="AI53" s="66">
        <v>33.799999999999997</v>
      </c>
      <c r="AJ53" s="66">
        <v>31</v>
      </c>
      <c r="AK53" s="66">
        <v>31.2</v>
      </c>
      <c r="AL53" s="66"/>
      <c r="AM53" s="66"/>
      <c r="AN53" s="66"/>
      <c r="AO53" s="66"/>
      <c r="AP53" s="67">
        <f t="shared" si="1"/>
        <v>27</v>
      </c>
      <c r="AQ53" s="68">
        <f t="shared" si="2"/>
        <v>32.911111111111119</v>
      </c>
      <c r="AR53" s="68">
        <f>IFERROR(VLOOKUP(A53,Climatologia_TMAX!A:U,9+$E$2,FALSE),"")</f>
        <v>32.425316548075173</v>
      </c>
      <c r="AS53" s="68">
        <f t="shared" si="3"/>
        <v>0.48579456303594526</v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>
        <v>36.4</v>
      </c>
      <c r="Y54" s="66">
        <v>36.799999999999997</v>
      </c>
      <c r="Z54" s="66">
        <v>35</v>
      </c>
      <c r="AA54" s="66">
        <v>39.6</v>
      </c>
      <c r="AB54" s="66">
        <v>39.799999999999997</v>
      </c>
      <c r="AC54" s="66">
        <v>32.4</v>
      </c>
      <c r="AD54" s="66">
        <v>35.799999999999997</v>
      </c>
      <c r="AE54" s="66">
        <v>34.4</v>
      </c>
      <c r="AF54" s="66">
        <v>36</v>
      </c>
      <c r="AG54" s="66">
        <v>36.799999999999997</v>
      </c>
      <c r="AH54" s="66">
        <v>36.200000000000003</v>
      </c>
      <c r="AI54" s="66">
        <v>34.200000000000003</v>
      </c>
      <c r="AJ54" s="66">
        <v>29.8</v>
      </c>
      <c r="AK54" s="66">
        <v>33.4</v>
      </c>
      <c r="AL54" s="66"/>
      <c r="AM54" s="66"/>
      <c r="AN54" s="66"/>
      <c r="AO54" s="66"/>
      <c r="AP54" s="67">
        <f t="shared" si="1"/>
        <v>25</v>
      </c>
      <c r="AQ54" s="68">
        <f t="shared" si="2"/>
        <v>35.86399999999999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39.799999999999997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0.19999999999999574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>
        <v>37</v>
      </c>
      <c r="W55" s="66">
        <v>31.6</v>
      </c>
      <c r="X55" s="66">
        <v>35.4</v>
      </c>
      <c r="Y55" s="66">
        <v>34</v>
      </c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15</v>
      </c>
      <c r="AQ55" s="68">
        <f t="shared" si="2"/>
        <v>34.946666666666673</v>
      </c>
      <c r="AR55" s="68">
        <f>IFERROR(VLOOKUP(A55,Climatologia_TMAX!A:U,9+$E$2,FALSE),"")</f>
        <v>32.47634846306795</v>
      </c>
      <c r="AS55" s="68">
        <f t="shared" si="3"/>
        <v>2.4703182035987226</v>
      </c>
      <c r="AT55" s="111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>
        <v>33</v>
      </c>
      <c r="W67" s="66">
        <v>33</v>
      </c>
      <c r="X67" s="66">
        <v>34.1</v>
      </c>
      <c r="Y67" s="66">
        <v>32.4</v>
      </c>
      <c r="Z67" s="66">
        <v>34.1</v>
      </c>
      <c r="AA67" s="66">
        <v>34</v>
      </c>
      <c r="AB67" s="66">
        <v>36.4</v>
      </c>
      <c r="AC67" s="66">
        <v>36.6</v>
      </c>
      <c r="AD67" s="66">
        <v>34.799999999999997</v>
      </c>
      <c r="AE67" s="66">
        <v>32.299999999999997</v>
      </c>
      <c r="AF67" s="66">
        <v>34.799999999999997</v>
      </c>
      <c r="AG67" s="66">
        <v>34.200000000000003</v>
      </c>
      <c r="AH67" s="66">
        <v>34.200000000000003</v>
      </c>
      <c r="AI67" s="66">
        <v>34.4</v>
      </c>
      <c r="AJ67" s="66">
        <v>34.200000000000003</v>
      </c>
      <c r="AK67" s="66">
        <v>34.200000000000003</v>
      </c>
      <c r="AL67" s="66"/>
      <c r="AM67" s="66"/>
      <c r="AN67" s="66"/>
      <c r="AO67" s="66"/>
      <c r="AP67" s="67">
        <f t="shared" si="1"/>
        <v>27</v>
      </c>
      <c r="AQ67" s="68">
        <f t="shared" si="2"/>
        <v>33.507407407407406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36.6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1.6000000000000014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>
        <v>33.6</v>
      </c>
      <c r="V72" s="66">
        <v>35.200000000000003</v>
      </c>
      <c r="W72" s="66">
        <v>33.200000000000003</v>
      </c>
      <c r="X72" s="66">
        <v>34.6</v>
      </c>
      <c r="Y72" s="66">
        <v>34</v>
      </c>
      <c r="Z72" s="66">
        <v>35.200000000000003</v>
      </c>
      <c r="AA72" s="66">
        <v>40.4</v>
      </c>
      <c r="AB72" s="66">
        <v>37</v>
      </c>
      <c r="AC72" s="66">
        <v>32.4</v>
      </c>
      <c r="AD72" s="66">
        <v>35</v>
      </c>
      <c r="AE72" s="66">
        <v>33.4</v>
      </c>
      <c r="AF72" s="66">
        <v>35.6</v>
      </c>
      <c r="AG72" s="66">
        <v>35.200000000000003</v>
      </c>
      <c r="AH72" s="66">
        <v>34.799999999999997</v>
      </c>
      <c r="AI72" s="66">
        <v>33</v>
      </c>
      <c r="AJ72" s="66">
        <v>29.6</v>
      </c>
      <c r="AK72" s="66">
        <v>33.4</v>
      </c>
      <c r="AL72" s="66"/>
      <c r="AM72" s="66"/>
      <c r="AN72" s="66"/>
      <c r="AO72" s="66"/>
      <c r="AP72" s="67">
        <f t="shared" si="6"/>
        <v>17</v>
      </c>
      <c r="AQ72" s="68">
        <f t="shared" si="7"/>
        <v>34.44705882352941</v>
      </c>
      <c r="AR72" s="68">
        <f>IFERROR(VLOOKUP(A72,Climatologia_TMAX!A:U,9+$E$2,FALSE),"")</f>
        <v>32.969054004743647</v>
      </c>
      <c r="AS72" s="68">
        <f t="shared" si="8"/>
        <v>1.4780048187857631</v>
      </c>
      <c r="AT72" s="74">
        <f t="shared" si="9"/>
        <v>40.4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>
        <f t="shared" si="10"/>
        <v>2.6000000000000014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>
        <v>35</v>
      </c>
      <c r="W76" s="66">
        <v>31.4</v>
      </c>
      <c r="X76" s="66">
        <v>33.200000000000003</v>
      </c>
      <c r="Y76" s="66">
        <v>34.4</v>
      </c>
      <c r="Z76" s="66">
        <v>31.6</v>
      </c>
      <c r="AA76" s="66">
        <v>36</v>
      </c>
      <c r="AB76" s="66">
        <v>35.4</v>
      </c>
      <c r="AC76" s="66">
        <v>28.6</v>
      </c>
      <c r="AD76" s="66">
        <v>32.799999999999997</v>
      </c>
      <c r="AE76" s="66">
        <v>30.8</v>
      </c>
      <c r="AF76" s="66">
        <v>34</v>
      </c>
      <c r="AG76" s="66">
        <v>34.200000000000003</v>
      </c>
      <c r="AH76" s="66">
        <v>33.6</v>
      </c>
      <c r="AI76" s="66">
        <v>33.799999999999997</v>
      </c>
      <c r="AJ76" s="66">
        <v>27.2</v>
      </c>
      <c r="AK76" s="66">
        <v>31</v>
      </c>
      <c r="AL76" s="66"/>
      <c r="AM76" s="66"/>
      <c r="AN76" s="66"/>
      <c r="AO76" s="66"/>
      <c r="AP76" s="67">
        <f t="shared" si="6"/>
        <v>27</v>
      </c>
      <c r="AQ76" s="68">
        <f t="shared" si="7"/>
        <v>33.288888888888884</v>
      </c>
      <c r="AR76" s="68">
        <f>IFERROR(VLOOKUP(A76,Climatologia_TMAX!A:U,9+$E$2,FALSE),"")</f>
        <v>31.452593153972469</v>
      </c>
      <c r="AS76" s="68">
        <f t="shared" si="8"/>
        <v>1.8362957349164155</v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>
        <v>33</v>
      </c>
      <c r="W77" s="66">
        <v>29.8</v>
      </c>
      <c r="X77" s="66">
        <v>33.4</v>
      </c>
      <c r="Y77" s="66">
        <v>26.8</v>
      </c>
      <c r="Z77" s="66">
        <v>30.6</v>
      </c>
      <c r="AA77" s="66">
        <v>33.200000000000003</v>
      </c>
      <c r="AB77" s="66">
        <v>33.200000000000003</v>
      </c>
      <c r="AC77" s="66">
        <v>32.799999999999997</v>
      </c>
      <c r="AD77" s="66">
        <v>33</v>
      </c>
      <c r="AE77" s="66">
        <v>34.799999999999997</v>
      </c>
      <c r="AF77" s="66">
        <v>35.4</v>
      </c>
      <c r="AG77" s="66">
        <v>33.799999999999997</v>
      </c>
      <c r="AH77" s="66">
        <v>30</v>
      </c>
      <c r="AI77" s="66">
        <v>33.200000000000003</v>
      </c>
      <c r="AJ77" s="66">
        <v>32.6</v>
      </c>
      <c r="AK77" s="66">
        <v>28.8</v>
      </c>
      <c r="AL77" s="66"/>
      <c r="AM77" s="66"/>
      <c r="AN77" s="66"/>
      <c r="AO77" s="66"/>
      <c r="AP77" s="67">
        <f t="shared" si="6"/>
        <v>26</v>
      </c>
      <c r="AQ77" s="68">
        <f t="shared" si="7"/>
        <v>31.969230769230766</v>
      </c>
      <c r="AR77" s="68">
        <f>IFERROR(VLOOKUP(A77,Climatologia_TMAX!A:U,9+$E$2,FALSE),"")</f>
        <v>31.66925925925926</v>
      </c>
      <c r="AS77" s="68">
        <f t="shared" si="8"/>
        <v>0.29997150997150612</v>
      </c>
      <c r="AT77" s="74">
        <f t="shared" si="9"/>
        <v>35.4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>
        <v>31.8</v>
      </c>
      <c r="W79" s="66">
        <v>30.8</v>
      </c>
      <c r="X79" s="66">
        <v>30.4</v>
      </c>
      <c r="Y79" s="66">
        <v>31.4</v>
      </c>
      <c r="Z79" s="66">
        <v>30.9</v>
      </c>
      <c r="AA79" s="66">
        <v>31.8</v>
      </c>
      <c r="AB79" s="66">
        <v>29.8</v>
      </c>
      <c r="AC79" s="66">
        <v>29.2</v>
      </c>
      <c r="AD79" s="66">
        <v>33.6</v>
      </c>
      <c r="AE79" s="66">
        <v>33.4</v>
      </c>
      <c r="AF79" s="66">
        <v>33.799999999999997</v>
      </c>
      <c r="AG79" s="66">
        <v>31.6</v>
      </c>
      <c r="AH79" s="66">
        <v>32</v>
      </c>
      <c r="AI79" s="66">
        <v>31.2</v>
      </c>
      <c r="AJ79" s="66">
        <v>32.4</v>
      </c>
      <c r="AK79" s="66">
        <v>30.2</v>
      </c>
      <c r="AL79" s="66"/>
      <c r="AM79" s="66"/>
      <c r="AN79" s="66"/>
      <c r="AO79" s="66"/>
      <c r="AP79" s="67">
        <f t="shared" si="6"/>
        <v>27</v>
      </c>
      <c r="AQ79" s="68">
        <f t="shared" si="7"/>
        <v>31.944444444444443</v>
      </c>
      <c r="AR79" s="68">
        <f>IFERROR(VLOOKUP(A79,Climatologia_TMAX!A:U,9+$E$2,FALSE),"")</f>
        <v>31.542409364140131</v>
      </c>
      <c r="AS79" s="68">
        <f t="shared" si="8"/>
        <v>0.40203508030431223</v>
      </c>
      <c r="AT79" s="74">
        <f t="shared" si="9"/>
        <v>33.799999999999997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-1.2000000000000028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>
        <v>34</v>
      </c>
      <c r="W80" s="66">
        <v>33.200000000000003</v>
      </c>
      <c r="X80" s="66">
        <v>33.4</v>
      </c>
      <c r="Y80" s="66">
        <v>32</v>
      </c>
      <c r="Z80" s="66">
        <v>31.6</v>
      </c>
      <c r="AA80" s="66">
        <v>32.6</v>
      </c>
      <c r="AB80" s="66">
        <v>30.4</v>
      </c>
      <c r="AC80" s="66">
        <v>32.4</v>
      </c>
      <c r="AD80" s="66">
        <v>34.4</v>
      </c>
      <c r="AE80" s="66">
        <v>34.200000000000003</v>
      </c>
      <c r="AF80" s="66">
        <v>35.200000000000003</v>
      </c>
      <c r="AG80" s="66">
        <v>34.6</v>
      </c>
      <c r="AH80" s="66">
        <v>27.2</v>
      </c>
      <c r="AI80" s="66">
        <v>34.4</v>
      </c>
      <c r="AJ80" s="66"/>
      <c r="AK80" s="66"/>
      <c r="AL80" s="66"/>
      <c r="AM80" s="66"/>
      <c r="AN80" s="66"/>
      <c r="AO80" s="66"/>
      <c r="AP80" s="67">
        <f t="shared" si="6"/>
        <v>24</v>
      </c>
      <c r="AQ80" s="68">
        <f t="shared" si="7"/>
        <v>32.524999999999999</v>
      </c>
      <c r="AR80" s="68">
        <f>IFERROR(VLOOKUP(A80,Climatologia_TMAX!A:U,9+$E$2,FALSE),"")</f>
        <v>31.501529678282552</v>
      </c>
      <c r="AS80" s="68">
        <f t="shared" si="8"/>
        <v>1.023470321717447</v>
      </c>
      <c r="AT80" s="74">
        <f t="shared" si="9"/>
        <v>35.200000000000003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-0.19999999999999574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>
        <v>32.6</v>
      </c>
      <c r="W81" s="66">
        <v>32.4</v>
      </c>
      <c r="X81" s="66">
        <v>32.799999999999997</v>
      </c>
      <c r="Y81" s="66">
        <v>32.4</v>
      </c>
      <c r="Z81" s="66">
        <v>31.8</v>
      </c>
      <c r="AA81" s="66">
        <v>32</v>
      </c>
      <c r="AB81" s="66">
        <v>28.4</v>
      </c>
      <c r="AC81" s="66">
        <v>31.6</v>
      </c>
      <c r="AD81" s="66">
        <v>33.4</v>
      </c>
      <c r="AE81" s="66">
        <v>31.8</v>
      </c>
      <c r="AF81" s="66">
        <v>34.799999999999997</v>
      </c>
      <c r="AG81" s="66">
        <v>34.200000000000003</v>
      </c>
      <c r="AH81" s="66">
        <v>28.2</v>
      </c>
      <c r="AI81" s="66">
        <v>31.8</v>
      </c>
      <c r="AJ81" s="66">
        <v>31.6</v>
      </c>
      <c r="AK81" s="66">
        <v>33.4</v>
      </c>
      <c r="AL81" s="66"/>
      <c r="AM81" s="66"/>
      <c r="AN81" s="66"/>
      <c r="AO81" s="66"/>
      <c r="AP81" s="67">
        <f t="shared" si="6"/>
        <v>27</v>
      </c>
      <c r="AQ81" s="68">
        <f t="shared" si="7"/>
        <v>32.074074074074069</v>
      </c>
      <c r="AR81" s="68">
        <f>IFERROR(VLOOKUP(A81,Climatologia_TMAX!A:U,9+$E$2,FALSE),"")</f>
        <v>31.10612903516844</v>
      </c>
      <c r="AS81" s="68">
        <f t="shared" si="8"/>
        <v>0.96794503890562922</v>
      </c>
      <c r="AT81" s="74">
        <f t="shared" si="9"/>
        <v>34.799999999999997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-0.20000000000000284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>
        <v>33.200000000000003</v>
      </c>
      <c r="W83" s="66">
        <v>30</v>
      </c>
      <c r="X83" s="66">
        <v>33.799999999999997</v>
      </c>
      <c r="Y83" s="66">
        <v>31.8</v>
      </c>
      <c r="Z83" s="66">
        <v>32.4</v>
      </c>
      <c r="AA83" s="66">
        <v>32.799999999999997</v>
      </c>
      <c r="AB83" s="66">
        <v>31.6</v>
      </c>
      <c r="AC83" s="66">
        <v>31.4</v>
      </c>
      <c r="AD83" s="66">
        <v>34.4</v>
      </c>
      <c r="AE83" s="66">
        <v>34.200000000000003</v>
      </c>
      <c r="AF83" s="66">
        <v>35</v>
      </c>
      <c r="AG83" s="66">
        <v>34.200000000000003</v>
      </c>
      <c r="AH83" s="66">
        <v>30.2</v>
      </c>
      <c r="AI83" s="66">
        <v>32.4</v>
      </c>
      <c r="AJ83" s="66">
        <v>32.6</v>
      </c>
      <c r="AK83" s="66">
        <v>33.200000000000003</v>
      </c>
      <c r="AL83" s="66"/>
      <c r="AM83" s="66"/>
      <c r="AN83" s="66"/>
      <c r="AO83" s="66"/>
      <c r="AP83" s="67">
        <f t="shared" si="6"/>
        <v>27</v>
      </c>
      <c r="AQ83" s="68">
        <f t="shared" si="7"/>
        <v>32.696296296296296</v>
      </c>
      <c r="AR83" s="68">
        <f>IFERROR(VLOOKUP(A83,Climatologia_TMAX!A:U,9+$E$2,FALSE),"")</f>
        <v>31.067557033171731</v>
      </c>
      <c r="AS83" s="68">
        <f t="shared" si="8"/>
        <v>1.6287392631245652</v>
      </c>
      <c r="AT83" s="74">
        <f t="shared" si="9"/>
        <v>35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>
        <v>32.4</v>
      </c>
      <c r="W85" s="66">
        <v>28.4</v>
      </c>
      <c r="X85" s="66">
        <v>32.6</v>
      </c>
      <c r="Y85" s="66">
        <v>32.200000000000003</v>
      </c>
      <c r="Z85" s="66">
        <v>32</v>
      </c>
      <c r="AA85" s="66">
        <v>32</v>
      </c>
      <c r="AB85" s="66">
        <v>29.2</v>
      </c>
      <c r="AC85" s="66">
        <v>32</v>
      </c>
      <c r="AD85" s="66">
        <v>34.200000000000003</v>
      </c>
      <c r="AE85" s="66">
        <v>32.4</v>
      </c>
      <c r="AF85" s="66">
        <v>34.6</v>
      </c>
      <c r="AG85" s="66">
        <v>34.200000000000003</v>
      </c>
      <c r="AH85" s="66">
        <v>29.2</v>
      </c>
      <c r="AI85" s="66">
        <v>32.9</v>
      </c>
      <c r="AJ85" s="66">
        <v>32.4</v>
      </c>
      <c r="AK85" s="66">
        <v>33.4</v>
      </c>
      <c r="AL85" s="66"/>
      <c r="AM85" s="66"/>
      <c r="AN85" s="66"/>
      <c r="AO85" s="66"/>
      <c r="AP85" s="67">
        <f t="shared" si="6"/>
        <v>27</v>
      </c>
      <c r="AQ85" s="68">
        <f t="shared" si="7"/>
        <v>32.025925925925925</v>
      </c>
      <c r="AR85" s="68">
        <f>IFERROR(VLOOKUP(A85,Climatologia_TMAX!A:U,9+$E$2,FALSE),"")</f>
        <v>31.130077169796991</v>
      </c>
      <c r="AS85" s="68">
        <f t="shared" si="8"/>
        <v>0.89584875612893455</v>
      </c>
      <c r="AT85" s="74">
        <f t="shared" si="9"/>
        <v>34.6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>
        <v>30.6</v>
      </c>
      <c r="W86" s="66">
        <v>31.2</v>
      </c>
      <c r="X86" s="66">
        <v>30.8</v>
      </c>
      <c r="Y86" s="66">
        <v>32.799999999999997</v>
      </c>
      <c r="Z86" s="66">
        <v>30.6</v>
      </c>
      <c r="AA86" s="66">
        <v>32.799999999999997</v>
      </c>
      <c r="AB86" s="66">
        <v>32.200000000000003</v>
      </c>
      <c r="AC86" s="66">
        <v>30.2</v>
      </c>
      <c r="AD86" s="66">
        <v>34.200000000000003</v>
      </c>
      <c r="AE86" s="66">
        <v>33.799999999999997</v>
      </c>
      <c r="AF86" s="66">
        <v>34.4</v>
      </c>
      <c r="AG86" s="66">
        <v>34.200000000000003</v>
      </c>
      <c r="AH86" s="66">
        <v>30.4</v>
      </c>
      <c r="AI86" s="66">
        <v>32.6</v>
      </c>
      <c r="AJ86" s="66"/>
      <c r="AK86" s="66"/>
      <c r="AL86" s="66"/>
      <c r="AM86" s="66"/>
      <c r="AN86" s="66"/>
      <c r="AO86" s="66"/>
      <c r="AP86" s="67">
        <f t="shared" si="6"/>
        <v>25</v>
      </c>
      <c r="AQ86" s="68">
        <f t="shared" si="7"/>
        <v>32.352000000000004</v>
      </c>
      <c r="AR86" s="68">
        <f>IFERROR(VLOOKUP(A86,Climatologia_TMAX!A:U,9+$E$2,FALSE),"")</f>
        <v>31.174760699298879</v>
      </c>
      <c r="AS86" s="68">
        <f t="shared" si="8"/>
        <v>1.1772393007011246</v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>
        <v>32.799999999999997</v>
      </c>
      <c r="W87" s="66">
        <v>30.4</v>
      </c>
      <c r="X87" s="66">
        <v>32.6</v>
      </c>
      <c r="Y87" s="66">
        <v>33.200000000000003</v>
      </c>
      <c r="Z87" s="66">
        <v>31.6</v>
      </c>
      <c r="AA87" s="66">
        <v>33.200000000000003</v>
      </c>
      <c r="AB87" s="66">
        <v>31.8</v>
      </c>
      <c r="AC87" s="66">
        <v>32.200000000000003</v>
      </c>
      <c r="AD87" s="66">
        <v>33.799999999999997</v>
      </c>
      <c r="AE87" s="66">
        <v>34.799999999999997</v>
      </c>
      <c r="AF87" s="66">
        <v>34.6</v>
      </c>
      <c r="AG87" s="66">
        <v>34.4</v>
      </c>
      <c r="AH87" s="66">
        <v>30.4</v>
      </c>
      <c r="AI87" s="66">
        <v>33</v>
      </c>
      <c r="AJ87" s="66">
        <v>33</v>
      </c>
      <c r="AK87" s="66">
        <v>31.2</v>
      </c>
      <c r="AL87" s="66"/>
      <c r="AM87" s="66"/>
      <c r="AN87" s="66"/>
      <c r="AO87" s="66"/>
      <c r="AP87" s="67">
        <f t="shared" si="6"/>
        <v>27</v>
      </c>
      <c r="AQ87" s="68">
        <f t="shared" si="7"/>
        <v>32.488888888888887</v>
      </c>
      <c r="AR87" s="68">
        <f>IFERROR(VLOOKUP(A87,Climatologia_TMAX!A:U,9+$E$2,FALSE),"")</f>
        <v>31.478230462470751</v>
      </c>
      <c r="AS87" s="68">
        <f t="shared" si="8"/>
        <v>1.0106584264181357</v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-0.80000000000000426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>
        <v>32.200000000000003</v>
      </c>
      <c r="W90" s="66">
        <v>32.1</v>
      </c>
      <c r="X90" s="66">
        <v>32.4</v>
      </c>
      <c r="Y90" s="66">
        <v>30.3</v>
      </c>
      <c r="Z90" s="66">
        <v>31.2</v>
      </c>
      <c r="AA90" s="66">
        <v>32</v>
      </c>
      <c r="AB90" s="66">
        <v>33</v>
      </c>
      <c r="AC90" s="66">
        <v>32</v>
      </c>
      <c r="AD90" s="66">
        <v>33</v>
      </c>
      <c r="AE90" s="66">
        <v>33.4</v>
      </c>
      <c r="AF90" s="109">
        <v>34</v>
      </c>
      <c r="AG90" s="66">
        <v>29.3</v>
      </c>
      <c r="AH90" s="66">
        <v>32.200000000000003</v>
      </c>
      <c r="AI90" s="66">
        <v>27.9</v>
      </c>
      <c r="AJ90" s="66">
        <v>33.4</v>
      </c>
      <c r="AK90" s="66">
        <v>32</v>
      </c>
      <c r="AL90" s="66"/>
      <c r="AM90" s="66"/>
      <c r="AN90" s="66"/>
      <c r="AO90" s="66"/>
      <c r="AP90" s="67">
        <f t="shared" si="6"/>
        <v>27</v>
      </c>
      <c r="AQ90" s="68">
        <f t="shared" si="7"/>
        <v>31.781481481481475</v>
      </c>
      <c r="AR90" s="68">
        <f>IFERROR(VLOOKUP(A90,Climatologia_TMAX!A:U,9+$E$2,FALSE),"")</f>
        <v>31.099937562083159</v>
      </c>
      <c r="AS90" s="68">
        <f t="shared" si="8"/>
        <v>0.68154391939831527</v>
      </c>
      <c r="AT90" s="74">
        <f t="shared" si="9"/>
        <v>34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-0.79999999999999716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>
        <v>33</v>
      </c>
      <c r="W91" s="66">
        <v>31.2</v>
      </c>
      <c r="X91" s="66">
        <v>33.299999999999997</v>
      </c>
      <c r="Y91" s="66">
        <v>33.1</v>
      </c>
      <c r="Z91" s="107">
        <v>33.1</v>
      </c>
      <c r="AA91" s="66">
        <v>33.4</v>
      </c>
      <c r="AB91" s="66">
        <v>33.4</v>
      </c>
      <c r="AC91" s="66">
        <v>32.200000000000003</v>
      </c>
      <c r="AD91" s="66">
        <v>34.299999999999997</v>
      </c>
      <c r="AE91" s="66">
        <v>34.1</v>
      </c>
      <c r="AF91" s="66">
        <v>34.299999999999997</v>
      </c>
      <c r="AG91" s="66">
        <v>34</v>
      </c>
      <c r="AH91" s="66">
        <v>29.4</v>
      </c>
      <c r="AI91" s="66">
        <v>32.4</v>
      </c>
      <c r="AJ91" s="66">
        <v>32.299999999999997</v>
      </c>
      <c r="AK91" s="66">
        <v>33.4</v>
      </c>
      <c r="AL91" s="66"/>
      <c r="AM91" s="66"/>
      <c r="AN91" s="66"/>
      <c r="AO91" s="66"/>
      <c r="AP91" s="67">
        <f t="shared" si="6"/>
        <v>26</v>
      </c>
      <c r="AQ91" s="68">
        <f t="shared" si="7"/>
        <v>32.66538461538461</v>
      </c>
      <c r="AR91" s="68">
        <f>IFERROR(VLOOKUP(A91,Climatologia_TMAX!A:U,9+$E$2,FALSE),"")</f>
        <v>31.92355343062879</v>
      </c>
      <c r="AS91" s="68">
        <f t="shared" si="8"/>
        <v>0.74183118475582077</v>
      </c>
      <c r="AT91" s="74">
        <f t="shared" si="9"/>
        <v>34.299999999999997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-1.5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>
        <v>32.6</v>
      </c>
      <c r="W94" s="66">
        <v>32</v>
      </c>
      <c r="X94" s="66">
        <v>34</v>
      </c>
      <c r="Y94" s="66">
        <v>31.2</v>
      </c>
      <c r="Z94" s="66">
        <v>30.4</v>
      </c>
      <c r="AA94" s="66">
        <v>32.799999999999997</v>
      </c>
      <c r="AB94" s="66">
        <v>32.200000000000003</v>
      </c>
      <c r="AC94" s="66">
        <v>34</v>
      </c>
      <c r="AD94" s="66">
        <v>31.4</v>
      </c>
      <c r="AE94" s="66">
        <v>34.799999999999997</v>
      </c>
      <c r="AF94" s="66">
        <v>35.799999999999997</v>
      </c>
      <c r="AG94" s="66">
        <v>33</v>
      </c>
      <c r="AH94" s="66">
        <v>29</v>
      </c>
      <c r="AI94" s="66">
        <v>34</v>
      </c>
      <c r="AJ94" s="66">
        <v>32.200000000000003</v>
      </c>
      <c r="AK94" s="66">
        <v>32</v>
      </c>
      <c r="AL94" s="66"/>
      <c r="AM94" s="66"/>
      <c r="AN94" s="66"/>
      <c r="AO94" s="66"/>
      <c r="AP94" s="67">
        <f t="shared" si="6"/>
        <v>27</v>
      </c>
      <c r="AQ94" s="68">
        <f t="shared" si="7"/>
        <v>32.548148148148144</v>
      </c>
      <c r="AR94" s="68">
        <f>IFERROR(VLOOKUP(A94,Climatologia_TMAX!A:U,9+$E$2,FALSE),"")</f>
        <v>31.991304063769562</v>
      </c>
      <c r="AS94" s="68">
        <f t="shared" si="8"/>
        <v>0.55684408437858224</v>
      </c>
      <c r="AT94" s="74">
        <f t="shared" si="9"/>
        <v>35.799999999999997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0.19999999999999574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>
        <v>26.4</v>
      </c>
      <c r="W99" s="66">
        <v>27.2</v>
      </c>
      <c r="X99" s="66">
        <v>28</v>
      </c>
      <c r="Y99" s="66">
        <v>28</v>
      </c>
      <c r="Z99" s="66">
        <v>25.2</v>
      </c>
      <c r="AA99" s="66">
        <v>29</v>
      </c>
      <c r="AB99" s="66">
        <v>28</v>
      </c>
      <c r="AC99" s="66">
        <v>25.2</v>
      </c>
      <c r="AD99" s="66">
        <v>29</v>
      </c>
      <c r="AE99" s="66">
        <v>31</v>
      </c>
      <c r="AF99" s="66">
        <v>30</v>
      </c>
      <c r="AG99" s="66">
        <v>30.2</v>
      </c>
      <c r="AH99" s="66">
        <v>30.2</v>
      </c>
      <c r="AI99" s="66">
        <v>27.2</v>
      </c>
      <c r="AJ99" s="66">
        <v>28</v>
      </c>
      <c r="AK99" s="66">
        <v>30</v>
      </c>
      <c r="AL99" s="66"/>
      <c r="AM99" s="66"/>
      <c r="AN99" s="66"/>
      <c r="AO99" s="66"/>
      <c r="AP99" s="67">
        <f t="shared" si="6"/>
        <v>27</v>
      </c>
      <c r="AQ99" s="68">
        <f t="shared" si="7"/>
        <v>27.881481481481483</v>
      </c>
      <c r="AR99" s="68">
        <f>IFERROR(VLOOKUP(A99,Climatologia_TMAX!A:U,9+$E$2,FALSE),"")</f>
        <v>25.859893128991061</v>
      </c>
      <c r="AS99" s="68">
        <f t="shared" si="8"/>
        <v>2.0215883524904221</v>
      </c>
      <c r="AT99" s="74">
        <f t="shared" si="9"/>
        <v>31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-1.1000000000000014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>
        <v>40</v>
      </c>
      <c r="W100" s="66">
        <v>39.799999999999997</v>
      </c>
      <c r="X100" s="66">
        <v>43</v>
      </c>
      <c r="Y100" s="66">
        <v>40.799999999999997</v>
      </c>
      <c r="Z100" s="107">
        <v>38.799999999999997</v>
      </c>
      <c r="AA100" s="66">
        <v>40</v>
      </c>
      <c r="AB100" s="66">
        <v>40.799999999999997</v>
      </c>
      <c r="AC100" s="66">
        <v>39</v>
      </c>
      <c r="AD100" s="66">
        <v>41.8</v>
      </c>
      <c r="AE100" s="66">
        <v>42.8</v>
      </c>
      <c r="AF100" s="109">
        <v>40.6</v>
      </c>
      <c r="AG100" s="66">
        <v>39</v>
      </c>
      <c r="AH100" s="66">
        <v>41.2</v>
      </c>
      <c r="AI100" s="66">
        <v>36.6</v>
      </c>
      <c r="AJ100" s="66">
        <v>39.799999999999997</v>
      </c>
      <c r="AK100" s="66">
        <v>39.6</v>
      </c>
      <c r="AL100" s="66"/>
      <c r="AM100" s="66"/>
      <c r="AN100" s="66"/>
      <c r="AO100" s="66"/>
      <c r="AP100" s="67">
        <f t="shared" si="6"/>
        <v>27</v>
      </c>
      <c r="AQ100" s="68">
        <f t="shared" si="7"/>
        <v>39.970370370370361</v>
      </c>
      <c r="AR100" s="68">
        <f>IFERROR(VLOOKUP(A100,Climatologia_TMAX!A:U,9+$E$2,FALSE),"")</f>
        <v>36.623448411009093</v>
      </c>
      <c r="AS100" s="68">
        <f t="shared" si="8"/>
        <v>3.3469219593612678</v>
      </c>
      <c r="AT100" s="74">
        <f t="shared" si="9"/>
        <v>43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>
        <v>31</v>
      </c>
      <c r="W102" s="66">
        <v>31.6</v>
      </c>
      <c r="X102" s="66">
        <v>31.8</v>
      </c>
      <c r="Y102" s="66">
        <v>33</v>
      </c>
      <c r="Z102" s="66">
        <v>33.6</v>
      </c>
      <c r="AA102" s="66">
        <v>30.2</v>
      </c>
      <c r="AB102" s="66">
        <v>32.799999999999997</v>
      </c>
      <c r="AC102" s="66">
        <v>30.4</v>
      </c>
      <c r="AD102" s="66">
        <v>32.4</v>
      </c>
      <c r="AE102" s="66">
        <v>32.6</v>
      </c>
      <c r="AF102" s="66">
        <v>32.4</v>
      </c>
      <c r="AG102" s="66">
        <v>32.4</v>
      </c>
      <c r="AH102" s="66">
        <v>32.799999999999997</v>
      </c>
      <c r="AI102" s="66">
        <v>30.2</v>
      </c>
      <c r="AJ102" s="66">
        <v>29.6</v>
      </c>
      <c r="AK102" s="66">
        <v>31.4</v>
      </c>
      <c r="AL102" s="66"/>
      <c r="AM102" s="66"/>
      <c r="AN102" s="66"/>
      <c r="AO102" s="66"/>
      <c r="AP102" s="67">
        <f t="shared" si="6"/>
        <v>27</v>
      </c>
      <c r="AQ102" s="68">
        <f t="shared" si="7"/>
        <v>31.288888888888888</v>
      </c>
      <c r="AR102" s="68">
        <f>IFERROR(VLOOKUP(A102,Climatologia_TMAX!A:U,9+$E$2,FALSE),"")</f>
        <v>28.401216931216929</v>
      </c>
      <c r="AS102" s="68">
        <f t="shared" si="8"/>
        <v>2.8876719576719587</v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>
        <v>38.799999999999997</v>
      </c>
      <c r="W104" s="66">
        <v>38.200000000000003</v>
      </c>
      <c r="X104" s="66">
        <v>39.6</v>
      </c>
      <c r="Y104" s="66">
        <v>38.4</v>
      </c>
      <c r="Z104" s="66">
        <v>37.6</v>
      </c>
      <c r="AA104" s="66">
        <v>38.6</v>
      </c>
      <c r="AB104" s="66">
        <v>39.200000000000003</v>
      </c>
      <c r="AC104" s="66">
        <v>37.4</v>
      </c>
      <c r="AD104" s="66">
        <v>39.6</v>
      </c>
      <c r="AE104" s="66">
        <v>40.200000000000003</v>
      </c>
      <c r="AF104" s="66">
        <v>38.200000000000003</v>
      </c>
      <c r="AG104" s="66">
        <v>38.200000000000003</v>
      </c>
      <c r="AH104" s="66">
        <v>38.6</v>
      </c>
      <c r="AI104" s="66">
        <v>39.200000000000003</v>
      </c>
      <c r="AJ104" s="66">
        <v>38.9</v>
      </c>
      <c r="AK104" s="66">
        <v>38.200000000000003</v>
      </c>
      <c r="AL104" s="66"/>
      <c r="AM104" s="66"/>
      <c r="AN104" s="66"/>
      <c r="AO104" s="66"/>
      <c r="AP104" s="67">
        <f t="shared" si="6"/>
        <v>27</v>
      </c>
      <c r="AQ104" s="68">
        <f t="shared" si="7"/>
        <v>38.603703703703722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40.200000000000003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-0.79999999999999716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>
        <v>30.4</v>
      </c>
      <c r="W105" s="66">
        <v>33.4</v>
      </c>
      <c r="X105" s="66">
        <v>31.4</v>
      </c>
      <c r="Y105" s="66">
        <v>32</v>
      </c>
      <c r="Z105" s="66">
        <v>30.6</v>
      </c>
      <c r="AA105" s="66">
        <v>32.799999999999997</v>
      </c>
      <c r="AB105" s="66">
        <v>32.4</v>
      </c>
      <c r="AC105" s="66">
        <v>32.4</v>
      </c>
      <c r="AD105" s="66">
        <v>31.6</v>
      </c>
      <c r="AE105" s="66">
        <v>35.4</v>
      </c>
      <c r="AF105" s="66">
        <v>35.4</v>
      </c>
      <c r="AG105" s="66">
        <v>31.8</v>
      </c>
      <c r="AH105" s="66">
        <v>33</v>
      </c>
      <c r="AI105" s="66">
        <v>31.2</v>
      </c>
      <c r="AJ105" s="66">
        <v>32.799999999999997</v>
      </c>
      <c r="AK105" s="66">
        <v>32.799999999999997</v>
      </c>
      <c r="AL105" s="66"/>
      <c r="AM105" s="66"/>
      <c r="AN105" s="66"/>
      <c r="AO105" s="66"/>
      <c r="AP105" s="67">
        <f t="shared" si="6"/>
        <v>27</v>
      </c>
      <c r="AQ105" s="68">
        <f t="shared" si="7"/>
        <v>32.388888888888879</v>
      </c>
      <c r="AR105" s="68">
        <f>IFERROR(VLOOKUP(A105,Climatologia_TMAX!A:U,9+$E$2,FALSE),"")</f>
        <v>31.333378216621981</v>
      </c>
      <c r="AS105" s="68">
        <f t="shared" si="8"/>
        <v>1.0555106722668981</v>
      </c>
      <c r="AT105" s="74">
        <f t="shared" si="9"/>
        <v>35.4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-1.2000000000000028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>
        <v>27.8</v>
      </c>
      <c r="W106" s="66">
        <v>28.6</v>
      </c>
      <c r="X106" s="66">
        <v>29.4</v>
      </c>
      <c r="Y106" s="66">
        <v>27.2</v>
      </c>
      <c r="Z106" s="66">
        <v>25.4</v>
      </c>
      <c r="AA106" s="66">
        <v>26.8</v>
      </c>
      <c r="AB106" s="66">
        <v>28.4</v>
      </c>
      <c r="AC106" s="66">
        <v>27.6</v>
      </c>
      <c r="AD106" s="66">
        <v>30</v>
      </c>
      <c r="AE106" s="66">
        <v>29.6</v>
      </c>
      <c r="AF106" s="66">
        <v>30</v>
      </c>
      <c r="AG106" s="66">
        <v>28.6</v>
      </c>
      <c r="AH106" s="66">
        <v>28.6</v>
      </c>
      <c r="AI106" s="66">
        <v>28.4</v>
      </c>
      <c r="AJ106" s="66">
        <v>26.6</v>
      </c>
      <c r="AK106" s="66">
        <v>28.8</v>
      </c>
      <c r="AL106" s="66"/>
      <c r="AM106" s="66"/>
      <c r="AN106" s="66"/>
      <c r="AO106" s="66"/>
      <c r="AP106" s="67">
        <f t="shared" si="6"/>
        <v>27</v>
      </c>
      <c r="AQ106" s="68">
        <f t="shared" si="7"/>
        <v>27.733333333333334</v>
      </c>
      <c r="AR106" s="68">
        <f>IFERROR(VLOOKUP(A106,Climatologia_TMAX!A:U,9+$E$2,FALSE),"")</f>
        <v>25.893091954022989</v>
      </c>
      <c r="AS106" s="68">
        <f t="shared" si="8"/>
        <v>1.8402413793103456</v>
      </c>
      <c r="AT106" s="74">
        <f t="shared" si="9"/>
        <v>30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>
        <v>20.8</v>
      </c>
      <c r="AK107" s="66">
        <v>21.4</v>
      </c>
      <c r="AL107" s="66"/>
      <c r="AM107" s="66"/>
      <c r="AN107" s="66"/>
      <c r="AO107" s="66"/>
      <c r="AP107" s="67">
        <f t="shared" si="6"/>
        <v>2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>
        <f t="shared" si="9"/>
        <v>21.4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>
        <f t="shared" si="10"/>
        <v>-4.8000000000000007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>
        <v>32.6</v>
      </c>
      <c r="W108" s="66">
        <v>31.8</v>
      </c>
      <c r="X108" s="66">
        <v>35</v>
      </c>
      <c r="Y108" s="66">
        <v>32</v>
      </c>
      <c r="Z108" s="66">
        <v>31</v>
      </c>
      <c r="AA108" s="66">
        <v>32.6</v>
      </c>
      <c r="AB108" s="66">
        <v>32.200000000000003</v>
      </c>
      <c r="AC108" s="66">
        <v>33.200000000000003</v>
      </c>
      <c r="AD108" s="66">
        <v>33.4</v>
      </c>
      <c r="AE108" s="66">
        <v>34.200000000000003</v>
      </c>
      <c r="AF108" s="66">
        <v>35.4</v>
      </c>
      <c r="AG108" s="66">
        <v>33.6</v>
      </c>
      <c r="AH108" s="66">
        <v>34.6</v>
      </c>
      <c r="AI108" s="66">
        <v>33</v>
      </c>
      <c r="AJ108" s="66">
        <v>33.799999999999997</v>
      </c>
      <c r="AK108" s="66">
        <v>30</v>
      </c>
      <c r="AL108" s="66"/>
      <c r="AM108" s="66"/>
      <c r="AN108" s="66"/>
      <c r="AO108" s="66"/>
      <c r="AP108" s="67">
        <f t="shared" si="6"/>
        <v>27</v>
      </c>
      <c r="AQ108" s="68">
        <f t="shared" si="7"/>
        <v>32.911111111111119</v>
      </c>
      <c r="AR108" s="68">
        <f>IFERROR(VLOOKUP(A108,Climatologia_TMAX!A:U,9+$E$2,FALSE),"")</f>
        <v>31.57003010399562</v>
      </c>
      <c r="AS108" s="68">
        <f t="shared" si="8"/>
        <v>1.3410810071154984</v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>
        <v>26</v>
      </c>
      <c r="W109" s="66">
        <v>28.5</v>
      </c>
      <c r="X109" s="66">
        <v>30.2</v>
      </c>
      <c r="Y109" s="66">
        <v>29.2</v>
      </c>
      <c r="Z109" s="66">
        <v>24</v>
      </c>
      <c r="AA109" s="66">
        <v>28.6</v>
      </c>
      <c r="AB109" s="66">
        <v>28</v>
      </c>
      <c r="AC109" s="66">
        <v>25.2</v>
      </c>
      <c r="AD109" s="66">
        <v>28.8</v>
      </c>
      <c r="AE109" s="66">
        <v>31.2</v>
      </c>
      <c r="AF109" s="66">
        <v>31.4</v>
      </c>
      <c r="AG109" s="66">
        <v>29.8</v>
      </c>
      <c r="AH109" s="66">
        <v>30.8</v>
      </c>
      <c r="AI109" s="66">
        <v>29.2</v>
      </c>
      <c r="AJ109" s="66">
        <v>30.2</v>
      </c>
      <c r="AK109" s="66">
        <v>30.8</v>
      </c>
      <c r="AL109" s="66"/>
      <c r="AM109" s="66"/>
      <c r="AN109" s="66"/>
      <c r="AO109" s="66"/>
      <c r="AP109" s="67">
        <f t="shared" si="6"/>
        <v>27</v>
      </c>
      <c r="AQ109" s="68">
        <f t="shared" si="7"/>
        <v>28.596296296296291</v>
      </c>
      <c r="AR109" s="68">
        <f>IFERROR(VLOOKUP(A109,Climatologia_TMAX!A:U,9+$E$2,FALSE),"")</f>
        <v>26.601765290194411</v>
      </c>
      <c r="AS109" s="68">
        <f t="shared" si="8"/>
        <v>1.9945310061018802</v>
      </c>
      <c r="AT109" s="74">
        <f t="shared" si="9"/>
        <v>31.4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-1.3999999999999986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>
        <v>38</v>
      </c>
      <c r="W111" s="66">
        <v>39.4</v>
      </c>
      <c r="X111" s="66">
        <v>37.4</v>
      </c>
      <c r="Y111" s="66">
        <v>38.6</v>
      </c>
      <c r="Z111" s="66">
        <v>39.200000000000003</v>
      </c>
      <c r="AA111" s="109">
        <v>40.4</v>
      </c>
      <c r="AB111" s="66">
        <v>40.6</v>
      </c>
      <c r="AC111" s="66">
        <v>36.4</v>
      </c>
      <c r="AD111" s="66">
        <v>36.4</v>
      </c>
      <c r="AE111" s="66">
        <v>38.4</v>
      </c>
      <c r="AF111" s="66">
        <v>39.200000000000003</v>
      </c>
      <c r="AG111" s="66">
        <v>38.799999999999997</v>
      </c>
      <c r="AH111" s="66">
        <v>39.4</v>
      </c>
      <c r="AI111" s="66">
        <v>37.4</v>
      </c>
      <c r="AJ111" s="66">
        <v>34.200000000000003</v>
      </c>
      <c r="AK111" s="66">
        <v>29.6</v>
      </c>
      <c r="AL111" s="66"/>
      <c r="AM111" s="66"/>
      <c r="AN111" s="66"/>
      <c r="AO111" s="66"/>
      <c r="AP111" s="67">
        <f t="shared" si="6"/>
        <v>27</v>
      </c>
      <c r="AQ111" s="68">
        <f t="shared" si="7"/>
        <v>37.703703703703702</v>
      </c>
      <c r="AR111" s="68">
        <f>IFERROR(VLOOKUP(A111,Climatologia_TMAX!A:U,9+$E$2,FALSE),"")</f>
        <v>33.956722503192843</v>
      </c>
      <c r="AS111" s="68">
        <f t="shared" si="8"/>
        <v>3.7469812005108594</v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>
        <v>35.6</v>
      </c>
      <c r="W112" s="66">
        <v>36.6</v>
      </c>
      <c r="X112" s="66">
        <v>34.6</v>
      </c>
      <c r="Y112" s="66">
        <v>37.6</v>
      </c>
      <c r="Z112" s="66">
        <v>36.200000000000003</v>
      </c>
      <c r="AA112" s="66">
        <v>39.200000000000003</v>
      </c>
      <c r="AB112" s="66"/>
      <c r="AC112" s="66">
        <v>39.200000000000003</v>
      </c>
      <c r="AD112" s="66">
        <v>39.6</v>
      </c>
      <c r="AE112" s="66">
        <v>37.799999999999997</v>
      </c>
      <c r="AF112" s="66">
        <v>36.4</v>
      </c>
      <c r="AG112" s="66">
        <v>37.799999999999997</v>
      </c>
      <c r="AH112" s="66">
        <v>36.6</v>
      </c>
      <c r="AI112" s="66">
        <v>36.6</v>
      </c>
      <c r="AJ112" s="66">
        <v>36.799999999999997</v>
      </c>
      <c r="AK112" s="66">
        <v>32.799999999999997</v>
      </c>
      <c r="AL112" s="66"/>
      <c r="AM112" s="66"/>
      <c r="AN112" s="66"/>
      <c r="AO112" s="66"/>
      <c r="AP112" s="67">
        <f t="shared" si="6"/>
        <v>26</v>
      </c>
      <c r="AQ112" s="68">
        <f t="shared" si="7"/>
        <v>36.992307692307698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39.6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-0.39999999999999858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2">
        <v>39</v>
      </c>
      <c r="S114" s="66">
        <v>39.4</v>
      </c>
      <c r="T114" s="66">
        <v>37</v>
      </c>
      <c r="U114" s="66">
        <v>36.4</v>
      </c>
      <c r="V114" s="66">
        <v>37.799999999999997</v>
      </c>
      <c r="W114" s="66">
        <v>36.200000000000003</v>
      </c>
      <c r="X114" s="66">
        <v>36.4</v>
      </c>
      <c r="Y114" s="66">
        <v>35.4</v>
      </c>
      <c r="Z114" s="66">
        <v>31.4</v>
      </c>
      <c r="AA114" s="66">
        <v>37.200000000000003</v>
      </c>
      <c r="AB114" s="66"/>
      <c r="AC114" s="66">
        <v>36.799999999999997</v>
      </c>
      <c r="AD114" s="66">
        <v>36.799999999999997</v>
      </c>
      <c r="AE114" s="66">
        <v>30.6</v>
      </c>
      <c r="AF114" s="66">
        <v>33.4</v>
      </c>
      <c r="AG114" s="66">
        <v>34</v>
      </c>
      <c r="AH114" s="66">
        <v>33.6</v>
      </c>
      <c r="AI114" s="66"/>
      <c r="AJ114" s="66"/>
      <c r="AK114" s="66"/>
      <c r="AL114" s="66"/>
      <c r="AM114" s="66"/>
      <c r="AN114" s="66"/>
      <c r="AO114" s="66"/>
      <c r="AP114" s="67">
        <f t="shared" si="6"/>
        <v>23</v>
      </c>
      <c r="AQ114" s="68">
        <f t="shared" si="7"/>
        <v>35.582608695652169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>
        <v>38.4</v>
      </c>
      <c r="V115" s="66">
        <v>37</v>
      </c>
      <c r="W115" s="66">
        <v>37</v>
      </c>
      <c r="X115" s="66">
        <v>36.4</v>
      </c>
      <c r="Y115" s="66">
        <v>37.200000000000003</v>
      </c>
      <c r="Z115" s="66">
        <v>36.200000000000003</v>
      </c>
      <c r="AA115" s="66">
        <v>38.4</v>
      </c>
      <c r="AB115" s="66">
        <v>38.799999999999997</v>
      </c>
      <c r="AC115" s="66">
        <v>39.200000000000003</v>
      </c>
      <c r="AD115" s="66">
        <v>35.6</v>
      </c>
      <c r="AE115" s="66">
        <v>32.799999999999997</v>
      </c>
      <c r="AF115" s="66">
        <v>33</v>
      </c>
      <c r="AG115" s="66">
        <v>37.6</v>
      </c>
      <c r="AH115" s="66">
        <v>38</v>
      </c>
      <c r="AI115" s="66">
        <v>38.200000000000003</v>
      </c>
      <c r="AJ115" s="66">
        <v>38.6</v>
      </c>
      <c r="AK115" s="66">
        <v>37.4</v>
      </c>
      <c r="AL115" s="66"/>
      <c r="AM115" s="66"/>
      <c r="AN115" s="66"/>
      <c r="AO115" s="66"/>
      <c r="AP115" s="67">
        <f t="shared" si="6"/>
        <v>27</v>
      </c>
      <c r="AQ115" s="68">
        <f t="shared" si="7"/>
        <v>37.192592592592597</v>
      </c>
      <c r="AR115" s="68">
        <f>IFERROR(VLOOKUP(A115,Climatologia_TMAX!A:U,9+$E$2,FALSE),"")</f>
        <v>34.78786103005671</v>
      </c>
      <c r="AS115" s="68">
        <f t="shared" si="8"/>
        <v>2.4047315625358863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>
        <v>37.6</v>
      </c>
      <c r="W118" s="66">
        <v>36.6</v>
      </c>
      <c r="X118" s="66">
        <v>34.200000000000003</v>
      </c>
      <c r="Y118" s="66">
        <v>36.4</v>
      </c>
      <c r="Z118" s="66">
        <v>37.4</v>
      </c>
      <c r="AA118" s="66">
        <v>40</v>
      </c>
      <c r="AB118" s="66">
        <v>39</v>
      </c>
      <c r="AC118" s="66"/>
      <c r="AD118" s="66">
        <v>34.799999999999997</v>
      </c>
      <c r="AE118" s="66">
        <v>33.799999999999997</v>
      </c>
      <c r="AF118" s="66">
        <v>36.6</v>
      </c>
      <c r="AG118" s="66">
        <v>37.4</v>
      </c>
      <c r="AH118" s="66">
        <v>37.4</v>
      </c>
      <c r="AI118" s="66">
        <v>33.4</v>
      </c>
      <c r="AJ118" s="66">
        <v>31.6</v>
      </c>
      <c r="AK118" s="66">
        <v>30.2</v>
      </c>
      <c r="AL118" s="66"/>
      <c r="AM118" s="66"/>
      <c r="AN118" s="66"/>
      <c r="AO118" s="66"/>
      <c r="AP118" s="67">
        <f t="shared" si="6"/>
        <v>26</v>
      </c>
      <c r="AQ118" s="68">
        <f t="shared" si="7"/>
        <v>36.215384615384615</v>
      </c>
      <c r="AR118" s="68">
        <f>IFERROR(VLOOKUP(A118,Climatologia_TMAX!A:U,9+$E$2,FALSE),"")</f>
        <v>33.363033585720373</v>
      </c>
      <c r="AS118" s="68">
        <f t="shared" si="8"/>
        <v>2.8523510296642414</v>
      </c>
      <c r="AT118" s="74">
        <f t="shared" si="9"/>
        <v>40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0.20000000000000284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>
        <v>38.6</v>
      </c>
      <c r="W119" s="66">
        <v>39.6</v>
      </c>
      <c r="X119" s="66">
        <v>37.799999999999997</v>
      </c>
      <c r="Y119" s="66">
        <v>38.6</v>
      </c>
      <c r="Z119" s="66">
        <v>32.799999999999997</v>
      </c>
      <c r="AA119" s="66">
        <v>38.6</v>
      </c>
      <c r="AB119" s="66">
        <v>39.200000000000003</v>
      </c>
      <c r="AC119" s="66">
        <v>28.8</v>
      </c>
      <c r="AD119" s="66">
        <v>35</v>
      </c>
      <c r="AE119" s="66">
        <v>34.799999999999997</v>
      </c>
      <c r="AF119" s="66">
        <v>36.6</v>
      </c>
      <c r="AG119" s="66">
        <v>36</v>
      </c>
      <c r="AH119" s="66">
        <v>36.6</v>
      </c>
      <c r="AI119" s="66">
        <v>34.200000000000003</v>
      </c>
      <c r="AJ119" s="66">
        <v>32.6</v>
      </c>
      <c r="AK119" s="66">
        <v>30.6</v>
      </c>
      <c r="AL119" s="66"/>
      <c r="AM119" s="66"/>
      <c r="AN119" s="66"/>
      <c r="AO119" s="66"/>
      <c r="AP119" s="67">
        <f t="shared" si="6"/>
        <v>27</v>
      </c>
      <c r="AQ119" s="68">
        <f t="shared" si="7"/>
        <v>36.251851851851853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>
        <v>39.6</v>
      </c>
      <c r="W120" s="66">
        <v>38.799999999999997</v>
      </c>
      <c r="X120" s="66">
        <v>38.200000000000003</v>
      </c>
      <c r="Y120" s="66">
        <v>37.6</v>
      </c>
      <c r="Z120" s="66">
        <v>33.6</v>
      </c>
      <c r="AA120" s="66">
        <v>31.8</v>
      </c>
      <c r="AB120" s="66">
        <v>36.200000000000003</v>
      </c>
      <c r="AC120" s="66">
        <v>35.4</v>
      </c>
      <c r="AD120" s="66">
        <v>35.4</v>
      </c>
      <c r="AE120" s="66">
        <v>32.200000000000003</v>
      </c>
      <c r="AF120" s="66">
        <v>34</v>
      </c>
      <c r="AG120" s="66">
        <v>36</v>
      </c>
      <c r="AH120" s="66">
        <v>35.4</v>
      </c>
      <c r="AI120" s="66">
        <v>34</v>
      </c>
      <c r="AJ120" s="66">
        <v>30.8</v>
      </c>
      <c r="AK120" s="66">
        <v>33.4</v>
      </c>
      <c r="AL120" s="66"/>
      <c r="AM120" s="66"/>
      <c r="AN120" s="66"/>
      <c r="AO120" s="66"/>
      <c r="AP120" s="67">
        <f t="shared" si="6"/>
        <v>27</v>
      </c>
      <c r="AQ120" s="68">
        <f t="shared" si="7"/>
        <v>36.140740740740739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>
        <v>24</v>
      </c>
      <c r="AB121" s="66"/>
      <c r="AC121" s="66">
        <v>22.8</v>
      </c>
      <c r="AD121" s="66"/>
      <c r="AE121" s="66">
        <v>25.4</v>
      </c>
      <c r="AF121" s="66">
        <v>27.2</v>
      </c>
      <c r="AG121" s="66">
        <v>27.2</v>
      </c>
      <c r="AH121" s="66">
        <v>25.1</v>
      </c>
      <c r="AI121" s="66">
        <v>25.8</v>
      </c>
      <c r="AJ121" s="66">
        <v>26</v>
      </c>
      <c r="AK121" s="66">
        <v>26.4</v>
      </c>
      <c r="AL121" s="66"/>
      <c r="AM121" s="66"/>
      <c r="AN121" s="66"/>
      <c r="AO121" s="66"/>
      <c r="AP121" s="67">
        <f t="shared" si="6"/>
        <v>9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>
        <f t="shared" si="9"/>
        <v>27.2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>
        <f t="shared" si="10"/>
        <v>0.19999999999999929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>
        <v>31.6</v>
      </c>
      <c r="W122" s="66">
        <v>30.4</v>
      </c>
      <c r="X122" s="66">
        <v>32.4</v>
      </c>
      <c r="Y122" s="66">
        <v>32.6</v>
      </c>
      <c r="Z122" s="66">
        <v>28.8</v>
      </c>
      <c r="AA122" s="66">
        <v>32.799999999999997</v>
      </c>
      <c r="AB122" s="66">
        <v>33.6</v>
      </c>
      <c r="AC122" s="66">
        <v>29.8</v>
      </c>
      <c r="AD122" s="66">
        <v>32.6</v>
      </c>
      <c r="AE122" s="66">
        <v>29.8</v>
      </c>
      <c r="AF122" s="66">
        <v>31.6</v>
      </c>
      <c r="AG122" s="66">
        <v>27.6</v>
      </c>
      <c r="AH122" s="66">
        <v>28</v>
      </c>
      <c r="AI122" s="66">
        <v>27.8</v>
      </c>
      <c r="AJ122" s="66">
        <v>27</v>
      </c>
      <c r="AK122" s="66">
        <v>26.4</v>
      </c>
      <c r="AL122" s="66"/>
      <c r="AM122" s="66"/>
      <c r="AN122" s="66"/>
      <c r="AO122" s="66"/>
      <c r="AP122" s="67">
        <f t="shared" si="6"/>
        <v>27</v>
      </c>
      <c r="AQ122" s="68">
        <f t="shared" si="7"/>
        <v>30.177777777777774</v>
      </c>
      <c r="AR122" s="68">
        <f>IFERROR(VLOOKUP(A122,Climatologia_TMAX!A:U,9+$E$2,FALSE),"")</f>
        <v>28.13066666666667</v>
      </c>
      <c r="AS122" s="68">
        <f t="shared" si="8"/>
        <v>2.0471111111111036</v>
      </c>
      <c r="AT122" s="74">
        <f t="shared" si="9"/>
        <v>33.6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0.39999999999999858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>
        <v>32</v>
      </c>
      <c r="W123" s="66">
        <v>29.8</v>
      </c>
      <c r="X123" s="66">
        <v>32.6</v>
      </c>
      <c r="Y123" s="66">
        <v>32</v>
      </c>
      <c r="Z123" s="66">
        <v>31.8</v>
      </c>
      <c r="AA123" s="66">
        <v>32.4</v>
      </c>
      <c r="AB123" s="66">
        <v>32.200000000000003</v>
      </c>
      <c r="AC123" s="66">
        <v>31.4</v>
      </c>
      <c r="AD123" s="66">
        <v>33.6</v>
      </c>
      <c r="AE123" s="66">
        <v>33.4</v>
      </c>
      <c r="AF123" s="66">
        <v>34.4</v>
      </c>
      <c r="AG123" s="66">
        <v>34.200000000000003</v>
      </c>
      <c r="AH123" s="66">
        <v>29.8</v>
      </c>
      <c r="AI123" s="66">
        <v>30.8</v>
      </c>
      <c r="AJ123" s="66">
        <v>33.799999999999997</v>
      </c>
      <c r="AK123" s="66">
        <v>32.4</v>
      </c>
      <c r="AL123" s="66"/>
      <c r="AM123" s="66"/>
      <c r="AN123" s="66"/>
      <c r="AO123" s="66"/>
      <c r="AP123" s="67">
        <f t="shared" si="6"/>
        <v>27</v>
      </c>
      <c r="AQ123" s="68">
        <f t="shared" si="7"/>
        <v>32.148148148148145</v>
      </c>
      <c r="AR123" s="68">
        <f>IFERROR(VLOOKUP(A123,Climatologia_TMAX!A:U,9+$E$2,FALSE),"")</f>
        <v>30.61551559934319</v>
      </c>
      <c r="AS123" s="68">
        <f t="shared" si="8"/>
        <v>1.5326325488049548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>
        <v>33.4</v>
      </c>
      <c r="W124" s="66">
        <v>30</v>
      </c>
      <c r="X124" s="66">
        <v>33.6</v>
      </c>
      <c r="Y124" s="66">
        <v>33.4</v>
      </c>
      <c r="Z124" s="66">
        <v>33.4</v>
      </c>
      <c r="AA124" s="66">
        <v>32.6</v>
      </c>
      <c r="AB124" s="66">
        <v>31.8</v>
      </c>
      <c r="AC124" s="66">
        <v>30.6</v>
      </c>
      <c r="AD124" s="66">
        <v>34.4</v>
      </c>
      <c r="AE124" s="66">
        <v>34.799999999999997</v>
      </c>
      <c r="AF124" s="66">
        <v>35.6</v>
      </c>
      <c r="AG124" s="66">
        <v>35.4</v>
      </c>
      <c r="AH124" s="66">
        <v>29.6</v>
      </c>
      <c r="AI124" s="66">
        <v>31.6</v>
      </c>
      <c r="AJ124" s="66">
        <v>34</v>
      </c>
      <c r="AK124" s="66">
        <v>34.200000000000003</v>
      </c>
      <c r="AL124" s="66"/>
      <c r="AM124" s="66"/>
      <c r="AN124" s="66"/>
      <c r="AO124" s="66"/>
      <c r="AP124" s="67">
        <f t="shared" si="6"/>
        <v>27</v>
      </c>
      <c r="AQ124" s="68">
        <f t="shared" si="7"/>
        <v>32.970370370370375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35.6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0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>
        <v>29.2</v>
      </c>
      <c r="W127" s="66">
        <v>26</v>
      </c>
      <c r="X127" s="66">
        <v>27.6</v>
      </c>
      <c r="Y127" s="66">
        <v>28</v>
      </c>
      <c r="Z127" s="66">
        <v>26</v>
      </c>
      <c r="AA127" s="66">
        <v>26.6</v>
      </c>
      <c r="AB127" s="66">
        <v>27.2</v>
      </c>
      <c r="AC127" s="66">
        <v>26</v>
      </c>
      <c r="AD127" s="66">
        <v>27.8</v>
      </c>
      <c r="AE127" s="66">
        <v>28</v>
      </c>
      <c r="AF127" s="66">
        <v>29.2</v>
      </c>
      <c r="AG127" s="66">
        <v>27</v>
      </c>
      <c r="AH127" s="66">
        <v>25</v>
      </c>
      <c r="AI127" s="66">
        <v>25</v>
      </c>
      <c r="AJ127" s="66">
        <v>27</v>
      </c>
      <c r="AK127" s="66">
        <v>24.4</v>
      </c>
      <c r="AL127" s="66"/>
      <c r="AM127" s="66"/>
      <c r="AN127" s="66"/>
      <c r="AO127" s="66"/>
      <c r="AP127" s="67">
        <f t="shared" si="6"/>
        <v>27</v>
      </c>
      <c r="AQ127" s="68">
        <f t="shared" si="7"/>
        <v>26.903703703703702</v>
      </c>
      <c r="AR127" s="68">
        <f>IFERROR(VLOOKUP(A127,Climatologia_TMAX!A:U,9+$E$2,FALSE),"")</f>
        <v>24.09794521944821</v>
      </c>
      <c r="AS127" s="68">
        <f t="shared" si="8"/>
        <v>2.8057584842554917</v>
      </c>
      <c r="AT127" s="74">
        <f t="shared" si="9"/>
        <v>29.2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>
        <v>22.4</v>
      </c>
      <c r="W128" s="112">
        <v>23.4</v>
      </c>
      <c r="X128" s="66">
        <v>26</v>
      </c>
      <c r="Y128" s="66">
        <v>21</v>
      </c>
      <c r="Z128" s="66">
        <v>24.4</v>
      </c>
      <c r="AA128" s="66">
        <v>24.4</v>
      </c>
      <c r="AB128" s="66">
        <v>25.4</v>
      </c>
      <c r="AC128" s="66">
        <v>22</v>
      </c>
      <c r="AD128" s="66">
        <v>25</v>
      </c>
      <c r="AE128" s="66">
        <v>21</v>
      </c>
      <c r="AF128" s="66">
        <v>21.4</v>
      </c>
      <c r="AG128" s="66">
        <v>21</v>
      </c>
      <c r="AH128" s="66">
        <v>21.6</v>
      </c>
      <c r="AI128" s="66">
        <v>19.8</v>
      </c>
      <c r="AJ128" s="66">
        <v>21.4</v>
      </c>
      <c r="AK128" s="66">
        <v>19</v>
      </c>
      <c r="AL128" s="66"/>
      <c r="AM128" s="66"/>
      <c r="AN128" s="66"/>
      <c r="AO128" s="66"/>
      <c r="AP128" s="67">
        <f t="shared" si="6"/>
        <v>27</v>
      </c>
      <c r="AQ128" s="68">
        <f t="shared" si="7"/>
        <v>22.785185185185178</v>
      </c>
      <c r="AR128" s="68">
        <f>IFERROR(VLOOKUP(A128,Climatologia_TMAX!A:U,9+$E$2,FALSE),"")</f>
        <v>19.967338391365981</v>
      </c>
      <c r="AS128" s="68">
        <f t="shared" si="8"/>
        <v>2.8178467938191964</v>
      </c>
      <c r="AT128" s="74">
        <f t="shared" si="9"/>
        <v>26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-0.19999999999999929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>
        <v>28.4</v>
      </c>
      <c r="W129" s="66">
        <v>25.4</v>
      </c>
      <c r="X129" s="66">
        <v>28.8</v>
      </c>
      <c r="Y129" s="66">
        <v>27.8</v>
      </c>
      <c r="Z129" s="66">
        <v>28.2</v>
      </c>
      <c r="AA129" s="66">
        <v>27</v>
      </c>
      <c r="AB129" s="66">
        <v>25.4</v>
      </c>
      <c r="AC129" s="66">
        <v>26</v>
      </c>
      <c r="AD129" s="66">
        <v>29.8</v>
      </c>
      <c r="AE129" s="66">
        <v>28.6</v>
      </c>
      <c r="AF129" s="66">
        <v>30.4</v>
      </c>
      <c r="AG129" s="66">
        <v>29.4</v>
      </c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19</v>
      </c>
      <c r="AQ129" s="68">
        <f t="shared" si="7"/>
        <v>27.55263157894737</v>
      </c>
      <c r="AR129" s="68">
        <f>IFERROR(VLOOKUP(A129,Climatologia_TMAX!A:U,9+$E$2,FALSE),"")</f>
        <v>26.02358363374416</v>
      </c>
      <c r="AS129" s="68">
        <f t="shared" si="8"/>
        <v>1.5290479452032102</v>
      </c>
      <c r="AT129" s="74">
        <f t="shared" si="9"/>
        <v>30.4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>
        <v>20.399999999999999</v>
      </c>
      <c r="AA131" s="66"/>
      <c r="AB131" s="66"/>
      <c r="AC131" s="66"/>
      <c r="AD131" s="66"/>
      <c r="AE131" s="66">
        <v>22.6</v>
      </c>
      <c r="AF131" s="66">
        <v>24.8</v>
      </c>
      <c r="AG131" s="66">
        <v>22.4</v>
      </c>
      <c r="AH131" s="66">
        <v>21.8</v>
      </c>
      <c r="AI131" s="66">
        <v>21</v>
      </c>
      <c r="AJ131" s="66">
        <v>20.6</v>
      </c>
      <c r="AK131" s="66">
        <v>21.4</v>
      </c>
      <c r="AL131" s="66"/>
      <c r="AM131" s="66"/>
      <c r="AN131" s="66"/>
      <c r="AO131" s="66"/>
      <c r="AP131" s="67">
        <f t="shared" si="6"/>
        <v>9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24.8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>
        <v>20</v>
      </c>
      <c r="W133" s="66">
        <v>16.2</v>
      </c>
      <c r="X133" s="66">
        <v>18</v>
      </c>
      <c r="Y133" s="66">
        <v>18.399999999999999</v>
      </c>
      <c r="Z133" s="66">
        <v>17.399999999999999</v>
      </c>
      <c r="AA133" s="66">
        <v>19.399999999999999</v>
      </c>
      <c r="AB133" s="66">
        <v>16.600000000000001</v>
      </c>
      <c r="AC133" s="66">
        <v>18</v>
      </c>
      <c r="AD133" s="66">
        <v>18.8</v>
      </c>
      <c r="AE133" s="66">
        <v>21</v>
      </c>
      <c r="AF133" s="66">
        <v>20.2</v>
      </c>
      <c r="AG133" s="66">
        <v>19.399999999999999</v>
      </c>
      <c r="AH133" s="66">
        <v>19.399999999999999</v>
      </c>
      <c r="AI133" s="66">
        <v>18.600000000000001</v>
      </c>
      <c r="AJ133" s="66">
        <v>19.399999999999999</v>
      </c>
      <c r="AK133" s="66">
        <v>19.399999999999999</v>
      </c>
      <c r="AL133" s="66"/>
      <c r="AM133" s="66"/>
      <c r="AN133" s="66"/>
      <c r="AO133" s="66"/>
      <c r="AP133" s="67">
        <f t="shared" ref="AP133:AP196" si="11">COUNTIF(K133:AO133,"&gt;0")</f>
        <v>24</v>
      </c>
      <c r="AQ133" s="68">
        <f t="shared" ref="AQ133:AQ196" si="12">IF(AP133&gt;14,AVERAGE(K133:AO133),"")</f>
        <v>18.733333333333331</v>
      </c>
      <c r="AR133" s="68">
        <f>IFERROR(VLOOKUP(A133,Climatologia_TMAX!A:U,9+$E$2,FALSE),"")</f>
        <v>16.79442268577645</v>
      </c>
      <c r="AS133" s="68">
        <f t="shared" ref="AS133:AS196" si="13">IF(OR(AQ133="",AR133=""),"",IFERROR(AQ133-AR133,""))</f>
        <v>1.9389106475568809</v>
      </c>
      <c r="AT133" s="74">
        <f t="shared" ref="AT133:AT196" si="14">IF(COUNT(K133:AO133)=0,"",MAX(K133:AO133))</f>
        <v>21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>
        <v>24.4</v>
      </c>
      <c r="W135" s="66">
        <v>23</v>
      </c>
      <c r="X135" s="66">
        <v>23.8</v>
      </c>
      <c r="Y135" s="66">
        <v>24</v>
      </c>
      <c r="Z135" s="66">
        <v>24.6</v>
      </c>
      <c r="AA135" s="66">
        <v>24</v>
      </c>
      <c r="AB135" s="66">
        <v>23.4</v>
      </c>
      <c r="AC135" s="66">
        <v>24</v>
      </c>
      <c r="AD135" s="66">
        <v>24</v>
      </c>
      <c r="AE135" s="66">
        <v>23.4</v>
      </c>
      <c r="AF135" s="66">
        <v>23.8</v>
      </c>
      <c r="AG135" s="66">
        <v>23.6</v>
      </c>
      <c r="AH135" s="66">
        <v>23.4</v>
      </c>
      <c r="AI135" s="66">
        <v>25.4</v>
      </c>
      <c r="AJ135" s="66">
        <v>24.6</v>
      </c>
      <c r="AK135" s="66">
        <v>22.8</v>
      </c>
      <c r="AL135" s="66"/>
      <c r="AM135" s="66"/>
      <c r="AN135" s="66"/>
      <c r="AO135" s="66"/>
      <c r="AP135" s="67">
        <f t="shared" si="11"/>
        <v>27</v>
      </c>
      <c r="AQ135" s="68">
        <f t="shared" si="12"/>
        <v>23.799999999999997</v>
      </c>
      <c r="AR135" s="68">
        <f>IFERROR(VLOOKUP(A135,Climatologia_TMAX!A:U,9+$E$2,FALSE),"")</f>
        <v>24.414423280423279</v>
      </c>
      <c r="AS135" s="68">
        <f t="shared" si="13"/>
        <v>-0.61442328042328143</v>
      </c>
      <c r="AT135" s="74">
        <f t="shared" si="14"/>
        <v>25.4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2">
        <v>23.6</v>
      </c>
      <c r="S138" s="66">
        <v>24</v>
      </c>
      <c r="T138" s="66">
        <v>23</v>
      </c>
      <c r="U138" s="66">
        <v>21.7</v>
      </c>
      <c r="V138" s="66">
        <v>24.8</v>
      </c>
      <c r="W138" s="66">
        <v>21.8</v>
      </c>
      <c r="X138" s="66">
        <v>23.8</v>
      </c>
      <c r="Y138" s="66">
        <v>23</v>
      </c>
      <c r="Z138" s="66">
        <v>22</v>
      </c>
      <c r="AA138" s="66"/>
      <c r="AB138" s="66">
        <v>24</v>
      </c>
      <c r="AC138" s="66">
        <v>21.6</v>
      </c>
      <c r="AD138" s="66">
        <v>21.9</v>
      </c>
      <c r="AE138" s="66">
        <v>22.4</v>
      </c>
      <c r="AF138" s="66">
        <v>24.4</v>
      </c>
      <c r="AG138" s="66">
        <v>22</v>
      </c>
      <c r="AH138" s="66">
        <v>22.4</v>
      </c>
      <c r="AI138" s="66">
        <v>19.8</v>
      </c>
      <c r="AJ138" s="66">
        <v>21</v>
      </c>
      <c r="AK138" s="66">
        <v>20.6</v>
      </c>
      <c r="AL138" s="66"/>
      <c r="AM138" s="66"/>
      <c r="AN138" s="66"/>
      <c r="AO138" s="66"/>
      <c r="AP138" s="67">
        <f t="shared" si="11"/>
        <v>26</v>
      </c>
      <c r="AQ138" s="68">
        <f t="shared" si="12"/>
        <v>22.253846153846151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1.1999999999999993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>
        <v>22.8</v>
      </c>
      <c r="W139" s="66">
        <v>21.2</v>
      </c>
      <c r="X139" s="66">
        <v>24.2</v>
      </c>
      <c r="Y139" s="66">
        <v>22.4</v>
      </c>
      <c r="Z139" s="66">
        <v>22</v>
      </c>
      <c r="AA139" s="66">
        <v>22.8</v>
      </c>
      <c r="AB139" s="66">
        <v>21.8</v>
      </c>
      <c r="AC139" s="66">
        <v>21.4</v>
      </c>
      <c r="AD139" s="66">
        <v>24.6</v>
      </c>
      <c r="AE139" s="66">
        <v>23.2</v>
      </c>
      <c r="AF139" s="66">
        <v>25</v>
      </c>
      <c r="AG139" s="66">
        <v>24.4</v>
      </c>
      <c r="AH139" s="66">
        <v>21.2</v>
      </c>
      <c r="AI139" s="66">
        <v>24</v>
      </c>
      <c r="AJ139" s="66">
        <v>23.4</v>
      </c>
      <c r="AK139" s="66">
        <v>23.6</v>
      </c>
      <c r="AL139" s="66"/>
      <c r="AM139" s="66"/>
      <c r="AN139" s="66"/>
      <c r="AO139" s="66"/>
      <c r="AP139" s="67">
        <f t="shared" si="11"/>
        <v>27</v>
      </c>
      <c r="AQ139" s="68">
        <f t="shared" si="12"/>
        <v>22.666666666666668</v>
      </c>
      <c r="AR139" s="68">
        <f>IFERROR(VLOOKUP(A139,Climatologia_TMAX!A:U,9+$E$2,FALSE),"")</f>
        <v>21.860804597701151</v>
      </c>
      <c r="AS139" s="68">
        <f t="shared" si="13"/>
        <v>0.80586206896551715</v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-1.6000000000000014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>
        <v>20.399999999999999</v>
      </c>
      <c r="W141" s="66">
        <v>18.8</v>
      </c>
      <c r="X141" s="66">
        <v>19.600000000000001</v>
      </c>
      <c r="Y141" s="66">
        <v>20.8</v>
      </c>
      <c r="Z141" s="66">
        <v>20.2</v>
      </c>
      <c r="AA141" s="66">
        <v>20.399999999999999</v>
      </c>
      <c r="AB141" s="66">
        <v>20.8</v>
      </c>
      <c r="AC141" s="66">
        <v>17.399999999999999</v>
      </c>
      <c r="AD141" s="66">
        <v>20.399999999999999</v>
      </c>
      <c r="AE141" s="66">
        <v>20.8</v>
      </c>
      <c r="AF141" s="66">
        <v>22</v>
      </c>
      <c r="AG141" s="66">
        <v>21.8</v>
      </c>
      <c r="AH141" s="66">
        <v>21.6</v>
      </c>
      <c r="AI141" s="66">
        <v>18.600000000000001</v>
      </c>
      <c r="AJ141" s="66">
        <v>20.2</v>
      </c>
      <c r="AK141" s="66">
        <v>19.8</v>
      </c>
      <c r="AL141" s="66"/>
      <c r="AM141" s="66"/>
      <c r="AN141" s="66"/>
      <c r="AO141" s="66"/>
      <c r="AP141" s="67">
        <f t="shared" si="11"/>
        <v>27</v>
      </c>
      <c r="AQ141" s="68">
        <f t="shared" si="12"/>
        <v>19.718518518518518</v>
      </c>
      <c r="AR141" s="68">
        <f>IFERROR(VLOOKUP(A141,Climatologia_TMAX!A:U,9+$E$2,FALSE),"")</f>
        <v>18.581666666666671</v>
      </c>
      <c r="AS141" s="68">
        <f t="shared" si="13"/>
        <v>1.1368518518518478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-1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>
        <v>20.399999999999999</v>
      </c>
      <c r="W142" s="66">
        <v>16</v>
      </c>
      <c r="X142" s="66">
        <v>20</v>
      </c>
      <c r="Y142" s="66">
        <v>20.2</v>
      </c>
      <c r="Z142" s="66">
        <v>19.2</v>
      </c>
      <c r="AA142" s="66">
        <v>19.2</v>
      </c>
      <c r="AB142" s="66">
        <v>18.399999999999999</v>
      </c>
      <c r="AC142" s="66">
        <v>17.399999999999999</v>
      </c>
      <c r="AD142" s="66">
        <v>20.399999999999999</v>
      </c>
      <c r="AE142" s="66">
        <v>21</v>
      </c>
      <c r="AF142" s="66">
        <v>22.2</v>
      </c>
      <c r="AG142" s="66">
        <v>21.8</v>
      </c>
      <c r="AH142" s="66">
        <v>21.8</v>
      </c>
      <c r="AI142" s="66">
        <v>20.8</v>
      </c>
      <c r="AJ142" s="66">
        <v>20.399999999999999</v>
      </c>
      <c r="AK142" s="66">
        <v>20.6</v>
      </c>
      <c r="AL142" s="66"/>
      <c r="AM142" s="66"/>
      <c r="AN142" s="66"/>
      <c r="AO142" s="66"/>
      <c r="AP142" s="67">
        <f t="shared" si="11"/>
        <v>27</v>
      </c>
      <c r="AQ142" s="68">
        <f t="shared" si="12"/>
        <v>19.074074074074069</v>
      </c>
      <c r="AR142" s="68">
        <f>IFERROR(VLOOKUP(A142,Climatologia_TMAX!A:U,9+$E$2,FALSE),"")</f>
        <v>18.785310944301099</v>
      </c>
      <c r="AS142" s="68">
        <f t="shared" si="13"/>
        <v>0.28876312977297047</v>
      </c>
      <c r="AT142" s="74">
        <f t="shared" si="14"/>
        <v>22.2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-1.6000000000000014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>
        <v>32</v>
      </c>
      <c r="V143" s="66">
        <v>33.200000000000003</v>
      </c>
      <c r="W143" s="66"/>
      <c r="X143" s="66">
        <v>34</v>
      </c>
      <c r="Y143" s="66">
        <v>33.6</v>
      </c>
      <c r="Z143" s="66">
        <v>31</v>
      </c>
      <c r="AA143" s="66">
        <v>32</v>
      </c>
      <c r="AB143" s="66">
        <v>34</v>
      </c>
      <c r="AC143" s="66">
        <v>34.200000000000003</v>
      </c>
      <c r="AD143" s="66">
        <v>34</v>
      </c>
      <c r="AE143" s="66">
        <v>34.4</v>
      </c>
      <c r="AF143" s="66">
        <v>33.6</v>
      </c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19</v>
      </c>
      <c r="AQ143" s="68">
        <f t="shared" si="12"/>
        <v>33.010526315789477</v>
      </c>
      <c r="AR143" s="68">
        <f>IFERROR(VLOOKUP(A143,Climatologia_TMAX!A:U,9+$E$2,FALSE),"")</f>
        <v>31.481520525451561</v>
      </c>
      <c r="AS143" s="68">
        <f t="shared" si="13"/>
        <v>1.5290057903379157</v>
      </c>
      <c r="AT143" s="74">
        <f t="shared" si="14"/>
        <v>34.4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>
        <v>22.4</v>
      </c>
      <c r="W145" s="66">
        <v>21.4</v>
      </c>
      <c r="X145" s="66">
        <v>24.4</v>
      </c>
      <c r="Y145" s="66">
        <v>24.2</v>
      </c>
      <c r="Z145" s="66">
        <v>23.2</v>
      </c>
      <c r="AA145" s="66">
        <v>25</v>
      </c>
      <c r="AB145" s="66">
        <v>23.4</v>
      </c>
      <c r="AC145" s="66">
        <v>21.2</v>
      </c>
      <c r="AD145" s="66">
        <v>25</v>
      </c>
      <c r="AE145" s="66">
        <v>23.4</v>
      </c>
      <c r="AF145" s="66">
        <v>24.8</v>
      </c>
      <c r="AG145" s="66">
        <v>23.4</v>
      </c>
      <c r="AH145" s="66">
        <v>21.4</v>
      </c>
      <c r="AI145" s="66">
        <v>24.4</v>
      </c>
      <c r="AJ145" s="66">
        <v>25.2</v>
      </c>
      <c r="AK145" s="66">
        <v>22.4</v>
      </c>
      <c r="AL145" s="66"/>
      <c r="AM145" s="66"/>
      <c r="AN145" s="66"/>
      <c r="AO145" s="66"/>
      <c r="AP145" s="67">
        <f t="shared" si="11"/>
        <v>27</v>
      </c>
      <c r="AQ145" s="68">
        <f t="shared" si="12"/>
        <v>23.222222222222218</v>
      </c>
      <c r="AR145" s="68">
        <f>IFERROR(VLOOKUP(A145,Climatologia_TMAX!A:U,9+$E$2,FALSE),"")</f>
        <v>21.467271711366539</v>
      </c>
      <c r="AS145" s="68">
        <f t="shared" si="13"/>
        <v>1.7549505108556787</v>
      </c>
      <c r="AT145" s="74">
        <f t="shared" si="14"/>
        <v>25.2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>
        <v>24</v>
      </c>
      <c r="W146" s="66">
        <v>20.6</v>
      </c>
      <c r="X146" s="66">
        <v>22.4</v>
      </c>
      <c r="Y146" s="66">
        <v>23</v>
      </c>
      <c r="Z146" s="66">
        <v>21.8</v>
      </c>
      <c r="AA146" s="66">
        <v>21.6</v>
      </c>
      <c r="AB146" s="66">
        <v>21.2</v>
      </c>
      <c r="AC146" s="66">
        <v>20.6</v>
      </c>
      <c r="AD146" s="66">
        <v>23.2</v>
      </c>
      <c r="AE146" s="66">
        <v>23.6</v>
      </c>
      <c r="AF146" s="66">
        <v>25.8</v>
      </c>
      <c r="AG146" s="66">
        <v>25</v>
      </c>
      <c r="AH146" s="66">
        <v>22.2</v>
      </c>
      <c r="AI146" s="66">
        <v>25.8</v>
      </c>
      <c r="AJ146" s="66">
        <v>22</v>
      </c>
      <c r="AK146" s="66">
        <v>22.4</v>
      </c>
      <c r="AL146" s="66"/>
      <c r="AM146" s="66"/>
      <c r="AN146" s="66"/>
      <c r="AO146" s="66"/>
      <c r="AP146" s="67">
        <f t="shared" si="11"/>
        <v>27</v>
      </c>
      <c r="AQ146" s="68">
        <f t="shared" si="12"/>
        <v>22.333333333333332</v>
      </c>
      <c r="AR146" s="68">
        <f>IFERROR(VLOOKUP(A146,Climatologia_TMAX!A:U,9+$E$2,FALSE),"")</f>
        <v>21.55397335070656</v>
      </c>
      <c r="AS146" s="68">
        <f t="shared" si="13"/>
        <v>0.77935998262677231</v>
      </c>
      <c r="AT146" s="74">
        <f t="shared" si="14"/>
        <v>25.8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-1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>
        <v>24.6</v>
      </c>
      <c r="W147" s="66">
        <v>20.2</v>
      </c>
      <c r="X147" s="66">
        <v>24.2</v>
      </c>
      <c r="Y147" s="66">
        <v>22.8</v>
      </c>
      <c r="Z147" s="66">
        <v>22.6</v>
      </c>
      <c r="AA147" s="66">
        <v>22.8</v>
      </c>
      <c r="AB147" s="66">
        <v>21</v>
      </c>
      <c r="AC147" s="66">
        <v>20.8</v>
      </c>
      <c r="AD147" s="66">
        <v>25</v>
      </c>
      <c r="AE147" s="66">
        <v>24.2</v>
      </c>
      <c r="AF147" s="66">
        <v>26</v>
      </c>
      <c r="AG147" s="66">
        <v>24.8</v>
      </c>
      <c r="AH147" s="66">
        <v>22.6</v>
      </c>
      <c r="AI147" s="66">
        <v>24.2</v>
      </c>
      <c r="AJ147" s="66">
        <v>24.6</v>
      </c>
      <c r="AK147" s="66">
        <v>24.4</v>
      </c>
      <c r="AL147" s="66"/>
      <c r="AM147" s="66"/>
      <c r="AN147" s="66"/>
      <c r="AO147" s="66"/>
      <c r="AP147" s="67">
        <f t="shared" si="11"/>
        <v>26</v>
      </c>
      <c r="AQ147" s="68">
        <f t="shared" si="12"/>
        <v>22.900000000000002</v>
      </c>
      <c r="AR147" s="68">
        <f>IFERROR(VLOOKUP(A147,Climatologia_TMAX!A:U,9+$E$2,FALSE),"")</f>
        <v>23.05814951651158</v>
      </c>
      <c r="AS147" s="68">
        <f t="shared" si="13"/>
        <v>-0.15814951651157827</v>
      </c>
      <c r="AT147" s="74">
        <f t="shared" si="14"/>
        <v>26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-1.8000000000000007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>
        <v>26.4</v>
      </c>
      <c r="W148" s="66">
        <v>27.2</v>
      </c>
      <c r="X148" s="66">
        <v>27.2</v>
      </c>
      <c r="Y148" s="66"/>
      <c r="Z148" s="66"/>
      <c r="AA148" s="66"/>
      <c r="AB148" s="66"/>
      <c r="AC148" s="66">
        <v>26.4</v>
      </c>
      <c r="AD148" s="66">
        <v>27.2</v>
      </c>
      <c r="AE148" s="66">
        <v>26.4</v>
      </c>
      <c r="AF148" s="66">
        <v>27.2</v>
      </c>
      <c r="AG148" s="66">
        <v>28.2</v>
      </c>
      <c r="AH148" s="66">
        <v>26.4</v>
      </c>
      <c r="AI148" s="66">
        <v>26.4</v>
      </c>
      <c r="AJ148" s="66">
        <v>27.2</v>
      </c>
      <c r="AK148" s="66">
        <v>26.2</v>
      </c>
      <c r="AL148" s="66"/>
      <c r="AM148" s="66"/>
      <c r="AN148" s="66"/>
      <c r="AO148" s="66"/>
      <c r="AP148" s="67">
        <f t="shared" si="11"/>
        <v>22</v>
      </c>
      <c r="AQ148" s="68">
        <f t="shared" si="12"/>
        <v>26.881818181818176</v>
      </c>
      <c r="AR148" s="68">
        <f>IFERROR(VLOOKUP(A148,Climatologia_TMAX!A:U,9+$E$2,FALSE),"")</f>
        <v>26.452733077905489</v>
      </c>
      <c r="AS148" s="68">
        <f t="shared" si="13"/>
        <v>0.42908510391268706</v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>
        <v>34.6</v>
      </c>
      <c r="W151" s="66">
        <v>34</v>
      </c>
      <c r="X151" s="66">
        <v>34</v>
      </c>
      <c r="Y151" s="66">
        <v>35</v>
      </c>
      <c r="Z151" s="66">
        <v>34.799999999999997</v>
      </c>
      <c r="AA151" s="66">
        <v>35.200000000000003</v>
      </c>
      <c r="AB151" s="66">
        <v>35</v>
      </c>
      <c r="AC151" s="66">
        <v>32.799999999999997</v>
      </c>
      <c r="AD151" s="66">
        <v>35.4</v>
      </c>
      <c r="AE151" s="66">
        <v>35</v>
      </c>
      <c r="AF151" s="66">
        <v>36</v>
      </c>
      <c r="AG151" s="66">
        <v>34.799999999999997</v>
      </c>
      <c r="AH151" s="66">
        <v>36.200000000000003</v>
      </c>
      <c r="AI151" s="66">
        <v>33.6</v>
      </c>
      <c r="AJ151" s="66">
        <v>35</v>
      </c>
      <c r="AK151" s="66">
        <v>34.4</v>
      </c>
      <c r="AL151" s="66"/>
      <c r="AM151" s="66"/>
      <c r="AN151" s="66"/>
      <c r="AO151" s="66"/>
      <c r="AP151" s="67">
        <f t="shared" si="11"/>
        <v>24</v>
      </c>
      <c r="AQ151" s="68">
        <f t="shared" si="12"/>
        <v>34.616666666666667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>
        <v>23</v>
      </c>
      <c r="W153" s="66">
        <v>20</v>
      </c>
      <c r="X153" s="66">
        <v>21.8</v>
      </c>
      <c r="Y153" s="66">
        <v>21.2</v>
      </c>
      <c r="Z153" s="66">
        <v>20.8</v>
      </c>
      <c r="AA153" s="66">
        <v>20.6</v>
      </c>
      <c r="AB153" s="66">
        <v>21.2</v>
      </c>
      <c r="AC153" s="66">
        <v>19.2</v>
      </c>
      <c r="AD153" s="66">
        <v>21.4</v>
      </c>
      <c r="AE153" s="66">
        <v>22.2</v>
      </c>
      <c r="AF153" s="66">
        <v>23.2</v>
      </c>
      <c r="AG153" s="66">
        <v>23.2</v>
      </c>
      <c r="AH153" s="66">
        <v>22.8</v>
      </c>
      <c r="AI153" s="66">
        <v>21.8</v>
      </c>
      <c r="AJ153" s="66">
        <v>22</v>
      </c>
      <c r="AK153" s="66">
        <v>21.8</v>
      </c>
      <c r="AL153" s="66"/>
      <c r="AM153" s="66"/>
      <c r="AN153" s="66"/>
      <c r="AO153" s="66"/>
      <c r="AP153" s="67">
        <f t="shared" si="11"/>
        <v>27</v>
      </c>
      <c r="AQ153" s="68">
        <f t="shared" si="12"/>
        <v>21.125925925925927</v>
      </c>
      <c r="AR153" s="68">
        <f>IFERROR(VLOOKUP(A153,Climatologia_TMAX!A:U,9+$E$2,FALSE),"")</f>
        <v>18.093990147783249</v>
      </c>
      <c r="AS153" s="68">
        <f t="shared" si="13"/>
        <v>3.0319357781426781</v>
      </c>
      <c r="AT153" s="74">
        <f t="shared" si="14"/>
        <v>23.2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-0.19999999999999929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>
        <v>20.2</v>
      </c>
      <c r="W154" s="66">
        <v>17</v>
      </c>
      <c r="X154" s="66">
        <v>19.600000000000001</v>
      </c>
      <c r="Y154" s="66">
        <v>20.2</v>
      </c>
      <c r="Z154" s="66">
        <v>17.2</v>
      </c>
      <c r="AA154" s="66">
        <v>17.600000000000001</v>
      </c>
      <c r="AB154" s="66">
        <v>19</v>
      </c>
      <c r="AC154" s="66">
        <v>16.8</v>
      </c>
      <c r="AD154" s="66">
        <v>19.8</v>
      </c>
      <c r="AE154" s="66">
        <v>20</v>
      </c>
      <c r="AF154" s="66">
        <v>21.2</v>
      </c>
      <c r="AG154" s="66">
        <v>21</v>
      </c>
      <c r="AH154" s="66">
        <v>21.2</v>
      </c>
      <c r="AI154" s="66">
        <v>20</v>
      </c>
      <c r="AJ154" s="66">
        <v>20.399999999999999</v>
      </c>
      <c r="AK154" s="66">
        <v>19.600000000000001</v>
      </c>
      <c r="AL154" s="66"/>
      <c r="AM154" s="66"/>
      <c r="AN154" s="66"/>
      <c r="AO154" s="66"/>
      <c r="AP154" s="67">
        <f t="shared" si="11"/>
        <v>27</v>
      </c>
      <c r="AQ154" s="68">
        <f t="shared" si="12"/>
        <v>18.955555555555552</v>
      </c>
      <c r="AR154" s="68">
        <f>IFERROR(VLOOKUP(A154,Climatologia_TMAX!A:U,9+$E$2,FALSE),"")</f>
        <v>18.64260102992246</v>
      </c>
      <c r="AS154" s="68">
        <f t="shared" si="13"/>
        <v>0.31295452563309212</v>
      </c>
      <c r="AT154" s="74">
        <f t="shared" si="14"/>
        <v>21.2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>
        <v>23.4</v>
      </c>
      <c r="W156" s="66">
        <v>21</v>
      </c>
      <c r="X156" s="66">
        <v>22.4</v>
      </c>
      <c r="Y156" s="66">
        <v>23</v>
      </c>
      <c r="Z156" s="66">
        <v>21</v>
      </c>
      <c r="AA156" s="66">
        <v>20.399999999999999</v>
      </c>
      <c r="AB156" s="66">
        <v>20</v>
      </c>
      <c r="AC156" s="66">
        <v>19.8</v>
      </c>
      <c r="AD156" s="66">
        <v>21.8</v>
      </c>
      <c r="AE156" s="66">
        <v>22.8</v>
      </c>
      <c r="AF156" s="66">
        <v>23.4</v>
      </c>
      <c r="AG156" s="66">
        <v>23.2</v>
      </c>
      <c r="AH156" s="66">
        <v>22.6</v>
      </c>
      <c r="AI156" s="66">
        <v>23.6</v>
      </c>
      <c r="AJ156" s="66">
        <v>22.8</v>
      </c>
      <c r="AK156" s="66">
        <v>22</v>
      </c>
      <c r="AL156" s="66"/>
      <c r="AM156" s="66"/>
      <c r="AN156" s="66"/>
      <c r="AO156" s="66"/>
      <c r="AP156" s="67">
        <f t="shared" si="11"/>
        <v>27</v>
      </c>
      <c r="AQ156" s="68">
        <f t="shared" si="12"/>
        <v>21.444444444444439</v>
      </c>
      <c r="AR156" s="68">
        <f>IFERROR(VLOOKUP(A156,Climatologia_TMAX!A:U,9+$E$2,FALSE),"")</f>
        <v>21.040558620689659</v>
      </c>
      <c r="AS156" s="68">
        <f t="shared" si="13"/>
        <v>0.40388582375478066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-1.5999999999999979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>
        <v>25.8</v>
      </c>
      <c r="W158" s="66">
        <v>24.4</v>
      </c>
      <c r="X158" s="66">
        <v>25</v>
      </c>
      <c r="Y158" s="66">
        <v>25.2</v>
      </c>
      <c r="Z158" s="66">
        <v>22</v>
      </c>
      <c r="AA158" s="66">
        <v>21</v>
      </c>
      <c r="AB158" s="66">
        <v>22.4</v>
      </c>
      <c r="AC158" s="66">
        <v>22.2</v>
      </c>
      <c r="AD158" s="66">
        <v>26.6</v>
      </c>
      <c r="AE158" s="66">
        <v>25.4</v>
      </c>
      <c r="AF158" s="66">
        <v>27</v>
      </c>
      <c r="AG158" s="66">
        <v>26.4</v>
      </c>
      <c r="AH158" s="66">
        <v>24.2</v>
      </c>
      <c r="AI158" s="66">
        <v>25.6</v>
      </c>
      <c r="AJ158" s="66">
        <v>25.8</v>
      </c>
      <c r="AK158" s="66">
        <v>25.6</v>
      </c>
      <c r="AL158" s="66"/>
      <c r="AM158" s="66"/>
      <c r="AN158" s="66"/>
      <c r="AO158" s="66"/>
      <c r="AP158" s="67">
        <f t="shared" si="11"/>
        <v>27</v>
      </c>
      <c r="AQ158" s="68">
        <f t="shared" si="12"/>
        <v>24.148148148148145</v>
      </c>
      <c r="AR158" s="68">
        <f>IFERROR(VLOOKUP(A158,Climatologia_TMAX!A:U,9+$E$2,FALSE),"")</f>
        <v>23.69400067733557</v>
      </c>
      <c r="AS158" s="68">
        <f t="shared" si="13"/>
        <v>0.45414747081257545</v>
      </c>
      <c r="AT158" s="74">
        <f t="shared" si="14"/>
        <v>27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-2.6000000000000014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>
        <v>32.200000000000003</v>
      </c>
      <c r="W160" s="66">
        <v>31.8</v>
      </c>
      <c r="X160" s="66">
        <v>32.4</v>
      </c>
      <c r="Y160" s="66">
        <v>31.8</v>
      </c>
      <c r="Z160" s="66">
        <v>32</v>
      </c>
      <c r="AA160" s="66">
        <v>31.8</v>
      </c>
      <c r="AB160" s="66">
        <v>31.6</v>
      </c>
      <c r="AC160" s="66">
        <v>31.8</v>
      </c>
      <c r="AD160" s="66">
        <v>30.2</v>
      </c>
      <c r="AE160" s="66">
        <v>31.8</v>
      </c>
      <c r="AF160" s="66">
        <v>31.6</v>
      </c>
      <c r="AG160" s="66">
        <v>32.4</v>
      </c>
      <c r="AH160" s="66">
        <v>29</v>
      </c>
      <c r="AI160" s="66">
        <v>32.200000000000003</v>
      </c>
      <c r="AJ160" s="66">
        <v>31.4</v>
      </c>
      <c r="AK160" s="66">
        <v>31</v>
      </c>
      <c r="AL160" s="66"/>
      <c r="AM160" s="66"/>
      <c r="AN160" s="66"/>
      <c r="AO160" s="66"/>
      <c r="AP160" s="67">
        <f t="shared" si="11"/>
        <v>27</v>
      </c>
      <c r="AQ160" s="68">
        <f t="shared" si="12"/>
        <v>31.451851851851849</v>
      </c>
      <c r="AR160" s="68">
        <f>IFERROR(VLOOKUP(A160,Climatologia_TMAX!A:U,9+$E$2,FALSE),"")</f>
        <v>29.810556198187779</v>
      </c>
      <c r="AS160" s="68">
        <f t="shared" si="13"/>
        <v>1.6412956536640699</v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>
        <v>19</v>
      </c>
      <c r="W164" s="66">
        <v>18</v>
      </c>
      <c r="X164" s="66">
        <v>17.600000000000001</v>
      </c>
      <c r="Y164" s="66">
        <v>18.399999999999999</v>
      </c>
      <c r="Z164" s="66">
        <v>18.600000000000001</v>
      </c>
      <c r="AA164" s="66">
        <v>19.600000000000001</v>
      </c>
      <c r="AB164" s="66">
        <v>17.2</v>
      </c>
      <c r="AC164" s="66">
        <v>16.600000000000001</v>
      </c>
      <c r="AD164" s="66">
        <v>19</v>
      </c>
      <c r="AE164" s="66">
        <v>20.6</v>
      </c>
      <c r="AF164" s="66">
        <v>18.8</v>
      </c>
      <c r="AG164" s="66">
        <v>21.6</v>
      </c>
      <c r="AH164" s="66">
        <v>21.4</v>
      </c>
      <c r="AI164" s="66">
        <v>20.2</v>
      </c>
      <c r="AJ164" s="66">
        <v>19.600000000000001</v>
      </c>
      <c r="AK164" s="66">
        <v>19</v>
      </c>
      <c r="AL164" s="66"/>
      <c r="AM164" s="66"/>
      <c r="AN164" s="66"/>
      <c r="AO164" s="66"/>
      <c r="AP164" s="67">
        <f t="shared" si="11"/>
        <v>27</v>
      </c>
      <c r="AQ164" s="68">
        <f t="shared" si="12"/>
        <v>18.777777777777782</v>
      </c>
      <c r="AR164" s="68">
        <f>IFERROR(VLOOKUP(A164,Climatologia_TMAX!A:U,9+$E$2,FALSE),"")</f>
        <v>17.33622330219147</v>
      </c>
      <c r="AS164" s="68">
        <f t="shared" si="13"/>
        <v>1.4415544755863117</v>
      </c>
      <c r="AT164" s="74">
        <f t="shared" si="14"/>
        <v>21.6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-1.7999999999999972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>
        <v>13.6</v>
      </c>
      <c r="W165" s="66">
        <v>13</v>
      </c>
      <c r="X165" s="66">
        <v>14</v>
      </c>
      <c r="Y165" s="66">
        <v>14.6</v>
      </c>
      <c r="Z165" s="66">
        <v>15</v>
      </c>
      <c r="AA165" s="66">
        <v>15.2</v>
      </c>
      <c r="AB165" s="66">
        <v>14.6</v>
      </c>
      <c r="AC165" s="66">
        <v>12</v>
      </c>
      <c r="AD165" s="66"/>
      <c r="AE165" s="66">
        <v>15.4</v>
      </c>
      <c r="AF165" s="66">
        <v>16.399999999999999</v>
      </c>
      <c r="AG165" s="66">
        <v>17</v>
      </c>
      <c r="AH165" s="66">
        <v>17.2</v>
      </c>
      <c r="AI165" s="66">
        <v>15</v>
      </c>
      <c r="AJ165" s="66">
        <v>15.4</v>
      </c>
      <c r="AK165" s="66">
        <v>16</v>
      </c>
      <c r="AL165" s="66"/>
      <c r="AM165" s="66"/>
      <c r="AN165" s="66"/>
      <c r="AO165" s="66"/>
      <c r="AP165" s="67">
        <f t="shared" si="11"/>
        <v>25</v>
      </c>
      <c r="AQ165" s="68">
        <f t="shared" si="12"/>
        <v>14.919999999999995</v>
      </c>
      <c r="AR165" s="68">
        <f>IFERROR(VLOOKUP(A165,Climatologia_TMAX!A:U,9+$E$2,FALSE),"")</f>
        <v>13.83966666666667</v>
      </c>
      <c r="AS165" s="68">
        <f t="shared" si="13"/>
        <v>1.0803333333333249</v>
      </c>
      <c r="AT165" s="74">
        <f t="shared" si="14"/>
        <v>17.2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-2.6999999999999993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>
        <v>15</v>
      </c>
      <c r="W166" s="66">
        <v>16.399999999999999</v>
      </c>
      <c r="X166" s="66">
        <v>17.2</v>
      </c>
      <c r="Y166" s="66">
        <v>16.399999999999999</v>
      </c>
      <c r="Z166" s="66">
        <v>14.4</v>
      </c>
      <c r="AA166" s="66">
        <v>16</v>
      </c>
      <c r="AB166" s="66">
        <v>15.4</v>
      </c>
      <c r="AC166" s="66">
        <v>14.6</v>
      </c>
      <c r="AD166" s="66">
        <v>16.2</v>
      </c>
      <c r="AE166" s="66">
        <v>17.2</v>
      </c>
      <c r="AF166" s="66">
        <v>17</v>
      </c>
      <c r="AG166" s="66">
        <v>18.2</v>
      </c>
      <c r="AH166" s="66">
        <v>17.2</v>
      </c>
      <c r="AI166" s="66">
        <v>15.4</v>
      </c>
      <c r="AJ166" s="66">
        <v>15.6</v>
      </c>
      <c r="AK166" s="66">
        <v>14.8</v>
      </c>
      <c r="AL166" s="66"/>
      <c r="AM166" s="66"/>
      <c r="AN166" s="66"/>
      <c r="AO166" s="66"/>
      <c r="AP166" s="67">
        <f t="shared" si="11"/>
        <v>27</v>
      </c>
      <c r="AQ166" s="68">
        <f t="shared" si="12"/>
        <v>15.933333333333334</v>
      </c>
      <c r="AR166" s="68">
        <f>IFERROR(VLOOKUP(A166,Climatologia_TMAX!A:U,9+$E$2,FALSE),"")</f>
        <v>15.254814574724669</v>
      </c>
      <c r="AS166" s="68">
        <f t="shared" si="13"/>
        <v>0.67851875860866429</v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>
        <v>18.2</v>
      </c>
      <c r="W167" s="66">
        <v>16.8</v>
      </c>
      <c r="X167" s="66">
        <v>18.2</v>
      </c>
      <c r="Y167" s="66">
        <v>16.399999999999999</v>
      </c>
      <c r="Z167" s="66">
        <v>17.8</v>
      </c>
      <c r="AA167" s="66">
        <v>17</v>
      </c>
      <c r="AB167" s="66">
        <v>18.2</v>
      </c>
      <c r="AC167" s="66">
        <v>15.8</v>
      </c>
      <c r="AD167" s="66">
        <v>17.399999999999999</v>
      </c>
      <c r="AE167" s="66">
        <v>21.2</v>
      </c>
      <c r="AF167" s="66">
        <v>18.8</v>
      </c>
      <c r="AG167" s="66">
        <v>20.2</v>
      </c>
      <c r="AH167" s="66">
        <v>18.600000000000001</v>
      </c>
      <c r="AI167" s="66">
        <v>18.399999999999999</v>
      </c>
      <c r="AJ167" s="66">
        <v>18.2</v>
      </c>
      <c r="AK167" s="66">
        <v>16.399999999999999</v>
      </c>
      <c r="AL167" s="66"/>
      <c r="AM167" s="66"/>
      <c r="AN167" s="66"/>
      <c r="AO167" s="66"/>
      <c r="AP167" s="67">
        <f t="shared" si="11"/>
        <v>27</v>
      </c>
      <c r="AQ167" s="68">
        <f t="shared" si="12"/>
        <v>17.866666666666664</v>
      </c>
      <c r="AR167" s="68">
        <f>IFERROR(VLOOKUP(A167,Climatologia_TMAX!A:U,9+$E$2,FALSE),"")</f>
        <v>16.18561379310345</v>
      </c>
      <c r="AS167" s="68">
        <f t="shared" si="13"/>
        <v>1.681052873563214</v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0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>
        <v>23.8</v>
      </c>
      <c r="W168" s="66">
        <v>22.6</v>
      </c>
      <c r="X168" s="66">
        <v>22.2</v>
      </c>
      <c r="Y168" s="66">
        <v>23.2</v>
      </c>
      <c r="Z168" s="66">
        <v>22.6</v>
      </c>
      <c r="AA168" s="66">
        <v>22.6</v>
      </c>
      <c r="AB168" s="66">
        <v>21.2</v>
      </c>
      <c r="AC168" s="66">
        <v>21.4</v>
      </c>
      <c r="AD168" s="66">
        <v>23.2</v>
      </c>
      <c r="AE168" s="66">
        <v>25.6</v>
      </c>
      <c r="AF168" s="66">
        <v>24.8</v>
      </c>
      <c r="AG168" s="66">
        <v>25.8</v>
      </c>
      <c r="AH168" s="66">
        <v>25.4</v>
      </c>
      <c r="AI168" s="66">
        <v>24.6</v>
      </c>
      <c r="AJ168" s="66">
        <v>23.8</v>
      </c>
      <c r="AK168" s="66">
        <v>22.4</v>
      </c>
      <c r="AL168" s="66"/>
      <c r="AM168" s="66"/>
      <c r="AN168" s="66"/>
      <c r="AO168" s="66"/>
      <c r="AP168" s="67">
        <f t="shared" si="11"/>
        <v>27</v>
      </c>
      <c r="AQ168" s="68">
        <f t="shared" si="12"/>
        <v>23.296296296296298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>
        <v>25.8</v>
      </c>
      <c r="W172" s="66">
        <v>26</v>
      </c>
      <c r="X172" s="66">
        <v>24</v>
      </c>
      <c r="Y172" s="66">
        <v>24.6</v>
      </c>
      <c r="Z172" s="66">
        <v>24.4</v>
      </c>
      <c r="AA172" s="66">
        <v>23.6</v>
      </c>
      <c r="AB172" s="66">
        <v>24.4</v>
      </c>
      <c r="AC172" s="66">
        <v>23.6</v>
      </c>
      <c r="AD172" s="66">
        <v>27</v>
      </c>
      <c r="AE172" s="66">
        <v>26.6</v>
      </c>
      <c r="AF172" s="66">
        <v>24.4</v>
      </c>
      <c r="AG172" s="66">
        <v>25.8</v>
      </c>
      <c r="AH172" s="66">
        <v>24.2</v>
      </c>
      <c r="AI172" s="66">
        <v>24.8</v>
      </c>
      <c r="AJ172" s="66">
        <v>24.4</v>
      </c>
      <c r="AK172" s="66">
        <v>21.4</v>
      </c>
      <c r="AL172" s="66"/>
      <c r="AM172" s="66"/>
      <c r="AN172" s="66"/>
      <c r="AO172" s="66"/>
      <c r="AP172" s="67">
        <f t="shared" si="11"/>
        <v>27</v>
      </c>
      <c r="AQ172" s="68">
        <f t="shared" si="12"/>
        <v>24.474074074074068</v>
      </c>
      <c r="AR172" s="68">
        <f>IFERROR(VLOOKUP(A172,Climatologia_TMAX!A:U,9+$E$2,FALSE),"")</f>
        <v>21.815994501380949</v>
      </c>
      <c r="AS172" s="68">
        <f t="shared" si="13"/>
        <v>2.6580795726931186</v>
      </c>
      <c r="AT172" s="74">
        <f t="shared" si="14"/>
        <v>27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>
        <v>16.600000000000001</v>
      </c>
      <c r="W173" s="66">
        <v>22.6</v>
      </c>
      <c r="X173" s="66">
        <v>21</v>
      </c>
      <c r="Y173" s="66">
        <v>20.399999999999999</v>
      </c>
      <c r="Z173" s="66">
        <v>18.2</v>
      </c>
      <c r="AA173" s="66">
        <v>21.6</v>
      </c>
      <c r="AB173" s="66">
        <v>19</v>
      </c>
      <c r="AC173" s="66">
        <v>17.600000000000001</v>
      </c>
      <c r="AD173" s="66">
        <v>21.2</v>
      </c>
      <c r="AE173" s="66">
        <v>23.2</v>
      </c>
      <c r="AF173" s="66">
        <v>21.6</v>
      </c>
      <c r="AG173" s="66">
        <v>22.6</v>
      </c>
      <c r="AH173" s="66">
        <v>23.2</v>
      </c>
      <c r="AI173" s="66">
        <v>21</v>
      </c>
      <c r="AJ173" s="66"/>
      <c r="AK173" s="66"/>
      <c r="AL173" s="66"/>
      <c r="AM173" s="66"/>
      <c r="AN173" s="66"/>
      <c r="AO173" s="66"/>
      <c r="AP173" s="67">
        <f t="shared" si="11"/>
        <v>25</v>
      </c>
      <c r="AQ173" s="68">
        <f t="shared" si="12"/>
        <v>20.472000000000001</v>
      </c>
      <c r="AR173" s="68">
        <f>IFERROR(VLOOKUP(A173,Climatologia_TMAX!A:U,9+$E$2,FALSE),"")</f>
        <v>20.099785014899961</v>
      </c>
      <c r="AS173" s="68">
        <f t="shared" si="13"/>
        <v>0.37221498510004025</v>
      </c>
      <c r="AT173" s="74">
        <f t="shared" si="14"/>
        <v>23.2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>
        <v>20.399999999999999</v>
      </c>
      <c r="W175" s="66">
        <v>18.600000000000001</v>
      </c>
      <c r="X175" s="66">
        <v>17.8</v>
      </c>
      <c r="Y175" s="66">
        <v>18.399999999999999</v>
      </c>
      <c r="Z175" s="66">
        <v>19.2</v>
      </c>
      <c r="AA175" s="66">
        <v>19.2</v>
      </c>
      <c r="AB175" s="66">
        <v>18.2</v>
      </c>
      <c r="AC175" s="66">
        <v>19.2</v>
      </c>
      <c r="AD175" s="66">
        <v>19.399999999999999</v>
      </c>
      <c r="AE175" s="66">
        <v>20.8</v>
      </c>
      <c r="AF175" s="66">
        <v>18.2</v>
      </c>
      <c r="AG175" s="66">
        <v>22.2</v>
      </c>
      <c r="AH175" s="66">
        <v>23.4</v>
      </c>
      <c r="AI175" s="66">
        <v>19.600000000000001</v>
      </c>
      <c r="AJ175" s="66">
        <v>19</v>
      </c>
      <c r="AK175" s="66">
        <v>18.600000000000001</v>
      </c>
      <c r="AL175" s="66"/>
      <c r="AM175" s="66"/>
      <c r="AN175" s="66"/>
      <c r="AO175" s="66"/>
      <c r="AP175" s="67">
        <f t="shared" si="11"/>
        <v>27</v>
      </c>
      <c r="AQ175" s="68">
        <f t="shared" si="12"/>
        <v>19.251851851851846</v>
      </c>
      <c r="AR175" s="68">
        <f>IFERROR(VLOOKUP(A175,Climatologia_TMAX!A:U,9+$E$2,FALSE),"")</f>
        <v>17.642557374659329</v>
      </c>
      <c r="AS175" s="68">
        <f t="shared" si="13"/>
        <v>1.6092944771925168</v>
      </c>
      <c r="AT175" s="74">
        <f t="shared" si="14"/>
        <v>23.4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-0.40000000000000213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>
        <v>21.9</v>
      </c>
      <c r="W176" s="66">
        <v>20.7</v>
      </c>
      <c r="X176" s="66">
        <v>21.2</v>
      </c>
      <c r="Y176" s="66">
        <v>21.4</v>
      </c>
      <c r="Z176" s="66">
        <v>19.899999999999999</v>
      </c>
      <c r="AA176" s="66">
        <v>21.8</v>
      </c>
      <c r="AB176" s="66">
        <v>20.399999999999999</v>
      </c>
      <c r="AC176" s="66">
        <v>21.5</v>
      </c>
      <c r="AD176" s="66">
        <v>21.3</v>
      </c>
      <c r="AE176" s="66">
        <v>23.9</v>
      </c>
      <c r="AF176" s="66">
        <v>19.2</v>
      </c>
      <c r="AG176" s="66">
        <v>21.7</v>
      </c>
      <c r="AH176" s="66">
        <v>18.8</v>
      </c>
      <c r="AI176" s="66">
        <v>18.3</v>
      </c>
      <c r="AJ176" s="66">
        <v>20.2</v>
      </c>
      <c r="AK176" s="66">
        <v>19.3</v>
      </c>
      <c r="AL176" s="66"/>
      <c r="AM176" s="66"/>
      <c r="AN176" s="66"/>
      <c r="AO176" s="66"/>
      <c r="AP176" s="67">
        <f t="shared" si="11"/>
        <v>27</v>
      </c>
      <c r="AQ176" s="68">
        <f t="shared" si="12"/>
        <v>20.718518518518515</v>
      </c>
      <c r="AR176" s="68">
        <f>IFERROR(VLOOKUP(A176,Climatologia_TMAX!A:U,9+$E$2,FALSE),"")</f>
        <v>19.335880952380951</v>
      </c>
      <c r="AS176" s="68">
        <f t="shared" si="13"/>
        <v>1.3826375661375643</v>
      </c>
      <c r="AT176" s="74">
        <f t="shared" si="14"/>
        <v>23.9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0.89999999999999858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>
        <v>27.2</v>
      </c>
      <c r="W180" s="66">
        <v>26.4</v>
      </c>
      <c r="X180" s="66">
        <v>26.4</v>
      </c>
      <c r="Y180" s="66">
        <v>25.4</v>
      </c>
      <c r="Z180" s="66">
        <v>24.4</v>
      </c>
      <c r="AA180" s="66">
        <v>27.2</v>
      </c>
      <c r="AB180" s="66">
        <v>24.6</v>
      </c>
      <c r="AC180" s="66">
        <v>24.2</v>
      </c>
      <c r="AD180" s="66">
        <v>25.6</v>
      </c>
      <c r="AE180" s="66">
        <v>28</v>
      </c>
      <c r="AF180" s="66">
        <v>24.6</v>
      </c>
      <c r="AG180" s="66">
        <v>27.4</v>
      </c>
      <c r="AH180" s="66">
        <v>26.4</v>
      </c>
      <c r="AI180" s="66">
        <v>25.4</v>
      </c>
      <c r="AJ180" s="66">
        <v>25.6</v>
      </c>
      <c r="AK180" s="66">
        <v>24.2</v>
      </c>
      <c r="AL180" s="66"/>
      <c r="AM180" s="66"/>
      <c r="AN180" s="66"/>
      <c r="AO180" s="66"/>
      <c r="AP180" s="67">
        <f t="shared" si="11"/>
        <v>27</v>
      </c>
      <c r="AQ180" s="68">
        <f t="shared" si="12"/>
        <v>25.748148148148147</v>
      </c>
      <c r="AR180" s="68">
        <f>IFERROR(VLOOKUP(A180,Climatologia_TMAX!A:U,9+$E$2,FALSE),"")</f>
        <v>22.8164890530925</v>
      </c>
      <c r="AS180" s="68">
        <f t="shared" si="13"/>
        <v>2.9316590950556467</v>
      </c>
      <c r="AT180" s="74">
        <f t="shared" si="14"/>
        <v>28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>
        <v>20.399999999999999</v>
      </c>
      <c r="W181" s="66">
        <v>20</v>
      </c>
      <c r="X181" s="66">
        <v>19.399999999999999</v>
      </c>
      <c r="Y181" s="66">
        <v>19.2</v>
      </c>
      <c r="Z181" s="66">
        <v>18</v>
      </c>
      <c r="AA181" s="66">
        <v>17.2</v>
      </c>
      <c r="AB181" s="66">
        <v>19</v>
      </c>
      <c r="AC181" s="66">
        <v>19.100000000000001</v>
      </c>
      <c r="AD181" s="66">
        <v>20</v>
      </c>
      <c r="AE181" s="66">
        <v>21.2</v>
      </c>
      <c r="AF181" s="66">
        <v>20</v>
      </c>
      <c r="AG181" s="66">
        <v>22.4</v>
      </c>
      <c r="AH181" s="66">
        <v>22</v>
      </c>
      <c r="AI181" s="66">
        <v>21</v>
      </c>
      <c r="AJ181" s="66">
        <v>20.9</v>
      </c>
      <c r="AK181" s="66">
        <v>19.399999999999999</v>
      </c>
      <c r="AL181" s="66"/>
      <c r="AM181" s="66"/>
      <c r="AN181" s="66"/>
      <c r="AO181" s="66"/>
      <c r="AP181" s="67">
        <f t="shared" si="11"/>
        <v>25</v>
      </c>
      <c r="AQ181" s="68">
        <f t="shared" si="12"/>
        <v>19.847999999999999</v>
      </c>
      <c r="AR181" s="68">
        <f>IFERROR(VLOOKUP(A181,Climatologia_TMAX!A:U,9+$E$2,FALSE),"")</f>
        <v>18.29491428068123</v>
      </c>
      <c r="AS181" s="68">
        <f t="shared" si="13"/>
        <v>1.5530857193187693</v>
      </c>
      <c r="AT181" s="74">
        <f t="shared" si="14"/>
        <v>22.4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-2.4000000000000021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>
        <v>29</v>
      </c>
      <c r="W182" s="66">
        <v>29.4</v>
      </c>
      <c r="X182" s="66">
        <v>28.2</v>
      </c>
      <c r="Y182" s="66">
        <v>29</v>
      </c>
      <c r="Z182" s="66">
        <v>29.2</v>
      </c>
      <c r="AA182" s="66">
        <v>29.6</v>
      </c>
      <c r="AB182" s="66">
        <v>28.8</v>
      </c>
      <c r="AC182" s="66">
        <v>26.6</v>
      </c>
      <c r="AD182" s="66">
        <v>25.4</v>
      </c>
      <c r="AE182" s="66">
        <v>27</v>
      </c>
      <c r="AF182" s="66">
        <v>26.8</v>
      </c>
      <c r="AG182" s="66">
        <v>27</v>
      </c>
      <c r="AH182" s="66">
        <v>21.6</v>
      </c>
      <c r="AI182" s="66">
        <v>24</v>
      </c>
      <c r="AJ182" s="66">
        <v>22.8</v>
      </c>
      <c r="AK182" s="66">
        <v>23.8</v>
      </c>
      <c r="AL182" s="66"/>
      <c r="AM182" s="66"/>
      <c r="AN182" s="66"/>
      <c r="AO182" s="66"/>
      <c r="AP182" s="67">
        <f t="shared" si="11"/>
        <v>27</v>
      </c>
      <c r="AQ182" s="68">
        <f t="shared" si="12"/>
        <v>27.251851851851846</v>
      </c>
      <c r="AR182" s="68">
        <f>IFERROR(VLOOKUP(A182,Climatologia_TMAX!A:U,9+$E$2,FALSE),"")</f>
        <v>24.92273106468112</v>
      </c>
      <c r="AS182" s="68">
        <f t="shared" si="13"/>
        <v>2.3291207871707265</v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>
        <v>33.200000000000003</v>
      </c>
      <c r="W183" s="66">
        <v>31.8</v>
      </c>
      <c r="X183" s="66">
        <v>29.6</v>
      </c>
      <c r="Y183" s="66">
        <v>31.4</v>
      </c>
      <c r="Z183" s="66">
        <v>29.2</v>
      </c>
      <c r="AA183" s="66">
        <v>31.8</v>
      </c>
      <c r="AB183" s="66">
        <v>30.4</v>
      </c>
      <c r="AC183" s="109">
        <v>28.8</v>
      </c>
      <c r="AD183" s="66">
        <v>30</v>
      </c>
      <c r="AE183" s="66">
        <v>31.2</v>
      </c>
      <c r="AF183" s="66">
        <v>30.4</v>
      </c>
      <c r="AG183" s="66">
        <v>31.2</v>
      </c>
      <c r="AH183" s="66">
        <v>27.6</v>
      </c>
      <c r="AI183" s="66">
        <v>28.4</v>
      </c>
      <c r="AJ183" s="66">
        <v>29.6</v>
      </c>
      <c r="AK183" s="66">
        <v>25.4</v>
      </c>
      <c r="AL183" s="66"/>
      <c r="AM183" s="66"/>
      <c r="AN183" s="66"/>
      <c r="AO183" s="66"/>
      <c r="AP183" s="67">
        <f t="shared" si="11"/>
        <v>27</v>
      </c>
      <c r="AQ183" s="68">
        <f t="shared" si="12"/>
        <v>30.3037037037037</v>
      </c>
      <c r="AR183" s="68">
        <f>IFERROR(VLOOKUP(A183,Climatologia_TMAX!A:U,9+$E$2,FALSE),"")</f>
        <v>27.352242768241581</v>
      </c>
      <c r="AS183" s="68">
        <f t="shared" si="13"/>
        <v>2.9514609354621193</v>
      </c>
      <c r="AT183" s="74">
        <f t="shared" si="14"/>
        <v>33.200000000000003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0.80000000000000426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>
        <v>17.8</v>
      </c>
      <c r="W184" s="66">
        <v>17.600000000000001</v>
      </c>
      <c r="X184" s="66">
        <v>17.399999999999999</v>
      </c>
      <c r="Y184" s="66">
        <v>17</v>
      </c>
      <c r="Z184" s="66">
        <v>15.8</v>
      </c>
      <c r="AA184" s="66">
        <v>17.8</v>
      </c>
      <c r="AB184" s="66">
        <v>17.2</v>
      </c>
      <c r="AC184" s="66">
        <v>17.399999999999999</v>
      </c>
      <c r="AD184" s="66">
        <v>15.6</v>
      </c>
      <c r="AE184" s="66">
        <v>18.2</v>
      </c>
      <c r="AF184" s="66">
        <v>17</v>
      </c>
      <c r="AG184" s="66">
        <v>18.600000000000001</v>
      </c>
      <c r="AH184" s="66">
        <v>18.399999999999999</v>
      </c>
      <c r="AI184" s="66">
        <v>17.2</v>
      </c>
      <c r="AJ184" s="66">
        <v>17</v>
      </c>
      <c r="AK184" s="66">
        <v>17.399999999999999</v>
      </c>
      <c r="AL184" s="66"/>
      <c r="AM184" s="66"/>
      <c r="AN184" s="66"/>
      <c r="AO184" s="66"/>
      <c r="AP184" s="67">
        <f t="shared" si="11"/>
        <v>27</v>
      </c>
      <c r="AQ184" s="68">
        <f t="shared" si="12"/>
        <v>16.985185185185184</v>
      </c>
      <c r="AR184" s="68">
        <f>IFERROR(VLOOKUP(A184,Climatologia_TMAX!A:U,9+$E$2,FALSE),"")</f>
        <v>15.3996091954023</v>
      </c>
      <c r="AS184" s="68">
        <f t="shared" si="13"/>
        <v>1.5855759897828836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>
        <v>25.4</v>
      </c>
      <c r="W185" s="66">
        <v>31.8</v>
      </c>
      <c r="X185" s="66">
        <v>33.799999999999997</v>
      </c>
      <c r="Y185" s="66">
        <v>33.4</v>
      </c>
      <c r="Z185" s="66">
        <v>32.6</v>
      </c>
      <c r="AA185" s="66">
        <v>33.4</v>
      </c>
      <c r="AB185" s="66">
        <v>33.4</v>
      </c>
      <c r="AC185" s="66">
        <v>29</v>
      </c>
      <c r="AD185" s="66">
        <v>32.4</v>
      </c>
      <c r="AE185" s="66">
        <v>29</v>
      </c>
      <c r="AF185" s="66">
        <v>31</v>
      </c>
      <c r="AG185" s="66">
        <v>31.4</v>
      </c>
      <c r="AH185" s="66">
        <v>30.8</v>
      </c>
      <c r="AI185" s="66">
        <v>31</v>
      </c>
      <c r="AJ185" s="66">
        <v>28</v>
      </c>
      <c r="AK185" s="66">
        <v>27.6</v>
      </c>
      <c r="AL185" s="66"/>
      <c r="AM185" s="66"/>
      <c r="AN185" s="66"/>
      <c r="AO185" s="66"/>
      <c r="AP185" s="67">
        <f t="shared" si="11"/>
        <v>27</v>
      </c>
      <c r="AQ185" s="68">
        <f t="shared" si="12"/>
        <v>30.851851851851848</v>
      </c>
      <c r="AR185" s="68">
        <f>IFERROR(VLOOKUP(A185,Climatologia_TMAX!A:U,9+$E$2,FALSE),"")</f>
        <v>27.69362790770483</v>
      </c>
      <c r="AS185" s="68">
        <f t="shared" si="13"/>
        <v>3.1582239441470179</v>
      </c>
      <c r="AT185" s="74">
        <f t="shared" si="14"/>
        <v>33.799999999999997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1.7999999999999972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>
        <v>28.8</v>
      </c>
      <c r="W186" s="66">
        <v>28.8</v>
      </c>
      <c r="X186" s="66">
        <v>31.8</v>
      </c>
      <c r="Y186" s="66">
        <v>30.4</v>
      </c>
      <c r="Z186" s="66">
        <v>29.8</v>
      </c>
      <c r="AA186" s="66">
        <v>30</v>
      </c>
      <c r="AB186" s="66">
        <v>30.2</v>
      </c>
      <c r="AC186" s="66">
        <v>27</v>
      </c>
      <c r="AD186" s="66">
        <v>29.4</v>
      </c>
      <c r="AE186" s="66">
        <v>28</v>
      </c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21</v>
      </c>
      <c r="AQ186" s="68">
        <f t="shared" si="12"/>
        <v>29.761904761904763</v>
      </c>
      <c r="AR186" s="68">
        <f>IFERROR(VLOOKUP(A186,Climatologia_TMAX!A:U,9+$E$2,FALSE),"")</f>
        <v>27.282753147235908</v>
      </c>
      <c r="AS186" s="68">
        <f t="shared" si="13"/>
        <v>2.4791516146688544</v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>
        <v>27.6</v>
      </c>
      <c r="W187" s="66">
        <v>25.2</v>
      </c>
      <c r="X187" s="66">
        <v>28.4</v>
      </c>
      <c r="Y187" s="66">
        <v>28.2</v>
      </c>
      <c r="Z187" s="66">
        <v>27.6</v>
      </c>
      <c r="AA187" s="66">
        <v>30.2</v>
      </c>
      <c r="AB187" s="66">
        <v>29.8</v>
      </c>
      <c r="AC187" s="66">
        <v>26</v>
      </c>
      <c r="AD187" s="66">
        <v>27.2</v>
      </c>
      <c r="AE187" s="66">
        <v>27</v>
      </c>
      <c r="AF187" s="66">
        <v>27.2</v>
      </c>
      <c r="AG187" s="66">
        <v>26</v>
      </c>
      <c r="AH187" s="66">
        <v>25.6</v>
      </c>
      <c r="AI187" s="66">
        <v>26.2</v>
      </c>
      <c r="AJ187" s="66">
        <v>25.6</v>
      </c>
      <c r="AK187" s="66">
        <v>23.2</v>
      </c>
      <c r="AL187" s="66"/>
      <c r="AM187" s="66"/>
      <c r="AN187" s="66"/>
      <c r="AO187" s="66"/>
      <c r="AP187" s="67">
        <f t="shared" si="11"/>
        <v>27</v>
      </c>
      <c r="AQ187" s="68">
        <f t="shared" si="12"/>
        <v>27.148148148148156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30.2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1.8000000000000007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>
        <v>14.6</v>
      </c>
      <c r="W188" s="66">
        <v>12.8</v>
      </c>
      <c r="X188" s="66">
        <v>13.8</v>
      </c>
      <c r="Y188" s="66">
        <v>14.6</v>
      </c>
      <c r="Z188" s="66">
        <v>13</v>
      </c>
      <c r="AA188" s="66">
        <v>13.2</v>
      </c>
      <c r="AB188" s="66">
        <v>12.2</v>
      </c>
      <c r="AC188" s="109">
        <v>13</v>
      </c>
      <c r="AD188" s="66">
        <v>14.2</v>
      </c>
      <c r="AE188" s="66">
        <v>14.4</v>
      </c>
      <c r="AF188" s="66">
        <v>15.2</v>
      </c>
      <c r="AG188" s="66">
        <v>15.2</v>
      </c>
      <c r="AH188" s="66">
        <v>14.6</v>
      </c>
      <c r="AI188" s="66">
        <v>14.4</v>
      </c>
      <c r="AJ188" s="66">
        <v>15.2</v>
      </c>
      <c r="AK188" s="66">
        <v>15.2</v>
      </c>
      <c r="AL188" s="66"/>
      <c r="AM188" s="66"/>
      <c r="AN188" s="66"/>
      <c r="AO188" s="66"/>
      <c r="AP188" s="67">
        <f t="shared" si="11"/>
        <v>27</v>
      </c>
      <c r="AQ188" s="68">
        <f t="shared" si="12"/>
        <v>13.488888888888887</v>
      </c>
      <c r="AR188" s="68">
        <f>IFERROR(VLOOKUP(A188,Climatologia_TMAX!A:U,9+$E$2,FALSE),"")</f>
        <v>13.71344968140675</v>
      </c>
      <c r="AS188" s="68">
        <f t="shared" si="13"/>
        <v>-0.22456079251786321</v>
      </c>
      <c r="AT188" s="74">
        <f t="shared" si="14"/>
        <v>15.2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-2.1999999999999993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>
        <v>36.6</v>
      </c>
      <c r="W191" s="66">
        <v>32.6</v>
      </c>
      <c r="X191" s="66">
        <v>37</v>
      </c>
      <c r="Y191" s="66">
        <v>37.799999999999997</v>
      </c>
      <c r="Z191" s="66">
        <v>36.6</v>
      </c>
      <c r="AA191" s="66">
        <v>35.6</v>
      </c>
      <c r="AB191" s="66">
        <v>38</v>
      </c>
      <c r="AC191" s="66">
        <v>36.4</v>
      </c>
      <c r="AD191" s="66">
        <v>37.6</v>
      </c>
      <c r="AE191" s="66">
        <v>38</v>
      </c>
      <c r="AF191" s="66">
        <v>39</v>
      </c>
      <c r="AG191" s="66">
        <v>40</v>
      </c>
      <c r="AH191" s="66">
        <v>37.799999999999997</v>
      </c>
      <c r="AI191" s="66">
        <v>37.4</v>
      </c>
      <c r="AJ191" s="66">
        <v>38.799999999999997</v>
      </c>
      <c r="AK191" s="66">
        <v>35.4</v>
      </c>
      <c r="AL191" s="66"/>
      <c r="AM191" s="66"/>
      <c r="AN191" s="66"/>
      <c r="AO191" s="66"/>
      <c r="AP191" s="67">
        <f t="shared" si="11"/>
        <v>27</v>
      </c>
      <c r="AQ191" s="68">
        <f t="shared" si="12"/>
        <v>36.896296296296292</v>
      </c>
      <c r="AR191" s="68">
        <f>IFERROR(VLOOKUP(A191,Climatologia_TMAX!A:U,9+$E$2,FALSE),"")</f>
        <v>34.685813415236723</v>
      </c>
      <c r="AS191" s="68">
        <f t="shared" si="13"/>
        <v>2.2104828810595691</v>
      </c>
      <c r="AT191" s="74">
        <f t="shared" si="14"/>
        <v>40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>
        <v>30.6</v>
      </c>
      <c r="W192" s="66">
        <v>28</v>
      </c>
      <c r="X192" s="66">
        <v>33.200000000000003</v>
      </c>
      <c r="Y192" s="66">
        <v>32.799999999999997</v>
      </c>
      <c r="Z192" s="66">
        <v>33</v>
      </c>
      <c r="AA192" s="66">
        <v>33.6</v>
      </c>
      <c r="AB192" s="66">
        <v>32.200000000000003</v>
      </c>
      <c r="AC192" s="66">
        <v>30</v>
      </c>
      <c r="AD192" s="66">
        <v>32</v>
      </c>
      <c r="AE192" s="66">
        <v>28.8</v>
      </c>
      <c r="AF192" s="66">
        <v>31.2</v>
      </c>
      <c r="AG192" s="66">
        <v>28</v>
      </c>
      <c r="AH192" s="66">
        <v>30.8</v>
      </c>
      <c r="AI192" s="66">
        <v>28.4</v>
      </c>
      <c r="AJ192" s="66">
        <v>29</v>
      </c>
      <c r="AK192" s="66">
        <v>28</v>
      </c>
      <c r="AL192" s="66"/>
      <c r="AM192" s="66"/>
      <c r="AN192" s="66"/>
      <c r="AO192" s="66"/>
      <c r="AP192" s="67">
        <f t="shared" si="11"/>
        <v>27</v>
      </c>
      <c r="AQ192" s="68">
        <f t="shared" si="12"/>
        <v>30.88148148148148</v>
      </c>
      <c r="AR192" s="68">
        <f>IFERROR(VLOOKUP(A192,Climatologia_TMAX!A:U,9+$E$2,FALSE),"")</f>
        <v>30.4095652173913</v>
      </c>
      <c r="AS192" s="68">
        <f t="shared" si="13"/>
        <v>0.47191626409017928</v>
      </c>
      <c r="AT192" s="74">
        <f t="shared" si="14"/>
        <v>33.6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-0.60000000000000142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3">
        <v>34.200000000000003</v>
      </c>
      <c r="V193" s="66">
        <v>36</v>
      </c>
      <c r="W193" s="66">
        <v>32.4</v>
      </c>
      <c r="X193" s="66">
        <v>36.6</v>
      </c>
      <c r="Y193" s="66">
        <v>36.200000000000003</v>
      </c>
      <c r="Z193" s="66">
        <v>33</v>
      </c>
      <c r="AA193" s="66">
        <v>35.6</v>
      </c>
      <c r="AB193" s="66">
        <v>34.799999999999997</v>
      </c>
      <c r="AC193" s="66">
        <v>29.4</v>
      </c>
      <c r="AD193" s="66">
        <v>34.799999999999997</v>
      </c>
      <c r="AE193" s="66">
        <v>31.4</v>
      </c>
      <c r="AF193" s="66">
        <v>34.799999999999997</v>
      </c>
      <c r="AG193" s="66">
        <v>35</v>
      </c>
      <c r="AH193" s="66">
        <v>33.799999999999997</v>
      </c>
      <c r="AI193" s="66">
        <v>30.6</v>
      </c>
      <c r="AJ193" s="66">
        <v>34</v>
      </c>
      <c r="AK193" s="66">
        <v>30.2</v>
      </c>
      <c r="AL193" s="66"/>
      <c r="AM193" s="66"/>
      <c r="AN193" s="66"/>
      <c r="AO193" s="66"/>
      <c r="AP193" s="67">
        <f t="shared" si="11"/>
        <v>27</v>
      </c>
      <c r="AQ193" s="68">
        <f t="shared" si="12"/>
        <v>34.288888888888884</v>
      </c>
      <c r="AR193" s="68">
        <f>IFERROR(VLOOKUP(A193,Climatologia_TMAX!A:U,9+$E$2,FALSE),"")</f>
        <v>32.380779918578327</v>
      </c>
      <c r="AS193" s="68">
        <f t="shared" si="13"/>
        <v>1.9081089703105576</v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>
        <v>37</v>
      </c>
      <c r="W194" s="66">
        <v>33.6</v>
      </c>
      <c r="X194" s="66">
        <v>37.4</v>
      </c>
      <c r="Y194" s="66">
        <v>36.6</v>
      </c>
      <c r="Z194" s="66">
        <v>36</v>
      </c>
      <c r="AA194" s="66">
        <v>37</v>
      </c>
      <c r="AB194" s="66">
        <v>39</v>
      </c>
      <c r="AC194" s="66">
        <v>38.200000000000003</v>
      </c>
      <c r="AD194" s="66">
        <v>36.200000000000003</v>
      </c>
      <c r="AE194" s="66">
        <v>37.200000000000003</v>
      </c>
      <c r="AF194" s="66">
        <v>37.6</v>
      </c>
      <c r="AG194" s="66">
        <v>38.4</v>
      </c>
      <c r="AH194" s="66">
        <v>38</v>
      </c>
      <c r="AI194" s="66">
        <v>36.4</v>
      </c>
      <c r="AJ194" s="66">
        <v>37.6</v>
      </c>
      <c r="AK194" s="66">
        <v>34.4</v>
      </c>
      <c r="AL194" s="66"/>
      <c r="AM194" s="66"/>
      <c r="AN194" s="66"/>
      <c r="AO194" s="66"/>
      <c r="AP194" s="67">
        <f t="shared" si="11"/>
        <v>27</v>
      </c>
      <c r="AQ194" s="68">
        <f t="shared" si="12"/>
        <v>36.511111111111113</v>
      </c>
      <c r="AR194" s="68">
        <f>IFERROR(VLOOKUP(A194,Climatologia_TMAX!A:U,9+$E$2,FALSE),"")</f>
        <v>33.541315599343193</v>
      </c>
      <c r="AS194" s="68">
        <f t="shared" si="13"/>
        <v>2.96979551176792</v>
      </c>
      <c r="AT194" s="74">
        <f t="shared" si="14"/>
        <v>39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-0.60000000000000142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>
        <v>35.200000000000003</v>
      </c>
      <c r="V197" s="66">
        <v>36.6</v>
      </c>
      <c r="W197" s="66">
        <v>34.799999999999997</v>
      </c>
      <c r="X197" s="66">
        <v>37.200000000000003</v>
      </c>
      <c r="Y197" s="66">
        <v>37</v>
      </c>
      <c r="Z197" s="66">
        <v>33.200000000000003</v>
      </c>
      <c r="AA197" s="66">
        <v>36.799999999999997</v>
      </c>
      <c r="AB197" s="66"/>
      <c r="AC197" s="66">
        <v>34.200000000000003</v>
      </c>
      <c r="AD197" s="66">
        <v>36.6</v>
      </c>
      <c r="AE197" s="66">
        <v>30.6</v>
      </c>
      <c r="AF197" s="66">
        <v>35.4</v>
      </c>
      <c r="AG197" s="66">
        <v>31.8</v>
      </c>
      <c r="AH197" s="66">
        <v>33.799999999999997</v>
      </c>
      <c r="AI197" s="66">
        <v>30.6</v>
      </c>
      <c r="AJ197" s="66"/>
      <c r="AK197" s="66">
        <v>35.6</v>
      </c>
      <c r="AL197" s="66"/>
      <c r="AM197" s="66"/>
      <c r="AN197" s="66"/>
      <c r="AO197" s="66"/>
      <c r="AP197" s="67">
        <f t="shared" ref="AP197:AP260" si="16">COUNTIF(K197:AO197,"&gt;0")</f>
        <v>24</v>
      </c>
      <c r="AQ197" s="68">
        <f t="shared" ref="AQ197:AQ260" si="17">IF(AP197&gt;14,AVERAGE(K197:AO197),"")</f>
        <v>35.5</v>
      </c>
      <c r="AR197" s="68">
        <f>IFERROR(VLOOKUP(A197,Climatologia_TMAX!A:U,9+$E$2,FALSE),"")</f>
        <v>32.992364601630797</v>
      </c>
      <c r="AS197" s="68">
        <f t="shared" ref="AS197:AS260" si="18">IF(OR(AQ197="",AR197=""),"",IFERROR(AQ197-AR197,""))</f>
        <v>2.507635398369203</v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>
        <v>36.4</v>
      </c>
      <c r="W199" s="66">
        <v>33.6</v>
      </c>
      <c r="X199" s="66">
        <v>36</v>
      </c>
      <c r="Y199" s="66">
        <v>35.200000000000003</v>
      </c>
      <c r="Z199" s="66">
        <v>34.799999999999997</v>
      </c>
      <c r="AA199" s="66">
        <v>36</v>
      </c>
      <c r="AB199" s="66">
        <v>37.200000000000003</v>
      </c>
      <c r="AC199" s="66">
        <v>33.200000000000003</v>
      </c>
      <c r="AD199" s="66">
        <v>36.200000000000003</v>
      </c>
      <c r="AE199" s="66">
        <v>33.6</v>
      </c>
      <c r="AF199" s="66">
        <v>35.200000000000003</v>
      </c>
      <c r="AG199" s="66">
        <v>33.4</v>
      </c>
      <c r="AH199" s="66">
        <v>35.4</v>
      </c>
      <c r="AI199" s="66">
        <v>33.4</v>
      </c>
      <c r="AJ199" s="66">
        <v>35.799999999999997</v>
      </c>
      <c r="AK199" s="66">
        <v>33.6</v>
      </c>
      <c r="AL199" s="66"/>
      <c r="AM199" s="66"/>
      <c r="AN199" s="66"/>
      <c r="AO199" s="66"/>
      <c r="AP199" s="67">
        <f t="shared" si="16"/>
        <v>27</v>
      </c>
      <c r="AQ199" s="68">
        <f t="shared" si="17"/>
        <v>35.207407407407409</v>
      </c>
      <c r="AR199" s="68">
        <f>IFERROR(VLOOKUP(A199,Climatologia_TMAX!A:U,9+$E$2,FALSE),"")</f>
        <v>32.209496897641714</v>
      </c>
      <c r="AS199" s="68">
        <f t="shared" si="18"/>
        <v>2.9979105097656955</v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>
        <v>19</v>
      </c>
      <c r="W200" s="66">
        <v>17.8</v>
      </c>
      <c r="X200" s="66">
        <v>19</v>
      </c>
      <c r="Y200" s="66">
        <v>19.2</v>
      </c>
      <c r="Z200" s="66">
        <v>18</v>
      </c>
      <c r="AA200" s="66">
        <v>19.2</v>
      </c>
      <c r="AB200" s="66">
        <v>19.399999999999999</v>
      </c>
      <c r="AC200" s="66">
        <v>19</v>
      </c>
      <c r="AD200" s="66">
        <v>19</v>
      </c>
      <c r="AE200" s="66">
        <v>19.600000000000001</v>
      </c>
      <c r="AF200" s="66">
        <v>20.6</v>
      </c>
      <c r="AG200" s="66">
        <v>21</v>
      </c>
      <c r="AH200" s="66">
        <v>19.399999999999999</v>
      </c>
      <c r="AI200" s="66">
        <v>18</v>
      </c>
      <c r="AJ200" s="66">
        <v>19</v>
      </c>
      <c r="AK200" s="66">
        <v>18</v>
      </c>
      <c r="AL200" s="66"/>
      <c r="AM200" s="66"/>
      <c r="AN200" s="66"/>
      <c r="AO200" s="66"/>
      <c r="AP200" s="67">
        <f t="shared" si="16"/>
        <v>27</v>
      </c>
      <c r="AQ200" s="68">
        <f t="shared" si="17"/>
        <v>19.00740740740741</v>
      </c>
      <c r="AR200" s="68">
        <f>IFERROR(VLOOKUP(A200,Climatologia_TMAX!A:U,9+$E$2,FALSE),"")</f>
        <v>17.974891443167309</v>
      </c>
      <c r="AS200" s="68">
        <f t="shared" si="18"/>
        <v>1.0325159642401012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-0.60000000000000142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>
        <v>22.2</v>
      </c>
      <c r="W203" s="66">
        <v>19.2</v>
      </c>
      <c r="X203" s="66">
        <v>21.8</v>
      </c>
      <c r="Y203" s="66">
        <v>19.600000000000001</v>
      </c>
      <c r="Z203" s="66">
        <v>20</v>
      </c>
      <c r="AA203" s="66">
        <v>20.6</v>
      </c>
      <c r="AB203" s="66">
        <v>18.600000000000001</v>
      </c>
      <c r="AC203" s="66">
        <v>21</v>
      </c>
      <c r="AD203" s="66">
        <v>22.6</v>
      </c>
      <c r="AE203" s="66">
        <v>22</v>
      </c>
      <c r="AF203" s="66">
        <v>22.4</v>
      </c>
      <c r="AG203" s="66">
        <v>23.6</v>
      </c>
      <c r="AH203" s="66">
        <v>22.4</v>
      </c>
      <c r="AI203" s="66">
        <v>20.6</v>
      </c>
      <c r="AJ203" s="66">
        <v>23.8</v>
      </c>
      <c r="AK203" s="66">
        <v>22.4</v>
      </c>
      <c r="AL203" s="66"/>
      <c r="AM203" s="66"/>
      <c r="AN203" s="66"/>
      <c r="AO203" s="66"/>
      <c r="AP203" s="67">
        <f t="shared" si="16"/>
        <v>27</v>
      </c>
      <c r="AQ203" s="68">
        <f t="shared" si="17"/>
        <v>20.977777777777778</v>
      </c>
      <c r="AR203" s="68">
        <f>IFERROR(VLOOKUP(A203,Climatologia_TMAX!A:U,9+$E$2,FALSE),"")</f>
        <v>20.392161330049259</v>
      </c>
      <c r="AS203" s="68">
        <f t="shared" si="18"/>
        <v>0.58561644772851906</v>
      </c>
      <c r="AT203" s="74">
        <f t="shared" si="19"/>
        <v>23.8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-0.39999999999999858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>
        <v>28.6</v>
      </c>
      <c r="W205" s="66">
        <v>26</v>
      </c>
      <c r="X205" s="66">
        <v>29</v>
      </c>
      <c r="Y205" s="66">
        <v>29</v>
      </c>
      <c r="Z205" s="66">
        <v>28.8</v>
      </c>
      <c r="AA205" s="66">
        <v>29</v>
      </c>
      <c r="AB205" s="66">
        <v>29.8</v>
      </c>
      <c r="AC205" s="66">
        <v>25</v>
      </c>
      <c r="AD205" s="66">
        <v>28.4</v>
      </c>
      <c r="AE205" s="66">
        <v>26</v>
      </c>
      <c r="AF205" s="66">
        <v>28.4</v>
      </c>
      <c r="AG205" s="66">
        <v>25.2</v>
      </c>
      <c r="AH205" s="66">
        <v>27.2</v>
      </c>
      <c r="AI205" s="66">
        <v>26.2</v>
      </c>
      <c r="AJ205" s="66">
        <v>27.2</v>
      </c>
      <c r="AK205" s="66">
        <v>26</v>
      </c>
      <c r="AL205" s="66"/>
      <c r="AM205" s="66"/>
      <c r="AN205" s="66"/>
      <c r="AO205" s="66"/>
      <c r="AP205" s="67">
        <f t="shared" si="16"/>
        <v>27</v>
      </c>
      <c r="AQ205" s="68">
        <f t="shared" si="17"/>
        <v>27.659259259259265</v>
      </c>
      <c r="AR205" s="68">
        <f>IFERROR(VLOOKUP(A205,Climatologia_TMAX!A:U,9+$E$2,FALSE),"")</f>
        <v>26.57162068965517</v>
      </c>
      <c r="AS205" s="68">
        <f t="shared" si="18"/>
        <v>1.0876385696040956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>
        <v>34.200000000000003</v>
      </c>
      <c r="W208" s="66">
        <v>32</v>
      </c>
      <c r="X208" s="66">
        <v>34.4</v>
      </c>
      <c r="Y208" s="66">
        <v>34.200000000000003</v>
      </c>
      <c r="Z208" s="66">
        <v>33.799999999999997</v>
      </c>
      <c r="AA208" s="66">
        <v>35.4</v>
      </c>
      <c r="AB208" s="66">
        <v>35</v>
      </c>
      <c r="AC208" s="66">
        <v>31.6</v>
      </c>
      <c r="AD208" s="66">
        <v>32.6</v>
      </c>
      <c r="AE208" s="66">
        <v>32</v>
      </c>
      <c r="AF208" s="66">
        <v>33.200000000000003</v>
      </c>
      <c r="AG208" s="66">
        <v>33.200000000000003</v>
      </c>
      <c r="AH208" s="66">
        <v>33.200000000000003</v>
      </c>
      <c r="AI208" s="66">
        <v>33</v>
      </c>
      <c r="AJ208" s="66">
        <v>33.200000000000003</v>
      </c>
      <c r="AK208" s="66">
        <v>32.4</v>
      </c>
      <c r="AL208" s="66"/>
      <c r="AM208" s="66"/>
      <c r="AN208" s="66"/>
      <c r="AO208" s="66"/>
      <c r="AP208" s="67">
        <f t="shared" si="16"/>
        <v>27</v>
      </c>
      <c r="AQ208" s="68">
        <f t="shared" si="17"/>
        <v>33.492592592592594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>
        <v>23.8</v>
      </c>
      <c r="W209" s="66">
        <v>23</v>
      </c>
      <c r="X209" s="66">
        <v>25</v>
      </c>
      <c r="Y209" s="66">
        <v>26.8</v>
      </c>
      <c r="Z209" s="66">
        <v>26</v>
      </c>
      <c r="AA209" s="66">
        <v>25.2</v>
      </c>
      <c r="AB209" s="66">
        <v>26.4</v>
      </c>
      <c r="AC209" s="66">
        <v>25</v>
      </c>
      <c r="AD209" s="66">
        <v>26</v>
      </c>
      <c r="AE209" s="66">
        <v>25</v>
      </c>
      <c r="AF209" s="66">
        <v>28</v>
      </c>
      <c r="AG209" s="66">
        <v>27.8</v>
      </c>
      <c r="AH209" s="66">
        <v>25.6</v>
      </c>
      <c r="AI209" s="66">
        <v>23.8</v>
      </c>
      <c r="AJ209" s="66">
        <v>25.2</v>
      </c>
      <c r="AK209" s="66">
        <v>23.6</v>
      </c>
      <c r="AL209" s="66"/>
      <c r="AM209" s="66"/>
      <c r="AN209" s="66"/>
      <c r="AO209" s="66"/>
      <c r="AP209" s="67">
        <f t="shared" si="16"/>
        <v>27</v>
      </c>
      <c r="AQ209" s="68">
        <f t="shared" si="17"/>
        <v>25</v>
      </c>
      <c r="AR209" s="68">
        <f>IFERROR(VLOOKUP(A209,Climatologia_TMAX!A:U,9+$E$2,FALSE),"")</f>
        <v>24.245733077905491</v>
      </c>
      <c r="AS209" s="68">
        <f t="shared" si="18"/>
        <v>0.75426692209450863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-1.3000000000000007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>
        <v>31.6</v>
      </c>
      <c r="W210" s="66">
        <v>28.4</v>
      </c>
      <c r="X210" s="66">
        <v>33</v>
      </c>
      <c r="Y210" s="66">
        <v>32.799999999999997</v>
      </c>
      <c r="Z210" s="66">
        <v>32</v>
      </c>
      <c r="AA210" s="66">
        <v>31.8</v>
      </c>
      <c r="AB210" s="66">
        <v>32</v>
      </c>
      <c r="AC210" s="66">
        <v>31.2</v>
      </c>
      <c r="AD210" s="66">
        <v>33.200000000000003</v>
      </c>
      <c r="AE210" s="66">
        <v>32</v>
      </c>
      <c r="AF210" s="66">
        <v>33.799999999999997</v>
      </c>
      <c r="AG210" s="66">
        <v>34</v>
      </c>
      <c r="AH210" s="66">
        <v>32.6</v>
      </c>
      <c r="AI210" s="66">
        <v>32.200000000000003</v>
      </c>
      <c r="AJ210" s="66">
        <v>32.200000000000003</v>
      </c>
      <c r="AK210" s="66">
        <v>29.6</v>
      </c>
      <c r="AL210" s="66"/>
      <c r="AM210" s="66"/>
      <c r="AN210" s="66"/>
      <c r="AO210" s="66"/>
      <c r="AP210" s="67">
        <f t="shared" si="16"/>
        <v>27</v>
      </c>
      <c r="AQ210" s="68">
        <f t="shared" si="17"/>
        <v>31.674074074074081</v>
      </c>
      <c r="AR210" s="68">
        <f>IFERROR(VLOOKUP(A210,Climatologia_TMAX!A:U,9+$E$2,FALSE),"")</f>
        <v>29.646482393723769</v>
      </c>
      <c r="AS210" s="68">
        <f t="shared" si="18"/>
        <v>2.0275916803503122</v>
      </c>
      <c r="AT210" s="74">
        <f t="shared" si="19"/>
        <v>34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-0.79999999999999716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>
        <v>32</v>
      </c>
      <c r="W214" s="66">
        <v>29.4</v>
      </c>
      <c r="X214" s="66">
        <v>31.4</v>
      </c>
      <c r="Y214" s="66">
        <v>30.6</v>
      </c>
      <c r="Z214" s="66">
        <v>30.2</v>
      </c>
      <c r="AA214" s="66">
        <v>30</v>
      </c>
      <c r="AB214" s="66">
        <v>31.2</v>
      </c>
      <c r="AC214" s="66">
        <v>31.6</v>
      </c>
      <c r="AD214" s="66">
        <v>30.8</v>
      </c>
      <c r="AE214" s="66">
        <v>31.2</v>
      </c>
      <c r="AF214" s="66">
        <v>33</v>
      </c>
      <c r="AG214" s="66">
        <v>33.4</v>
      </c>
      <c r="AH214" s="66">
        <v>25</v>
      </c>
      <c r="AI214" s="66">
        <v>30</v>
      </c>
      <c r="AJ214" s="66">
        <v>32.4</v>
      </c>
      <c r="AK214" s="66">
        <v>32.799999999999997</v>
      </c>
      <c r="AL214" s="66"/>
      <c r="AM214" s="66"/>
      <c r="AN214" s="66"/>
      <c r="AO214" s="66"/>
      <c r="AP214" s="67">
        <f t="shared" si="16"/>
        <v>27</v>
      </c>
      <c r="AQ214" s="68">
        <f t="shared" si="17"/>
        <v>30.585185185185182</v>
      </c>
      <c r="AR214" s="68">
        <f>IFERROR(VLOOKUP(A214,Climatologia_TMAX!A:U,9+$E$2,FALSE),"")</f>
        <v>29.972884729064042</v>
      </c>
      <c r="AS214" s="68">
        <f t="shared" si="18"/>
        <v>0.61230045612114026</v>
      </c>
      <c r="AT214" s="74">
        <f t="shared" si="19"/>
        <v>33.4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-1.6000000000000014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>
        <v>28</v>
      </c>
      <c r="W216" s="66">
        <v>27.8</v>
      </c>
      <c r="X216" s="66">
        <v>28.8</v>
      </c>
      <c r="Y216" s="66">
        <v>28.2</v>
      </c>
      <c r="Z216" s="66">
        <v>27.6</v>
      </c>
      <c r="AA216" s="66">
        <v>30.2</v>
      </c>
      <c r="AB216" s="66"/>
      <c r="AC216" s="66">
        <v>29.4</v>
      </c>
      <c r="AD216" s="66">
        <v>27.4</v>
      </c>
      <c r="AE216" s="66">
        <v>27.4</v>
      </c>
      <c r="AF216" s="66">
        <v>27.4</v>
      </c>
      <c r="AG216" s="66"/>
      <c r="AH216" s="66"/>
      <c r="AI216" s="66"/>
      <c r="AJ216" s="66"/>
      <c r="AK216" s="66">
        <v>26.4</v>
      </c>
      <c r="AL216" s="66"/>
      <c r="AM216" s="66"/>
      <c r="AN216" s="66"/>
      <c r="AO216" s="66"/>
      <c r="AP216" s="67">
        <f t="shared" si="16"/>
        <v>22</v>
      </c>
      <c r="AQ216" s="68">
        <f t="shared" si="17"/>
        <v>27.736363636363635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30.2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>
        <v>27.4</v>
      </c>
      <c r="W217" s="66">
        <v>27.2</v>
      </c>
      <c r="X217" s="66">
        <v>27.2</v>
      </c>
      <c r="Y217" s="66">
        <v>27.6</v>
      </c>
      <c r="Z217" s="66">
        <v>27.6</v>
      </c>
      <c r="AA217" s="66">
        <v>28.4</v>
      </c>
      <c r="AB217" s="66">
        <v>28.4</v>
      </c>
      <c r="AC217" s="66">
        <v>28.4</v>
      </c>
      <c r="AD217" s="66">
        <v>28.4</v>
      </c>
      <c r="AE217" s="66">
        <v>23.8</v>
      </c>
      <c r="AF217" s="66">
        <v>26</v>
      </c>
      <c r="AG217" s="66">
        <v>26.4</v>
      </c>
      <c r="AH217" s="66">
        <v>26.6</v>
      </c>
      <c r="AI217" s="66">
        <v>26.6</v>
      </c>
      <c r="AJ217" s="66">
        <v>25</v>
      </c>
      <c r="AK217" s="66">
        <v>26.6</v>
      </c>
      <c r="AL217" s="66"/>
      <c r="AM217" s="66"/>
      <c r="AN217" s="66"/>
      <c r="AO217" s="66"/>
      <c r="AP217" s="67">
        <f t="shared" si="16"/>
        <v>27</v>
      </c>
      <c r="AQ217" s="68">
        <f t="shared" si="17"/>
        <v>26.807407407407407</v>
      </c>
      <c r="AR217" s="68">
        <f>IFERROR(VLOOKUP(A217,Climatologia_TMAX!A:U,9+$E$2,FALSE),"")</f>
        <v>23.75456916901744</v>
      </c>
      <c r="AS217" s="68">
        <f t="shared" si="18"/>
        <v>3.0528382383899668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0.59999999999999787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>
        <v>24.2</v>
      </c>
      <c r="W222" s="66">
        <v>24.4</v>
      </c>
      <c r="X222" s="66">
        <v>24</v>
      </c>
      <c r="Y222" s="66">
        <v>24</v>
      </c>
      <c r="Z222" s="66">
        <v>24</v>
      </c>
      <c r="AA222" s="109">
        <v>28.6</v>
      </c>
      <c r="AB222" s="66">
        <v>25</v>
      </c>
      <c r="AC222" s="66">
        <v>24.4</v>
      </c>
      <c r="AD222" s="66">
        <v>24</v>
      </c>
      <c r="AE222" s="66">
        <v>24.4</v>
      </c>
      <c r="AF222" s="66">
        <v>24</v>
      </c>
      <c r="AG222" s="66">
        <v>23</v>
      </c>
      <c r="AH222" s="66">
        <v>23</v>
      </c>
      <c r="AI222" s="66">
        <v>23</v>
      </c>
      <c r="AJ222" s="66">
        <v>22.4</v>
      </c>
      <c r="AK222" s="66">
        <v>21</v>
      </c>
      <c r="AL222" s="66"/>
      <c r="AM222" s="66"/>
      <c r="AN222" s="66"/>
      <c r="AO222" s="66"/>
      <c r="AP222" s="67">
        <f t="shared" si="16"/>
        <v>27</v>
      </c>
      <c r="AQ222" s="68">
        <f t="shared" si="17"/>
        <v>24.007407407407406</v>
      </c>
      <c r="AR222" s="68">
        <f>IFERROR(VLOOKUP(A222,Climatologia_TMAX!A:U,9+$E$2,FALSE),"")</f>
        <v>22.364222333277809</v>
      </c>
      <c r="AS222" s="68">
        <f t="shared" si="18"/>
        <v>1.6431850741295975</v>
      </c>
      <c r="AT222" s="74">
        <f t="shared" si="19"/>
        <v>28.6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>
        <v>30</v>
      </c>
      <c r="V224" s="66">
        <v>34.200000000000003</v>
      </c>
      <c r="W224" s="66">
        <v>33.200000000000003</v>
      </c>
      <c r="X224" s="66">
        <v>32.4</v>
      </c>
      <c r="Y224" s="66">
        <v>34</v>
      </c>
      <c r="Z224" s="66">
        <v>33</v>
      </c>
      <c r="AA224" s="66">
        <v>35</v>
      </c>
      <c r="AB224" s="66">
        <v>34.799999999999997</v>
      </c>
      <c r="AC224" s="66">
        <v>34.4</v>
      </c>
      <c r="AD224" s="66">
        <v>31.4</v>
      </c>
      <c r="AE224" s="66">
        <v>33.6</v>
      </c>
      <c r="AF224" s="66">
        <v>32.200000000000003</v>
      </c>
      <c r="AG224" s="66">
        <v>32.4</v>
      </c>
      <c r="AH224" s="66">
        <v>31.4</v>
      </c>
      <c r="AI224" s="66">
        <v>32.799999999999997</v>
      </c>
      <c r="AJ224" s="66">
        <v>28.8</v>
      </c>
      <c r="AK224" s="66">
        <v>28.8</v>
      </c>
      <c r="AL224" s="66"/>
      <c r="AM224" s="66"/>
      <c r="AN224" s="66"/>
      <c r="AO224" s="66"/>
      <c r="AP224" s="67">
        <f t="shared" si="16"/>
        <v>27</v>
      </c>
      <c r="AQ224" s="68">
        <f t="shared" si="17"/>
        <v>32.944444444444429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>
        <v>33.200000000000003</v>
      </c>
      <c r="X229" s="66">
        <v>31.8</v>
      </c>
      <c r="Y229" s="66">
        <v>32.200000000000003</v>
      </c>
      <c r="Z229" s="66">
        <v>34.4</v>
      </c>
      <c r="AA229" s="66">
        <v>35.200000000000003</v>
      </c>
      <c r="AB229" s="66">
        <v>33.4</v>
      </c>
      <c r="AC229" s="109">
        <v>31.2</v>
      </c>
      <c r="AD229" s="66">
        <v>32.6</v>
      </c>
      <c r="AE229" s="66">
        <v>33.4</v>
      </c>
      <c r="AF229" s="66">
        <v>31.8</v>
      </c>
      <c r="AG229" s="66">
        <v>34.200000000000003</v>
      </c>
      <c r="AH229" s="66">
        <v>32.4</v>
      </c>
      <c r="AI229" s="66">
        <v>30.2</v>
      </c>
      <c r="AJ229" s="66">
        <v>29.8</v>
      </c>
      <c r="AK229" s="66">
        <v>28.6</v>
      </c>
      <c r="AL229" s="66"/>
      <c r="AM229" s="66"/>
      <c r="AN229" s="66"/>
      <c r="AO229" s="66"/>
      <c r="AP229" s="67">
        <f t="shared" si="16"/>
        <v>16</v>
      </c>
      <c r="AQ229" s="68">
        <f t="shared" si="17"/>
        <v>32.112499999999997</v>
      </c>
      <c r="AR229" s="68">
        <f>IFERROR(VLOOKUP(A229,Climatologia_TMAX!A:U,9+$E$2,FALSE),"")</f>
        <v>30.62928735632185</v>
      </c>
      <c r="AS229" s="68">
        <f t="shared" si="18"/>
        <v>1.4832126436781472</v>
      </c>
      <c r="AT229" s="74">
        <f t="shared" si="19"/>
        <v>35.200000000000003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-1.7999999999999972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>
        <v>32.6</v>
      </c>
      <c r="W231" s="66">
        <v>33.6</v>
      </c>
      <c r="X231" s="66">
        <v>32.6</v>
      </c>
      <c r="Y231" s="66">
        <v>34</v>
      </c>
      <c r="Z231" s="66">
        <v>33.4</v>
      </c>
      <c r="AA231" s="109">
        <v>34.799999999999997</v>
      </c>
      <c r="AB231" s="66">
        <v>33.6</v>
      </c>
      <c r="AC231" s="66">
        <v>32.799999999999997</v>
      </c>
      <c r="AD231" s="66">
        <v>31.6</v>
      </c>
      <c r="AE231" s="66">
        <v>33.6</v>
      </c>
      <c r="AF231" s="66">
        <v>31.2</v>
      </c>
      <c r="AG231" s="66">
        <v>33.799999999999997</v>
      </c>
      <c r="AH231" s="66">
        <v>29.6</v>
      </c>
      <c r="AI231" s="66">
        <v>31.6</v>
      </c>
      <c r="AJ231" s="66">
        <v>32.799999999999997</v>
      </c>
      <c r="AK231" s="66">
        <v>29.4</v>
      </c>
      <c r="AL231" s="66"/>
      <c r="AM231" s="66"/>
      <c r="AN231" s="66"/>
      <c r="AO231" s="66"/>
      <c r="AP231" s="67">
        <f t="shared" si="16"/>
        <v>27</v>
      </c>
      <c r="AQ231" s="68">
        <f t="shared" si="17"/>
        <v>32.68888888888889</v>
      </c>
      <c r="AR231" s="68">
        <f>IFERROR(VLOOKUP(A231,Climatologia_TMAX!A:U,9+$E$2,FALSE),"")</f>
        <v>30.222298052824382</v>
      </c>
      <c r="AS231" s="68">
        <f t="shared" si="18"/>
        <v>2.4665908360645084</v>
      </c>
      <c r="AT231" s="74">
        <f t="shared" si="19"/>
        <v>34.799999999999997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0.59999999999999432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>
        <v>34.200000000000003</v>
      </c>
      <c r="W235" s="66">
        <v>33.200000000000003</v>
      </c>
      <c r="X235" s="66">
        <v>34</v>
      </c>
      <c r="Y235" s="66">
        <v>34</v>
      </c>
      <c r="Z235" s="66">
        <v>33</v>
      </c>
      <c r="AA235" s="109">
        <v>36.200000000000003</v>
      </c>
      <c r="AB235" s="66">
        <v>35</v>
      </c>
      <c r="AC235" s="66">
        <v>34.799999999999997</v>
      </c>
      <c r="AD235" s="66">
        <v>32</v>
      </c>
      <c r="AE235" s="66">
        <v>34.4</v>
      </c>
      <c r="AF235" s="66">
        <v>32.200000000000003</v>
      </c>
      <c r="AG235" s="66">
        <v>32.4</v>
      </c>
      <c r="AH235" s="66">
        <v>32.4</v>
      </c>
      <c r="AI235" s="66">
        <v>32.4</v>
      </c>
      <c r="AJ235" s="66">
        <v>30.6</v>
      </c>
      <c r="AK235" s="66">
        <v>29</v>
      </c>
      <c r="AL235" s="66"/>
      <c r="AM235" s="66"/>
      <c r="AN235" s="66"/>
      <c r="AO235" s="66"/>
      <c r="AP235" s="67">
        <f t="shared" si="16"/>
        <v>27</v>
      </c>
      <c r="AQ235" s="68">
        <f t="shared" si="17"/>
        <v>32.874074074074073</v>
      </c>
      <c r="AR235" s="68">
        <f>IFERROR(VLOOKUP(A235,Climatologia_TMAX!A:U,9+$E$2,FALSE),"")</f>
        <v>30.25025408348457</v>
      </c>
      <c r="AS235" s="68">
        <f t="shared" si="18"/>
        <v>2.623819990589503</v>
      </c>
      <c r="AT235" s="74">
        <f t="shared" si="19"/>
        <v>36.200000000000003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1.1000000000000014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>
        <v>32.4</v>
      </c>
      <c r="P238" s="66">
        <v>31.6</v>
      </c>
      <c r="Q238" s="66">
        <v>30.4</v>
      </c>
      <c r="R238" s="66">
        <v>31.4</v>
      </c>
      <c r="S238" s="66">
        <v>32.4</v>
      </c>
      <c r="T238" s="66">
        <v>32.4</v>
      </c>
      <c r="U238" s="66">
        <v>30.2</v>
      </c>
      <c r="V238" s="66">
        <v>31.2</v>
      </c>
      <c r="W238" s="66">
        <v>32.4</v>
      </c>
      <c r="X238" s="66">
        <v>31.2</v>
      </c>
      <c r="Y238" s="66">
        <v>31.2</v>
      </c>
      <c r="Z238" s="66">
        <v>30.6</v>
      </c>
      <c r="AA238" s="66">
        <v>31.6</v>
      </c>
      <c r="AB238" s="66">
        <v>29.4</v>
      </c>
      <c r="AC238" s="66">
        <v>31.6</v>
      </c>
      <c r="AD238" s="66">
        <v>30.2</v>
      </c>
      <c r="AE238" s="66">
        <v>31.4</v>
      </c>
      <c r="AF238" s="66">
        <v>30.4</v>
      </c>
      <c r="AG238" s="66">
        <v>31.4</v>
      </c>
      <c r="AH238" s="66"/>
      <c r="AI238" s="66">
        <v>29.2</v>
      </c>
      <c r="AJ238" s="66"/>
      <c r="AK238" s="66"/>
      <c r="AL238" s="66"/>
      <c r="AM238" s="66"/>
      <c r="AN238" s="66"/>
      <c r="AO238" s="66"/>
      <c r="AP238" s="67">
        <f t="shared" si="16"/>
        <v>24</v>
      </c>
      <c r="AQ238" s="68">
        <f t="shared" si="17"/>
        <v>31.116666666666664</v>
      </c>
      <c r="AR238" s="68">
        <f>IFERROR(VLOOKUP(A238,Climatologia_TMAX!A:U,9+$E$2,FALSE),"")</f>
        <v>30.51577690763898</v>
      </c>
      <c r="AS238" s="68">
        <f t="shared" si="18"/>
        <v>0.60088975902768382</v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>
        <v>29.2</v>
      </c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>
        <v>30</v>
      </c>
      <c r="W244" s="66">
        <v>30</v>
      </c>
      <c r="X244" s="66">
        <v>32</v>
      </c>
      <c r="Y244" s="66">
        <v>32</v>
      </c>
      <c r="Z244" s="66">
        <v>28.2</v>
      </c>
      <c r="AA244" s="66">
        <v>30</v>
      </c>
      <c r="AB244" s="66">
        <v>30.2</v>
      </c>
      <c r="AC244" s="66">
        <v>31</v>
      </c>
      <c r="AD244" s="66">
        <v>29</v>
      </c>
      <c r="AE244" s="66">
        <v>28.2</v>
      </c>
      <c r="AF244" s="66">
        <v>25</v>
      </c>
      <c r="AG244" s="66">
        <v>26.4</v>
      </c>
      <c r="AH244" s="66">
        <v>25</v>
      </c>
      <c r="AI244" s="66">
        <v>24</v>
      </c>
      <c r="AJ244" s="66">
        <v>24</v>
      </c>
      <c r="AK244" s="66">
        <v>24.2</v>
      </c>
      <c r="AL244" s="66"/>
      <c r="AM244" s="66"/>
      <c r="AN244" s="66"/>
      <c r="AO244" s="66"/>
      <c r="AP244" s="67">
        <f t="shared" si="16"/>
        <v>26</v>
      </c>
      <c r="AQ244" s="68">
        <f t="shared" si="17"/>
        <v>28.492307692307694</v>
      </c>
      <c r="AR244" s="68">
        <f>IFERROR(VLOOKUP(A244,Climatologia_TMAX!A:U,9+$E$2,FALSE),"")</f>
        <v>25.891908045977011</v>
      </c>
      <c r="AS244" s="68">
        <f t="shared" si="18"/>
        <v>2.6003996463306827</v>
      </c>
      <c r="AT244" s="74">
        <f t="shared" si="19"/>
        <v>32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0.19999999999999929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>
        <v>34.6</v>
      </c>
      <c r="W246" s="66">
        <v>34.200000000000003</v>
      </c>
      <c r="X246" s="66">
        <v>35.4</v>
      </c>
      <c r="Y246" s="66">
        <v>35.200000000000003</v>
      </c>
      <c r="Z246" s="66">
        <v>31.6</v>
      </c>
      <c r="AA246" s="66">
        <v>35.6</v>
      </c>
      <c r="AB246" s="66"/>
      <c r="AC246" s="66">
        <v>32.4</v>
      </c>
      <c r="AD246" s="66">
        <v>34.6</v>
      </c>
      <c r="AE246" s="66">
        <v>29.8</v>
      </c>
      <c r="AF246" s="66">
        <v>35</v>
      </c>
      <c r="AG246" s="66">
        <v>31</v>
      </c>
      <c r="AH246" s="66">
        <v>33.6</v>
      </c>
      <c r="AI246" s="66">
        <v>29.6</v>
      </c>
      <c r="AJ246" s="66">
        <v>31.6</v>
      </c>
      <c r="AK246" s="66">
        <v>28</v>
      </c>
      <c r="AL246" s="66"/>
      <c r="AM246" s="66"/>
      <c r="AN246" s="66"/>
      <c r="AO246" s="66"/>
      <c r="AP246" s="67">
        <f t="shared" si="16"/>
        <v>25</v>
      </c>
      <c r="AQ246" s="68">
        <f t="shared" si="17"/>
        <v>33.200000000000003</v>
      </c>
      <c r="AR246" s="68">
        <f>IFERROR(VLOOKUP(A246,Climatologia_TMAX!A:U,9+$E$2,FALSE),"")</f>
        <v>29.700592680671161</v>
      </c>
      <c r="AS246" s="68">
        <f t="shared" si="18"/>
        <v>3.4994073193288422</v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>
        <v>39.200000000000003</v>
      </c>
      <c r="W247" s="66">
        <v>38.200000000000003</v>
      </c>
      <c r="X247" s="66">
        <v>39.200000000000003</v>
      </c>
      <c r="Y247" s="66">
        <v>39.6</v>
      </c>
      <c r="Z247" s="66">
        <v>36.4</v>
      </c>
      <c r="AA247" s="66">
        <v>39.200000000000003</v>
      </c>
      <c r="AB247" s="66">
        <v>41</v>
      </c>
      <c r="AC247" s="66">
        <v>39.200000000000003</v>
      </c>
      <c r="AD247" s="66">
        <v>39.799999999999997</v>
      </c>
      <c r="AE247" s="66">
        <v>39.200000000000003</v>
      </c>
      <c r="AF247" s="66">
        <v>40.6</v>
      </c>
      <c r="AG247" s="66">
        <v>37.6</v>
      </c>
      <c r="AH247" s="66">
        <v>36.6</v>
      </c>
      <c r="AI247" s="66">
        <v>29.2</v>
      </c>
      <c r="AJ247" s="66">
        <v>33.799999999999997</v>
      </c>
      <c r="AK247" s="66"/>
      <c r="AL247" s="66"/>
      <c r="AM247" s="66"/>
      <c r="AN247" s="66"/>
      <c r="AO247" s="66"/>
      <c r="AP247" s="67">
        <f t="shared" si="16"/>
        <v>26</v>
      </c>
      <c r="AQ247" s="68">
        <f t="shared" si="17"/>
        <v>37.761538461538464</v>
      </c>
      <c r="AR247" s="68">
        <f>IFERROR(VLOOKUP(A247,Climatologia_TMAX!A:U,9+$E$2,FALSE),"")</f>
        <v>35.267343185550082</v>
      </c>
      <c r="AS247" s="68">
        <f t="shared" si="18"/>
        <v>2.4941952759883819</v>
      </c>
      <c r="AT247" s="74">
        <f t="shared" si="19"/>
        <v>41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>
        <v>39.6</v>
      </c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>
        <v>38.6</v>
      </c>
      <c r="W248" s="66">
        <v>37.6</v>
      </c>
      <c r="X248" s="66">
        <v>39</v>
      </c>
      <c r="Y248" s="66">
        <v>37.6</v>
      </c>
      <c r="Z248" s="66">
        <v>36.4</v>
      </c>
      <c r="AA248" s="66">
        <v>39.200000000000003</v>
      </c>
      <c r="AB248" s="66">
        <v>39.6</v>
      </c>
      <c r="AC248" s="66">
        <v>37.6</v>
      </c>
      <c r="AD248" s="66">
        <v>38</v>
      </c>
      <c r="AE248" s="66">
        <v>37.6</v>
      </c>
      <c r="AF248" s="66">
        <v>38.4</v>
      </c>
      <c r="AG248" s="66">
        <v>37.4</v>
      </c>
      <c r="AH248" s="66">
        <v>37.799999999999997</v>
      </c>
      <c r="AI248" s="66">
        <v>33.4</v>
      </c>
      <c r="AJ248" s="66">
        <v>36.4</v>
      </c>
      <c r="AK248" s="66">
        <v>36.799999999999997</v>
      </c>
      <c r="AL248" s="66"/>
      <c r="AM248" s="66"/>
      <c r="AN248" s="66"/>
      <c r="AO248" s="66"/>
      <c r="AP248" s="67">
        <f t="shared" si="16"/>
        <v>27</v>
      </c>
      <c r="AQ248" s="68">
        <f t="shared" si="17"/>
        <v>37.540740740740745</v>
      </c>
      <c r="AR248" s="68">
        <f>IFERROR(VLOOKUP(A248,Climatologia_TMAX!A:U,9+$E$2,FALSE),"")</f>
        <v>33.731045299345787</v>
      </c>
      <c r="AS248" s="68">
        <f t="shared" si="18"/>
        <v>3.8096954413949575</v>
      </c>
      <c r="AT248" s="74">
        <f t="shared" si="19"/>
        <v>39.6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>
        <v>32.6</v>
      </c>
      <c r="W249" s="106">
        <v>31.4</v>
      </c>
      <c r="X249" s="66">
        <v>31</v>
      </c>
      <c r="Y249" s="106">
        <v>31.8</v>
      </c>
      <c r="Z249" s="66">
        <v>30.4</v>
      </c>
      <c r="AA249" s="66">
        <v>35.6</v>
      </c>
      <c r="AB249" s="66">
        <v>33.4</v>
      </c>
      <c r="AC249" s="66">
        <v>32.799999999999997</v>
      </c>
      <c r="AD249" s="66">
        <v>31.6</v>
      </c>
      <c r="AE249" s="66">
        <v>32.799999999999997</v>
      </c>
      <c r="AF249" s="66">
        <v>34.200000000000003</v>
      </c>
      <c r="AG249" s="66">
        <v>32.200000000000003</v>
      </c>
      <c r="AH249" s="66">
        <v>32.799999999999997</v>
      </c>
      <c r="AI249" s="66">
        <v>31.6</v>
      </c>
      <c r="AJ249" s="66">
        <v>32.4</v>
      </c>
      <c r="AK249" s="66">
        <v>30.2</v>
      </c>
      <c r="AL249" s="66"/>
      <c r="AM249" s="66"/>
      <c r="AN249" s="66"/>
      <c r="AO249" s="66"/>
      <c r="AP249" s="67">
        <f t="shared" si="16"/>
        <v>27</v>
      </c>
      <c r="AQ249" s="68">
        <f t="shared" si="17"/>
        <v>32.177777777777777</v>
      </c>
      <c r="AR249" s="68">
        <f>IFERROR(VLOOKUP(A249,Climatologia_TMAX!A:U,9+$E$2,FALSE),"")</f>
        <v>31.849166666666662</v>
      </c>
      <c r="AS249" s="68">
        <f t="shared" si="18"/>
        <v>0.32861111111111541</v>
      </c>
      <c r="AT249" s="74">
        <f t="shared" si="19"/>
        <v>35.6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-1.3999999999999986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>
        <v>39.6</v>
      </c>
      <c r="W250" s="66">
        <v>38.4</v>
      </c>
      <c r="X250" s="66">
        <v>40.4</v>
      </c>
      <c r="Y250" s="66">
        <v>40</v>
      </c>
      <c r="Z250" s="66">
        <v>38</v>
      </c>
      <c r="AA250" s="66">
        <v>41.4</v>
      </c>
      <c r="AB250" s="66">
        <v>41.4</v>
      </c>
      <c r="AC250" s="66">
        <v>39.6</v>
      </c>
      <c r="AD250" s="66">
        <v>39.4</v>
      </c>
      <c r="AE250" s="66">
        <v>39</v>
      </c>
      <c r="AF250" s="66">
        <v>40.6</v>
      </c>
      <c r="AG250" s="66">
        <v>39.4</v>
      </c>
      <c r="AH250" s="66">
        <v>40</v>
      </c>
      <c r="AI250" s="66">
        <v>36.4</v>
      </c>
      <c r="AJ250" s="66">
        <v>33.200000000000003</v>
      </c>
      <c r="AK250" s="66">
        <v>35.6</v>
      </c>
      <c r="AL250" s="66"/>
      <c r="AM250" s="66"/>
      <c r="AN250" s="66"/>
      <c r="AO250" s="66"/>
      <c r="AP250" s="67">
        <f t="shared" si="16"/>
        <v>25</v>
      </c>
      <c r="AQ250" s="68">
        <f t="shared" si="17"/>
        <v>38.768000000000001</v>
      </c>
      <c r="AR250" s="68">
        <f>IFERROR(VLOOKUP(A250,Climatologia_TMAX!A:U,9+$E$2,FALSE),"")</f>
        <v>35.703584328231692</v>
      </c>
      <c r="AS250" s="68">
        <f t="shared" si="18"/>
        <v>3.0644156717683089</v>
      </c>
      <c r="AT250" s="74">
        <f t="shared" si="19"/>
        <v>41.4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-0.39999999999999858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>
        <v>40</v>
      </c>
      <c r="W252" s="66">
        <v>39.799999999999997</v>
      </c>
      <c r="X252" s="66">
        <v>40.200000000000003</v>
      </c>
      <c r="Y252" s="66">
        <v>41</v>
      </c>
      <c r="Z252" s="66">
        <v>40.6</v>
      </c>
      <c r="AA252" s="66">
        <v>41.4</v>
      </c>
      <c r="AB252" s="66">
        <v>41.4</v>
      </c>
      <c r="AC252" s="66">
        <v>42</v>
      </c>
      <c r="AD252" s="66">
        <v>42.4</v>
      </c>
      <c r="AE252" s="66">
        <v>40</v>
      </c>
      <c r="AF252" s="106">
        <v>39.4</v>
      </c>
      <c r="AG252" s="66">
        <v>36.4</v>
      </c>
      <c r="AH252" s="66">
        <v>37.6</v>
      </c>
      <c r="AI252" s="66">
        <v>36.4</v>
      </c>
      <c r="AJ252" s="66">
        <v>37.200000000000003</v>
      </c>
      <c r="AK252" s="66">
        <v>38.6</v>
      </c>
      <c r="AL252" s="66"/>
      <c r="AM252" s="66"/>
      <c r="AN252" s="66"/>
      <c r="AO252" s="66"/>
      <c r="AP252" s="67">
        <f t="shared" si="16"/>
        <v>27</v>
      </c>
      <c r="AQ252" s="68">
        <f t="shared" si="17"/>
        <v>39.325925925925922</v>
      </c>
      <c r="AR252" s="68">
        <f>IFERROR(VLOOKUP(A252,Climatologia_TMAX!A:U,9+$E$2,FALSE),"")</f>
        <v>34.670477410573667</v>
      </c>
      <c r="AS252" s="68">
        <f t="shared" si="18"/>
        <v>4.6554485153522549</v>
      </c>
      <c r="AT252" s="74">
        <f t="shared" si="19"/>
        <v>42.4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0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>
        <v>37.799999999999997</v>
      </c>
      <c r="W255" s="66">
        <v>35</v>
      </c>
      <c r="X255" s="66">
        <v>38.200000000000003</v>
      </c>
      <c r="Y255" s="66">
        <v>37.200000000000003</v>
      </c>
      <c r="Z255" s="66">
        <v>34.4</v>
      </c>
      <c r="AA255" s="66">
        <v>38.799999999999997</v>
      </c>
      <c r="AB255" s="66">
        <v>37.200000000000003</v>
      </c>
      <c r="AC255" s="66">
        <v>38</v>
      </c>
      <c r="AD255" s="66">
        <v>36.4</v>
      </c>
      <c r="AE255" s="66">
        <v>39.4</v>
      </c>
      <c r="AF255" s="66">
        <v>37</v>
      </c>
      <c r="AG255" s="66">
        <v>37.4</v>
      </c>
      <c r="AH255" s="66">
        <v>37.200000000000003</v>
      </c>
      <c r="AI255" s="66">
        <v>36.6</v>
      </c>
      <c r="AJ255" s="66">
        <v>32.6</v>
      </c>
      <c r="AK255" s="66"/>
      <c r="AL255" s="66"/>
      <c r="AM255" s="66"/>
      <c r="AN255" s="66"/>
      <c r="AO255" s="66"/>
      <c r="AP255" s="67">
        <f t="shared" si="16"/>
        <v>26</v>
      </c>
      <c r="AQ255" s="68">
        <f t="shared" si="17"/>
        <v>36.976923076923079</v>
      </c>
      <c r="AR255" s="68">
        <f>IFERROR(VLOOKUP(A255,Climatologia_TMAX!A:U,9+$E$2,FALSE),"")</f>
        <v>33.242094712934822</v>
      </c>
      <c r="AS255" s="68">
        <f t="shared" si="18"/>
        <v>3.7348283639882567</v>
      </c>
      <c r="AT255" s="74">
        <f t="shared" si="19"/>
        <v>39.4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-0.39999999999999858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>
        <v>26.4</v>
      </c>
      <c r="W258" s="66">
        <v>26.8</v>
      </c>
      <c r="X258" s="66">
        <v>27.4</v>
      </c>
      <c r="Y258" s="66">
        <v>26.2</v>
      </c>
      <c r="Z258" s="66">
        <v>23.6</v>
      </c>
      <c r="AA258" s="66">
        <v>27.8</v>
      </c>
      <c r="AB258" s="66">
        <v>27.6</v>
      </c>
      <c r="AC258" s="66">
        <v>25.4</v>
      </c>
      <c r="AD258" s="66">
        <v>25.8</v>
      </c>
      <c r="AE258" s="66">
        <v>22.8</v>
      </c>
      <c r="AF258" s="66">
        <v>26.2</v>
      </c>
      <c r="AG258" s="66">
        <v>23.4</v>
      </c>
      <c r="AH258" s="66">
        <v>25.4</v>
      </c>
      <c r="AI258" s="66">
        <v>22.2</v>
      </c>
      <c r="AJ258" s="66">
        <v>23</v>
      </c>
      <c r="AK258" s="66">
        <v>21.6</v>
      </c>
      <c r="AL258" s="66"/>
      <c r="AM258" s="66"/>
      <c r="AN258" s="66"/>
      <c r="AO258" s="66"/>
      <c r="AP258" s="67">
        <f t="shared" si="16"/>
        <v>27</v>
      </c>
      <c r="AQ258" s="68">
        <f t="shared" si="17"/>
        <v>25.414814814814811</v>
      </c>
      <c r="AR258" s="68">
        <f>IFERROR(VLOOKUP(A258,Climatologia_TMAX!A:U,9+$E$2,FALSE),"")</f>
        <v>22.819631675276192</v>
      </c>
      <c r="AS258" s="68">
        <f t="shared" si="18"/>
        <v>2.5951831395386193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>
        <v>28.4</v>
      </c>
      <c r="W259" s="66">
        <v>27.6</v>
      </c>
      <c r="X259" s="66">
        <v>29.8</v>
      </c>
      <c r="Y259" s="66">
        <v>28.6</v>
      </c>
      <c r="Z259" s="66">
        <v>27.8</v>
      </c>
      <c r="AA259" s="66">
        <v>29.4</v>
      </c>
      <c r="AB259" s="66">
        <v>28.4</v>
      </c>
      <c r="AC259" s="66">
        <v>28.8</v>
      </c>
      <c r="AD259" s="66">
        <v>29</v>
      </c>
      <c r="AE259" s="66">
        <v>30.8</v>
      </c>
      <c r="AF259" s="66">
        <v>29</v>
      </c>
      <c r="AG259" s="66">
        <v>29</v>
      </c>
      <c r="AH259" s="66">
        <v>29.2</v>
      </c>
      <c r="AI259" s="66">
        <v>27</v>
      </c>
      <c r="AJ259" s="66">
        <v>26</v>
      </c>
      <c r="AK259" s="66"/>
      <c r="AL259" s="66"/>
      <c r="AM259" s="66"/>
      <c r="AN259" s="66"/>
      <c r="AO259" s="66"/>
      <c r="AP259" s="67">
        <f t="shared" si="16"/>
        <v>26</v>
      </c>
      <c r="AQ259" s="68">
        <f t="shared" si="17"/>
        <v>28.138461538461534</v>
      </c>
      <c r="AR259" s="68">
        <f>IFERROR(VLOOKUP(A259,Climatologia_TMAX!A:U,9+$E$2,FALSE),"")</f>
        <v>27.28826717088787</v>
      </c>
      <c r="AS259" s="68">
        <f t="shared" si="18"/>
        <v>0.85019436757366407</v>
      </c>
      <c r="AT259" s="74">
        <f t="shared" si="19"/>
        <v>30.8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-1.4000000000000021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>
        <v>22.6</v>
      </c>
      <c r="W260" s="109">
        <v>21</v>
      </c>
      <c r="X260" s="66">
        <v>24</v>
      </c>
      <c r="Y260" s="66">
        <v>22</v>
      </c>
      <c r="Z260" s="66">
        <v>22</v>
      </c>
      <c r="AA260" s="66">
        <v>23.4</v>
      </c>
      <c r="AB260" s="66">
        <v>24</v>
      </c>
      <c r="AC260" s="66">
        <v>22</v>
      </c>
      <c r="AD260" s="66">
        <v>23</v>
      </c>
      <c r="AE260" s="66">
        <v>22</v>
      </c>
      <c r="AF260" s="66">
        <v>20.8</v>
      </c>
      <c r="AG260" s="66">
        <v>21.4</v>
      </c>
      <c r="AH260" s="66">
        <v>20.8</v>
      </c>
      <c r="AI260" s="66">
        <v>19.8</v>
      </c>
      <c r="AJ260" s="66">
        <v>20.6</v>
      </c>
      <c r="AK260" s="66">
        <v>20.6</v>
      </c>
      <c r="AL260" s="66"/>
      <c r="AM260" s="66"/>
      <c r="AN260" s="66"/>
      <c r="AO260" s="66"/>
      <c r="AP260" s="67">
        <f t="shared" si="16"/>
        <v>27</v>
      </c>
      <c r="AQ260" s="68">
        <f t="shared" si="17"/>
        <v>22.007407407407406</v>
      </c>
      <c r="AR260" s="68">
        <f>IFERROR(VLOOKUP(A260,Climatologia_TMAX!A:U,9+$E$2,FALSE),"")</f>
        <v>18.65319922126082</v>
      </c>
      <c r="AS260" s="68">
        <f t="shared" si="18"/>
        <v>3.354208186146586</v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>
        <v>37.6</v>
      </c>
      <c r="W261" s="66">
        <v>36.200000000000003</v>
      </c>
      <c r="X261" s="66">
        <v>38.4</v>
      </c>
      <c r="Y261" s="66">
        <v>37.6</v>
      </c>
      <c r="Z261" s="66">
        <v>36.4</v>
      </c>
      <c r="AA261" s="66">
        <v>37.4</v>
      </c>
      <c r="AB261" s="66">
        <v>38.6</v>
      </c>
      <c r="AC261" s="66">
        <v>37.4</v>
      </c>
      <c r="AD261" s="66">
        <v>37.200000000000003</v>
      </c>
      <c r="AE261" s="66">
        <v>36.6</v>
      </c>
      <c r="AF261" s="66">
        <v>36.4</v>
      </c>
      <c r="AG261" s="66">
        <v>35.799999999999997</v>
      </c>
      <c r="AH261" s="66">
        <v>36.200000000000003</v>
      </c>
      <c r="AI261" s="66">
        <v>32.4</v>
      </c>
      <c r="AJ261" s="66">
        <v>35.799999999999997</v>
      </c>
      <c r="AK261" s="66">
        <v>36.799999999999997</v>
      </c>
      <c r="AL261" s="66"/>
      <c r="AM261" s="66"/>
      <c r="AN261" s="66"/>
      <c r="AO261" s="66"/>
      <c r="AP261" s="67">
        <f t="shared" ref="AP261:AP288" si="21">COUNTIF(K261:AO261,"&gt;0")</f>
        <v>27</v>
      </c>
      <c r="AQ261" s="68">
        <f t="shared" ref="AQ261:AQ288" si="22">IF(AP261&gt;14,AVERAGE(K261:AO261),"")</f>
        <v>36.592592592592588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>
        <v>23.6</v>
      </c>
      <c r="W262" s="66">
        <v>22.2</v>
      </c>
      <c r="X262" s="66">
        <v>23.2</v>
      </c>
      <c r="Y262" s="66">
        <v>24.6</v>
      </c>
      <c r="Z262" s="66">
        <v>20.399999999999999</v>
      </c>
      <c r="AA262" s="66">
        <v>23.6</v>
      </c>
      <c r="AB262" s="66">
        <v>24.2</v>
      </c>
      <c r="AC262" s="66">
        <v>22.6</v>
      </c>
      <c r="AD262" s="66">
        <v>23.2</v>
      </c>
      <c r="AE262" s="66">
        <v>22.8</v>
      </c>
      <c r="AF262" s="66">
        <v>26</v>
      </c>
      <c r="AG262" s="66">
        <v>22.8</v>
      </c>
      <c r="AH262" s="66">
        <v>22.6</v>
      </c>
      <c r="AI262" s="66">
        <v>20.6</v>
      </c>
      <c r="AJ262" s="66">
        <v>21.4</v>
      </c>
      <c r="AK262" s="66">
        <v>22</v>
      </c>
      <c r="AL262" s="66"/>
      <c r="AM262" s="66"/>
      <c r="AN262" s="66"/>
      <c r="AO262" s="66"/>
      <c r="AP262" s="67">
        <f t="shared" si="21"/>
        <v>27</v>
      </c>
      <c r="AQ262" s="68">
        <f t="shared" si="22"/>
        <v>22.985185185185188</v>
      </c>
      <c r="AR262" s="68">
        <f>IFERROR(VLOOKUP(A262,Climatologia_TMAX!A:U,9+$E$2,FALSE),"")</f>
        <v>20.946002371829959</v>
      </c>
      <c r="AS262" s="68">
        <f t="shared" si="23"/>
        <v>2.0391828133552288</v>
      </c>
      <c r="AT262" s="74">
        <f t="shared" si="24"/>
        <v>26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0.60000000000000142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>
        <v>20.2</v>
      </c>
      <c r="X266" s="66">
        <v>19.600000000000001</v>
      </c>
      <c r="Y266" s="66">
        <v>19.2</v>
      </c>
      <c r="Z266" s="66">
        <v>18.600000000000001</v>
      </c>
      <c r="AA266" s="66">
        <v>19.399999999999999</v>
      </c>
      <c r="AB266" s="66"/>
      <c r="AC266" s="66"/>
      <c r="AD266" s="66">
        <v>21.2</v>
      </c>
      <c r="AE266" s="66">
        <v>21.4</v>
      </c>
      <c r="AF266" s="66">
        <v>23.2</v>
      </c>
      <c r="AG266" s="66">
        <v>23</v>
      </c>
      <c r="AH266" s="66">
        <v>21</v>
      </c>
      <c r="AI266" s="66">
        <v>20.8</v>
      </c>
      <c r="AJ266" s="66"/>
      <c r="AK266" s="66"/>
      <c r="AL266" s="66"/>
      <c r="AM266" s="66"/>
      <c r="AN266" s="66"/>
      <c r="AO266" s="66"/>
      <c r="AP266" s="67">
        <f t="shared" si="21"/>
        <v>22</v>
      </c>
      <c r="AQ266" s="68">
        <f t="shared" si="22"/>
        <v>19.66363636363636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23.2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>
        <v>15</v>
      </c>
      <c r="W268" s="66">
        <v>15.6</v>
      </c>
      <c r="X268" s="66">
        <v>15.8</v>
      </c>
      <c r="Y268" s="66">
        <v>15.4</v>
      </c>
      <c r="Z268" s="66">
        <v>14.8</v>
      </c>
      <c r="AA268" s="66">
        <v>15.4</v>
      </c>
      <c r="AB268" s="66">
        <v>15.8</v>
      </c>
      <c r="AC268" s="66">
        <v>15.4</v>
      </c>
      <c r="AD268" s="66">
        <v>16</v>
      </c>
      <c r="AE268" s="66">
        <v>16.2</v>
      </c>
      <c r="AF268" s="66">
        <v>16.399999999999999</v>
      </c>
      <c r="AG268" s="66">
        <v>15.8</v>
      </c>
      <c r="AH268" s="66">
        <v>15.2</v>
      </c>
      <c r="AI268" s="66">
        <v>15.8</v>
      </c>
      <c r="AJ268" s="66">
        <v>15.2</v>
      </c>
      <c r="AK268" s="66">
        <v>14.8</v>
      </c>
      <c r="AL268" s="66"/>
      <c r="AM268" s="66"/>
      <c r="AN268" s="66"/>
      <c r="AO268" s="66"/>
      <c r="AP268" s="67">
        <f t="shared" si="21"/>
        <v>27</v>
      </c>
      <c r="AQ268" s="68">
        <f t="shared" si="22"/>
        <v>15.540740740740739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16.399999999999999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-3.4000000000000021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>
        <v>22.6</v>
      </c>
      <c r="W269" s="66">
        <v>20.399999999999999</v>
      </c>
      <c r="X269" s="66">
        <v>21.2</v>
      </c>
      <c r="Y269" s="66">
        <v>21</v>
      </c>
      <c r="Z269" s="66">
        <v>21.6</v>
      </c>
      <c r="AA269" s="66">
        <v>21</v>
      </c>
      <c r="AB269" s="66">
        <v>20.8</v>
      </c>
      <c r="AC269" s="66">
        <v>20</v>
      </c>
      <c r="AD269" s="66">
        <v>22.2</v>
      </c>
      <c r="AE269" s="66">
        <v>22</v>
      </c>
      <c r="AF269" s="66">
        <v>22.8</v>
      </c>
      <c r="AG269" s="66">
        <v>23.4</v>
      </c>
      <c r="AH269" s="66">
        <v>22</v>
      </c>
      <c r="AI269" s="66">
        <v>21.2</v>
      </c>
      <c r="AJ269" s="66">
        <v>20.8</v>
      </c>
      <c r="AK269" s="66">
        <v>21</v>
      </c>
      <c r="AL269" s="66"/>
      <c r="AM269" s="66"/>
      <c r="AN269" s="66"/>
      <c r="AO269" s="66"/>
      <c r="AP269" s="67">
        <f t="shared" si="21"/>
        <v>27</v>
      </c>
      <c r="AQ269" s="68">
        <f t="shared" si="22"/>
        <v>21.155555555555551</v>
      </c>
      <c r="AR269" s="68">
        <f>IFERROR(VLOOKUP(A269,Climatologia_TMAX!A:U,9+$E$2,FALSE),"")</f>
        <v>19.615369580929929</v>
      </c>
      <c r="AS269" s="68">
        <f t="shared" si="23"/>
        <v>1.5401859746256221</v>
      </c>
      <c r="AT269" s="74">
        <f t="shared" si="24"/>
        <v>23.4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-1.8000000000000007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>
        <v>20.6</v>
      </c>
      <c r="W270" s="66">
        <v>16.399999999999999</v>
      </c>
      <c r="X270" s="66">
        <v>19.600000000000001</v>
      </c>
      <c r="Y270" s="66">
        <v>19</v>
      </c>
      <c r="Z270" s="66">
        <v>18.399999999999999</v>
      </c>
      <c r="AA270" s="66">
        <v>18</v>
      </c>
      <c r="AB270" s="66">
        <v>18.2</v>
      </c>
      <c r="AC270" s="66"/>
      <c r="AD270" s="66">
        <v>20.8</v>
      </c>
      <c r="AE270" s="66">
        <v>19.399999999999999</v>
      </c>
      <c r="AF270" s="66">
        <v>20.399999999999999</v>
      </c>
      <c r="AG270" s="66">
        <v>21.4</v>
      </c>
      <c r="AH270" s="66">
        <v>22</v>
      </c>
      <c r="AI270" s="66">
        <v>20.6</v>
      </c>
      <c r="AJ270" s="66">
        <v>21.4</v>
      </c>
      <c r="AK270" s="66">
        <v>20.8</v>
      </c>
      <c r="AL270" s="66"/>
      <c r="AM270" s="66"/>
      <c r="AN270" s="66"/>
      <c r="AO270" s="66"/>
      <c r="AP270" s="67">
        <f t="shared" si="21"/>
        <v>26</v>
      </c>
      <c r="AQ270" s="68">
        <f t="shared" si="22"/>
        <v>19.261538461538457</v>
      </c>
      <c r="AR270" s="68">
        <f>IFERROR(VLOOKUP(A270,Climatologia_TMAX!A:U,9+$E$2,FALSE),"")</f>
        <v>16.70976812790186</v>
      </c>
      <c r="AS270" s="68">
        <f t="shared" si="23"/>
        <v>2.5517703336365969</v>
      </c>
      <c r="AT270" s="74">
        <f t="shared" si="24"/>
        <v>22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>
        <v>18.8</v>
      </c>
      <c r="W271" s="66">
        <v>16.8</v>
      </c>
      <c r="X271" s="66">
        <v>18.600000000000001</v>
      </c>
      <c r="Y271" s="66">
        <v>18.2</v>
      </c>
      <c r="Z271" s="66">
        <v>17.600000000000001</v>
      </c>
      <c r="AA271" s="66">
        <v>15.4</v>
      </c>
      <c r="AB271" s="66">
        <v>15.1</v>
      </c>
      <c r="AC271" s="66">
        <v>17.399999999999999</v>
      </c>
      <c r="AD271" s="66">
        <v>19.8</v>
      </c>
      <c r="AE271" s="66">
        <v>20.6</v>
      </c>
      <c r="AF271" s="66">
        <v>20.6</v>
      </c>
      <c r="AG271" s="66">
        <v>21.2</v>
      </c>
      <c r="AH271" s="66">
        <v>19.8</v>
      </c>
      <c r="AI271" s="66">
        <v>18.399999999999999</v>
      </c>
      <c r="AJ271" s="66">
        <v>18.600000000000001</v>
      </c>
      <c r="AK271" s="66">
        <v>20.399999999999999</v>
      </c>
      <c r="AL271" s="66"/>
      <c r="AM271" s="66"/>
      <c r="AN271" s="66"/>
      <c r="AO271" s="66"/>
      <c r="AP271" s="67">
        <f t="shared" si="21"/>
        <v>27</v>
      </c>
      <c r="AQ271" s="68">
        <f t="shared" si="22"/>
        <v>18.048148148148151</v>
      </c>
      <c r="AR271" s="68">
        <f>IFERROR(VLOOKUP(A271,Climatologia_TMAX!A:U,9+$E$2,FALSE),"")</f>
        <v>17.895683826932089</v>
      </c>
      <c r="AS271" s="68">
        <f t="shared" si="23"/>
        <v>0.1524643212160619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-1.6000000000000014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>
        <v>24.6</v>
      </c>
      <c r="T272" s="66">
        <v>23.4</v>
      </c>
      <c r="U272" s="66">
        <v>23.2</v>
      </c>
      <c r="V272" s="66">
        <v>24</v>
      </c>
      <c r="W272" s="66">
        <v>19</v>
      </c>
      <c r="X272" s="66">
        <v>25.4</v>
      </c>
      <c r="Y272" s="66">
        <v>24.8</v>
      </c>
      <c r="Z272" s="66">
        <v>23.2</v>
      </c>
      <c r="AA272" s="66">
        <v>22</v>
      </c>
      <c r="AB272" s="66">
        <v>22</v>
      </c>
      <c r="AC272" s="66">
        <v>19.8</v>
      </c>
      <c r="AD272" s="66">
        <v>24.2</v>
      </c>
      <c r="AE272" s="66">
        <v>25.4</v>
      </c>
      <c r="AF272" s="66">
        <v>28</v>
      </c>
      <c r="AG272" s="66">
        <v>26.4</v>
      </c>
      <c r="AH272" s="66">
        <v>29.4</v>
      </c>
      <c r="AI272" s="66"/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23.026086956521734</v>
      </c>
      <c r="AR272" s="68">
        <f>IFERROR(VLOOKUP(A272,Climatologia_TMAX!A:U,9+$E$2,FALSE),"")</f>
        <v>21.308765035858141</v>
      </c>
      <c r="AS272" s="68">
        <f t="shared" si="23"/>
        <v>1.7173219206635935</v>
      </c>
      <c r="AT272" s="74">
        <f t="shared" si="24"/>
        <v>29.4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>
        <v>28.4</v>
      </c>
      <c r="W273" s="66">
        <v>28</v>
      </c>
      <c r="X273" s="66">
        <v>29.2</v>
      </c>
      <c r="Y273" s="66">
        <v>28.2</v>
      </c>
      <c r="Z273" s="66">
        <v>26.2</v>
      </c>
      <c r="AA273" s="66">
        <v>27.6</v>
      </c>
      <c r="AB273" s="66">
        <v>29</v>
      </c>
      <c r="AC273" s="66">
        <v>28.8</v>
      </c>
      <c r="AD273" s="66">
        <v>28.4</v>
      </c>
      <c r="AE273" s="66">
        <v>28.8</v>
      </c>
      <c r="AF273" s="66">
        <v>28.6</v>
      </c>
      <c r="AG273" s="66">
        <v>28</v>
      </c>
      <c r="AH273" s="66">
        <v>26.2</v>
      </c>
      <c r="AI273" s="66">
        <v>25.6</v>
      </c>
      <c r="AJ273" s="66">
        <v>26.4</v>
      </c>
      <c r="AK273" s="66">
        <v>26.4</v>
      </c>
      <c r="AL273" s="66"/>
      <c r="AM273" s="66"/>
      <c r="AN273" s="66"/>
      <c r="AO273" s="66"/>
      <c r="AP273" s="67">
        <f t="shared" si="21"/>
        <v>27</v>
      </c>
      <c r="AQ273" s="68">
        <f t="shared" si="22"/>
        <v>27.577777777777776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>
        <v>11.8</v>
      </c>
      <c r="V275" s="66">
        <v>14.8</v>
      </c>
      <c r="W275" s="66">
        <v>12</v>
      </c>
      <c r="X275" s="66">
        <v>13.4</v>
      </c>
      <c r="Y275" s="66">
        <v>13.6</v>
      </c>
      <c r="Z275" s="66">
        <v>13</v>
      </c>
      <c r="AA275" s="66">
        <v>12.4</v>
      </c>
      <c r="AB275" s="66">
        <v>10</v>
      </c>
      <c r="AC275" s="66">
        <v>11.6</v>
      </c>
      <c r="AD275" s="66">
        <v>14.6</v>
      </c>
      <c r="AE275" s="66">
        <v>13.6</v>
      </c>
      <c r="AF275" s="66">
        <v>15.4</v>
      </c>
      <c r="AG275" s="66">
        <v>15</v>
      </c>
      <c r="AH275" s="66">
        <v>14</v>
      </c>
      <c r="AI275" s="66">
        <v>14</v>
      </c>
      <c r="AJ275" s="66">
        <v>14.6</v>
      </c>
      <c r="AK275" s="66">
        <v>14.4</v>
      </c>
      <c r="AL275" s="66"/>
      <c r="AM275" s="66"/>
      <c r="AN275" s="66"/>
      <c r="AO275" s="66"/>
      <c r="AP275" s="67">
        <f t="shared" si="21"/>
        <v>27</v>
      </c>
      <c r="AQ275" s="68">
        <f t="shared" si="22"/>
        <v>12.696296296296296</v>
      </c>
      <c r="AR275" s="68">
        <f>IFERROR(VLOOKUP(A275,Climatologia_TMAX!A:U,9+$E$2,FALSE),"")</f>
        <v>12.157791724558971</v>
      </c>
      <c r="AS275" s="68">
        <f t="shared" si="23"/>
        <v>0.53850457173732558</v>
      </c>
      <c r="AT275" s="74">
        <f t="shared" si="24"/>
        <v>15.4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-2.2000000000000011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>
        <v>34.799999999999997</v>
      </c>
      <c r="W278" s="66">
        <v>33.6</v>
      </c>
      <c r="X278" s="66">
        <v>35</v>
      </c>
      <c r="Y278" s="66">
        <v>34.200000000000003</v>
      </c>
      <c r="Z278" s="66">
        <v>31.8</v>
      </c>
      <c r="AA278" s="66">
        <v>35.4</v>
      </c>
      <c r="AB278" s="66">
        <v>34.799999999999997</v>
      </c>
      <c r="AC278" s="66">
        <v>34</v>
      </c>
      <c r="AD278" s="66">
        <v>35.4</v>
      </c>
      <c r="AE278" s="66">
        <v>35</v>
      </c>
      <c r="AF278" s="66">
        <v>35.200000000000003</v>
      </c>
      <c r="AG278" s="66">
        <v>34.200000000000003</v>
      </c>
      <c r="AH278" s="66">
        <v>34</v>
      </c>
      <c r="AI278" s="66">
        <v>31.2</v>
      </c>
      <c r="AJ278" s="66">
        <v>30.4</v>
      </c>
      <c r="AK278" s="66">
        <v>33</v>
      </c>
      <c r="AL278" s="66"/>
      <c r="AM278" s="66"/>
      <c r="AN278" s="66"/>
      <c r="AO278" s="66"/>
      <c r="AP278" s="67">
        <f t="shared" si="21"/>
        <v>27</v>
      </c>
      <c r="AQ278" s="68">
        <f t="shared" si="22"/>
        <v>33.80740740740741</v>
      </c>
      <c r="AR278" s="68">
        <f>IFERROR(VLOOKUP(A278,Climatologia_TMAX!A:U,9+$E$2,FALSE),"")</f>
        <v>31.68806366047745</v>
      </c>
      <c r="AS278" s="68">
        <f t="shared" si="23"/>
        <v>2.1193437469299603</v>
      </c>
      <c r="AT278" s="74">
        <f t="shared" si="24"/>
        <v>35.4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>
        <v>20.6</v>
      </c>
      <c r="S279" s="66">
        <v>21.8</v>
      </c>
      <c r="T279" s="66">
        <v>22</v>
      </c>
      <c r="U279" s="66">
        <v>20.8</v>
      </c>
      <c r="V279" s="66">
        <v>22.8</v>
      </c>
      <c r="W279" s="66">
        <v>23.2</v>
      </c>
      <c r="X279" s="66">
        <v>22.4</v>
      </c>
      <c r="Y279" s="66">
        <v>20.6</v>
      </c>
      <c r="Z279" s="66">
        <v>19.8</v>
      </c>
      <c r="AA279" s="66">
        <v>19.2</v>
      </c>
      <c r="AB279" s="66">
        <v>19.8</v>
      </c>
      <c r="AC279" s="66">
        <v>20.8</v>
      </c>
      <c r="AD279" s="66">
        <v>22.4</v>
      </c>
      <c r="AE279" s="66">
        <v>22.4</v>
      </c>
      <c r="AF279" s="66">
        <v>24.8</v>
      </c>
      <c r="AG279" s="66">
        <v>24.4</v>
      </c>
      <c r="AH279" s="66">
        <v>23.2</v>
      </c>
      <c r="AI279" s="66">
        <v>21.9</v>
      </c>
      <c r="AJ279" s="66">
        <v>21.4</v>
      </c>
      <c r="AK279" s="66">
        <v>22.5</v>
      </c>
      <c r="AL279" s="66"/>
      <c r="AM279" s="66"/>
      <c r="AN279" s="66"/>
      <c r="AO279" s="66"/>
      <c r="AP279" s="67">
        <f t="shared" si="21"/>
        <v>27</v>
      </c>
      <c r="AQ279" s="68">
        <f t="shared" si="22"/>
        <v>21.63703703703704</v>
      </c>
      <c r="AR279" s="68">
        <f>IFERROR(VLOOKUP(A279,Climatologia_TMAX!A:U,9+$E$2,FALSE),"")</f>
        <v>20.848528735632179</v>
      </c>
      <c r="AS279" s="68">
        <f t="shared" si="23"/>
        <v>0.78850830140486039</v>
      </c>
      <c r="AT279" s="74">
        <f t="shared" si="24"/>
        <v>24.8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0.60000000000000142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>
        <v>34.4</v>
      </c>
      <c r="W280" s="66">
        <v>33.799999999999997</v>
      </c>
      <c r="X280" s="66">
        <v>34.799999999999997</v>
      </c>
      <c r="Y280" s="66">
        <v>33.4</v>
      </c>
      <c r="Z280" s="66">
        <v>31.4</v>
      </c>
      <c r="AA280" s="66">
        <v>33.6</v>
      </c>
      <c r="AB280" s="66">
        <v>34.6</v>
      </c>
      <c r="AC280" s="66">
        <v>34.200000000000003</v>
      </c>
      <c r="AD280" s="66">
        <v>33.799999999999997</v>
      </c>
      <c r="AE280" s="66">
        <v>33.6</v>
      </c>
      <c r="AF280" s="66">
        <v>33.799999999999997</v>
      </c>
      <c r="AG280" s="66">
        <v>33.4</v>
      </c>
      <c r="AH280" s="66">
        <v>32.4</v>
      </c>
      <c r="AI280" s="66">
        <v>28.8</v>
      </c>
      <c r="AJ280" s="66">
        <v>30.4</v>
      </c>
      <c r="AK280" s="66">
        <v>32.4</v>
      </c>
      <c r="AL280" s="66"/>
      <c r="AM280" s="66"/>
      <c r="AN280" s="66"/>
      <c r="AO280" s="66"/>
      <c r="AP280" s="67">
        <f t="shared" si="21"/>
        <v>27</v>
      </c>
      <c r="AQ280" s="68">
        <f t="shared" si="22"/>
        <v>33.066666666666663</v>
      </c>
      <c r="AR280" s="68">
        <f>IFERROR(VLOOKUP(A280,Climatologia_TMAX!A:U,9+$E$2,FALSE),"")</f>
        <v>30.025088149634769</v>
      </c>
      <c r="AS280" s="68">
        <f t="shared" si="23"/>
        <v>3.0415785170318941</v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>
        <v>22</v>
      </c>
      <c r="W281" s="66">
        <v>22.2</v>
      </c>
      <c r="X281" s="66">
        <v>23</v>
      </c>
      <c r="Y281" s="66">
        <v>21.6</v>
      </c>
      <c r="Z281" s="66">
        <v>21.8</v>
      </c>
      <c r="AA281" s="66">
        <v>23</v>
      </c>
      <c r="AB281" s="66">
        <v>23.2</v>
      </c>
      <c r="AC281" s="66">
        <v>23</v>
      </c>
      <c r="AD281" s="66">
        <v>23.2</v>
      </c>
      <c r="AE281" s="66">
        <v>23</v>
      </c>
      <c r="AF281" s="66">
        <v>22.8</v>
      </c>
      <c r="AG281" s="66">
        <v>23.2</v>
      </c>
      <c r="AH281" s="66">
        <v>21.6</v>
      </c>
      <c r="AI281" s="66">
        <v>20.8</v>
      </c>
      <c r="AJ281" s="66">
        <v>22</v>
      </c>
      <c r="AK281" s="66"/>
      <c r="AL281" s="66"/>
      <c r="AM281" s="66"/>
      <c r="AN281" s="66"/>
      <c r="AO281" s="66"/>
      <c r="AP281" s="67">
        <f t="shared" si="21"/>
        <v>26</v>
      </c>
      <c r="AQ281" s="68">
        <f t="shared" si="22"/>
        <v>22.153846153846153</v>
      </c>
      <c r="AR281" s="68">
        <f>IFERROR(VLOOKUP(A281,Climatologia_TMAX!A:U,9+$E$2,FALSE),"")</f>
        <v>20.187784893267651</v>
      </c>
      <c r="AS281" s="68">
        <f t="shared" si="23"/>
        <v>1.9660612605785026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>
        <v>21.2</v>
      </c>
      <c r="W284" s="66">
        <v>17.8</v>
      </c>
      <c r="X284" s="66">
        <v>20.8</v>
      </c>
      <c r="Y284" s="66">
        <v>18.8</v>
      </c>
      <c r="Z284" s="66">
        <v>18.600000000000001</v>
      </c>
      <c r="AA284" s="66">
        <v>18.399999999999999</v>
      </c>
      <c r="AB284" s="66">
        <v>19.600000000000001</v>
      </c>
      <c r="AC284" s="66">
        <v>20.2</v>
      </c>
      <c r="AD284" s="66">
        <v>21</v>
      </c>
      <c r="AE284" s="66">
        <v>21.4</v>
      </c>
      <c r="AF284" s="66">
        <v>23</v>
      </c>
      <c r="AG284" s="66">
        <v>22.4</v>
      </c>
      <c r="AH284" s="66">
        <v>21</v>
      </c>
      <c r="AI284" s="66">
        <v>20.8</v>
      </c>
      <c r="AJ284" s="66">
        <v>21</v>
      </c>
      <c r="AK284" s="66">
        <v>19.399999999999999</v>
      </c>
      <c r="AL284" s="66"/>
      <c r="AM284" s="66"/>
      <c r="AN284" s="66"/>
      <c r="AO284" s="66"/>
      <c r="AP284" s="67">
        <f t="shared" si="21"/>
        <v>27</v>
      </c>
      <c r="AQ284" s="68">
        <f t="shared" si="22"/>
        <v>20.029629629629628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23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0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>
        <v>21.8</v>
      </c>
      <c r="W285" s="66">
        <v>21.2</v>
      </c>
      <c r="X285" s="66">
        <v>21.8</v>
      </c>
      <c r="Y285" s="66">
        <v>20</v>
      </c>
      <c r="Z285" s="66">
        <v>22</v>
      </c>
      <c r="AA285" s="66">
        <v>22</v>
      </c>
      <c r="AB285" s="66">
        <v>22.4</v>
      </c>
      <c r="AC285" s="66">
        <v>20.399999999999999</v>
      </c>
      <c r="AD285" s="66">
        <v>22.8</v>
      </c>
      <c r="AE285" s="66">
        <v>21.8</v>
      </c>
      <c r="AF285" s="66">
        <v>22.8</v>
      </c>
      <c r="AG285" s="66">
        <v>23</v>
      </c>
      <c r="AH285" s="66">
        <v>20.2</v>
      </c>
      <c r="AI285" s="66">
        <v>20</v>
      </c>
      <c r="AJ285" s="66">
        <v>20.6</v>
      </c>
      <c r="AK285" s="66">
        <v>19.600000000000001</v>
      </c>
      <c r="AL285" s="66"/>
      <c r="AM285" s="66"/>
      <c r="AN285" s="66"/>
      <c r="AO285" s="66"/>
      <c r="AP285" s="67">
        <f t="shared" si="21"/>
        <v>27</v>
      </c>
      <c r="AQ285" s="68">
        <f t="shared" si="22"/>
        <v>21.177777777777781</v>
      </c>
      <c r="AR285" s="68">
        <f>IFERROR(VLOOKUP(A285,Climatologia_TMAX!A:U,9+$E$2,FALSE),"")</f>
        <v>19.841617540739382</v>
      </c>
      <c r="AS285" s="68">
        <f t="shared" si="23"/>
        <v>1.3361602370383991</v>
      </c>
      <c r="AT285" s="74">
        <f t="shared" si="24"/>
        <v>23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>
        <v>20</v>
      </c>
      <c r="W287" s="66">
        <v>19.600000000000001</v>
      </c>
      <c r="X287" s="66">
        <v>20</v>
      </c>
      <c r="Y287" s="66">
        <v>19</v>
      </c>
      <c r="Z287" s="66">
        <v>20.2</v>
      </c>
      <c r="AA287" s="66">
        <v>19.600000000000001</v>
      </c>
      <c r="AB287" s="66">
        <v>19.2</v>
      </c>
      <c r="AC287" s="66">
        <v>19.2</v>
      </c>
      <c r="AD287" s="66">
        <v>21</v>
      </c>
      <c r="AE287" s="66">
        <v>18.600000000000001</v>
      </c>
      <c r="AF287" s="66">
        <v>20</v>
      </c>
      <c r="AG287" s="66">
        <v>21</v>
      </c>
      <c r="AH287" s="66">
        <v>19.600000000000001</v>
      </c>
      <c r="AI287" s="66">
        <v>19.399999999999999</v>
      </c>
      <c r="AJ287" s="66">
        <v>18.399999999999999</v>
      </c>
      <c r="AK287" s="66">
        <v>18.600000000000001</v>
      </c>
      <c r="AL287" s="66"/>
      <c r="AM287" s="66"/>
      <c r="AN287" s="66"/>
      <c r="AO287" s="66"/>
      <c r="AP287" s="67">
        <f t="shared" si="21"/>
        <v>27</v>
      </c>
      <c r="AQ287" s="68">
        <f t="shared" si="22"/>
        <v>19.392592592592592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21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-2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6" t="s">
        <v>540</v>
      </c>
      <c r="B1" s="117"/>
      <c r="C1" s="117"/>
      <c r="D1" s="117"/>
      <c r="E1" s="117"/>
      <c r="F1" s="117"/>
      <c r="G1" s="117"/>
      <c r="H1" s="117"/>
      <c r="I1" s="118"/>
      <c r="J1" s="119" t="s">
        <v>541</v>
      </c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8"/>
      <c r="W1" s="120" t="s">
        <v>542</v>
      </c>
      <c r="X1" s="118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1" t="s">
        <v>869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57" width="11.42578125" style="42" customWidth="1"/>
    <col min="158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2026-09-28T15:38:08Z</dcterms:modified>
</cp:coreProperties>
</file>