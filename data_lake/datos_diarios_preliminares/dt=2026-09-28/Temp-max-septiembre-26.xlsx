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899E84B-CAF1-45BC-B28A-257279CA0F73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<sst xmlns="http://schemas.openxmlformats.org/spreadsheetml/2006/main" count="603" uniqueCount="272">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</sst>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T4" activePane="bottomRight" state="frozen"/>
      <selection pane="topRight" activeCell="E1" sqref="E1"/>
      <selection pane="bottomLeft" activeCell="A4" sqref="A4"/>
      <selection pane="bottomRight" activeCell="AG45" sqref="AG45:AH4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>
        <v>32.700000000000003</v>
      </c>
      <c r="R5" s="63">
        <v>31</v>
      </c>
      <c r="S5" s="63">
        <v>31.5</v>
      </c>
      <c r="T5" s="63">
        <v>31.7</v>
      </c>
      <c r="U5" s="63">
        <v>29.6</v>
      </c>
      <c r="V5" s="63">
        <v>31.9</v>
      </c>
      <c r="W5" s="63">
        <v>32.1</v>
      </c>
      <c r="X5" s="63">
        <v>29.6</v>
      </c>
      <c r="Y5" s="63">
        <v>31.5</v>
      </c>
      <c r="Z5" s="63">
        <v>32.700000000000003</v>
      </c>
      <c r="AA5" s="63">
        <v>32.299999999999997</v>
      </c>
      <c r="AB5" s="63">
        <v>32.700000000000003</v>
      </c>
      <c r="AC5" s="63">
        <v>32.299999999999997</v>
      </c>
      <c r="AD5" s="63">
        <v>32.299999999999997</v>
      </c>
      <c r="AE5" s="63">
        <v>32.1</v>
      </c>
      <c r="AF5" s="63"/>
      <c r="AG5" s="63"/>
      <c r="AH5" s="63"/>
      <c r="AI5" s="63"/>
      <c r="AJ5" s="36">
        <f>+IF(SUM($E5:$AI5)&gt;0,LOOKUP(1000,$E5:$AI5),NA())</f>
        <v>32.1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>
        <f>IF(COUNTIF(E5:AI5,"&gt;0")&gt;=15,AVERAGE(E5:AI5),"")</f>
        <v>31.855555555555551</v>
      </c>
      <c r="AP5" s="23">
        <f>IF(AN5&gt;0,IFERROR(AO5-AN5,""),"")</f>
        <v>1.0184114353079892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>
        <v>32.200000000000003</v>
      </c>
      <c r="R6" s="63">
        <v>32.200000000000003</v>
      </c>
      <c r="S6" s="63">
        <v>31.4</v>
      </c>
      <c r="T6" s="63">
        <v>32.1</v>
      </c>
      <c r="U6" s="63">
        <v>30.2</v>
      </c>
      <c r="V6" s="63">
        <v>32.799999999999997</v>
      </c>
      <c r="W6" s="63">
        <v>32.6</v>
      </c>
      <c r="X6" s="63">
        <v>29.7</v>
      </c>
      <c r="Y6" s="63">
        <v>30.6</v>
      </c>
      <c r="Z6" s="63">
        <v>32.6</v>
      </c>
      <c r="AA6" s="63">
        <v>32.200000000000003</v>
      </c>
      <c r="AB6" s="63">
        <v>32.9</v>
      </c>
      <c r="AC6" s="63">
        <v>33.1</v>
      </c>
      <c r="AD6" s="63">
        <v>32.5</v>
      </c>
      <c r="AE6" s="63">
        <v>32.5</v>
      </c>
      <c r="AF6" s="63"/>
      <c r="AG6" s="63"/>
      <c r="AH6" s="63"/>
      <c r="AI6" s="63"/>
      <c r="AJ6" s="36">
        <f t="shared" ref="AJ6:AJ48" si="1">+IF(SUM($E6:$AI6)&gt;0,LOOKUP(1000,$E6:$AI6),NA())</f>
        <v>32.5</v>
      </c>
      <c r="AK6" s="21">
        <f t="shared" ref="AK6:AK48" si="2">+MAX($E6:$AI6)</f>
        <v>33.1</v>
      </c>
      <c r="AL6" s="22">
        <v>33.200000000000003</v>
      </c>
      <c r="AM6" s="23">
        <f t="shared" ref="AM6:AM48" si="3">IF(AK6&gt;0,$AK6-$AL6,"")</f>
        <v>-0.10000000000000142</v>
      </c>
      <c r="AN6" s="23">
        <v>31.213724845269681</v>
      </c>
      <c r="AO6" s="23">
        <f t="shared" ref="AO6:AO15" si="4">IF(COUNTIF(E6:AI6,"&gt;0")&gt;=15,AVERAGE(E6:AI6),"")</f>
        <v>32.022222222222226</v>
      </c>
      <c r="AP6" s="23">
        <f t="shared" ref="AP6:AP48" si="5">IF(AN6&gt;0,IFERROR(AO6-AN6,""),"")</f>
        <v>0.80849737695254476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>
        <v>35.200000000000003</v>
      </c>
      <c r="R7" s="63">
        <v>34.799999999999997</v>
      </c>
      <c r="S7" s="63">
        <v>35.4</v>
      </c>
      <c r="T7" s="63">
        <v>33.6</v>
      </c>
      <c r="U7" s="63">
        <v>35.700000000000003</v>
      </c>
      <c r="V7" s="63">
        <v>35.6</v>
      </c>
      <c r="W7" s="63">
        <v>34.9</v>
      </c>
      <c r="X7" s="63">
        <v>36.1</v>
      </c>
      <c r="Y7" s="67">
        <v>34.799999999999997</v>
      </c>
      <c r="Z7" s="63">
        <v>34.6</v>
      </c>
      <c r="AA7" s="63">
        <v>36.299999999999997</v>
      </c>
      <c r="AB7" s="63">
        <v>35.299999999999997</v>
      </c>
      <c r="AC7" s="63">
        <v>35.6</v>
      </c>
      <c r="AD7" s="63">
        <v>35.799999999999997</v>
      </c>
      <c r="AE7" s="63">
        <v>32.700000000000003</v>
      </c>
      <c r="AF7" s="63"/>
      <c r="AG7" s="63"/>
      <c r="AH7" s="63"/>
      <c r="AI7" s="63"/>
      <c r="AJ7" s="36">
        <f t="shared" si="1"/>
        <v>32.700000000000003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>
        <f t="shared" si="4"/>
        <v>34.955555555555556</v>
      </c>
      <c r="AP7" s="23">
        <f t="shared" si="5"/>
        <v>2.0666754241926668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>
        <v>32.799999999999997</v>
      </c>
      <c r="R8" s="63">
        <v>32.9</v>
      </c>
      <c r="S8" s="63">
        <v>33.9</v>
      </c>
      <c r="T8" s="63">
        <v>35.1</v>
      </c>
      <c r="U8" s="63">
        <v>35</v>
      </c>
      <c r="V8" s="63">
        <v>33.700000000000003</v>
      </c>
      <c r="W8" s="63">
        <v>33.4</v>
      </c>
      <c r="X8" s="63">
        <v>33.799999999999997</v>
      </c>
      <c r="Y8" s="63">
        <v>33.5</v>
      </c>
      <c r="Z8" s="63">
        <v>33.1</v>
      </c>
      <c r="AA8" s="63">
        <v>33.4</v>
      </c>
      <c r="AB8" s="63">
        <v>34.9</v>
      </c>
      <c r="AC8" s="63">
        <v>34.9</v>
      </c>
      <c r="AD8" s="63">
        <v>31.6</v>
      </c>
      <c r="AE8" s="63">
        <v>32.5</v>
      </c>
      <c r="AF8" s="63"/>
      <c r="AG8" s="63"/>
      <c r="AH8" s="63"/>
      <c r="AI8" s="63"/>
      <c r="AJ8" s="36">
        <f t="shared" si="1"/>
        <v>32.5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>
        <f t="shared" si="4"/>
        <v>34</v>
      </c>
      <c r="AP8" s="23">
        <f t="shared" si="5"/>
        <v>1.933468886246537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>
        <v>34.700000000000003</v>
      </c>
      <c r="R9" s="63">
        <v>33.1</v>
      </c>
      <c r="S9" s="63">
        <v>34.5</v>
      </c>
      <c r="T9" s="63">
        <v>32.6</v>
      </c>
      <c r="U9" s="63">
        <v>36.799999999999997</v>
      </c>
      <c r="V9" s="63">
        <v>38.799999999999997</v>
      </c>
      <c r="W9" s="63">
        <v>37</v>
      </c>
      <c r="X9" s="63">
        <v>35.200000000000003</v>
      </c>
      <c r="Y9" s="63">
        <v>32.6</v>
      </c>
      <c r="Z9" s="63">
        <v>34.9</v>
      </c>
      <c r="AA9" s="63">
        <v>36.799999999999997</v>
      </c>
      <c r="AB9" s="63">
        <v>35.299999999999997</v>
      </c>
      <c r="AC9" s="63">
        <v>35.799999999999997</v>
      </c>
      <c r="AD9" s="63">
        <v>33.6</v>
      </c>
      <c r="AE9" s="63">
        <v>33.799999999999997</v>
      </c>
      <c r="AF9" s="63"/>
      <c r="AG9" s="63"/>
      <c r="AH9" s="63"/>
      <c r="AI9" s="63"/>
      <c r="AJ9" s="36">
        <f t="shared" si="1"/>
        <v>33.799999999999997</v>
      </c>
      <c r="AK9" s="21">
        <f t="shared" si="2"/>
        <v>38.799999999999997</v>
      </c>
      <c r="AL9" s="22">
        <v>38.4</v>
      </c>
      <c r="AM9" s="23">
        <f t="shared" si="3"/>
        <v>0.39999999999999858</v>
      </c>
      <c r="AN9" s="23">
        <v>33.308997701149423</v>
      </c>
      <c r="AO9" s="23">
        <f t="shared" si="4"/>
        <v>35.344444444444441</v>
      </c>
      <c r="AP9" s="23">
        <f t="shared" si="5"/>
        <v>2.0354467432950187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>
        <v>36.5</v>
      </c>
      <c r="R10" s="63">
        <v>35.9</v>
      </c>
      <c r="S10" s="63">
        <v>35.9</v>
      </c>
      <c r="T10" s="63">
        <v>36.4</v>
      </c>
      <c r="U10" s="63">
        <v>37.1</v>
      </c>
      <c r="V10" s="63">
        <v>39.799999999999997</v>
      </c>
      <c r="W10" s="63">
        <v>35.4</v>
      </c>
      <c r="X10" s="63">
        <v>32</v>
      </c>
      <c r="Y10" s="63">
        <v>32.1</v>
      </c>
      <c r="Z10" s="63">
        <v>32.6</v>
      </c>
      <c r="AA10" s="63">
        <v>36.299999999999997</v>
      </c>
      <c r="AB10" s="63">
        <v>35.799999999999997</v>
      </c>
      <c r="AC10" s="63">
        <v>34.799999999999997</v>
      </c>
      <c r="AD10" s="63">
        <v>33.200000000000003</v>
      </c>
      <c r="AE10" s="63">
        <v>32.299999999999997</v>
      </c>
      <c r="AF10" s="63"/>
      <c r="AG10" s="63"/>
      <c r="AH10" s="63"/>
      <c r="AI10" s="63"/>
      <c r="AJ10" s="36">
        <f t="shared" si="1"/>
        <v>32.299999999999997</v>
      </c>
      <c r="AK10" s="21">
        <f t="shared" si="2"/>
        <v>39.799999999999997</v>
      </c>
      <c r="AL10" s="22">
        <v>39.6</v>
      </c>
      <c r="AM10" s="23">
        <f t="shared" si="3"/>
        <v>0.19999999999999574</v>
      </c>
      <c r="AN10" s="23">
        <v>33.75991221422256</v>
      </c>
      <c r="AO10" s="23">
        <f t="shared" si="4"/>
        <v>35.925925925925917</v>
      </c>
      <c r="AP10" s="23">
        <f t="shared" si="5"/>
        <v>2.1660137117033571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>
        <v>38.9</v>
      </c>
      <c r="R11" s="63">
        <v>35.9</v>
      </c>
      <c r="S11" s="63">
        <v>38.6</v>
      </c>
      <c r="T11" s="63">
        <v>37.200000000000003</v>
      </c>
      <c r="U11" s="63">
        <v>40.4</v>
      </c>
      <c r="V11" s="63">
        <v>40.6</v>
      </c>
      <c r="W11" s="63">
        <v>35.6</v>
      </c>
      <c r="X11" s="63">
        <v>36.200000000000003</v>
      </c>
      <c r="Y11" s="63">
        <v>36.799999999999997</v>
      </c>
      <c r="Z11" s="63">
        <v>38.799999999999997</v>
      </c>
      <c r="AA11" s="63">
        <v>38</v>
      </c>
      <c r="AB11" s="63">
        <v>38.700000000000003</v>
      </c>
      <c r="AC11" s="63">
        <v>38.5</v>
      </c>
      <c r="AD11" s="63">
        <v>32.700000000000003</v>
      </c>
      <c r="AE11" s="63">
        <v>31</v>
      </c>
      <c r="AF11" s="63"/>
      <c r="AG11" s="63"/>
      <c r="AH11" s="63"/>
      <c r="AI11" s="63"/>
      <c r="AJ11" s="36">
        <f t="shared" si="1"/>
        <v>31</v>
      </c>
      <c r="AK11" s="21">
        <f t="shared" si="2"/>
        <v>40.6</v>
      </c>
      <c r="AL11" s="22">
        <v>40.200000000000003</v>
      </c>
      <c r="AM11" s="23">
        <f t="shared" si="3"/>
        <v>0.39999999999999858</v>
      </c>
      <c r="AN11" s="23">
        <v>34.012164961475307</v>
      </c>
      <c r="AO11" s="23">
        <f t="shared" si="4"/>
        <v>37.522222222222226</v>
      </c>
      <c r="AP11" s="23">
        <f t="shared" si="5"/>
        <v>3.5100572607469189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>
        <v>31.4</v>
      </c>
      <c r="R12" s="63">
        <v>33.200000000000003</v>
      </c>
      <c r="S12" s="63">
        <v>34.4</v>
      </c>
      <c r="T12" s="63">
        <v>31.6</v>
      </c>
      <c r="U12" s="63">
        <v>36</v>
      </c>
      <c r="V12" s="63">
        <v>35.4</v>
      </c>
      <c r="W12" s="63">
        <v>28.6</v>
      </c>
      <c r="X12" s="63">
        <v>32.799999999999997</v>
      </c>
      <c r="Y12" s="63">
        <v>30.8</v>
      </c>
      <c r="Z12" s="63">
        <v>34</v>
      </c>
      <c r="AA12" s="63">
        <v>34.200000000000003</v>
      </c>
      <c r="AB12" s="63">
        <v>33.6</v>
      </c>
      <c r="AC12" s="63">
        <v>33.799999999999997</v>
      </c>
      <c r="AD12" s="63">
        <v>27.2</v>
      </c>
      <c r="AE12" s="63">
        <v>31</v>
      </c>
      <c r="AF12" s="63"/>
      <c r="AG12" s="63"/>
      <c r="AH12" s="63"/>
      <c r="AI12" s="63"/>
      <c r="AJ12" s="36">
        <f t="shared" si="1"/>
        <v>31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>
        <f t="shared" si="4"/>
        <v>33.288888888888884</v>
      </c>
      <c r="AP12" s="23">
        <f t="shared" si="5"/>
        <v>1.8362957349164155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>
        <v>33</v>
      </c>
      <c r="R13" s="63">
        <v>34.200000000000003</v>
      </c>
      <c r="S13" s="63">
        <v>35</v>
      </c>
      <c r="T13" s="63">
        <v>32.200000000000003</v>
      </c>
      <c r="U13" s="63">
        <v>36.799999999999997</v>
      </c>
      <c r="V13" s="63">
        <v>36.6</v>
      </c>
      <c r="W13" s="63">
        <v>31.2</v>
      </c>
      <c r="X13" s="63">
        <v>34.200000000000003</v>
      </c>
      <c r="Y13" s="63">
        <v>32</v>
      </c>
      <c r="Z13" s="63">
        <v>34.799999999999997</v>
      </c>
      <c r="AA13" s="63">
        <v>36</v>
      </c>
      <c r="AB13" s="63">
        <v>34.799999999999997</v>
      </c>
      <c r="AC13" s="63">
        <v>33</v>
      </c>
      <c r="AD13" s="63">
        <v>29</v>
      </c>
      <c r="AE13" s="63">
        <v>33.6</v>
      </c>
      <c r="AF13" s="63"/>
      <c r="AG13" s="63"/>
      <c r="AH13" s="63"/>
      <c r="AI13" s="63"/>
      <c r="AJ13" s="36">
        <f t="shared" si="1"/>
        <v>33.6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>
        <f t="shared" si="4"/>
        <v>34.200000000000003</v>
      </c>
      <c r="AP13" s="23">
        <f t="shared" si="5"/>
        <v>2.000218390804605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>
        <v>31.9</v>
      </c>
      <c r="R14" s="63">
        <v>34.6</v>
      </c>
      <c r="S14" s="63">
        <v>31.4</v>
      </c>
      <c r="T14" s="63">
        <v>33.799999999999997</v>
      </c>
      <c r="U14" s="63">
        <v>36.9</v>
      </c>
      <c r="V14" s="63">
        <v>35.200000000000003</v>
      </c>
      <c r="W14" s="63">
        <v>29.6</v>
      </c>
      <c r="X14" s="63">
        <v>33.4</v>
      </c>
      <c r="Y14" s="63">
        <v>32.200000000000003</v>
      </c>
      <c r="Z14" s="63">
        <v>34.6</v>
      </c>
      <c r="AA14" s="63">
        <v>34.799999999999997</v>
      </c>
      <c r="AB14" s="63">
        <v>34.5</v>
      </c>
      <c r="AC14" s="63">
        <v>34.4</v>
      </c>
      <c r="AD14" s="63">
        <v>29.1</v>
      </c>
      <c r="AE14" s="63">
        <v>32.200000000000003</v>
      </c>
      <c r="AF14" s="63"/>
      <c r="AG14" s="63"/>
      <c r="AH14" s="63"/>
      <c r="AI14" s="63"/>
      <c r="AJ14" s="36">
        <f t="shared" si="1"/>
        <v>32.200000000000003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>
        <f t="shared" si="4"/>
        <v>33.777777777777779</v>
      </c>
      <c r="AP14" s="23">
        <f t="shared" si="5"/>
        <v>1.2165398967698167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>
        <v>29.9</v>
      </c>
      <c r="R15" s="63">
        <v>33.200000000000003</v>
      </c>
      <c r="S15" s="63">
        <v>32.299999999999997</v>
      </c>
      <c r="T15" s="63">
        <v>34.299999999999997</v>
      </c>
      <c r="U15" s="63">
        <v>34.200000000000003</v>
      </c>
      <c r="V15" s="63">
        <v>31.1</v>
      </c>
      <c r="W15" s="63">
        <v>33.6</v>
      </c>
      <c r="X15" s="63">
        <v>32.6</v>
      </c>
      <c r="Y15" s="63">
        <v>32.9</v>
      </c>
      <c r="Z15" s="63">
        <v>33.200000000000003</v>
      </c>
      <c r="AA15" s="63">
        <v>32.200000000000003</v>
      </c>
      <c r="AB15" s="63">
        <v>31.8</v>
      </c>
      <c r="AC15" s="63">
        <v>33.700000000000003</v>
      </c>
      <c r="AD15" s="63">
        <v>31</v>
      </c>
      <c r="AE15" s="63">
        <v>31.3</v>
      </c>
      <c r="AF15" s="63"/>
      <c r="AG15" s="63"/>
      <c r="AH15" s="63"/>
      <c r="AI15" s="63"/>
      <c r="AJ15" s="36">
        <f t="shared" si="1"/>
        <v>31.3</v>
      </c>
      <c r="AK15" s="21">
        <f t="shared" si="2"/>
        <v>34.299999999999997</v>
      </c>
      <c r="AL15" s="22">
        <v>35.4</v>
      </c>
      <c r="AM15" s="23">
        <f t="shared" si="3"/>
        <v>-1.1000000000000014</v>
      </c>
      <c r="AN15" s="23">
        <v>31.91844417077176</v>
      </c>
      <c r="AO15" s="23">
        <f t="shared" si="4"/>
        <v>32.088888888888896</v>
      </c>
      <c r="AP15" s="23">
        <f t="shared" si="5"/>
        <v>0.17044471811713535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>
        <v>33</v>
      </c>
      <c r="R17" s="63">
        <v>36.4</v>
      </c>
      <c r="S17" s="63">
        <v>35.4</v>
      </c>
      <c r="T17" s="63">
        <v>33.6</v>
      </c>
      <c r="U17" s="63">
        <v>36.5</v>
      </c>
      <c r="V17" s="63">
        <v>37.200000000000003</v>
      </c>
      <c r="W17" s="63">
        <v>30</v>
      </c>
      <c r="X17" s="63">
        <v>35.200000000000003</v>
      </c>
      <c r="Y17" s="63">
        <v>30.8</v>
      </c>
      <c r="Z17" s="63">
        <v>34.700000000000003</v>
      </c>
      <c r="AA17" s="63">
        <v>32.4</v>
      </c>
      <c r="AB17" s="63">
        <v>33.799999999999997</v>
      </c>
      <c r="AC17" s="63">
        <v>29.7</v>
      </c>
      <c r="AD17" s="63">
        <v>32</v>
      </c>
      <c r="AE17" s="63">
        <v>31</v>
      </c>
      <c r="AF17" s="63"/>
      <c r="AG17" s="63"/>
      <c r="AH17" s="63"/>
      <c r="AI17" s="63"/>
      <c r="AJ17" s="36">
        <f t="shared" si="1"/>
        <v>31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>
        <f>IF(COUNTIF(E17:AI17,"&gt;0")&gt;=15,AVERAGE(E17:AI17),"")</f>
        <v>34.18518518518519</v>
      </c>
      <c r="AP17" s="23">
        <f>IF(AN17&gt;0,IFERROR(AO17-AN17,""),"")</f>
        <v>2.1571828070638972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>
        <v>28.6</v>
      </c>
      <c r="R18" s="63">
        <v>30</v>
      </c>
      <c r="S18" s="63">
        <v>29.8</v>
      </c>
      <c r="T18" s="63">
        <v>28</v>
      </c>
      <c r="U18" s="63">
        <v>30.6</v>
      </c>
      <c r="V18" s="63">
        <v>28.4</v>
      </c>
      <c r="W18" s="63">
        <v>26.8</v>
      </c>
      <c r="X18" s="63">
        <v>26.4</v>
      </c>
      <c r="Y18" s="63">
        <v>27.3</v>
      </c>
      <c r="Z18" s="63">
        <v>29.1</v>
      </c>
      <c r="AA18" s="63">
        <v>29</v>
      </c>
      <c r="AB18" s="63">
        <v>29.2</v>
      </c>
      <c r="AC18" s="63">
        <v>29</v>
      </c>
      <c r="AD18" s="63">
        <v>27.4</v>
      </c>
      <c r="AE18" s="63">
        <v>27.1</v>
      </c>
      <c r="AF18" s="63"/>
      <c r="AG18" s="63"/>
      <c r="AH18" s="63"/>
      <c r="AI18" s="63"/>
      <c r="AJ18" s="36">
        <f t="shared" si="1"/>
        <v>27.1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>
        <f t="shared" ref="AO18:AO33" si="6">IF(COUNTIF(E18:AI18,"&gt;0")&gt;=15,AVERAGE(E18:AI18),"")</f>
        <v>28.648148148148152</v>
      </c>
      <c r="AP18" s="23">
        <f t="shared" si="5"/>
        <v>2.4025345950345915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>
        <v>35.5</v>
      </c>
      <c r="R19" s="63">
        <v>37</v>
      </c>
      <c r="S19" s="63">
        <v>37.6</v>
      </c>
      <c r="T19" s="63">
        <v>36.299999999999997</v>
      </c>
      <c r="U19" s="63">
        <v>35</v>
      </c>
      <c r="V19" s="63">
        <v>37.6</v>
      </c>
      <c r="W19" s="63">
        <v>36.299999999999997</v>
      </c>
      <c r="X19" s="63">
        <v>37.4</v>
      </c>
      <c r="Y19" s="63">
        <v>37.6</v>
      </c>
      <c r="Z19" s="63">
        <v>37.700000000000003</v>
      </c>
      <c r="AA19" s="63">
        <v>39.5</v>
      </c>
      <c r="AB19" s="63">
        <v>36.1</v>
      </c>
      <c r="AC19" s="63">
        <v>36.299999999999997</v>
      </c>
      <c r="AD19" s="63">
        <v>38.799999999999997</v>
      </c>
      <c r="AE19" s="63">
        <v>33.299999999999997</v>
      </c>
      <c r="AF19" s="63"/>
      <c r="AG19" s="63"/>
      <c r="AH19" s="63"/>
      <c r="AI19" s="63"/>
      <c r="AJ19" s="36">
        <f t="shared" si="1"/>
        <v>33.299999999999997</v>
      </c>
      <c r="AK19" s="21">
        <f t="shared" si="2"/>
        <v>39.5</v>
      </c>
      <c r="AL19" s="22">
        <v>38.4</v>
      </c>
      <c r="AM19" s="23">
        <f t="shared" si="3"/>
        <v>1.1000000000000014</v>
      </c>
      <c r="AN19" s="23">
        <v>34.362535919540242</v>
      </c>
      <c r="AO19" s="23">
        <f t="shared" si="6"/>
        <v>36.392592592592585</v>
      </c>
      <c r="AP19" s="23">
        <f t="shared" si="5"/>
        <v>2.0300566730523428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>
        <v>29</v>
      </c>
      <c r="R20" s="63">
        <v>31.9</v>
      </c>
      <c r="S20" s="63">
        <v>31.1</v>
      </c>
      <c r="T20" s="63">
        <v>30.6</v>
      </c>
      <c r="U20" s="63">
        <v>32</v>
      </c>
      <c r="V20" s="63">
        <v>32.700000000000003</v>
      </c>
      <c r="W20" s="63">
        <v>28.1</v>
      </c>
      <c r="X20" s="63">
        <v>31.9</v>
      </c>
      <c r="Y20" s="63">
        <v>32.1</v>
      </c>
      <c r="Z20" s="63">
        <v>30</v>
      </c>
      <c r="AA20" s="63">
        <v>30.7</v>
      </c>
      <c r="AB20" s="63">
        <v>31</v>
      </c>
      <c r="AC20" s="63">
        <v>27.8</v>
      </c>
      <c r="AD20" s="63">
        <v>28.8</v>
      </c>
      <c r="AE20" s="63">
        <v>29.5</v>
      </c>
      <c r="AF20" s="63"/>
      <c r="AG20" s="63"/>
      <c r="AH20" s="63"/>
      <c r="AI20" s="63"/>
      <c r="AJ20" s="36">
        <f t="shared" si="1"/>
        <v>29.5</v>
      </c>
      <c r="AK20" s="21">
        <f t="shared" si="2"/>
        <v>32.700000000000003</v>
      </c>
      <c r="AL20" s="22">
        <v>33.1</v>
      </c>
      <c r="AM20" s="23">
        <f t="shared" si="3"/>
        <v>-0.39999999999999858</v>
      </c>
      <c r="AN20" s="23">
        <v>28.140217569786529</v>
      </c>
      <c r="AO20" s="23">
        <f t="shared" si="6"/>
        <v>30.503703703703703</v>
      </c>
      <c r="AP20" s="23">
        <f t="shared" si="5"/>
        <v>2.3634861339171742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>
        <v>25</v>
      </c>
      <c r="R21" s="63">
        <v>24.6</v>
      </c>
      <c r="S21" s="63">
        <v>24.8</v>
      </c>
      <c r="T21" s="63">
        <v>24.8</v>
      </c>
      <c r="U21" s="63">
        <v>25</v>
      </c>
      <c r="V21" s="63">
        <v>25.6</v>
      </c>
      <c r="W21" s="63">
        <v>23.4</v>
      </c>
      <c r="X21" s="63">
        <v>25</v>
      </c>
      <c r="Y21" s="63">
        <v>25.2</v>
      </c>
      <c r="Z21" s="63">
        <v>25.4</v>
      </c>
      <c r="AA21" s="63">
        <v>23.8</v>
      </c>
      <c r="AB21" s="63">
        <v>24.8</v>
      </c>
      <c r="AC21" s="63">
        <v>22.4</v>
      </c>
      <c r="AD21" s="63">
        <v>24.2</v>
      </c>
      <c r="AE21" s="63">
        <v>24</v>
      </c>
      <c r="AF21" s="63"/>
      <c r="AG21" s="63"/>
      <c r="AH21" s="63"/>
      <c r="AI21" s="63"/>
      <c r="AJ21" s="36">
        <f t="shared" si="1"/>
        <v>24</v>
      </c>
      <c r="AK21" s="21">
        <f t="shared" si="2"/>
        <v>25.6</v>
      </c>
      <c r="AL21" s="22">
        <v>26.9</v>
      </c>
      <c r="AM21" s="23">
        <f t="shared" si="3"/>
        <v>-1.2999999999999972</v>
      </c>
      <c r="AN21" s="23">
        <v>22.564435196194999</v>
      </c>
      <c r="AO21" s="23">
        <f t="shared" si="6"/>
        <v>24.462962962962962</v>
      </c>
      <c r="AP21" s="23">
        <f t="shared" si="5"/>
        <v>1.8985277667679625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>
        <v>27.2</v>
      </c>
      <c r="R23" s="63">
        <v>29.3</v>
      </c>
      <c r="S23" s="63">
        <v>31.2</v>
      </c>
      <c r="T23" s="63">
        <v>30.9</v>
      </c>
      <c r="U23" s="63">
        <v>34</v>
      </c>
      <c r="V23" s="63">
        <v>31.4</v>
      </c>
      <c r="W23" s="63">
        <v>29</v>
      </c>
      <c r="X23" s="63">
        <v>27.2</v>
      </c>
      <c r="Y23" s="63">
        <v>30.2</v>
      </c>
      <c r="Z23" s="63">
        <v>28.6</v>
      </c>
      <c r="AA23" s="63">
        <v>28.8</v>
      </c>
      <c r="AB23" s="63">
        <v>28.6</v>
      </c>
      <c r="AC23" s="63">
        <v>29.8</v>
      </c>
      <c r="AD23" s="63">
        <v>27.8</v>
      </c>
      <c r="AE23" s="63">
        <v>27.6</v>
      </c>
      <c r="AF23" s="63"/>
      <c r="AG23" s="63"/>
      <c r="AH23" s="63"/>
      <c r="AI23" s="63"/>
      <c r="AJ23" s="36">
        <f t="shared" si="1"/>
        <v>27.6</v>
      </c>
      <c r="AK23" s="21">
        <f t="shared" si="2"/>
        <v>34</v>
      </c>
      <c r="AL23" s="22">
        <v>32.799999999999997</v>
      </c>
      <c r="AM23" s="23">
        <f t="shared" si="3"/>
        <v>1.2000000000000028</v>
      </c>
      <c r="AN23" s="23">
        <v>27.03996905393457</v>
      </c>
      <c r="AO23" s="23">
        <f t="shared" si="6"/>
        <v>29.355555555555558</v>
      </c>
      <c r="AP23" s="23">
        <f t="shared" si="5"/>
        <v>2.315586501620988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>
        <v>28.3</v>
      </c>
      <c r="R24" s="63">
        <v>31.1</v>
      </c>
      <c r="S24" s="63">
        <v>31.3</v>
      </c>
      <c r="T24" s="63">
        <v>32.200000000000003</v>
      </c>
      <c r="U24" s="63">
        <v>35.1</v>
      </c>
      <c r="V24" s="63">
        <v>33.799999999999997</v>
      </c>
      <c r="W24" s="63">
        <v>32.700000000000003</v>
      </c>
      <c r="X24" s="63">
        <v>30.2</v>
      </c>
      <c r="Y24" s="63">
        <v>31.9</v>
      </c>
      <c r="Z24" s="63">
        <v>29</v>
      </c>
      <c r="AA24" s="63">
        <v>30.8</v>
      </c>
      <c r="AB24" s="63">
        <v>30</v>
      </c>
      <c r="AC24" s="63">
        <v>28.9</v>
      </c>
      <c r="AD24" s="63">
        <v>29</v>
      </c>
      <c r="AE24" s="63">
        <v>28.3</v>
      </c>
      <c r="AF24" s="63"/>
      <c r="AG24" s="63"/>
      <c r="AH24" s="63"/>
      <c r="AI24" s="63"/>
      <c r="AJ24" s="36">
        <f t="shared" si="1"/>
        <v>28.3</v>
      </c>
      <c r="AK24" s="21">
        <f t="shared" si="2"/>
        <v>35.1</v>
      </c>
      <c r="AL24" s="22">
        <v>35</v>
      </c>
      <c r="AM24" s="23">
        <f t="shared" si="3"/>
        <v>0.10000000000000142</v>
      </c>
      <c r="AN24" s="23">
        <v>28.21960773581463</v>
      </c>
      <c r="AO24" s="23">
        <f t="shared" si="6"/>
        <v>30.896296296296295</v>
      </c>
      <c r="AP24" s="23">
        <f t="shared" si="5"/>
        <v>2.676688560481665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>
        <v>34.1</v>
      </c>
      <c r="R25" s="63">
        <v>34.6</v>
      </c>
      <c r="S25" s="63">
        <v>35.200000000000003</v>
      </c>
      <c r="T25" s="63">
        <v>34.6</v>
      </c>
      <c r="U25" s="63">
        <v>35</v>
      </c>
      <c r="V25" s="63">
        <v>36.1</v>
      </c>
      <c r="W25" s="63">
        <v>34.700000000000003</v>
      </c>
      <c r="X25" s="63">
        <v>34.9</v>
      </c>
      <c r="Y25" s="63">
        <v>34.4</v>
      </c>
      <c r="Z25" s="63">
        <v>34</v>
      </c>
      <c r="AA25" s="63">
        <v>33.6</v>
      </c>
      <c r="AB25" s="63">
        <v>33.799999999999997</v>
      </c>
      <c r="AC25" s="63">
        <v>28.9</v>
      </c>
      <c r="AD25" s="63">
        <v>33.200000000000003</v>
      </c>
      <c r="AE25" s="63">
        <v>32</v>
      </c>
      <c r="AF25" s="63"/>
      <c r="AG25" s="63"/>
      <c r="AH25" s="63"/>
      <c r="AI25" s="63"/>
      <c r="AJ25" s="36">
        <f t="shared" si="1"/>
        <v>32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>
        <f t="shared" si="6"/>
        <v>33.94444444444445</v>
      </c>
      <c r="AP25" s="23">
        <f t="shared" si="5"/>
        <v>3.1079556650246296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>
        <v>20.6</v>
      </c>
      <c r="R26" s="63">
        <v>21.3</v>
      </c>
      <c r="S26" s="63">
        <v>20.5</v>
      </c>
      <c r="T26" s="63">
        <v>20.9</v>
      </c>
      <c r="U26" s="63">
        <v>19.7</v>
      </c>
      <c r="V26" s="63">
        <v>19.3</v>
      </c>
      <c r="W26" s="63">
        <v>20.7</v>
      </c>
      <c r="X26" s="63">
        <v>22.2</v>
      </c>
      <c r="Y26" s="63">
        <v>22.1</v>
      </c>
      <c r="Z26" s="63">
        <v>22.6</v>
      </c>
      <c r="AA26" s="63">
        <v>23.3</v>
      </c>
      <c r="AB26" s="63">
        <v>20.6</v>
      </c>
      <c r="AC26" s="63">
        <v>20.7</v>
      </c>
      <c r="AD26" s="63">
        <v>20.9</v>
      </c>
      <c r="AE26" s="63">
        <v>20.2</v>
      </c>
      <c r="AF26" s="63"/>
      <c r="AG26" s="63"/>
      <c r="AH26" s="63"/>
      <c r="AI26" s="63"/>
      <c r="AJ26" s="36">
        <f t="shared" si="1"/>
        <v>20.2</v>
      </c>
      <c r="AK26" s="21">
        <f t="shared" si="2"/>
        <v>23.3</v>
      </c>
      <c r="AL26" s="22">
        <v>23.3</v>
      </c>
      <c r="AM26" s="23">
        <f t="shared" si="3"/>
        <v>0</v>
      </c>
      <c r="AN26" s="23">
        <v>19.205027672249159</v>
      </c>
      <c r="AO26" s="23">
        <f t="shared" si="6"/>
        <v>20.6</v>
      </c>
      <c r="AP26" s="23">
        <f t="shared" si="5"/>
        <v>1.3949723277508426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>
        <v>20</v>
      </c>
      <c r="R27" s="63">
        <v>21.8</v>
      </c>
      <c r="S27" s="63">
        <v>21.2</v>
      </c>
      <c r="T27" s="63">
        <v>20.8</v>
      </c>
      <c r="U27" s="63">
        <v>20.6</v>
      </c>
      <c r="V27" s="63">
        <v>21.2</v>
      </c>
      <c r="W27" s="63">
        <v>19.2</v>
      </c>
      <c r="X27" s="63">
        <v>21.4</v>
      </c>
      <c r="Y27" s="63">
        <v>22.2</v>
      </c>
      <c r="Z27" s="63">
        <v>23.2</v>
      </c>
      <c r="AA27" s="63">
        <v>23.2</v>
      </c>
      <c r="AB27" s="63">
        <v>22.8</v>
      </c>
      <c r="AC27" s="63">
        <v>21.8</v>
      </c>
      <c r="AD27" s="63">
        <v>22</v>
      </c>
      <c r="AE27" s="63">
        <v>21.8</v>
      </c>
      <c r="AF27" s="63"/>
      <c r="AG27" s="63"/>
      <c r="AH27" s="63"/>
      <c r="AI27" s="63"/>
      <c r="AJ27" s="36">
        <f t="shared" si="1"/>
        <v>21.8</v>
      </c>
      <c r="AK27" s="21">
        <f t="shared" si="2"/>
        <v>23.2</v>
      </c>
      <c r="AL27" s="22">
        <v>23.4</v>
      </c>
      <c r="AM27" s="23">
        <f t="shared" si="3"/>
        <v>-0.19999999999999929</v>
      </c>
      <c r="AN27" s="23">
        <v>18.093990147783249</v>
      </c>
      <c r="AO27" s="23">
        <f t="shared" si="6"/>
        <v>21.066666666666666</v>
      </c>
      <c r="AP27" s="23">
        <f t="shared" si="5"/>
        <v>2.9726765188834179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>
        <v>30.7</v>
      </c>
      <c r="R28" s="63">
        <v>34.200000000000003</v>
      </c>
      <c r="S28" s="63">
        <v>34.799999999999997</v>
      </c>
      <c r="T28" s="63">
        <v>33.299999999999997</v>
      </c>
      <c r="U28" s="63">
        <v>36.799999999999997</v>
      </c>
      <c r="V28" s="63">
        <v>35.299999999999997</v>
      </c>
      <c r="W28" s="63">
        <v>34.9</v>
      </c>
      <c r="X28" s="63">
        <v>31.5</v>
      </c>
      <c r="Y28" s="63">
        <v>34.5</v>
      </c>
      <c r="Z28" s="63">
        <v>33.299999999999997</v>
      </c>
      <c r="AA28" s="63">
        <v>32.6</v>
      </c>
      <c r="AB28" s="63">
        <v>31.9</v>
      </c>
      <c r="AC28" s="63">
        <v>33.799999999999997</v>
      </c>
      <c r="AD28" s="63">
        <v>31.9</v>
      </c>
      <c r="AE28" s="63">
        <v>29.6</v>
      </c>
      <c r="AF28" s="63"/>
      <c r="AG28" s="63"/>
      <c r="AH28" s="63"/>
      <c r="AI28" s="63"/>
      <c r="AJ28" s="36">
        <f t="shared" si="1"/>
        <v>29.6</v>
      </c>
      <c r="AK28" s="21">
        <f t="shared" si="2"/>
        <v>36.799999999999997</v>
      </c>
      <c r="AL28" s="22">
        <v>35.1</v>
      </c>
      <c r="AM28" s="23">
        <f t="shared" si="3"/>
        <v>1.6999999999999957</v>
      </c>
      <c r="AN28" s="23">
        <v>30.640448440448441</v>
      </c>
      <c r="AO28" s="23">
        <f t="shared" si="6"/>
        <v>33.325925925925922</v>
      </c>
      <c r="AP28" s="23">
        <f t="shared" si="5"/>
        <v>2.685477485477481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>
        <v>35</v>
      </c>
      <c r="R30" s="63">
        <v>38.299999999999997</v>
      </c>
      <c r="S30" s="63">
        <v>39</v>
      </c>
      <c r="T30" s="63">
        <v>36.6</v>
      </c>
      <c r="U30" s="63">
        <v>36.6</v>
      </c>
      <c r="V30" s="63">
        <v>38</v>
      </c>
      <c r="W30" s="63">
        <v>36.700000000000003</v>
      </c>
      <c r="X30" s="63">
        <v>38.799999999999997</v>
      </c>
      <c r="Y30" s="63">
        <v>40</v>
      </c>
      <c r="Z30" s="63">
        <v>39.200000000000003</v>
      </c>
      <c r="AA30" s="63">
        <v>39.1</v>
      </c>
      <c r="AB30" s="63">
        <v>39.1</v>
      </c>
      <c r="AC30" s="63">
        <v>36.200000000000003</v>
      </c>
      <c r="AD30" s="63">
        <v>36.6</v>
      </c>
      <c r="AE30" s="63">
        <v>38.299999999999997</v>
      </c>
      <c r="AF30" s="63"/>
      <c r="AG30" s="63"/>
      <c r="AH30" s="63"/>
      <c r="AI30" s="63"/>
      <c r="AJ30" s="36">
        <f t="shared" si="1"/>
        <v>38.299999999999997</v>
      </c>
      <c r="AK30" s="21">
        <f t="shared" si="2"/>
        <v>40</v>
      </c>
      <c r="AL30" s="22">
        <v>40.5</v>
      </c>
      <c r="AM30" s="23">
        <f t="shared" si="3"/>
        <v>-0.5</v>
      </c>
      <c r="AN30" s="23">
        <v>34.911888888888889</v>
      </c>
      <c r="AO30" s="23">
        <f t="shared" si="6"/>
        <v>37.262962962962973</v>
      </c>
      <c r="AP30" s="23">
        <f t="shared" si="5"/>
        <v>2.3510740740740843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>
        <v>28.2</v>
      </c>
      <c r="R31" s="63">
        <v>28.2</v>
      </c>
      <c r="S31" s="63">
        <v>27.8</v>
      </c>
      <c r="T31" s="63">
        <v>28.5</v>
      </c>
      <c r="U31" s="63">
        <v>28</v>
      </c>
      <c r="V31" s="63">
        <v>28.3</v>
      </c>
      <c r="W31" s="63">
        <v>27</v>
      </c>
      <c r="X31" s="63">
        <v>28.3</v>
      </c>
      <c r="Y31" s="63">
        <v>30</v>
      </c>
      <c r="Z31" s="63">
        <v>25.8</v>
      </c>
      <c r="AA31" s="63">
        <v>28.8</v>
      </c>
      <c r="AB31" s="63">
        <v>26</v>
      </c>
      <c r="AC31" s="63">
        <v>27.1</v>
      </c>
      <c r="AD31" s="63">
        <v>26.4</v>
      </c>
      <c r="AE31" s="63">
        <v>24.6</v>
      </c>
      <c r="AF31" s="63"/>
      <c r="AG31" s="63"/>
      <c r="AH31" s="63"/>
      <c r="AI31" s="63"/>
      <c r="AJ31" s="36">
        <f t="shared" si="1"/>
        <v>24.6</v>
      </c>
      <c r="AK31" s="21">
        <f t="shared" si="2"/>
        <v>30</v>
      </c>
      <c r="AL31" s="22">
        <v>31.2</v>
      </c>
      <c r="AM31" s="23">
        <f t="shared" si="3"/>
        <v>-1.1999999999999993</v>
      </c>
      <c r="AN31" s="23">
        <v>25.982387369533619</v>
      </c>
      <c r="AO31" s="23">
        <f t="shared" si="6"/>
        <v>27.759259259259256</v>
      </c>
      <c r="AP31" s="23">
        <f t="shared" si="5"/>
        <v>1.776871889725637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>
        <v>18</v>
      </c>
      <c r="R32" s="63">
        <v>17.600000000000001</v>
      </c>
      <c r="S32" s="63">
        <v>18.399999999999999</v>
      </c>
      <c r="T32" s="63">
        <v>18.600000000000001</v>
      </c>
      <c r="U32" s="63">
        <v>19.600000000000001</v>
      </c>
      <c r="V32" s="63">
        <v>17.2</v>
      </c>
      <c r="W32" s="63">
        <v>16.600000000000001</v>
      </c>
      <c r="X32" s="63">
        <v>19</v>
      </c>
      <c r="Y32" s="63">
        <v>20.6</v>
      </c>
      <c r="Z32" s="63">
        <v>18.8</v>
      </c>
      <c r="AA32" s="63">
        <v>21.6</v>
      </c>
      <c r="AB32" s="63">
        <v>21.4</v>
      </c>
      <c r="AC32" s="63">
        <v>20.2</v>
      </c>
      <c r="AD32" s="63">
        <v>19.600000000000001</v>
      </c>
      <c r="AE32" s="63">
        <v>19</v>
      </c>
      <c r="AF32" s="63"/>
      <c r="AG32" s="63"/>
      <c r="AH32" s="63"/>
      <c r="AI32" s="63"/>
      <c r="AJ32" s="36">
        <f t="shared" si="1"/>
        <v>19</v>
      </c>
      <c r="AK32" s="21">
        <f t="shared" si="2"/>
        <v>21.6</v>
      </c>
      <c r="AL32" s="22">
        <v>23.4</v>
      </c>
      <c r="AM32" s="23">
        <f t="shared" si="3"/>
        <v>-1.7999999999999972</v>
      </c>
      <c r="AN32" s="27">
        <v>17.33622330219147</v>
      </c>
      <c r="AO32" s="23">
        <f t="shared" si="6"/>
        <v>18.918518518518525</v>
      </c>
      <c r="AP32" s="23">
        <f t="shared" si="5"/>
        <v>1.5822952163270543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>
        <v>16.8</v>
      </c>
      <c r="R33" s="63">
        <v>16.600000000000001</v>
      </c>
      <c r="S33" s="63">
        <v>15.6</v>
      </c>
      <c r="T33" s="63">
        <v>16.2</v>
      </c>
      <c r="U33" s="63">
        <v>15.8</v>
      </c>
      <c r="V33" s="63">
        <v>15.8</v>
      </c>
      <c r="W33" s="63">
        <v>14.6</v>
      </c>
      <c r="X33" s="63">
        <v>17.600000000000001</v>
      </c>
      <c r="Y33" s="63">
        <v>19.399999999999999</v>
      </c>
      <c r="Z33" s="63">
        <v>17.2</v>
      </c>
      <c r="AA33" s="63">
        <v>19.2</v>
      </c>
      <c r="AB33" s="63">
        <v>18.399999999999999</v>
      </c>
      <c r="AC33" s="63">
        <v>18.2</v>
      </c>
      <c r="AD33" s="63">
        <v>18.600000000000001</v>
      </c>
      <c r="AE33" s="63">
        <v>19.2</v>
      </c>
      <c r="AF33" s="63"/>
      <c r="AG33" s="63"/>
      <c r="AH33" s="63"/>
      <c r="AI33" s="63"/>
      <c r="AJ33" s="36">
        <f t="shared" si="1"/>
        <v>19.2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>
        <f t="shared" si="6"/>
        <v>17.081481481481482</v>
      </c>
      <c r="AP33" s="23">
        <f t="shared" si="5"/>
        <v>1.1511717752235029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>
        <v>29.2</v>
      </c>
      <c r="R35" s="63">
        <v>32.200000000000003</v>
      </c>
      <c r="S35" s="63">
        <v>30.4</v>
      </c>
      <c r="T35" s="63">
        <v>31.2</v>
      </c>
      <c r="U35" s="63">
        <v>34</v>
      </c>
      <c r="V35" s="63">
        <v>31.2</v>
      </c>
      <c r="W35" s="63">
        <v>32.799999999999997</v>
      </c>
      <c r="X35" s="63">
        <v>32.6</v>
      </c>
      <c r="Y35" s="63">
        <v>33.4</v>
      </c>
      <c r="Z35" s="63">
        <v>31.2</v>
      </c>
      <c r="AA35" s="63">
        <v>33</v>
      </c>
      <c r="AB35" s="63">
        <v>30.2</v>
      </c>
      <c r="AC35" s="63">
        <v>33.799999999999997</v>
      </c>
      <c r="AD35" s="63">
        <v>31</v>
      </c>
      <c r="AE35" s="63">
        <v>27.6</v>
      </c>
      <c r="AF35" s="63"/>
      <c r="AG35" s="63"/>
      <c r="AH35" s="63"/>
      <c r="AI35" s="63"/>
      <c r="AJ35" s="36">
        <f t="shared" si="1"/>
        <v>27.6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>
        <f>IF(COUNTIF(E35:AI35,"&gt;0")&gt;=15,AVERAGE(E35:AI35),"")</f>
        <v>31.844444444444441</v>
      </c>
      <c r="AP35" s="23">
        <f t="shared" si="5"/>
        <v>0.89733059660646219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>
        <v>32.9</v>
      </c>
      <c r="R38" s="63">
        <v>32.9</v>
      </c>
      <c r="S38" s="63">
        <v>32.6</v>
      </c>
      <c r="T38" s="63">
        <v>32.200000000000003</v>
      </c>
      <c r="U38" s="63">
        <v>32.5</v>
      </c>
      <c r="V38" s="63">
        <v>33.700000000000003</v>
      </c>
      <c r="W38" s="63">
        <v>30.1</v>
      </c>
      <c r="X38" s="63">
        <v>32.4</v>
      </c>
      <c r="Y38" s="63">
        <v>34.4</v>
      </c>
      <c r="Z38" s="63">
        <v>34.5</v>
      </c>
      <c r="AA38" s="63">
        <v>34.700000000000003</v>
      </c>
      <c r="AB38" s="63">
        <v>24.8</v>
      </c>
      <c r="AC38" s="63">
        <v>30.6</v>
      </c>
      <c r="AD38" s="63">
        <v>34.200000000000003</v>
      </c>
      <c r="AE38" s="63">
        <v>34.5</v>
      </c>
      <c r="AF38" s="63"/>
      <c r="AG38" s="63"/>
      <c r="AH38" s="63"/>
      <c r="AI38" s="63"/>
      <c r="AJ38" s="36">
        <f t="shared" si="1"/>
        <v>34.5</v>
      </c>
      <c r="AK38" s="21">
        <f t="shared" si="2"/>
        <v>34.700000000000003</v>
      </c>
      <c r="AL38" s="22">
        <v>35.6</v>
      </c>
      <c r="AM38" s="23">
        <f t="shared" si="3"/>
        <v>-0.89999999999999858</v>
      </c>
      <c r="AN38" s="23">
        <v>31.67147144681628</v>
      </c>
      <c r="AO38" s="23">
        <f>IF(COUNTIF(E38:AI38,"&gt;0")&gt;=15,AVERAGE(E38:AI38),"")</f>
        <v>32.677777777777777</v>
      </c>
      <c r="AP38" s="23">
        <f t="shared" si="5"/>
        <v>1.0063063309614968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>
        <v>34.4</v>
      </c>
      <c r="R39" s="63">
        <v>34.799999999999997</v>
      </c>
      <c r="S39" s="63">
        <v>33.6</v>
      </c>
      <c r="T39" s="63">
        <v>32.4</v>
      </c>
      <c r="U39" s="63">
        <v>33</v>
      </c>
      <c r="V39" s="63">
        <v>30</v>
      </c>
      <c r="W39" s="63">
        <v>31.4</v>
      </c>
      <c r="X39" s="63">
        <v>33.6</v>
      </c>
      <c r="Y39" s="63">
        <v>35.6</v>
      </c>
      <c r="Z39" s="63">
        <v>35.6</v>
      </c>
      <c r="AA39" s="63">
        <v>35.799999999999997</v>
      </c>
      <c r="AB39" s="63">
        <v>28.2</v>
      </c>
      <c r="AC39" s="63">
        <v>34.6</v>
      </c>
      <c r="AD39" s="63">
        <v>34.5</v>
      </c>
      <c r="AE39" s="63">
        <v>33.4</v>
      </c>
      <c r="AF39" s="63"/>
      <c r="AG39" s="63"/>
      <c r="AH39" s="63"/>
      <c r="AI39" s="63"/>
      <c r="AJ39" s="36">
        <f t="shared" si="1"/>
        <v>33.4</v>
      </c>
      <c r="AK39" s="21">
        <f t="shared" si="2"/>
        <v>35.799999999999997</v>
      </c>
      <c r="AL39" s="22">
        <v>36.4</v>
      </c>
      <c r="AM39" s="23">
        <f t="shared" si="3"/>
        <v>-0.60000000000000142</v>
      </c>
      <c r="AN39" s="23">
        <v>32.684863258026162</v>
      </c>
      <c r="AO39" s="23">
        <f t="shared" ref="AO39:AO48" si="8">IF(COUNTIF(E39:AI39,"&gt;0")&gt;=15,AVERAGE(E39:AI39),"")</f>
        <v>33.57037037037037</v>
      </c>
      <c r="AP39" s="23">
        <f t="shared" si="5"/>
        <v>0.88550711234420731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>
        <v>32.1</v>
      </c>
      <c r="R40" s="63">
        <v>33.200000000000003</v>
      </c>
      <c r="S40" s="63">
        <v>32.200000000000003</v>
      </c>
      <c r="T40" s="63">
        <v>32.299999999999997</v>
      </c>
      <c r="U40" s="63">
        <v>31.9</v>
      </c>
      <c r="V40" s="63">
        <v>28</v>
      </c>
      <c r="W40" s="63">
        <v>31.7</v>
      </c>
      <c r="X40" s="63">
        <v>34</v>
      </c>
      <c r="Y40" s="63">
        <v>32.200000000000003</v>
      </c>
      <c r="Z40" s="63">
        <v>33.6</v>
      </c>
      <c r="AA40" s="63">
        <v>33.200000000000003</v>
      </c>
      <c r="AB40" s="63">
        <v>29.2</v>
      </c>
      <c r="AC40" s="63">
        <v>31.8</v>
      </c>
      <c r="AD40" s="63">
        <v>32.4</v>
      </c>
      <c r="AE40" s="63">
        <v>33.200000000000003</v>
      </c>
      <c r="AF40" s="63"/>
      <c r="AG40" s="63"/>
      <c r="AH40" s="63"/>
      <c r="AI40" s="63"/>
      <c r="AJ40" s="36">
        <f t="shared" si="1"/>
        <v>33.200000000000003</v>
      </c>
      <c r="AK40" s="21">
        <f t="shared" si="2"/>
        <v>34</v>
      </c>
      <c r="AL40" s="22">
        <v>35</v>
      </c>
      <c r="AM40" s="23">
        <f t="shared" si="3"/>
        <v>-1</v>
      </c>
      <c r="AN40" s="23">
        <v>30.79898193760263</v>
      </c>
      <c r="AO40" s="23">
        <f t="shared" si="8"/>
        <v>31.929629629629638</v>
      </c>
      <c r="AP40" s="23">
        <f t="shared" si="5"/>
        <v>1.1306476920270079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>
        <v>29.8</v>
      </c>
      <c r="R41" s="63">
        <v>32.6</v>
      </c>
      <c r="S41" s="63">
        <v>32</v>
      </c>
      <c r="T41" s="63">
        <v>31.8</v>
      </c>
      <c r="U41" s="63">
        <v>32.4</v>
      </c>
      <c r="V41" s="63">
        <v>32.200000000000003</v>
      </c>
      <c r="W41" s="63">
        <v>31.4</v>
      </c>
      <c r="X41" s="63">
        <v>33.6</v>
      </c>
      <c r="Y41" s="63">
        <v>33.4</v>
      </c>
      <c r="Z41" s="63">
        <v>34.4</v>
      </c>
      <c r="AA41" s="63">
        <v>34.200000000000003</v>
      </c>
      <c r="AB41" s="63">
        <v>29.8</v>
      </c>
      <c r="AC41" s="63">
        <v>30.8</v>
      </c>
      <c r="AD41" s="63">
        <v>33.799999999999997</v>
      </c>
      <c r="AE41" s="63">
        <v>32.4</v>
      </c>
      <c r="AF41" s="63"/>
      <c r="AG41" s="63"/>
      <c r="AH41" s="63"/>
      <c r="AI41" s="63"/>
      <c r="AJ41" s="36">
        <f t="shared" si="1"/>
        <v>32.4</v>
      </c>
      <c r="AK41" s="21">
        <f t="shared" si="2"/>
        <v>34.4</v>
      </c>
      <c r="AL41" s="22">
        <v>35</v>
      </c>
      <c r="AM41" s="23">
        <f t="shared" si="3"/>
        <v>-0.60000000000000142</v>
      </c>
      <c r="AN41" s="23">
        <v>30.61551559934319</v>
      </c>
      <c r="AO41" s="23">
        <f t="shared" si="8"/>
        <v>31.903703703703702</v>
      </c>
      <c r="AP41" s="23">
        <f t="shared" si="5"/>
        <v>1.2881881043605112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>
        <v>32</v>
      </c>
      <c r="R43" s="63">
        <v>34</v>
      </c>
      <c r="S43" s="63">
        <v>31.2</v>
      </c>
      <c r="T43" s="63">
        <v>30.4</v>
      </c>
      <c r="U43" s="63">
        <v>32.799999999999997</v>
      </c>
      <c r="V43" s="63">
        <v>32.200000000000003</v>
      </c>
      <c r="W43" s="63">
        <v>34</v>
      </c>
      <c r="X43" s="63">
        <v>31.4</v>
      </c>
      <c r="Y43" s="63">
        <v>34.4</v>
      </c>
      <c r="Z43" s="63">
        <v>35.799999999999997</v>
      </c>
      <c r="AA43" s="63">
        <v>33</v>
      </c>
      <c r="AB43" s="63">
        <v>29</v>
      </c>
      <c r="AC43" s="63">
        <v>34</v>
      </c>
      <c r="AD43" s="63">
        <v>32.200000000000003</v>
      </c>
      <c r="AE43" s="63">
        <v>32</v>
      </c>
      <c r="AF43" s="63"/>
      <c r="AG43" s="63"/>
      <c r="AH43" s="63"/>
      <c r="AI43" s="63"/>
      <c r="AJ43" s="36">
        <f t="shared" si="1"/>
        <v>32</v>
      </c>
      <c r="AK43" s="21">
        <f t="shared" si="2"/>
        <v>35.799999999999997</v>
      </c>
      <c r="AL43" s="22">
        <v>35.6</v>
      </c>
      <c r="AM43" s="23">
        <f t="shared" si="3"/>
        <v>0.19999999999999574</v>
      </c>
      <c r="AN43" s="23">
        <v>31.991304063769562</v>
      </c>
      <c r="AO43" s="23">
        <f t="shared" si="8"/>
        <v>32.577777777777776</v>
      </c>
      <c r="AP43" s="23">
        <f t="shared" si="5"/>
        <v>0.58647371400821413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>
        <v>32.1</v>
      </c>
      <c r="R44" s="29">
        <v>32.4</v>
      </c>
      <c r="S44" s="29">
        <v>30.3</v>
      </c>
      <c r="T44" s="29">
        <v>31.2</v>
      </c>
      <c r="U44" s="29">
        <v>32</v>
      </c>
      <c r="V44" s="29">
        <v>33</v>
      </c>
      <c r="W44" s="29">
        <v>32</v>
      </c>
      <c r="X44" s="29">
        <v>33</v>
      </c>
      <c r="Y44" s="29">
        <v>33.4</v>
      </c>
      <c r="Z44" s="29">
        <v>34</v>
      </c>
      <c r="AA44" s="29">
        <v>29.3</v>
      </c>
      <c r="AB44" s="29">
        <v>32.299999999999997</v>
      </c>
      <c r="AC44" s="29">
        <v>27.9</v>
      </c>
      <c r="AD44" s="29"/>
      <c r="AE44" s="63">
        <v>32</v>
      </c>
      <c r="AF44" s="63"/>
      <c r="AG44" s="63"/>
      <c r="AH44" s="63"/>
      <c r="AI44" s="63"/>
      <c r="AJ44" s="36">
        <f t="shared" si="1"/>
        <v>32</v>
      </c>
      <c r="AK44" s="21">
        <f t="shared" si="2"/>
        <v>34</v>
      </c>
      <c r="AL44" s="22">
        <v>34.799999999999997</v>
      </c>
      <c r="AM44" s="23">
        <f t="shared" si="3"/>
        <v>-0.79999999999999716</v>
      </c>
      <c r="AN44" s="23">
        <v>31.099937562083159</v>
      </c>
      <c r="AO44" s="23">
        <f t="shared" si="8"/>
        <v>31.649999999999995</v>
      </c>
      <c r="AP44" s="23">
        <f t="shared" si="5"/>
        <v>0.55006243791683573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>
        <v>30.4</v>
      </c>
      <c r="R45" s="63">
        <v>32.6</v>
      </c>
      <c r="S45" s="63">
        <v>33.200000000000003</v>
      </c>
      <c r="T45" s="63">
        <v>31.6</v>
      </c>
      <c r="U45" s="63">
        <v>33.200000000000003</v>
      </c>
      <c r="V45" s="63">
        <v>31.8</v>
      </c>
      <c r="W45" s="63">
        <v>32.200000000000003</v>
      </c>
      <c r="X45" s="63">
        <v>33.799999999999997</v>
      </c>
      <c r="Y45" s="63">
        <v>34.799999999999997</v>
      </c>
      <c r="Z45" s="63">
        <v>34.6</v>
      </c>
      <c r="AA45" s="63">
        <v>34.4</v>
      </c>
      <c r="AB45" s="63">
        <v>30.4</v>
      </c>
      <c r="AC45" s="63">
        <v>33</v>
      </c>
      <c r="AD45" s="63">
        <v>33</v>
      </c>
      <c r="AE45" s="63">
        <v>31.2</v>
      </c>
      <c r="AF45" s="63"/>
      <c r="AG45" s="63"/>
      <c r="AH45" s="63"/>
      <c r="AI45" s="63"/>
      <c r="AJ45" s="36">
        <f t="shared" si="1"/>
        <v>31.2</v>
      </c>
      <c r="AK45" s="21">
        <f t="shared" si="2"/>
        <v>34.799999999999997</v>
      </c>
      <c r="AL45" s="22">
        <v>35.6</v>
      </c>
      <c r="AM45" s="23">
        <f t="shared" si="3"/>
        <v>-0.80000000000000426</v>
      </c>
      <c r="AN45" s="23">
        <v>31.478230462470751</v>
      </c>
      <c r="AO45" s="23">
        <f t="shared" si="8"/>
        <v>32.511111111111113</v>
      </c>
      <c r="AP45" s="23">
        <f t="shared" si="5"/>
        <v>1.0328806486403614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>
        <v>31.5</v>
      </c>
      <c r="R48" s="63">
        <v>27.2</v>
      </c>
      <c r="S48" s="63">
        <v>29.4</v>
      </c>
      <c r="T48" s="63">
        <v>32.9</v>
      </c>
      <c r="U48" s="63">
        <v>27.7</v>
      </c>
      <c r="V48" s="63">
        <v>32.6</v>
      </c>
      <c r="W48" s="63">
        <v>30.4</v>
      </c>
      <c r="X48" s="63">
        <v>33.299999999999997</v>
      </c>
      <c r="Y48" s="63">
        <v>35</v>
      </c>
      <c r="Z48" s="63">
        <v>34.5</v>
      </c>
      <c r="AA48" s="63">
        <v>33.799999999999997</v>
      </c>
      <c r="AB48" s="63">
        <v>33.299999999999997</v>
      </c>
      <c r="AC48" s="63">
        <v>33.700000000000003</v>
      </c>
      <c r="AD48" s="63">
        <v>29.6</v>
      </c>
      <c r="AE48" s="63">
        <v>33.299999999999997</v>
      </c>
      <c r="AF48" s="63"/>
      <c r="AG48" s="63"/>
      <c r="AH48" s="63"/>
      <c r="AI48" s="63"/>
      <c r="AJ48" s="36">
        <f t="shared" si="1"/>
        <v>33.299999999999997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>
        <f t="shared" si="8"/>
        <v>32.296296296296291</v>
      </c>
      <c r="AP48" s="23">
        <f t="shared" si="5"/>
        <v>0.30785244130072087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2026-09-28T13:39:42Z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