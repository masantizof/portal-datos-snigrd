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5D67F66-B8F2-4916-9E9C-19B452B2CD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Temperatura!$AA$1:$AA$287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7" i="1" a="1"/>
  <c r="AV287" i="1" s="1"/>
  <c r="AU287" i="1" a="1"/>
  <c r="AU287" i="1" s="1"/>
  <c r="AT287" i="1"/>
  <c r="AW287" i="1" s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W277" i="1" s="1"/>
  <c r="AT277" i="1"/>
  <c r="AR277" i="1"/>
  <c r="AP277" i="1"/>
  <c r="AQ277" i="1" s="1"/>
  <c r="AS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W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S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W257" i="1" s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W253" i="1" s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S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S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S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Q237" i="1"/>
  <c r="AS237" i="1" s="1"/>
  <c r="AP237" i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S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W223" i="1" s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W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Q209" i="1"/>
  <c r="AP209" i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W187" i="1" s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Q183" i="1"/>
  <c r="AP183" i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W179" i="1" s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W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W163" i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Q157" i="1"/>
  <c r="AP157" i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W147" i="1" s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S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Q106" i="1"/>
  <c r="AP106" i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Q98" i="1"/>
  <c r="AP98" i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S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W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Q36" i="1"/>
  <c r="AP36" i="1"/>
  <c r="AV35" i="1" a="1"/>
  <c r="AV35" i="1" s="1"/>
  <c r="AU35" i="1" a="1"/>
  <c r="AU35" i="1" s="1"/>
  <c r="AT35" i="1"/>
  <c r="AR35" i="1"/>
  <c r="AQ35" i="1"/>
  <c r="AP35" i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Q15" i="1"/>
  <c r="AP15" i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68" i="1" l="1"/>
  <c r="AW80" i="1"/>
  <c r="AS65" i="1"/>
  <c r="AW92" i="1"/>
  <c r="AS171" i="1"/>
  <c r="AW233" i="1"/>
  <c r="AW245" i="1"/>
  <c r="AS148" i="1"/>
  <c r="AW171" i="1"/>
  <c r="AW175" i="1"/>
  <c r="AS55" i="1"/>
  <c r="AW58" i="1"/>
  <c r="AS180" i="1"/>
  <c r="AW195" i="1"/>
  <c r="AW199" i="1"/>
  <c r="AS215" i="1"/>
  <c r="AS219" i="1"/>
  <c r="AS266" i="1"/>
  <c r="AS286" i="1"/>
  <c r="AS192" i="1"/>
  <c r="AS33" i="1"/>
  <c r="AW40" i="1"/>
  <c r="AS83" i="1"/>
  <c r="AS71" i="1"/>
  <c r="AS91" i="1"/>
  <c r="AW153" i="1"/>
  <c r="AW235" i="1"/>
  <c r="AW247" i="1"/>
  <c r="AS224" i="1"/>
  <c r="AS60" i="1"/>
  <c r="AW30" i="1"/>
  <c r="AW64" i="1"/>
  <c r="AS182" i="1"/>
  <c r="AS217" i="1"/>
  <c r="AW127" i="1"/>
  <c r="AW177" i="1"/>
  <c r="AW207" i="1"/>
  <c r="AS227" i="1"/>
  <c r="AS246" i="1"/>
  <c r="AS82" i="1"/>
  <c r="AS189" i="1"/>
  <c r="AW211" i="1"/>
  <c r="AW215" i="1"/>
  <c r="AS250" i="1"/>
  <c r="AS151" i="1"/>
  <c r="AS170" i="1"/>
  <c r="AW185" i="1"/>
  <c r="AS208" i="1"/>
  <c r="AW231" i="1"/>
  <c r="AW78" i="1"/>
  <c r="AS72" i="1"/>
  <c r="AW108" i="1"/>
  <c r="AW155" i="1"/>
  <c r="AS197" i="1"/>
  <c r="AW159" i="1"/>
  <c r="AW193" i="1"/>
  <c r="AS69" i="1"/>
  <c r="AW72" i="1"/>
  <c r="AS117" i="1"/>
  <c r="AW197" i="1"/>
  <c r="AS205" i="1"/>
  <c r="AS35" i="1"/>
  <c r="AS179" i="1"/>
  <c r="AW201" i="1"/>
  <c r="AS209" i="1"/>
  <c r="AS47" i="1"/>
  <c r="AS73" i="1"/>
  <c r="AS102" i="1"/>
  <c r="AW91" i="1"/>
  <c r="AW251" i="1"/>
  <c r="AW137" i="1"/>
  <c r="AW183" i="1"/>
  <c r="AS202" i="1"/>
  <c r="AW263" i="1"/>
  <c r="AW267" i="1"/>
  <c r="AW145" i="1"/>
  <c r="AS153" i="1"/>
  <c r="AS191" i="1"/>
  <c r="AW217" i="1"/>
  <c r="AW225" i="1"/>
  <c r="AW229" i="1"/>
  <c r="AS252" i="1"/>
  <c r="AW271" i="1"/>
  <c r="AW18" i="1"/>
  <c r="AW62" i="1"/>
  <c r="AW66" i="1"/>
  <c r="AW84" i="1"/>
  <c r="AS103" i="1"/>
  <c r="AS15" i="1"/>
  <c r="AS165" i="1"/>
  <c r="AS199" i="1"/>
  <c r="AS272" i="1"/>
  <c r="AS276" i="1"/>
  <c r="AS23" i="1"/>
  <c r="AW26" i="1"/>
  <c r="AW44" i="1"/>
  <c r="AS85" i="1"/>
  <c r="AS107" i="1"/>
  <c r="AS188" i="1"/>
  <c r="AS30" i="1"/>
  <c r="AW81" i="1"/>
  <c r="AS115" i="1"/>
  <c r="AS123" i="1"/>
  <c r="AS127" i="1"/>
  <c r="AW85" i="1"/>
  <c r="AS173" i="1"/>
  <c r="AS181" i="1"/>
  <c r="AW7" i="1"/>
  <c r="AS12" i="1"/>
  <c r="AW32" i="1"/>
  <c r="AS50" i="1"/>
  <c r="AW67" i="1"/>
  <c r="AW87" i="1"/>
  <c r="AW94" i="1"/>
  <c r="AS112" i="1"/>
  <c r="AW181" i="1"/>
  <c r="AS207" i="1"/>
  <c r="AW273" i="1"/>
  <c r="AW5" i="1"/>
  <c r="AS43" i="1"/>
  <c r="AS105" i="1"/>
  <c r="AS134" i="1"/>
  <c r="AS226" i="1"/>
  <c r="AS149" i="1"/>
  <c r="AS160" i="1"/>
  <c r="AW167" i="1"/>
  <c r="AW203" i="1"/>
  <c r="AS248" i="1"/>
  <c r="AW281" i="1"/>
  <c r="AW285" i="1"/>
  <c r="AW12" i="1"/>
  <c r="AS95" i="1"/>
  <c r="AW112" i="1"/>
  <c r="AW98" i="1"/>
  <c r="AW149" i="1"/>
  <c r="AS175" i="1"/>
  <c r="AW255" i="1"/>
  <c r="AS267" i="1"/>
  <c r="AW23" i="1"/>
  <c r="AW47" i="1"/>
  <c r="AW61" i="1"/>
  <c r="AS99" i="1"/>
  <c r="AW102" i="1"/>
  <c r="AW237" i="1"/>
  <c r="AS150" i="1"/>
  <c r="AW157" i="1"/>
  <c r="AW241" i="1"/>
  <c r="AS143" i="1"/>
  <c r="AS161" i="1"/>
  <c r="AS172" i="1"/>
  <c r="AS201" i="1"/>
  <c r="AS212" i="1"/>
  <c r="AW227" i="1"/>
  <c r="AS249" i="1"/>
  <c r="AS264" i="1"/>
  <c r="AW10" i="1"/>
  <c r="AS24" i="1"/>
  <c r="AW27" i="1"/>
  <c r="AS62" i="1"/>
  <c r="AS132" i="1"/>
  <c r="AW139" i="1"/>
  <c r="AW143" i="1"/>
  <c r="AW161" i="1"/>
  <c r="AS14" i="1"/>
  <c r="AS10" i="1"/>
  <c r="AW165" i="1"/>
  <c r="AS257" i="1"/>
  <c r="AW275" i="1"/>
  <c r="AS7" i="1"/>
  <c r="AW24" i="1"/>
  <c r="AS31" i="1"/>
  <c r="AW41" i="1"/>
  <c r="AS45" i="1"/>
  <c r="AS52" i="1"/>
  <c r="AS93" i="1"/>
  <c r="AS125" i="1"/>
  <c r="AW283" i="1"/>
  <c r="AW205" i="1"/>
  <c r="AS90" i="1"/>
  <c r="AS97" i="1"/>
  <c r="AS111" i="1"/>
  <c r="AS129" i="1"/>
  <c r="AS155" i="1"/>
  <c r="AW169" i="1"/>
  <c r="AW261" i="1"/>
  <c r="AS280" i="1"/>
  <c r="AW45" i="1"/>
  <c r="AW21" i="1"/>
  <c r="AS49" i="1"/>
  <c r="AW52" i="1"/>
  <c r="AS184" i="1"/>
  <c r="AS206" i="1"/>
  <c r="AW221" i="1"/>
  <c r="AS284" i="1"/>
  <c r="AS195" i="1"/>
  <c r="AW97" i="1"/>
  <c r="AS32" i="1"/>
  <c r="AW63" i="1"/>
  <c r="AW70" i="1"/>
  <c r="AS80" i="1"/>
  <c r="AS8" i="1"/>
  <c r="AW25" i="1"/>
  <c r="AS53" i="1"/>
  <c r="AS67" i="1"/>
  <c r="AS87" i="1"/>
  <c r="AS141" i="1"/>
  <c r="AS163" i="1"/>
  <c r="AS222" i="1"/>
  <c r="AW243" i="1"/>
  <c r="AW50" i="1"/>
  <c r="AS75" i="1"/>
  <c r="AS81" i="1"/>
  <c r="AW90" i="1"/>
  <c r="AW93" i="1"/>
  <c r="AW96" i="1"/>
  <c r="AS185" i="1"/>
  <c r="AW259" i="1"/>
  <c r="AS282" i="1"/>
  <c r="AW121" i="1"/>
  <c r="AW131" i="1"/>
  <c r="AS142" i="1"/>
  <c r="AS152" i="1"/>
  <c r="AW75" i="1"/>
  <c r="AW269" i="1"/>
  <c r="AW35" i="1"/>
  <c r="AW29" i="1"/>
  <c r="AW69" i="1"/>
  <c r="AS109" i="1"/>
  <c r="AS218" i="1"/>
  <c r="AS234" i="1"/>
  <c r="AS260" i="1"/>
  <c r="AS41" i="1"/>
  <c r="AS57" i="1"/>
  <c r="AW279" i="1"/>
  <c r="AW109" i="1"/>
  <c r="AW115" i="1"/>
  <c r="AW135" i="1"/>
  <c r="AS228" i="1"/>
  <c r="AS244" i="1"/>
  <c r="AS270" i="1"/>
  <c r="AW11" i="1"/>
  <c r="AW14" i="1"/>
  <c r="AW17" i="1"/>
  <c r="AS39" i="1"/>
  <c r="AW51" i="1"/>
  <c r="AW54" i="1"/>
  <c r="AW57" i="1"/>
  <c r="AS79" i="1"/>
  <c r="AW100" i="1"/>
  <c r="AW103" i="1"/>
  <c r="AW106" i="1"/>
  <c r="AS283" i="1"/>
  <c r="AW65" i="1"/>
  <c r="AW189" i="1"/>
  <c r="AS196" i="1"/>
  <c r="AS238" i="1"/>
  <c r="AS254" i="1"/>
  <c r="AS13" i="1"/>
  <c r="AS183" i="1"/>
  <c r="AW39" i="1"/>
  <c r="AW79" i="1"/>
  <c r="AW8" i="1"/>
  <c r="AW33" i="1"/>
  <c r="AW36" i="1"/>
  <c r="AW42" i="1"/>
  <c r="AW48" i="1"/>
  <c r="AW73" i="1"/>
  <c r="AW76" i="1"/>
  <c r="AW82" i="1"/>
  <c r="AW88" i="1"/>
  <c r="AS119" i="1"/>
  <c r="AS140" i="1"/>
  <c r="AS21" i="1"/>
  <c r="AS61" i="1"/>
  <c r="AS190" i="1"/>
  <c r="AW209" i="1"/>
  <c r="AS232" i="1"/>
  <c r="AS9" i="1"/>
  <c r="AS89" i="1"/>
  <c r="AS113" i="1"/>
  <c r="AW119" i="1"/>
  <c r="AW129" i="1"/>
  <c r="AS147" i="1"/>
  <c r="AS157" i="1"/>
  <c r="AS167" i="1"/>
  <c r="AS177" i="1"/>
  <c r="AS200" i="1"/>
  <c r="AS203" i="1"/>
  <c r="AS216" i="1"/>
  <c r="AS258" i="1"/>
  <c r="AS274" i="1"/>
  <c r="AS287" i="1"/>
  <c r="AW55" i="1"/>
  <c r="AW219" i="1"/>
  <c r="AW113" i="1"/>
  <c r="AW116" i="1"/>
  <c r="AW9" i="1"/>
  <c r="AW49" i="1"/>
  <c r="AW89" i="1"/>
  <c r="AW95" i="1"/>
  <c r="AW101" i="1"/>
  <c r="AW104" i="1"/>
  <c r="AW107" i="1"/>
  <c r="AS130" i="1"/>
  <c r="AW133" i="1"/>
  <c r="AS144" i="1"/>
  <c r="AS154" i="1"/>
  <c r="AS164" i="1"/>
  <c r="AS174" i="1"/>
  <c r="AS210" i="1"/>
  <c r="AS268" i="1"/>
  <c r="AW15" i="1"/>
  <c r="AW6" i="1"/>
  <c r="AS34" i="1"/>
  <c r="AS37" i="1"/>
  <c r="AW43" i="1"/>
  <c r="AW46" i="1"/>
  <c r="AS77" i="1"/>
  <c r="AW83" i="1"/>
  <c r="AW86" i="1"/>
  <c r="AS120" i="1"/>
  <c r="AS11" i="1"/>
  <c r="AS51" i="1"/>
  <c r="AS194" i="1"/>
  <c r="AS220" i="1"/>
  <c r="AS236" i="1"/>
  <c r="AS278" i="1"/>
  <c r="AP2" i="1"/>
  <c r="AS19" i="1"/>
  <c r="AW31" i="1"/>
  <c r="AW37" i="1"/>
  <c r="AS59" i="1"/>
  <c r="AW71" i="1"/>
  <c r="AW77" i="1"/>
  <c r="AW239" i="1"/>
  <c r="AS158" i="1"/>
  <c r="AS168" i="1"/>
  <c r="AS178" i="1"/>
  <c r="AS204" i="1"/>
  <c r="AS230" i="1"/>
  <c r="AW59" i="1"/>
  <c r="AW124" i="1"/>
  <c r="AS138" i="1"/>
  <c r="AW141" i="1"/>
  <c r="AW151" i="1"/>
  <c r="AW249" i="1"/>
  <c r="AS259" i="1"/>
  <c r="AW19" i="1"/>
  <c r="AW13" i="1"/>
  <c r="AW16" i="1"/>
  <c r="AW22" i="1"/>
  <c r="AW28" i="1"/>
  <c r="AW53" i="1"/>
  <c r="AW56" i="1"/>
  <c r="AW99" i="1"/>
  <c r="AW105" i="1"/>
  <c r="AW111" i="1"/>
  <c r="AW114" i="1"/>
  <c r="AW117" i="1"/>
  <c r="AS121" i="1"/>
  <c r="AS131" i="1"/>
  <c r="AS145" i="1"/>
  <c r="AW191" i="1"/>
  <c r="AS198" i="1"/>
  <c r="AS214" i="1"/>
  <c r="AS240" i="1"/>
  <c r="AS256" i="1"/>
  <c r="AW20" i="1"/>
  <c r="AW60" i="1"/>
  <c r="AW110" i="1"/>
  <c r="AW34" i="1"/>
  <c r="AW74" i="1"/>
  <c r="AS44" i="1"/>
  <c r="AS54" i="1"/>
  <c r="AS64" i="1"/>
  <c r="AS74" i="1"/>
  <c r="AS84" i="1"/>
  <c r="AS94" i="1"/>
  <c r="AS104" i="1"/>
  <c r="AS114" i="1"/>
  <c r="AW125" i="1"/>
  <c r="AW128" i="1"/>
  <c r="AS146" i="1"/>
  <c r="AS156" i="1"/>
  <c r="AS166" i="1"/>
  <c r="AS176" i="1"/>
  <c r="AS136" i="1"/>
  <c r="AW123" i="1"/>
  <c r="AW126" i="1"/>
  <c r="AW136" i="1"/>
  <c r="AS100" i="1"/>
  <c r="AS110" i="1"/>
  <c r="AS18" i="1"/>
  <c r="AS28" i="1"/>
  <c r="AS38" i="1"/>
  <c r="AS48" i="1"/>
  <c r="AS58" i="1"/>
  <c r="AS68" i="1"/>
  <c r="AS78" i="1"/>
  <c r="AS88" i="1"/>
  <c r="AS98" i="1"/>
  <c r="AS108" i="1"/>
  <c r="AS118" i="1"/>
  <c r="AW118" i="1"/>
  <c r="AS6" i="1"/>
  <c r="AS16" i="1"/>
  <c r="AS26" i="1"/>
  <c r="AS36" i="1"/>
  <c r="AS46" i="1"/>
  <c r="AS56" i="1"/>
  <c r="AS66" i="1"/>
  <c r="AS76" i="1"/>
  <c r="AS86" i="1"/>
  <c r="AS96" i="1"/>
  <c r="AS106" i="1"/>
  <c r="AS116" i="1"/>
  <c r="AW138" i="1"/>
  <c r="AW148" i="1"/>
  <c r="AW158" i="1"/>
  <c r="AW168" i="1"/>
  <c r="AW178" i="1"/>
  <c r="AW188" i="1"/>
  <c r="AW198" i="1"/>
  <c r="AW208" i="1"/>
  <c r="AW218" i="1"/>
  <c r="AW228" i="1"/>
  <c r="AW238" i="1"/>
  <c r="AW248" i="1"/>
  <c r="AW258" i="1"/>
  <c r="AW268" i="1"/>
  <c r="AW278" i="1"/>
  <c r="AS211" i="1"/>
  <c r="AS221" i="1"/>
  <c r="AS231" i="1"/>
  <c r="AS241" i="1"/>
  <c r="AS251" i="1"/>
  <c r="AS261" i="1"/>
  <c r="AS271" i="1"/>
  <c r="AS281" i="1"/>
  <c r="AW146" i="1"/>
  <c r="AW156" i="1"/>
  <c r="AW166" i="1"/>
  <c r="AW176" i="1"/>
  <c r="AW186" i="1"/>
  <c r="AW196" i="1"/>
  <c r="AW206" i="1"/>
  <c r="AW216" i="1"/>
  <c r="AW226" i="1"/>
  <c r="AW236" i="1"/>
  <c r="AW246" i="1"/>
  <c r="AW256" i="1"/>
  <c r="AW266" i="1"/>
  <c r="AW276" i="1"/>
  <c r="AW286" i="1"/>
  <c r="AS269" i="1"/>
  <c r="AS279" i="1"/>
  <c r="AW134" i="1"/>
  <c r="AW144" i="1"/>
  <c r="AW154" i="1"/>
  <c r="AW164" i="1"/>
  <c r="AW174" i="1"/>
  <c r="AW184" i="1"/>
  <c r="AW194" i="1"/>
  <c r="AW204" i="1"/>
  <c r="AW214" i="1"/>
  <c r="AW224" i="1"/>
  <c r="AW234" i="1"/>
  <c r="AW244" i="1"/>
  <c r="AW254" i="1"/>
  <c r="AW264" i="1"/>
  <c r="AW274" i="1"/>
  <c r="AW284" i="1"/>
  <c r="AW152" i="1"/>
  <c r="AW162" i="1"/>
  <c r="AW172" i="1"/>
  <c r="AW182" i="1"/>
  <c r="AW192" i="1"/>
  <c r="AW202" i="1"/>
  <c r="AW212" i="1"/>
  <c r="AW222" i="1"/>
  <c r="AW232" i="1"/>
  <c r="AW242" i="1"/>
  <c r="AW252" i="1"/>
  <c r="AW262" i="1"/>
  <c r="AW272" i="1"/>
  <c r="AW282" i="1"/>
  <c r="AW132" i="1"/>
  <c r="AW142" i="1"/>
  <c r="AS135" i="1"/>
  <c r="AS225" i="1"/>
  <c r="AS235" i="1"/>
  <c r="AS245" i="1"/>
  <c r="AS255" i="1"/>
  <c r="AS265" i="1"/>
  <c r="AS275" i="1"/>
  <c r="AS285" i="1"/>
  <c r="AS137" i="1"/>
  <c r="AW122" i="1"/>
  <c r="AW120" i="1"/>
  <c r="AW130" i="1"/>
  <c r="AW140" i="1"/>
  <c r="AW150" i="1"/>
  <c r="AW160" i="1"/>
  <c r="AW170" i="1"/>
  <c r="AW180" i="1"/>
  <c r="AW190" i="1"/>
  <c r="AW200" i="1"/>
  <c r="AW210" i="1"/>
  <c r="AW220" i="1"/>
  <c r="AW230" i="1"/>
  <c r="AW240" i="1"/>
  <c r="AW250" i="1"/>
  <c r="AW260" i="1"/>
  <c r="AW270" i="1"/>
  <c r="AW280" i="1"/>
  <c r="AS213" i="1"/>
  <c r="AS223" i="1"/>
  <c r="AS233" i="1"/>
  <c r="AS243" i="1"/>
  <c r="AS253" i="1"/>
  <c r="AS263" i="1"/>
  <c r="AS273" i="1"/>
</calcChain>
</file>

<file path=xl/sharedStrings.xml><?xml version="1.0" encoding="utf-8"?>
<sst xmlns="http://schemas.openxmlformats.org/spreadsheetml/2006/main" count="3697" uniqueCount="1288">
  <si>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</si>
  <si>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</si>
  <si>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</si>
  <si>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</si>
  <si>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</si>
  <si>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</si>
  <si>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</si>
  <si>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</si>
  <si>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</si>
  <si>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</si>
  <si>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</si>
  <si>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</si>
  <si>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</si>
  <si>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</si>
  <si>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</si>
  <si>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</si>
  <si>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</si>
  <si>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</si>
  <si>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</si>
  <si>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</si>
  <si>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</si>
  <si>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</si>
  <si>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</si>
  <si>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</si>
  <si>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</si>
  <si>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</si>
  <si>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</si>
  <si>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</si>
  <si>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</si>
  <si>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</si>
  <si>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</si>
  <si>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</si>
  <si>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</si>
  <si>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</si>
  <si>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</si>
  <si>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</si>
  <si>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</si>
  <si>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</si>
  <si>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</si>
  <si>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</si>
  <si>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</si>
  <si>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</si>
  <si>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</si>
  <si>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</si>
  <si>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</si>
  <si>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</si>
  <si>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</si>
  <si>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</si>
  <si>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</si>
  <si>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</si>
  <si>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</si>
  <si>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</si>
  <si>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</si>
  <si>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</si>
  <si>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</si>
  <si>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</si>
  <si>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</si>
  <si>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</si>
  <si>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</si>
  <si>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</si>
  <si>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</si>
  <si>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</si>
  <si>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</si>
  <si>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</si>
  <si>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</si>
  <si>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</si>
  <si>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</si>
  <si>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</si>
  <si>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</si>
  <si>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</si>
  <si>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</si>
  <si>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</si>
  <si>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</si>
  <si>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</si>
  <si>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</si>
  <si>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</si>
  <si>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</si>
  <si>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</si>
  <si>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</si>
  <si>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</si>
  <si>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</si>
  <si>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</si>
  <si>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</si>
  <si>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</si>
  <si>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</si>
  <si>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</si>
  <si>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</si>
  <si>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</si>
  <si>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</si>
  <si>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</si>
  <si>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</si>
  <si>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</si>
  <si>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</si>
  <si>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</si>
  <si>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</si>
  <si>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</si>
  <si>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</si>
  <si>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</si>
  <si>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</si>
  <si>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</si>
  <si>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</si>
  <si>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</si>
  <si>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</si>
  <si>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</si>
  <si>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</si>
  <si>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</si>
  <si>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</si>
  <si>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</si>
  <si>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</si>
  <si>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</si>
  <si>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</si>
  <si>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</si>
  <si>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</si>
  <si>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</si>
  <si>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</si>
  <si>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</si>
  <si>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</si>
  <si>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</si>
  <si>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</si>
  <si>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</si>
  <si>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</si>
  <si>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</si>
  <si>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</si>
  <si>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</si>
  <si>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</si>
  <si>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</si>
  <si>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</si>
  <si>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</si>
  <si>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</si>
  <si>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</si>
  <si>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</si>
  <si>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</si>
  <si>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</si>
  <si>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</si>
  <si>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</si>
  <si>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</si>
  <si>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</si>
  <si>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</si>
  <si>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</si>
  <si>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</si>
  <si>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</si>
  <si>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</si>
  <si>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</si>
  <si>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</si>
  <si>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</si>
  <si>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</si>
  <si>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</si>
  <si>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</si>
  <si>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</si>
  <si>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</si>
  <si>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</si>
  <si>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</si>
  <si>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</si>
  <si>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</si>
  <si>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</si>
  <si>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</si>
  <si>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</si>
  <si>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</si>
  <si>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</si>
  <si>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</si>
  <si>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</si>
  <si>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</si>
  <si>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</si>
  <si>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</si>
  <si>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</si>
  <si>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</si>
  <si>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</si>
  <si>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</si>
  <si>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</si>
  <si>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</si>
  <si>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</si>
  <si>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</si>
  <si>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</si>
  <si>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</si>
  <si>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</si>
  <si>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</si>
  <si>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</si>
  <si>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</si>
  <si>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</si>
  <si>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</si>
  <si>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</si>
  <si>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</si>
  <si>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</si>
  <si>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</si>
  <si>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</si>
  <si>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</si>
  <si>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</si>
  <si>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</si>
  <si>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</si>
  <si>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</si>
  <si>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</si>
  <si>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</si>
  <si>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</si>
  <si>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</si>
  <si>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</si>
  <si>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</si>
  <si>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</si>
  <si>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</si>
  <si>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</si>
  <si>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</si>
  <si>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</si>
  <si>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</si>
  <si>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</si>
  <si>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</si>
  <si>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</si>
  <si>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</si>
  <si>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</si>
  <si>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</si>
  <si>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</si>
  <si>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</si>
  <si>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</si>
  <si>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</si>
  <si>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</si>
  <si>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</si>
  <si>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</si>
  <si>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</si>
  <si>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</si>
  <si>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</si>
  <si>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</si>
  <si>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</si>
  <si>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</si>
  <si>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</si>
  <si>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</si>
  <si>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</si>
  <si>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</si>
  <si>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</si>
  <si>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</si>
  <si>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</si>
  <si>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</si>
  <si>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</si>
  <si>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</si>
  <si>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</si>
  <si>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</si>
  <si>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</si>
  <si>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</si>
  <si>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</si>
  <si>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</si>
  <si>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</si>
  <si>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</si>
  <si>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</si>
  <si>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</si>
  <si>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</si>
  <si>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</si>
  <si>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</si>
  <si>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</si>
  <si>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</si>
  <si>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</si>
  <si>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</si>
  <si>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</si>
  <si>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</si>
  <si>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</si>
  <si>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</si>
  <si>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</si>
  <si>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</si>
  <si>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</si>
  <si>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</si>
  <si>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</si>
  <si>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</si>
  <si>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</si>
  <si>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</si>
  <si>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</si>
  <si>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</si>
  <si>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</si>
  <si>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</si>
  <si>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</si>
  <si>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</si>
  <si>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</si>
  <si>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</si>
  <si>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</si>
  <si>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</si>
  <si>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</si>
  <si>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</si>
  <si>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</si>
  <si>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</si>
  <si>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</si>
  <si>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</si>
  <si>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</si>
  <si>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</si>
  <si>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</si>
  <si>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</si>
  <si>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</si>
  <si>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</si>
  <si>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</si>
  <si>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</si>
  <si>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</si>
  <si>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</si>
  <si>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</si>
  <si>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</si>
  <si>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</si>
  <si>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</si>
  <si>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</si>
  <si>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</si>
  <si>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</si>
  <si>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</si>
  <si>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</si>
  <si>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</si>
  <si>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</si>
  <si>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</si>
  <si>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</si>
  <si>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</si>
  <si>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</si>
  <si>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</si>
  <si>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</si>
  <si>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</si>
  <si>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</si>
  <si>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</si>
  <si>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</si>
  <si>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</si>
  <si>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</si>
  <si>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</si>
  <si>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</si>
  <si>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</si>
  <si>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</si>
  <si>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</si>
  <si>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</si>
  <si>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</si>
  <si>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</si>
  <si>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</si>
  <si>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</si>
  <si>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</si>
  <si>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</si>
  <si>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</si>
  <si>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</si>
  <si>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</si>
  <si>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</si>
  <si>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</si>
  <si>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</si>
  <si>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</si>
  <si>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</si>
  <si>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</si>
  <si>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</si>
  <si>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</si>
  <si>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</si>
  <si>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</si>
  <si>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</si>
  <si>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</si>
  <si>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</si>
  <si>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</si>
  <si>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</si>
  <si>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</si>
  <si>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</si>
  <si>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</si>
  <si>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</si>
  <si>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</si>
  <si>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</si>
  <si>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</si>
  <si>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</si>
  <si>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</si>
  <si>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</si>
  <si>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</si>
  <si>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</si>
  <si>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</si>
  <si>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</si>
  <si>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</si>
  <si>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</si>
  <si>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</si>
  <si>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</si>
  <si>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</si>
  <si>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</si>
  <si>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</si>
  <si>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</si>
  <si>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</si>
  <si>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</si>
  <si>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</si>
  <si>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</si>
  <si>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</si>
  <si>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</si>
  <si>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</si>
  <si>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</si>
  <si>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</si>
  <si>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</si>
  <si>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</si>
  <si>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</si>
  <si>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</si>
  <si>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</si>
  <si>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</si>
  <si>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</si>
  <si>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</si>
  <si>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</si>
  <si>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</si>
  <si>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</si>
  <si>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</si>
  <si>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</si>
  <si>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</si>
  <si>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</si>
  <si>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</si>
  <si>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</si>
  <si>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</si>
  <si>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</si>
  <si>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</si>
  <si>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</si>
  <si>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</si>
  <si>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</si>
  <si>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</si>
  <si>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</si>
  <si>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</si>
  <si>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</si>
  <si>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</si>
  <si>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</si>
  <si>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</si>
  <si>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</si>
  <si>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</si>
  <si>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</si>
  <si>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</si>
  <si>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</si>
  <si>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</si>
  <si>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</si>
  <si>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</si>
  <si>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</si>
  <si>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</si>
  <si>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</si>
  <si>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</si>
  <si>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</si>
  <si>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</si>
  <si>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</si>
  <si>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</si>
  <si>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</si>
  <si>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</si>
  <si>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</si>
  <si>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</si>
  <si>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</si>
  <si>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</si>
  <si>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</si>
  <si>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</si>
  <si>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</si>
  <si>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</si>
  <si>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</si>
  <si>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</si>
  <si>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</si>
  <si>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</si>
  <si>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</si>
  <si>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</si>
  <si>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</si>
  <si>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</si>
  <si>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</si>
  <si>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</si>
  <si>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</si>
  <si>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</si>
  <si>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</si>
  <si>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</si>
  <si>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</si>
  <si>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</si>
  <si>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</si>
  <si>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</si>
  <si>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</si>
  <si>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</si>
  <si>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</si>
  <si>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</si>
  <si>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</si>
  <si>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</si>
  <si>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</si>
  <si>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</si>
  <si>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</si>
  <si>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</si>
  <si>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</si>
  <si>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</si>
  <si>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</si>
  <si>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</si>
  <si>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</si>
  <si>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</si>
  <si>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</si>
  <si>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</si>
  <si>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</si>
  <si>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</si>
  <si>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</si>
  <si>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</si>
  <si>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</si>
  <si>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</si>
  <si>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</si>
  <si>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</si>
  <si>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</si>
  <si>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</si>
  <si>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</si>
  <si>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</si>
  <si>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</si>
  <si>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</si>
  <si>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</si>
  <si>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</si>
  <si>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</si>
  <si>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</si>
  <si>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</si>
  <si>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</si>
  <si>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</si>
  <si>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</si>
  <si>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</si>
  <si>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</si>
  <si>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</si>
  <si>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</si>
  <si>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</si>
  <si>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</si>
  <si>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</si>
  <si>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</si>
  <si>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</si>
  <si>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</si>
  <si>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</si>
  <si>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</si>
  <si>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</si>
  <si>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</si>
  <si>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</si>
  <si>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</si>
  <si>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</si>
  <si>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</si>
  <si>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</si>
  <si>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</si>
  <si>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</si>
  <si>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</si>
  <si>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</si>
  <si>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</si>
  <si>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</si>
  <si>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</si>
  <si>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</si>
  <si>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</si>
  <si>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</si>
  <si>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</si>
  <si>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</si>
  <si>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</si>
  <si>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</si>
  <si>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</si>
  <si>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</si>
  <si>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</si>
  <si>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</si>
  <si>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</si>
  <si>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</si>
  <si>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</si>
  <si>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</si>
  <si>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</si>
  <si>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</si>
  <si>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</si>
  <si>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</si>
  <si>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</si>
  <si>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</si>
  <si>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</si>
  <si>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</si>
  <si>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</si>
  <si>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</si>
  <si>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</si>
  <si>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</si>
  <si>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</si>
  <si>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</si>
  <si>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</si>
  <si>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</si>
  <si>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</si>
  <si>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</si>
  <si>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</si>
  <si>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</si>
  <si>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</si>
  <si>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</si>
  <si>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</si>
  <si>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</si>
  <si>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</si>
  <si>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</si>
  <si>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</si>
  <si>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</si>
  <si>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</si>
  <si>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</si>
  <si>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</si>
  <si>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</si>
  <si>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</si>
  <si>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</si>
  <si>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</si>
  <si>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</si>
  <si>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</si>
  <si>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</si>
  <si>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</si>
  <si>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</si>
  <si>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</si>
  <si>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</si>
  <si>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</si>
  <si>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</si>
  <si>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</si>
  <si>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</si>
  <si>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</si>
  <si>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</si>
  <si>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</si>
  <si>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</si>
  <si>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</si>
  <si>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</si>
  <si>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</si>
  <si>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</si>
  <si>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</si>
  <si>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</si>
  <si>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</si>
  <si>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</si>
  <si>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</si>
  <si>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</si>
  <si>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</si>
  <si>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</si>
  <si>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</si>
  <si>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</si>
  <si>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</si>
  <si>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</si>
  <si>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</si>
  <si>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</si>
  <si>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</si>
  <si>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</si>
  <si>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</si>
  <si>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</si>
  <si>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</si>
  <si>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</si>
  <si>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</si>
  <si>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</si>
  <si>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</si>
  <si>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</si>
  <si>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</si>
  <si>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</si>
  <si>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</si>
  <si>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</si>
  <si>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</si>
  <si>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</si>
  <si>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</si>
  <si>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</si>
  <si>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</si>
  <si>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</si>
  <si>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</si>
  <si>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</si>
  <si>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</si>
  <si>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</si>
  <si>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</si>
  <si>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</si>
  <si>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</si>
  <si>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</si>
  <si>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</si>
  <si>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</si>
  <si>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</si>
  <si>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</si>
  <si>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</si>
  <si>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</si>
  <si>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</si>
  <si>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</si>
  <si>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</si>
  <si>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</si>
  <si>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</si>
  <si>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</si>
  <si>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</si>
  <si>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</si>
  <si>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</si>
  <si>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</si>
  <si>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</si>
  <si>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</si>
  <si>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</si>
  <si>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</si>
  <si>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</si>
  <si>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</si>
  <si>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</si>
  <si>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</si>
  <si>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</si>
  <si>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</si>
  <si>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</si>
  <si>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</si>
  <si>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</si>
  <si>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</si>
  <si>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</si>
  <si>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</si>
  <si>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</si>
  <si>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</si>
  <si>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</si>
  <si>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</si>
  <si>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</si>
  <si>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</si>
  <si>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</si>
  <si>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</si>
  <si>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</si>
  <si>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</si>
  <si>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</si>
  <si>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</si>
  <si>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</si>
  <si>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</si>
  <si>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</si>
  <si>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</si>
  <si>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</si>
  <si>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</si>
  <si>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</si>
  <si>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</si>
  <si>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</si>
  <si>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</si>
  <si>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</si>
  <si>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</si>
  <si>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</si>
  <si>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</si>
  <si>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</si>
  <si>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</si>
  <si>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</si>
  <si>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</si>
  <si>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</si>
  <si>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</si>
  <si>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</si>
  <si>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</si>
  <si>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</si>
  <si>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</si>
  <si>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</si>
  <si>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</si>
  <si>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</si>
  <si>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</si>
  <si>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</si>
  <si>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</si>
  <si>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</si>
  <si>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</si>
  <si>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</si>
  <si>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</si>
  <si>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</si>
  <si>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</si>
  <si>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</si>
  <si>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</si>
  <si>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</si>
  <si>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</si>
  <si>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</si>
  <si>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</si>
  <si>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</si>
  <si>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</si>
  <si>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</si>
  <si>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</si>
  <si>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</si>
  <si>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</si>
  <si>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</si>
  <si>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</si>
  <si>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</si>
  <si>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</si>
  <si>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</si>
  <si>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</si>
  <si>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</si>
  <si>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</si>
  <si>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</si>
  <si>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</si>
  <si>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</si>
  <si>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</si>
  <si>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</si>
  <si>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</si>
  <si>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</si>
  <si>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</si>
  <si>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</si>
  <si>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</si>
  <si>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</si>
  <si>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</si>
  <si>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</si>
  <si>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</si>
  <si>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</si>
  <si>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</si>
  <si>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</si>
  <si>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</si>
  <si>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</si>
  <si>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</si>
  <si>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</si>
  <si>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</si>
  <si>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</si>
  <si>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</si>
  <si>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</si>
  <si>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</si>
  <si>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</si>
  <si>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</si>
  <si>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</si>
  <si>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</si>
  <si>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</si>
  <si>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</si>
  <si>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</si>
  <si>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</si>
  <si>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</si>
  <si>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</si>
  <si>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</si>
  <si>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</si>
  <si>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</si>
  <si>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</si>
  <si>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</si>
  <si>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</si>
  <si>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</si>
  <si>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</si>
  <si>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</si>
  <si>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</si>
  <si>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</si>
  <si>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</si>
  <si>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</si>
  <si>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</si>
  <si>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</si>
  <si>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</si>
  <si>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</si>
  <si>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</si>
  <si>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</si>
  <si>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</si>
  <si>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</si>
  <si>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</si>
  <si>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</si>
  <si>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</si>
  <si>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</si>
  <si>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</si>
  <si>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</si>
  <si>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</si>
  <si>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</si>
  <si>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</si>
  <si>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</si>
  <si>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</si>
  <si>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</si>
  <si>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</si>
  <si>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</si>
  <si>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</si>
  <si>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</si>
  <si>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</si>
  <si>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</si>
  <si>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</si>
  <si>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</si>
  <si>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</si>
  <si>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</si>
  <si>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</si>
  <si>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</si>
  <si>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</si>
  <si>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</si>
  <si>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</si>
  <si>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</si>
  <si>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</si>
  <si>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</si>
  <si>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</si>
  <si>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</si>
  <si>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</si>
  <si>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</si>
  <si>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</si>
  <si>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</si>
  <si>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</si>
  <si>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</si>
  <si>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</si>
  <si>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</si>
  <si>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</si>
  <si>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</si>
  <si>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</si>
  <si>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</si>
  <si>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</si>
  <si>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</si>
  <si>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</si>
  <si>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</si>
  <si>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</si>
  <si>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</si>
  <si>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</si>
  <si>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</si>
  <si>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</si>
  <si>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</si>
  <si>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</si>
  <si>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</si>
  <si>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</si>
  <si>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</si>
  <si>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</si>
  <si>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</si>
  <si>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</si>
  <si>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</si>
  <si>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</si>
  <si>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</si>
  <si>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</si>
  <si>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</si>
  <si>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</si>
  <si>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</si>
  <si>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</si>
  <si>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</si>
  <si>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</si>
  <si>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</si>
  <si>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</si>
  <si>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</si>
  <si>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</si>
  <si>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</si>
  <si>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</si>
  <si>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</si>
  <si>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</si>
  <si>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</si>
  <si>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</si>
  <si>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</si>
  <si>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</si>
  <si>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</si>
  <si>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</si>
  <si>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</si>
  <si>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</si>
  <si>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</si>
  <si>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</si>
  <si>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</si>
  <si>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</si>
  <si>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</si>
  <si>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</si>
  <si>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</si>
  <si>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</si>
  <si>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</si>
  <si>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</si>
  <si>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</si>
  <si>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</si>
  <si>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</si>
  <si>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</si>
  <si>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</si>
  <si>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</si>
  <si>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</si>
  <si>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</si>
  <si>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</si>
  <si>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</si>
  <si>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</si>
  <si>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</si>
  <si>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</si>
  <si>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</si>
  <si>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</si>
  <si>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</si>
  <si>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</si>
  <si>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</si>
  <si>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</si>
  <si>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</si>
  <si>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</si>
  <si>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</si>
  <si>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</si>
  <si>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</si>
  <si>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</si>
  <si>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</si>
  <si>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</si>
  <si>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</si>
  <si>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</si>
  <si>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</si>
  <si>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</si>
  <si>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</si>
  <si>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</si>
  <si>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</si>
  <si>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</si>
  <si>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</si>
  <si>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</si>
  <si>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</si>
  <si>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</si>
  <si>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</si>
  <si>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</si>
  <si>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</si>
  <si>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</si>
  <si>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</si>
  <si>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</si>
  <si>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</si>
  <si>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</si>
  <si>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</si>
  <si>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</si>
  <si>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</si>
  <si>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</si>
  <si>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</si>
  <si>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</si>
  <si>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</si>
  <si>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</si>
  <si>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</si>
  <si>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</si>
  <si>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</si>
  <si>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</si>
  <si>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</si>
  <si>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</si>
  <si>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</si>
  <si>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</si>
  <si>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</si>
  <si>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</si>
  <si>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</si>
  <si>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</si>
  <si>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</si>
  <si>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</si>
  <si>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</si>
  <si>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</si>
  <si>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</si>
  <si>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</si>
  <si>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</si>
  <si>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</si>
  <si>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</si>
  <si>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</si>
  <si>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</si>
  <si>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</si>
  <si>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</si>
  <si>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</si>
  <si>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</si>
  <si>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</si>
  <si>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</si>
  <si>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</si>
  <si>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</si>
  <si>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</si>
  <si>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</si>
  <si>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</si>
  <si>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</si>
  <si>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</si>
  <si>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</si>
  <si>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</si>
  <si>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</si>
  <si>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</si>
  <si>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</si>
  <si>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</si>
  <si>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</si>
  <si>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</si>
  <si>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</si>
  <si>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</si>
  <si>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</si>
  <si>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</si>
  <si>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</si>
  <si>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</si>
  <si>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</si>
  <si>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</si>
  <si>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</si>
  <si>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</si>
  <si>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</si>
  <si>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</si>
  <si>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</si>
  <si>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</si>
  <si>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</si>
  <si>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</si>
  <si>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</si>
  <si>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</si>
  <si>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</si>
  <si>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</si>
  <si>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</si>
  <si>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</si>
  <si>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</si>
  <si>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</si>
  <si>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</si>
  <si>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</si>
  <si>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</si>
  <si>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</si>
  <si>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</si>
  <si>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</si>
  <si>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</si>
  <si>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</si>
  <si>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</si>
  <si>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</si>
  <si>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</si>
  <si>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</si>
  <si>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</si>
  <si>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</si>
  <si>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</si>
  <si>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</si>
  <si>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</si>
  <si>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</si>
  <si>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</si>
  <si>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</si>
  <si>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</si>
  <si>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</si>
  <si>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</si>
  <si>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</si>
  <si>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</si>
  <si>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</si>
  <si>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</si>
  <si>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</si>
  <si>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</si>
  <si>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</si>
  <si>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</si>
  <si>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</si>
  <si>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</si>
  <si>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</si>
  <si>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</si>
  <si>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</si>
  <si>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</si>
  <si>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</si>
  <si>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</si>
  <si>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</si>
  <si>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</si>
  <si>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</si>
  <si>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</si>
  <si>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</si>
  <si>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</si>
  <si>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</si>
  <si>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</si>
  <si>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</si>
  <si>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</si>
  <si>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</si>
  <si>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</si>
  <si>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</si>
  <si>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</si>
  <si>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</si>
  <si>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</si>
  <si>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</si>
  <si>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</si>
  <si>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</si>
  <si>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</si>
  <si>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</si>
  <si>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</si>
  <si>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</si>
  <si>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</si>
  <si>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</si>
  <si>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</si>
  <si>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</si>
  <si>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</si>
  <si>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</si>
  <si>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</si>
  <si>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</si>
  <si>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</si>
  <si>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</si>
  <si>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</si>
  <si>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</si>
  <si>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</si>
  <si>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</si>
  <si>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</si>
  <si>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</si>
  <si>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</si>
  <si>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</si>
  <si>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</si>
  <si>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</si>
  <si>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</si>
  <si>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</si>
  <si>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</si>
  <si>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</si>
  <si>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</si>
  <si>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</si>
  <si>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</si>
  <si>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</si>
  <si>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</si>
  <si>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</si>
  <si>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</si>
  <si>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</si>
  <si>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</si>
  <si>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</si>
  <si>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</si>
  <si>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</si>
  <si>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</si>
  <si>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</si>
  <si>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</si>
  <si>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</si>
  <si>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</si>
  <si>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</si>
  <si>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</si>
  <si>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</si>
  <si>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</si>
  <si>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</si>
  <si>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</si>
  <si>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</si>
  <si>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</si>
  <si>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</si>
  <si>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</si>
  <si>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</si>
  <si>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</si>
  <si>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</si>
  <si>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</si>
  <si>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Pailitas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</si>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</sst>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7"/>
  <sheetViews>
    <sheetView tabSelected="1" zoomScale="71" zoomScaleNormal="71" workbookViewId="0">
      <selection activeCell="A114" sqref="A114:XFD114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37" width="32.42578125" style="51" customWidth="1"/>
    <col min="138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MAX(K5:K287)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40.6</v>
      </c>
      <c r="S2" s="92">
        <f t="shared" si="0"/>
        <v>37.5</v>
      </c>
      <c r="T2" s="92">
        <f t="shared" si="0"/>
        <v>40</v>
      </c>
      <c r="U2" s="92">
        <f t="shared" si="0"/>
        <v>40.200000000000003</v>
      </c>
      <c r="V2" s="92">
        <f t="shared" si="0"/>
        <v>38.4</v>
      </c>
      <c r="W2" s="92">
        <f t="shared" si="0"/>
        <v>39.799999999999997</v>
      </c>
      <c r="X2" s="92">
        <f t="shared" si="0"/>
        <v>40.799999999999997</v>
      </c>
      <c r="Y2" s="92">
        <f t="shared" si="0"/>
        <v>41.2</v>
      </c>
      <c r="Z2" s="92">
        <f t="shared" si="0"/>
        <v>41.2</v>
      </c>
      <c r="AA2" s="92">
        <f t="shared" si="0"/>
        <v>42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>
        <v>31.6</v>
      </c>
      <c r="V5" s="66">
        <v>31.9</v>
      </c>
      <c r="W5" s="66">
        <v>29.6</v>
      </c>
      <c r="X5" s="66">
        <v>30.3</v>
      </c>
      <c r="Y5" s="66">
        <v>29.9</v>
      </c>
      <c r="Z5" s="66">
        <v>31</v>
      </c>
      <c r="AA5" s="66">
        <v>31.9</v>
      </c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17</v>
      </c>
      <c r="AQ5" s="68">
        <f t="shared" ref="AQ5:AQ68" si="2">IF(AP5&gt;14,AVERAGE(K5:AO5),"")</f>
        <v>31.223529411764709</v>
      </c>
      <c r="AR5" s="68">
        <f>IFERROR(VLOOKUP(A5,Climatologia_TMAX!A:U,9+$E$2,FALSE),"")</f>
        <v>30.197371776008229</v>
      </c>
      <c r="AS5" s="68">
        <f t="shared" ref="AS5:AS68" si="3">IF(OR(AQ5="",AR5=""),"",IFERROR(AQ5-AR5,""))</f>
        <v>1.0261576357564799</v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>
        <v>31.2</v>
      </c>
      <c r="V6" s="66">
        <v>30.8</v>
      </c>
      <c r="W6" s="66">
        <v>29.2</v>
      </c>
      <c r="X6" s="66">
        <v>29.7</v>
      </c>
      <c r="Y6" s="66">
        <v>29.8</v>
      </c>
      <c r="Z6" s="66">
        <v>31.5</v>
      </c>
      <c r="AA6" s="66">
        <v>31.2</v>
      </c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17</v>
      </c>
      <c r="AQ6" s="68">
        <f t="shared" si="2"/>
        <v>30.629411764705878</v>
      </c>
      <c r="AR6" s="68">
        <f>IFERROR(VLOOKUP(A6,Climatologia_TMAX!A:U,9+$E$2,FALSE),"")</f>
        <v>30.65428039702234</v>
      </c>
      <c r="AS6" s="68">
        <f t="shared" si="3"/>
        <v>-2.4868632316461969E-2</v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>
        <v>37.200000000000003</v>
      </c>
      <c r="V7" s="66">
        <v>36.6</v>
      </c>
      <c r="W7" s="66">
        <v>36.200000000000003</v>
      </c>
      <c r="X7" s="66">
        <v>37</v>
      </c>
      <c r="Y7" s="113">
        <v>38.6</v>
      </c>
      <c r="Z7" s="66">
        <v>38.299999999999997</v>
      </c>
      <c r="AA7" s="66">
        <v>38.6</v>
      </c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17</v>
      </c>
      <c r="AQ7" s="68">
        <f t="shared" si="2"/>
        <v>36.205882352941174</v>
      </c>
      <c r="AR7" s="68">
        <f>IFERROR(VLOOKUP(A7,Climatologia_TMAX!A:U,9+$E$2,FALSE),"")</f>
        <v>33.366016007569073</v>
      </c>
      <c r="AS7" s="68">
        <f t="shared" si="3"/>
        <v>2.8398663453721014</v>
      </c>
      <c r="AT7" s="74">
        <f t="shared" si="4"/>
        <v>38.6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>
        <v>33.200000000000003</v>
      </c>
      <c r="V8" s="66">
        <v>33</v>
      </c>
      <c r="W8" s="66">
        <v>32</v>
      </c>
      <c r="X8" s="66">
        <v>33.6</v>
      </c>
      <c r="Y8" s="66">
        <v>33.799999999999997</v>
      </c>
      <c r="Z8" s="66">
        <v>34.5</v>
      </c>
      <c r="AA8" s="66">
        <v>33.9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17</v>
      </c>
      <c r="AQ8" s="68">
        <f t="shared" si="2"/>
        <v>33.42941176470589</v>
      </c>
      <c r="AR8" s="68">
        <f>IFERROR(VLOOKUP(A8,Climatologia_TMAX!A:U,9+$E$2,FALSE),"")</f>
        <v>32.249043010752693</v>
      </c>
      <c r="AS8" s="68">
        <f t="shared" si="3"/>
        <v>1.1803687539531964</v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>
        <v>33</v>
      </c>
      <c r="V9" s="66">
        <v>33.6</v>
      </c>
      <c r="W9" s="66">
        <v>34.4</v>
      </c>
      <c r="X9" s="66">
        <v>35.1</v>
      </c>
      <c r="Y9" s="66">
        <v>34.700000000000003</v>
      </c>
      <c r="Z9" s="66">
        <v>33.200000000000003</v>
      </c>
      <c r="AA9" s="66">
        <v>34.200000000000003</v>
      </c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17</v>
      </c>
      <c r="AQ9" s="68">
        <f t="shared" si="2"/>
        <v>33.988235294117644</v>
      </c>
      <c r="AR9" s="68">
        <f>IFERROR(VLOOKUP(A9,Climatologia_TMAX!A:U,9+$E$2,FALSE),"")</f>
        <v>33.091246137683846</v>
      </c>
      <c r="AS9" s="68">
        <f t="shared" si="3"/>
        <v>0.89698915643379706</v>
      </c>
      <c r="AT9" s="74">
        <f t="shared" si="4"/>
        <v>35.799999999999997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-2.6000000000000014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>
        <v>35.799999999999997</v>
      </c>
      <c r="V10" s="66">
        <v>36.799999999999997</v>
      </c>
      <c r="W10" s="66">
        <v>35.9</v>
      </c>
      <c r="X10" s="66">
        <v>36.700000000000003</v>
      </c>
      <c r="Y10" s="66">
        <v>37</v>
      </c>
      <c r="Z10" s="66">
        <v>35.700000000000003</v>
      </c>
      <c r="AA10" s="66">
        <v>36.9</v>
      </c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17</v>
      </c>
      <c r="AQ10" s="68">
        <f t="shared" si="2"/>
        <v>35.794117647058826</v>
      </c>
      <c r="AR10" s="68">
        <f>IFERROR(VLOOKUP(A10,Climatologia_TMAX!A:U,9+$E$2,FALSE),"")</f>
        <v>35.380238227660357</v>
      </c>
      <c r="AS10" s="68">
        <f t="shared" si="3"/>
        <v>0.41387941939846939</v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>
        <v>38</v>
      </c>
      <c r="V11" s="66">
        <v>38.4</v>
      </c>
      <c r="W11" s="66">
        <v>37.4</v>
      </c>
      <c r="X11" s="66">
        <v>40.4</v>
      </c>
      <c r="Y11" s="66">
        <v>40.4</v>
      </c>
      <c r="Z11" s="66">
        <v>38.799999999999997</v>
      </c>
      <c r="AA11" s="66">
        <v>39.6</v>
      </c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17</v>
      </c>
      <c r="AQ11" s="68">
        <f t="shared" si="2"/>
        <v>38.35294117647058</v>
      </c>
      <c r="AR11" s="68">
        <f>IFERROR(VLOOKUP(A11,Climatologia_TMAX!A:U,9+$E$2,FALSE),"")</f>
        <v>35.537284092848601</v>
      </c>
      <c r="AS11" s="68">
        <f t="shared" si="3"/>
        <v>2.8156570836219785</v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>
        <v>35</v>
      </c>
      <c r="V12" s="66">
        <v>33.799999999999997</v>
      </c>
      <c r="W12" s="66">
        <v>33.700000000000003</v>
      </c>
      <c r="X12" s="66">
        <v>36.4</v>
      </c>
      <c r="Y12" s="66">
        <v>37.1</v>
      </c>
      <c r="Z12" s="66">
        <v>37.5</v>
      </c>
      <c r="AA12" s="66">
        <v>37.9</v>
      </c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17</v>
      </c>
      <c r="AQ12" s="68">
        <f t="shared" si="2"/>
        <v>35.305882352941175</v>
      </c>
      <c r="AR12" s="68">
        <f>IFERROR(VLOOKUP(A12,Climatologia_TMAX!A:U,9+$E$2,FALSE),"")</f>
        <v>33.224936599214232</v>
      </c>
      <c r="AS12" s="68">
        <f t="shared" si="3"/>
        <v>2.0809457537269438</v>
      </c>
      <c r="AT12" s="74">
        <f t="shared" si="4"/>
        <v>37.9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-0.5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>
        <v>35.4</v>
      </c>
      <c r="V13" s="66">
        <v>32.299999999999997</v>
      </c>
      <c r="W13" s="66">
        <v>34.4</v>
      </c>
      <c r="X13" s="66">
        <v>36</v>
      </c>
      <c r="Y13" s="66">
        <v>35.6</v>
      </c>
      <c r="Z13" s="66">
        <v>37.200000000000003</v>
      </c>
      <c r="AA13" s="66">
        <v>38.299999999999997</v>
      </c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17</v>
      </c>
      <c r="AQ13" s="68">
        <f t="shared" si="2"/>
        <v>34.682352941176468</v>
      </c>
      <c r="AR13" s="68">
        <f>IFERROR(VLOOKUP(A13,Climatologia_TMAX!A:U,9+$E$2,FALSE),"")</f>
        <v>32.673982202447156</v>
      </c>
      <c r="AS13" s="68">
        <f t="shared" si="3"/>
        <v>2.0083707387293117</v>
      </c>
      <c r="AT13" s="74">
        <f t="shared" si="4"/>
        <v>38.299999999999997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0.69999999999999574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>
        <v>27.4</v>
      </c>
      <c r="V14" s="66">
        <v>24.8</v>
      </c>
      <c r="W14" s="66">
        <v>27.6</v>
      </c>
      <c r="X14" s="66">
        <v>27.6</v>
      </c>
      <c r="Y14" s="66">
        <v>30.1</v>
      </c>
      <c r="Z14" s="66">
        <v>30.3</v>
      </c>
      <c r="AA14" s="66">
        <v>31.6</v>
      </c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17</v>
      </c>
      <c r="AQ14" s="68">
        <f t="shared" si="2"/>
        <v>28.24117647058824</v>
      </c>
      <c r="AR14" s="68">
        <f>IFERROR(VLOOKUP(A14,Climatologia_TMAX!A:U,9+$E$2,FALSE),"")</f>
        <v>26.05987085395687</v>
      </c>
      <c r="AS14" s="68">
        <f t="shared" si="3"/>
        <v>2.18130561663137</v>
      </c>
      <c r="AT14" s="74">
        <f t="shared" si="4"/>
        <v>31.6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1.6000000000000014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>
        <v>33.5</v>
      </c>
      <c r="V15" s="66">
        <v>32</v>
      </c>
      <c r="W15" s="66">
        <v>34.700000000000003</v>
      </c>
      <c r="X15" s="66">
        <v>33.799999999999997</v>
      </c>
      <c r="Y15" s="66">
        <v>35.700000000000003</v>
      </c>
      <c r="Z15" s="66">
        <v>33.700000000000003</v>
      </c>
      <c r="AA15" s="66">
        <v>34.6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17</v>
      </c>
      <c r="AQ15" s="68">
        <f t="shared" si="2"/>
        <v>33.852941176470587</v>
      </c>
      <c r="AR15" s="68">
        <f>IFERROR(VLOOKUP(A15,Climatologia_TMAX!A:U,9+$E$2,FALSE),"")</f>
        <v>33.250962402669643</v>
      </c>
      <c r="AS15" s="68">
        <f t="shared" si="3"/>
        <v>0.60197877380094411</v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-0.29999999999999716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>
        <v>32</v>
      </c>
      <c r="V16" s="66">
        <v>29.5</v>
      </c>
      <c r="W16" s="66">
        <v>32.200000000000003</v>
      </c>
      <c r="X16" s="66">
        <v>32.6</v>
      </c>
      <c r="Y16" s="66">
        <v>33.1</v>
      </c>
      <c r="Z16" s="66">
        <v>33.5</v>
      </c>
      <c r="AA16" s="66">
        <v>33.5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17</v>
      </c>
      <c r="AQ16" s="68">
        <f t="shared" si="2"/>
        <v>31.9</v>
      </c>
      <c r="AR16" s="68">
        <f>IFERROR(VLOOKUP(A16,Climatologia_TMAX!A:U,9+$E$2,FALSE),"")</f>
        <v>31.73533745607995</v>
      </c>
      <c r="AS16" s="68">
        <f t="shared" si="3"/>
        <v>0.16466254392004842</v>
      </c>
      <c r="AT16" s="74">
        <f t="shared" si="4"/>
        <v>33.5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>
        <v>31.2</v>
      </c>
      <c r="V17" s="66">
        <v>27.8</v>
      </c>
      <c r="W17" s="66">
        <v>30.5</v>
      </c>
      <c r="X17" s="66">
        <v>30.3</v>
      </c>
      <c r="Y17" s="66">
        <v>31.1</v>
      </c>
      <c r="Z17" s="66">
        <v>31.1</v>
      </c>
      <c r="AA17" s="66">
        <v>31.1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17</v>
      </c>
      <c r="AQ17" s="68">
        <f t="shared" si="2"/>
        <v>30.611764705882358</v>
      </c>
      <c r="AR17" s="68">
        <f>IFERROR(VLOOKUP(A17,Climatologia_TMAX!A:U,9+$E$2,FALSE),"")</f>
        <v>28.640804597701148</v>
      </c>
      <c r="AS17" s="68">
        <f t="shared" si="3"/>
        <v>1.9709601081812096</v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>
        <v>24.5</v>
      </c>
      <c r="V18" s="66">
        <v>22.4</v>
      </c>
      <c r="W18" s="66">
        <v>23.7</v>
      </c>
      <c r="X18" s="66">
        <v>23.8</v>
      </c>
      <c r="Y18" s="66">
        <v>24.4</v>
      </c>
      <c r="Z18" s="66">
        <v>24.6</v>
      </c>
      <c r="AA18" s="66">
        <v>24.9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17</v>
      </c>
      <c r="AQ18" s="68">
        <f t="shared" si="2"/>
        <v>24.429411764705879</v>
      </c>
      <c r="AR18" s="68">
        <f>IFERROR(VLOOKUP(A18,Climatologia_TMAX!A:U,9+$E$2,FALSE),"")</f>
        <v>22.609503151649971</v>
      </c>
      <c r="AS18" s="68">
        <f t="shared" si="3"/>
        <v>1.8199086130559081</v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>
        <v>26.6</v>
      </c>
      <c r="V19" s="66">
        <v>24.5</v>
      </c>
      <c r="W19" s="66">
        <v>30</v>
      </c>
      <c r="X19" s="66">
        <v>31.8</v>
      </c>
      <c r="Y19" s="66">
        <v>29.5</v>
      </c>
      <c r="Z19" s="66">
        <v>30.8</v>
      </c>
      <c r="AA19" s="66">
        <v>30.5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17</v>
      </c>
      <c r="AQ19" s="68">
        <f t="shared" si="2"/>
        <v>29.011764705882356</v>
      </c>
      <c r="AR19" s="68">
        <f>IFERROR(VLOOKUP(A19,Climatologia_TMAX!A:U,9+$E$2,FALSE),"")</f>
        <v>26.8683870967742</v>
      </c>
      <c r="AS19" s="68">
        <f t="shared" si="3"/>
        <v>2.1433776091081569</v>
      </c>
      <c r="AT19" s="74">
        <f t="shared" si="4"/>
        <v>31.8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-0.69999999999999929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>
        <v>29.1</v>
      </c>
      <c r="V20" s="66">
        <v>25.9</v>
      </c>
      <c r="W20" s="66">
        <v>32.1</v>
      </c>
      <c r="X20" s="66">
        <v>31.4</v>
      </c>
      <c r="Y20" s="66">
        <v>31.4</v>
      </c>
      <c r="Z20" s="66">
        <v>32.799999999999997</v>
      </c>
      <c r="AA20" s="66">
        <v>28.8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17</v>
      </c>
      <c r="AQ20" s="68">
        <f t="shared" si="2"/>
        <v>30.088235294117649</v>
      </c>
      <c r="AR20" s="68">
        <f>IFERROR(VLOOKUP(A20,Climatologia_TMAX!A:U,9+$E$2,FALSE),"")</f>
        <v>28.251824116743482</v>
      </c>
      <c r="AS20" s="68">
        <f t="shared" si="3"/>
        <v>1.8364111773741669</v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>
        <v>31.7</v>
      </c>
      <c r="V21" s="66">
        <v>29.6</v>
      </c>
      <c r="W21" s="66">
        <v>33</v>
      </c>
      <c r="X21" s="66">
        <v>33.200000000000003</v>
      </c>
      <c r="Y21" s="66">
        <v>34.6</v>
      </c>
      <c r="Z21" s="66">
        <v>33.299999999999997</v>
      </c>
      <c r="AA21" s="66">
        <v>33.200000000000003</v>
      </c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17</v>
      </c>
      <c r="AQ21" s="68">
        <f t="shared" si="2"/>
        <v>32.3764705882353</v>
      </c>
      <c r="AR21" s="68">
        <f>IFERROR(VLOOKUP(A21,Climatologia_TMAX!A:U,9+$E$2,FALSE),"")</f>
        <v>30.375865393221069</v>
      </c>
      <c r="AS21" s="68">
        <f t="shared" si="3"/>
        <v>2.0006051950142307</v>
      </c>
      <c r="AT21" s="74">
        <f t="shared" si="4"/>
        <v>34.6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-0.79999999999999716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66">
        <v>19.399999999999999</v>
      </c>
      <c r="V22" s="66">
        <v>18</v>
      </c>
      <c r="W22" s="66">
        <v>18.8</v>
      </c>
      <c r="X22" s="66">
        <v>19.7</v>
      </c>
      <c r="Y22" s="66">
        <v>19.5</v>
      </c>
      <c r="Z22" s="66">
        <v>21.6</v>
      </c>
      <c r="AA22" s="66">
        <v>20.3</v>
      </c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17</v>
      </c>
      <c r="AQ22" s="68">
        <f t="shared" si="2"/>
        <v>19.629411764705885</v>
      </c>
      <c r="AR22" s="68">
        <f>IFERROR(VLOOKUP(A22,Climatologia_TMAX!A:U,9+$E$2,FALSE),"")</f>
        <v>18.542871607443359</v>
      </c>
      <c r="AS22" s="68">
        <f t="shared" si="3"/>
        <v>1.086540157262526</v>
      </c>
      <c r="AT22" s="74">
        <f t="shared" si="4"/>
        <v>21.6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>
        <v>30.7</v>
      </c>
      <c r="V23" s="66">
        <v>28.8</v>
      </c>
      <c r="W23" s="66">
        <v>33.200000000000003</v>
      </c>
      <c r="X23" s="66">
        <v>34.1</v>
      </c>
      <c r="Y23" s="66">
        <v>34.6</v>
      </c>
      <c r="Z23" s="66">
        <v>32.299999999999997</v>
      </c>
      <c r="AA23" s="66">
        <v>31.5</v>
      </c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17</v>
      </c>
      <c r="AQ23" s="68">
        <f t="shared" si="2"/>
        <v>32.223529411764709</v>
      </c>
      <c r="AR23" s="68">
        <f>IFERROR(VLOOKUP(A23,Climatologia_TMAX!A:U,9+$E$2,FALSE),"")</f>
        <v>30.528452601656159</v>
      </c>
      <c r="AS23" s="68">
        <f t="shared" si="3"/>
        <v>1.6950768101085494</v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>
        <v>35.799999999999997</v>
      </c>
      <c r="V24" s="66">
        <v>33.6</v>
      </c>
      <c r="W24" s="66">
        <v>36.200000000000003</v>
      </c>
      <c r="X24" s="66">
        <v>34</v>
      </c>
      <c r="Y24" s="66">
        <v>36.200000000000003</v>
      </c>
      <c r="Z24" s="66">
        <v>35.299999999999997</v>
      </c>
      <c r="AA24" s="66">
        <v>36.200000000000003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17</v>
      </c>
      <c r="AQ24" s="68">
        <f t="shared" si="2"/>
        <v>34.735294117647065</v>
      </c>
      <c r="AR24" s="68">
        <f>IFERROR(VLOOKUP(A24,Climatologia_TMAX!A:U,9+$E$2,FALSE),"")</f>
        <v>33.74225089605735</v>
      </c>
      <c r="AS24" s="68">
        <f t="shared" si="3"/>
        <v>0.99304322158971559</v>
      </c>
      <c r="AT24" s="74">
        <f t="shared" si="4"/>
        <v>37.200000000000003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>
        <v>27.8</v>
      </c>
      <c r="V25" s="66">
        <v>25.8</v>
      </c>
      <c r="W25" s="66">
        <v>26.6</v>
      </c>
      <c r="X25" s="66">
        <v>28.2</v>
      </c>
      <c r="Y25" s="66">
        <v>28.6</v>
      </c>
      <c r="Z25" s="66">
        <v>29.4</v>
      </c>
      <c r="AA25" s="66">
        <v>27.2</v>
      </c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17</v>
      </c>
      <c r="AQ25" s="68">
        <f t="shared" si="2"/>
        <v>27.77058823529412</v>
      </c>
      <c r="AR25" s="68">
        <f>IFERROR(VLOOKUP(A25,Climatologia_TMAX!A:U,9+$E$2,FALSE),"")</f>
        <v>25.387424837120619</v>
      </c>
      <c r="AS25" s="68">
        <f t="shared" si="3"/>
        <v>2.383163398173501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-0.80000000000000071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66">
        <v>15.6</v>
      </c>
      <c r="V26" s="66">
        <v>15.2</v>
      </c>
      <c r="W26" s="66">
        <v>14</v>
      </c>
      <c r="X26" s="66">
        <v>15</v>
      </c>
      <c r="Y26" s="66">
        <v>16</v>
      </c>
      <c r="Z26" s="66">
        <v>16.399999999999999</v>
      </c>
      <c r="AA26" s="66">
        <v>14.8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17</v>
      </c>
      <c r="AQ26" s="68">
        <f t="shared" si="2"/>
        <v>15.617647058823529</v>
      </c>
      <c r="AR26" s="68">
        <f>IFERROR(VLOOKUP(A26,Climatologia_TMAX!A:U,9+$E$2,FALSE),"")</f>
        <v>14.744612532443449</v>
      </c>
      <c r="AS26" s="68">
        <f t="shared" si="3"/>
        <v>0.87303452638007961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>
        <v>30.2</v>
      </c>
      <c r="V27" s="66">
        <v>27.4</v>
      </c>
      <c r="W27" s="66">
        <v>33.200000000000003</v>
      </c>
      <c r="X27" s="66">
        <v>33.799999999999997</v>
      </c>
      <c r="Y27" s="66">
        <v>30.8</v>
      </c>
      <c r="Z27" s="66">
        <v>34.6</v>
      </c>
      <c r="AA27" s="66">
        <v>33.4</v>
      </c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17</v>
      </c>
      <c r="AQ27" s="68">
        <f t="shared" si="2"/>
        <v>32.235294117647051</v>
      </c>
      <c r="AR27" s="68">
        <f>IFERROR(VLOOKUP(A27,Climatologia_TMAX!A:U,9+$E$2,FALSE),"")</f>
        <v>31.072695852534562</v>
      </c>
      <c r="AS27" s="68">
        <f t="shared" si="3"/>
        <v>1.1625982651124893</v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>
        <v>30.1</v>
      </c>
      <c r="V28" s="66">
        <v>26.7</v>
      </c>
      <c r="W28" s="66">
        <v>31.4</v>
      </c>
      <c r="X28" s="66">
        <v>28.3</v>
      </c>
      <c r="Y28" s="66">
        <v>32.4</v>
      </c>
      <c r="Z28" s="66">
        <v>32.200000000000003</v>
      </c>
      <c r="AA28" s="66">
        <v>32.5</v>
      </c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17</v>
      </c>
      <c r="AQ28" s="68">
        <f t="shared" si="2"/>
        <v>30.070588235294114</v>
      </c>
      <c r="AR28" s="68">
        <f>IFERROR(VLOOKUP(A28,Climatologia_TMAX!A:U,9+$E$2,FALSE),"")</f>
        <v>30.029026223392581</v>
      </c>
      <c r="AS28" s="68">
        <f t="shared" si="3"/>
        <v>4.1562011901532969E-2</v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>
        <v>32.299999999999997</v>
      </c>
      <c r="V29" s="66">
        <v>32</v>
      </c>
      <c r="W29" s="66">
        <v>31.6</v>
      </c>
      <c r="X29" s="66">
        <v>33.200000000000003</v>
      </c>
      <c r="Y29" s="66">
        <v>33.6</v>
      </c>
      <c r="Z29" s="66">
        <v>33.4</v>
      </c>
      <c r="AA29" s="66">
        <v>34.4</v>
      </c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17</v>
      </c>
      <c r="AQ29" s="68">
        <f t="shared" si="2"/>
        <v>31.4</v>
      </c>
      <c r="AR29" s="68">
        <f>IFERROR(VLOOKUP(A29,Climatologia_TMAX!A:U,9+$E$2,FALSE),"")</f>
        <v>30.843133110863921</v>
      </c>
      <c r="AS29" s="68">
        <f t="shared" si="3"/>
        <v>0.55686688913607796</v>
      </c>
      <c r="AT29" s="74">
        <f t="shared" si="4"/>
        <v>34.4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>
        <v>30.4</v>
      </c>
      <c r="V30" s="66">
        <v>30.2</v>
      </c>
      <c r="W30" s="66">
        <v>31.3</v>
      </c>
      <c r="X30" s="66">
        <v>29.6</v>
      </c>
      <c r="Y30" s="66">
        <v>30.6</v>
      </c>
      <c r="Z30" s="66">
        <v>30.2</v>
      </c>
      <c r="AA30" s="66">
        <v>31.7</v>
      </c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17</v>
      </c>
      <c r="AQ30" s="68">
        <f t="shared" si="2"/>
        <v>29.447058823529414</v>
      </c>
      <c r="AR30" s="68">
        <f>IFERROR(VLOOKUP(A30,Climatologia_TMAX!A:U,9+$E$2,FALSE),"")</f>
        <v>28.947548387096781</v>
      </c>
      <c r="AS30" s="68">
        <f t="shared" si="3"/>
        <v>0.49951043643263304</v>
      </c>
      <c r="AT30" s="74">
        <f t="shared" si="4"/>
        <v>31.7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-1.8000000000000007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>
        <v>27.6</v>
      </c>
      <c r="V31" s="105">
        <v>30.4</v>
      </c>
      <c r="W31" s="105">
        <v>29.3</v>
      </c>
      <c r="X31" s="105">
        <v>31.1</v>
      </c>
      <c r="Y31" s="105">
        <v>29.2</v>
      </c>
      <c r="Z31" s="105">
        <v>31.9</v>
      </c>
      <c r="AA31" s="105">
        <v>32.799999999999997</v>
      </c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17</v>
      </c>
      <c r="AQ31" s="68">
        <f t="shared" si="2"/>
        <v>30.105882352941176</v>
      </c>
      <c r="AR31" s="68">
        <f>IFERROR(VLOOKUP(A31,Climatologia_TMAX!A:U,9+$E$2,FALSE),"")</f>
        <v>30.34253285543608</v>
      </c>
      <c r="AS31" s="68">
        <f t="shared" si="3"/>
        <v>-0.23665050249490349</v>
      </c>
      <c r="AT31" s="74">
        <f t="shared" si="4"/>
        <v>32.799999999999997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-2.4000000000000057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>
        <v>25.6</v>
      </c>
      <c r="V33" s="66">
        <v>24</v>
      </c>
      <c r="W33" s="66">
        <v>25.6</v>
      </c>
      <c r="X33" s="66">
        <v>25.8</v>
      </c>
      <c r="Y33" s="66">
        <v>26.4</v>
      </c>
      <c r="Z33" s="66">
        <v>28</v>
      </c>
      <c r="AA33" s="66">
        <v>27.6</v>
      </c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17</v>
      </c>
      <c r="AQ33" s="68">
        <f t="shared" si="2"/>
        <v>26.211764705882356</v>
      </c>
      <c r="AR33" s="68">
        <f>IFERROR(VLOOKUP(A33,Climatologia_TMAX!A:U,9+$E$2,FALSE),"")</f>
        <v>24.63366101619717</v>
      </c>
      <c r="AS33" s="68">
        <f t="shared" si="3"/>
        <v>1.5781036896851859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0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>
        <v>34.799999999999997</v>
      </c>
      <c r="V36" s="66">
        <v>34</v>
      </c>
      <c r="W36" s="66">
        <v>39</v>
      </c>
      <c r="X36" s="66">
        <v>39.4</v>
      </c>
      <c r="Y36" s="66">
        <v>35.200000000000003</v>
      </c>
      <c r="Z36" s="66">
        <v>39</v>
      </c>
      <c r="AA36" s="66">
        <v>39.200000000000003</v>
      </c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17</v>
      </c>
      <c r="AQ36" s="68">
        <f t="shared" si="2"/>
        <v>36.035294117647062</v>
      </c>
      <c r="AR36" s="68">
        <f>IFERROR(VLOOKUP(A36,Climatologia_TMAX!A:U,9+$E$2,FALSE),"")</f>
        <v>33.669529909436747</v>
      </c>
      <c r="AS36" s="68">
        <f t="shared" si="3"/>
        <v>2.3657642082103152</v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>
        <v>27.4</v>
      </c>
      <c r="V38" s="66">
        <v>24.8</v>
      </c>
      <c r="W38" s="66">
        <v>28</v>
      </c>
      <c r="X38" s="66">
        <v>29.2</v>
      </c>
      <c r="Y38" s="66">
        <v>27.8</v>
      </c>
      <c r="Z38" s="66">
        <v>30.4</v>
      </c>
      <c r="AA38" s="66">
        <v>29.8</v>
      </c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17</v>
      </c>
      <c r="AQ38" s="68">
        <f t="shared" si="2"/>
        <v>28.17647058823529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>
        <v>25.4</v>
      </c>
      <c r="V39" s="109">
        <v>24.4</v>
      </c>
      <c r="W39" s="66">
        <v>26.6</v>
      </c>
      <c r="X39" s="66">
        <v>27</v>
      </c>
      <c r="Y39" s="66">
        <v>26.2</v>
      </c>
      <c r="Z39" s="66">
        <v>27.2</v>
      </c>
      <c r="AA39" s="66">
        <v>27.4</v>
      </c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17</v>
      </c>
      <c r="AQ39" s="68">
        <f t="shared" si="2"/>
        <v>26.717647058823527</v>
      </c>
      <c r="AR39" s="68">
        <f>IFERROR(VLOOKUP(A39,Climatologia_TMAX!A:U,9+$E$2,FALSE),"")</f>
        <v>23.752466703156351</v>
      </c>
      <c r="AS39" s="68">
        <f t="shared" si="3"/>
        <v>2.9651803556671759</v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>
        <v>21.4</v>
      </c>
      <c r="V40" s="66">
        <v>19.399999999999999</v>
      </c>
      <c r="W40" s="66">
        <v>21</v>
      </c>
      <c r="X40" s="66">
        <v>20.8</v>
      </c>
      <c r="Y40" s="66">
        <v>21.4</v>
      </c>
      <c r="Z40" s="66">
        <v>21.6</v>
      </c>
      <c r="AA40" s="66">
        <v>22</v>
      </c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17</v>
      </c>
      <c r="AQ40" s="68">
        <f t="shared" si="2"/>
        <v>21.505882352941178</v>
      </c>
      <c r="AR40" s="68">
        <f>IFERROR(VLOOKUP(A40,Climatologia_TMAX!A:U,9+$E$2,FALSE),"")</f>
        <v>20.412982326041281</v>
      </c>
      <c r="AS40" s="68">
        <f t="shared" si="3"/>
        <v>1.0929000268998976</v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>
        <v>33.200000000000003</v>
      </c>
      <c r="V42" s="66">
        <v>28.2</v>
      </c>
      <c r="W42" s="66">
        <v>32</v>
      </c>
      <c r="X42" s="66">
        <v>33</v>
      </c>
      <c r="Y42" s="66">
        <v>32</v>
      </c>
      <c r="Z42" s="66">
        <v>33.4</v>
      </c>
      <c r="AA42" s="66">
        <v>34</v>
      </c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17</v>
      </c>
      <c r="AQ42" s="68">
        <f t="shared" si="2"/>
        <v>32.329411764705874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>
        <v>33</v>
      </c>
      <c r="V43" s="66">
        <v>30.2</v>
      </c>
      <c r="W43" s="66">
        <v>32</v>
      </c>
      <c r="X43" s="66">
        <v>33</v>
      </c>
      <c r="Y43" s="66">
        <v>34.799999999999997</v>
      </c>
      <c r="Z43" s="66">
        <v>33.4</v>
      </c>
      <c r="AA43" s="66">
        <v>33.200000000000003</v>
      </c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17</v>
      </c>
      <c r="AQ43" s="68">
        <f t="shared" si="2"/>
        <v>32.517647058823535</v>
      </c>
      <c r="AR43" s="68">
        <f>IFERROR(VLOOKUP(A43,Climatologia_TMAX!A:U,9+$E$2,FALSE),"")</f>
        <v>31.60886672633503</v>
      </c>
      <c r="AS43" s="68">
        <f t="shared" si="3"/>
        <v>0.90878033248850443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-1.2000000000000028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>
        <v>28</v>
      </c>
      <c r="V44" s="66">
        <v>27.2</v>
      </c>
      <c r="W44" s="66">
        <v>27.8</v>
      </c>
      <c r="X44" s="66">
        <v>28.6</v>
      </c>
      <c r="Y44" s="66">
        <v>28.4</v>
      </c>
      <c r="Z44" s="66">
        <v>28</v>
      </c>
      <c r="AA44" s="66">
        <v>29</v>
      </c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17</v>
      </c>
      <c r="AQ44" s="68">
        <f t="shared" si="2"/>
        <v>27.352941176470587</v>
      </c>
      <c r="AR44" s="68">
        <f>IFERROR(VLOOKUP(A44,Climatologia_TMAX!A:U,9+$E$2,FALSE),"")</f>
        <v>22.96179749103943</v>
      </c>
      <c r="AS44" s="68">
        <f t="shared" si="3"/>
        <v>4.3911436854311567</v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0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>
        <v>36.6</v>
      </c>
      <c r="V45" s="66">
        <v>34.200000000000003</v>
      </c>
      <c r="W45" s="66">
        <v>35.200000000000003</v>
      </c>
      <c r="X45" s="66">
        <v>36</v>
      </c>
      <c r="Y45" s="66">
        <v>37.6</v>
      </c>
      <c r="Z45" s="66">
        <v>37.799999999999997</v>
      </c>
      <c r="AA45" s="66">
        <v>38.200000000000003</v>
      </c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17</v>
      </c>
      <c r="AQ45" s="68">
        <f t="shared" si="2"/>
        <v>36.27058823529412</v>
      </c>
      <c r="AR45" s="68">
        <f>IFERROR(VLOOKUP(A45,Climatologia_TMAX!A:U,9+$E$2,FALSE),"")</f>
        <v>33.381792114695337</v>
      </c>
      <c r="AS45" s="68">
        <f t="shared" si="3"/>
        <v>2.8887961205987835</v>
      </c>
      <c r="AT45" s="74">
        <f t="shared" si="4"/>
        <v>38.200000000000003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0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>
        <v>32</v>
      </c>
      <c r="V46" s="66">
        <v>31.8</v>
      </c>
      <c r="W46" s="66">
        <v>30.2</v>
      </c>
      <c r="X46" s="66">
        <v>32.200000000000003</v>
      </c>
      <c r="Y46" s="66">
        <v>32.799999999999997</v>
      </c>
      <c r="Z46" s="66">
        <v>33</v>
      </c>
      <c r="AA46" s="66">
        <v>32.799999999999997</v>
      </c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17</v>
      </c>
      <c r="AQ46" s="68">
        <f t="shared" si="2"/>
        <v>31.905882352941177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>
        <v>34.799999999999997</v>
      </c>
      <c r="V49" s="66">
        <v>33.6</v>
      </c>
      <c r="W49" s="66">
        <v>33.200000000000003</v>
      </c>
      <c r="X49" s="66">
        <v>36</v>
      </c>
      <c r="Y49" s="66">
        <v>37.200000000000003</v>
      </c>
      <c r="Z49" s="66">
        <v>37.799999999999997</v>
      </c>
      <c r="AA49" s="66">
        <v>37.799999999999997</v>
      </c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17</v>
      </c>
      <c r="AQ49" s="68">
        <f t="shared" si="2"/>
        <v>35.258823529411764</v>
      </c>
      <c r="AR49" s="68">
        <f>IFERROR(VLOOKUP(A49,Climatologia_TMAX!A:U,9+$E$2,FALSE),"")</f>
        <v>32.8234456183622</v>
      </c>
      <c r="AS49" s="68">
        <f t="shared" si="3"/>
        <v>2.4353779110495637</v>
      </c>
      <c r="AT49" s="74">
        <f t="shared" si="4"/>
        <v>37.799999999999997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>
        <v>32</v>
      </c>
      <c r="V52" s="66">
        <v>31.6</v>
      </c>
      <c r="W52" s="66">
        <v>31</v>
      </c>
      <c r="X52" s="66">
        <v>32.4</v>
      </c>
      <c r="Y52" s="66">
        <v>32.799999999999997</v>
      </c>
      <c r="Z52" s="66">
        <v>33.200000000000003</v>
      </c>
      <c r="AA52" s="66">
        <v>34</v>
      </c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16</v>
      </c>
      <c r="AQ52" s="68">
        <f t="shared" si="2"/>
        <v>32.225000000000001</v>
      </c>
      <c r="AR52" s="68">
        <f>IFERROR(VLOOKUP(A52,Climatologia_TMAX!A:U,9+$E$2,FALSE),"")</f>
        <v>31.351722385882571</v>
      </c>
      <c r="AS52" s="68">
        <f t="shared" si="3"/>
        <v>0.87327761411743055</v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>
        <v>36.200000000000003</v>
      </c>
      <c r="V53" s="66">
        <v>33.799999999999997</v>
      </c>
      <c r="W53" s="66">
        <v>32.799999999999997</v>
      </c>
      <c r="X53" s="66">
        <v>34.799999999999997</v>
      </c>
      <c r="Y53" s="66">
        <v>35.799999999999997</v>
      </c>
      <c r="Z53" s="66">
        <v>35.799999999999997</v>
      </c>
      <c r="AA53" s="66">
        <v>36.799999999999997</v>
      </c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17</v>
      </c>
      <c r="AQ53" s="68">
        <f t="shared" si="2"/>
        <v>34.588235294117638</v>
      </c>
      <c r="AR53" s="68">
        <f>IFERROR(VLOOKUP(A53,Climatologia_TMAX!A:U,9+$E$2,FALSE),"")</f>
        <v>32.406928995179832</v>
      </c>
      <c r="AS53" s="68">
        <f t="shared" si="3"/>
        <v>2.1813062989378054</v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>
        <v>38.799999999999997</v>
      </c>
      <c r="V54" s="66">
        <v>36.6</v>
      </c>
      <c r="W54" s="66">
        <v>36</v>
      </c>
      <c r="X54" s="66">
        <v>38.4</v>
      </c>
      <c r="Y54" s="66">
        <v>40.4</v>
      </c>
      <c r="Z54" s="66">
        <v>40.6</v>
      </c>
      <c r="AA54" s="66">
        <v>41.6</v>
      </c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13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41.6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-0.39999999999999858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>
        <v>34.799999999999997</v>
      </c>
      <c r="V55" s="66">
        <v>35</v>
      </c>
      <c r="W55" s="66">
        <v>34.4</v>
      </c>
      <c r="X55" s="66">
        <v>36.200000000000003</v>
      </c>
      <c r="Y55" s="66">
        <v>37.4</v>
      </c>
      <c r="Z55" s="66">
        <v>38</v>
      </c>
      <c r="AA55" s="66">
        <v>38.6</v>
      </c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17</v>
      </c>
      <c r="AQ55" s="68">
        <f t="shared" si="2"/>
        <v>35.923529411764711</v>
      </c>
      <c r="AR55" s="68">
        <f>IFERROR(VLOOKUP(A55,Climatologia_TMAX!A:U,9+$E$2,FALSE),"")</f>
        <v>33.028858295246998</v>
      </c>
      <c r="AS55" s="68">
        <f t="shared" si="3"/>
        <v>2.8946711165177135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-0.39999999999999858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>
        <v>34.799999999999997</v>
      </c>
      <c r="V64" s="66">
        <v>34.6</v>
      </c>
      <c r="W64" s="66">
        <v>33.6</v>
      </c>
      <c r="X64" s="66">
        <v>35.200000000000003</v>
      </c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14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>
        <v>33.200000000000003</v>
      </c>
      <c r="V67" s="66">
        <v>32.200000000000003</v>
      </c>
      <c r="W67" s="66">
        <v>32.6</v>
      </c>
      <c r="X67" s="66">
        <v>34.4</v>
      </c>
      <c r="Y67" s="114">
        <v>36.4</v>
      </c>
      <c r="Z67" s="66">
        <v>36.4</v>
      </c>
      <c r="AA67" s="66">
        <v>35.200000000000003</v>
      </c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17</v>
      </c>
      <c r="AQ67" s="68">
        <f t="shared" si="2"/>
        <v>33.864705882352943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36.4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1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>
        <v>36</v>
      </c>
      <c r="V74" s="66">
        <v>35.200000000000003</v>
      </c>
      <c r="W74" s="66">
        <v>35.6</v>
      </c>
      <c r="X74" s="66">
        <v>36.6</v>
      </c>
      <c r="Y74" s="66">
        <v>36.200000000000003</v>
      </c>
      <c r="Z74" s="66">
        <v>36</v>
      </c>
      <c r="AA74" s="66">
        <v>36</v>
      </c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17</v>
      </c>
      <c r="AQ74" s="68">
        <f t="shared" si="7"/>
        <v>36.276470588235298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>
        <v>34.799999999999997</v>
      </c>
      <c r="V76" s="66">
        <v>33.4</v>
      </c>
      <c r="W76" s="66">
        <v>33.799999999999997</v>
      </c>
      <c r="X76" s="66">
        <v>35.6</v>
      </c>
      <c r="Y76" s="66">
        <v>36.200000000000003</v>
      </c>
      <c r="Z76" s="66">
        <v>36.4</v>
      </c>
      <c r="AA76" s="66">
        <v>37.4</v>
      </c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17</v>
      </c>
      <c r="AQ76" s="68">
        <f t="shared" si="7"/>
        <v>35.082352941176467</v>
      </c>
      <c r="AR76" s="68">
        <f>IFERROR(VLOOKUP(A76,Climatologia_TMAX!A:U,9+$E$2,FALSE),"")</f>
        <v>32.188624146173737</v>
      </c>
      <c r="AS76" s="68">
        <f t="shared" si="8"/>
        <v>2.8937287950027297</v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>
        <v>32.4</v>
      </c>
      <c r="V77" s="66">
        <v>32.200000000000003</v>
      </c>
      <c r="W77" s="66">
        <v>31.8</v>
      </c>
      <c r="X77" s="66">
        <v>31</v>
      </c>
      <c r="Y77" s="66">
        <v>30.4</v>
      </c>
      <c r="Z77" s="66">
        <v>33.200000000000003</v>
      </c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9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>
        <f t="shared" si="9"/>
        <v>33.200000000000003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-1.3999999999999986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>
        <v>31.2</v>
      </c>
      <c r="U79" s="66">
        <v>31.6</v>
      </c>
      <c r="V79" s="66">
        <v>31.6</v>
      </c>
      <c r="W79" s="66">
        <v>31.6</v>
      </c>
      <c r="X79" s="66">
        <v>31.6</v>
      </c>
      <c r="Y79" s="66">
        <v>31.4</v>
      </c>
      <c r="Z79" s="66">
        <v>31.6</v>
      </c>
      <c r="AA79" s="66">
        <v>31.2</v>
      </c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17</v>
      </c>
      <c r="AQ79" s="68">
        <f t="shared" si="7"/>
        <v>30.611764705882358</v>
      </c>
      <c r="AR79" s="68">
        <f>IFERROR(VLOOKUP(A79,Climatologia_TMAX!A:U,9+$E$2,FALSE),"")</f>
        <v>29.544674995207899</v>
      </c>
      <c r="AS79" s="68">
        <f t="shared" si="8"/>
        <v>1.067089710674459</v>
      </c>
      <c r="AT79" s="74">
        <f t="shared" si="9"/>
        <v>31.6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-4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>
        <v>31.8</v>
      </c>
      <c r="V80" s="66"/>
      <c r="W80" s="66"/>
      <c r="X80" s="66">
        <v>29.8</v>
      </c>
      <c r="Y80" s="66">
        <v>30</v>
      </c>
      <c r="Z80" s="66">
        <v>32</v>
      </c>
      <c r="AA80" s="66">
        <v>33</v>
      </c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13</v>
      </c>
      <c r="AQ80" s="68" t="str">
        <f t="shared" si="7"/>
        <v/>
      </c>
      <c r="AR80" s="68">
        <f>IFERROR(VLOOKUP(A80,Climatologia_TMAX!A:U,9+$E$2,FALSE),"")</f>
        <v>29.810195727942482</v>
      </c>
      <c r="AS80" s="68" t="str">
        <f t="shared" si="8"/>
        <v/>
      </c>
      <c r="AT80" s="74">
        <f t="shared" si="9"/>
        <v>33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>
        <v>32</v>
      </c>
      <c r="V81" s="66">
        <v>30.4</v>
      </c>
      <c r="W81" s="66">
        <v>32</v>
      </c>
      <c r="X81" s="66">
        <v>31</v>
      </c>
      <c r="Y81" s="66">
        <v>30.4</v>
      </c>
      <c r="Z81" s="66">
        <v>32</v>
      </c>
      <c r="AA81" s="66">
        <v>33</v>
      </c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17</v>
      </c>
      <c r="AQ81" s="68">
        <f t="shared" si="7"/>
        <v>30.117647058823525</v>
      </c>
      <c r="AR81" s="68">
        <f>IFERROR(VLOOKUP(A81,Climatologia_TMAX!A:U,9+$E$2,FALSE),"")</f>
        <v>29.131406078560449</v>
      </c>
      <c r="AS81" s="68">
        <f t="shared" si="8"/>
        <v>0.98624098026307649</v>
      </c>
      <c r="AT81" s="74">
        <f t="shared" si="9"/>
        <v>33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-1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>
        <v>31.3</v>
      </c>
      <c r="V83" s="66">
        <v>31.3</v>
      </c>
      <c r="W83" s="66">
        <v>31.8</v>
      </c>
      <c r="X83" s="66">
        <v>30.4</v>
      </c>
      <c r="Y83" s="66">
        <v>29.6</v>
      </c>
      <c r="Z83" s="66">
        <v>32.200000000000003</v>
      </c>
      <c r="AA83" s="66">
        <v>33</v>
      </c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15</v>
      </c>
      <c r="AQ83" s="68">
        <f t="shared" si="7"/>
        <v>30.466666666666665</v>
      </c>
      <c r="AR83" s="68">
        <f>IFERROR(VLOOKUP(A83,Climatologia_TMAX!A:U,9+$E$2,FALSE),"")</f>
        <v>29.283968683114491</v>
      </c>
      <c r="AS83" s="68">
        <f t="shared" si="8"/>
        <v>1.182697983552174</v>
      </c>
      <c r="AT83" s="74">
        <f t="shared" si="9"/>
        <v>33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>
        <v>29</v>
      </c>
      <c r="R85" s="66">
        <v>30.6</v>
      </c>
      <c r="S85" s="66">
        <v>28</v>
      </c>
      <c r="T85" s="66">
        <v>30.4</v>
      </c>
      <c r="U85" s="66">
        <v>31</v>
      </c>
      <c r="V85" s="66">
        <v>30.6</v>
      </c>
      <c r="W85" s="66">
        <v>31.8</v>
      </c>
      <c r="X85" s="66">
        <v>31</v>
      </c>
      <c r="Y85" s="66">
        <v>30.8</v>
      </c>
      <c r="Z85" s="66">
        <v>31.2</v>
      </c>
      <c r="AA85" s="66">
        <v>32.200000000000003</v>
      </c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17</v>
      </c>
      <c r="AQ85" s="68">
        <f t="shared" si="7"/>
        <v>30</v>
      </c>
      <c r="AR85" s="68">
        <f>IFERROR(VLOOKUP(A85,Climatologia_TMAX!A:U,9+$E$2,FALSE),"")</f>
        <v>29.391449466603099</v>
      </c>
      <c r="AS85" s="68">
        <f t="shared" si="8"/>
        <v>0.60855053339690102</v>
      </c>
      <c r="AT85" s="74">
        <f t="shared" si="9"/>
        <v>32.200000000000003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-2.5999999999999943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>
        <v>30.4</v>
      </c>
      <c r="V86" s="66">
        <v>30</v>
      </c>
      <c r="W86" s="66">
        <v>31.2</v>
      </c>
      <c r="X86" s="66">
        <v>30.8</v>
      </c>
      <c r="Y86" s="66">
        <v>31.4</v>
      </c>
      <c r="Z86" s="66">
        <v>31</v>
      </c>
      <c r="AA86" s="66">
        <v>29.4</v>
      </c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17</v>
      </c>
      <c r="AQ86" s="68">
        <f t="shared" si="7"/>
        <v>29.952941176470585</v>
      </c>
      <c r="AR86" s="68">
        <f>IFERROR(VLOOKUP(A86,Climatologia_TMAX!A:U,9+$E$2,FALSE),"")</f>
        <v>29.45927642223533</v>
      </c>
      <c r="AS86" s="68">
        <f t="shared" si="8"/>
        <v>0.49366475423525458</v>
      </c>
      <c r="AT86" s="74">
        <f t="shared" si="9"/>
        <v>31.4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-1.8000000000000043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>
        <v>31</v>
      </c>
      <c r="V87" s="66">
        <v>30.6</v>
      </c>
      <c r="W87" s="66">
        <v>31.6</v>
      </c>
      <c r="X87" s="66">
        <v>32.799999999999997</v>
      </c>
      <c r="Y87" s="66">
        <v>31.6</v>
      </c>
      <c r="Z87" s="66">
        <v>32.799999999999997</v>
      </c>
      <c r="AA87" s="66">
        <v>32.799999999999997</v>
      </c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17</v>
      </c>
      <c r="AQ87" s="68">
        <f t="shared" si="7"/>
        <v>30.447058823529421</v>
      </c>
      <c r="AR87" s="68">
        <f>IFERROR(VLOOKUP(A87,Climatologia_TMAX!A:U,9+$E$2,FALSE),"")</f>
        <v>29.54581639287883</v>
      </c>
      <c r="AS87" s="68">
        <f t="shared" si="8"/>
        <v>0.90124243065059062</v>
      </c>
      <c r="AT87" s="74">
        <f t="shared" si="9"/>
        <v>32.799999999999997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-1.4000000000000057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>
        <v>32.299999999999997</v>
      </c>
      <c r="V90" s="66">
        <v>31.3</v>
      </c>
      <c r="W90" s="66">
        <v>31.3</v>
      </c>
      <c r="X90" s="66">
        <v>31.2</v>
      </c>
      <c r="Y90" s="66">
        <v>31.2</v>
      </c>
      <c r="Z90" s="66">
        <v>31.2</v>
      </c>
      <c r="AA90" s="66">
        <v>31.4</v>
      </c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17</v>
      </c>
      <c r="AQ90" s="68">
        <f t="shared" si="7"/>
        <v>31.288235294117644</v>
      </c>
      <c r="AR90" s="68">
        <f>IFERROR(VLOOKUP(A90,Climatologia_TMAX!A:U,9+$E$2,FALSE),"")</f>
        <v>29.043187205360461</v>
      </c>
      <c r="AS90" s="68">
        <f t="shared" si="8"/>
        <v>2.2450480887571835</v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>
        <v>31.2</v>
      </c>
      <c r="V91" s="66">
        <v>30.3</v>
      </c>
      <c r="W91" s="66">
        <v>31.3</v>
      </c>
      <c r="X91" s="66">
        <v>32.4</v>
      </c>
      <c r="Y91" s="66">
        <v>32.1</v>
      </c>
      <c r="Z91" s="107">
        <v>32.299999999999997</v>
      </c>
      <c r="AA91" s="66">
        <v>32.4</v>
      </c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17</v>
      </c>
      <c r="AQ91" s="68">
        <f t="shared" si="7"/>
        <v>30.370588235294122</v>
      </c>
      <c r="AR91" s="68">
        <f>IFERROR(VLOOKUP(A91,Climatologia_TMAX!A:U,9+$E$2,FALSE),"")</f>
        <v>30.168933517456878</v>
      </c>
      <c r="AS91" s="68">
        <f t="shared" si="8"/>
        <v>0.20165471783724342</v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>
        <v>29.2</v>
      </c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>
        <v>31.4</v>
      </c>
      <c r="V92" s="66"/>
      <c r="W92" s="66"/>
      <c r="X92" s="66">
        <v>30</v>
      </c>
      <c r="Y92" s="66">
        <v>30.6</v>
      </c>
      <c r="Z92" s="66">
        <v>30.8</v>
      </c>
      <c r="AA92" s="66">
        <v>32.200000000000003</v>
      </c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14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32.799999999999997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-0.60000000000000142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>
        <v>31.4</v>
      </c>
      <c r="V94" s="66">
        <v>31</v>
      </c>
      <c r="W94" s="66">
        <v>31.2</v>
      </c>
      <c r="X94" s="66">
        <v>32</v>
      </c>
      <c r="Y94" s="66">
        <v>31.6</v>
      </c>
      <c r="Z94" s="66">
        <v>33.200000000000003</v>
      </c>
      <c r="AA94" s="66">
        <v>32.4</v>
      </c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17</v>
      </c>
      <c r="AQ94" s="68">
        <f t="shared" si="7"/>
        <v>31</v>
      </c>
      <c r="AR94" s="68">
        <f>IFERROR(VLOOKUP(A94,Climatologia_TMAX!A:U,9+$E$2,FALSE),"")</f>
        <v>30.061061827956991</v>
      </c>
      <c r="AS94" s="68">
        <f t="shared" si="8"/>
        <v>0.93893817204300944</v>
      </c>
      <c r="AT94" s="74">
        <f t="shared" si="9"/>
        <v>33.200000000000003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-1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>
        <v>25</v>
      </c>
      <c r="U99" s="109">
        <v>26</v>
      </c>
      <c r="V99" s="66">
        <v>23.2</v>
      </c>
      <c r="W99" s="66">
        <v>24</v>
      </c>
      <c r="X99" s="66">
        <v>22</v>
      </c>
      <c r="Y99" s="66">
        <v>26.2</v>
      </c>
      <c r="Z99" s="66">
        <v>26.4</v>
      </c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16</v>
      </c>
      <c r="AQ99" s="68">
        <f t="shared" si="7"/>
        <v>24.424999999999997</v>
      </c>
      <c r="AR99" s="68">
        <f>IFERROR(VLOOKUP(A99,Climatologia_TMAX!A:U,9+$E$2,FALSE),"")</f>
        <v>24.239088972462049</v>
      </c>
      <c r="AS99" s="68">
        <f t="shared" si="8"/>
        <v>0.18591102753794786</v>
      </c>
      <c r="AT99" s="74">
        <f t="shared" si="9"/>
        <v>27.2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-2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>
        <v>40.200000000000003</v>
      </c>
      <c r="V100" s="66">
        <v>34.200000000000003</v>
      </c>
      <c r="W100" s="66">
        <v>39.799999999999997</v>
      </c>
      <c r="X100" s="66">
        <v>35.4</v>
      </c>
      <c r="Y100" s="66">
        <v>38.799999999999997</v>
      </c>
      <c r="Z100" s="107">
        <v>38</v>
      </c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16</v>
      </c>
      <c r="AQ100" s="68">
        <f t="shared" si="7"/>
        <v>37.25</v>
      </c>
      <c r="AR100" s="68">
        <f>IFERROR(VLOOKUP(A100,Climatologia_TMAX!A:U,9+$E$2,FALSE),"")</f>
        <v>35.854842588404878</v>
      </c>
      <c r="AS100" s="68">
        <f t="shared" si="8"/>
        <v>1.3951574115951217</v>
      </c>
      <c r="AT100" s="74">
        <f t="shared" si="9"/>
        <v>40.200000000000003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>
        <v>29.8</v>
      </c>
      <c r="V102" s="66">
        <v>26.8</v>
      </c>
      <c r="W102" s="66">
        <v>29.6</v>
      </c>
      <c r="X102" s="66">
        <v>27.2</v>
      </c>
      <c r="Y102" s="66">
        <v>30.6</v>
      </c>
      <c r="Z102" s="66">
        <v>29.4</v>
      </c>
      <c r="AA102" s="66">
        <v>29</v>
      </c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17</v>
      </c>
      <c r="AQ102" s="68">
        <f t="shared" si="7"/>
        <v>28.55294117647059</v>
      </c>
      <c r="AR102" s="68">
        <f>IFERROR(VLOOKUP(A102,Climatologia_TMAX!A:U,9+$E$2,FALSE),"")</f>
        <v>27.486459028550239</v>
      </c>
      <c r="AS102" s="68">
        <f t="shared" si="8"/>
        <v>1.0664821479203503</v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/>
      <c r="W104" s="66">
        <v>37.4</v>
      </c>
      <c r="X104" s="66">
        <v>35.200000000000003</v>
      </c>
      <c r="Y104" s="66">
        <v>37.200000000000003</v>
      </c>
      <c r="Z104" s="66">
        <v>37.6</v>
      </c>
      <c r="AA104" s="66">
        <v>38.4</v>
      </c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14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>
        <v>30</v>
      </c>
      <c r="V105" s="66">
        <v>28.8</v>
      </c>
      <c r="W105" s="66">
        <v>26.4</v>
      </c>
      <c r="X105" s="66">
        <v>27</v>
      </c>
      <c r="Y105" s="66">
        <v>29.6</v>
      </c>
      <c r="Z105" s="66">
        <v>26.6</v>
      </c>
      <c r="AA105" s="66">
        <v>31</v>
      </c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17</v>
      </c>
      <c r="AQ105" s="68">
        <f t="shared" si="7"/>
        <v>27.882352941176475</v>
      </c>
      <c r="AR105" s="68">
        <f>IFERROR(VLOOKUP(A105,Climatologia_TMAX!A:U,9+$E$2,FALSE),"")</f>
        <v>28.80830593663741</v>
      </c>
      <c r="AS105" s="68">
        <f t="shared" si="8"/>
        <v>-0.92595299546093557</v>
      </c>
      <c r="AT105" s="74">
        <f t="shared" si="9"/>
        <v>31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-3.3999999999999986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>
        <v>25.6</v>
      </c>
      <c r="R106" s="66">
        <v>25.8</v>
      </c>
      <c r="S106" s="66">
        <v>25</v>
      </c>
      <c r="T106" s="66">
        <v>25.6</v>
      </c>
      <c r="U106" s="66">
        <v>26.8</v>
      </c>
      <c r="V106" s="66">
        <v>24.4</v>
      </c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12</v>
      </c>
      <c r="AQ106" s="68" t="str">
        <f t="shared" si="7"/>
        <v/>
      </c>
      <c r="AR106" s="68">
        <f>IFERROR(VLOOKUP(A106,Climatologia_TMAX!A:U,9+$E$2,FALSE),"")</f>
        <v>24.258263255469039</v>
      </c>
      <c r="AS106" s="68" t="str">
        <f t="shared" si="8"/>
        <v/>
      </c>
      <c r="AT106" s="74">
        <f t="shared" si="9"/>
        <v>26.8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>
        <v>28.4</v>
      </c>
      <c r="V108" s="66">
        <v>30.4</v>
      </c>
      <c r="W108" s="66">
        <v>28</v>
      </c>
      <c r="X108" s="66">
        <v>28.8</v>
      </c>
      <c r="Y108" s="66">
        <v>30.4</v>
      </c>
      <c r="Z108" s="66">
        <v>29.2</v>
      </c>
      <c r="AA108" s="66">
        <v>31.8</v>
      </c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17</v>
      </c>
      <c r="AQ108" s="68">
        <f t="shared" si="7"/>
        <v>29.047058823529408</v>
      </c>
      <c r="AR108" s="68">
        <f>IFERROR(VLOOKUP(A108,Climatologia_TMAX!A:U,9+$E$2,FALSE),"")</f>
        <v>29.378447243270202</v>
      </c>
      <c r="AS108" s="68">
        <f t="shared" si="8"/>
        <v>-0.33138841974079369</v>
      </c>
      <c r="AT108" s="74">
        <f t="shared" si="9"/>
        <v>31.8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-4.8000000000000007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>
        <v>29</v>
      </c>
      <c r="V109" s="66">
        <v>25.2</v>
      </c>
      <c r="W109" s="66">
        <v>26.8</v>
      </c>
      <c r="X109" s="66">
        <v>24.8</v>
      </c>
      <c r="Y109" s="66">
        <v>26.2</v>
      </c>
      <c r="Z109" s="66">
        <v>25.8</v>
      </c>
      <c r="AA109" s="66">
        <v>27.8</v>
      </c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17</v>
      </c>
      <c r="AQ109" s="68">
        <f t="shared" si="7"/>
        <v>25.905882352941177</v>
      </c>
      <c r="AR109" s="68">
        <f>IFERROR(VLOOKUP(A109,Climatologia_TMAX!A:U,9+$E$2,FALSE),"")</f>
        <v>25.24188769414576</v>
      </c>
      <c r="AS109" s="68">
        <f t="shared" si="8"/>
        <v>0.66399465879541708</v>
      </c>
      <c r="AT109" s="74">
        <f t="shared" si="9"/>
        <v>29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-1.1999999999999993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>
        <v>37.4</v>
      </c>
      <c r="T111" s="66">
        <v>37.6</v>
      </c>
      <c r="U111" s="66">
        <v>37.200000000000003</v>
      </c>
      <c r="V111" s="66">
        <v>38.4</v>
      </c>
      <c r="W111" s="66">
        <v>37.799999999999997</v>
      </c>
      <c r="X111" s="66">
        <v>40.4</v>
      </c>
      <c r="Y111" s="66">
        <v>40</v>
      </c>
      <c r="Z111" s="66">
        <v>38.4</v>
      </c>
      <c r="AA111" s="66">
        <v>39</v>
      </c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17</v>
      </c>
      <c r="AQ111" s="68">
        <f t="shared" si="7"/>
        <v>37.952941176470581</v>
      </c>
      <c r="AR111" s="68">
        <f>IFERROR(VLOOKUP(A111,Climatologia_TMAX!A:U,9+$E$2,FALSE),"")</f>
        <v>35.374911033986344</v>
      </c>
      <c r="AS111" s="68">
        <f t="shared" si="8"/>
        <v>2.5780301424842378</v>
      </c>
      <c r="AT111" s="74">
        <f t="shared" si="9"/>
        <v>40.4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>
        <v>35.4</v>
      </c>
      <c r="V112" s="66">
        <v>35</v>
      </c>
      <c r="W112" s="66">
        <v>34.6</v>
      </c>
      <c r="X112" s="66">
        <v>35.6</v>
      </c>
      <c r="Y112" s="66">
        <v>36</v>
      </c>
      <c r="Z112" s="66">
        <v>35.799999999999997</v>
      </c>
      <c r="AA112" s="66">
        <v>35.4</v>
      </c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17</v>
      </c>
      <c r="AQ112" s="68">
        <f t="shared" si="7"/>
        <v>35.341176470588223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>
        <v>38.6</v>
      </c>
      <c r="V114" s="66">
        <v>36.799999999999997</v>
      </c>
      <c r="W114" s="66">
        <v>37.4</v>
      </c>
      <c r="X114" s="66">
        <v>40</v>
      </c>
      <c r="Y114" s="66">
        <v>41.2</v>
      </c>
      <c r="Z114" s="66">
        <v>41.2</v>
      </c>
      <c r="AA114" s="66">
        <v>42</v>
      </c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17</v>
      </c>
      <c r="AQ114" s="68">
        <f t="shared" si="7"/>
        <v>38.882352941176478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42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0.20000000000000284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>
        <v>37.200000000000003</v>
      </c>
      <c r="X115" s="66"/>
      <c r="Y115" s="66">
        <v>37.6</v>
      </c>
      <c r="Z115" s="66">
        <v>38</v>
      </c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12</v>
      </c>
      <c r="AQ115" s="68" t="str">
        <f t="shared" si="7"/>
        <v/>
      </c>
      <c r="AR115" s="68">
        <f>IFERROR(VLOOKUP(A115,Climatologia_TMAX!A:U,9+$E$2,FALSE),"")</f>
        <v>35.904703383898273</v>
      </c>
      <c r="AS115" s="68" t="str">
        <f t="shared" si="8"/>
        <v/>
      </c>
      <c r="AT115" s="74">
        <f t="shared" si="9"/>
        <v>38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>
        <v>38</v>
      </c>
      <c r="V118" s="66">
        <v>37.200000000000003</v>
      </c>
      <c r="W118" s="66">
        <v>35.4</v>
      </c>
      <c r="X118" s="66">
        <v>39.799999999999997</v>
      </c>
      <c r="Y118" s="66">
        <v>40</v>
      </c>
      <c r="Z118" s="66">
        <v>39</v>
      </c>
      <c r="AA118" s="66">
        <v>40.6</v>
      </c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17</v>
      </c>
      <c r="AQ118" s="68">
        <f t="shared" si="7"/>
        <v>38.082352941176467</v>
      </c>
      <c r="AR118" s="68">
        <f>IFERROR(VLOOKUP(A118,Climatologia_TMAX!A:U,9+$E$2,FALSE),"")</f>
        <v>34.902965072302557</v>
      </c>
      <c r="AS118" s="68">
        <f t="shared" si="8"/>
        <v>3.1793878688739099</v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>
        <v>39.4</v>
      </c>
      <c r="V119" s="66">
        <v>38.200000000000003</v>
      </c>
      <c r="W119" s="66">
        <v>39.200000000000003</v>
      </c>
      <c r="X119" s="66">
        <v>40.799999999999997</v>
      </c>
      <c r="Y119" s="66">
        <v>41.2</v>
      </c>
      <c r="Z119" s="66">
        <v>40.6</v>
      </c>
      <c r="AA119" s="66">
        <v>41</v>
      </c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17</v>
      </c>
      <c r="AQ119" s="68">
        <f t="shared" si="7"/>
        <v>39.223529411764709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41.2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-1.1999999999999957</v>
      </c>
    </row>
    <row r="120" spans="1:49" ht="14.25" customHeight="1" x14ac:dyDescent="0.2">
      <c r="A120" s="64">
        <v>24035340</v>
      </c>
      <c r="B120" s="70" t="s">
        <v>259</v>
      </c>
      <c r="C120" s="70" t="s">
        <v>260</v>
      </c>
      <c r="D120" s="99">
        <v>-72.967916669999994</v>
      </c>
      <c r="E120" s="99">
        <v>5.6769444440000001</v>
      </c>
      <c r="F120" s="64">
        <v>2500</v>
      </c>
      <c r="G120" s="62">
        <v>15</v>
      </c>
      <c r="H120" s="62">
        <v>15759</v>
      </c>
      <c r="I120" s="72" t="s">
        <v>261</v>
      </c>
      <c r="J120" s="72" t="s">
        <v>262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0</v>
      </c>
      <c r="AQ120" s="68" t="str">
        <f t="shared" si="7"/>
        <v/>
      </c>
      <c r="AR120" s="68">
        <f>IFERROR(VLOOKUP(A120,Climatologia_TMAX!A:U,9+$E$2,FALSE),"")</f>
        <v>20.304345718001631</v>
      </c>
      <c r="AS120" s="68" t="str">
        <f t="shared" si="8"/>
        <v/>
      </c>
      <c r="AT120" s="74" t="str">
        <f t="shared" si="9"/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25.2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0" s="69" t="str">
        <f t="shared" si="10"/>
        <v>NA</v>
      </c>
    </row>
    <row r="121" spans="1:49" ht="14.25" customHeight="1" x14ac:dyDescent="0.2">
      <c r="A121" s="64">
        <v>23125140</v>
      </c>
      <c r="B121" s="70" t="s">
        <v>263</v>
      </c>
      <c r="C121" s="70" t="s">
        <v>260</v>
      </c>
      <c r="D121" s="99">
        <v>-74.182416669999995</v>
      </c>
      <c r="E121" s="99">
        <v>5.5208333329999997</v>
      </c>
      <c r="F121" s="64">
        <v>1250</v>
      </c>
      <c r="G121" s="62">
        <v>15</v>
      </c>
      <c r="H121" s="62">
        <v>15580</v>
      </c>
      <c r="I121" s="72" t="s">
        <v>261</v>
      </c>
      <c r="J121" s="72" t="s">
        <v>264</v>
      </c>
      <c r="K121" s="66">
        <v>29.8</v>
      </c>
      <c r="L121" s="66">
        <v>27.4</v>
      </c>
      <c r="M121" s="66">
        <v>28.4</v>
      </c>
      <c r="N121" s="66">
        <v>26.8</v>
      </c>
      <c r="O121" s="66">
        <v>27.8</v>
      </c>
      <c r="P121" s="66">
        <v>30.4</v>
      </c>
      <c r="Q121" s="66">
        <v>29.8</v>
      </c>
      <c r="R121" s="66">
        <v>31.8</v>
      </c>
      <c r="S121" s="66">
        <v>25.2</v>
      </c>
      <c r="T121" s="66">
        <v>30.4</v>
      </c>
      <c r="U121" s="66">
        <v>29.2</v>
      </c>
      <c r="V121" s="66">
        <v>27.4</v>
      </c>
      <c r="W121" s="66">
        <v>28.8</v>
      </c>
      <c r="X121" s="66">
        <v>29.4</v>
      </c>
      <c r="Y121" s="66">
        <v>30.4</v>
      </c>
      <c r="Z121" s="66">
        <v>31.8</v>
      </c>
      <c r="AA121" s="66">
        <v>30.2</v>
      </c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17</v>
      </c>
      <c r="AQ121" s="68">
        <f t="shared" si="7"/>
        <v>29.117647058823525</v>
      </c>
      <c r="AR121" s="68">
        <f>IFERROR(VLOOKUP(A121,Climatologia_TMAX!A:U,9+$E$2,FALSE),"")</f>
        <v>27.695483870967738</v>
      </c>
      <c r="AS121" s="68">
        <f t="shared" si="8"/>
        <v>1.4221631878557872</v>
      </c>
      <c r="AT121" s="74">
        <f t="shared" si="9"/>
        <v>31.8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33.799999999999997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1" s="69">
        <f t="shared" si="10"/>
        <v>-1.9999999999999964</v>
      </c>
    </row>
    <row r="122" spans="1:49" ht="14.25" customHeight="1" x14ac:dyDescent="0.2">
      <c r="A122" s="64">
        <v>35215020</v>
      </c>
      <c r="B122" s="70" t="s">
        <v>265</v>
      </c>
      <c r="C122" s="70" t="s">
        <v>260</v>
      </c>
      <c r="D122" s="99">
        <v>-72.387500000000003</v>
      </c>
      <c r="E122" s="99">
        <v>5.3204444439999996</v>
      </c>
      <c r="F122" s="64">
        <v>325</v>
      </c>
      <c r="G122" s="62">
        <v>85</v>
      </c>
      <c r="H122" s="62">
        <v>85001</v>
      </c>
      <c r="I122" s="72" t="s">
        <v>194</v>
      </c>
      <c r="J122" s="72" t="s">
        <v>266</v>
      </c>
      <c r="K122" s="66">
        <v>30.8</v>
      </c>
      <c r="L122" s="66">
        <v>27.6</v>
      </c>
      <c r="M122" s="66">
        <v>28</v>
      </c>
      <c r="N122" s="66">
        <v>26.6</v>
      </c>
      <c r="O122" s="66">
        <v>28.2</v>
      </c>
      <c r="P122" s="66">
        <v>31</v>
      </c>
      <c r="Q122" s="66">
        <v>28.8</v>
      </c>
      <c r="R122" s="66">
        <v>31.6</v>
      </c>
      <c r="S122" s="66">
        <v>28.4</v>
      </c>
      <c r="T122" s="66">
        <v>32</v>
      </c>
      <c r="U122" s="66">
        <v>31.6</v>
      </c>
      <c r="V122" s="66">
        <v>29.6</v>
      </c>
      <c r="W122" s="66">
        <v>31.4</v>
      </c>
      <c r="X122" s="66">
        <v>32.6</v>
      </c>
      <c r="Y122" s="66">
        <v>33.4</v>
      </c>
      <c r="Z122" s="66">
        <v>33.200000000000003</v>
      </c>
      <c r="AA122" s="66">
        <v>33.799999999999997</v>
      </c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17</v>
      </c>
      <c r="AQ122" s="68">
        <f t="shared" si="7"/>
        <v>30.505882352941178</v>
      </c>
      <c r="AR122" s="68">
        <f>IFERROR(VLOOKUP(A122,Climatologia_TMAX!A:U,9+$E$2,FALSE),"")</f>
        <v>29.366308243727591</v>
      </c>
      <c r="AS122" s="68">
        <f t="shared" si="8"/>
        <v>1.1395741092135871</v>
      </c>
      <c r="AT122" s="74">
        <f t="shared" si="9"/>
        <v>33.799999999999997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34.4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2" s="69">
        <f t="shared" si="10"/>
        <v>-0.60000000000000142</v>
      </c>
    </row>
    <row r="123" spans="1:49" ht="14.25" customHeight="1" x14ac:dyDescent="0.2">
      <c r="A123" s="64">
        <v>35195030</v>
      </c>
      <c r="B123" s="70" t="s">
        <v>267</v>
      </c>
      <c r="C123" s="70" t="s">
        <v>260</v>
      </c>
      <c r="D123" s="99">
        <v>-72.547388889999993</v>
      </c>
      <c r="E123" s="99">
        <v>5.1770833329999997</v>
      </c>
      <c r="F123" s="64">
        <v>380</v>
      </c>
      <c r="G123" s="62">
        <v>85</v>
      </c>
      <c r="H123" s="62">
        <v>85010</v>
      </c>
      <c r="I123" s="72" t="s">
        <v>194</v>
      </c>
      <c r="J123" s="72" t="s">
        <v>267</v>
      </c>
      <c r="K123" s="66">
        <v>31.2</v>
      </c>
      <c r="L123" s="66">
        <v>27.2</v>
      </c>
      <c r="M123" s="66">
        <v>29.2</v>
      </c>
      <c r="N123" s="66">
        <v>26.2</v>
      </c>
      <c r="O123" s="66">
        <v>29.6</v>
      </c>
      <c r="P123" s="66">
        <v>30.4</v>
      </c>
      <c r="Q123" s="66">
        <v>29.4</v>
      </c>
      <c r="R123" s="66">
        <v>31.2</v>
      </c>
      <c r="S123" s="66">
        <v>26</v>
      </c>
      <c r="T123" s="66">
        <v>32</v>
      </c>
      <c r="U123" s="66">
        <v>31.9</v>
      </c>
      <c r="V123" s="66">
        <v>31</v>
      </c>
      <c r="W123" s="66">
        <v>32</v>
      </c>
      <c r="X123" s="66">
        <v>32.6</v>
      </c>
      <c r="Y123" s="66">
        <v>32.799999999999997</v>
      </c>
      <c r="Z123" s="66">
        <v>33</v>
      </c>
      <c r="AA123" s="66">
        <v>34.200000000000003</v>
      </c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17</v>
      </c>
      <c r="AQ123" s="68">
        <f t="shared" si="7"/>
        <v>30.58235294117647</v>
      </c>
      <c r="AR123" s="68" t="str">
        <f>IFERROR(VLOOKUP(A123,Climatologia_TMAX!A:U,9+$E$2,FALSE),"")</f>
        <v/>
      </c>
      <c r="AS123" s="68" t="str">
        <f t="shared" si="8"/>
        <v/>
      </c>
      <c r="AT123" s="74">
        <f t="shared" si="9"/>
        <v>34.200000000000003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37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3" s="69">
        <f t="shared" si="10"/>
        <v>-2.7999999999999972</v>
      </c>
    </row>
    <row r="124" spans="1:49" ht="14.25" customHeight="1" x14ac:dyDescent="0.2">
      <c r="A124" s="64">
        <v>35230040</v>
      </c>
      <c r="B124" s="70" t="s">
        <v>268</v>
      </c>
      <c r="C124" s="70" t="s">
        <v>260</v>
      </c>
      <c r="D124" s="99">
        <v>-72.00263889</v>
      </c>
      <c r="E124" s="99">
        <v>5.6343888890000002</v>
      </c>
      <c r="F124" s="64">
        <v>320</v>
      </c>
      <c r="G124" s="62">
        <v>85</v>
      </c>
      <c r="H124" s="62">
        <v>85263</v>
      </c>
      <c r="I124" s="72" t="s">
        <v>194</v>
      </c>
      <c r="J124" s="72" t="s">
        <v>269</v>
      </c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 t="str">
        <f t="shared" si="9"/>
        <v/>
      </c>
      <c r="AU124" s="74" t="str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 t="str">
        <f t="shared" si="10"/>
        <v>NA</v>
      </c>
    </row>
    <row r="125" spans="1:49" ht="14.25" customHeight="1" x14ac:dyDescent="0.2">
      <c r="A125" s="64">
        <v>24035020</v>
      </c>
      <c r="B125" s="70" t="s">
        <v>270</v>
      </c>
      <c r="C125" s="70" t="s">
        <v>260</v>
      </c>
      <c r="D125" s="99">
        <v>-72.810611109999996</v>
      </c>
      <c r="E125" s="99">
        <v>5.9072777780000001</v>
      </c>
      <c r="F125" s="64">
        <v>2575</v>
      </c>
      <c r="G125" s="62">
        <v>15</v>
      </c>
      <c r="H125" s="62">
        <v>15092</v>
      </c>
      <c r="I125" s="72" t="s">
        <v>261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24035330</v>
      </c>
      <c r="B126" s="70" t="s">
        <v>272</v>
      </c>
      <c r="C126" s="70" t="s">
        <v>260</v>
      </c>
      <c r="D126" s="99">
        <v>-72.582277779999998</v>
      </c>
      <c r="E126" s="99">
        <v>6.328972222</v>
      </c>
      <c r="F126" s="64">
        <v>2150</v>
      </c>
      <c r="G126" s="62">
        <v>15</v>
      </c>
      <c r="H126" s="62">
        <v>15097</v>
      </c>
      <c r="I126" s="72" t="s">
        <v>261</v>
      </c>
      <c r="J126" s="72" t="s">
        <v>272</v>
      </c>
      <c r="K126" s="66">
        <v>26.8</v>
      </c>
      <c r="L126" s="66">
        <v>20.6</v>
      </c>
      <c r="M126" s="66">
        <v>25.6</v>
      </c>
      <c r="N126" s="66">
        <v>22</v>
      </c>
      <c r="O126" s="66">
        <v>24</v>
      </c>
      <c r="P126" s="66"/>
      <c r="Q126" s="66"/>
      <c r="R126" s="66">
        <v>23</v>
      </c>
      <c r="S126" s="66">
        <v>19.2</v>
      </c>
      <c r="T126" s="66">
        <v>23.8</v>
      </c>
      <c r="U126" s="66">
        <v>24</v>
      </c>
      <c r="V126" s="66">
        <v>24.6</v>
      </c>
      <c r="W126" s="66">
        <v>24</v>
      </c>
      <c r="X126" s="66">
        <v>25</v>
      </c>
      <c r="Y126" s="66">
        <v>26.6</v>
      </c>
      <c r="Z126" s="66">
        <v>26.6</v>
      </c>
      <c r="AA126" s="66">
        <v>27</v>
      </c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15</v>
      </c>
      <c r="AQ126" s="68">
        <f t="shared" si="7"/>
        <v>24.186666666666671</v>
      </c>
      <c r="AR126" s="68">
        <f>IFERROR(VLOOKUP(A126,Climatologia_TMAX!A:U,9+$E$2,FALSE),"")</f>
        <v>23.534082478068139</v>
      </c>
      <c r="AS126" s="68">
        <f t="shared" si="8"/>
        <v>0.65258418859853151</v>
      </c>
      <c r="AT126" s="74">
        <f t="shared" si="9"/>
        <v>27</v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>28</v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6" s="69">
        <f t="shared" si="10"/>
        <v>-1</v>
      </c>
    </row>
    <row r="127" spans="1:49" ht="14.25" customHeight="1" x14ac:dyDescent="0.2">
      <c r="A127" s="64">
        <v>23125100</v>
      </c>
      <c r="B127" s="70" t="s">
        <v>273</v>
      </c>
      <c r="C127" s="70" t="s">
        <v>260</v>
      </c>
      <c r="D127" s="99">
        <v>-73.943111110000004</v>
      </c>
      <c r="E127" s="99">
        <v>5.5149166669999996</v>
      </c>
      <c r="F127" s="64">
        <v>2200</v>
      </c>
      <c r="G127" s="62">
        <v>15</v>
      </c>
      <c r="H127" s="62">
        <v>15109</v>
      </c>
      <c r="I127" s="72" t="s">
        <v>261</v>
      </c>
      <c r="J127" s="72" t="s">
        <v>273</v>
      </c>
      <c r="K127" s="66">
        <v>22.2</v>
      </c>
      <c r="L127" s="66">
        <v>21.6</v>
      </c>
      <c r="M127" s="66">
        <v>22.4</v>
      </c>
      <c r="N127" s="66">
        <v>20.2</v>
      </c>
      <c r="O127" s="66">
        <v>21.2</v>
      </c>
      <c r="P127" s="66">
        <v>24</v>
      </c>
      <c r="Q127" s="66">
        <v>24</v>
      </c>
      <c r="R127" s="66">
        <v>25</v>
      </c>
      <c r="S127" s="66">
        <v>19.399999999999999</v>
      </c>
      <c r="T127" s="66">
        <v>22</v>
      </c>
      <c r="U127" s="66">
        <v>23</v>
      </c>
      <c r="V127" s="66">
        <v>21.4</v>
      </c>
      <c r="W127" s="66">
        <v>22.8</v>
      </c>
      <c r="X127" s="66">
        <v>23</v>
      </c>
      <c r="Y127" s="66">
        <v>22.4</v>
      </c>
      <c r="Z127" s="66">
        <v>24.8</v>
      </c>
      <c r="AA127" s="66">
        <v>25.2</v>
      </c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17</v>
      </c>
      <c r="AQ127" s="68">
        <f t="shared" si="7"/>
        <v>22.623529411764704</v>
      </c>
      <c r="AR127" s="68">
        <f>IFERROR(VLOOKUP(A127,Climatologia_TMAX!A:U,9+$E$2,FALSE),"")</f>
        <v>19.631024170572559</v>
      </c>
      <c r="AS127" s="68">
        <f t="shared" si="8"/>
        <v>2.9925052411921449</v>
      </c>
      <c r="AT127" s="74">
        <f t="shared" si="9"/>
        <v>25.2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24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7" s="69">
        <f t="shared" si="10"/>
        <v>1.1999999999999993</v>
      </c>
    </row>
    <row r="128" spans="1:49" ht="14.25" customHeight="1" x14ac:dyDescent="0.2">
      <c r="A128" s="64">
        <v>35085050</v>
      </c>
      <c r="B128" s="70" t="s">
        <v>274</v>
      </c>
      <c r="C128" s="70" t="s">
        <v>260</v>
      </c>
      <c r="D128" s="99">
        <v>-73.103666669999996</v>
      </c>
      <c r="E128" s="99">
        <v>5.0345000000000004</v>
      </c>
      <c r="F128" s="64">
        <v>1300</v>
      </c>
      <c r="G128" s="62">
        <v>15</v>
      </c>
      <c r="H128" s="62">
        <v>15135</v>
      </c>
      <c r="I128" s="72" t="s">
        <v>261</v>
      </c>
      <c r="J128" s="72" t="s">
        <v>274</v>
      </c>
      <c r="K128" s="66">
        <v>26.6</v>
      </c>
      <c r="L128" s="66">
        <v>21</v>
      </c>
      <c r="M128" s="66">
        <v>22.2</v>
      </c>
      <c r="N128" s="66"/>
      <c r="O128" s="66"/>
      <c r="P128" s="66">
        <v>26.6</v>
      </c>
      <c r="Q128" s="66">
        <v>21.8</v>
      </c>
      <c r="R128" s="66">
        <v>27.6</v>
      </c>
      <c r="S128" s="66">
        <v>21.2</v>
      </c>
      <c r="T128" s="66">
        <v>27.4</v>
      </c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8</v>
      </c>
      <c r="AQ128" s="68" t="str">
        <f t="shared" si="7"/>
        <v/>
      </c>
      <c r="AR128" s="68">
        <f>IFERROR(VLOOKUP(A128,Climatologia_TMAX!A:U,9+$E$2,FALSE),"")</f>
        <v>24.044338963731992</v>
      </c>
      <c r="AS128" s="68" t="str">
        <f t="shared" si="8"/>
        <v/>
      </c>
      <c r="AT128" s="74">
        <f t="shared" si="9"/>
        <v>27.6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33.799999999999997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8" s="69">
        <f t="shared" si="10"/>
        <v>-6.1999999999999957</v>
      </c>
    </row>
    <row r="129" spans="1:49" ht="14.25" customHeight="1" x14ac:dyDescent="0.2">
      <c r="A129" s="64">
        <v>24035260</v>
      </c>
      <c r="B129" s="70" t="s">
        <v>275</v>
      </c>
      <c r="C129" s="70" t="s">
        <v>260</v>
      </c>
      <c r="D129" s="99">
        <v>-72.696611110000006</v>
      </c>
      <c r="E129" s="99">
        <v>6.5207222219999998</v>
      </c>
      <c r="F129" s="64">
        <v>1160</v>
      </c>
      <c r="G129" s="62">
        <v>68</v>
      </c>
      <c r="H129" s="62">
        <v>68147</v>
      </c>
      <c r="I129" s="72" t="s">
        <v>49</v>
      </c>
      <c r="J129" s="72" t="s">
        <v>275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109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0</v>
      </c>
      <c r="AQ129" s="68" t="str">
        <f t="shared" si="7"/>
        <v/>
      </c>
      <c r="AR129" s="68">
        <f>IFERROR(VLOOKUP(A129,Climatologia_TMAX!A:U,9+$E$2,FALSE),"")</f>
        <v>33.475307321525342</v>
      </c>
      <c r="AS129" s="68" t="str">
        <f t="shared" si="8"/>
        <v/>
      </c>
      <c r="AT129" s="74" t="str">
        <f t="shared" si="9"/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39.4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9" s="69" t="str">
        <f t="shared" si="10"/>
        <v>NA</v>
      </c>
    </row>
    <row r="130" spans="1:49" ht="14.25" customHeight="1" x14ac:dyDescent="0.2">
      <c r="A130" s="64">
        <v>24035420</v>
      </c>
      <c r="B130" s="70" t="s">
        <v>276</v>
      </c>
      <c r="C130" s="70" t="s">
        <v>260</v>
      </c>
      <c r="D130" s="99">
        <v>-72.938500000000005</v>
      </c>
      <c r="E130" s="99">
        <v>5.96225</v>
      </c>
      <c r="F130" s="64">
        <v>2643</v>
      </c>
      <c r="G130" s="62">
        <v>15</v>
      </c>
      <c r="H130" s="62">
        <v>15162</v>
      </c>
      <c r="I130" s="72" t="s">
        <v>261</v>
      </c>
      <c r="J130" s="72" t="s">
        <v>276</v>
      </c>
      <c r="K130" s="66">
        <v>20.2</v>
      </c>
      <c r="L130" s="66">
        <v>19.600000000000001</v>
      </c>
      <c r="M130" s="66">
        <v>18.2</v>
      </c>
      <c r="N130" s="66"/>
      <c r="O130" s="66">
        <v>21.4</v>
      </c>
      <c r="P130" s="66">
        <v>22.8</v>
      </c>
      <c r="Q130" s="66">
        <v>20.8</v>
      </c>
      <c r="R130" s="66"/>
      <c r="S130" s="66"/>
      <c r="T130" s="66"/>
      <c r="U130" s="66"/>
      <c r="V130" s="66"/>
      <c r="W130" s="66"/>
      <c r="X130" s="66">
        <v>20.399999999999999</v>
      </c>
      <c r="Y130" s="66">
        <v>21.2</v>
      </c>
      <c r="Z130" s="66">
        <v>20.399999999999999</v>
      </c>
      <c r="AA130" s="66">
        <v>22.2</v>
      </c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10</v>
      </c>
      <c r="AQ130" s="68" t="str">
        <f t="shared" si="7"/>
        <v/>
      </c>
      <c r="AR130" s="68">
        <f>IFERROR(VLOOKUP(A130,Climatologia_TMAX!A:U,9+$E$2,FALSE),"")</f>
        <v>20.1562724014337</v>
      </c>
      <c r="AS130" s="68" t="str">
        <f t="shared" si="8"/>
        <v/>
      </c>
      <c r="AT130" s="74">
        <f t="shared" si="9"/>
        <v>22.8</v>
      </c>
      <c r="AU130" s="74" t="str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 t="str">
        <f t="shared" si="10"/>
        <v>NA</v>
      </c>
    </row>
    <row r="131" spans="1:49" ht="14.25" customHeight="1" x14ac:dyDescent="0.2">
      <c r="A131" s="64">
        <v>24035310</v>
      </c>
      <c r="B131" s="70" t="s">
        <v>277</v>
      </c>
      <c r="C131" s="70" t="s">
        <v>260</v>
      </c>
      <c r="D131" s="99">
        <v>-72.504722220000005</v>
      </c>
      <c r="E131" s="99">
        <v>6.5495277779999999</v>
      </c>
      <c r="F131" s="64">
        <v>2350</v>
      </c>
      <c r="G131" s="62">
        <v>15</v>
      </c>
      <c r="H131" s="62">
        <v>15180</v>
      </c>
      <c r="I131" s="72" t="s">
        <v>261</v>
      </c>
      <c r="J131" s="72" t="s">
        <v>277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21.274139752786539</v>
      </c>
      <c r="AS131" s="68" t="str">
        <f t="shared" si="8"/>
        <v/>
      </c>
      <c r="AT131" s="74" t="str">
        <f t="shared" si="9"/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>26.6</v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1" s="69" t="str">
        <f t="shared" si="10"/>
        <v>NA</v>
      </c>
    </row>
    <row r="132" spans="1:49" ht="14.25" customHeight="1" x14ac:dyDescent="0.2">
      <c r="A132" s="64">
        <v>24035250</v>
      </c>
      <c r="B132" s="70" t="s">
        <v>278</v>
      </c>
      <c r="C132" s="70" t="s">
        <v>260</v>
      </c>
      <c r="D132" s="99">
        <v>-72.465559999999996</v>
      </c>
      <c r="E132" s="99">
        <v>6.1877800000000001</v>
      </c>
      <c r="F132" s="64">
        <v>2961</v>
      </c>
      <c r="G132" s="62">
        <v>15</v>
      </c>
      <c r="H132" s="62">
        <v>15183</v>
      </c>
      <c r="I132" s="72" t="s">
        <v>261</v>
      </c>
      <c r="J132" s="72" t="s">
        <v>279</v>
      </c>
      <c r="K132" s="66">
        <v>17.2</v>
      </c>
      <c r="L132" s="66">
        <v>17.399999999999999</v>
      </c>
      <c r="M132" s="66">
        <v>17.2</v>
      </c>
      <c r="N132" s="66">
        <v>18.600000000000001</v>
      </c>
      <c r="O132" s="66"/>
      <c r="P132" s="66">
        <v>17.8</v>
      </c>
      <c r="Q132" s="66">
        <v>17.8</v>
      </c>
      <c r="R132" s="66">
        <v>18</v>
      </c>
      <c r="S132" s="66">
        <v>14.2</v>
      </c>
      <c r="T132" s="66">
        <v>16.8</v>
      </c>
      <c r="U132" s="66">
        <v>16.8</v>
      </c>
      <c r="V132" s="66">
        <v>18.8</v>
      </c>
      <c r="W132" s="66">
        <v>18</v>
      </c>
      <c r="X132" s="66">
        <v>16.2</v>
      </c>
      <c r="Y132" s="66">
        <v>19.399999999999999</v>
      </c>
      <c r="Z132" s="66">
        <v>17.8</v>
      </c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15</v>
      </c>
      <c r="AQ132" s="68">
        <f t="shared" si="7"/>
        <v>17.466666666666665</v>
      </c>
      <c r="AR132" s="68">
        <f>IFERROR(VLOOKUP(A132,Climatologia_TMAX!A:U,9+$E$2,FALSE),"")</f>
        <v>15.83566774324839</v>
      </c>
      <c r="AS132" s="68">
        <f t="shared" si="8"/>
        <v>1.6309989234182751</v>
      </c>
      <c r="AT132" s="74">
        <f t="shared" si="9"/>
        <v>19.399999999999999</v>
      </c>
      <c r="AU132" s="74" t="str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 t="str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 t="str">
        <f t="shared" si="10"/>
        <v>NA</v>
      </c>
    </row>
    <row r="133" spans="1:49" ht="14.25" customHeight="1" x14ac:dyDescent="0.2">
      <c r="A133" s="64">
        <v>24037020</v>
      </c>
      <c r="B133" s="70" t="s">
        <v>280</v>
      </c>
      <c r="C133" s="70" t="s">
        <v>260</v>
      </c>
      <c r="D133" s="99">
        <v>-73.208777780000005</v>
      </c>
      <c r="E133" s="99">
        <v>5.5791944439999996</v>
      </c>
      <c r="F133" s="64">
        <v>2700</v>
      </c>
      <c r="G133" s="62">
        <v>15</v>
      </c>
      <c r="H133" s="62">
        <v>15814</v>
      </c>
      <c r="I133" s="72" t="s">
        <v>261</v>
      </c>
      <c r="J133" s="72" t="s">
        <v>281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0</v>
      </c>
      <c r="AQ133" s="68" t="str">
        <f t="shared" ref="AQ133:AQ196" si="12">IF(AP133&gt;14,AVERAGE(K133:AO133),"")</f>
        <v/>
      </c>
      <c r="AR133" s="68" t="str">
        <f>IFERROR(VLOOKUP(A133,Climatologia_TMAX!A:U,9+$E$2,FALSE),"")</f>
        <v/>
      </c>
      <c r="AS133" s="68" t="str">
        <f t="shared" ref="AS133:AS196" si="13">IF(OR(AQ133="",AR133=""),"",IFERROR(AQ133-AR133,""))</f>
        <v/>
      </c>
      <c r="AT133" s="74" t="str">
        <f t="shared" ref="AT133:AT196" si="14">IF(COUNT(K133:AO133)=0,"",MAX(K133:AO133))</f>
        <v/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35195050</v>
      </c>
      <c r="B134" s="70" t="s">
        <v>282</v>
      </c>
      <c r="C134" s="70" t="s">
        <v>260</v>
      </c>
      <c r="D134" s="99">
        <v>-72.717222219999996</v>
      </c>
      <c r="E134" s="99">
        <v>5.4072777780000001</v>
      </c>
      <c r="F134" s="64">
        <v>1550</v>
      </c>
      <c r="G134" s="62">
        <v>15</v>
      </c>
      <c r="H134" s="62">
        <v>15518</v>
      </c>
      <c r="I134" s="72" t="s">
        <v>261</v>
      </c>
      <c r="J134" s="72" t="s">
        <v>283</v>
      </c>
      <c r="K134" s="66">
        <v>23</v>
      </c>
      <c r="L134" s="66">
        <v>21</v>
      </c>
      <c r="M134" s="66">
        <v>23</v>
      </c>
      <c r="N134" s="66">
        <v>20.6</v>
      </c>
      <c r="O134" s="66">
        <v>23</v>
      </c>
      <c r="P134" s="66">
        <v>24</v>
      </c>
      <c r="Q134" s="66">
        <v>22.8</v>
      </c>
      <c r="R134" s="66">
        <v>23.6</v>
      </c>
      <c r="S134" s="66">
        <v>19.2</v>
      </c>
      <c r="T134" s="66">
        <v>24.2</v>
      </c>
      <c r="U134" s="66">
        <v>23.4</v>
      </c>
      <c r="V134" s="66">
        <v>24</v>
      </c>
      <c r="W134" s="66">
        <v>24.2</v>
      </c>
      <c r="X134" s="66">
        <v>20</v>
      </c>
      <c r="Y134" s="66">
        <v>23.8</v>
      </c>
      <c r="Z134" s="66">
        <v>23.6</v>
      </c>
      <c r="AA134" s="66">
        <v>24.2</v>
      </c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17</v>
      </c>
      <c r="AQ134" s="68">
        <f t="shared" si="12"/>
        <v>22.799999999999997</v>
      </c>
      <c r="AR134" s="68">
        <f>IFERROR(VLOOKUP(A134,Climatologia_TMAX!A:U,9+$E$2,FALSE),"")</f>
        <v>23.062270114942532</v>
      </c>
      <c r="AS134" s="68">
        <f t="shared" si="13"/>
        <v>-0.2622701149425346</v>
      </c>
      <c r="AT134" s="74">
        <f t="shared" si="14"/>
        <v>24.2</v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>26.2</v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4" s="69">
        <f t="shared" si="15"/>
        <v>-2</v>
      </c>
    </row>
    <row r="135" spans="1:49" ht="14.25" customHeight="1" x14ac:dyDescent="0.2">
      <c r="A135" s="64">
        <v>24030350</v>
      </c>
      <c r="B135" s="70" t="s">
        <v>284</v>
      </c>
      <c r="C135" s="70" t="s">
        <v>260</v>
      </c>
      <c r="D135" s="99">
        <v>-73.044611110000005</v>
      </c>
      <c r="E135" s="99">
        <v>5.8300833330000001</v>
      </c>
      <c r="F135" s="64">
        <v>2540</v>
      </c>
      <c r="G135" s="62">
        <v>15</v>
      </c>
      <c r="H135" s="62">
        <v>15238</v>
      </c>
      <c r="I135" s="72" t="s">
        <v>261</v>
      </c>
      <c r="J135" s="72" t="s">
        <v>284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0</v>
      </c>
      <c r="AQ135" s="68" t="str">
        <f t="shared" si="12"/>
        <v/>
      </c>
      <c r="AR135" s="68" t="str">
        <f>IFERROR(VLOOKUP(A135,Climatologia_TMAX!A:U,9+$E$2,FALSE),"")</f>
        <v/>
      </c>
      <c r="AS135" s="68" t="str">
        <f t="shared" si="13"/>
        <v/>
      </c>
      <c r="AT135" s="74" t="str">
        <f t="shared" si="14"/>
        <v/>
      </c>
      <c r="AU135" s="74" t="str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 t="str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 t="str">
        <f t="shared" si="15"/>
        <v>NA</v>
      </c>
    </row>
    <row r="136" spans="1:49" ht="14.25" customHeight="1" x14ac:dyDescent="0.2">
      <c r="A136" s="64">
        <v>24030260</v>
      </c>
      <c r="B136" s="70" t="s">
        <v>285</v>
      </c>
      <c r="C136" s="70" t="s">
        <v>260</v>
      </c>
      <c r="D136" s="99">
        <v>-72.445444440000003</v>
      </c>
      <c r="E136" s="99">
        <v>6.408222222</v>
      </c>
      <c r="F136" s="64">
        <v>2749</v>
      </c>
      <c r="G136" s="62">
        <v>15</v>
      </c>
      <c r="H136" s="62">
        <v>15244</v>
      </c>
      <c r="I136" s="72" t="s">
        <v>261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24035070</v>
      </c>
      <c r="B137" s="70" t="s">
        <v>287</v>
      </c>
      <c r="C137" s="70" t="s">
        <v>260</v>
      </c>
      <c r="D137" s="99">
        <v>-72.409194439999993</v>
      </c>
      <c r="E137" s="99">
        <v>6.463472222</v>
      </c>
      <c r="F137" s="64">
        <v>2963</v>
      </c>
      <c r="G137" s="62">
        <v>15</v>
      </c>
      <c r="H137" s="62">
        <v>15332</v>
      </c>
      <c r="I137" s="72" t="s">
        <v>261</v>
      </c>
      <c r="J137" s="72" t="s">
        <v>288</v>
      </c>
      <c r="K137" s="66">
        <v>22</v>
      </c>
      <c r="L137" s="66">
        <v>16</v>
      </c>
      <c r="M137" s="66">
        <v>20</v>
      </c>
      <c r="N137" s="66">
        <v>16.2</v>
      </c>
      <c r="O137" s="66">
        <v>20.5</v>
      </c>
      <c r="P137" s="66">
        <v>21</v>
      </c>
      <c r="Q137" s="66">
        <v>22</v>
      </c>
      <c r="R137" s="66"/>
      <c r="S137" s="66"/>
      <c r="T137" s="66">
        <v>18.2</v>
      </c>
      <c r="U137" s="66">
        <v>20.2</v>
      </c>
      <c r="V137" s="66">
        <v>20</v>
      </c>
      <c r="W137" s="66">
        <v>20.2</v>
      </c>
      <c r="X137" s="66">
        <v>21.2</v>
      </c>
      <c r="Y137" s="66">
        <v>21.4</v>
      </c>
      <c r="Z137" s="66">
        <v>22</v>
      </c>
      <c r="AA137" s="66">
        <v>23</v>
      </c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15</v>
      </c>
      <c r="AQ137" s="68">
        <f t="shared" si="12"/>
        <v>20.259999999999994</v>
      </c>
      <c r="AR137" s="68" t="str">
        <f>IFERROR(VLOOKUP(A137,Climatologia_TMAX!A:U,9+$E$2,FALSE),"")</f>
        <v/>
      </c>
      <c r="AS137" s="68" t="str">
        <f t="shared" si="13"/>
        <v/>
      </c>
      <c r="AT137" s="74">
        <f t="shared" si="14"/>
        <v>23</v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>23</v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7" s="69">
        <f t="shared" si="15"/>
        <v>0</v>
      </c>
    </row>
    <row r="138" spans="1:49" ht="14.25" customHeight="1" x14ac:dyDescent="0.2">
      <c r="A138" s="64">
        <v>35075040</v>
      </c>
      <c r="B138" s="70" t="s">
        <v>289</v>
      </c>
      <c r="C138" s="70" t="s">
        <v>260</v>
      </c>
      <c r="D138" s="99">
        <v>-73.316749999999999</v>
      </c>
      <c r="E138" s="99">
        <v>4.9743611110000003</v>
      </c>
      <c r="F138" s="64">
        <v>1300</v>
      </c>
      <c r="G138" s="62">
        <v>15</v>
      </c>
      <c r="H138" s="62">
        <v>15425</v>
      </c>
      <c r="I138" s="72" t="s">
        <v>261</v>
      </c>
      <c r="J138" s="72" t="s">
        <v>290</v>
      </c>
      <c r="K138" s="66">
        <v>21.6</v>
      </c>
      <c r="L138" s="66">
        <v>17.8</v>
      </c>
      <c r="M138" s="66">
        <v>18</v>
      </c>
      <c r="N138" s="66">
        <v>17.8</v>
      </c>
      <c r="O138" s="66">
        <v>20</v>
      </c>
      <c r="P138" s="66">
        <v>21</v>
      </c>
      <c r="Q138" s="66">
        <v>18</v>
      </c>
      <c r="R138" s="66">
        <v>22.2</v>
      </c>
      <c r="S138" s="66">
        <v>17.399999999999999</v>
      </c>
      <c r="T138" s="66">
        <v>21.8</v>
      </c>
      <c r="U138" s="66">
        <v>22.2</v>
      </c>
      <c r="V138" s="66">
        <v>21</v>
      </c>
      <c r="W138" s="66">
        <v>22</v>
      </c>
      <c r="X138" s="66">
        <v>20.399999999999999</v>
      </c>
      <c r="Y138" s="66">
        <v>21</v>
      </c>
      <c r="Z138" s="66">
        <v>22.6</v>
      </c>
      <c r="AA138" s="66">
        <v>23.4</v>
      </c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17</v>
      </c>
      <c r="AQ138" s="68">
        <f t="shared" si="12"/>
        <v>20.482352941176465</v>
      </c>
      <c r="AR138" s="68">
        <f>IFERROR(VLOOKUP(A138,Climatologia_TMAX!A:U,9+$E$2,FALSE),"")</f>
        <v>20.14919071873231</v>
      </c>
      <c r="AS138" s="68">
        <f t="shared" si="13"/>
        <v>0.33316222244415528</v>
      </c>
      <c r="AT138" s="74">
        <f t="shared" si="14"/>
        <v>23.4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28.6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8" s="69">
        <f t="shared" si="15"/>
        <v>-5.2000000000000028</v>
      </c>
    </row>
    <row r="139" spans="1:49" ht="14.25" customHeight="1" x14ac:dyDescent="0.2">
      <c r="A139" s="64">
        <v>24015090</v>
      </c>
      <c r="B139" s="70" t="s">
        <v>291</v>
      </c>
      <c r="C139" s="70" t="s">
        <v>260</v>
      </c>
      <c r="D139" s="99">
        <v>-73.602277779999994</v>
      </c>
      <c r="E139" s="99">
        <v>5.7106666669999999</v>
      </c>
      <c r="F139" s="64">
        <v>2300</v>
      </c>
      <c r="G139" s="62">
        <v>15</v>
      </c>
      <c r="H139" s="62">
        <v>15696</v>
      </c>
      <c r="I139" s="72" t="s">
        <v>261</v>
      </c>
      <c r="J139" s="72" t="s">
        <v>292</v>
      </c>
      <c r="K139" s="66">
        <v>22.6</v>
      </c>
      <c r="L139" s="66">
        <v>22.4</v>
      </c>
      <c r="M139" s="66">
        <v>22.8</v>
      </c>
      <c r="N139" s="66">
        <v>24</v>
      </c>
      <c r="O139" s="66">
        <v>22.2</v>
      </c>
      <c r="P139" s="66">
        <v>24.2</v>
      </c>
      <c r="Q139" s="66">
        <v>24.4</v>
      </c>
      <c r="R139" s="66">
        <v>23.8</v>
      </c>
      <c r="S139" s="66">
        <v>22.2</v>
      </c>
      <c r="T139" s="66">
        <v>22.8</v>
      </c>
      <c r="U139" s="66">
        <v>24.2</v>
      </c>
      <c r="V139" s="66">
        <v>22</v>
      </c>
      <c r="W139" s="66">
        <v>22.8</v>
      </c>
      <c r="X139" s="66">
        <v>22.4</v>
      </c>
      <c r="Y139" s="66">
        <v>23.4</v>
      </c>
      <c r="Z139" s="66">
        <v>22.6</v>
      </c>
      <c r="AA139" s="66">
        <v>25</v>
      </c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17</v>
      </c>
      <c r="AQ139" s="68">
        <f t="shared" si="12"/>
        <v>23.164705882352941</v>
      </c>
      <c r="AR139" s="68">
        <f>IFERROR(VLOOKUP(A139,Climatologia_TMAX!A:U,9+$E$2,FALSE),"")</f>
        <v>21.34563346802684</v>
      </c>
      <c r="AS139" s="68">
        <f t="shared" si="13"/>
        <v>1.8190724143261008</v>
      </c>
      <c r="AT139" s="74">
        <f t="shared" si="14"/>
        <v>25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27.8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39" s="69">
        <f t="shared" si="15"/>
        <v>-2.8000000000000007</v>
      </c>
    </row>
    <row r="140" spans="1:49" ht="14.25" customHeight="1" x14ac:dyDescent="0.2">
      <c r="A140" s="64">
        <v>24035040</v>
      </c>
      <c r="B140" s="70" t="s">
        <v>293</v>
      </c>
      <c r="C140" s="70" t="s">
        <v>260</v>
      </c>
      <c r="D140" s="99">
        <v>-73.208777777999998</v>
      </c>
      <c r="E140" s="99">
        <v>5.5791944439999996</v>
      </c>
      <c r="F140" s="64">
        <v>2700</v>
      </c>
      <c r="G140" s="62">
        <v>15</v>
      </c>
      <c r="H140" s="62">
        <v>15814</v>
      </c>
      <c r="I140" s="72" t="s">
        <v>261</v>
      </c>
      <c r="J140" s="72" t="s">
        <v>281</v>
      </c>
      <c r="K140" s="66">
        <v>19.2</v>
      </c>
      <c r="L140" s="66">
        <v>19.600000000000001</v>
      </c>
      <c r="M140" s="66">
        <v>18.600000000000001</v>
      </c>
      <c r="N140" s="66">
        <v>16</v>
      </c>
      <c r="O140" s="66">
        <v>20.399999999999999</v>
      </c>
      <c r="P140" s="66">
        <v>20.399999999999999</v>
      </c>
      <c r="Q140" s="66">
        <v>19.600000000000001</v>
      </c>
      <c r="R140" s="66">
        <v>21</v>
      </c>
      <c r="S140" s="66">
        <v>14.8</v>
      </c>
      <c r="T140" s="66">
        <v>18.2</v>
      </c>
      <c r="U140" s="66">
        <v>19.8</v>
      </c>
      <c r="V140" s="66">
        <v>17.2</v>
      </c>
      <c r="W140" s="66">
        <v>16.8</v>
      </c>
      <c r="X140" s="66">
        <v>18.600000000000001</v>
      </c>
      <c r="Y140" s="66">
        <v>20.2</v>
      </c>
      <c r="Z140" s="66">
        <v>19.399999999999999</v>
      </c>
      <c r="AA140" s="66">
        <v>20.8</v>
      </c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17</v>
      </c>
      <c r="AQ140" s="68">
        <f t="shared" si="12"/>
        <v>18.858823529411765</v>
      </c>
      <c r="AR140" s="68">
        <f>IFERROR(VLOOKUP(A140,Climatologia_TMAX!A:U,9+$E$2,FALSE),"")</f>
        <v>17.924274193548381</v>
      </c>
      <c r="AS140" s="68">
        <f t="shared" si="13"/>
        <v>0.93454933586338385</v>
      </c>
      <c r="AT140" s="74">
        <f t="shared" si="14"/>
        <v>21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21.6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0" s="69">
        <f t="shared" si="15"/>
        <v>-0.60000000000000142</v>
      </c>
    </row>
    <row r="141" spans="1:49" ht="14.25" customHeight="1" x14ac:dyDescent="0.2">
      <c r="A141" s="64">
        <v>35075010</v>
      </c>
      <c r="B141" s="70" t="s">
        <v>294</v>
      </c>
      <c r="C141" s="70" t="s">
        <v>260</v>
      </c>
      <c r="D141" s="99">
        <v>-73.453777779999996</v>
      </c>
      <c r="E141" s="99">
        <v>5.3526944439999999</v>
      </c>
      <c r="F141" s="64">
        <v>2438</v>
      </c>
      <c r="G141" s="62">
        <v>15</v>
      </c>
      <c r="H141" s="62">
        <v>15494</v>
      </c>
      <c r="I141" s="72" t="s">
        <v>261</v>
      </c>
      <c r="J141" s="72" t="s">
        <v>295</v>
      </c>
      <c r="K141" s="66">
        <v>16.8</v>
      </c>
      <c r="L141" s="66">
        <v>16.600000000000001</v>
      </c>
      <c r="M141" s="66">
        <v>15.2</v>
      </c>
      <c r="N141" s="66">
        <v>16.399999999999999</v>
      </c>
      <c r="O141" s="66">
        <v>18.2</v>
      </c>
      <c r="P141" s="66">
        <v>20</v>
      </c>
      <c r="Q141" s="66">
        <v>17.2</v>
      </c>
      <c r="R141" s="66">
        <v>19</v>
      </c>
      <c r="S141" s="66">
        <v>17</v>
      </c>
      <c r="T141" s="66">
        <v>17.399999999999999</v>
      </c>
      <c r="U141" s="66">
        <v>19.399999999999999</v>
      </c>
      <c r="V141" s="66">
        <v>16.399999999999999</v>
      </c>
      <c r="W141" s="66">
        <v>17.399999999999999</v>
      </c>
      <c r="X141" s="66">
        <v>17.2</v>
      </c>
      <c r="Y141" s="66">
        <v>18.2</v>
      </c>
      <c r="Z141" s="66">
        <v>19</v>
      </c>
      <c r="AA141" s="66">
        <v>20.399999999999999</v>
      </c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17</v>
      </c>
      <c r="AQ141" s="68">
        <f t="shared" si="12"/>
        <v>17.752941176470589</v>
      </c>
      <c r="AR141" s="68">
        <f>IFERROR(VLOOKUP(A141,Climatologia_TMAX!A:U,9+$E$2,FALSE),"")</f>
        <v>17.294555679149671</v>
      </c>
      <c r="AS141" s="68">
        <f t="shared" si="13"/>
        <v>0.45838549732091849</v>
      </c>
      <c r="AT141" s="74">
        <f t="shared" si="14"/>
        <v>20.399999999999999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22.6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1" s="69">
        <f t="shared" si="15"/>
        <v>-2.2000000000000028</v>
      </c>
    </row>
    <row r="142" spans="1:49" ht="14.25" customHeight="1" x14ac:dyDescent="0.2">
      <c r="A142" s="64">
        <v>36015010</v>
      </c>
      <c r="B142" s="70" t="s">
        <v>296</v>
      </c>
      <c r="C142" s="70" t="s">
        <v>260</v>
      </c>
      <c r="D142" s="99">
        <v>-71.887194440000002</v>
      </c>
      <c r="E142" s="99">
        <v>5.8785277779999996</v>
      </c>
      <c r="F142" s="64">
        <v>342</v>
      </c>
      <c r="G142" s="62">
        <v>85</v>
      </c>
      <c r="H142" s="62">
        <v>85250</v>
      </c>
      <c r="I142" s="72" t="s">
        <v>194</v>
      </c>
      <c r="J142" s="72" t="s">
        <v>296</v>
      </c>
      <c r="K142" s="66">
        <v>31.8</v>
      </c>
      <c r="L142" s="66">
        <v>27.2</v>
      </c>
      <c r="M142" s="66">
        <v>27.8</v>
      </c>
      <c r="N142" s="66">
        <v>29.2</v>
      </c>
      <c r="O142" s="66">
        <v>30.2</v>
      </c>
      <c r="P142" s="66"/>
      <c r="Q142" s="66"/>
      <c r="R142" s="66"/>
      <c r="S142" s="66">
        <v>32.4</v>
      </c>
      <c r="T142" s="66">
        <v>32.6</v>
      </c>
      <c r="U142" s="66">
        <v>30</v>
      </c>
      <c r="V142" s="66">
        <v>30</v>
      </c>
      <c r="W142" s="66">
        <v>31</v>
      </c>
      <c r="X142" s="66">
        <v>29.4</v>
      </c>
      <c r="Y142" s="66">
        <v>33.200000000000003</v>
      </c>
      <c r="Z142" s="66">
        <v>33.200000000000003</v>
      </c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13</v>
      </c>
      <c r="AQ142" s="68" t="str">
        <f t="shared" si="12"/>
        <v/>
      </c>
      <c r="AR142" s="68">
        <f>IFERROR(VLOOKUP(A142,Climatologia_TMAX!A:U,9+$E$2,FALSE),"")</f>
        <v>30.086073414905449</v>
      </c>
      <c r="AS142" s="68" t="str">
        <f t="shared" si="13"/>
        <v/>
      </c>
      <c r="AT142" s="74">
        <f t="shared" si="14"/>
        <v>33.200000000000003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37.200000000000003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2" s="69">
        <f t="shared" si="15"/>
        <v>-4</v>
      </c>
    </row>
    <row r="143" spans="1:49" ht="14.25" customHeight="1" x14ac:dyDescent="0.2">
      <c r="A143" s="64">
        <v>35085020</v>
      </c>
      <c r="B143" s="70" t="s">
        <v>297</v>
      </c>
      <c r="C143" s="70" t="s">
        <v>260</v>
      </c>
      <c r="D143" s="99">
        <v>-73.203611109999997</v>
      </c>
      <c r="E143" s="99">
        <v>5.3584166670000002</v>
      </c>
      <c r="F143" s="64">
        <v>2120</v>
      </c>
      <c r="G143" s="62">
        <v>15</v>
      </c>
      <c r="H143" s="62">
        <v>15621</v>
      </c>
      <c r="I143" s="72" t="s">
        <v>261</v>
      </c>
      <c r="J143" s="72" t="s">
        <v>298</v>
      </c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0</v>
      </c>
      <c r="AQ143" s="68" t="str">
        <f t="shared" si="12"/>
        <v/>
      </c>
      <c r="AR143" s="68" t="str">
        <f>IFERROR(VLOOKUP(A143,Climatologia_TMAX!A:U,9+$E$2,FALSE),"")</f>
        <v/>
      </c>
      <c r="AS143" s="68" t="str">
        <f t="shared" si="13"/>
        <v/>
      </c>
      <c r="AT143" s="74" t="str">
        <f t="shared" si="14"/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26.6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3" s="69" t="str">
        <f t="shared" si="15"/>
        <v>NA</v>
      </c>
    </row>
    <row r="144" spans="1:49" ht="14.25" customHeight="1" x14ac:dyDescent="0.2">
      <c r="A144" s="64">
        <v>24015360</v>
      </c>
      <c r="B144" s="70" t="s">
        <v>299</v>
      </c>
      <c r="C144" s="70" t="s">
        <v>260</v>
      </c>
      <c r="D144" s="99">
        <v>-73.759</v>
      </c>
      <c r="E144" s="99">
        <v>5.6962222220000003</v>
      </c>
      <c r="F144" s="64">
        <v>2550</v>
      </c>
      <c r="G144" s="62">
        <v>15</v>
      </c>
      <c r="H144" s="62">
        <v>15632</v>
      </c>
      <c r="I144" s="72" t="s">
        <v>261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>
        <f>IFERROR(VLOOKUP(A144,Climatologia_TMAX!A:U,9+$E$2,FALSE),"")</f>
        <v>21.335838174102911</v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4" s="69" t="str">
        <f t="shared" si="15"/>
        <v>NA</v>
      </c>
    </row>
    <row r="145" spans="1:49" ht="14.25" customHeight="1" x14ac:dyDescent="0.2">
      <c r="A145" s="64">
        <v>24035120</v>
      </c>
      <c r="B145" s="70" t="s">
        <v>301</v>
      </c>
      <c r="C145" s="70" t="s">
        <v>260</v>
      </c>
      <c r="D145" s="99">
        <v>-73.074472220000004</v>
      </c>
      <c r="E145" s="99">
        <v>5.8024444439999998</v>
      </c>
      <c r="F145" s="64">
        <v>2485</v>
      </c>
      <c r="G145" s="62">
        <v>15</v>
      </c>
      <c r="H145" s="62">
        <v>15238</v>
      </c>
      <c r="I145" s="72" t="s">
        <v>261</v>
      </c>
      <c r="J145" s="72" t="s">
        <v>284</v>
      </c>
      <c r="K145" s="66"/>
      <c r="L145" s="66"/>
      <c r="M145" s="66">
        <v>21.8</v>
      </c>
      <c r="N145" s="66">
        <v>19.399999999999999</v>
      </c>
      <c r="O145" s="66">
        <v>23</v>
      </c>
      <c r="P145" s="66">
        <v>23.8</v>
      </c>
      <c r="Q145" s="66">
        <v>22.8</v>
      </c>
      <c r="R145" s="66">
        <v>22.4</v>
      </c>
      <c r="S145" s="66">
        <v>19</v>
      </c>
      <c r="T145" s="66">
        <v>20.2</v>
      </c>
      <c r="U145" s="66">
        <v>22.4</v>
      </c>
      <c r="V145" s="66">
        <v>20.2</v>
      </c>
      <c r="W145" s="66">
        <v>22.6</v>
      </c>
      <c r="X145" s="66">
        <v>22.4</v>
      </c>
      <c r="Y145" s="66">
        <v>21.6</v>
      </c>
      <c r="Z145" s="66">
        <v>21.6</v>
      </c>
      <c r="AA145" s="66">
        <v>22.2</v>
      </c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15</v>
      </c>
      <c r="AQ145" s="68">
        <f t="shared" si="12"/>
        <v>21.693333333333332</v>
      </c>
      <c r="AR145" s="68">
        <f>IFERROR(VLOOKUP(A145,Climatologia_TMAX!A:U,9+$E$2,FALSE),"")</f>
        <v>20.927355094854001</v>
      </c>
      <c r="AS145" s="68">
        <f t="shared" si="13"/>
        <v>0.765978238479331</v>
      </c>
      <c r="AT145" s="74">
        <f t="shared" si="14"/>
        <v>23.8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24.4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5" s="69">
        <f t="shared" si="15"/>
        <v>-0.59999999999999787</v>
      </c>
    </row>
    <row r="146" spans="1:49" ht="14.25" customHeight="1" x14ac:dyDescent="0.2">
      <c r="A146" s="64">
        <v>35075020</v>
      </c>
      <c r="B146" s="70" t="s">
        <v>302</v>
      </c>
      <c r="C146" s="70" t="s">
        <v>260</v>
      </c>
      <c r="D146" s="99">
        <v>-73.449166669999997</v>
      </c>
      <c r="E146" s="99">
        <v>5.0222777780000003</v>
      </c>
      <c r="F146" s="64">
        <v>1930</v>
      </c>
      <c r="G146" s="62">
        <v>15</v>
      </c>
      <c r="H146" s="62">
        <v>15778</v>
      </c>
      <c r="I146" s="72" t="s">
        <v>261</v>
      </c>
      <c r="J146" s="72" t="s">
        <v>302</v>
      </c>
      <c r="K146" s="66">
        <v>21.2</v>
      </c>
      <c r="L146" s="66">
        <v>18</v>
      </c>
      <c r="M146" s="66">
        <v>20.8</v>
      </c>
      <c r="N146" s="66">
        <v>17.8</v>
      </c>
      <c r="O146" s="66">
        <v>21.6</v>
      </c>
      <c r="P146" s="66">
        <v>22.6</v>
      </c>
      <c r="Q146" s="66">
        <v>19.2</v>
      </c>
      <c r="R146" s="66">
        <v>23.4</v>
      </c>
      <c r="S146" s="66">
        <v>22.4</v>
      </c>
      <c r="T146" s="66">
        <v>21.6</v>
      </c>
      <c r="U146" s="66">
        <v>23</v>
      </c>
      <c r="V146" s="66">
        <v>20</v>
      </c>
      <c r="W146" s="66">
        <v>21.8</v>
      </c>
      <c r="X146" s="66">
        <v>21</v>
      </c>
      <c r="Y146" s="66">
        <v>21.8</v>
      </c>
      <c r="Z146" s="66"/>
      <c r="AA146" s="66">
        <v>23</v>
      </c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16</v>
      </c>
      <c r="AQ146" s="68">
        <f t="shared" si="12"/>
        <v>21.2</v>
      </c>
      <c r="AR146" s="68">
        <f>IFERROR(VLOOKUP(A146,Climatologia_TMAX!A:U,9+$E$2,FALSE),"")</f>
        <v>21.257146953405019</v>
      </c>
      <c r="AS146" s="68">
        <f t="shared" si="13"/>
        <v>-5.7146953405020184E-2</v>
      </c>
      <c r="AT146" s="74">
        <f t="shared" si="14"/>
        <v>23.4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25.2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6" s="69">
        <f t="shared" si="15"/>
        <v>-1.8000000000000007</v>
      </c>
    </row>
    <row r="147" spans="1:49" ht="14.25" customHeight="1" x14ac:dyDescent="0.2">
      <c r="A147" s="64">
        <v>35235050</v>
      </c>
      <c r="B147" s="70" t="s">
        <v>303</v>
      </c>
      <c r="C147" s="70" t="s">
        <v>260</v>
      </c>
      <c r="D147" s="99">
        <v>-72.166777780000004</v>
      </c>
      <c r="E147" s="99">
        <v>5.8185833330000003</v>
      </c>
      <c r="F147" s="64">
        <v>117</v>
      </c>
      <c r="G147" s="62">
        <v>85</v>
      </c>
      <c r="H147" s="62">
        <v>85400</v>
      </c>
      <c r="I147" s="72" t="s">
        <v>194</v>
      </c>
      <c r="J147" s="72" t="s">
        <v>304</v>
      </c>
      <c r="K147" s="66">
        <v>26.4</v>
      </c>
      <c r="L147" s="66">
        <v>24.2</v>
      </c>
      <c r="M147" s="66">
        <v>25.2</v>
      </c>
      <c r="N147" s="66">
        <v>24.6</v>
      </c>
      <c r="O147" s="66">
        <v>25.2</v>
      </c>
      <c r="P147" s="66">
        <v>26.2</v>
      </c>
      <c r="Q147" s="66">
        <v>25.6</v>
      </c>
      <c r="R147" s="66">
        <v>26.4</v>
      </c>
      <c r="S147" s="66">
        <v>24.2</v>
      </c>
      <c r="T147" s="66">
        <v>27.2</v>
      </c>
      <c r="U147" s="66">
        <v>25.4</v>
      </c>
      <c r="V147" s="66">
        <v>24.2</v>
      </c>
      <c r="W147" s="66">
        <v>25.4</v>
      </c>
      <c r="X147" s="66">
        <v>27.2</v>
      </c>
      <c r="Y147" s="66">
        <v>26.6</v>
      </c>
      <c r="Z147" s="66">
        <v>27.2</v>
      </c>
      <c r="AA147" s="66">
        <v>26.2</v>
      </c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17</v>
      </c>
      <c r="AQ147" s="68">
        <f t="shared" si="12"/>
        <v>25.729411764705876</v>
      </c>
      <c r="AR147" s="68">
        <f>IFERROR(VLOOKUP(A147,Climatologia_TMAX!A:U,9+$E$2,FALSE),"")</f>
        <v>24.958892473118279</v>
      </c>
      <c r="AS147" s="68">
        <f t="shared" si="13"/>
        <v>0.77051929158759691</v>
      </c>
      <c r="AT147" s="74">
        <f t="shared" si="14"/>
        <v>27.2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32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7" s="69">
        <f t="shared" si="15"/>
        <v>-4.8000000000000007</v>
      </c>
    </row>
    <row r="148" spans="1:49" ht="14.25" customHeight="1" x14ac:dyDescent="0.2">
      <c r="A148" s="64">
        <v>36025010</v>
      </c>
      <c r="B148" s="70" t="s">
        <v>305</v>
      </c>
      <c r="C148" s="70" t="s">
        <v>260</v>
      </c>
      <c r="D148" s="99">
        <v>-71.745027780000001</v>
      </c>
      <c r="E148" s="99">
        <v>6.4561944440000003</v>
      </c>
      <c r="F148" s="64">
        <v>350</v>
      </c>
      <c r="G148" s="62">
        <v>81</v>
      </c>
      <c r="H148" s="62">
        <v>81794</v>
      </c>
      <c r="I148" s="72" t="s">
        <v>90</v>
      </c>
      <c r="J148" s="72" t="s">
        <v>305</v>
      </c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0</v>
      </c>
      <c r="AQ148" s="68" t="str">
        <f t="shared" si="12"/>
        <v/>
      </c>
      <c r="AR148" s="68">
        <f>IFERROR(VLOOKUP(A148,Climatologia_TMAX!A:U,9+$E$2,FALSE),"")</f>
        <v>33.455483870967747</v>
      </c>
      <c r="AS148" s="68" t="str">
        <f t="shared" si="13"/>
        <v/>
      </c>
      <c r="AT148" s="74" t="str">
        <f t="shared" si="14"/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36.6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8" s="69" t="str">
        <f t="shared" si="15"/>
        <v>NA</v>
      </c>
    </row>
    <row r="149" spans="1:49" ht="14.25" customHeight="1" x14ac:dyDescent="0.2">
      <c r="A149" s="64">
        <v>35195020</v>
      </c>
      <c r="B149" s="70" t="s">
        <v>306</v>
      </c>
      <c r="C149" s="70" t="s">
        <v>260</v>
      </c>
      <c r="D149" s="99">
        <v>-72.869841667000003</v>
      </c>
      <c r="E149" s="99">
        <v>5.0272577780000001</v>
      </c>
      <c r="F149" s="64">
        <v>460</v>
      </c>
      <c r="G149" s="62">
        <v>85</v>
      </c>
      <c r="H149" s="62">
        <v>85410</v>
      </c>
      <c r="I149" s="72" t="s">
        <v>194</v>
      </c>
      <c r="J149" s="72" t="s">
        <v>306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28.671096774193551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35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49" s="69" t="str">
        <f t="shared" si="15"/>
        <v>NA</v>
      </c>
    </row>
    <row r="150" spans="1:49" ht="14.25" customHeight="1" x14ac:dyDescent="0.2">
      <c r="A150" s="64">
        <v>35235040</v>
      </c>
      <c r="B150" s="70" t="s">
        <v>307</v>
      </c>
      <c r="C150" s="70" t="s">
        <v>260</v>
      </c>
      <c r="D150" s="99">
        <v>-71.666166669999996</v>
      </c>
      <c r="E150" s="99">
        <v>5.4190277780000002</v>
      </c>
      <c r="F150" s="64">
        <v>265</v>
      </c>
      <c r="G150" s="62">
        <v>85</v>
      </c>
      <c r="H150" s="62">
        <v>85430</v>
      </c>
      <c r="I150" s="72" t="s">
        <v>194</v>
      </c>
      <c r="J150" s="72" t="s">
        <v>308</v>
      </c>
      <c r="K150" s="66">
        <v>32.6</v>
      </c>
      <c r="L150" s="66">
        <v>32.6</v>
      </c>
      <c r="M150" s="66">
        <v>31.4</v>
      </c>
      <c r="N150" s="66">
        <v>32.200000000000003</v>
      </c>
      <c r="O150" s="66">
        <v>32</v>
      </c>
      <c r="P150" s="66">
        <v>33</v>
      </c>
      <c r="Q150" s="66">
        <v>31</v>
      </c>
      <c r="R150" s="66">
        <v>32</v>
      </c>
      <c r="S150" s="66">
        <v>30.2</v>
      </c>
      <c r="T150" s="66">
        <v>32.200000000000003</v>
      </c>
      <c r="U150" s="66">
        <v>31</v>
      </c>
      <c r="V150" s="66">
        <v>30</v>
      </c>
      <c r="W150" s="66">
        <v>32.200000000000003</v>
      </c>
      <c r="X150" s="66">
        <v>31.4</v>
      </c>
      <c r="Y150" s="66">
        <v>33.799999999999997</v>
      </c>
      <c r="Z150" s="107">
        <v>33</v>
      </c>
      <c r="AA150" s="66">
        <v>34.200000000000003</v>
      </c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17</v>
      </c>
      <c r="AQ150" s="68">
        <f t="shared" si="12"/>
        <v>32.047058823529412</v>
      </c>
      <c r="AR150" s="68" t="str">
        <f>IFERROR(VLOOKUP(A150,Climatologia_TMAX!A:U,9+$E$2,FALSE),"")</f>
        <v/>
      </c>
      <c r="AS150" s="68" t="str">
        <f t="shared" si="13"/>
        <v/>
      </c>
      <c r="AT150" s="74">
        <f t="shared" si="14"/>
        <v>34.200000000000003</v>
      </c>
      <c r="AU150" s="74" t="str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 t="str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 t="str">
        <f t="shared" si="15"/>
        <v>NA</v>
      </c>
    </row>
    <row r="151" spans="1:49" ht="14.25" customHeight="1" x14ac:dyDescent="0.2">
      <c r="A151" s="64">
        <v>24035430</v>
      </c>
      <c r="B151" s="70" t="s">
        <v>309</v>
      </c>
      <c r="C151" s="70" t="s">
        <v>260</v>
      </c>
      <c r="D151" s="99">
        <v>-73.11636</v>
      </c>
      <c r="E151" s="99">
        <v>5.7458299999999998</v>
      </c>
      <c r="F151" s="64">
        <v>2521</v>
      </c>
      <c r="G151" s="62">
        <v>15</v>
      </c>
      <c r="H151" s="62">
        <v>15516</v>
      </c>
      <c r="I151" s="72" t="s">
        <v>261</v>
      </c>
      <c r="J151" s="72" t="s">
        <v>310</v>
      </c>
      <c r="K151" s="66">
        <v>23.4</v>
      </c>
      <c r="L151" s="66">
        <v>19.399999999999999</v>
      </c>
      <c r="M151" s="66">
        <v>23.4</v>
      </c>
      <c r="N151" s="66">
        <v>20.399999999999999</v>
      </c>
      <c r="O151" s="66">
        <v>25</v>
      </c>
      <c r="P151" s="66">
        <v>24.4</v>
      </c>
      <c r="Q151" s="66">
        <v>23.6</v>
      </c>
      <c r="R151" s="66">
        <v>24.2</v>
      </c>
      <c r="S151" s="66">
        <v>16.8</v>
      </c>
      <c r="T151" s="66">
        <v>22</v>
      </c>
      <c r="U151" s="66">
        <v>24</v>
      </c>
      <c r="V151" s="66">
        <v>20.399999999999999</v>
      </c>
      <c r="W151" s="66">
        <v>22</v>
      </c>
      <c r="X151" s="66">
        <v>22.6</v>
      </c>
      <c r="Y151" s="66">
        <v>24.2</v>
      </c>
      <c r="Z151" s="66">
        <v>24</v>
      </c>
      <c r="AA151" s="66">
        <v>25</v>
      </c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17</v>
      </c>
      <c r="AQ151" s="68">
        <f t="shared" si="12"/>
        <v>22.63529411764706</v>
      </c>
      <c r="AR151" s="68">
        <f>IFERROR(VLOOKUP(A151,Climatologia_TMAX!A:U,9+$E$2,FALSE),"")</f>
        <v>20.826350237314909</v>
      </c>
      <c r="AS151" s="68">
        <f t="shared" si="13"/>
        <v>1.8089438803321514</v>
      </c>
      <c r="AT151" s="74">
        <f t="shared" si="14"/>
        <v>25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24035130</v>
      </c>
      <c r="B152" s="70" t="s">
        <v>311</v>
      </c>
      <c r="C152" s="70" t="s">
        <v>260</v>
      </c>
      <c r="D152" s="99">
        <v>-73.360813059999998</v>
      </c>
      <c r="E152" s="99">
        <v>5.5430774999999999</v>
      </c>
      <c r="F152" s="64">
        <v>2690</v>
      </c>
      <c r="G152" s="62">
        <v>15</v>
      </c>
      <c r="H152" s="62">
        <v>15001</v>
      </c>
      <c r="I152" s="72" t="s">
        <v>261</v>
      </c>
      <c r="J152" s="72" t="s">
        <v>312</v>
      </c>
      <c r="K152" s="66">
        <v>19.2</v>
      </c>
      <c r="L152" s="66">
        <v>19.600000000000001</v>
      </c>
      <c r="M152" s="66"/>
      <c r="N152" s="66">
        <v>17.2</v>
      </c>
      <c r="O152" s="66">
        <v>20.6</v>
      </c>
      <c r="P152" s="66">
        <v>20.399999999999999</v>
      </c>
      <c r="Q152" s="66">
        <v>20.2</v>
      </c>
      <c r="R152" s="66">
        <v>21</v>
      </c>
      <c r="S152" s="66">
        <v>16.600000000000001</v>
      </c>
      <c r="T152" s="109"/>
      <c r="U152" s="66"/>
      <c r="V152" s="66"/>
      <c r="W152" s="66">
        <v>21.4</v>
      </c>
      <c r="X152" s="110">
        <v>20.399999999999999</v>
      </c>
      <c r="Y152" s="114">
        <v>21.6</v>
      </c>
      <c r="Z152" s="66">
        <v>19.399999999999999</v>
      </c>
      <c r="AA152" s="66">
        <v>21</v>
      </c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13</v>
      </c>
      <c r="AQ152" s="68" t="str">
        <f t="shared" si="12"/>
        <v/>
      </c>
      <c r="AR152" s="68">
        <f>IFERROR(VLOOKUP(A152,Climatologia_TMAX!A:U,9+$E$2,FALSE),"")</f>
        <v>16.682050544108389</v>
      </c>
      <c r="AS152" s="68" t="str">
        <f t="shared" si="13"/>
        <v/>
      </c>
      <c r="AT152" s="74">
        <f t="shared" si="14"/>
        <v>21.6</v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>21.4</v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2" s="69">
        <f t="shared" si="15"/>
        <v>0.20000000000000284</v>
      </c>
    </row>
    <row r="153" spans="1:49" ht="14.25" customHeight="1" x14ac:dyDescent="0.2">
      <c r="A153" s="64">
        <v>24015220</v>
      </c>
      <c r="B153" s="70" t="s">
        <v>313</v>
      </c>
      <c r="C153" s="70" t="s">
        <v>260</v>
      </c>
      <c r="D153" s="99">
        <v>-73.495777779999997</v>
      </c>
      <c r="E153" s="99">
        <v>5.5093888890000002</v>
      </c>
      <c r="F153" s="64">
        <v>2600</v>
      </c>
      <c r="G153" s="62">
        <v>15</v>
      </c>
      <c r="H153" s="62">
        <v>15646</v>
      </c>
      <c r="I153" s="72" t="s">
        <v>261</v>
      </c>
      <c r="J153" s="72" t="s">
        <v>314</v>
      </c>
      <c r="K153" s="66">
        <v>18</v>
      </c>
      <c r="L153" s="66">
        <v>17.2</v>
      </c>
      <c r="M153" s="66">
        <v>17.8</v>
      </c>
      <c r="N153" s="66">
        <v>17</v>
      </c>
      <c r="O153" s="66">
        <v>19.2</v>
      </c>
      <c r="P153" s="66">
        <v>20.399999999999999</v>
      </c>
      <c r="Q153" s="66">
        <v>18.2</v>
      </c>
      <c r="R153" s="66">
        <v>19.8</v>
      </c>
      <c r="S153" s="66">
        <v>15.4</v>
      </c>
      <c r="T153" s="66">
        <v>18</v>
      </c>
      <c r="U153" s="66">
        <v>20</v>
      </c>
      <c r="V153" s="66">
        <v>17</v>
      </c>
      <c r="W153" s="66">
        <v>18.399999999999999</v>
      </c>
      <c r="X153" s="66">
        <v>18</v>
      </c>
      <c r="Y153" s="66">
        <v>18.399999999999999</v>
      </c>
      <c r="Z153" s="66">
        <v>18</v>
      </c>
      <c r="AA153" s="66">
        <v>20.399999999999999</v>
      </c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17</v>
      </c>
      <c r="AQ153" s="68">
        <f t="shared" si="12"/>
        <v>18.305882352941175</v>
      </c>
      <c r="AR153" s="68">
        <f>IFERROR(VLOOKUP(A153,Climatologia_TMAX!A:U,9+$E$2,FALSE),"")</f>
        <v>17.74207636891661</v>
      </c>
      <c r="AS153" s="68">
        <f t="shared" si="13"/>
        <v>0.56380598402456528</v>
      </c>
      <c r="AT153" s="74">
        <f t="shared" si="14"/>
        <v>20.399999999999999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22.8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3" s="69">
        <f t="shared" si="15"/>
        <v>-2.4000000000000021</v>
      </c>
    </row>
    <row r="154" spans="1:49" ht="14.25" customHeight="1" x14ac:dyDescent="0.2">
      <c r="A154" s="64">
        <v>24015300</v>
      </c>
      <c r="B154" s="70" t="s">
        <v>315</v>
      </c>
      <c r="C154" s="70" t="s">
        <v>260</v>
      </c>
      <c r="D154" s="99">
        <v>-73.517740000000003</v>
      </c>
      <c r="E154" s="99">
        <v>5.6432599999999997</v>
      </c>
      <c r="F154" s="64">
        <v>2174</v>
      </c>
      <c r="G154" s="62">
        <v>15</v>
      </c>
      <c r="H154" s="62">
        <v>15407</v>
      </c>
      <c r="I154" s="72" t="s">
        <v>261</v>
      </c>
      <c r="J154" s="72" t="s">
        <v>316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0</v>
      </c>
      <c r="AQ154" s="68" t="str">
        <f t="shared" si="12"/>
        <v/>
      </c>
      <c r="AR154" s="68">
        <f>IFERROR(VLOOKUP(A154,Climatologia_TMAX!A:U,9+$E$2,FALSE),"")</f>
        <v>23.213862316153751</v>
      </c>
      <c r="AS154" s="68" t="str">
        <f t="shared" si="13"/>
        <v/>
      </c>
      <c r="AT154" s="74" t="str">
        <f t="shared" si="14"/>
        <v/>
      </c>
      <c r="AU154" s="74" t="str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 t="str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 t="str">
        <f t="shared" si="15"/>
        <v>NA</v>
      </c>
    </row>
    <row r="155" spans="1:49" ht="14.25" customHeight="1" x14ac:dyDescent="0.2">
      <c r="A155" s="64">
        <v>35075030</v>
      </c>
      <c r="B155" s="70" t="s">
        <v>317</v>
      </c>
      <c r="C155" s="70" t="s">
        <v>260</v>
      </c>
      <c r="D155" s="99">
        <v>-73.349416669999997</v>
      </c>
      <c r="E155" s="99">
        <v>5.4222222220000003</v>
      </c>
      <c r="F155" s="64">
        <v>2200</v>
      </c>
      <c r="G155" s="62">
        <v>15</v>
      </c>
      <c r="H155" s="62">
        <v>15599</v>
      </c>
      <c r="I155" s="72" t="s">
        <v>261</v>
      </c>
      <c r="J155" s="72" t="s">
        <v>318</v>
      </c>
      <c r="K155" s="66">
        <v>21</v>
      </c>
      <c r="L155" s="66">
        <v>18.399999999999999</v>
      </c>
      <c r="M155" s="66">
        <v>18.8</v>
      </c>
      <c r="N155" s="66">
        <v>18</v>
      </c>
      <c r="O155" s="66">
        <v>20.2</v>
      </c>
      <c r="P155" s="66">
        <v>22.8</v>
      </c>
      <c r="Q155" s="66">
        <v>19</v>
      </c>
      <c r="R155" s="66">
        <v>23.6</v>
      </c>
      <c r="S155" s="66">
        <v>17.2</v>
      </c>
      <c r="T155" s="66">
        <v>20.8</v>
      </c>
      <c r="U155" s="66">
        <v>22.6</v>
      </c>
      <c r="V155" s="66">
        <v>19.8</v>
      </c>
      <c r="W155" s="66">
        <v>20.6</v>
      </c>
      <c r="X155" s="110">
        <v>20.8</v>
      </c>
      <c r="Y155" s="66">
        <v>22.4</v>
      </c>
      <c r="Z155" s="66">
        <v>23.2</v>
      </c>
      <c r="AA155" s="66">
        <v>23.6</v>
      </c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17</v>
      </c>
      <c r="AQ155" s="68">
        <f t="shared" si="12"/>
        <v>20.752941176470589</v>
      </c>
      <c r="AR155" s="68">
        <f>IFERROR(VLOOKUP(A155,Climatologia_TMAX!A:U,9+$E$2,FALSE),"")</f>
        <v>19.979731688407991</v>
      </c>
      <c r="AS155" s="68">
        <f t="shared" si="13"/>
        <v>0.77320948806259793</v>
      </c>
      <c r="AT155" s="74">
        <f t="shared" si="14"/>
        <v>23.6</v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>25.4</v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5" s="69">
        <f t="shared" si="15"/>
        <v>-1.7999999999999972</v>
      </c>
    </row>
    <row r="156" spans="1:49" ht="14.25" customHeight="1" x14ac:dyDescent="0.2">
      <c r="A156" s="64">
        <v>35090050</v>
      </c>
      <c r="B156" s="70" t="s">
        <v>319</v>
      </c>
      <c r="C156" s="70" t="s">
        <v>260</v>
      </c>
      <c r="D156" s="99">
        <v>-73.049722220000007</v>
      </c>
      <c r="E156" s="99">
        <v>5.0034999999999998</v>
      </c>
      <c r="F156" s="64">
        <v>1200</v>
      </c>
      <c r="G156" s="62">
        <v>15</v>
      </c>
      <c r="H156" s="62">
        <v>15135</v>
      </c>
      <c r="I156" s="72" t="s">
        <v>261</v>
      </c>
      <c r="J156" s="72" t="s">
        <v>274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0</v>
      </c>
      <c r="AQ156" s="68" t="str">
        <f t="shared" si="12"/>
        <v/>
      </c>
      <c r="AR156" s="68" t="str">
        <f>IFERROR(VLOOKUP(A156,Climatologia_TMAX!A:U,9+$E$2,FALSE),"")</f>
        <v/>
      </c>
      <c r="AS156" s="68" t="str">
        <f t="shared" si="13"/>
        <v/>
      </c>
      <c r="AT156" s="74" t="str">
        <f t="shared" si="14"/>
        <v/>
      </c>
      <c r="AU156" s="74" t="str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 t="str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 t="str">
        <f t="shared" si="15"/>
        <v>NA</v>
      </c>
    </row>
    <row r="157" spans="1:49" ht="14.25" customHeight="1" x14ac:dyDescent="0.2">
      <c r="A157" s="64">
        <v>35085040</v>
      </c>
      <c r="B157" s="70" t="s">
        <v>320</v>
      </c>
      <c r="C157" s="70" t="s">
        <v>260</v>
      </c>
      <c r="D157" s="99">
        <v>-73.144777779999998</v>
      </c>
      <c r="E157" s="99">
        <v>5.1925555560000003</v>
      </c>
      <c r="F157" s="64">
        <v>1640</v>
      </c>
      <c r="G157" s="62">
        <v>15</v>
      </c>
      <c r="H157" s="62">
        <v>15455</v>
      </c>
      <c r="I157" s="72" t="s">
        <v>261</v>
      </c>
      <c r="J157" s="72" t="s">
        <v>321</v>
      </c>
      <c r="K157" s="66">
        <v>23</v>
      </c>
      <c r="L157" s="66">
        <v>19.2</v>
      </c>
      <c r="M157" s="66">
        <v>19.600000000000001</v>
      </c>
      <c r="N157" s="66">
        <v>18.600000000000001</v>
      </c>
      <c r="O157" s="66">
        <v>22.6</v>
      </c>
      <c r="P157" s="66">
        <v>23.2</v>
      </c>
      <c r="Q157" s="66">
        <v>21</v>
      </c>
      <c r="R157" s="66">
        <v>24</v>
      </c>
      <c r="S157" s="66">
        <v>19.2</v>
      </c>
      <c r="T157" s="66">
        <v>24.4</v>
      </c>
      <c r="U157" s="66">
        <v>23.8</v>
      </c>
      <c r="V157" s="66">
        <v>22.4</v>
      </c>
      <c r="W157" s="66">
        <v>22.8</v>
      </c>
      <c r="X157" s="66">
        <v>23.8</v>
      </c>
      <c r="Y157" s="66">
        <v>23.4</v>
      </c>
      <c r="Z157" s="66">
        <v>24.2</v>
      </c>
      <c r="AA157" s="66">
        <v>25.6</v>
      </c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17</v>
      </c>
      <c r="AQ157" s="68">
        <f t="shared" si="12"/>
        <v>22.400000000000002</v>
      </c>
      <c r="AR157" s="68">
        <f>IFERROR(VLOOKUP(A157,Climatologia_TMAX!A:U,9+$E$2,FALSE),"")</f>
        <v>22.235245771655119</v>
      </c>
      <c r="AS157" s="68">
        <f t="shared" si="13"/>
        <v>0.16475422834488285</v>
      </c>
      <c r="AT157" s="74">
        <f t="shared" si="14"/>
        <v>25.6</v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>29.8</v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7" s="69">
        <f t="shared" si="15"/>
        <v>-4.1999999999999993</v>
      </c>
    </row>
    <row r="158" spans="1:49" ht="14.25" customHeight="1" x14ac:dyDescent="0.2">
      <c r="A158" s="64">
        <v>44015060</v>
      </c>
      <c r="B158" s="70" t="s">
        <v>322</v>
      </c>
      <c r="C158" s="70" t="s">
        <v>323</v>
      </c>
      <c r="D158" s="99">
        <v>-76.651833330000002</v>
      </c>
      <c r="E158" s="99">
        <v>1.157333333</v>
      </c>
      <c r="F158" s="64">
        <v>650</v>
      </c>
      <c r="G158" s="62">
        <v>86</v>
      </c>
      <c r="H158" s="62">
        <v>86001</v>
      </c>
      <c r="I158" s="72" t="s">
        <v>324</v>
      </c>
      <c r="J158" s="72" t="s">
        <v>325</v>
      </c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0</v>
      </c>
      <c r="AQ158" s="68" t="str">
        <f t="shared" si="12"/>
        <v/>
      </c>
      <c r="AR158" s="68">
        <f>IFERROR(VLOOKUP(A158,Climatologia_TMAX!A:U,9+$E$2,FALSE),"")</f>
        <v>26.11163440860215</v>
      </c>
      <c r="AS158" s="68" t="str">
        <f t="shared" si="13"/>
        <v/>
      </c>
      <c r="AT158" s="74" t="str">
        <f t="shared" si="14"/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32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8" s="69" t="str">
        <f t="shared" si="15"/>
        <v>NA</v>
      </c>
    </row>
    <row r="159" spans="1:49" ht="14.25" customHeight="1" x14ac:dyDescent="0.2">
      <c r="A159" s="64">
        <v>53045040</v>
      </c>
      <c r="B159" s="70" t="s">
        <v>326</v>
      </c>
      <c r="C159" s="70" t="s">
        <v>323</v>
      </c>
      <c r="D159" s="99">
        <v>-77.894750000000002</v>
      </c>
      <c r="E159" s="99">
        <v>2.5744166669999999</v>
      </c>
      <c r="F159" s="64">
        <v>42</v>
      </c>
      <c r="G159" s="62">
        <v>19</v>
      </c>
      <c r="H159" s="62">
        <v>19318</v>
      </c>
      <c r="I159" s="72" t="s">
        <v>237</v>
      </c>
      <c r="J159" s="72" t="s">
        <v>327</v>
      </c>
      <c r="K159" s="66">
        <v>31.4</v>
      </c>
      <c r="L159" s="66">
        <v>30.2</v>
      </c>
      <c r="M159" s="66">
        <v>31.4</v>
      </c>
      <c r="N159" s="66">
        <v>31.2</v>
      </c>
      <c r="O159" s="66">
        <v>31.6</v>
      </c>
      <c r="P159" s="66">
        <v>32</v>
      </c>
      <c r="Q159" s="66">
        <v>31.8</v>
      </c>
      <c r="R159" s="66">
        <v>31.8</v>
      </c>
      <c r="S159" s="66">
        <v>29.4</v>
      </c>
      <c r="T159" s="66">
        <v>32</v>
      </c>
      <c r="U159" s="66">
        <v>32.200000000000003</v>
      </c>
      <c r="V159" s="66">
        <v>30.6</v>
      </c>
      <c r="W159" s="66">
        <v>31</v>
      </c>
      <c r="X159" s="66">
        <v>31.8</v>
      </c>
      <c r="Y159" s="66">
        <v>32</v>
      </c>
      <c r="Z159" s="66">
        <v>32.799999999999997</v>
      </c>
      <c r="AA159" s="66">
        <v>33</v>
      </c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17</v>
      </c>
      <c r="AQ159" s="68">
        <f t="shared" si="12"/>
        <v>31.541176470588237</v>
      </c>
      <c r="AR159" s="68">
        <f>IFERROR(VLOOKUP(A159,Climatologia_TMAX!A:U,9+$E$2,FALSE),"")</f>
        <v>29.869247988652891</v>
      </c>
      <c r="AS159" s="68">
        <f t="shared" si="13"/>
        <v>1.6719284819353462</v>
      </c>
      <c r="AT159" s="74">
        <f t="shared" si="14"/>
        <v>33</v>
      </c>
      <c r="AU159" s="74" t="str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 t="str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 t="str">
        <f t="shared" si="15"/>
        <v>NA</v>
      </c>
    </row>
    <row r="160" spans="1:49" ht="14.25" customHeight="1" x14ac:dyDescent="0.2">
      <c r="A160" s="64">
        <v>52065020</v>
      </c>
      <c r="B160" s="70" t="s">
        <v>328</v>
      </c>
      <c r="C160" s="70" t="s">
        <v>323</v>
      </c>
      <c r="D160" s="99">
        <v>-78.14</v>
      </c>
      <c r="E160" s="99">
        <v>1.67</v>
      </c>
      <c r="F160" s="64">
        <v>32</v>
      </c>
      <c r="G160" s="62">
        <v>52</v>
      </c>
      <c r="H160" s="62">
        <v>52079</v>
      </c>
      <c r="I160" s="72" t="s">
        <v>82</v>
      </c>
      <c r="J160" s="72" t="s">
        <v>328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0</v>
      </c>
      <c r="AQ160" s="68" t="str">
        <f t="shared" si="12"/>
        <v/>
      </c>
      <c r="AR160" s="68">
        <f>IFERROR(VLOOKUP(A160,Climatologia_TMAX!A:U,9+$E$2,FALSE),"")</f>
        <v>30.035285884963301</v>
      </c>
      <c r="AS160" s="68" t="str">
        <f t="shared" si="13"/>
        <v/>
      </c>
      <c r="AT160" s="74" t="str">
        <f t="shared" si="14"/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>34</v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0" s="69" t="str">
        <f t="shared" si="15"/>
        <v>NA</v>
      </c>
    </row>
    <row r="161" spans="1:49" ht="14.25" customHeight="1" x14ac:dyDescent="0.2">
      <c r="A161" s="64">
        <v>52025010</v>
      </c>
      <c r="B161" s="70" t="s">
        <v>329</v>
      </c>
      <c r="C161" s="70" t="s">
        <v>323</v>
      </c>
      <c r="D161" s="99">
        <v>-77.004027780000001</v>
      </c>
      <c r="E161" s="99">
        <v>1.8299444439999999</v>
      </c>
      <c r="F161" s="64">
        <v>1510</v>
      </c>
      <c r="G161" s="62">
        <v>19</v>
      </c>
      <c r="H161" s="62">
        <v>19100</v>
      </c>
      <c r="I161" s="72" t="s">
        <v>237</v>
      </c>
      <c r="J161" s="72" t="s">
        <v>34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27.43639016897081</v>
      </c>
      <c r="AS161" s="68" t="str">
        <f t="shared" si="13"/>
        <v/>
      </c>
      <c r="AT161" s="74" t="str">
        <f t="shared" si="14"/>
        <v/>
      </c>
      <c r="AU161" s="74" t="str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 t="str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 t="str">
        <f t="shared" si="15"/>
        <v>NA</v>
      </c>
    </row>
    <row r="162" spans="1:49" ht="14.25" customHeight="1" x14ac:dyDescent="0.2">
      <c r="A162" s="64">
        <v>52055030</v>
      </c>
      <c r="B162" s="70" t="s">
        <v>330</v>
      </c>
      <c r="C162" s="70" t="s">
        <v>323</v>
      </c>
      <c r="D162" s="99">
        <v>-77.465111109999995</v>
      </c>
      <c r="E162" s="99">
        <v>1.1843611110000001</v>
      </c>
      <c r="F162" s="64">
        <v>1493</v>
      </c>
      <c r="G162" s="62">
        <v>52</v>
      </c>
      <c r="H162" s="62">
        <v>52207</v>
      </c>
      <c r="I162" s="72" t="s">
        <v>82</v>
      </c>
      <c r="J162" s="72" t="s">
        <v>331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26.4662638839655</v>
      </c>
      <c r="AS162" s="68" t="str">
        <f t="shared" si="13"/>
        <v/>
      </c>
      <c r="AT162" s="74" t="str">
        <f t="shared" si="14"/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>32</v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2" s="69" t="str">
        <f t="shared" si="15"/>
        <v>NA</v>
      </c>
    </row>
    <row r="163" spans="1:49" ht="14.25" customHeight="1" x14ac:dyDescent="0.2">
      <c r="A163" s="64">
        <v>52055210</v>
      </c>
      <c r="B163" s="70" t="s">
        <v>332</v>
      </c>
      <c r="C163" s="70" t="s">
        <v>323</v>
      </c>
      <c r="D163" s="99">
        <v>-77.278805559999995</v>
      </c>
      <c r="E163" s="99">
        <v>1.1599999999999999</v>
      </c>
      <c r="F163" s="64">
        <v>2820</v>
      </c>
      <c r="G163" s="62">
        <v>52</v>
      </c>
      <c r="H163" s="62">
        <v>52001</v>
      </c>
      <c r="I163" s="72" t="s">
        <v>82</v>
      </c>
      <c r="J163" s="72" t="s">
        <v>333</v>
      </c>
      <c r="K163" s="66">
        <v>18.600000000000001</v>
      </c>
      <c r="L163" s="66">
        <v>18</v>
      </c>
      <c r="M163" s="66">
        <v>15.8</v>
      </c>
      <c r="N163" s="66">
        <v>18.399999999999999</v>
      </c>
      <c r="O163" s="66">
        <v>17.399999999999999</v>
      </c>
      <c r="P163" s="66">
        <v>17.600000000000001</v>
      </c>
      <c r="Q163" s="66">
        <v>18.8</v>
      </c>
      <c r="R163" s="66">
        <v>19.2</v>
      </c>
      <c r="S163" s="66">
        <v>20.2</v>
      </c>
      <c r="T163" s="66">
        <v>17.2</v>
      </c>
      <c r="U163" s="109">
        <v>17.8</v>
      </c>
      <c r="V163" s="66">
        <v>15.4</v>
      </c>
      <c r="W163" s="66">
        <v>17.399999999999999</v>
      </c>
      <c r="X163" s="66">
        <v>17.8</v>
      </c>
      <c r="Y163" s="66">
        <v>18.2</v>
      </c>
      <c r="Z163" s="66">
        <v>18</v>
      </c>
      <c r="AA163" s="66">
        <v>17.8</v>
      </c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17</v>
      </c>
      <c r="AQ163" s="68">
        <f t="shared" si="12"/>
        <v>17.858823529411765</v>
      </c>
      <c r="AR163" s="68">
        <f>IFERROR(VLOOKUP(A163,Climatologia_TMAX!A:U,9+$E$2,FALSE),"")</f>
        <v>16.329537773261251</v>
      </c>
      <c r="AS163" s="68">
        <f t="shared" si="13"/>
        <v>1.5292857561505144</v>
      </c>
      <c r="AT163" s="74">
        <f t="shared" si="14"/>
        <v>20.2</v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21.8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3" s="69">
        <f t="shared" si="15"/>
        <v>-1.6000000000000014</v>
      </c>
    </row>
    <row r="164" spans="1:49" ht="14.25" customHeight="1" x14ac:dyDescent="0.2">
      <c r="A164" s="64">
        <v>52045090</v>
      </c>
      <c r="B164" s="70" t="s">
        <v>334</v>
      </c>
      <c r="C164" s="70" t="s">
        <v>323</v>
      </c>
      <c r="D164" s="99">
        <v>-77.629583330000003</v>
      </c>
      <c r="E164" s="99">
        <v>0.93263888900000003</v>
      </c>
      <c r="F164" s="64">
        <v>3141</v>
      </c>
      <c r="G164" s="62">
        <v>52</v>
      </c>
      <c r="H164" s="62">
        <v>52585</v>
      </c>
      <c r="I164" s="72" t="s">
        <v>82</v>
      </c>
      <c r="J164" s="72" t="s">
        <v>335</v>
      </c>
      <c r="K164" s="66">
        <v>13.4</v>
      </c>
      <c r="L164" s="66">
        <v>13</v>
      </c>
      <c r="M164" s="66">
        <v>12</v>
      </c>
      <c r="N164" s="66">
        <v>12.2</v>
      </c>
      <c r="O164" s="66">
        <v>12</v>
      </c>
      <c r="P164" s="66">
        <v>12.2</v>
      </c>
      <c r="Q164" s="66">
        <v>12.8</v>
      </c>
      <c r="R164" s="66">
        <v>12.8</v>
      </c>
      <c r="S164" s="66">
        <v>14</v>
      </c>
      <c r="T164" s="66">
        <v>14.8</v>
      </c>
      <c r="U164" s="66">
        <v>15.2</v>
      </c>
      <c r="V164" s="66">
        <v>13</v>
      </c>
      <c r="W164" s="66">
        <v>13.2</v>
      </c>
      <c r="X164" s="66">
        <v>13.8</v>
      </c>
      <c r="Y164" s="66">
        <v>13.6</v>
      </c>
      <c r="Z164" s="66">
        <v>13.8</v>
      </c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16</v>
      </c>
      <c r="AQ164" s="68">
        <f t="shared" si="12"/>
        <v>13.237499999999999</v>
      </c>
      <c r="AR164" s="68">
        <f>IFERROR(VLOOKUP(A164,Climatologia_TMAX!A:U,9+$E$2,FALSE),"")</f>
        <v>12.99240860215054</v>
      </c>
      <c r="AS164" s="68">
        <f t="shared" si="13"/>
        <v>0.24509139784945866</v>
      </c>
      <c r="AT164" s="74">
        <f t="shared" si="14"/>
        <v>15.2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17.399999999999999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4" s="69">
        <f t="shared" si="15"/>
        <v>-2.1999999999999993</v>
      </c>
    </row>
    <row r="165" spans="1:49" ht="14.25" customHeight="1" x14ac:dyDescent="0.2">
      <c r="A165" s="64">
        <v>47015100</v>
      </c>
      <c r="B165" s="70" t="s">
        <v>336</v>
      </c>
      <c r="C165" s="70" t="s">
        <v>323</v>
      </c>
      <c r="D165" s="99">
        <v>-77.161472219999993</v>
      </c>
      <c r="E165" s="99">
        <v>1.159944444</v>
      </c>
      <c r="F165" s="64">
        <v>2830</v>
      </c>
      <c r="G165" s="62">
        <v>52</v>
      </c>
      <c r="H165" s="62">
        <v>52001</v>
      </c>
      <c r="I165" s="72" t="s">
        <v>82</v>
      </c>
      <c r="J165" s="72" t="s">
        <v>333</v>
      </c>
      <c r="K165" s="66">
        <v>15</v>
      </c>
      <c r="L165" s="66">
        <v>14</v>
      </c>
      <c r="M165" s="66">
        <v>12.6</v>
      </c>
      <c r="N165" s="66">
        <v>14</v>
      </c>
      <c r="O165" s="66">
        <v>15.8</v>
      </c>
      <c r="P165" s="66">
        <v>16</v>
      </c>
      <c r="Q165" s="66">
        <v>16.2</v>
      </c>
      <c r="R165" s="66">
        <v>14.2</v>
      </c>
      <c r="S165" s="66">
        <v>14.4</v>
      </c>
      <c r="T165" s="66">
        <v>14.6</v>
      </c>
      <c r="U165" s="66">
        <v>15.2</v>
      </c>
      <c r="V165" s="66">
        <v>13.4</v>
      </c>
      <c r="W165" s="66">
        <v>13.2</v>
      </c>
      <c r="X165" s="66">
        <v>14.8</v>
      </c>
      <c r="Y165" s="66">
        <v>15.4</v>
      </c>
      <c r="Z165" s="66">
        <v>16</v>
      </c>
      <c r="AA165" s="66">
        <v>15.6</v>
      </c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17</v>
      </c>
      <c r="AQ165" s="68">
        <f t="shared" si="12"/>
        <v>14.729411764705883</v>
      </c>
      <c r="AR165" s="68">
        <f>IFERROR(VLOOKUP(A165,Climatologia_TMAX!A:U,9+$E$2,FALSE),"")</f>
        <v>14.233020730924361</v>
      </c>
      <c r="AS165" s="68">
        <f t="shared" si="13"/>
        <v>0.49639103378152249</v>
      </c>
      <c r="AT165" s="74">
        <f t="shared" si="14"/>
        <v>16.2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22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5" s="69">
        <f t="shared" si="15"/>
        <v>-5.8000000000000007</v>
      </c>
    </row>
    <row r="166" spans="1:49" ht="14.25" customHeight="1" x14ac:dyDescent="0.2">
      <c r="A166" s="64">
        <v>52055220</v>
      </c>
      <c r="B166" s="70" t="s">
        <v>337</v>
      </c>
      <c r="C166" s="70" t="s">
        <v>323</v>
      </c>
      <c r="D166" s="99">
        <v>-77.636935688999998</v>
      </c>
      <c r="E166" s="99">
        <v>1.070707855</v>
      </c>
      <c r="F166" s="64">
        <v>3033</v>
      </c>
      <c r="G166" s="62">
        <v>52</v>
      </c>
      <c r="H166" s="62">
        <v>52838</v>
      </c>
      <c r="I166" s="72" t="s">
        <v>82</v>
      </c>
      <c r="J166" s="72" t="s">
        <v>338</v>
      </c>
      <c r="K166" s="66">
        <v>16</v>
      </c>
      <c r="L166" s="66">
        <v>15.4</v>
      </c>
      <c r="M166" s="66">
        <v>14.4</v>
      </c>
      <c r="N166" s="66">
        <v>16</v>
      </c>
      <c r="O166" s="66">
        <v>17.2</v>
      </c>
      <c r="P166" s="66">
        <v>18</v>
      </c>
      <c r="Q166" s="66">
        <v>18.600000000000001</v>
      </c>
      <c r="R166" s="66">
        <v>16.600000000000001</v>
      </c>
      <c r="S166" s="66">
        <v>18.8</v>
      </c>
      <c r="T166" s="66">
        <v>17</v>
      </c>
      <c r="U166" s="109">
        <v>17.8</v>
      </c>
      <c r="V166" s="66">
        <v>15.2</v>
      </c>
      <c r="W166" s="66">
        <v>15</v>
      </c>
      <c r="X166" s="66">
        <v>15.8</v>
      </c>
      <c r="Y166" s="66">
        <v>17.8</v>
      </c>
      <c r="Z166" s="66">
        <v>17.399999999999999</v>
      </c>
      <c r="AA166" s="66">
        <v>17.8</v>
      </c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17</v>
      </c>
      <c r="AQ166" s="68">
        <f t="shared" si="12"/>
        <v>16.752941176470589</v>
      </c>
      <c r="AR166" s="68">
        <f>IFERROR(VLOOKUP(A166,Climatologia_TMAX!A:U,9+$E$2,FALSE),"")</f>
        <v>15.20642771804062</v>
      </c>
      <c r="AS166" s="68">
        <f t="shared" si="13"/>
        <v>1.5465134584299687</v>
      </c>
      <c r="AT166" s="74">
        <f t="shared" si="14"/>
        <v>18.8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19.399999999999999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6" s="69">
        <f t="shared" si="15"/>
        <v>-0.59999999999999787</v>
      </c>
    </row>
    <row r="167" spans="1:49" ht="14.25" customHeight="1" x14ac:dyDescent="0.2">
      <c r="A167" s="64">
        <v>52055200</v>
      </c>
      <c r="B167" s="70" t="s">
        <v>339</v>
      </c>
      <c r="C167" s="70" t="s">
        <v>323</v>
      </c>
      <c r="D167" s="99">
        <v>-77.445805559999997</v>
      </c>
      <c r="E167" s="99">
        <v>1.0042222220000001</v>
      </c>
      <c r="F167" s="64">
        <v>2181</v>
      </c>
      <c r="G167" s="62">
        <v>52</v>
      </c>
      <c r="H167" s="62">
        <v>52287</v>
      </c>
      <c r="I167" s="72" t="s">
        <v>82</v>
      </c>
      <c r="J167" s="72" t="s">
        <v>339</v>
      </c>
      <c r="K167" s="66">
        <v>23.2</v>
      </c>
      <c r="L167" s="66">
        <v>22.2</v>
      </c>
      <c r="M167" s="66">
        <v>21.6</v>
      </c>
      <c r="N167" s="66">
        <v>22.8</v>
      </c>
      <c r="O167" s="66">
        <v>24.6</v>
      </c>
      <c r="P167" s="66">
        <v>23.8</v>
      </c>
      <c r="Q167" s="66">
        <v>24.6</v>
      </c>
      <c r="R167" s="66">
        <v>23.8</v>
      </c>
      <c r="S167" s="66">
        <v>24.6</v>
      </c>
      <c r="T167" s="66">
        <v>22.6</v>
      </c>
      <c r="U167" s="109">
        <v>23.2</v>
      </c>
      <c r="V167" s="66">
        <v>22</v>
      </c>
      <c r="W167" s="66">
        <v>21.8</v>
      </c>
      <c r="X167" s="66">
        <v>22.8</v>
      </c>
      <c r="Y167" s="66">
        <v>21.8</v>
      </c>
      <c r="Z167" s="66">
        <v>23.2</v>
      </c>
      <c r="AA167" s="66">
        <v>23.2</v>
      </c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17</v>
      </c>
      <c r="AQ167" s="68">
        <f t="shared" si="12"/>
        <v>23.047058823529412</v>
      </c>
      <c r="AR167" s="68" t="str">
        <f>IFERROR(VLOOKUP(A167,Climatologia_TMAX!A:U,9+$E$2,FALSE),"")</f>
        <v/>
      </c>
      <c r="AS167" s="68" t="str">
        <f t="shared" si="13"/>
        <v/>
      </c>
      <c r="AT167" s="74">
        <f t="shared" si="14"/>
        <v>24.6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25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-0.39999999999999858</v>
      </c>
    </row>
    <row r="168" spans="1:49" ht="14.25" customHeight="1" x14ac:dyDescent="0.2">
      <c r="A168" s="64">
        <v>51025090</v>
      </c>
      <c r="B168" s="70" t="s">
        <v>340</v>
      </c>
      <c r="C168" s="70" t="s">
        <v>323</v>
      </c>
      <c r="D168" s="99">
        <v>-78.695583330000005</v>
      </c>
      <c r="E168" s="99">
        <v>1.5501944439999999</v>
      </c>
      <c r="F168" s="64">
        <v>16</v>
      </c>
      <c r="G168" s="62">
        <v>52</v>
      </c>
      <c r="H168" s="62">
        <v>52835</v>
      </c>
      <c r="I168" s="72" t="s">
        <v>82</v>
      </c>
      <c r="J168" s="72" t="s">
        <v>341</v>
      </c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0</v>
      </c>
      <c r="AQ168" s="68" t="str">
        <f t="shared" si="12"/>
        <v/>
      </c>
      <c r="AR168" s="68">
        <f>IFERROR(VLOOKUP(A168,Climatologia_TMAX!A:U,9+$E$2,FALSE),"")</f>
        <v>30.37697548716681</v>
      </c>
      <c r="AS168" s="68" t="str">
        <f t="shared" si="13"/>
        <v/>
      </c>
      <c r="AT168" s="74" t="str">
        <f t="shared" si="14"/>
        <v/>
      </c>
      <c r="AU168" s="74" t="str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 t="str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 t="str">
        <f t="shared" si="15"/>
        <v>NA</v>
      </c>
    </row>
    <row r="169" spans="1:49" ht="14.25" customHeight="1" x14ac:dyDescent="0.2">
      <c r="A169" s="64">
        <v>52025060</v>
      </c>
      <c r="B169" s="70" t="s">
        <v>342</v>
      </c>
      <c r="C169" s="70" t="s">
        <v>323</v>
      </c>
      <c r="D169" s="99">
        <v>-77.19</v>
      </c>
      <c r="E169" s="99">
        <v>1.91</v>
      </c>
      <c r="F169" s="64">
        <v>580</v>
      </c>
      <c r="G169" s="62">
        <v>19</v>
      </c>
      <c r="H169" s="62">
        <v>19450</v>
      </c>
      <c r="I169" s="72" t="s">
        <v>237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34.396219921470212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52025090</v>
      </c>
      <c r="B170" s="70" t="s">
        <v>344</v>
      </c>
      <c r="C170" s="70" t="s">
        <v>323</v>
      </c>
      <c r="D170" s="99">
        <v>-76.750333330000004</v>
      </c>
      <c r="E170" s="99">
        <v>2.1938333330000002</v>
      </c>
      <c r="F170" s="64">
        <v>1870</v>
      </c>
      <c r="G170" s="62">
        <v>19</v>
      </c>
      <c r="H170" s="62">
        <v>19392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22.977759802921099</v>
      </c>
      <c r="AS170" s="68" t="str">
        <f t="shared" si="13"/>
        <v/>
      </c>
      <c r="AT170" s="74" t="str">
        <f t="shared" si="14"/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>28</v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0" s="69" t="str">
        <f t="shared" si="15"/>
        <v>NA</v>
      </c>
    </row>
    <row r="171" spans="1:49" ht="14.25" customHeight="1" x14ac:dyDescent="0.2">
      <c r="A171" s="64">
        <v>52025020</v>
      </c>
      <c r="B171" s="70" t="s">
        <v>346</v>
      </c>
      <c r="C171" s="70" t="s">
        <v>323</v>
      </c>
      <c r="D171" s="99">
        <v>-76.891666670000006</v>
      </c>
      <c r="E171" s="99">
        <v>1.753333333</v>
      </c>
      <c r="F171" s="64">
        <v>2300</v>
      </c>
      <c r="G171" s="62">
        <v>19</v>
      </c>
      <c r="H171" s="62">
        <v>19100</v>
      </c>
      <c r="I171" s="72" t="s">
        <v>237</v>
      </c>
      <c r="J171" s="72" t="s">
        <v>34</v>
      </c>
      <c r="K171" s="66">
        <v>23.6</v>
      </c>
      <c r="L171" s="66">
        <v>24.6</v>
      </c>
      <c r="M171" s="66">
        <v>21.8</v>
      </c>
      <c r="N171" s="66">
        <v>23.6</v>
      </c>
      <c r="O171" s="66">
        <v>24.6</v>
      </c>
      <c r="P171" s="66">
        <v>25.8</v>
      </c>
      <c r="Q171" s="66">
        <v>26</v>
      </c>
      <c r="R171" s="66">
        <v>26.2</v>
      </c>
      <c r="S171" s="66">
        <v>25.6</v>
      </c>
      <c r="T171" s="66">
        <v>25.4</v>
      </c>
      <c r="U171" s="66">
        <v>23.4</v>
      </c>
      <c r="V171" s="66">
        <v>23.2</v>
      </c>
      <c r="W171" s="66">
        <v>22.6</v>
      </c>
      <c r="X171" s="66">
        <v>24</v>
      </c>
      <c r="Y171" s="66">
        <v>23.6</v>
      </c>
      <c r="Z171" s="66">
        <v>25.4</v>
      </c>
      <c r="AA171" s="66">
        <v>23.6</v>
      </c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17</v>
      </c>
      <c r="AQ171" s="68">
        <f t="shared" si="12"/>
        <v>24.294117647058822</v>
      </c>
      <c r="AR171" s="68">
        <f>IFERROR(VLOOKUP(A171,Climatologia_TMAX!A:U,9+$E$2,FALSE),"")</f>
        <v>21.37397849462366</v>
      </c>
      <c r="AS171" s="68">
        <f t="shared" si="13"/>
        <v>2.9201391524351621</v>
      </c>
      <c r="AT171" s="74">
        <f t="shared" si="14"/>
        <v>26.2</v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26.4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1" s="69">
        <f t="shared" si="15"/>
        <v>-0.19999999999999929</v>
      </c>
    </row>
    <row r="172" spans="1:49" ht="14.25" customHeight="1" x14ac:dyDescent="0.2">
      <c r="A172" s="64">
        <v>47015040</v>
      </c>
      <c r="B172" s="70" t="s">
        <v>347</v>
      </c>
      <c r="C172" s="70" t="s">
        <v>323</v>
      </c>
      <c r="D172" s="99">
        <v>-76.960972220000002</v>
      </c>
      <c r="E172" s="99">
        <v>1.198277778</v>
      </c>
      <c r="F172" s="64">
        <v>2100</v>
      </c>
      <c r="G172" s="62">
        <v>86</v>
      </c>
      <c r="H172" s="62">
        <v>86219</v>
      </c>
      <c r="I172" s="72" t="s">
        <v>324</v>
      </c>
      <c r="J172" s="72" t="s">
        <v>348</v>
      </c>
      <c r="K172" s="66">
        <v>18</v>
      </c>
      <c r="L172" s="66">
        <v>17.399999999999999</v>
      </c>
      <c r="M172" s="66">
        <v>18.5</v>
      </c>
      <c r="N172" s="66">
        <v>17.600000000000001</v>
      </c>
      <c r="O172" s="66">
        <v>18.600000000000001</v>
      </c>
      <c r="P172" s="66">
        <v>18.2</v>
      </c>
      <c r="Q172" s="66">
        <v>18.8</v>
      </c>
      <c r="R172" s="66">
        <v>18.600000000000001</v>
      </c>
      <c r="S172" s="66">
        <v>18.2</v>
      </c>
      <c r="T172" s="66">
        <v>17.399999999999999</v>
      </c>
      <c r="U172" s="66">
        <v>18.600000000000001</v>
      </c>
      <c r="V172" s="66"/>
      <c r="W172" s="66">
        <v>16.600000000000001</v>
      </c>
      <c r="X172" s="66">
        <v>17.8</v>
      </c>
      <c r="Y172" s="66">
        <v>18.600000000000001</v>
      </c>
      <c r="Z172" s="66">
        <v>19.2</v>
      </c>
      <c r="AA172" s="66">
        <v>21.2</v>
      </c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16</v>
      </c>
      <c r="AQ172" s="68">
        <f t="shared" si="12"/>
        <v>18.331249999999997</v>
      </c>
      <c r="AR172" s="68">
        <f>IFERROR(VLOOKUP(A172,Climatologia_TMAX!A:U,9+$E$2,FALSE),"")</f>
        <v>18.960986089776409</v>
      </c>
      <c r="AS172" s="68">
        <f t="shared" si="13"/>
        <v>-0.62973608977641149</v>
      </c>
      <c r="AT172" s="74">
        <f t="shared" si="14"/>
        <v>21.2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25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2" s="69">
        <f t="shared" si="15"/>
        <v>-3.8000000000000007</v>
      </c>
    </row>
    <row r="173" spans="1:49" ht="14.25" customHeight="1" x14ac:dyDescent="0.2">
      <c r="A173" s="64">
        <v>47015080</v>
      </c>
      <c r="B173" s="70" t="s">
        <v>349</v>
      </c>
      <c r="C173" s="70" t="s">
        <v>323</v>
      </c>
      <c r="D173" s="99">
        <v>-77.303611110000006</v>
      </c>
      <c r="E173" s="99">
        <v>0.80491666699999997</v>
      </c>
      <c r="F173" s="64">
        <v>1776</v>
      </c>
      <c r="G173" s="62">
        <v>52</v>
      </c>
      <c r="H173" s="62">
        <v>52573</v>
      </c>
      <c r="I173" s="72" t="s">
        <v>82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19.45048195084485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3" s="69" t="str">
        <f t="shared" si="15"/>
        <v>NA</v>
      </c>
    </row>
    <row r="174" spans="1:49" ht="14.25" customHeight="1" x14ac:dyDescent="0.2">
      <c r="A174" s="64">
        <v>52045010</v>
      </c>
      <c r="B174" s="70" t="s">
        <v>351</v>
      </c>
      <c r="C174" s="70" t="s">
        <v>323</v>
      </c>
      <c r="D174" s="99">
        <v>-77.303083330000007</v>
      </c>
      <c r="E174" s="99">
        <v>1.1982222220000001</v>
      </c>
      <c r="F174" s="64">
        <v>2710</v>
      </c>
      <c r="G174" s="62">
        <v>52</v>
      </c>
      <c r="H174" s="62">
        <v>52001</v>
      </c>
      <c r="I174" s="72" t="s">
        <v>82</v>
      </c>
      <c r="J174" s="72" t="s">
        <v>333</v>
      </c>
      <c r="K174" s="66">
        <v>17.600000000000001</v>
      </c>
      <c r="L174" s="66">
        <v>18.600000000000001</v>
      </c>
      <c r="M174" s="66">
        <v>14.9</v>
      </c>
      <c r="N174" s="66">
        <v>17.8</v>
      </c>
      <c r="O174" s="66">
        <v>18</v>
      </c>
      <c r="P174" s="66">
        <v>16.600000000000001</v>
      </c>
      <c r="Q174" s="66">
        <v>18.8</v>
      </c>
      <c r="R174" s="66">
        <v>20.399999999999999</v>
      </c>
      <c r="S174" s="66">
        <v>20</v>
      </c>
      <c r="T174" s="66">
        <v>16.399999999999999</v>
      </c>
      <c r="U174" s="109">
        <v>18.600000000000001</v>
      </c>
      <c r="V174" s="66">
        <v>14.8</v>
      </c>
      <c r="W174" s="66">
        <v>16.8</v>
      </c>
      <c r="X174" s="66">
        <v>17.2</v>
      </c>
      <c r="Y174" s="66">
        <v>18.399999999999999</v>
      </c>
      <c r="Z174" s="66">
        <v>20.399999999999999</v>
      </c>
      <c r="AA174" s="66">
        <v>18</v>
      </c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17</v>
      </c>
      <c r="AQ174" s="68">
        <f t="shared" si="12"/>
        <v>17.841176470588234</v>
      </c>
      <c r="AR174" s="68">
        <f>IFERROR(VLOOKUP(A174,Climatologia_TMAX!A:U,9+$E$2,FALSE),"")</f>
        <v>16.556385496150121</v>
      </c>
      <c r="AS174" s="68">
        <f t="shared" si="13"/>
        <v>1.2847909744381134</v>
      </c>
      <c r="AT174" s="74">
        <f t="shared" si="14"/>
        <v>20.399999999999999</v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21.4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4" s="69">
        <f t="shared" si="15"/>
        <v>-1</v>
      </c>
    </row>
    <row r="175" spans="1:49" ht="14.25" customHeight="1" x14ac:dyDescent="0.2">
      <c r="A175" s="64">
        <v>52015010</v>
      </c>
      <c r="B175" s="70" t="s">
        <v>352</v>
      </c>
      <c r="C175" s="70" t="s">
        <v>323</v>
      </c>
      <c r="D175" s="99">
        <v>-76.611944440000002</v>
      </c>
      <c r="E175" s="99">
        <v>2.2497222219999999</v>
      </c>
      <c r="F175" s="64">
        <v>2450</v>
      </c>
      <c r="G175" s="62">
        <v>19</v>
      </c>
      <c r="H175" s="62">
        <v>19760</v>
      </c>
      <c r="I175" s="72" t="s">
        <v>237</v>
      </c>
      <c r="J175" s="72" t="s">
        <v>353</v>
      </c>
      <c r="K175" s="66">
        <v>20.6</v>
      </c>
      <c r="L175" s="66">
        <v>21.5</v>
      </c>
      <c r="M175" s="66">
        <v>18.3</v>
      </c>
      <c r="N175" s="66">
        <v>19.8</v>
      </c>
      <c r="O175" s="66">
        <v>21.3</v>
      </c>
      <c r="P175" s="66">
        <v>21.9</v>
      </c>
      <c r="Q175" s="66">
        <v>21.2</v>
      </c>
      <c r="R175" s="66">
        <v>21.7</v>
      </c>
      <c r="S175" s="66">
        <v>20.9</v>
      </c>
      <c r="T175" s="66">
        <v>19.899999999999999</v>
      </c>
      <c r="U175" s="109">
        <v>19.7</v>
      </c>
      <c r="V175" s="109">
        <v>18.399999999999999</v>
      </c>
      <c r="W175" s="66">
        <v>19.5</v>
      </c>
      <c r="X175" s="66">
        <v>20.399999999999999</v>
      </c>
      <c r="Y175" s="66">
        <v>19.600000000000001</v>
      </c>
      <c r="Z175" s="66">
        <v>22.2</v>
      </c>
      <c r="AA175" s="66">
        <v>20.3</v>
      </c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17</v>
      </c>
      <c r="AQ175" s="68">
        <f t="shared" si="12"/>
        <v>20.423529411764704</v>
      </c>
      <c r="AR175" s="68">
        <f>IFERROR(VLOOKUP(A175,Climatologia_TMAX!A:U,9+$E$2,FALSE),"")</f>
        <v>18.845440860215049</v>
      </c>
      <c r="AS175" s="68">
        <f t="shared" si="13"/>
        <v>1.578088551549655</v>
      </c>
      <c r="AT175" s="74">
        <f t="shared" si="14"/>
        <v>22.2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22.5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5" s="69">
        <f t="shared" si="15"/>
        <v>-0.30000000000000071</v>
      </c>
    </row>
    <row r="176" spans="1:49" ht="14.25" customHeight="1" x14ac:dyDescent="0.2">
      <c r="A176" s="64">
        <v>47045010</v>
      </c>
      <c r="B176" s="70" t="s">
        <v>354</v>
      </c>
      <c r="C176" s="70" t="s">
        <v>323</v>
      </c>
      <c r="D176" s="99">
        <v>-74.776277780000001</v>
      </c>
      <c r="E176" s="99">
        <v>-0.18061111099999999</v>
      </c>
      <c r="F176" s="64">
        <v>147</v>
      </c>
      <c r="G176" s="62">
        <v>86</v>
      </c>
      <c r="H176" s="62">
        <v>86573</v>
      </c>
      <c r="I176" s="72" t="s">
        <v>324</v>
      </c>
      <c r="J176" s="72" t="s">
        <v>355</v>
      </c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0</v>
      </c>
      <c r="AQ176" s="68" t="str">
        <f t="shared" si="12"/>
        <v/>
      </c>
      <c r="AR176" s="68">
        <f>IFERROR(VLOOKUP(A176,Climatologia_TMAX!A:U,9+$E$2,FALSE),"")</f>
        <v>29.392088700170181</v>
      </c>
      <c r="AS176" s="68" t="str">
        <f t="shared" si="13"/>
        <v/>
      </c>
      <c r="AT176" s="74" t="str">
        <f t="shared" si="14"/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34.4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6" s="69" t="str">
        <f t="shared" si="15"/>
        <v>NA</v>
      </c>
    </row>
    <row r="177" spans="1:49" ht="14.25" customHeight="1" x14ac:dyDescent="0.2">
      <c r="A177" s="64">
        <v>47035020</v>
      </c>
      <c r="B177" s="70" t="s">
        <v>356</v>
      </c>
      <c r="C177" s="70" t="s">
        <v>323</v>
      </c>
      <c r="D177" s="99">
        <v>-75.851111110000005</v>
      </c>
      <c r="E177" s="99">
        <v>0.132861111</v>
      </c>
      <c r="F177" s="64">
        <v>190</v>
      </c>
      <c r="G177" s="62">
        <v>86</v>
      </c>
      <c r="H177" s="62">
        <v>86573</v>
      </c>
      <c r="I177" s="72" t="s">
        <v>324</v>
      </c>
      <c r="J177" s="72" t="s">
        <v>355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29.35030129788559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7" s="69" t="str">
        <f t="shared" si="15"/>
        <v>NA</v>
      </c>
    </row>
    <row r="178" spans="1:49" ht="14.25" customHeight="1" x14ac:dyDescent="0.2">
      <c r="A178" s="64">
        <v>47015070</v>
      </c>
      <c r="B178" s="70" t="s">
        <v>357</v>
      </c>
      <c r="C178" s="70" t="s">
        <v>323</v>
      </c>
      <c r="D178" s="99">
        <v>-76.570444440000003</v>
      </c>
      <c r="E178" s="99">
        <v>0.83897222199999999</v>
      </c>
      <c r="F178" s="64">
        <v>362</v>
      </c>
      <c r="G178" s="62">
        <v>86</v>
      </c>
      <c r="H178" s="62">
        <v>86885</v>
      </c>
      <c r="I178" s="72" t="s">
        <v>324</v>
      </c>
      <c r="J178" s="72" t="s">
        <v>358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 t="str">
        <f>IFERROR(VLOOKUP(A178,Climatologia_TMAX!A:U,9+$E$2,FALSE),"")</f>
        <v/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8" s="69" t="str">
        <f t="shared" si="15"/>
        <v>NA</v>
      </c>
    </row>
    <row r="179" spans="1:49" ht="14.25" customHeight="1" x14ac:dyDescent="0.2">
      <c r="A179" s="64">
        <v>52045030</v>
      </c>
      <c r="B179" s="70" t="s">
        <v>359</v>
      </c>
      <c r="C179" s="70" t="s">
        <v>323</v>
      </c>
      <c r="D179" s="99">
        <v>-77.032611110000005</v>
      </c>
      <c r="E179" s="99">
        <v>1.5387222220000001</v>
      </c>
      <c r="F179" s="64">
        <v>2190</v>
      </c>
      <c r="G179" s="62">
        <v>52</v>
      </c>
      <c r="H179" s="62">
        <v>52685</v>
      </c>
      <c r="I179" s="72" t="s">
        <v>82</v>
      </c>
      <c r="J179" s="72" t="s">
        <v>359</v>
      </c>
      <c r="K179" s="66"/>
      <c r="L179" s="66">
        <v>25</v>
      </c>
      <c r="M179" s="66"/>
      <c r="N179" s="66">
        <v>23.8</v>
      </c>
      <c r="O179" s="66">
        <v>24.4</v>
      </c>
      <c r="P179" s="66">
        <v>26.4</v>
      </c>
      <c r="Q179" s="66">
        <v>26.6</v>
      </c>
      <c r="R179" s="66">
        <v>24.2</v>
      </c>
      <c r="S179" s="66">
        <v>25.4</v>
      </c>
      <c r="T179" s="66">
        <v>24.2</v>
      </c>
      <c r="U179" s="109">
        <v>23.8</v>
      </c>
      <c r="V179" s="66">
        <v>23.4</v>
      </c>
      <c r="W179" s="66">
        <v>22</v>
      </c>
      <c r="X179" s="66">
        <v>24.8</v>
      </c>
      <c r="Y179" s="66">
        <v>25.4</v>
      </c>
      <c r="Z179" s="66">
        <v>25</v>
      </c>
      <c r="AA179" s="66">
        <v>24.4</v>
      </c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15</v>
      </c>
      <c r="AQ179" s="68">
        <f t="shared" si="12"/>
        <v>24.586666666666662</v>
      </c>
      <c r="AR179" s="68">
        <f>IFERROR(VLOOKUP(A179,Climatologia_TMAX!A:U,9+$E$2,FALSE),"")</f>
        <v>21.704538720271199</v>
      </c>
      <c r="AS179" s="68">
        <f t="shared" si="13"/>
        <v>2.8821279463954639</v>
      </c>
      <c r="AT179" s="74">
        <f t="shared" si="14"/>
        <v>26.6</v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26.6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79" s="69">
        <f t="shared" si="15"/>
        <v>0</v>
      </c>
    </row>
    <row r="180" spans="1:49" ht="14.25" customHeight="1" x14ac:dyDescent="0.2">
      <c r="A180" s="64">
        <v>52055090</v>
      </c>
      <c r="B180" s="70" t="s">
        <v>360</v>
      </c>
      <c r="C180" s="70" t="s">
        <v>323</v>
      </c>
      <c r="D180" s="99">
        <v>-77.389361109999996</v>
      </c>
      <c r="E180" s="99">
        <v>1.107583333</v>
      </c>
      <c r="F180" s="64">
        <v>2800</v>
      </c>
      <c r="G180" s="62">
        <v>52</v>
      </c>
      <c r="H180" s="62">
        <v>52788</v>
      </c>
      <c r="I180" s="72" t="s">
        <v>82</v>
      </c>
      <c r="J180" s="72" t="s">
        <v>361</v>
      </c>
      <c r="K180" s="66">
        <v>18.600000000000001</v>
      </c>
      <c r="L180" s="66">
        <v>19</v>
      </c>
      <c r="M180" s="66">
        <v>17.100000000000001</v>
      </c>
      <c r="N180" s="66">
        <v>18</v>
      </c>
      <c r="O180" s="66">
        <v>19</v>
      </c>
      <c r="P180" s="66">
        <v>19.399999999999999</v>
      </c>
      <c r="Q180" s="66">
        <v>20</v>
      </c>
      <c r="R180" s="66">
        <v>20.6</v>
      </c>
      <c r="S180" s="66">
        <v>20</v>
      </c>
      <c r="T180" s="66">
        <v>18.8</v>
      </c>
      <c r="U180" s="109">
        <v>17.8</v>
      </c>
      <c r="V180" s="66">
        <v>17.899999999999999</v>
      </c>
      <c r="W180" s="66">
        <v>19</v>
      </c>
      <c r="X180" s="66">
        <v>19.399999999999999</v>
      </c>
      <c r="Y180" s="66">
        <v>20.399999999999999</v>
      </c>
      <c r="Z180" s="66">
        <v>19.399999999999999</v>
      </c>
      <c r="AA180" s="66">
        <v>18.100000000000001</v>
      </c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17</v>
      </c>
      <c r="AQ180" s="68">
        <f t="shared" si="12"/>
        <v>18.970588235294116</v>
      </c>
      <c r="AR180" s="68">
        <f>IFERROR(VLOOKUP(A180,Climatologia_TMAX!A:U,9+$E$2,FALSE),"")</f>
        <v>17.347963765614409</v>
      </c>
      <c r="AS180" s="68">
        <f t="shared" si="13"/>
        <v>1.6226244696797067</v>
      </c>
      <c r="AT180" s="74">
        <f t="shared" si="14"/>
        <v>20.6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21.2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0" s="69">
        <f t="shared" si="15"/>
        <v>-0.59999999999999787</v>
      </c>
    </row>
    <row r="181" spans="1:49" ht="14.25" customHeight="1" x14ac:dyDescent="0.2">
      <c r="A181" s="64">
        <v>52045040</v>
      </c>
      <c r="B181" s="70" t="s">
        <v>362</v>
      </c>
      <c r="C181" s="70" t="s">
        <v>323</v>
      </c>
      <c r="D181" s="99">
        <v>-77.267499999999998</v>
      </c>
      <c r="E181" s="99">
        <v>1.5491666669999999</v>
      </c>
      <c r="F181" s="64">
        <v>1875</v>
      </c>
      <c r="G181" s="62">
        <v>52</v>
      </c>
      <c r="H181" s="62">
        <v>52786</v>
      </c>
      <c r="I181" s="72" t="s">
        <v>82</v>
      </c>
      <c r="J181" s="72" t="s">
        <v>362</v>
      </c>
      <c r="K181" s="66">
        <v>26.8</v>
      </c>
      <c r="L181" s="66">
        <v>25.2</v>
      </c>
      <c r="M181" s="66">
        <v>24.6</v>
      </c>
      <c r="N181" s="66">
        <v>25.4</v>
      </c>
      <c r="O181" s="66">
        <v>26.6</v>
      </c>
      <c r="P181" s="66">
        <v>28.2</v>
      </c>
      <c r="Q181" s="66">
        <v>28.8</v>
      </c>
      <c r="R181" s="66">
        <v>25.8</v>
      </c>
      <c r="S181" s="66">
        <v>28.4</v>
      </c>
      <c r="T181" s="66">
        <v>27.6</v>
      </c>
      <c r="U181" s="66">
        <v>26.6</v>
      </c>
      <c r="V181" s="66">
        <v>25</v>
      </c>
      <c r="W181" s="66">
        <v>24.8</v>
      </c>
      <c r="X181" s="66">
        <v>27.2</v>
      </c>
      <c r="Y181" s="66">
        <v>28.6</v>
      </c>
      <c r="Z181" s="66">
        <v>28.4</v>
      </c>
      <c r="AA181" s="66">
        <v>28</v>
      </c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17</v>
      </c>
      <c r="AQ181" s="68">
        <f t="shared" si="12"/>
        <v>26.82352941176471</v>
      </c>
      <c r="AR181" s="68">
        <f>IFERROR(VLOOKUP(A181,Climatologia_TMAX!A:U,9+$E$2,FALSE),"")</f>
        <v>24.30997741990134</v>
      </c>
      <c r="AS181" s="68">
        <f t="shared" si="13"/>
        <v>2.5135519918633698</v>
      </c>
      <c r="AT181" s="74">
        <f t="shared" si="14"/>
        <v>28.8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28.8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1" s="69">
        <f t="shared" si="15"/>
        <v>0</v>
      </c>
    </row>
    <row r="182" spans="1:49" ht="14.25" customHeight="1" x14ac:dyDescent="0.2">
      <c r="A182" s="64">
        <v>52055060</v>
      </c>
      <c r="B182" s="108" t="s">
        <v>363</v>
      </c>
      <c r="C182" s="70" t="s">
        <v>323</v>
      </c>
      <c r="D182" s="99">
        <v>-77.583055560000005</v>
      </c>
      <c r="E182" s="99">
        <v>1.3735555559999999</v>
      </c>
      <c r="F182" s="64">
        <v>1500</v>
      </c>
      <c r="G182" s="62">
        <v>52</v>
      </c>
      <c r="H182" s="62">
        <v>52678</v>
      </c>
      <c r="I182" s="72" t="s">
        <v>82</v>
      </c>
      <c r="J182" s="72" t="s">
        <v>364</v>
      </c>
      <c r="K182" s="66">
        <v>29</v>
      </c>
      <c r="L182" s="66">
        <v>26.8</v>
      </c>
      <c r="M182" s="66">
        <v>26.2</v>
      </c>
      <c r="N182" s="66">
        <v>27.4</v>
      </c>
      <c r="O182" s="66">
        <v>30</v>
      </c>
      <c r="P182" s="66">
        <v>31.6</v>
      </c>
      <c r="Q182" s="66">
        <v>32.4</v>
      </c>
      <c r="R182" s="66">
        <v>28.8</v>
      </c>
      <c r="S182" s="66">
        <v>28</v>
      </c>
      <c r="T182" s="66">
        <v>30.2</v>
      </c>
      <c r="U182" s="66">
        <v>29.4</v>
      </c>
      <c r="V182" s="66">
        <v>28.2</v>
      </c>
      <c r="W182" s="66">
        <v>27</v>
      </c>
      <c r="X182" s="66">
        <v>31.2</v>
      </c>
      <c r="Y182" s="66">
        <v>31.6</v>
      </c>
      <c r="Z182" s="66">
        <v>30</v>
      </c>
      <c r="AA182" s="66">
        <v>30.6</v>
      </c>
      <c r="AB182" s="66"/>
      <c r="AC182" s="109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17</v>
      </c>
      <c r="AQ182" s="68">
        <f t="shared" si="12"/>
        <v>29.317647058823532</v>
      </c>
      <c r="AR182" s="68">
        <f>IFERROR(VLOOKUP(A182,Climatologia_TMAX!A:U,9+$E$2,FALSE),"")</f>
        <v>26.548927953153569</v>
      </c>
      <c r="AS182" s="68">
        <f t="shared" si="13"/>
        <v>2.7687191056699625</v>
      </c>
      <c r="AT182" s="74">
        <f t="shared" si="14"/>
        <v>32.4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31.4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2" s="69">
        <f t="shared" si="15"/>
        <v>1</v>
      </c>
    </row>
    <row r="183" spans="1:49" ht="14.25" customHeight="1" x14ac:dyDescent="0.2">
      <c r="A183" s="64">
        <v>44015030</v>
      </c>
      <c r="B183" s="70" t="s">
        <v>365</v>
      </c>
      <c r="C183" s="70" t="s">
        <v>323</v>
      </c>
      <c r="D183" s="99">
        <v>-76.668750000000003</v>
      </c>
      <c r="E183" s="99">
        <v>1.900416667</v>
      </c>
      <c r="F183" s="64">
        <v>2900</v>
      </c>
      <c r="G183" s="62">
        <v>19</v>
      </c>
      <c r="H183" s="62">
        <v>19693</v>
      </c>
      <c r="I183" s="72" t="s">
        <v>237</v>
      </c>
      <c r="J183" s="72" t="s">
        <v>366</v>
      </c>
      <c r="K183" s="66">
        <v>14.8</v>
      </c>
      <c r="L183" s="66">
        <v>15.8</v>
      </c>
      <c r="M183" s="66">
        <v>13.8</v>
      </c>
      <c r="N183" s="66">
        <v>15.6</v>
      </c>
      <c r="O183" s="66">
        <v>14.6</v>
      </c>
      <c r="P183" s="66">
        <v>17.8</v>
      </c>
      <c r="Q183" s="66">
        <v>17.399999999999999</v>
      </c>
      <c r="R183" s="66">
        <v>17.600000000000001</v>
      </c>
      <c r="S183" s="66">
        <v>13.8</v>
      </c>
      <c r="T183" s="66">
        <v>17.2</v>
      </c>
      <c r="U183" s="109">
        <v>17</v>
      </c>
      <c r="V183" s="66">
        <v>14.6</v>
      </c>
      <c r="W183" s="66">
        <v>15.8</v>
      </c>
      <c r="X183" s="66">
        <v>17.8</v>
      </c>
      <c r="Y183" s="66">
        <v>16.8</v>
      </c>
      <c r="Z183" s="66">
        <v>15.6</v>
      </c>
      <c r="AA183" s="66">
        <v>17.2</v>
      </c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17</v>
      </c>
      <c r="AQ183" s="68">
        <f t="shared" si="12"/>
        <v>16.070588235294121</v>
      </c>
      <c r="AR183" s="68">
        <f>IFERROR(VLOOKUP(A183,Climatologia_TMAX!A:U,9+$E$2,FALSE),"")</f>
        <v>14.413290322580639</v>
      </c>
      <c r="AS183" s="68">
        <f t="shared" si="13"/>
        <v>1.6572979127134815</v>
      </c>
      <c r="AT183" s="74">
        <f t="shared" si="14"/>
        <v>17.8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22.2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3" s="69">
        <f t="shared" si="15"/>
        <v>-4.3999999999999986</v>
      </c>
    </row>
    <row r="184" spans="1:49" ht="14.25" customHeight="1" x14ac:dyDescent="0.2">
      <c r="A184" s="64">
        <v>16055040</v>
      </c>
      <c r="B184" s="70" t="s">
        <v>367</v>
      </c>
      <c r="C184" s="70" t="s">
        <v>368</v>
      </c>
      <c r="D184" s="99">
        <v>-73.223055560000006</v>
      </c>
      <c r="E184" s="99">
        <v>8.0872222219999994</v>
      </c>
      <c r="F184" s="64">
        <v>1430</v>
      </c>
      <c r="G184" s="62">
        <v>54</v>
      </c>
      <c r="H184" s="62">
        <v>54003</v>
      </c>
      <c r="I184" s="72" t="s">
        <v>369</v>
      </c>
      <c r="J184" s="72" t="s">
        <v>370</v>
      </c>
      <c r="K184" s="66">
        <v>31.4</v>
      </c>
      <c r="L184" s="66">
        <v>31.4</v>
      </c>
      <c r="M184" s="66">
        <v>31.2</v>
      </c>
      <c r="N184" s="66">
        <v>30.4</v>
      </c>
      <c r="O184" s="66">
        <v>31.4</v>
      </c>
      <c r="P184" s="66">
        <v>30</v>
      </c>
      <c r="Q184" s="66">
        <v>33.4</v>
      </c>
      <c r="R184" s="66">
        <v>33</v>
      </c>
      <c r="S184" s="66">
        <v>27.2</v>
      </c>
      <c r="T184" s="66">
        <v>28.4</v>
      </c>
      <c r="U184" s="66">
        <v>29</v>
      </c>
      <c r="V184" s="66">
        <v>30.2</v>
      </c>
      <c r="W184" s="66">
        <v>31.6</v>
      </c>
      <c r="X184" s="66">
        <v>30.4</v>
      </c>
      <c r="Y184" s="66">
        <v>30.8</v>
      </c>
      <c r="Z184" s="66">
        <v>30.6</v>
      </c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16</v>
      </c>
      <c r="AQ184" s="68">
        <f t="shared" si="12"/>
        <v>30.650000000000002</v>
      </c>
      <c r="AR184" s="68">
        <f>IFERROR(VLOOKUP(A184,Climatologia_TMAX!A:U,9+$E$2,FALSE),"")</f>
        <v>28.305306586427651</v>
      </c>
      <c r="AS184" s="68">
        <f t="shared" si="13"/>
        <v>2.3446934135723509</v>
      </c>
      <c r="AT184" s="74">
        <f t="shared" si="14"/>
        <v>33.4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32.6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4" s="69">
        <f t="shared" si="15"/>
        <v>0.79999999999999716</v>
      </c>
    </row>
    <row r="185" spans="1:49" ht="14.25" customHeight="1" x14ac:dyDescent="0.2">
      <c r="A185" s="64">
        <v>16055010</v>
      </c>
      <c r="B185" s="70" t="s">
        <v>371</v>
      </c>
      <c r="C185" s="70" t="s">
        <v>368</v>
      </c>
      <c r="D185" s="99">
        <v>-73.357500000000002</v>
      </c>
      <c r="E185" s="99">
        <v>8.3152777780000005</v>
      </c>
      <c r="F185" s="64">
        <v>1435</v>
      </c>
      <c r="G185" s="62">
        <v>54</v>
      </c>
      <c r="H185" s="62">
        <v>54498</v>
      </c>
      <c r="I185" s="72" t="s">
        <v>369</v>
      </c>
      <c r="J185" s="72" t="s">
        <v>372</v>
      </c>
      <c r="K185" s="66">
        <v>31.4</v>
      </c>
      <c r="L185" s="66">
        <v>31.4</v>
      </c>
      <c r="M185" s="66">
        <v>28.8</v>
      </c>
      <c r="N185" s="66">
        <v>28.8</v>
      </c>
      <c r="O185" s="66">
        <v>30.2</v>
      </c>
      <c r="P185" s="66">
        <v>29</v>
      </c>
      <c r="Q185" s="66">
        <v>30.4</v>
      </c>
      <c r="R185" s="66">
        <v>29.8</v>
      </c>
      <c r="S185" s="66">
        <v>25.8</v>
      </c>
      <c r="T185" s="66">
        <v>29.6</v>
      </c>
      <c r="U185" s="66">
        <v>29.6</v>
      </c>
      <c r="V185" s="66">
        <v>29.2</v>
      </c>
      <c r="W185" s="66">
        <v>29</v>
      </c>
      <c r="X185" s="66">
        <v>30</v>
      </c>
      <c r="Y185" s="66">
        <v>31</v>
      </c>
      <c r="Z185" s="66">
        <v>31</v>
      </c>
      <c r="AA185" s="66">
        <v>32.4</v>
      </c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17</v>
      </c>
      <c r="AQ185" s="68">
        <f t="shared" si="12"/>
        <v>29.847058823529412</v>
      </c>
      <c r="AR185" s="68">
        <f>IFERROR(VLOOKUP(A185,Climatologia_TMAX!A:U,9+$E$2,FALSE),"")</f>
        <v>28.17490975422427</v>
      </c>
      <c r="AS185" s="68">
        <f t="shared" si="13"/>
        <v>1.6721490693051422</v>
      </c>
      <c r="AT185" s="74">
        <f t="shared" si="14"/>
        <v>32.4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32.200000000000003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5" s="69">
        <f t="shared" si="15"/>
        <v>0.19999999999999574</v>
      </c>
    </row>
    <row r="186" spans="1:49" ht="14.25" customHeight="1" x14ac:dyDescent="0.2">
      <c r="A186" s="64">
        <v>23125060</v>
      </c>
      <c r="B186" s="70" t="s">
        <v>250</v>
      </c>
      <c r="C186" s="70" t="s">
        <v>368</v>
      </c>
      <c r="D186" s="99">
        <v>-73.91333333</v>
      </c>
      <c r="E186" s="99">
        <v>5.7583333330000004</v>
      </c>
      <c r="F186" s="64">
        <v>1690</v>
      </c>
      <c r="G186" s="62">
        <v>68</v>
      </c>
      <c r="H186" s="62">
        <v>68020</v>
      </c>
      <c r="I186" s="72" t="s">
        <v>49</v>
      </c>
      <c r="J186" s="72" t="s">
        <v>250</v>
      </c>
      <c r="K186" s="66">
        <v>27</v>
      </c>
      <c r="L186" s="66">
        <v>25</v>
      </c>
      <c r="M186" s="66">
        <v>26.2</v>
      </c>
      <c r="N186" s="66">
        <v>24.6</v>
      </c>
      <c r="O186" s="66">
        <v>25.2</v>
      </c>
      <c r="P186" s="66">
        <v>26.8</v>
      </c>
      <c r="Q186" s="66">
        <v>29</v>
      </c>
      <c r="R186" s="66">
        <v>28.2</v>
      </c>
      <c r="S186" s="66">
        <v>22.6</v>
      </c>
      <c r="T186" s="66">
        <v>26.4</v>
      </c>
      <c r="U186" s="66">
        <v>26.2</v>
      </c>
      <c r="V186" s="66">
        <v>25</v>
      </c>
      <c r="W186" s="66">
        <v>26.8</v>
      </c>
      <c r="X186" s="66">
        <v>26.8</v>
      </c>
      <c r="Y186" s="66">
        <v>26.6</v>
      </c>
      <c r="Z186" s="66">
        <v>28</v>
      </c>
      <c r="AA186" s="66">
        <v>28.4</v>
      </c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17</v>
      </c>
      <c r="AQ186" s="68">
        <f t="shared" si="12"/>
        <v>26.400000000000002</v>
      </c>
      <c r="AR186" s="68" t="str">
        <f>IFERROR(VLOOKUP(A186,Climatologia_TMAX!A:U,9+$E$2,FALSE),"")</f>
        <v/>
      </c>
      <c r="AS186" s="68" t="str">
        <f t="shared" si="13"/>
        <v/>
      </c>
      <c r="AT186" s="74">
        <f t="shared" si="14"/>
        <v>29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29.2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6" s="69">
        <f t="shared" si="15"/>
        <v>-0.19999999999999929</v>
      </c>
    </row>
    <row r="187" spans="1:49" ht="14.25" customHeight="1" x14ac:dyDescent="0.2">
      <c r="A187" s="64">
        <v>37015020</v>
      </c>
      <c r="B187" s="108" t="s">
        <v>373</v>
      </c>
      <c r="C187" s="70" t="s">
        <v>368</v>
      </c>
      <c r="D187" s="101">
        <v>-72.868611110000003</v>
      </c>
      <c r="E187" s="101">
        <v>7.1869444439999999</v>
      </c>
      <c r="F187" s="64">
        <v>3214</v>
      </c>
      <c r="G187" s="62">
        <v>68</v>
      </c>
      <c r="H187" s="62">
        <v>68820</v>
      </c>
      <c r="I187" s="72" t="s">
        <v>49</v>
      </c>
      <c r="J187" s="72" t="s">
        <v>374</v>
      </c>
      <c r="K187" s="66">
        <v>13.2</v>
      </c>
      <c r="L187" s="66">
        <v>10.8</v>
      </c>
      <c r="M187" s="66">
        <v>12.2</v>
      </c>
      <c r="N187" s="66">
        <v>9.8000000000000007</v>
      </c>
      <c r="O187" s="66">
        <v>11.8</v>
      </c>
      <c r="P187" s="66">
        <v>14.4</v>
      </c>
      <c r="Q187" s="66">
        <v>13.6</v>
      </c>
      <c r="R187" s="66">
        <v>14.4</v>
      </c>
      <c r="S187" s="66">
        <v>10.4</v>
      </c>
      <c r="T187" s="66">
        <v>10.199999999999999</v>
      </c>
      <c r="U187" s="66">
        <v>10.199999999999999</v>
      </c>
      <c r="V187" s="66">
        <v>10.4</v>
      </c>
      <c r="W187" s="66">
        <v>10.4</v>
      </c>
      <c r="X187" s="66">
        <v>12</v>
      </c>
      <c r="Y187" s="66">
        <v>12.2</v>
      </c>
      <c r="Z187" s="66">
        <v>12.6</v>
      </c>
      <c r="AA187" s="66">
        <v>14</v>
      </c>
      <c r="AB187" s="66"/>
      <c r="AC187" s="109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17</v>
      </c>
      <c r="AQ187" s="68">
        <f t="shared" si="12"/>
        <v>11.91764705882353</v>
      </c>
      <c r="AR187" s="68">
        <f>IFERROR(VLOOKUP(A187,Climatologia_TMAX!A:U,9+$E$2,FALSE),"")</f>
        <v>12.467666540959829</v>
      </c>
      <c r="AS187" s="68">
        <f t="shared" si="13"/>
        <v>-0.55001948213629959</v>
      </c>
      <c r="AT187" s="74">
        <f t="shared" si="14"/>
        <v>14.4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16.8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-2.4000000000000004</v>
      </c>
    </row>
    <row r="188" spans="1:49" ht="14.25" customHeight="1" x14ac:dyDescent="0.2">
      <c r="A188" s="64">
        <v>23125040</v>
      </c>
      <c r="B188" s="70" t="s">
        <v>375</v>
      </c>
      <c r="C188" s="70" t="s">
        <v>368</v>
      </c>
      <c r="D188" s="99">
        <v>-73.920555559999997</v>
      </c>
      <c r="E188" s="99">
        <v>6.6161111110000004</v>
      </c>
      <c r="F188" s="64">
        <v>180</v>
      </c>
      <c r="G188" s="62">
        <v>68</v>
      </c>
      <c r="H188" s="62">
        <v>68573</v>
      </c>
      <c r="I188" s="72" t="s">
        <v>49</v>
      </c>
      <c r="J188" s="72" t="s">
        <v>376</v>
      </c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0</v>
      </c>
      <c r="AQ188" s="68" t="str">
        <f t="shared" si="12"/>
        <v/>
      </c>
      <c r="AR188" s="68" t="str">
        <f>IFERROR(VLOOKUP(A188,Climatologia_TMAX!A:U,9+$E$2,FALSE),"")</f>
        <v/>
      </c>
      <c r="AS188" s="68" t="str">
        <f t="shared" si="13"/>
        <v/>
      </c>
      <c r="AT188" s="74" t="str">
        <f t="shared" si="14"/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38.200000000000003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8" s="69" t="str">
        <f t="shared" si="15"/>
        <v>NA</v>
      </c>
    </row>
    <row r="189" spans="1:49" ht="14.25" customHeight="1" x14ac:dyDescent="0.2">
      <c r="A189" s="64">
        <v>23125050</v>
      </c>
      <c r="B189" s="70" t="s">
        <v>377</v>
      </c>
      <c r="C189" s="70" t="s">
        <v>368</v>
      </c>
      <c r="D189" s="99">
        <v>-74.061388890000003</v>
      </c>
      <c r="E189" s="99">
        <v>6.6494444440000002</v>
      </c>
      <c r="F189" s="64">
        <v>168</v>
      </c>
      <c r="G189" s="62">
        <v>68</v>
      </c>
      <c r="H189" s="62">
        <v>68573</v>
      </c>
      <c r="I189" s="72" t="s">
        <v>49</v>
      </c>
      <c r="J189" s="72" t="s">
        <v>376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37.6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89" s="69" t="str">
        <f t="shared" si="15"/>
        <v>NA</v>
      </c>
    </row>
    <row r="190" spans="1:49" ht="14.25" customHeight="1" x14ac:dyDescent="0.2">
      <c r="A190" s="64">
        <v>16025010</v>
      </c>
      <c r="B190" s="70" t="s">
        <v>378</v>
      </c>
      <c r="C190" s="70" t="s">
        <v>368</v>
      </c>
      <c r="D190" s="99">
        <v>-72.566111109999994</v>
      </c>
      <c r="E190" s="99">
        <v>7.8488888890000004</v>
      </c>
      <c r="F190" s="64">
        <v>285</v>
      </c>
      <c r="G190" s="62">
        <v>54</v>
      </c>
      <c r="H190" s="62">
        <v>54001</v>
      </c>
      <c r="I190" s="72" t="s">
        <v>369</v>
      </c>
      <c r="J190" s="72" t="s">
        <v>379</v>
      </c>
      <c r="K190" s="66">
        <v>36</v>
      </c>
      <c r="L190" s="66">
        <v>32.799999999999997</v>
      </c>
      <c r="M190" s="66">
        <v>34</v>
      </c>
      <c r="N190" s="66">
        <v>31.2</v>
      </c>
      <c r="O190" s="66">
        <v>38</v>
      </c>
      <c r="P190" s="66">
        <v>36</v>
      </c>
      <c r="Q190" s="66">
        <v>36.200000000000003</v>
      </c>
      <c r="R190" s="66">
        <v>37.200000000000003</v>
      </c>
      <c r="S190" s="66">
        <v>31.6</v>
      </c>
      <c r="T190" s="66">
        <v>35.4</v>
      </c>
      <c r="U190" s="66">
        <v>36.4</v>
      </c>
      <c r="V190" s="66">
        <v>32.6</v>
      </c>
      <c r="W190" s="66">
        <v>37</v>
      </c>
      <c r="X190" s="66">
        <v>34</v>
      </c>
      <c r="Y190" s="66">
        <v>36</v>
      </c>
      <c r="Z190" s="66">
        <v>35.799999999999997</v>
      </c>
      <c r="AA190" s="66">
        <v>36.799999999999997</v>
      </c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17</v>
      </c>
      <c r="AQ190" s="68">
        <f t="shared" si="12"/>
        <v>35.117647058823522</v>
      </c>
      <c r="AR190" s="68">
        <f>IFERROR(VLOOKUP(A190,Climatologia_TMAX!A:U,9+$E$2,FALSE),"")</f>
        <v>33.566923401480572</v>
      </c>
      <c r="AS190" s="68">
        <f t="shared" si="13"/>
        <v>1.5507236573429495</v>
      </c>
      <c r="AT190" s="74">
        <f t="shared" si="14"/>
        <v>38</v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39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0" s="69">
        <f t="shared" si="15"/>
        <v>-1</v>
      </c>
    </row>
    <row r="191" spans="1:49" ht="14.25" customHeight="1" x14ac:dyDescent="0.2">
      <c r="A191" s="64">
        <v>24015260</v>
      </c>
      <c r="B191" s="70" t="s">
        <v>133</v>
      </c>
      <c r="C191" s="70" t="s">
        <v>368</v>
      </c>
      <c r="D191" s="101">
        <v>-73.368333329999999</v>
      </c>
      <c r="E191" s="101">
        <v>6.3550000000000004</v>
      </c>
      <c r="F191" s="64">
        <v>190</v>
      </c>
      <c r="G191" s="62">
        <v>68</v>
      </c>
      <c r="H191" s="62">
        <v>68176</v>
      </c>
      <c r="I191" s="72" t="s">
        <v>49</v>
      </c>
      <c r="J191" s="72" t="s">
        <v>133</v>
      </c>
      <c r="K191" s="66">
        <v>32.6</v>
      </c>
      <c r="L191" s="66">
        <v>31</v>
      </c>
      <c r="M191" s="66">
        <v>30.6</v>
      </c>
      <c r="N191" s="66">
        <v>28.6</v>
      </c>
      <c r="O191" s="66">
        <v>32.799999999999997</v>
      </c>
      <c r="P191" s="66">
        <v>32.4</v>
      </c>
      <c r="Q191" s="66">
        <v>34.200000000000003</v>
      </c>
      <c r="R191" s="66">
        <v>33</v>
      </c>
      <c r="S191" s="66">
        <v>27</v>
      </c>
      <c r="T191" s="66">
        <v>30.4</v>
      </c>
      <c r="U191" s="66">
        <v>29.8</v>
      </c>
      <c r="V191" s="66">
        <v>28.8</v>
      </c>
      <c r="W191" s="66">
        <v>31.2</v>
      </c>
      <c r="X191" s="66">
        <v>32.4</v>
      </c>
      <c r="Y191" s="66">
        <v>32.6</v>
      </c>
      <c r="Z191" s="66">
        <v>32</v>
      </c>
      <c r="AA191" s="66">
        <v>33</v>
      </c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17</v>
      </c>
      <c r="AQ191" s="68">
        <f t="shared" si="12"/>
        <v>31.317647058823535</v>
      </c>
      <c r="AR191" s="68">
        <f>IFERROR(VLOOKUP(A191,Climatologia_TMAX!A:U,9+$E$2,FALSE),"")</f>
        <v>30.282678784775559</v>
      </c>
      <c r="AS191" s="68">
        <f t="shared" si="13"/>
        <v>1.0349682740479764</v>
      </c>
      <c r="AT191" s="74">
        <f t="shared" si="14"/>
        <v>34.200000000000003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34.200000000000003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1" s="69">
        <f t="shared" si="15"/>
        <v>0</v>
      </c>
    </row>
    <row r="192" spans="1:49" ht="14.25" customHeight="1" x14ac:dyDescent="0.2">
      <c r="A192" s="64">
        <v>23125120</v>
      </c>
      <c r="B192" s="70" t="s">
        <v>380</v>
      </c>
      <c r="C192" s="70" t="s">
        <v>368</v>
      </c>
      <c r="D192" s="99">
        <v>-73.952222219999996</v>
      </c>
      <c r="E192" s="99">
        <v>6.3086111110000003</v>
      </c>
      <c r="F192" s="64">
        <v>198</v>
      </c>
      <c r="G192" s="62">
        <v>68</v>
      </c>
      <c r="H192" s="62">
        <v>68190</v>
      </c>
      <c r="I192" s="72" t="s">
        <v>49</v>
      </c>
      <c r="J192" s="72" t="s">
        <v>380</v>
      </c>
      <c r="K192" s="66">
        <v>34.6</v>
      </c>
      <c r="L192" s="66">
        <v>31.8</v>
      </c>
      <c r="M192" s="66">
        <v>34.4</v>
      </c>
      <c r="N192" s="66">
        <v>30.2</v>
      </c>
      <c r="O192" s="66">
        <v>33.4</v>
      </c>
      <c r="P192" s="66">
        <v>35</v>
      </c>
      <c r="Q192" s="66">
        <v>36.4</v>
      </c>
      <c r="R192" s="66">
        <v>35.6</v>
      </c>
      <c r="S192" s="66">
        <v>28.6</v>
      </c>
      <c r="T192" s="66">
        <v>34.4</v>
      </c>
      <c r="U192" s="66">
        <v>35.799999999999997</v>
      </c>
      <c r="V192" s="66">
        <v>33.4</v>
      </c>
      <c r="W192" s="66">
        <v>34</v>
      </c>
      <c r="X192" s="66">
        <v>35.799999999999997</v>
      </c>
      <c r="Y192" s="66">
        <v>36.4</v>
      </c>
      <c r="Z192" s="66">
        <v>37.200000000000003</v>
      </c>
      <c r="AA192" s="66">
        <v>38</v>
      </c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17</v>
      </c>
      <c r="AQ192" s="68">
        <f t="shared" si="12"/>
        <v>34.411764705882355</v>
      </c>
      <c r="AR192" s="68">
        <f>IFERROR(VLOOKUP(A192,Climatologia_TMAX!A:U,9+$E$2,FALSE),"")</f>
        <v>32.385684601765163</v>
      </c>
      <c r="AS192" s="68">
        <f t="shared" si="13"/>
        <v>2.0260801041171916</v>
      </c>
      <c r="AT192" s="74">
        <f t="shared" si="14"/>
        <v>38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37.799999999999997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2" s="69">
        <f t="shared" si="15"/>
        <v>0.20000000000000284</v>
      </c>
    </row>
    <row r="193" spans="1:49" ht="14.25" customHeight="1" x14ac:dyDescent="0.2">
      <c r="A193" s="64">
        <v>16025040</v>
      </c>
      <c r="B193" s="70" t="s">
        <v>381</v>
      </c>
      <c r="C193" s="70" t="s">
        <v>368</v>
      </c>
      <c r="D193" s="99">
        <v>-72.47878</v>
      </c>
      <c r="E193" s="99">
        <v>8.1672799999999999</v>
      </c>
      <c r="F193" s="64">
        <v>96</v>
      </c>
      <c r="G193" s="62">
        <v>54</v>
      </c>
      <c r="H193" s="62">
        <v>54001</v>
      </c>
      <c r="I193" s="72" t="s">
        <v>369</v>
      </c>
      <c r="J193" s="72" t="s">
        <v>379</v>
      </c>
      <c r="K193" s="66">
        <v>35.6</v>
      </c>
      <c r="L193" s="66">
        <v>36</v>
      </c>
      <c r="M193" s="66">
        <v>33.200000000000003</v>
      </c>
      <c r="N193" s="66">
        <v>34</v>
      </c>
      <c r="O193" s="66">
        <v>36.200000000000003</v>
      </c>
      <c r="P193" s="66">
        <v>35.200000000000003</v>
      </c>
      <c r="Q193" s="66">
        <v>36.4</v>
      </c>
      <c r="R193" s="66">
        <v>37</v>
      </c>
      <c r="S193" s="66">
        <v>31</v>
      </c>
      <c r="T193" s="66">
        <v>34.4</v>
      </c>
      <c r="U193" s="66">
        <v>33</v>
      </c>
      <c r="V193" s="66">
        <v>35</v>
      </c>
      <c r="W193" s="66">
        <v>35.4</v>
      </c>
      <c r="X193" s="66">
        <v>37.200000000000003</v>
      </c>
      <c r="Y193" s="66">
        <v>36</v>
      </c>
      <c r="Z193" s="66">
        <v>36.4</v>
      </c>
      <c r="AA193" s="66">
        <v>37</v>
      </c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17</v>
      </c>
      <c r="AQ193" s="68">
        <f t="shared" si="12"/>
        <v>35.235294117647051</v>
      </c>
      <c r="AR193" s="68">
        <f>IFERROR(VLOOKUP(A193,Climatologia_TMAX!A:U,9+$E$2,FALSE),"")</f>
        <v>33.2712702861986</v>
      </c>
      <c r="AS193" s="68">
        <f t="shared" si="13"/>
        <v>1.9640238314484506</v>
      </c>
      <c r="AT193" s="74">
        <f t="shared" si="14"/>
        <v>37.200000000000003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38.6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3" s="69">
        <f t="shared" si="15"/>
        <v>-1.3999999999999986</v>
      </c>
    </row>
    <row r="194" spans="1:49" ht="14.25" customHeight="1" x14ac:dyDescent="0.2">
      <c r="A194" s="64">
        <v>23205020</v>
      </c>
      <c r="B194" s="70" t="s">
        <v>382</v>
      </c>
      <c r="C194" s="70" t="s">
        <v>368</v>
      </c>
      <c r="D194" s="99">
        <v>-73.925555560000006</v>
      </c>
      <c r="E194" s="99">
        <v>7.4749999999999996</v>
      </c>
      <c r="F194" s="64">
        <v>165</v>
      </c>
      <c r="G194" s="62">
        <v>13</v>
      </c>
      <c r="H194" s="62">
        <v>13670</v>
      </c>
      <c r="I194" s="72" t="s">
        <v>34</v>
      </c>
      <c r="J194" s="72" t="s">
        <v>173</v>
      </c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0</v>
      </c>
      <c r="AQ194" s="68" t="str">
        <f t="shared" si="12"/>
        <v/>
      </c>
      <c r="AR194" s="68">
        <f>IFERROR(VLOOKUP(A194,Climatologia_TMAX!A:U,9+$E$2,FALSE),"")</f>
        <v>33.173392682277559</v>
      </c>
      <c r="AS194" s="68" t="str">
        <f t="shared" si="13"/>
        <v/>
      </c>
      <c r="AT194" s="74" t="str">
        <f t="shared" si="14"/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37.200000000000003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4" s="69" t="str">
        <f t="shared" si="15"/>
        <v>NA</v>
      </c>
    </row>
    <row r="195" spans="1:49" ht="14.25" customHeight="1" x14ac:dyDescent="0.2">
      <c r="A195" s="64">
        <v>23145020</v>
      </c>
      <c r="B195" s="70" t="s">
        <v>383</v>
      </c>
      <c r="C195" s="70" t="s">
        <v>368</v>
      </c>
      <c r="D195" s="99">
        <v>-73.510000000000005</v>
      </c>
      <c r="E195" s="99">
        <v>6.6963888889999996</v>
      </c>
      <c r="F195" s="64">
        <v>805</v>
      </c>
      <c r="G195" s="62">
        <v>68</v>
      </c>
      <c r="H195" s="62">
        <v>68235</v>
      </c>
      <c r="I195" s="72" t="s">
        <v>49</v>
      </c>
      <c r="J195" s="72" t="s">
        <v>384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28.4180188276693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33.200000000000003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5" s="69" t="str">
        <f t="shared" si="15"/>
        <v>NA</v>
      </c>
    </row>
    <row r="196" spans="1:49" ht="14.25" customHeight="1" x14ac:dyDescent="0.2">
      <c r="A196" s="64">
        <v>23155040</v>
      </c>
      <c r="B196" s="70" t="s">
        <v>385</v>
      </c>
      <c r="C196" s="70" t="s">
        <v>368</v>
      </c>
      <c r="D196" s="99">
        <v>-73.765083329999996</v>
      </c>
      <c r="E196" s="99">
        <v>6.8595555560000001</v>
      </c>
      <c r="F196" s="64">
        <v>114</v>
      </c>
      <c r="G196" s="62">
        <v>68</v>
      </c>
      <c r="H196" s="62">
        <v>68081</v>
      </c>
      <c r="I196" s="72" t="s">
        <v>49</v>
      </c>
      <c r="J196" s="72" t="s">
        <v>50</v>
      </c>
      <c r="K196" s="66">
        <v>34.799999999999997</v>
      </c>
      <c r="L196" s="66">
        <v>32.6</v>
      </c>
      <c r="M196" s="66">
        <v>35.6</v>
      </c>
      <c r="N196" s="66">
        <v>32.200000000000003</v>
      </c>
      <c r="O196" s="66">
        <v>35.6</v>
      </c>
      <c r="P196" s="66">
        <v>36.799999999999997</v>
      </c>
      <c r="Q196" s="66">
        <v>36.799999999999997</v>
      </c>
      <c r="R196" s="66">
        <v>37.799999999999997</v>
      </c>
      <c r="S196" s="66">
        <v>32.4</v>
      </c>
      <c r="T196" s="66">
        <v>34.200000000000003</v>
      </c>
      <c r="U196" s="66">
        <v>36.799999999999997</v>
      </c>
      <c r="V196" s="66">
        <v>33.4</v>
      </c>
      <c r="W196" s="66">
        <v>34.799999999999997</v>
      </c>
      <c r="X196" s="66">
        <v>35.200000000000003</v>
      </c>
      <c r="Y196" s="66">
        <v>37.4</v>
      </c>
      <c r="Z196" s="66">
        <v>37.799999999999997</v>
      </c>
      <c r="AA196" s="66">
        <v>38</v>
      </c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17</v>
      </c>
      <c r="AQ196" s="68">
        <f t="shared" si="12"/>
        <v>35.423529411764704</v>
      </c>
      <c r="AR196" s="68">
        <f>IFERROR(VLOOKUP(A196,Climatologia_TMAX!A:U,9+$E$2,FALSE),"")</f>
        <v>33.366042996244893</v>
      </c>
      <c r="AS196" s="68">
        <f t="shared" si="13"/>
        <v>2.0574864155198114</v>
      </c>
      <c r="AT196" s="74">
        <f t="shared" si="14"/>
        <v>38</v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37.799999999999997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6" s="69">
        <f t="shared" si="15"/>
        <v>0.20000000000000284</v>
      </c>
    </row>
    <row r="197" spans="1:49" ht="14.25" customHeight="1" x14ac:dyDescent="0.2">
      <c r="A197" s="64">
        <v>24025020</v>
      </c>
      <c r="B197" s="70" t="s">
        <v>386</v>
      </c>
      <c r="C197" s="70" t="s">
        <v>368</v>
      </c>
      <c r="D197" s="101">
        <v>-73.199166669999997</v>
      </c>
      <c r="E197" s="101">
        <v>6.5322222219999997</v>
      </c>
      <c r="F197" s="64">
        <v>975</v>
      </c>
      <c r="G197" s="62">
        <v>68</v>
      </c>
      <c r="H197" s="62">
        <v>68549</v>
      </c>
      <c r="I197" s="72" t="s">
        <v>49</v>
      </c>
      <c r="J197" s="72" t="s">
        <v>387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31.20389136077123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24055040</v>
      </c>
      <c r="B198" s="70" t="s">
        <v>388</v>
      </c>
      <c r="C198" s="70" t="s">
        <v>368</v>
      </c>
      <c r="D198" s="101">
        <v>-73.292000000000002</v>
      </c>
      <c r="E198" s="101">
        <v>6.5497222219999998</v>
      </c>
      <c r="F198" s="64">
        <v>940</v>
      </c>
      <c r="G198" s="62">
        <v>68</v>
      </c>
      <c r="H198" s="62">
        <v>68522</v>
      </c>
      <c r="I198" s="72" t="s">
        <v>49</v>
      </c>
      <c r="J198" s="72" t="s">
        <v>389</v>
      </c>
      <c r="K198" s="66">
        <v>36.4</v>
      </c>
      <c r="L198" s="66">
        <v>34.6</v>
      </c>
      <c r="M198" s="66">
        <v>34.6</v>
      </c>
      <c r="N198" s="66">
        <v>29</v>
      </c>
      <c r="O198" s="66">
        <v>35.200000000000003</v>
      </c>
      <c r="P198" s="66">
        <v>35.6</v>
      </c>
      <c r="Q198" s="66">
        <v>37</v>
      </c>
      <c r="R198" s="66">
        <v>37.4</v>
      </c>
      <c r="S198" s="66">
        <v>30</v>
      </c>
      <c r="T198" s="66">
        <v>35</v>
      </c>
      <c r="U198" s="66">
        <v>36</v>
      </c>
      <c r="V198" s="66">
        <v>35</v>
      </c>
      <c r="W198" s="66">
        <v>35.6</v>
      </c>
      <c r="X198" s="66">
        <v>37.200000000000003</v>
      </c>
      <c r="Y198" s="66">
        <v>37</v>
      </c>
      <c r="Z198" s="66">
        <v>37.6</v>
      </c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16</v>
      </c>
      <c r="AQ198" s="68">
        <f t="shared" si="17"/>
        <v>35.200000000000003</v>
      </c>
      <c r="AR198" s="68">
        <f>IFERROR(VLOOKUP(A198,Climatologia_TMAX!A:U,9+$E$2,FALSE),"")</f>
        <v>32.247721945302388</v>
      </c>
      <c r="AS198" s="68">
        <f t="shared" si="18"/>
        <v>2.9522780546976151</v>
      </c>
      <c r="AT198" s="74">
        <f t="shared" si="19"/>
        <v>37.6</v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37.6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8" s="69">
        <f t="shared" si="20"/>
        <v>0</v>
      </c>
    </row>
    <row r="199" spans="1:49" ht="14.25" customHeight="1" x14ac:dyDescent="0.2">
      <c r="A199" s="64">
        <v>24035400</v>
      </c>
      <c r="B199" s="70" t="s">
        <v>390</v>
      </c>
      <c r="C199" s="70" t="s">
        <v>368</v>
      </c>
      <c r="D199" s="101">
        <v>-72.67777778</v>
      </c>
      <c r="E199" s="101">
        <v>6.8452777779999998</v>
      </c>
      <c r="F199" s="64">
        <v>2841</v>
      </c>
      <c r="G199" s="62">
        <v>68</v>
      </c>
      <c r="H199" s="62">
        <v>68162</v>
      </c>
      <c r="I199" s="72" t="s">
        <v>49</v>
      </c>
      <c r="J199" s="72" t="s">
        <v>391</v>
      </c>
      <c r="K199" s="66">
        <v>20.2</v>
      </c>
      <c r="L199" s="66">
        <v>16</v>
      </c>
      <c r="M199" s="66">
        <v>17.8</v>
      </c>
      <c r="N199" s="66">
        <v>17.600000000000001</v>
      </c>
      <c r="O199" s="66">
        <v>18.2</v>
      </c>
      <c r="P199" s="66">
        <v>21</v>
      </c>
      <c r="Q199" s="66">
        <v>20</v>
      </c>
      <c r="R199" s="66">
        <v>20</v>
      </c>
      <c r="S199" s="66">
        <v>18.2</v>
      </c>
      <c r="T199" s="66">
        <v>18.2</v>
      </c>
      <c r="U199" s="66">
        <v>17.600000000000001</v>
      </c>
      <c r="V199" s="66">
        <v>18</v>
      </c>
      <c r="W199" s="66">
        <v>18.399999999999999</v>
      </c>
      <c r="X199" s="66">
        <v>18.8</v>
      </c>
      <c r="Y199" s="66">
        <v>19.2</v>
      </c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15</v>
      </c>
      <c r="AQ199" s="68">
        <f t="shared" si="17"/>
        <v>18.613333333333333</v>
      </c>
      <c r="AR199" s="68">
        <f>IFERROR(VLOOKUP(A199,Climatologia_TMAX!A:U,9+$E$2,FALSE),"")</f>
        <v>17.595698924731181</v>
      </c>
      <c r="AS199" s="68">
        <f t="shared" si="18"/>
        <v>1.0176344086021523</v>
      </c>
      <c r="AT199" s="74">
        <f t="shared" si="19"/>
        <v>21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21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99" s="69">
        <f t="shared" si="20"/>
        <v>0</v>
      </c>
    </row>
    <row r="200" spans="1:49" ht="14.25" customHeight="1" x14ac:dyDescent="0.2">
      <c r="A200" s="64">
        <v>23195180</v>
      </c>
      <c r="B200" s="70" t="s">
        <v>392</v>
      </c>
      <c r="C200" s="70" t="s">
        <v>368</v>
      </c>
      <c r="D200" s="99">
        <v>-73.051666670000003</v>
      </c>
      <c r="E200" s="99">
        <v>7.7352777780000004</v>
      </c>
      <c r="F200" s="64">
        <v>1882</v>
      </c>
      <c r="G200" s="62">
        <v>54</v>
      </c>
      <c r="H200" s="62">
        <v>54128</v>
      </c>
      <c r="I200" s="72" t="s">
        <v>369</v>
      </c>
      <c r="J200" s="72" t="s">
        <v>393</v>
      </c>
      <c r="K200" s="66"/>
      <c r="L200" s="66">
        <v>25.2</v>
      </c>
      <c r="M200" s="66">
        <v>23.2</v>
      </c>
      <c r="N200" s="66">
        <v>19.8</v>
      </c>
      <c r="O200" s="66">
        <v>22.2</v>
      </c>
      <c r="P200" s="66">
        <v>23.6</v>
      </c>
      <c r="Q200" s="66">
        <v>26</v>
      </c>
      <c r="R200" s="66"/>
      <c r="S200" s="66">
        <v>20.2</v>
      </c>
      <c r="T200" s="66"/>
      <c r="U200" s="66">
        <v>20.6</v>
      </c>
      <c r="V200" s="66">
        <v>21.2</v>
      </c>
      <c r="W200" s="66">
        <v>24.6</v>
      </c>
      <c r="X200" s="66">
        <v>25.5</v>
      </c>
      <c r="Y200" s="66">
        <v>24.8</v>
      </c>
      <c r="Z200" s="66">
        <v>25.4</v>
      </c>
      <c r="AA200" s="66">
        <v>25</v>
      </c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14</v>
      </c>
      <c r="AQ200" s="68" t="str">
        <f t="shared" si="17"/>
        <v/>
      </c>
      <c r="AR200" s="68">
        <f>IFERROR(VLOOKUP(A200,Climatologia_TMAX!A:U,9+$E$2,FALSE),"")</f>
        <v>22.545313159242191</v>
      </c>
      <c r="AS200" s="68" t="str">
        <f t="shared" si="18"/>
        <v/>
      </c>
      <c r="AT200" s="74">
        <f t="shared" si="19"/>
        <v>26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27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0" s="69">
        <f t="shared" si="20"/>
        <v>-1</v>
      </c>
    </row>
    <row r="201" spans="1:49" ht="14.25" customHeight="1" x14ac:dyDescent="0.2">
      <c r="A201" s="64">
        <v>24025040</v>
      </c>
      <c r="B201" s="70" t="s">
        <v>394</v>
      </c>
      <c r="C201" s="70" t="s">
        <v>368</v>
      </c>
      <c r="D201" s="101">
        <v>-72.968888890000002</v>
      </c>
      <c r="E201" s="101">
        <v>6.47</v>
      </c>
      <c r="F201" s="64">
        <v>1673</v>
      </c>
      <c r="G201" s="62">
        <v>68</v>
      </c>
      <c r="H201" s="62">
        <v>68464</v>
      </c>
      <c r="I201" s="72" t="s">
        <v>49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25.607592417044291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32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1" s="69" t="str">
        <f t="shared" si="20"/>
        <v>NA</v>
      </c>
    </row>
    <row r="202" spans="1:49" ht="14.25" customHeight="1" x14ac:dyDescent="0.2">
      <c r="A202" s="64">
        <v>16015020</v>
      </c>
      <c r="B202" s="70" t="s">
        <v>396</v>
      </c>
      <c r="C202" s="70" t="s">
        <v>368</v>
      </c>
      <c r="D202" s="99">
        <v>-72.644999999999996</v>
      </c>
      <c r="E202" s="99">
        <v>7.3731111110000001</v>
      </c>
      <c r="F202" s="64">
        <v>2340</v>
      </c>
      <c r="G202" s="62">
        <v>54</v>
      </c>
      <c r="H202" s="62">
        <v>54518</v>
      </c>
      <c r="I202" s="72" t="s">
        <v>369</v>
      </c>
      <c r="J202" s="72" t="s">
        <v>397</v>
      </c>
      <c r="K202" s="66">
        <v>20</v>
      </c>
      <c r="L202" s="66">
        <v>18</v>
      </c>
      <c r="M202" s="66">
        <v>19</v>
      </c>
      <c r="N202" s="66">
        <v>19.2</v>
      </c>
      <c r="O202" s="66">
        <v>20</v>
      </c>
      <c r="P202" s="66">
        <v>20.6</v>
      </c>
      <c r="Q202" s="66">
        <v>21.8</v>
      </c>
      <c r="R202" s="66">
        <v>21.6</v>
      </c>
      <c r="S202" s="66">
        <v>17</v>
      </c>
      <c r="T202" s="66">
        <v>18.8</v>
      </c>
      <c r="U202" s="66">
        <v>18</v>
      </c>
      <c r="V202" s="66">
        <v>19</v>
      </c>
      <c r="W202" s="66">
        <v>20.2</v>
      </c>
      <c r="X202" s="66">
        <v>18.399999999999999</v>
      </c>
      <c r="Y202" s="66">
        <v>19.399999999999999</v>
      </c>
      <c r="Z202" s="66">
        <v>18</v>
      </c>
      <c r="AA202" s="66">
        <v>19.399999999999999</v>
      </c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17</v>
      </c>
      <c r="AQ202" s="68">
        <f t="shared" si="17"/>
        <v>19.317647058823528</v>
      </c>
      <c r="AR202" s="68">
        <f>IFERROR(VLOOKUP(A202,Climatologia_TMAX!A:U,9+$E$2,FALSE),"")</f>
        <v>19.408677967961381</v>
      </c>
      <c r="AS202" s="68">
        <f t="shared" si="18"/>
        <v>-9.1030909137852944E-2</v>
      </c>
      <c r="AT202" s="74">
        <f t="shared" si="19"/>
        <v>21.8</v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23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2" s="69">
        <f t="shared" si="20"/>
        <v>-1.1999999999999993</v>
      </c>
    </row>
    <row r="203" spans="1:49" ht="14.25" customHeight="1" x14ac:dyDescent="0.2">
      <c r="A203" s="64">
        <v>23217060</v>
      </c>
      <c r="B203" s="70" t="s">
        <v>398</v>
      </c>
      <c r="C203" s="70" t="s">
        <v>368</v>
      </c>
      <c r="D203" s="99">
        <v>-73.801638890000007</v>
      </c>
      <c r="E203" s="99">
        <v>8.6138333330000005</v>
      </c>
      <c r="F203" s="64">
        <v>36</v>
      </c>
      <c r="G203" s="62">
        <v>20</v>
      </c>
      <c r="H203" s="62">
        <v>20383</v>
      </c>
      <c r="I203" s="72" t="s">
        <v>43</v>
      </c>
      <c r="J203" s="72" t="s">
        <v>398</v>
      </c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0</v>
      </c>
      <c r="AQ203" s="68" t="str">
        <f t="shared" si="17"/>
        <v/>
      </c>
      <c r="AR203" s="68" t="str">
        <f>IFERROR(VLOOKUP(A203,Climatologia_TMAX!A:U,9+$E$2,FALSE),"")</f>
        <v/>
      </c>
      <c r="AS203" s="68" t="str">
        <f t="shared" si="18"/>
        <v/>
      </c>
      <c r="AT203" s="74" t="str">
        <f t="shared" si="19"/>
        <v/>
      </c>
      <c r="AU203" s="74" t="str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 t="str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 t="str">
        <f t="shared" si="20"/>
        <v>NA</v>
      </c>
    </row>
    <row r="204" spans="1:49" ht="14.25" customHeight="1" x14ac:dyDescent="0.2">
      <c r="A204" s="64">
        <v>24015250</v>
      </c>
      <c r="B204" s="70" t="s">
        <v>399</v>
      </c>
      <c r="C204" s="70" t="s">
        <v>368</v>
      </c>
      <c r="D204" s="99">
        <v>-73.415388890000003</v>
      </c>
      <c r="E204" s="99">
        <v>6.2371666670000003</v>
      </c>
      <c r="F204" s="64">
        <v>1400</v>
      </c>
      <c r="G204" s="62">
        <v>68</v>
      </c>
      <c r="H204" s="62">
        <v>68320</v>
      </c>
      <c r="I204" s="72" t="s">
        <v>49</v>
      </c>
      <c r="J204" s="72" t="s">
        <v>400</v>
      </c>
      <c r="K204" s="66">
        <v>29.2</v>
      </c>
      <c r="L204" s="66">
        <v>29.8</v>
      </c>
      <c r="M204" s="66">
        <v>27.6</v>
      </c>
      <c r="N204" s="66">
        <v>26</v>
      </c>
      <c r="O204" s="66">
        <v>27.4</v>
      </c>
      <c r="P204" s="66">
        <v>28.8</v>
      </c>
      <c r="Q204" s="66">
        <v>29.8</v>
      </c>
      <c r="R204" s="66">
        <v>29</v>
      </c>
      <c r="S204" s="66">
        <v>21</v>
      </c>
      <c r="T204" s="66">
        <v>28</v>
      </c>
      <c r="U204" s="66">
        <v>27.8</v>
      </c>
      <c r="V204" s="66">
        <v>26</v>
      </c>
      <c r="W204" s="66">
        <v>28.2</v>
      </c>
      <c r="X204" s="66">
        <v>28.6</v>
      </c>
      <c r="Y204" s="66">
        <v>28.8</v>
      </c>
      <c r="Z204" s="66">
        <v>29.2</v>
      </c>
      <c r="AA204" s="66">
        <v>29</v>
      </c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17</v>
      </c>
      <c r="AQ204" s="68">
        <f t="shared" si="17"/>
        <v>27.894117647058827</v>
      </c>
      <c r="AR204" s="68">
        <f>IFERROR(VLOOKUP(A204,Climatologia_TMAX!A:U,9+$E$2,FALSE),"")</f>
        <v>26.493225806451608</v>
      </c>
      <c r="AS204" s="68">
        <f t="shared" si="18"/>
        <v>1.4008918406072191</v>
      </c>
      <c r="AT204" s="74">
        <f t="shared" si="19"/>
        <v>29.8</v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>30</v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4" s="69">
        <f t="shared" si="20"/>
        <v>-0.19999999999999929</v>
      </c>
    </row>
    <row r="205" spans="1:49" ht="14.25" customHeight="1" x14ac:dyDescent="0.2">
      <c r="A205" s="64">
        <v>23215050</v>
      </c>
      <c r="B205" s="70" t="s">
        <v>401</v>
      </c>
      <c r="C205" s="70" t="s">
        <v>368</v>
      </c>
      <c r="D205" s="99">
        <v>-73.636388890000006</v>
      </c>
      <c r="E205" s="99">
        <v>8.6144444440000001</v>
      </c>
      <c r="F205" s="64">
        <v>163</v>
      </c>
      <c r="G205" s="62">
        <v>20</v>
      </c>
      <c r="H205" s="62">
        <v>20383</v>
      </c>
      <c r="I205" s="72" t="s">
        <v>43</v>
      </c>
      <c r="J205" s="72" t="s">
        <v>398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0</v>
      </c>
      <c r="AQ205" s="68" t="str">
        <f t="shared" si="17"/>
        <v/>
      </c>
      <c r="AR205" s="68">
        <f>IFERROR(VLOOKUP(A205,Climatologia_TMAX!A:U,9+$E$2,FALSE),"")</f>
        <v>34.330295058883763</v>
      </c>
      <c r="AS205" s="68" t="str">
        <f t="shared" si="18"/>
        <v/>
      </c>
      <c r="AT205" s="74" t="str">
        <f t="shared" si="19"/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38.6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5" s="69" t="str">
        <f t="shared" si="20"/>
        <v>NA</v>
      </c>
    </row>
    <row r="206" spans="1:49" ht="14.25" customHeight="1" x14ac:dyDescent="0.2">
      <c r="A206" s="64">
        <v>16055060</v>
      </c>
      <c r="B206" s="70" t="s">
        <v>402</v>
      </c>
      <c r="C206" s="70" t="s">
        <v>368</v>
      </c>
      <c r="D206" s="99">
        <v>-73.234999999999999</v>
      </c>
      <c r="E206" s="99">
        <v>8.2174999999999994</v>
      </c>
      <c r="F206" s="64">
        <v>1500</v>
      </c>
      <c r="G206" s="62">
        <v>54</v>
      </c>
      <c r="H206" s="62">
        <v>54398</v>
      </c>
      <c r="I206" s="72" t="s">
        <v>369</v>
      </c>
      <c r="J206" s="72" t="s">
        <v>402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27.082569937993391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31.6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6" s="69" t="str">
        <f t="shared" si="20"/>
        <v>NA</v>
      </c>
    </row>
    <row r="207" spans="1:49" ht="14.25" customHeight="1" x14ac:dyDescent="0.2">
      <c r="A207" s="64">
        <v>23195110</v>
      </c>
      <c r="B207" s="70" t="s">
        <v>403</v>
      </c>
      <c r="C207" s="70" t="s">
        <v>368</v>
      </c>
      <c r="D207" s="99">
        <v>-73.167222219999999</v>
      </c>
      <c r="E207" s="99">
        <v>7.0255555559999996</v>
      </c>
      <c r="F207" s="64">
        <v>777</v>
      </c>
      <c r="G207" s="62">
        <v>68</v>
      </c>
      <c r="H207" s="62">
        <v>68307</v>
      </c>
      <c r="I207" s="72" t="s">
        <v>49</v>
      </c>
      <c r="J207" s="72" t="s">
        <v>404</v>
      </c>
      <c r="K207" s="66">
        <v>32.799999999999997</v>
      </c>
      <c r="L207" s="66">
        <v>32.200000000000003</v>
      </c>
      <c r="M207" s="66">
        <v>33.200000000000003</v>
      </c>
      <c r="N207" s="66">
        <v>30.8</v>
      </c>
      <c r="O207" s="66">
        <v>33.200000000000003</v>
      </c>
      <c r="P207" s="66">
        <v>34.799999999999997</v>
      </c>
      <c r="Q207" s="66">
        <v>35</v>
      </c>
      <c r="R207" s="66">
        <v>35.200000000000003</v>
      </c>
      <c r="S207" s="66">
        <v>27.4</v>
      </c>
      <c r="T207" s="66">
        <v>33</v>
      </c>
      <c r="U207" s="66">
        <v>32.6</v>
      </c>
      <c r="V207" s="66">
        <v>30.6</v>
      </c>
      <c r="W207" s="66">
        <v>33.799999999999997</v>
      </c>
      <c r="X207" s="66">
        <v>34</v>
      </c>
      <c r="Y207" s="113">
        <v>35.4</v>
      </c>
      <c r="Z207" s="66">
        <v>35.200000000000003</v>
      </c>
      <c r="AA207" s="66">
        <v>35.6</v>
      </c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17</v>
      </c>
      <c r="AQ207" s="68">
        <f t="shared" si="17"/>
        <v>33.223529411764709</v>
      </c>
      <c r="AR207" s="68" t="str">
        <f>IFERROR(VLOOKUP(A207,Climatologia_TMAX!A:U,9+$E$2,FALSE),"")</f>
        <v/>
      </c>
      <c r="AS207" s="68" t="str">
        <f t="shared" si="18"/>
        <v/>
      </c>
      <c r="AT207" s="74">
        <f t="shared" si="19"/>
        <v>35.6</v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35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7" s="69">
        <f t="shared" si="20"/>
        <v>0.60000000000000142</v>
      </c>
    </row>
    <row r="208" spans="1:49" ht="14.25" customHeight="1" x14ac:dyDescent="0.2">
      <c r="A208" s="64">
        <v>16015100</v>
      </c>
      <c r="B208" s="70" t="s">
        <v>405</v>
      </c>
      <c r="C208" s="70" t="s">
        <v>368</v>
      </c>
      <c r="D208" s="99">
        <v>-72.483888890000003</v>
      </c>
      <c r="E208" s="99">
        <v>7.5766666669999996</v>
      </c>
      <c r="F208" s="64">
        <v>1550</v>
      </c>
      <c r="G208" s="62">
        <v>54</v>
      </c>
      <c r="H208" s="62">
        <v>54599</v>
      </c>
      <c r="I208" s="72" t="s">
        <v>369</v>
      </c>
      <c r="J208" s="72" t="s">
        <v>405</v>
      </c>
      <c r="K208" s="66">
        <v>23</v>
      </c>
      <c r="L208" s="66">
        <v>23.6</v>
      </c>
      <c r="M208" s="66">
        <v>21.8</v>
      </c>
      <c r="N208" s="66">
        <v>22</v>
      </c>
      <c r="O208" s="66">
        <v>25.6</v>
      </c>
      <c r="P208" s="66">
        <v>23.6</v>
      </c>
      <c r="Q208" s="66">
        <v>26.6</v>
      </c>
      <c r="R208" s="66">
        <v>25.6</v>
      </c>
      <c r="S208" s="66">
        <v>20.2</v>
      </c>
      <c r="T208" s="66">
        <v>23.2</v>
      </c>
      <c r="U208" s="66">
        <v>24.2</v>
      </c>
      <c r="V208" s="66">
        <v>20.399999999999999</v>
      </c>
      <c r="W208" s="66">
        <v>23.8</v>
      </c>
      <c r="X208" s="66">
        <v>21.2</v>
      </c>
      <c r="Y208" s="66">
        <v>24.6</v>
      </c>
      <c r="Z208" s="66">
        <v>25.6</v>
      </c>
      <c r="AA208" s="66">
        <v>24.6</v>
      </c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17</v>
      </c>
      <c r="AQ208" s="68">
        <f t="shared" si="17"/>
        <v>23.505882352941178</v>
      </c>
      <c r="AR208" s="68">
        <f>IFERROR(VLOOKUP(A208,Climatologia_TMAX!A:U,9+$E$2,FALSE),"")</f>
        <v>23.463917315535781</v>
      </c>
      <c r="AS208" s="68">
        <f t="shared" si="18"/>
        <v>4.1965037405397254E-2</v>
      </c>
      <c r="AT208" s="74">
        <f t="shared" si="19"/>
        <v>26.6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27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8" s="69">
        <f t="shared" si="20"/>
        <v>-0.39999999999999858</v>
      </c>
    </row>
    <row r="209" spans="1:49" ht="14.25" customHeight="1" x14ac:dyDescent="0.2">
      <c r="A209" s="64">
        <v>16025030</v>
      </c>
      <c r="B209" s="70" t="s">
        <v>406</v>
      </c>
      <c r="C209" s="70" t="s">
        <v>368</v>
      </c>
      <c r="D209" s="99">
        <v>-72.830555559999993</v>
      </c>
      <c r="E209" s="99">
        <v>7.7745833329999998</v>
      </c>
      <c r="F209" s="64">
        <v>860</v>
      </c>
      <c r="G209" s="62">
        <v>54</v>
      </c>
      <c r="H209" s="62">
        <v>54660</v>
      </c>
      <c r="I209" s="72" t="s">
        <v>369</v>
      </c>
      <c r="J209" s="72" t="s">
        <v>406</v>
      </c>
      <c r="K209" s="66">
        <v>29.8</v>
      </c>
      <c r="L209" s="66">
        <v>28.4</v>
      </c>
      <c r="M209" s="66">
        <v>28.4</v>
      </c>
      <c r="N209" s="66">
        <v>27.8</v>
      </c>
      <c r="O209" s="66">
        <v>31.4</v>
      </c>
      <c r="P209" s="66">
        <v>31.2</v>
      </c>
      <c r="Q209" s="66">
        <v>30.6</v>
      </c>
      <c r="R209" s="66">
        <v>31.8</v>
      </c>
      <c r="S209" s="66">
        <v>26</v>
      </c>
      <c r="T209" s="66">
        <v>28.6</v>
      </c>
      <c r="U209" s="66">
        <v>29.6</v>
      </c>
      <c r="V209" s="66">
        <v>26.6</v>
      </c>
      <c r="W209" s="66">
        <v>30.8</v>
      </c>
      <c r="X209" s="66">
        <v>28.4</v>
      </c>
      <c r="Y209" s="66">
        <v>30.2</v>
      </c>
      <c r="Z209" s="66">
        <v>30</v>
      </c>
      <c r="AA209" s="66">
        <v>31.4</v>
      </c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17</v>
      </c>
      <c r="AQ209" s="68">
        <f t="shared" si="17"/>
        <v>29.470588235294116</v>
      </c>
      <c r="AR209" s="68">
        <f>IFERROR(VLOOKUP(A209,Climatologia_TMAX!A:U,9+$E$2,FALSE),"")</f>
        <v>28.857991979167998</v>
      </c>
      <c r="AS209" s="68">
        <f t="shared" si="18"/>
        <v>0.61259625612611757</v>
      </c>
      <c r="AT209" s="74">
        <f t="shared" si="19"/>
        <v>31.8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32.6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09" s="69">
        <f t="shared" si="20"/>
        <v>-0.80000000000000071</v>
      </c>
    </row>
    <row r="210" spans="1:49" ht="14.25" customHeight="1" x14ac:dyDescent="0.2">
      <c r="A210" s="64">
        <v>23205030</v>
      </c>
      <c r="B210" s="70" t="s">
        <v>407</v>
      </c>
      <c r="C210" s="70" t="s">
        <v>368</v>
      </c>
      <c r="D210" s="99">
        <v>-74.059166669999996</v>
      </c>
      <c r="E210" s="99">
        <v>7.9652777779999999</v>
      </c>
      <c r="F210" s="64">
        <v>650</v>
      </c>
      <c r="G210" s="62">
        <v>13</v>
      </c>
      <c r="H210" s="62">
        <v>13688</v>
      </c>
      <c r="I210" s="72" t="s">
        <v>34</v>
      </c>
      <c r="J210" s="72" t="s">
        <v>408</v>
      </c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0</v>
      </c>
      <c r="AQ210" s="68" t="str">
        <f t="shared" si="17"/>
        <v/>
      </c>
      <c r="AR210" s="68">
        <f>IFERROR(VLOOKUP(A210,Climatologia_TMAX!A:U,9+$E$2,FALSE),"")</f>
        <v>29.616851526558602</v>
      </c>
      <c r="AS210" s="68" t="str">
        <f t="shared" si="18"/>
        <v/>
      </c>
      <c r="AT210" s="74" t="str">
        <f t="shared" si="19"/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35.4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0" s="69" t="str">
        <f t="shared" si="20"/>
        <v>NA</v>
      </c>
    </row>
    <row r="211" spans="1:49" ht="14.25" customHeight="1" x14ac:dyDescent="0.2">
      <c r="A211" s="64">
        <v>16035030</v>
      </c>
      <c r="B211" s="70" t="s">
        <v>409</v>
      </c>
      <c r="C211" s="70" t="s">
        <v>368</v>
      </c>
      <c r="D211" s="99">
        <v>-72.803055560000004</v>
      </c>
      <c r="E211" s="99">
        <v>8.0766666669999996</v>
      </c>
      <c r="F211" s="64">
        <v>320</v>
      </c>
      <c r="G211" s="62">
        <v>54</v>
      </c>
      <c r="H211" s="62">
        <v>54720</v>
      </c>
      <c r="I211" s="72" t="s">
        <v>369</v>
      </c>
      <c r="J211" s="72" t="s">
        <v>409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33.870803163126581</v>
      </c>
      <c r="AS211" s="68" t="str">
        <f t="shared" si="18"/>
        <v/>
      </c>
      <c r="AT211" s="74" t="str">
        <f t="shared" si="19"/>
        <v/>
      </c>
      <c r="AU211" s="74" t="str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 t="str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 t="str">
        <f t="shared" si="20"/>
        <v>NA</v>
      </c>
    </row>
    <row r="212" spans="1:49" ht="14.25" customHeight="1" x14ac:dyDescent="0.2">
      <c r="A212" s="64">
        <v>16035010</v>
      </c>
      <c r="B212" s="70" t="s">
        <v>410</v>
      </c>
      <c r="C212" s="70" t="s">
        <v>368</v>
      </c>
      <c r="D212" s="99">
        <v>-72.72666667</v>
      </c>
      <c r="E212" s="99">
        <v>8.6383333330000003</v>
      </c>
      <c r="F212" s="64">
        <v>50</v>
      </c>
      <c r="G212" s="62">
        <v>54</v>
      </c>
      <c r="H212" s="62">
        <v>54810</v>
      </c>
      <c r="I212" s="72" t="s">
        <v>369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 t="str">
        <f>IFERROR(VLOOKUP(A212,Climatologia_TMAX!A:U,9+$E$2,FALSE),"")</f>
        <v/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37035010</v>
      </c>
      <c r="B213" s="70" t="s">
        <v>412</v>
      </c>
      <c r="C213" s="70" t="s">
        <v>368</v>
      </c>
      <c r="D213" s="101">
        <v>-72.115833330000001</v>
      </c>
      <c r="E213" s="101">
        <v>7.0061111110000001</v>
      </c>
      <c r="F213" s="64">
        <v>370</v>
      </c>
      <c r="G213" s="62">
        <v>54</v>
      </c>
      <c r="H213" s="62">
        <v>54820</v>
      </c>
      <c r="I213" s="72" t="s">
        <v>369</v>
      </c>
      <c r="J213" s="72" t="s">
        <v>413</v>
      </c>
      <c r="K213" s="66"/>
      <c r="L213" s="66"/>
      <c r="M213" s="66">
        <v>29.8</v>
      </c>
      <c r="N213" s="66">
        <v>28</v>
      </c>
      <c r="O213" s="66">
        <v>30.6</v>
      </c>
      <c r="P213" s="66"/>
      <c r="Q213" s="66">
        <v>28.2</v>
      </c>
      <c r="R213" s="66">
        <v>32</v>
      </c>
      <c r="S213" s="66"/>
      <c r="T213" s="109">
        <v>28.4</v>
      </c>
      <c r="U213" s="66"/>
      <c r="V213" s="66">
        <v>29</v>
      </c>
      <c r="W213" s="66">
        <v>29.4</v>
      </c>
      <c r="X213" s="66">
        <v>28</v>
      </c>
      <c r="Y213" s="66">
        <v>31</v>
      </c>
      <c r="Z213" s="66">
        <v>30.8</v>
      </c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11</v>
      </c>
      <c r="AQ213" s="68" t="str">
        <f t="shared" si="17"/>
        <v/>
      </c>
      <c r="AR213" s="68">
        <f>IFERROR(VLOOKUP(A213,Climatologia_TMAX!A:U,9+$E$2,FALSE),"")</f>
        <v>28.602773765873511</v>
      </c>
      <c r="AS213" s="68" t="str">
        <f t="shared" si="18"/>
        <v/>
      </c>
      <c r="AT213" s="74">
        <f t="shared" si="19"/>
        <v>32</v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>35</v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3" s="69">
        <f t="shared" si="20"/>
        <v>-3</v>
      </c>
    </row>
    <row r="214" spans="1:49" ht="14.25" customHeight="1" x14ac:dyDescent="0.2">
      <c r="A214" s="64">
        <v>23185010</v>
      </c>
      <c r="B214" s="70" t="s">
        <v>414</v>
      </c>
      <c r="C214" s="70" t="s">
        <v>368</v>
      </c>
      <c r="D214" s="99">
        <v>-73.537222220000004</v>
      </c>
      <c r="E214" s="99">
        <v>7.4561111110000002</v>
      </c>
      <c r="F214" s="64">
        <v>328</v>
      </c>
      <c r="G214" s="62">
        <v>68</v>
      </c>
      <c r="H214" s="62">
        <v>68655</v>
      </c>
      <c r="I214" s="72" t="s">
        <v>49</v>
      </c>
      <c r="J214" s="72" t="s">
        <v>415</v>
      </c>
      <c r="K214" s="66"/>
      <c r="L214" s="66"/>
      <c r="M214" s="66"/>
      <c r="N214" s="66"/>
      <c r="O214" s="66"/>
      <c r="P214" s="66">
        <v>24.8</v>
      </c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</v>
      </c>
      <c r="AQ214" s="68" t="str">
        <f t="shared" si="17"/>
        <v/>
      </c>
      <c r="AR214" s="68">
        <f>IFERROR(VLOOKUP(A214,Climatologia_TMAX!A:U,9+$E$2,FALSE),"")</f>
        <v>33.824759929830392</v>
      </c>
      <c r="AS214" s="68" t="str">
        <f t="shared" si="18"/>
        <v/>
      </c>
      <c r="AT214" s="74">
        <f t="shared" si="19"/>
        <v>24.8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38.799999999999997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4" s="69">
        <f t="shared" si="20"/>
        <v>-13.999999999999996</v>
      </c>
    </row>
    <row r="215" spans="1:49" ht="14.25" customHeight="1" x14ac:dyDescent="0.2">
      <c r="A215" s="64">
        <v>23195090</v>
      </c>
      <c r="B215" s="70" t="s">
        <v>416</v>
      </c>
      <c r="C215" s="70" t="s">
        <v>368</v>
      </c>
      <c r="D215" s="99">
        <v>-72.987499999999997</v>
      </c>
      <c r="E215" s="99">
        <v>7.3658299999999999</v>
      </c>
      <c r="F215" s="64">
        <v>1791</v>
      </c>
      <c r="G215" s="62">
        <v>68</v>
      </c>
      <c r="H215" s="62">
        <v>68780</v>
      </c>
      <c r="I215" s="72" t="s">
        <v>49</v>
      </c>
      <c r="J215" s="72" t="s">
        <v>417</v>
      </c>
      <c r="K215" s="66"/>
      <c r="L215" s="66">
        <v>24.4</v>
      </c>
      <c r="M215" s="66">
        <v>25.4</v>
      </c>
      <c r="N215" s="66">
        <v>25.4</v>
      </c>
      <c r="O215" s="66">
        <v>26.2</v>
      </c>
      <c r="P215" s="66">
        <v>26.4</v>
      </c>
      <c r="Q215" s="66">
        <v>28.2</v>
      </c>
      <c r="R215" s="66">
        <v>27.8</v>
      </c>
      <c r="S215" s="66">
        <v>26.2</v>
      </c>
      <c r="T215" s="66">
        <v>25.8</v>
      </c>
      <c r="U215" s="66">
        <v>25</v>
      </c>
      <c r="V215" s="66">
        <v>25</v>
      </c>
      <c r="W215" s="66">
        <v>25.8</v>
      </c>
      <c r="X215" s="66">
        <v>26.2</v>
      </c>
      <c r="Y215" s="66">
        <v>28</v>
      </c>
      <c r="Z215" s="66">
        <v>27.8</v>
      </c>
      <c r="AA215" s="66">
        <v>29.8</v>
      </c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16</v>
      </c>
      <c r="AQ215" s="68">
        <f t="shared" si="17"/>
        <v>26.462499999999999</v>
      </c>
      <c r="AR215" s="68" t="str">
        <f>IFERROR(VLOOKUP(A215,Climatologia_TMAX!A:U,9+$E$2,FALSE),"")</f>
        <v/>
      </c>
      <c r="AS215" s="68" t="str">
        <f t="shared" si="18"/>
        <v/>
      </c>
      <c r="AT215" s="74">
        <f t="shared" si="19"/>
        <v>29.8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30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5" s="69">
        <f t="shared" si="20"/>
        <v>-0.19999999999999929</v>
      </c>
    </row>
    <row r="216" spans="1:49" ht="14.25" customHeight="1" x14ac:dyDescent="0.2">
      <c r="A216" s="64">
        <v>24055030</v>
      </c>
      <c r="B216" s="70" t="s">
        <v>418</v>
      </c>
      <c r="C216" s="70" t="s">
        <v>368</v>
      </c>
      <c r="D216" s="101">
        <v>-73.282749999999993</v>
      </c>
      <c r="E216" s="101">
        <v>6.7927777779999996</v>
      </c>
      <c r="F216" s="64">
        <v>1810</v>
      </c>
      <c r="G216" s="62">
        <v>68</v>
      </c>
      <c r="H216" s="62">
        <v>68895</v>
      </c>
      <c r="I216" s="72" t="s">
        <v>49</v>
      </c>
      <c r="J216" s="72" t="s">
        <v>418</v>
      </c>
      <c r="K216" s="66">
        <v>25.8</v>
      </c>
      <c r="L216" s="66">
        <v>26.2</v>
      </c>
      <c r="M216" s="66">
        <v>25</v>
      </c>
      <c r="N216" s="66">
        <v>21.6</v>
      </c>
      <c r="O216" s="66">
        <v>25.6</v>
      </c>
      <c r="P216" s="66">
        <v>26</v>
      </c>
      <c r="Q216" s="66">
        <v>27.8</v>
      </c>
      <c r="R216" s="66"/>
      <c r="S216" s="66">
        <v>23.6</v>
      </c>
      <c r="T216" s="66">
        <v>24.5</v>
      </c>
      <c r="U216" s="66">
        <v>25.6</v>
      </c>
      <c r="V216" s="66">
        <v>25.6</v>
      </c>
      <c r="W216" s="66">
        <v>25.6</v>
      </c>
      <c r="X216" s="66">
        <v>24.8</v>
      </c>
      <c r="Y216" s="66">
        <v>26.8</v>
      </c>
      <c r="Z216" s="66">
        <v>26.8</v>
      </c>
      <c r="AA216" s="66">
        <v>27</v>
      </c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16</v>
      </c>
      <c r="AQ216" s="68">
        <f t="shared" si="17"/>
        <v>25.518750000000004</v>
      </c>
      <c r="AR216" s="68">
        <f>IFERROR(VLOOKUP(A216,Climatologia_TMAX!A:U,9+$E$2,FALSE),"")</f>
        <v>23.708222693998628</v>
      </c>
      <c r="AS216" s="68">
        <f t="shared" si="18"/>
        <v>1.8105273060013758</v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27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6" s="69">
        <f t="shared" si="20"/>
        <v>0.80000000000000071</v>
      </c>
    </row>
    <row r="217" spans="1:49" ht="14.25" customHeight="1" x14ac:dyDescent="0.2">
      <c r="A217" s="64">
        <v>53115010</v>
      </c>
      <c r="B217" s="70" t="s">
        <v>419</v>
      </c>
      <c r="C217" s="70" t="s">
        <v>420</v>
      </c>
      <c r="D217" s="101">
        <v>-76.992388888999997</v>
      </c>
      <c r="E217" s="101">
        <v>3.8201111110000001</v>
      </c>
      <c r="F217" s="64">
        <v>28</v>
      </c>
      <c r="G217" s="62">
        <v>76</v>
      </c>
      <c r="H217" s="62">
        <v>76109</v>
      </c>
      <c r="I217" s="72" t="s">
        <v>421</v>
      </c>
      <c r="J217" s="72" t="s">
        <v>422</v>
      </c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0</v>
      </c>
      <c r="AQ217" s="68" t="str">
        <f t="shared" si="17"/>
        <v/>
      </c>
      <c r="AR217" s="68">
        <f>IFERROR(VLOOKUP(A217,Climatologia_TMAX!A:U,9+$E$2,FALSE),"")</f>
        <v>30.310080645161289</v>
      </c>
      <c r="AS217" s="68" t="str">
        <f t="shared" si="18"/>
        <v/>
      </c>
      <c r="AT217" s="74" t="str">
        <f t="shared" si="19"/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34.200000000000003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7" s="69" t="str">
        <f t="shared" si="20"/>
        <v>NA</v>
      </c>
    </row>
    <row r="218" spans="1:49" ht="14.25" customHeight="1" x14ac:dyDescent="0.2">
      <c r="A218" s="64">
        <v>26105160</v>
      </c>
      <c r="B218" s="70" t="s">
        <v>423</v>
      </c>
      <c r="C218" s="70" t="s">
        <v>420</v>
      </c>
      <c r="D218" s="101">
        <v>-76.223583329999997</v>
      </c>
      <c r="E218" s="101">
        <v>4.0900833329999999</v>
      </c>
      <c r="F218" s="64">
        <v>980</v>
      </c>
      <c r="G218" s="62">
        <v>76</v>
      </c>
      <c r="H218" s="62">
        <v>76834</v>
      </c>
      <c r="I218" s="72" t="s">
        <v>421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30.287562724014339</v>
      </c>
      <c r="AS218" s="68" t="str">
        <f t="shared" si="18"/>
        <v/>
      </c>
      <c r="AT218" s="74" t="str">
        <f t="shared" si="19"/>
        <v/>
      </c>
      <c r="AU218" s="74" t="str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 t="str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 t="str">
        <f t="shared" si="20"/>
        <v>NA</v>
      </c>
    </row>
    <row r="219" spans="1:49" ht="14.25" customHeight="1" x14ac:dyDescent="0.2">
      <c r="A219" s="64">
        <v>26155110</v>
      </c>
      <c r="B219" s="70" t="s">
        <v>425</v>
      </c>
      <c r="C219" s="70" t="s">
        <v>420</v>
      </c>
      <c r="D219" s="101">
        <v>-75.469916667000007</v>
      </c>
      <c r="E219" s="101">
        <v>5.0297777779999997</v>
      </c>
      <c r="F219" s="64">
        <v>2104</v>
      </c>
      <c r="G219" s="62">
        <v>17</v>
      </c>
      <c r="H219" s="62">
        <v>17001</v>
      </c>
      <c r="I219" s="72" t="s">
        <v>115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21.409907304412311</v>
      </c>
      <c r="AS219" s="68" t="str">
        <f t="shared" si="18"/>
        <v/>
      </c>
      <c r="AT219" s="74" t="str">
        <f t="shared" si="19"/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>26.2</v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19" s="69" t="str">
        <f t="shared" si="20"/>
        <v>NA</v>
      </c>
    </row>
    <row r="220" spans="1:49" ht="14.25" customHeight="1" x14ac:dyDescent="0.2">
      <c r="A220" s="64">
        <v>26105140</v>
      </c>
      <c r="B220" s="70" t="s">
        <v>427</v>
      </c>
      <c r="C220" s="70" t="s">
        <v>420</v>
      </c>
      <c r="D220" s="101">
        <v>-75.888027777999994</v>
      </c>
      <c r="E220" s="101">
        <v>4.0330555559999999</v>
      </c>
      <c r="F220" s="64">
        <v>2902</v>
      </c>
      <c r="G220" s="62">
        <v>76</v>
      </c>
      <c r="H220" s="62">
        <v>76834</v>
      </c>
      <c r="I220" s="72" t="s">
        <v>421</v>
      </c>
      <c r="J220" s="72" t="s">
        <v>424</v>
      </c>
      <c r="K220" s="66">
        <v>15.8</v>
      </c>
      <c r="L220" s="66">
        <v>15.8</v>
      </c>
      <c r="M220" s="109">
        <v>15.4</v>
      </c>
      <c r="N220" s="66">
        <v>16.2</v>
      </c>
      <c r="O220" s="66">
        <v>18</v>
      </c>
      <c r="P220" s="66">
        <v>20.2</v>
      </c>
      <c r="Q220" s="66">
        <v>18.600000000000001</v>
      </c>
      <c r="R220" s="66"/>
      <c r="S220" s="66">
        <v>17.600000000000001</v>
      </c>
      <c r="T220" s="66">
        <v>19.2</v>
      </c>
      <c r="U220" s="66">
        <v>20</v>
      </c>
      <c r="V220" s="66">
        <v>16.600000000000001</v>
      </c>
      <c r="W220" s="66">
        <v>18.600000000000001</v>
      </c>
      <c r="X220" s="66">
        <v>19.8</v>
      </c>
      <c r="Y220" s="66">
        <v>20</v>
      </c>
      <c r="Z220" s="66">
        <v>18.600000000000001</v>
      </c>
      <c r="AA220" s="66">
        <v>16.600000000000001</v>
      </c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16</v>
      </c>
      <c r="AQ220" s="68">
        <f t="shared" si="17"/>
        <v>17.9375</v>
      </c>
      <c r="AR220" s="68">
        <f>IFERROR(VLOOKUP(A220,Climatologia_TMAX!A:U,9+$E$2,FALSE),"")</f>
        <v>15.77183842348882</v>
      </c>
      <c r="AS220" s="68">
        <f t="shared" si="18"/>
        <v>2.1656615765111802</v>
      </c>
      <c r="AT220" s="74">
        <f t="shared" si="19"/>
        <v>20.2</v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20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0" s="69">
        <f t="shared" si="20"/>
        <v>0.19999999999999929</v>
      </c>
    </row>
    <row r="221" spans="1:49" ht="14.25" customHeight="1" x14ac:dyDescent="0.2">
      <c r="A221" s="64">
        <v>26145020</v>
      </c>
      <c r="B221" s="70" t="s">
        <v>428</v>
      </c>
      <c r="C221" s="70" t="s">
        <v>420</v>
      </c>
      <c r="D221" s="101">
        <v>-75.800138888999996</v>
      </c>
      <c r="E221" s="101">
        <v>5.2759444440000003</v>
      </c>
      <c r="F221" s="64">
        <v>1984</v>
      </c>
      <c r="G221" s="62">
        <v>17</v>
      </c>
      <c r="H221" s="62">
        <v>17042</v>
      </c>
      <c r="I221" s="72" t="s">
        <v>115</v>
      </c>
      <c r="J221" s="72" t="s">
        <v>429</v>
      </c>
      <c r="K221" s="66">
        <v>24</v>
      </c>
      <c r="L221" s="66">
        <v>24</v>
      </c>
      <c r="M221" s="66">
        <v>23.4</v>
      </c>
      <c r="N221" s="66">
        <v>21.8</v>
      </c>
      <c r="O221" s="66">
        <v>25</v>
      </c>
      <c r="P221" s="66"/>
      <c r="Q221" s="66">
        <v>26</v>
      </c>
      <c r="R221" s="66">
        <v>23.8</v>
      </c>
      <c r="S221" s="66"/>
      <c r="T221" s="66">
        <v>25</v>
      </c>
      <c r="U221" s="66">
        <v>22.4</v>
      </c>
      <c r="V221" s="66">
        <v>20.8</v>
      </c>
      <c r="W221" s="66">
        <v>25.2</v>
      </c>
      <c r="X221" s="66">
        <v>26</v>
      </c>
      <c r="Y221" s="66">
        <v>25.8</v>
      </c>
      <c r="Z221" s="66">
        <v>26</v>
      </c>
      <c r="AA221" s="66">
        <v>27.2</v>
      </c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15</v>
      </c>
      <c r="AQ221" s="68">
        <f t="shared" si="17"/>
        <v>24.426666666666669</v>
      </c>
      <c r="AR221" s="68">
        <f>IFERROR(VLOOKUP(A221,Climatologia_TMAX!A:U,9+$E$2,FALSE),"")</f>
        <v>22.577401658408331</v>
      </c>
      <c r="AS221" s="68">
        <f t="shared" si="18"/>
        <v>1.8492650082583388</v>
      </c>
      <c r="AT221" s="74">
        <f t="shared" si="19"/>
        <v>27.2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28.2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1" s="69">
        <f t="shared" si="20"/>
        <v>-1</v>
      </c>
    </row>
    <row r="222" spans="1:49" ht="14.25" customHeight="1" x14ac:dyDescent="0.2">
      <c r="A222" s="64">
        <v>26080310</v>
      </c>
      <c r="B222" s="70" t="s">
        <v>430</v>
      </c>
      <c r="C222" s="70" t="s">
        <v>420</v>
      </c>
      <c r="D222" s="101">
        <v>-76.523027780000007</v>
      </c>
      <c r="E222" s="101">
        <v>3.4759722219999998</v>
      </c>
      <c r="F222" s="64">
        <v>983</v>
      </c>
      <c r="G222" s="62">
        <v>76</v>
      </c>
      <c r="H222" s="62">
        <v>76001</v>
      </c>
      <c r="I222" s="72" t="s">
        <v>421</v>
      </c>
      <c r="J222" s="72" t="s">
        <v>431</v>
      </c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0</v>
      </c>
      <c r="AQ222" s="68" t="str">
        <f t="shared" si="17"/>
        <v/>
      </c>
      <c r="AR222" s="68" t="str">
        <f>IFERROR(VLOOKUP(A222,Climatologia_TMAX!A:U,9+$E$2,FALSE),"")</f>
        <v/>
      </c>
      <c r="AS222" s="68" t="str">
        <f t="shared" si="18"/>
        <v/>
      </c>
      <c r="AT222" s="74" t="str">
        <f t="shared" si="19"/>
        <v/>
      </c>
      <c r="AU222" s="74" t="str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 t="str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 t="str">
        <f t="shared" si="20"/>
        <v>NA</v>
      </c>
    </row>
    <row r="223" spans="1:49" ht="14.25" customHeight="1" x14ac:dyDescent="0.2">
      <c r="A223" s="64">
        <v>26075080</v>
      </c>
      <c r="B223" s="70" t="s">
        <v>432</v>
      </c>
      <c r="C223" s="70" t="s">
        <v>420</v>
      </c>
      <c r="D223" s="101">
        <v>-76.299722222</v>
      </c>
      <c r="E223" s="101">
        <v>3.360416667</v>
      </c>
      <c r="F223" s="64">
        <v>128</v>
      </c>
      <c r="G223" s="62">
        <v>76</v>
      </c>
      <c r="H223" s="62">
        <v>76275</v>
      </c>
      <c r="I223" s="72" t="s">
        <v>421</v>
      </c>
      <c r="J223" s="72" t="s">
        <v>433</v>
      </c>
      <c r="K223" s="66">
        <v>31.8</v>
      </c>
      <c r="L223" s="66">
        <v>32.799999999999997</v>
      </c>
      <c r="M223" s="66">
        <v>32.1</v>
      </c>
      <c r="N223" s="66">
        <v>32.299999999999997</v>
      </c>
      <c r="O223" s="66">
        <v>32</v>
      </c>
      <c r="P223" s="66">
        <v>33.4</v>
      </c>
      <c r="Q223" s="66">
        <v>34.200000000000003</v>
      </c>
      <c r="R223" s="66">
        <v>35.200000000000003</v>
      </c>
      <c r="S223" s="66">
        <v>30.6</v>
      </c>
      <c r="T223" s="66"/>
      <c r="U223" s="66"/>
      <c r="V223" s="66"/>
      <c r="W223" s="66"/>
      <c r="X223" s="66">
        <v>33.799999999999997</v>
      </c>
      <c r="Y223" s="66">
        <v>34.200000000000003</v>
      </c>
      <c r="Z223" s="66">
        <v>32</v>
      </c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12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>
        <f t="shared" si="19"/>
        <v>35.200000000000003</v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>35.6</v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3" s="69">
        <f t="shared" si="20"/>
        <v>-0.39999999999999858</v>
      </c>
    </row>
    <row r="224" spans="1:49" ht="14.25" customHeight="1" x14ac:dyDescent="0.2">
      <c r="A224" s="64">
        <v>26125130</v>
      </c>
      <c r="B224" s="70" t="s">
        <v>434</v>
      </c>
      <c r="C224" s="70" t="s">
        <v>420</v>
      </c>
      <c r="D224" s="101">
        <v>-75.832361109999994</v>
      </c>
      <c r="E224" s="101">
        <v>4.185055556</v>
      </c>
      <c r="F224" s="64">
        <v>1749</v>
      </c>
      <c r="G224" s="62">
        <v>76</v>
      </c>
      <c r="H224" s="62">
        <v>76736</v>
      </c>
      <c r="I224" s="72" t="s">
        <v>421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>
        <f>IFERROR(VLOOKUP(A224,Climatologia_TMAX!A:U,9+$E$2,FALSE),"")</f>
        <v>24.302030426719401</v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31.2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4" s="69" t="str">
        <f t="shared" si="20"/>
        <v>NA</v>
      </c>
    </row>
    <row r="225" spans="1:49" ht="14.25" customHeight="1" x14ac:dyDescent="0.2">
      <c r="A225" s="64">
        <v>26095320</v>
      </c>
      <c r="B225" s="70" t="s">
        <v>436</v>
      </c>
      <c r="C225" s="70" t="s">
        <v>420</v>
      </c>
      <c r="D225" s="101">
        <v>-76.300005556000002</v>
      </c>
      <c r="E225" s="101">
        <v>3.360416667</v>
      </c>
      <c r="F225" s="64">
        <v>980</v>
      </c>
      <c r="G225" s="62">
        <v>76</v>
      </c>
      <c r="H225" s="62">
        <v>76275</v>
      </c>
      <c r="I225" s="72" t="s">
        <v>421</v>
      </c>
      <c r="J225" s="72" t="s">
        <v>433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 t="str">
        <f>IFERROR(VLOOKUP(A225,Climatologia_TMAX!A:U,9+$E$2,FALSE),"")</f>
        <v/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34.4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5" s="69" t="str">
        <f t="shared" si="20"/>
        <v>NA</v>
      </c>
    </row>
    <row r="226" spans="1:49" ht="14.25" customHeight="1" x14ac:dyDescent="0.2">
      <c r="A226" s="64">
        <v>26070760</v>
      </c>
      <c r="B226" s="70" t="s">
        <v>433</v>
      </c>
      <c r="C226" s="70" t="s">
        <v>420</v>
      </c>
      <c r="D226" s="101">
        <v>-76.239138889000003</v>
      </c>
      <c r="E226" s="101">
        <v>3.3277777780000002</v>
      </c>
      <c r="F226" s="64">
        <v>1059</v>
      </c>
      <c r="G226" s="62">
        <v>76</v>
      </c>
      <c r="H226" s="62">
        <v>76275</v>
      </c>
      <c r="I226" s="72" t="s">
        <v>421</v>
      </c>
      <c r="J226" s="72" t="s">
        <v>433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 t="str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 t="str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 t="str">
        <f t="shared" si="20"/>
        <v>NA</v>
      </c>
    </row>
    <row r="227" spans="1:49" ht="14.25" customHeight="1" x14ac:dyDescent="0.2">
      <c r="A227" s="64">
        <v>26105110</v>
      </c>
      <c r="B227" s="70" t="s">
        <v>437</v>
      </c>
      <c r="C227" s="70" t="s">
        <v>420</v>
      </c>
      <c r="D227" s="101">
        <v>-76.084527780000002</v>
      </c>
      <c r="E227" s="101">
        <v>4.3244999999999996</v>
      </c>
      <c r="F227" s="64">
        <v>954</v>
      </c>
      <c r="G227" s="62">
        <v>76</v>
      </c>
      <c r="H227" s="62">
        <v>76895</v>
      </c>
      <c r="I227" s="72" t="s">
        <v>421</v>
      </c>
      <c r="J227" s="72" t="s">
        <v>438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>
        <f>IFERROR(VLOOKUP(A227,Climatologia_TMAX!A:U,9+$E$2,FALSE),"")</f>
        <v>31.94941523503481</v>
      </c>
      <c r="AS227" s="68" t="str">
        <f t="shared" si="18"/>
        <v/>
      </c>
      <c r="AT227" s="74" t="str">
        <f t="shared" si="19"/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>36.200000000000003</v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7" s="69" t="str">
        <f t="shared" si="20"/>
        <v>NA</v>
      </c>
    </row>
    <row r="228" spans="1:49" ht="14.25" customHeight="1" x14ac:dyDescent="0.2">
      <c r="A228" s="64">
        <v>26135100</v>
      </c>
      <c r="B228" s="108" t="s">
        <v>439</v>
      </c>
      <c r="C228" s="70" t="s">
        <v>420</v>
      </c>
      <c r="D228" s="101">
        <v>-75.877555560000005</v>
      </c>
      <c r="E228" s="101">
        <v>4.8780277779999999</v>
      </c>
      <c r="F228" s="64">
        <v>995</v>
      </c>
      <c r="G228" s="62">
        <v>66</v>
      </c>
      <c r="H228" s="62">
        <v>66001</v>
      </c>
      <c r="I228" s="72" t="s">
        <v>64</v>
      </c>
      <c r="J228" s="72" t="s">
        <v>65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109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30.27748387096775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37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8" s="69" t="str">
        <f t="shared" si="20"/>
        <v>NA</v>
      </c>
    </row>
    <row r="229" spans="1:49" ht="14.25" customHeight="1" x14ac:dyDescent="0.2">
      <c r="A229" s="64">
        <v>26145030</v>
      </c>
      <c r="B229" s="70" t="s">
        <v>440</v>
      </c>
      <c r="C229" s="70" t="s">
        <v>420</v>
      </c>
      <c r="D229" s="101">
        <v>-75.97</v>
      </c>
      <c r="E229" s="101">
        <v>5.08</v>
      </c>
      <c r="F229" s="64">
        <v>1763</v>
      </c>
      <c r="G229" s="62">
        <v>66</v>
      </c>
      <c r="H229" s="62">
        <v>66687</v>
      </c>
      <c r="I229" s="72" t="s">
        <v>64</v>
      </c>
      <c r="J229" s="72" t="s">
        <v>441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24.233281164045469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29.6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29" s="69" t="str">
        <f t="shared" si="20"/>
        <v>NA</v>
      </c>
    </row>
    <row r="230" spans="1:49" ht="14.25" customHeight="1" x14ac:dyDescent="0.2">
      <c r="A230" s="64">
        <v>26025110</v>
      </c>
      <c r="B230" s="70" t="s">
        <v>442</v>
      </c>
      <c r="C230" s="70" t="s">
        <v>420</v>
      </c>
      <c r="D230" s="101">
        <v>-76.556250000000006</v>
      </c>
      <c r="E230" s="101">
        <v>3.0753888890000001</v>
      </c>
      <c r="F230" s="64">
        <v>1009</v>
      </c>
      <c r="G230" s="62">
        <v>19</v>
      </c>
      <c r="H230" s="62">
        <v>19698</v>
      </c>
      <c r="I230" s="72" t="s">
        <v>237</v>
      </c>
      <c r="J230" s="72" t="s">
        <v>443</v>
      </c>
      <c r="K230" s="66">
        <v>29.6</v>
      </c>
      <c r="L230" s="66">
        <v>31.2</v>
      </c>
      <c r="M230" s="66">
        <v>30.2</v>
      </c>
      <c r="N230" s="66">
        <v>29</v>
      </c>
      <c r="O230" s="66">
        <v>31.2</v>
      </c>
      <c r="P230" s="66">
        <v>32.6</v>
      </c>
      <c r="Q230" s="66">
        <v>33.6</v>
      </c>
      <c r="R230" s="66"/>
      <c r="S230" s="66">
        <v>30.4</v>
      </c>
      <c r="T230" s="66">
        <v>32.6</v>
      </c>
      <c r="U230" s="66">
        <v>30</v>
      </c>
      <c r="V230" s="66">
        <v>29.6</v>
      </c>
      <c r="W230" s="66">
        <v>31.4</v>
      </c>
      <c r="X230" s="66">
        <v>33.799999999999997</v>
      </c>
      <c r="Y230" s="114">
        <v>34.200000000000003</v>
      </c>
      <c r="Z230" s="66">
        <v>32.6</v>
      </c>
      <c r="AA230" s="66">
        <v>30.6</v>
      </c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16</v>
      </c>
      <c r="AQ230" s="68">
        <f t="shared" si="17"/>
        <v>31.412500000000001</v>
      </c>
      <c r="AR230" s="68">
        <f>IFERROR(VLOOKUP(A230,Climatologia_TMAX!A:U,9+$E$2,FALSE),"")</f>
        <v>30.05920303605313</v>
      </c>
      <c r="AS230" s="68">
        <f t="shared" si="18"/>
        <v>1.353296963946871</v>
      </c>
      <c r="AT230" s="74">
        <f t="shared" si="19"/>
        <v>34.200000000000003</v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34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0" s="69">
        <f t="shared" si="20"/>
        <v>0.20000000000000284</v>
      </c>
    </row>
    <row r="231" spans="1:49" ht="14.25" customHeight="1" x14ac:dyDescent="0.2">
      <c r="A231" s="64">
        <v>26105230</v>
      </c>
      <c r="B231" s="70" t="s">
        <v>444</v>
      </c>
      <c r="C231" s="70" t="s">
        <v>420</v>
      </c>
      <c r="D231" s="101">
        <v>-76.168527780000005</v>
      </c>
      <c r="E231" s="101">
        <v>4.028333333</v>
      </c>
      <c r="F231" s="64">
        <v>1119</v>
      </c>
      <c r="G231" s="62">
        <v>76</v>
      </c>
      <c r="H231" s="62">
        <v>76834</v>
      </c>
      <c r="I231" s="72" t="s">
        <v>421</v>
      </c>
      <c r="J231" s="72" t="s">
        <v>424</v>
      </c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0</v>
      </c>
      <c r="AQ231" s="68" t="str">
        <f t="shared" si="17"/>
        <v/>
      </c>
      <c r="AR231" s="68">
        <f>IFERROR(VLOOKUP(A231,Climatologia_TMAX!A:U,9+$E$2,FALSE),"")</f>
        <v>29.851615807687551</v>
      </c>
      <c r="AS231" s="68" t="str">
        <f t="shared" si="18"/>
        <v/>
      </c>
      <c r="AT231" s="74" t="str">
        <f t="shared" si="19"/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36.200000000000003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1" s="69" t="str">
        <f t="shared" si="20"/>
        <v>NA</v>
      </c>
    </row>
    <row r="232" spans="1:49" ht="14.25" customHeight="1" x14ac:dyDescent="0.2">
      <c r="A232" s="64">
        <v>26020250</v>
      </c>
      <c r="B232" s="70" t="s">
        <v>445</v>
      </c>
      <c r="C232" s="70" t="s">
        <v>420</v>
      </c>
      <c r="D232" s="101">
        <v>-76.546972220000001</v>
      </c>
      <c r="E232" s="101">
        <v>2.9036944440000001</v>
      </c>
      <c r="F232" s="64">
        <v>1397</v>
      </c>
      <c r="G232" s="62">
        <v>19</v>
      </c>
      <c r="H232" s="62">
        <v>19698</v>
      </c>
      <c r="I232" s="72" t="s">
        <v>237</v>
      </c>
      <c r="J232" s="72" t="s">
        <v>443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 t="str">
        <f>IFERROR(VLOOKUP(A232,Climatologia_TMAX!A:U,9+$E$2,FALSE),"")</f>
        <v/>
      </c>
      <c r="AS232" s="68" t="str">
        <f t="shared" si="18"/>
        <v/>
      </c>
      <c r="AT232" s="74" t="str">
        <f t="shared" si="19"/>
        <v/>
      </c>
      <c r="AU232" s="74" t="str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 t="str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 t="str">
        <f t="shared" si="20"/>
        <v>NA</v>
      </c>
    </row>
    <row r="233" spans="1:49" ht="14.25" customHeight="1" x14ac:dyDescent="0.2">
      <c r="A233" s="64">
        <v>54020060</v>
      </c>
      <c r="B233" s="70" t="s">
        <v>446</v>
      </c>
      <c r="C233" s="70" t="s">
        <v>420</v>
      </c>
      <c r="D233" s="101">
        <v>-76.650000000000006</v>
      </c>
      <c r="E233" s="101">
        <v>5.0599999999999996</v>
      </c>
      <c r="F233" s="64">
        <v>61</v>
      </c>
      <c r="G233" s="62">
        <v>27</v>
      </c>
      <c r="H233" s="62">
        <v>27205</v>
      </c>
      <c r="I233" s="72" t="s">
        <v>87</v>
      </c>
      <c r="J233" s="72" t="s">
        <v>447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26075010</v>
      </c>
      <c r="B234" s="70" t="s">
        <v>448</v>
      </c>
      <c r="C234" s="70" t="s">
        <v>420</v>
      </c>
      <c r="D234" s="101">
        <v>-76.314888889000002</v>
      </c>
      <c r="E234" s="101">
        <v>3.5134722219999999</v>
      </c>
      <c r="F234" s="64">
        <v>1018</v>
      </c>
      <c r="G234" s="62">
        <v>76</v>
      </c>
      <c r="H234" s="62">
        <v>76520</v>
      </c>
      <c r="I234" s="72" t="s">
        <v>421</v>
      </c>
      <c r="J234" s="72" t="s">
        <v>77</v>
      </c>
      <c r="K234" s="66">
        <v>30</v>
      </c>
      <c r="L234" s="66">
        <v>33.200000000000003</v>
      </c>
      <c r="M234" s="66">
        <v>31.4</v>
      </c>
      <c r="N234" s="66">
        <v>31</v>
      </c>
      <c r="O234" s="66">
        <v>32</v>
      </c>
      <c r="P234" s="66">
        <v>33.5</v>
      </c>
      <c r="Q234" s="66">
        <v>35.1</v>
      </c>
      <c r="R234" s="66">
        <v>32.700000000000003</v>
      </c>
      <c r="S234" s="66">
        <v>30.1</v>
      </c>
      <c r="T234" s="66">
        <v>32.1</v>
      </c>
      <c r="U234" s="66">
        <v>30.4</v>
      </c>
      <c r="V234" s="66">
        <v>28.8</v>
      </c>
      <c r="W234" s="66">
        <v>32</v>
      </c>
      <c r="X234" s="66">
        <v>33.200000000000003</v>
      </c>
      <c r="Y234" s="66">
        <v>34.200000000000003</v>
      </c>
      <c r="Z234" s="66">
        <v>32</v>
      </c>
      <c r="AA234" s="66">
        <v>31.6</v>
      </c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17</v>
      </c>
      <c r="AQ234" s="68">
        <f t="shared" si="17"/>
        <v>31.958823529411763</v>
      </c>
      <c r="AR234" s="68">
        <f>IFERROR(VLOOKUP(A234,Climatologia_TMAX!A:U,9+$E$2,FALSE),"")</f>
        <v>30.007526881720441</v>
      </c>
      <c r="AS234" s="68">
        <f t="shared" si="18"/>
        <v>1.9512966476913221</v>
      </c>
      <c r="AT234" s="74">
        <f t="shared" si="19"/>
        <v>35.1</v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>35.9</v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4" s="69">
        <f t="shared" si="20"/>
        <v>-0.79999999999999716</v>
      </c>
    </row>
    <row r="235" spans="1:49" ht="14.25" customHeight="1" x14ac:dyDescent="0.2">
      <c r="A235" s="64">
        <v>54015010</v>
      </c>
      <c r="B235" s="70" t="s">
        <v>449</v>
      </c>
      <c r="C235" s="70" t="s">
        <v>420</v>
      </c>
      <c r="D235" s="101">
        <v>-76.031638889999996</v>
      </c>
      <c r="E235" s="101">
        <v>5.2334444439999999</v>
      </c>
      <c r="F235" s="64">
        <v>1505</v>
      </c>
      <c r="G235" s="62">
        <v>66</v>
      </c>
      <c r="H235" s="62">
        <v>66572</v>
      </c>
      <c r="I235" s="72" t="s">
        <v>64</v>
      </c>
      <c r="J235" s="72" t="s">
        <v>450</v>
      </c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0</v>
      </c>
      <c r="AQ235" s="68" t="str">
        <f t="shared" si="17"/>
        <v/>
      </c>
      <c r="AR235" s="68">
        <f>IFERROR(VLOOKUP(A235,Climatologia_TMAX!A:U,9+$E$2,FALSE),"")</f>
        <v>22.423335331438221</v>
      </c>
      <c r="AS235" s="68" t="str">
        <f t="shared" si="18"/>
        <v/>
      </c>
      <c r="AT235" s="74" t="str">
        <f t="shared" si="19"/>
        <v/>
      </c>
      <c r="AU235" s="74" t="str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 t="str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 t="str">
        <f t="shared" si="20"/>
        <v>NA</v>
      </c>
    </row>
    <row r="236" spans="1:49" ht="14.25" customHeight="1" x14ac:dyDescent="0.2">
      <c r="A236" s="64">
        <v>54025010</v>
      </c>
      <c r="B236" s="70" t="s">
        <v>451</v>
      </c>
      <c r="C236" s="70" t="s">
        <v>420</v>
      </c>
      <c r="D236" s="101">
        <v>-76.676666667000006</v>
      </c>
      <c r="E236" s="101">
        <v>4.8980833329999998</v>
      </c>
      <c r="F236" s="64">
        <v>1115</v>
      </c>
      <c r="G236" s="62">
        <v>27</v>
      </c>
      <c r="H236" s="62">
        <v>27491</v>
      </c>
      <c r="I236" s="72" t="s">
        <v>87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24.800134408602151</v>
      </c>
      <c r="AS236" s="68" t="str">
        <f t="shared" si="18"/>
        <v/>
      </c>
      <c r="AT236" s="74" t="str">
        <f t="shared" si="19"/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>29</v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6" s="69" t="str">
        <f t="shared" si="20"/>
        <v>NA</v>
      </c>
    </row>
    <row r="237" spans="1:49" ht="14.25" customHeight="1" x14ac:dyDescent="0.2">
      <c r="A237" s="64">
        <v>26105150</v>
      </c>
      <c r="B237" s="70" t="s">
        <v>453</v>
      </c>
      <c r="C237" s="70" t="s">
        <v>420</v>
      </c>
      <c r="D237" s="101">
        <v>-76.033055555999994</v>
      </c>
      <c r="E237" s="101">
        <v>4.2389166669999998</v>
      </c>
      <c r="F237" s="64">
        <v>1011</v>
      </c>
      <c r="G237" s="62">
        <v>76</v>
      </c>
      <c r="H237" s="62">
        <v>76113</v>
      </c>
      <c r="I237" s="72" t="s">
        <v>421</v>
      </c>
      <c r="J237" s="72" t="s">
        <v>454</v>
      </c>
      <c r="K237" s="66">
        <v>29.2</v>
      </c>
      <c r="L237" s="66">
        <v>31.2</v>
      </c>
      <c r="M237" s="66">
        <v>30.4</v>
      </c>
      <c r="N237" s="66">
        <v>30.2</v>
      </c>
      <c r="O237" s="66"/>
      <c r="P237" s="66">
        <v>33.200000000000003</v>
      </c>
      <c r="Q237" s="66">
        <v>34.200000000000003</v>
      </c>
      <c r="R237" s="66">
        <v>33.200000000000003</v>
      </c>
      <c r="S237" s="66">
        <v>29.2</v>
      </c>
      <c r="T237" s="66">
        <v>31.6</v>
      </c>
      <c r="U237" s="66">
        <v>30.2</v>
      </c>
      <c r="V237" s="66">
        <v>28.4</v>
      </c>
      <c r="W237" s="66"/>
      <c r="X237" s="66">
        <v>32.4</v>
      </c>
      <c r="Y237" s="66"/>
      <c r="Z237" s="66">
        <v>32</v>
      </c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13</v>
      </c>
      <c r="AQ237" s="68" t="str">
        <f t="shared" si="17"/>
        <v/>
      </c>
      <c r="AR237" s="68">
        <f>IFERROR(VLOOKUP(A237,Climatologia_TMAX!A:U,9+$E$2,FALSE),"")</f>
        <v>30.124159739837651</v>
      </c>
      <c r="AS237" s="68" t="str">
        <f t="shared" si="18"/>
        <v/>
      </c>
      <c r="AT237" s="74">
        <f t="shared" si="19"/>
        <v>34.200000000000003</v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35.6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7" s="69">
        <f t="shared" si="20"/>
        <v>-1.3999999999999986</v>
      </c>
    </row>
    <row r="238" spans="1:49" ht="14.25" customHeight="1" x14ac:dyDescent="0.2">
      <c r="A238" s="64">
        <v>26135160</v>
      </c>
      <c r="B238" s="70" t="s">
        <v>455</v>
      </c>
      <c r="C238" s="70" t="s">
        <v>420</v>
      </c>
      <c r="D238" s="101">
        <v>-75.579972220000002</v>
      </c>
      <c r="E238" s="101">
        <v>4.8416666670000001</v>
      </c>
      <c r="F238" s="64">
        <v>1947</v>
      </c>
      <c r="G238" s="62">
        <v>66</v>
      </c>
      <c r="H238" s="62">
        <v>66682</v>
      </c>
      <c r="I238" s="72" t="s">
        <v>64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21.95525324434557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26.7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8" s="69" t="str">
        <f t="shared" si="20"/>
        <v>NA</v>
      </c>
    </row>
    <row r="239" spans="1:49" ht="14.25" customHeight="1" x14ac:dyDescent="0.2">
      <c r="A239" s="64">
        <v>26140090</v>
      </c>
      <c r="B239" s="70" t="s">
        <v>457</v>
      </c>
      <c r="C239" s="70" t="s">
        <v>420</v>
      </c>
      <c r="D239" s="101">
        <v>-75.862777780000002</v>
      </c>
      <c r="E239" s="101">
        <v>5.1670555560000002</v>
      </c>
      <c r="F239" s="64">
        <v>1609</v>
      </c>
      <c r="G239" s="62">
        <v>18</v>
      </c>
      <c r="H239" s="62">
        <v>18094</v>
      </c>
      <c r="I239" s="72" t="s">
        <v>225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 t="str">
        <f>IFERROR(VLOOKUP(A239,Climatologia_TMAX!A:U,9+$E$2,FALSE),"")</f>
        <v/>
      </c>
      <c r="AS239" s="68" t="str">
        <f t="shared" si="18"/>
        <v/>
      </c>
      <c r="AT239" s="74" t="str">
        <f t="shared" si="19"/>
        <v/>
      </c>
      <c r="AU239" s="74" t="str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 t="str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 t="str">
        <f t="shared" si="20"/>
        <v>NA</v>
      </c>
    </row>
    <row r="240" spans="1:49" ht="14.25" customHeight="1" x14ac:dyDescent="0.2">
      <c r="A240" s="64">
        <v>26155170</v>
      </c>
      <c r="B240" s="70" t="s">
        <v>459</v>
      </c>
      <c r="C240" s="70" t="s">
        <v>420</v>
      </c>
      <c r="D240" s="101">
        <v>-75.438333330000006</v>
      </c>
      <c r="E240" s="101">
        <v>5.0322222219999997</v>
      </c>
      <c r="F240" s="64">
        <v>2325</v>
      </c>
      <c r="G240" s="62">
        <v>17</v>
      </c>
      <c r="H240" s="62">
        <v>17001</v>
      </c>
      <c r="I240" s="72" t="s">
        <v>115</v>
      </c>
      <c r="J240" s="72" t="s">
        <v>426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>24.6</v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0" s="69" t="str">
        <f t="shared" si="20"/>
        <v>NA</v>
      </c>
    </row>
    <row r="241" spans="1:49" ht="14.25" customHeight="1" x14ac:dyDescent="0.2">
      <c r="A241" s="64">
        <v>26025100</v>
      </c>
      <c r="B241" s="70" t="s">
        <v>460</v>
      </c>
      <c r="C241" s="70" t="s">
        <v>420</v>
      </c>
      <c r="D241" s="101">
        <v>-76.52633333</v>
      </c>
      <c r="E241" s="101">
        <v>2.6744722219999999</v>
      </c>
      <c r="F241" s="64">
        <v>1822</v>
      </c>
      <c r="G241" s="62">
        <v>19</v>
      </c>
      <c r="H241" s="62">
        <v>19548</v>
      </c>
      <c r="I241" s="72" t="s">
        <v>237</v>
      </c>
      <c r="J241" s="72" t="s">
        <v>461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>
        <f>IFERROR(VLOOKUP(A241,Climatologia_TMAX!A:U,9+$E$2,FALSE),"")</f>
        <v>24.697665985080661</v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29.8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1" s="69" t="str">
        <f t="shared" si="20"/>
        <v>NA</v>
      </c>
    </row>
    <row r="242" spans="1:49" ht="14.25" customHeight="1" x14ac:dyDescent="0.2">
      <c r="A242" s="64">
        <v>26055120</v>
      </c>
      <c r="B242" s="70" t="s">
        <v>462</v>
      </c>
      <c r="C242" s="70" t="s">
        <v>420</v>
      </c>
      <c r="D242" s="101">
        <v>-76.53388889</v>
      </c>
      <c r="E242" s="101">
        <v>3.3780000000000001</v>
      </c>
      <c r="F242" s="64">
        <v>996</v>
      </c>
      <c r="G242" s="62">
        <v>76</v>
      </c>
      <c r="H242" s="62">
        <v>76001</v>
      </c>
      <c r="I242" s="72" t="s">
        <v>421</v>
      </c>
      <c r="J242" s="72" t="s">
        <v>431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30.457726673817479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35.6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2" s="69" t="str">
        <f t="shared" si="20"/>
        <v>NA</v>
      </c>
    </row>
    <row r="243" spans="1:49" ht="14.25" customHeight="1" x14ac:dyDescent="0.2">
      <c r="A243" s="64">
        <v>26025090</v>
      </c>
      <c r="B243" s="70" t="s">
        <v>463</v>
      </c>
      <c r="C243" s="70" t="s">
        <v>420</v>
      </c>
      <c r="D243" s="101">
        <v>-76.561833332999996</v>
      </c>
      <c r="E243" s="101">
        <v>2.5847500000000001</v>
      </c>
      <c r="F243" s="64">
        <v>1850</v>
      </c>
      <c r="G243" s="62">
        <v>19</v>
      </c>
      <c r="H243" s="62">
        <v>19130</v>
      </c>
      <c r="I243" s="72" t="s">
        <v>237</v>
      </c>
      <c r="J243" s="72" t="s">
        <v>464</v>
      </c>
      <c r="K243" s="66">
        <v>25</v>
      </c>
      <c r="L243" s="66">
        <v>25.4</v>
      </c>
      <c r="M243" s="66">
        <v>26.4</v>
      </c>
      <c r="N243" s="66">
        <v>25.4</v>
      </c>
      <c r="O243" s="66">
        <v>28</v>
      </c>
      <c r="P243" s="66">
        <v>30.2</v>
      </c>
      <c r="Q243" s="66">
        <v>29.8</v>
      </c>
      <c r="R243" s="66">
        <v>29.4</v>
      </c>
      <c r="S243" s="66">
        <v>26.4</v>
      </c>
      <c r="T243" s="66">
        <v>28</v>
      </c>
      <c r="U243" s="66">
        <v>26.8</v>
      </c>
      <c r="V243" s="66">
        <v>26.4</v>
      </c>
      <c r="W243" s="66">
        <v>27</v>
      </c>
      <c r="X243" s="66"/>
      <c r="Y243" s="66">
        <v>28.2</v>
      </c>
      <c r="Z243" s="66">
        <v>28.4</v>
      </c>
      <c r="AA243" s="66">
        <v>27.4</v>
      </c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16</v>
      </c>
      <c r="AQ243" s="68">
        <f t="shared" si="17"/>
        <v>27.387499999999996</v>
      </c>
      <c r="AR243" s="68">
        <f>IFERROR(VLOOKUP(A243,Climatologia_TMAX!A:U,9+$E$2,FALSE),"")</f>
        <v>25.185936967000369</v>
      </c>
      <c r="AS243" s="68">
        <f t="shared" si="18"/>
        <v>2.2015630329996263</v>
      </c>
      <c r="AT243" s="74">
        <f t="shared" si="19"/>
        <v>30.2</v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29.8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3" s="69">
        <f t="shared" si="20"/>
        <v>0.39999999999999858</v>
      </c>
    </row>
    <row r="244" spans="1:49" ht="14.25" customHeight="1" x14ac:dyDescent="0.2">
      <c r="A244" s="64">
        <v>23035020</v>
      </c>
      <c r="B244" s="70" t="s">
        <v>465</v>
      </c>
      <c r="C244" s="70" t="s">
        <v>466</v>
      </c>
      <c r="D244" s="101">
        <v>-74.654722219999996</v>
      </c>
      <c r="E244" s="101">
        <v>5.471388889</v>
      </c>
      <c r="F244" s="64">
        <v>172</v>
      </c>
      <c r="G244" s="62">
        <v>25</v>
      </c>
      <c r="H244" s="62">
        <v>25572</v>
      </c>
      <c r="I244" s="72" t="s">
        <v>73</v>
      </c>
      <c r="J244" s="72" t="s">
        <v>467</v>
      </c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0</v>
      </c>
      <c r="AQ244" s="68" t="str">
        <f t="shared" si="17"/>
        <v/>
      </c>
      <c r="AR244" s="68">
        <f>IFERROR(VLOOKUP(A244,Climatologia_TMAX!A:U,9+$E$2,FALSE),"")</f>
        <v>34.498707926502703</v>
      </c>
      <c r="AS244" s="68" t="str">
        <f t="shared" si="18"/>
        <v/>
      </c>
      <c r="AT244" s="74" t="str">
        <f t="shared" si="19"/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40.6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4" s="69" t="str">
        <f t="shared" si="20"/>
        <v>NA</v>
      </c>
    </row>
    <row r="245" spans="1:49" ht="14.25" customHeight="1" x14ac:dyDescent="0.2">
      <c r="A245" s="64">
        <v>23025040</v>
      </c>
      <c r="B245" s="70" t="s">
        <v>250</v>
      </c>
      <c r="C245" s="70" t="s">
        <v>466</v>
      </c>
      <c r="D245" s="101">
        <v>-74.914580556000004</v>
      </c>
      <c r="E245" s="101">
        <v>5.301108889</v>
      </c>
      <c r="F245" s="64">
        <v>788</v>
      </c>
      <c r="G245" s="62">
        <v>73</v>
      </c>
      <c r="H245" s="62">
        <v>73443</v>
      </c>
      <c r="I245" s="72" t="s">
        <v>70</v>
      </c>
      <c r="J245" s="72" t="s">
        <v>468</v>
      </c>
      <c r="K245" s="66">
        <v>33.6</v>
      </c>
      <c r="L245" s="66">
        <v>29.6</v>
      </c>
      <c r="M245" s="66">
        <v>30.2</v>
      </c>
      <c r="N245" s="66">
        <v>29.2</v>
      </c>
      <c r="O245" s="66">
        <v>32.6</v>
      </c>
      <c r="P245" s="66">
        <v>33.6</v>
      </c>
      <c r="Q245" s="66">
        <v>34.200000000000003</v>
      </c>
      <c r="R245" s="66">
        <v>32</v>
      </c>
      <c r="S245" s="66">
        <v>29.2</v>
      </c>
      <c r="T245" s="66">
        <v>32.6</v>
      </c>
      <c r="U245" s="66">
        <v>32.200000000000003</v>
      </c>
      <c r="V245" s="66">
        <v>28.4</v>
      </c>
      <c r="W245" s="66">
        <v>33.6</v>
      </c>
      <c r="X245" s="66">
        <v>32.799999999999997</v>
      </c>
      <c r="Y245" s="66">
        <v>33.4</v>
      </c>
      <c r="Z245" s="66">
        <v>34.200000000000003</v>
      </c>
      <c r="AA245" s="66">
        <v>34.6</v>
      </c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17</v>
      </c>
      <c r="AQ245" s="68">
        <f t="shared" si="17"/>
        <v>32.117647058823529</v>
      </c>
      <c r="AR245" s="68">
        <f>IFERROR(VLOOKUP(A245,Climatologia_TMAX!A:U,9+$E$2,FALSE),"")</f>
        <v>29.837016579267971</v>
      </c>
      <c r="AS245" s="68">
        <f t="shared" si="18"/>
        <v>2.2806304795555583</v>
      </c>
      <c r="AT245" s="74">
        <f t="shared" si="19"/>
        <v>34.6</v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35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5" s="69">
        <f t="shared" si="20"/>
        <v>-0.39999999999999858</v>
      </c>
    </row>
    <row r="246" spans="1:49" ht="14.25" customHeight="1" x14ac:dyDescent="0.2">
      <c r="A246" s="64">
        <v>21255090</v>
      </c>
      <c r="B246" s="70" t="s">
        <v>469</v>
      </c>
      <c r="C246" s="70" t="s">
        <v>466</v>
      </c>
      <c r="D246" s="101">
        <v>-74.899991666999995</v>
      </c>
      <c r="E246" s="101">
        <v>5</v>
      </c>
      <c r="F246" s="64">
        <v>321</v>
      </c>
      <c r="G246" s="62">
        <v>73</v>
      </c>
      <c r="H246" s="62">
        <v>73055</v>
      </c>
      <c r="I246" s="72" t="s">
        <v>70</v>
      </c>
      <c r="J246" s="72" t="s">
        <v>470</v>
      </c>
      <c r="K246" s="66">
        <v>36.200000000000003</v>
      </c>
      <c r="L246" s="66">
        <v>34.4</v>
      </c>
      <c r="M246" s="66">
        <v>34.6</v>
      </c>
      <c r="N246" s="66">
        <v>32.200000000000003</v>
      </c>
      <c r="O246" s="66">
        <v>37.200000000000003</v>
      </c>
      <c r="P246" s="66">
        <v>38.4</v>
      </c>
      <c r="Q246" s="66">
        <v>38.6</v>
      </c>
      <c r="R246" s="66">
        <v>38.200000000000003</v>
      </c>
      <c r="S246" s="66">
        <v>35.200000000000003</v>
      </c>
      <c r="T246" s="66">
        <v>37.200000000000003</v>
      </c>
      <c r="U246" s="66">
        <v>37.799999999999997</v>
      </c>
      <c r="V246" s="66">
        <v>32.6</v>
      </c>
      <c r="W246" s="66">
        <v>38.200000000000003</v>
      </c>
      <c r="X246" s="66">
        <v>37.799999999999997</v>
      </c>
      <c r="Y246" s="66">
        <v>38.4</v>
      </c>
      <c r="Z246" s="66">
        <v>39.799999999999997</v>
      </c>
      <c r="AA246" s="66">
        <v>39</v>
      </c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17</v>
      </c>
      <c r="AQ246" s="68">
        <f t="shared" si="17"/>
        <v>36.811764705882354</v>
      </c>
      <c r="AR246" s="68">
        <f>IFERROR(VLOOKUP(A246,Climatologia_TMAX!A:U,9+$E$2,FALSE),"")</f>
        <v>34.589235433370753</v>
      </c>
      <c r="AS246" s="68">
        <f t="shared" si="18"/>
        <v>2.2225292725116006</v>
      </c>
      <c r="AT246" s="74">
        <f t="shared" si="19"/>
        <v>39.799999999999997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39.6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0.19999999999999574</v>
      </c>
    </row>
    <row r="247" spans="1:49" ht="14.25" customHeight="1" x14ac:dyDescent="0.2">
      <c r="A247" s="64">
        <v>21215080</v>
      </c>
      <c r="B247" s="70" t="s">
        <v>471</v>
      </c>
      <c r="C247" s="70" t="s">
        <v>466</v>
      </c>
      <c r="D247" s="101">
        <v>-74.995361110000005</v>
      </c>
      <c r="E247" s="101">
        <v>4.2315277780000002</v>
      </c>
      <c r="F247" s="64">
        <v>432</v>
      </c>
      <c r="G247" s="62">
        <v>73</v>
      </c>
      <c r="H247" s="62">
        <v>73268</v>
      </c>
      <c r="I247" s="72" t="s">
        <v>70</v>
      </c>
      <c r="J247" s="72" t="s">
        <v>472</v>
      </c>
      <c r="K247" s="66">
        <v>33.6</v>
      </c>
      <c r="L247" s="66">
        <v>34.6</v>
      </c>
      <c r="M247" s="66">
        <v>31.6</v>
      </c>
      <c r="N247" s="66">
        <v>31.8</v>
      </c>
      <c r="O247" s="66">
        <v>33.799999999999997</v>
      </c>
      <c r="P247" s="66">
        <v>36.200000000000003</v>
      </c>
      <c r="Q247" s="66">
        <v>36.6</v>
      </c>
      <c r="R247" s="66">
        <v>36.4</v>
      </c>
      <c r="S247" s="66">
        <v>33.799999999999997</v>
      </c>
      <c r="T247" s="66">
        <v>33</v>
      </c>
      <c r="U247" s="66"/>
      <c r="V247" s="66"/>
      <c r="W247" s="66"/>
      <c r="X247" s="66"/>
      <c r="Y247" s="66">
        <v>37.4</v>
      </c>
      <c r="Z247" s="66">
        <v>37</v>
      </c>
      <c r="AA247" s="66">
        <v>35.200000000000003</v>
      </c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13</v>
      </c>
      <c r="AQ247" s="68" t="str">
        <f t="shared" si="17"/>
        <v/>
      </c>
      <c r="AR247" s="68">
        <f>IFERROR(VLOOKUP(A247,Climatologia_TMAX!A:U,9+$E$2,FALSE),"")</f>
        <v>33.055274477310391</v>
      </c>
      <c r="AS247" s="68" t="str">
        <f t="shared" si="18"/>
        <v/>
      </c>
      <c r="AT247" s="74">
        <f t="shared" si="19"/>
        <v>37.4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7" s="69">
        <f t="shared" si="20"/>
        <v>-1.2000000000000028</v>
      </c>
    </row>
    <row r="248" spans="1:49" ht="14.25" customHeight="1" x14ac:dyDescent="0.2">
      <c r="A248" s="64">
        <v>22045010</v>
      </c>
      <c r="B248" s="70" t="s">
        <v>473</v>
      </c>
      <c r="C248" s="70" t="s">
        <v>466</v>
      </c>
      <c r="D248" s="101">
        <v>-75.503444439999996</v>
      </c>
      <c r="E248" s="101">
        <v>3.7224444440000002</v>
      </c>
      <c r="F248" s="64">
        <v>895</v>
      </c>
      <c r="G248" s="62">
        <v>73</v>
      </c>
      <c r="H248" s="62">
        <v>73168</v>
      </c>
      <c r="I248" s="72" t="s">
        <v>70</v>
      </c>
      <c r="J248" s="72" t="s">
        <v>474</v>
      </c>
      <c r="K248" s="66">
        <v>32.6</v>
      </c>
      <c r="L248" s="66">
        <v>29</v>
      </c>
      <c r="M248" s="66">
        <v>30</v>
      </c>
      <c r="N248" s="66">
        <v>31.8</v>
      </c>
      <c r="O248" s="66">
        <v>32</v>
      </c>
      <c r="P248" s="66">
        <v>31.8</v>
      </c>
      <c r="Q248" s="66">
        <v>32.799999999999997</v>
      </c>
      <c r="R248" s="66">
        <v>31.8</v>
      </c>
      <c r="S248" s="66">
        <v>32</v>
      </c>
      <c r="T248" s="66">
        <v>31.8</v>
      </c>
      <c r="U248" s="66">
        <v>32</v>
      </c>
      <c r="V248" s="66">
        <v>31.8</v>
      </c>
      <c r="W248" s="106">
        <v>32.6</v>
      </c>
      <c r="X248" s="66">
        <v>30.8</v>
      </c>
      <c r="Y248" s="106">
        <v>32.4</v>
      </c>
      <c r="Z248" s="66">
        <v>30</v>
      </c>
      <c r="AA248" s="66">
        <v>29.8</v>
      </c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17</v>
      </c>
      <c r="AQ248" s="68">
        <f t="shared" si="17"/>
        <v>31.470588235294116</v>
      </c>
      <c r="AR248" s="68">
        <f>IFERROR(VLOOKUP(A248,Climatologia_TMAX!A:U,9+$E$2,FALSE),"")</f>
        <v>30.878774770320931</v>
      </c>
      <c r="AS248" s="68">
        <f t="shared" si="18"/>
        <v>0.59181346497318543</v>
      </c>
      <c r="AT248" s="74">
        <f t="shared" si="19"/>
        <v>32.799999999999997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34.799999999999997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8" s="69">
        <f t="shared" si="20"/>
        <v>-2</v>
      </c>
    </row>
    <row r="249" spans="1:49" ht="14.25" customHeight="1" x14ac:dyDescent="0.2">
      <c r="A249" s="64">
        <v>21255080</v>
      </c>
      <c r="B249" s="70" t="s">
        <v>475</v>
      </c>
      <c r="C249" s="70" t="s">
        <v>466</v>
      </c>
      <c r="D249" s="101">
        <v>-74.767944439999994</v>
      </c>
      <c r="E249" s="101">
        <v>4.7837779999999999</v>
      </c>
      <c r="F249" s="64">
        <v>308</v>
      </c>
      <c r="G249" s="62">
        <v>73</v>
      </c>
      <c r="H249" s="62">
        <v>73030</v>
      </c>
      <c r="I249" s="72" t="s">
        <v>70</v>
      </c>
      <c r="J249" s="72" t="s">
        <v>476</v>
      </c>
      <c r="K249" s="66">
        <v>37.4</v>
      </c>
      <c r="L249" s="66">
        <v>37.200000000000003</v>
      </c>
      <c r="M249" s="66">
        <v>35.4</v>
      </c>
      <c r="N249" s="66">
        <v>35.6</v>
      </c>
      <c r="O249" s="66">
        <v>38</v>
      </c>
      <c r="P249" s="66">
        <v>38</v>
      </c>
      <c r="Q249" s="66">
        <v>38.200000000000003</v>
      </c>
      <c r="R249" s="66">
        <v>38.799999999999997</v>
      </c>
      <c r="S249" s="66"/>
      <c r="T249" s="66">
        <v>35.6</v>
      </c>
      <c r="U249" s="66">
        <v>38.4</v>
      </c>
      <c r="V249" s="66">
        <v>35</v>
      </c>
      <c r="W249" s="66">
        <v>37.6</v>
      </c>
      <c r="X249" s="66">
        <v>37.4</v>
      </c>
      <c r="Y249" s="66">
        <v>38.4</v>
      </c>
      <c r="Z249" s="66">
        <v>38.200000000000003</v>
      </c>
      <c r="AA249" s="66">
        <v>38.6</v>
      </c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16</v>
      </c>
      <c r="AQ249" s="68">
        <f t="shared" si="17"/>
        <v>37.362500000000004</v>
      </c>
      <c r="AR249" s="68">
        <f>IFERROR(VLOOKUP(A249,Climatologia_TMAX!A:U,9+$E$2,FALSE),"")</f>
        <v>35.594967029941238</v>
      </c>
      <c r="AS249" s="68">
        <f t="shared" si="18"/>
        <v>1.7675329700587668</v>
      </c>
      <c r="AT249" s="74">
        <f t="shared" si="19"/>
        <v>38.799999999999997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41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49" s="69">
        <f t="shared" si="20"/>
        <v>-2.2000000000000028</v>
      </c>
    </row>
    <row r="250" spans="1:49" ht="14.25" customHeight="1" x14ac:dyDescent="0.2">
      <c r="A250" s="64">
        <v>21185030</v>
      </c>
      <c r="B250" s="70" t="s">
        <v>477</v>
      </c>
      <c r="C250" s="70" t="s">
        <v>466</v>
      </c>
      <c r="D250" s="101">
        <v>-74.981388890000005</v>
      </c>
      <c r="E250" s="101">
        <v>4.0088333330000001</v>
      </c>
      <c r="F250" s="64">
        <v>332</v>
      </c>
      <c r="G250" s="62">
        <v>73</v>
      </c>
      <c r="H250" s="62">
        <v>73319</v>
      </c>
      <c r="I250" s="72" t="s">
        <v>70</v>
      </c>
      <c r="J250" s="72" t="s">
        <v>477</v>
      </c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0</v>
      </c>
      <c r="AQ250" s="68" t="str">
        <f t="shared" si="17"/>
        <v/>
      </c>
      <c r="AR250" s="68">
        <f>IFERROR(VLOOKUP(A250,Climatologia_TMAX!A:U,9+$E$2,FALSE),"")</f>
        <v>34.119661479497253</v>
      </c>
      <c r="AS250" s="68" t="str">
        <f t="shared" si="18"/>
        <v/>
      </c>
      <c r="AT250" s="74" t="str">
        <f t="shared" si="19"/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38.799999999999997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0" s="69" t="str">
        <f t="shared" si="20"/>
        <v>NA</v>
      </c>
    </row>
    <row r="251" spans="1:49" ht="14.25" customHeight="1" x14ac:dyDescent="0.2">
      <c r="A251" s="64">
        <v>21135020</v>
      </c>
      <c r="B251" s="70" t="s">
        <v>478</v>
      </c>
      <c r="C251" s="70" t="s">
        <v>466</v>
      </c>
      <c r="D251" s="101">
        <v>-75.015749999999997</v>
      </c>
      <c r="E251" s="101">
        <v>3.85575</v>
      </c>
      <c r="F251" s="64">
        <v>313</v>
      </c>
      <c r="G251" s="62">
        <v>73</v>
      </c>
      <c r="H251" s="62">
        <v>73671</v>
      </c>
      <c r="I251" s="72" t="s">
        <v>70</v>
      </c>
      <c r="J251" s="72" t="s">
        <v>479</v>
      </c>
      <c r="K251" s="66">
        <v>35.6</v>
      </c>
      <c r="L251" s="66">
        <v>36.200000000000003</v>
      </c>
      <c r="M251" s="66">
        <v>33.6</v>
      </c>
      <c r="N251" s="66">
        <v>35.6</v>
      </c>
      <c r="O251" s="66">
        <v>36.6</v>
      </c>
      <c r="P251" s="66">
        <v>38.4</v>
      </c>
      <c r="Q251" s="66">
        <v>38.6</v>
      </c>
      <c r="R251" s="66">
        <v>38</v>
      </c>
      <c r="S251" s="66">
        <v>36.200000000000003</v>
      </c>
      <c r="T251" s="66">
        <v>36.799999999999997</v>
      </c>
      <c r="U251" s="66">
        <v>37.4</v>
      </c>
      <c r="V251" s="66">
        <v>33.200000000000003</v>
      </c>
      <c r="W251" s="66">
        <v>38</v>
      </c>
      <c r="X251" s="66">
        <v>35.799999999999997</v>
      </c>
      <c r="Y251" s="66">
        <v>38.6</v>
      </c>
      <c r="Z251" s="66">
        <v>38.6</v>
      </c>
      <c r="AA251" s="66">
        <v>37.4</v>
      </c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17</v>
      </c>
      <c r="AQ251" s="68">
        <f t="shared" si="17"/>
        <v>36.741176470588236</v>
      </c>
      <c r="AR251" s="68">
        <f>IFERROR(VLOOKUP(A251,Climatologia_TMAX!A:U,9+$E$2,FALSE),"")</f>
        <v>34.166488485337432</v>
      </c>
      <c r="AS251" s="68">
        <f t="shared" si="18"/>
        <v>2.5746879852508044</v>
      </c>
      <c r="AT251" s="74">
        <f t="shared" si="19"/>
        <v>38.6</v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1" s="69">
        <f t="shared" si="20"/>
        <v>-0.39999999999999858</v>
      </c>
    </row>
    <row r="252" spans="1:49" ht="14.25" customHeight="1" x14ac:dyDescent="0.2">
      <c r="A252" s="64">
        <v>21235010</v>
      </c>
      <c r="B252" s="70" t="s">
        <v>480</v>
      </c>
      <c r="C252" s="70" t="s">
        <v>466</v>
      </c>
      <c r="D252" s="101">
        <v>-74.702388889999995</v>
      </c>
      <c r="E252" s="101">
        <v>4.5618055560000004</v>
      </c>
      <c r="F252" s="64">
        <v>297</v>
      </c>
      <c r="G252" s="62">
        <v>25</v>
      </c>
      <c r="H252" s="62">
        <v>25368</v>
      </c>
      <c r="I252" s="72" t="s">
        <v>73</v>
      </c>
      <c r="J252" s="72" t="s">
        <v>481</v>
      </c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0</v>
      </c>
      <c r="AQ252" s="68" t="str">
        <f t="shared" si="17"/>
        <v/>
      </c>
      <c r="AR252" s="68">
        <f>IFERROR(VLOOKUP(A252,Climatologia_TMAX!A:U,9+$E$2,FALSE),"")</f>
        <v>35.95996503418305</v>
      </c>
      <c r="AS252" s="68" t="str">
        <f t="shared" si="18"/>
        <v/>
      </c>
      <c r="AT252" s="74" t="str">
        <f t="shared" si="19"/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40.6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2" s="69" t="str">
        <f t="shared" si="20"/>
        <v>NA</v>
      </c>
    </row>
    <row r="253" spans="1:49" ht="14.25" customHeight="1" x14ac:dyDescent="0.2">
      <c r="A253" s="64">
        <v>2125500032</v>
      </c>
      <c r="B253" s="70" t="s">
        <v>482</v>
      </c>
      <c r="C253" s="70" t="s">
        <v>466</v>
      </c>
      <c r="D253" s="101">
        <v>-74.890866000000003</v>
      </c>
      <c r="E253" s="101">
        <v>5.1700520000000001</v>
      </c>
      <c r="F253" s="64">
        <v>437</v>
      </c>
      <c r="G253" s="62">
        <v>73</v>
      </c>
      <c r="H253" s="62">
        <v>73443</v>
      </c>
      <c r="I253" s="72" t="s">
        <v>70</v>
      </c>
      <c r="J253" s="72" t="s">
        <v>468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 t="str">
        <f>IFERROR(VLOOKUP(A253,Climatologia_TMAX!A:U,9+$E$2,FALSE),"")</f>
        <v/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36.4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22055020</v>
      </c>
      <c r="B254" s="70" t="s">
        <v>483</v>
      </c>
      <c r="C254" s="70" t="s">
        <v>466</v>
      </c>
      <c r="D254" s="101">
        <v>-75.536361110000001</v>
      </c>
      <c r="E254" s="101">
        <v>3.4557777779999999</v>
      </c>
      <c r="F254" s="64">
        <v>699</v>
      </c>
      <c r="G254" s="62">
        <v>73</v>
      </c>
      <c r="H254" s="62">
        <v>73067</v>
      </c>
      <c r="I254" s="72" t="s">
        <v>70</v>
      </c>
      <c r="J254" s="72" t="s">
        <v>484</v>
      </c>
      <c r="K254" s="66">
        <v>34</v>
      </c>
      <c r="L254" s="66">
        <v>32.6</v>
      </c>
      <c r="M254" s="66">
        <v>28.2</v>
      </c>
      <c r="N254" s="66">
        <v>30.2</v>
      </c>
      <c r="O254" s="66">
        <v>33.4</v>
      </c>
      <c r="P254" s="66">
        <v>35</v>
      </c>
      <c r="Q254" s="66">
        <v>35.6</v>
      </c>
      <c r="R254" s="66">
        <v>35.4</v>
      </c>
      <c r="S254" s="66">
        <v>32.799999999999997</v>
      </c>
      <c r="T254" s="66">
        <v>33.4</v>
      </c>
      <c r="U254" s="66">
        <v>36.200000000000003</v>
      </c>
      <c r="V254" s="66">
        <v>30</v>
      </c>
      <c r="W254" s="66">
        <v>35</v>
      </c>
      <c r="X254" s="66">
        <v>31.8</v>
      </c>
      <c r="Y254" s="114">
        <v>36.799999999999997</v>
      </c>
      <c r="Z254" s="66">
        <v>33.799999999999997</v>
      </c>
      <c r="AA254" s="66">
        <v>33.4</v>
      </c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17</v>
      </c>
      <c r="AQ254" s="68">
        <f t="shared" si="17"/>
        <v>33.388235294117642</v>
      </c>
      <c r="AR254" s="68">
        <f>IFERROR(VLOOKUP(A254,Climatologia_TMAX!A:U,9+$E$2,FALSE),"")</f>
        <v>32.101564904411298</v>
      </c>
      <c r="AS254" s="68">
        <f t="shared" si="18"/>
        <v>1.2866703897063445</v>
      </c>
      <c r="AT254" s="74">
        <f t="shared" si="19"/>
        <v>36.799999999999997</v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4" s="69">
        <f t="shared" si="20"/>
        <v>0.59999999999999432</v>
      </c>
    </row>
    <row r="255" spans="1:49" ht="14.25" customHeight="1" x14ac:dyDescent="0.2">
      <c r="A255" s="64">
        <v>21245010</v>
      </c>
      <c r="B255" s="108" t="s">
        <v>485</v>
      </c>
      <c r="C255" s="70" t="s">
        <v>466</v>
      </c>
      <c r="D255" s="101">
        <v>-75.200522219999996</v>
      </c>
      <c r="E255" s="101">
        <v>4.4296666670000002</v>
      </c>
      <c r="F255" s="64">
        <v>826</v>
      </c>
      <c r="G255" s="62">
        <v>73</v>
      </c>
      <c r="H255" s="62">
        <v>73001</v>
      </c>
      <c r="I255" s="72" t="s">
        <v>70</v>
      </c>
      <c r="J255" s="72" t="s">
        <v>71</v>
      </c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109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0</v>
      </c>
      <c r="AQ255" s="68" t="str">
        <f t="shared" si="17"/>
        <v/>
      </c>
      <c r="AR255" s="68">
        <f>IFERROR(VLOOKUP(A255,Climatologia_TMAX!A:U,9+$E$2,FALSE),"")</f>
        <v>31.34521198156683</v>
      </c>
      <c r="AS255" s="68" t="str">
        <f t="shared" si="18"/>
        <v/>
      </c>
      <c r="AT255" s="74" t="str">
        <f t="shared" si="19"/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35.799999999999997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5" s="69" t="str">
        <f t="shared" si="20"/>
        <v>NA</v>
      </c>
    </row>
    <row r="256" spans="1:49" ht="14.25" customHeight="1" x14ac:dyDescent="0.2">
      <c r="A256" s="64">
        <v>21165010</v>
      </c>
      <c r="B256" s="70" t="s">
        <v>486</v>
      </c>
      <c r="C256" s="70" t="s">
        <v>466</v>
      </c>
      <c r="D256" s="101">
        <v>-74.917027779999998</v>
      </c>
      <c r="E256" s="101">
        <v>3.7876111109999999</v>
      </c>
      <c r="F256" s="64">
        <v>311</v>
      </c>
      <c r="G256" s="62">
        <v>73</v>
      </c>
      <c r="H256" s="62">
        <v>73563</v>
      </c>
      <c r="I256" s="72" t="s">
        <v>70</v>
      </c>
      <c r="J256" s="72" t="s">
        <v>487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34.156164050591187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38.200000000000003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6" s="69" t="str">
        <f t="shared" si="20"/>
        <v>NA</v>
      </c>
    </row>
    <row r="257" spans="1:49" ht="14.25" customHeight="1" x14ac:dyDescent="0.2">
      <c r="A257" s="64">
        <v>23055040</v>
      </c>
      <c r="B257" s="70" t="s">
        <v>488</v>
      </c>
      <c r="C257" s="70" t="s">
        <v>466</v>
      </c>
      <c r="D257" s="101">
        <v>-74.992927777999995</v>
      </c>
      <c r="E257" s="101">
        <v>5.4182880559999997</v>
      </c>
      <c r="F257" s="64">
        <v>1532</v>
      </c>
      <c r="G257" s="62">
        <v>17</v>
      </c>
      <c r="H257" s="62">
        <v>17662</v>
      </c>
      <c r="I257" s="72" t="s">
        <v>115</v>
      </c>
      <c r="J257" s="72" t="s">
        <v>489</v>
      </c>
      <c r="K257" s="66">
        <v>26.2</v>
      </c>
      <c r="L257" s="66">
        <v>26.6</v>
      </c>
      <c r="M257" s="66">
        <v>25.2</v>
      </c>
      <c r="N257" s="66">
        <v>22.4</v>
      </c>
      <c r="O257" s="66">
        <v>24.4</v>
      </c>
      <c r="P257" s="66">
        <v>26.2</v>
      </c>
      <c r="Q257" s="66">
        <v>27.2</v>
      </c>
      <c r="R257" s="66">
        <v>27.2</v>
      </c>
      <c r="S257" s="66">
        <v>24.2</v>
      </c>
      <c r="T257" s="66">
        <v>26.2</v>
      </c>
      <c r="U257" s="66">
        <v>25.6</v>
      </c>
      <c r="V257" s="66">
        <v>23.6</v>
      </c>
      <c r="W257" s="66">
        <v>26.6</v>
      </c>
      <c r="X257" s="66">
        <v>25.8</v>
      </c>
      <c r="Y257" s="66">
        <v>26.2</v>
      </c>
      <c r="Z257" s="66">
        <v>27.2</v>
      </c>
      <c r="AA257" s="66">
        <v>27.6</v>
      </c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17</v>
      </c>
      <c r="AQ257" s="68">
        <f t="shared" si="17"/>
        <v>25.788235294117648</v>
      </c>
      <c r="AR257" s="68">
        <f>IFERROR(VLOOKUP(A257,Climatologia_TMAX!A:U,9+$E$2,FALSE),"")</f>
        <v>23.031672231617851</v>
      </c>
      <c r="AS257" s="68">
        <f t="shared" si="18"/>
        <v>2.7565630624997972</v>
      </c>
      <c r="AT257" s="74">
        <f t="shared" si="19"/>
        <v>27.6</v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29.2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7" s="69">
        <f t="shared" si="20"/>
        <v>-1.5999999999999979</v>
      </c>
    </row>
    <row r="258" spans="1:49" ht="14.25" customHeight="1" x14ac:dyDescent="0.2">
      <c r="A258" s="64">
        <v>22065040</v>
      </c>
      <c r="B258" s="70" t="s">
        <v>490</v>
      </c>
      <c r="C258" s="70" t="s">
        <v>466</v>
      </c>
      <c r="D258" s="101">
        <v>-75.467749999999995</v>
      </c>
      <c r="E258" s="101">
        <v>3.9211999999999998</v>
      </c>
      <c r="F258" s="64">
        <v>1566</v>
      </c>
      <c r="G258" s="62">
        <v>73</v>
      </c>
      <c r="H258" s="62">
        <v>73675</v>
      </c>
      <c r="I258" s="72" t="s">
        <v>70</v>
      </c>
      <c r="J258" s="72" t="s">
        <v>491</v>
      </c>
      <c r="K258" s="66">
        <v>25.6</v>
      </c>
      <c r="L258" s="66">
        <v>24.4</v>
      </c>
      <c r="M258" s="66">
        <v>22.4</v>
      </c>
      <c r="N258" s="66">
        <v>25</v>
      </c>
      <c r="O258" s="66">
        <v>25.2</v>
      </c>
      <c r="P258" s="66">
        <v>27.2</v>
      </c>
      <c r="Q258" s="66">
        <v>27.8</v>
      </c>
      <c r="R258" s="66">
        <v>27.2</v>
      </c>
      <c r="S258" s="66">
        <v>24.8</v>
      </c>
      <c r="T258" s="66">
        <v>24.2</v>
      </c>
      <c r="U258" s="66">
        <v>26.6</v>
      </c>
      <c r="V258" s="66">
        <v>24.4</v>
      </c>
      <c r="W258" s="66">
        <v>26.4</v>
      </c>
      <c r="X258" s="66">
        <v>25</v>
      </c>
      <c r="Y258" s="66">
        <v>27.2</v>
      </c>
      <c r="Z258" s="66">
        <v>26.2</v>
      </c>
      <c r="AA258" s="66">
        <v>25.2</v>
      </c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17</v>
      </c>
      <c r="AQ258" s="68">
        <f t="shared" si="17"/>
        <v>25.576470588235292</v>
      </c>
      <c r="AR258" s="68">
        <f>IFERROR(VLOOKUP(A258,Climatologia_TMAX!A:U,9+$E$2,FALSE),"")</f>
        <v>26.17729236188358</v>
      </c>
      <c r="AS258" s="68">
        <f t="shared" si="18"/>
        <v>-0.60082177364828837</v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30.4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8" s="69">
        <f t="shared" si="20"/>
        <v>-2.5999999999999979</v>
      </c>
    </row>
    <row r="259" spans="1:49" ht="14.25" customHeight="1" x14ac:dyDescent="0.2">
      <c r="A259" s="64">
        <v>21245140</v>
      </c>
      <c r="B259" s="70" t="s">
        <v>492</v>
      </c>
      <c r="C259" s="70" t="s">
        <v>466</v>
      </c>
      <c r="D259" s="101">
        <v>-75.09445556</v>
      </c>
      <c r="E259" s="101">
        <v>4.7118611110000002</v>
      </c>
      <c r="F259" s="64">
        <v>2288</v>
      </c>
      <c r="G259" s="62">
        <v>73</v>
      </c>
      <c r="H259" s="62">
        <v>73686</v>
      </c>
      <c r="I259" s="72" t="s">
        <v>70</v>
      </c>
      <c r="J259" s="72" t="s">
        <v>492</v>
      </c>
      <c r="K259" s="66">
        <v>21.2</v>
      </c>
      <c r="L259" s="66">
        <v>21.2</v>
      </c>
      <c r="M259" s="66">
        <v>20</v>
      </c>
      <c r="N259" s="66">
        <v>16.2</v>
      </c>
      <c r="O259" s="66">
        <v>21</v>
      </c>
      <c r="P259" s="66">
        <v>20.2</v>
      </c>
      <c r="Q259" s="66">
        <v>22</v>
      </c>
      <c r="R259" s="66">
        <v>21.6</v>
      </c>
      <c r="S259" s="66">
        <v>18.399999999999999</v>
      </c>
      <c r="T259" s="66">
        <v>21.6</v>
      </c>
      <c r="U259" s="66">
        <v>21.4</v>
      </c>
      <c r="V259" s="66">
        <v>18.399999999999999</v>
      </c>
      <c r="W259" s="109">
        <v>21</v>
      </c>
      <c r="X259" s="66">
        <v>21</v>
      </c>
      <c r="Y259" s="66">
        <v>20.8</v>
      </c>
      <c r="Z259" s="66">
        <v>22.2</v>
      </c>
      <c r="AA259" s="66">
        <v>22.8</v>
      </c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17</v>
      </c>
      <c r="AQ259" s="68">
        <f t="shared" si="17"/>
        <v>20.647058823529417</v>
      </c>
      <c r="AR259" s="68">
        <f>IFERROR(VLOOKUP(A259,Climatologia_TMAX!A:U,9+$E$2,FALSE),"")</f>
        <v>18.964877782721398</v>
      </c>
      <c r="AS259" s="68">
        <f t="shared" si="18"/>
        <v>1.6821810408080182</v>
      </c>
      <c r="AT259" s="74">
        <f t="shared" si="19"/>
        <v>22.8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23.2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59" s="69">
        <f t="shared" si="20"/>
        <v>-0.39999999999999858</v>
      </c>
    </row>
    <row r="260" spans="1:49" ht="14.25" customHeight="1" x14ac:dyDescent="0.2">
      <c r="A260" s="64">
        <v>21185080</v>
      </c>
      <c r="B260" s="70" t="s">
        <v>493</v>
      </c>
      <c r="C260" s="70" t="s">
        <v>466</v>
      </c>
      <c r="D260" s="101">
        <v>-75.104611110999997</v>
      </c>
      <c r="E260" s="101">
        <v>4.2164583330000003</v>
      </c>
      <c r="F260" s="64">
        <v>591</v>
      </c>
      <c r="G260" s="62">
        <v>73</v>
      </c>
      <c r="H260" s="62">
        <v>73854</v>
      </c>
      <c r="I260" s="72" t="s">
        <v>70</v>
      </c>
      <c r="J260" s="72" t="s">
        <v>493</v>
      </c>
      <c r="K260" s="66">
        <v>34.6</v>
      </c>
      <c r="L260" s="66">
        <v>35</v>
      </c>
      <c r="M260" s="66">
        <v>31.6</v>
      </c>
      <c r="N260" s="66">
        <v>32.200000000000003</v>
      </c>
      <c r="O260" s="66">
        <v>34.799999999999997</v>
      </c>
      <c r="P260" s="66">
        <v>36</v>
      </c>
      <c r="Q260" s="66">
        <v>35.799999999999997</v>
      </c>
      <c r="R260" s="66">
        <v>36</v>
      </c>
      <c r="S260" s="66">
        <v>34.4</v>
      </c>
      <c r="T260" s="66">
        <v>33.6</v>
      </c>
      <c r="U260" s="66">
        <v>35.6</v>
      </c>
      <c r="V260" s="66">
        <v>32.4</v>
      </c>
      <c r="W260" s="66">
        <v>35.200000000000003</v>
      </c>
      <c r="X260" s="66">
        <v>35.6</v>
      </c>
      <c r="Y260" s="66">
        <v>36.200000000000003</v>
      </c>
      <c r="Z260" s="66">
        <v>35.4</v>
      </c>
      <c r="AA260" s="66">
        <v>35.200000000000003</v>
      </c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17</v>
      </c>
      <c r="AQ260" s="68">
        <f t="shared" si="17"/>
        <v>34.682352941176475</v>
      </c>
      <c r="AR260" s="68" t="str">
        <f>IFERROR(VLOOKUP(A260,Climatologia_TMAX!A:U,9+$E$2,FALSE),"")</f>
        <v/>
      </c>
      <c r="AS260" s="68" t="str">
        <f t="shared" si="18"/>
        <v/>
      </c>
      <c r="AT260" s="74">
        <f t="shared" si="19"/>
        <v>36.200000000000003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37.6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0" s="69">
        <f t="shared" si="20"/>
        <v>-1.3999999999999986</v>
      </c>
    </row>
    <row r="261" spans="1:49" ht="14.25" customHeight="1" x14ac:dyDescent="0.2">
      <c r="A261" s="64">
        <v>21255120</v>
      </c>
      <c r="B261" s="70" t="s">
        <v>494</v>
      </c>
      <c r="C261" s="70" t="s">
        <v>466</v>
      </c>
      <c r="D261" s="101">
        <v>-75.117336111</v>
      </c>
      <c r="E261" s="101">
        <v>5.0267619440000004</v>
      </c>
      <c r="F261" s="64">
        <v>2069</v>
      </c>
      <c r="G261" s="62">
        <v>73</v>
      </c>
      <c r="H261" s="62">
        <v>73870</v>
      </c>
      <c r="I261" s="72" t="s">
        <v>70</v>
      </c>
      <c r="J261" s="72" t="s">
        <v>494</v>
      </c>
      <c r="K261" s="66">
        <v>23.2</v>
      </c>
      <c r="L261" s="66">
        <v>23</v>
      </c>
      <c r="M261" s="66">
        <v>22</v>
      </c>
      <c r="N261" s="66">
        <v>20.399999999999999</v>
      </c>
      <c r="O261" s="66">
        <v>21.8</v>
      </c>
      <c r="P261" s="66">
        <v>23.6</v>
      </c>
      <c r="Q261" s="66">
        <v>22.8</v>
      </c>
      <c r="R261" s="66">
        <v>23</v>
      </c>
      <c r="S261" s="66">
        <v>20</v>
      </c>
      <c r="T261" s="66">
        <v>23</v>
      </c>
      <c r="U261" s="66">
        <v>22.8</v>
      </c>
      <c r="V261" s="66">
        <v>21.2</v>
      </c>
      <c r="W261" s="66">
        <v>22.2</v>
      </c>
      <c r="X261" s="66">
        <v>22.4</v>
      </c>
      <c r="Y261" s="66">
        <v>22.4</v>
      </c>
      <c r="Z261" s="66">
        <v>23.2</v>
      </c>
      <c r="AA261" s="66">
        <v>23.6</v>
      </c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17</v>
      </c>
      <c r="AQ261" s="68">
        <f t="shared" ref="AQ261:AQ324" si="22">IF(AP261&gt;14,AVERAGE(K261:AO261),"")</f>
        <v>22.388235294117646</v>
      </c>
      <c r="AR261" s="68">
        <f>IFERROR(VLOOKUP(A261,Climatologia_TMAX!A:U,9+$E$2,FALSE),"")</f>
        <v>20.885706399035701</v>
      </c>
      <c r="AS261" s="68">
        <f t="shared" ref="AS261:AS324" si="23">IF(OR(AQ261="",AR261=""),"",IFERROR(AQ261-AR261,""))</f>
        <v>1.5025288950819444</v>
      </c>
      <c r="AT261" s="74">
        <f t="shared" ref="AT261:AT287" si="24">IF(COUNT(K261:AO261)=0,"",MAX(K261:AO261))</f>
        <v>23.6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25.6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1" s="69">
        <f t="shared" ref="AW261:AW287" si="25">IF(OR(AT261="",AU261=""),"NA",IFERROR(AT261-AU261,"NA"))</f>
        <v>-2</v>
      </c>
    </row>
    <row r="262" spans="1:49" ht="14.25" customHeight="1" x14ac:dyDescent="0.2">
      <c r="A262" s="64">
        <v>21206280</v>
      </c>
      <c r="B262" s="70" t="s">
        <v>495</v>
      </c>
      <c r="C262" s="70" t="s">
        <v>496</v>
      </c>
      <c r="D262" s="101">
        <v>-74.320350000000005</v>
      </c>
      <c r="E262" s="101">
        <v>4.6482299999999999</v>
      </c>
      <c r="F262" s="64">
        <v>2680</v>
      </c>
      <c r="G262" s="62">
        <v>25</v>
      </c>
      <c r="H262" s="62">
        <v>25099</v>
      </c>
      <c r="I262" s="72" t="s">
        <v>73</v>
      </c>
      <c r="J262" s="72" t="s">
        <v>497</v>
      </c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0</v>
      </c>
      <c r="AQ262" s="68" t="str">
        <f t="shared" si="22"/>
        <v/>
      </c>
      <c r="AR262" s="68">
        <f>IFERROR(VLOOKUP(A262,Climatologia_TMAX!A:U,9+$E$2,FALSE),"")</f>
        <v>15.857038190582131</v>
      </c>
      <c r="AS262" s="68" t="str">
        <f t="shared" si="23"/>
        <v/>
      </c>
      <c r="AT262" s="74" t="str">
        <f t="shared" si="24"/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20.8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2" s="69" t="str">
        <f t="shared" si="25"/>
        <v>NA</v>
      </c>
    </row>
    <row r="263" spans="1:49" ht="14.25" customHeight="1" x14ac:dyDescent="0.2">
      <c r="A263" s="64">
        <v>21206570</v>
      </c>
      <c r="B263" s="70" t="s">
        <v>498</v>
      </c>
      <c r="C263" s="70" t="s">
        <v>496</v>
      </c>
      <c r="D263" s="101">
        <v>-74.150666670000007</v>
      </c>
      <c r="E263" s="101">
        <v>4.7055833329999999</v>
      </c>
      <c r="F263" s="64">
        <v>2546</v>
      </c>
      <c r="G263" s="62">
        <v>11</v>
      </c>
      <c r="H263" s="62">
        <v>11001</v>
      </c>
      <c r="I263" s="72" t="s">
        <v>499</v>
      </c>
      <c r="J263" s="72" t="s">
        <v>500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 t="str">
        <f>IFERROR(VLOOKUP(A263,Climatologia_TMAX!A:U,9+$E$2,FALSE),"")</f>
        <v/>
      </c>
      <c r="AS263" s="68" t="str">
        <f t="shared" si="23"/>
        <v/>
      </c>
      <c r="AT263" s="74" t="str">
        <f t="shared" si="24"/>
        <v/>
      </c>
      <c r="AU263" s="74" t="str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 t="str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 t="str">
        <f t="shared" si="25"/>
        <v>NA</v>
      </c>
    </row>
    <row r="264" spans="1:49" ht="14.25" customHeight="1" x14ac:dyDescent="0.2">
      <c r="A264" s="64">
        <v>21206630</v>
      </c>
      <c r="B264" s="70" t="s">
        <v>501</v>
      </c>
      <c r="C264" s="70" t="s">
        <v>496</v>
      </c>
      <c r="D264" s="101">
        <v>-74.091583330000006</v>
      </c>
      <c r="E264" s="101">
        <v>4.7511388889999999</v>
      </c>
      <c r="F264" s="64">
        <v>2600</v>
      </c>
      <c r="G264" s="62">
        <v>11</v>
      </c>
      <c r="H264" s="62">
        <v>11001</v>
      </c>
      <c r="I264" s="72" t="s">
        <v>499</v>
      </c>
      <c r="J264" s="72" t="s">
        <v>500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21206260</v>
      </c>
      <c r="B265" s="70" t="s">
        <v>502</v>
      </c>
      <c r="C265" s="70" t="s">
        <v>496</v>
      </c>
      <c r="D265" s="101">
        <v>-74.049722220000007</v>
      </c>
      <c r="E265" s="101">
        <v>4.7986388890000002</v>
      </c>
      <c r="F265" s="64">
        <v>2570</v>
      </c>
      <c r="G265" s="62">
        <v>11</v>
      </c>
      <c r="H265" s="62">
        <v>11001</v>
      </c>
      <c r="I265" s="72" t="s">
        <v>499</v>
      </c>
      <c r="J265" s="72" t="s">
        <v>500</v>
      </c>
      <c r="K265" s="66">
        <v>20.399999999999999</v>
      </c>
      <c r="L265" s="66">
        <v>17.399999999999999</v>
      </c>
      <c r="M265" s="66">
        <v>17.600000000000001</v>
      </c>
      <c r="N265" s="66"/>
      <c r="O265" s="66"/>
      <c r="P265" s="66">
        <v>20.399999999999999</v>
      </c>
      <c r="Q265" s="66">
        <v>19.2</v>
      </c>
      <c r="R265" s="66">
        <v>19.399999999999999</v>
      </c>
      <c r="S265" s="66">
        <v>19</v>
      </c>
      <c r="T265" s="66">
        <v>17.600000000000001</v>
      </c>
      <c r="U265" s="66"/>
      <c r="V265" s="66"/>
      <c r="W265" s="66">
        <v>20.2</v>
      </c>
      <c r="X265" s="66">
        <v>19.399999999999999</v>
      </c>
      <c r="Y265" s="66">
        <v>19.8</v>
      </c>
      <c r="Z265" s="66">
        <v>20</v>
      </c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12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>
        <f t="shared" si="24"/>
        <v>20.399999999999999</v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>23.4</v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5" s="69">
        <f t="shared" si="25"/>
        <v>-3</v>
      </c>
    </row>
    <row r="266" spans="1:49" ht="14.25" customHeight="1" x14ac:dyDescent="0.2">
      <c r="A266" s="64">
        <v>21206660</v>
      </c>
      <c r="B266" s="70" t="s">
        <v>503</v>
      </c>
      <c r="C266" s="70" t="s">
        <v>496</v>
      </c>
      <c r="D266" s="101">
        <v>-74.130916670000005</v>
      </c>
      <c r="E266" s="101">
        <v>4.5762222220000002</v>
      </c>
      <c r="F266" s="64">
        <v>2565</v>
      </c>
      <c r="G266" s="62">
        <v>11</v>
      </c>
      <c r="H266" s="62">
        <v>11001</v>
      </c>
      <c r="I266" s="72" t="s">
        <v>499</v>
      </c>
      <c r="J266" s="72" t="s">
        <v>500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 t="str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 t="str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 t="str">
        <f t="shared" si="25"/>
        <v>NA</v>
      </c>
    </row>
    <row r="267" spans="1:49" ht="14.25" customHeight="1" x14ac:dyDescent="0.2">
      <c r="A267" s="64">
        <v>21206650</v>
      </c>
      <c r="B267" s="70" t="s">
        <v>504</v>
      </c>
      <c r="C267" s="70" t="s">
        <v>496</v>
      </c>
      <c r="D267" s="101">
        <v>-74.088222221999999</v>
      </c>
      <c r="E267" s="101">
        <v>4.5167527779999999</v>
      </c>
      <c r="F267" s="64">
        <v>3100</v>
      </c>
      <c r="G267" s="62">
        <v>11</v>
      </c>
      <c r="H267" s="62">
        <v>11001</v>
      </c>
      <c r="I267" s="72" t="s">
        <v>499</v>
      </c>
      <c r="J267" s="72" t="s">
        <v>500</v>
      </c>
      <c r="K267" s="66">
        <v>15.6</v>
      </c>
      <c r="L267" s="66">
        <v>16</v>
      </c>
      <c r="M267" s="66">
        <v>15.4</v>
      </c>
      <c r="N267" s="66">
        <v>15.6</v>
      </c>
      <c r="O267" s="66">
        <v>15.2</v>
      </c>
      <c r="P267" s="66">
        <v>14.6</v>
      </c>
      <c r="Q267" s="66">
        <v>14.4</v>
      </c>
      <c r="R267" s="66">
        <v>15</v>
      </c>
      <c r="S267" s="66">
        <v>14.8</v>
      </c>
      <c r="T267" s="66">
        <v>15.4</v>
      </c>
      <c r="U267" s="66">
        <v>15.8</v>
      </c>
      <c r="V267" s="66">
        <v>15.4</v>
      </c>
      <c r="W267" s="66">
        <v>15.4</v>
      </c>
      <c r="X267" s="66">
        <v>15.8</v>
      </c>
      <c r="Y267" s="66">
        <v>15.2</v>
      </c>
      <c r="Z267" s="66">
        <v>15.6</v>
      </c>
      <c r="AA267" s="66">
        <v>15.2</v>
      </c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17</v>
      </c>
      <c r="AQ267" s="68">
        <f t="shared" si="22"/>
        <v>15.317647058823532</v>
      </c>
      <c r="AR267" s="68" t="str">
        <f>IFERROR(VLOOKUP(A267,Climatologia_TMAX!A:U,9+$E$2,FALSE),"")</f>
        <v/>
      </c>
      <c r="AS267" s="68" t="str">
        <f t="shared" si="23"/>
        <v/>
      </c>
      <c r="AT267" s="74">
        <f t="shared" si="24"/>
        <v>16</v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>18.600000000000001</v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7" s="69">
        <f t="shared" si="25"/>
        <v>-2.6000000000000014</v>
      </c>
    </row>
    <row r="268" spans="1:49" ht="14.25" customHeight="1" x14ac:dyDescent="0.2">
      <c r="A268" s="64">
        <v>21205980</v>
      </c>
      <c r="B268" s="70" t="s">
        <v>505</v>
      </c>
      <c r="C268" s="70" t="s">
        <v>496</v>
      </c>
      <c r="D268" s="101">
        <v>-74.200916669999998</v>
      </c>
      <c r="E268" s="101">
        <v>4.7923888889999997</v>
      </c>
      <c r="F268" s="64">
        <v>2560</v>
      </c>
      <c r="G268" s="62">
        <v>47</v>
      </c>
      <c r="H268" s="62">
        <v>47798</v>
      </c>
      <c r="I268" s="72" t="s">
        <v>31</v>
      </c>
      <c r="J268" s="72" t="s">
        <v>506</v>
      </c>
      <c r="K268" s="66">
        <v>21.6</v>
      </c>
      <c r="L268" s="66">
        <v>18.600000000000001</v>
      </c>
      <c r="M268" s="66">
        <v>18</v>
      </c>
      <c r="N268" s="66">
        <v>20</v>
      </c>
      <c r="O268" s="66">
        <v>21.8</v>
      </c>
      <c r="P268" s="66">
        <v>22.4</v>
      </c>
      <c r="Q268" s="66">
        <v>21</v>
      </c>
      <c r="R268" s="66">
        <v>20.6</v>
      </c>
      <c r="S268" s="66">
        <v>19.2</v>
      </c>
      <c r="T268" s="66">
        <v>19.2</v>
      </c>
      <c r="U268" s="109">
        <v>19.399999999999999</v>
      </c>
      <c r="V268" s="66">
        <v>18.399999999999999</v>
      </c>
      <c r="W268" s="66">
        <v>20.399999999999999</v>
      </c>
      <c r="X268" s="66">
        <v>20</v>
      </c>
      <c r="Y268" s="66">
        <v>20.399999999999999</v>
      </c>
      <c r="Z268" s="66">
        <v>21.6</v>
      </c>
      <c r="AA268" s="66">
        <v>21.2</v>
      </c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17</v>
      </c>
      <c r="AQ268" s="68">
        <f t="shared" si="22"/>
        <v>20.223529411764702</v>
      </c>
      <c r="AR268" s="68">
        <f>IFERROR(VLOOKUP(A268,Climatologia_TMAX!A:U,9+$E$2,FALSE),"")</f>
        <v>18.914438253180371</v>
      </c>
      <c r="AS268" s="68">
        <f t="shared" si="23"/>
        <v>1.3090911585843301</v>
      </c>
      <c r="AT268" s="74">
        <f t="shared" si="24"/>
        <v>22.4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23.4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8" s="69">
        <f t="shared" si="25"/>
        <v>-1</v>
      </c>
    </row>
    <row r="269" spans="1:49" ht="14.25" customHeight="1" x14ac:dyDescent="0.2">
      <c r="A269" s="64">
        <v>21205720</v>
      </c>
      <c r="B269" s="70" t="s">
        <v>507</v>
      </c>
      <c r="C269" s="70" t="s">
        <v>496</v>
      </c>
      <c r="D269" s="101">
        <v>-74.189277779999998</v>
      </c>
      <c r="E269" s="101">
        <v>4.5057499999999999</v>
      </c>
      <c r="F269" s="64">
        <v>2900</v>
      </c>
      <c r="G269" s="62">
        <v>25</v>
      </c>
      <c r="H269" s="62">
        <v>25754</v>
      </c>
      <c r="I269" s="72" t="s">
        <v>73</v>
      </c>
      <c r="J269" s="72" t="s">
        <v>508</v>
      </c>
      <c r="K269" s="66">
        <v>18</v>
      </c>
      <c r="L269" s="66">
        <v>16.2</v>
      </c>
      <c r="M269" s="66">
        <v>16.399999999999999</v>
      </c>
      <c r="N269" s="66">
        <v>18.600000000000001</v>
      </c>
      <c r="O269" s="66">
        <v>19.399999999999999</v>
      </c>
      <c r="P269" s="66">
        <v>20</v>
      </c>
      <c r="Q269" s="66">
        <v>18</v>
      </c>
      <c r="R269" s="66">
        <v>18</v>
      </c>
      <c r="S269" s="66"/>
      <c r="T269" s="66">
        <v>19</v>
      </c>
      <c r="U269" s="66">
        <v>18</v>
      </c>
      <c r="V269" s="66">
        <v>16.8</v>
      </c>
      <c r="W269" s="66">
        <v>17</v>
      </c>
      <c r="X269" s="66">
        <v>18</v>
      </c>
      <c r="Y269" s="66">
        <v>19.399999999999999</v>
      </c>
      <c r="Z269" s="66">
        <v>15.6</v>
      </c>
      <c r="AA269" s="66">
        <v>18.600000000000001</v>
      </c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16</v>
      </c>
      <c r="AQ269" s="68">
        <f t="shared" si="22"/>
        <v>17.937500000000004</v>
      </c>
      <c r="AR269" s="68">
        <f>IFERROR(VLOOKUP(A269,Climatologia_TMAX!A:U,9+$E$2,FALSE),"")</f>
        <v>16.09168553853759</v>
      </c>
      <c r="AS269" s="68">
        <f t="shared" si="23"/>
        <v>1.8458144614624139</v>
      </c>
      <c r="AT269" s="74">
        <f t="shared" si="24"/>
        <v>20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21.4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69" s="69">
        <f t="shared" si="25"/>
        <v>-1.3999999999999986</v>
      </c>
    </row>
    <row r="270" spans="1:49" ht="14.25" customHeight="1" x14ac:dyDescent="0.2">
      <c r="A270" s="64">
        <v>21205700</v>
      </c>
      <c r="B270" s="70" t="s">
        <v>509</v>
      </c>
      <c r="C270" s="70" t="s">
        <v>496</v>
      </c>
      <c r="D270" s="101">
        <v>-73.864452999999997</v>
      </c>
      <c r="E270" s="101">
        <v>4.8779529999999998</v>
      </c>
      <c r="F270" s="64">
        <v>2750</v>
      </c>
      <c r="G270" s="62">
        <v>25</v>
      </c>
      <c r="H270" s="62">
        <v>25322</v>
      </c>
      <c r="I270" s="72" t="s">
        <v>73</v>
      </c>
      <c r="J270" s="72" t="s">
        <v>509</v>
      </c>
      <c r="K270" s="66">
        <v>21.2</v>
      </c>
      <c r="L270" s="66">
        <v>16.8</v>
      </c>
      <c r="M270" s="66">
        <v>17.2</v>
      </c>
      <c r="N270" s="66">
        <v>20.2</v>
      </c>
      <c r="O270" s="66">
        <v>17.600000000000001</v>
      </c>
      <c r="P270" s="66">
        <v>18</v>
      </c>
      <c r="Q270" s="66">
        <v>16.8</v>
      </c>
      <c r="R270" s="66">
        <v>18.399999999999999</v>
      </c>
      <c r="S270" s="66">
        <v>18.399999999999999</v>
      </c>
      <c r="T270" s="66">
        <v>16.600000000000001</v>
      </c>
      <c r="U270" s="66">
        <v>17.2</v>
      </c>
      <c r="V270" s="66">
        <v>17.399999999999999</v>
      </c>
      <c r="W270" s="66">
        <v>18.399999999999999</v>
      </c>
      <c r="X270" s="66">
        <v>19.600000000000001</v>
      </c>
      <c r="Y270" s="66">
        <v>15.8</v>
      </c>
      <c r="Z270" s="66">
        <v>17.399999999999999</v>
      </c>
      <c r="AA270" s="66">
        <v>17.399999999999999</v>
      </c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17</v>
      </c>
      <c r="AQ270" s="68">
        <f t="shared" si="22"/>
        <v>17.905882352941173</v>
      </c>
      <c r="AR270" s="68">
        <f>IFERROR(VLOOKUP(A270,Climatologia_TMAX!A:U,9+$E$2,FALSE),"")</f>
        <v>17.216948903833771</v>
      </c>
      <c r="AS270" s="68">
        <f t="shared" si="23"/>
        <v>0.6889334491074024</v>
      </c>
      <c r="AT270" s="74">
        <f t="shared" si="24"/>
        <v>21.2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0" s="69">
        <f t="shared" si="25"/>
        <v>-3</v>
      </c>
    </row>
    <row r="271" spans="1:49" ht="14.25" customHeight="1" x14ac:dyDescent="0.2">
      <c r="A271" s="64">
        <v>24015120</v>
      </c>
      <c r="B271" s="70" t="s">
        <v>510</v>
      </c>
      <c r="C271" s="70" t="s">
        <v>496</v>
      </c>
      <c r="D271" s="101">
        <v>-73.734805559999998</v>
      </c>
      <c r="E271" s="101">
        <v>5.4672777779999997</v>
      </c>
      <c r="F271" s="64">
        <v>2580</v>
      </c>
      <c r="G271" s="62">
        <v>25</v>
      </c>
      <c r="H271" s="62">
        <v>25288</v>
      </c>
      <c r="I271" s="72" t="s">
        <v>73</v>
      </c>
      <c r="J271" s="72" t="s">
        <v>511</v>
      </c>
      <c r="K271" s="66">
        <v>22.4</v>
      </c>
      <c r="L271" s="66">
        <v>20.6</v>
      </c>
      <c r="M271" s="66">
        <v>22.6</v>
      </c>
      <c r="N271" s="66">
        <v>20.8</v>
      </c>
      <c r="O271" s="66">
        <v>23</v>
      </c>
      <c r="P271" s="66">
        <v>22.8</v>
      </c>
      <c r="Q271" s="66">
        <v>22</v>
      </c>
      <c r="R271" s="66">
        <v>23</v>
      </c>
      <c r="S271" s="66">
        <v>18.399999999999999</v>
      </c>
      <c r="T271" s="66">
        <v>18.399999999999999</v>
      </c>
      <c r="U271" s="66">
        <v>24.4</v>
      </c>
      <c r="V271" s="66">
        <v>21</v>
      </c>
      <c r="W271" s="66">
        <v>20</v>
      </c>
      <c r="X271" s="66">
        <v>22.2</v>
      </c>
      <c r="Y271" s="66"/>
      <c r="Z271" s="66"/>
      <c r="AA271" s="66">
        <v>23.4</v>
      </c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15</v>
      </c>
      <c r="AQ271" s="68">
        <f t="shared" si="22"/>
        <v>21.666666666666664</v>
      </c>
      <c r="AR271" s="68">
        <f>IFERROR(VLOOKUP(A271,Climatologia_TMAX!A:U,9+$E$2,FALSE),"")</f>
        <v>20.066417437381329</v>
      </c>
      <c r="AS271" s="68">
        <f t="shared" si="23"/>
        <v>1.6002492292853354</v>
      </c>
      <c r="AT271" s="74">
        <f t="shared" si="24"/>
        <v>24.4</v>
      </c>
      <c r="AU271" s="74" t="str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 t="str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 t="str">
        <f t="shared" si="25"/>
        <v>NA</v>
      </c>
    </row>
    <row r="272" spans="1:49" ht="14.25" customHeight="1" x14ac:dyDescent="0.2">
      <c r="A272" s="64">
        <v>21195120</v>
      </c>
      <c r="B272" s="70" t="s">
        <v>512</v>
      </c>
      <c r="C272" s="70" t="s">
        <v>496</v>
      </c>
      <c r="D272" s="101">
        <v>-74.392719999999997</v>
      </c>
      <c r="E272" s="101">
        <v>4.3929200000000002</v>
      </c>
      <c r="F272" s="64">
        <v>1421</v>
      </c>
      <c r="G272" s="62">
        <v>25</v>
      </c>
      <c r="H272" s="62">
        <v>25743</v>
      </c>
      <c r="I272" s="72" t="s">
        <v>73</v>
      </c>
      <c r="J272" s="72" t="s">
        <v>513</v>
      </c>
      <c r="K272" s="66">
        <v>26.8</v>
      </c>
      <c r="L272" s="66">
        <v>25.4</v>
      </c>
      <c r="M272" s="66">
        <v>24</v>
      </c>
      <c r="N272" s="66">
        <v>25</v>
      </c>
      <c r="O272" s="66">
        <v>27.2</v>
      </c>
      <c r="P272" s="66">
        <v>28</v>
      </c>
      <c r="Q272" s="66">
        <v>27.4</v>
      </c>
      <c r="R272" s="66">
        <v>27.2</v>
      </c>
      <c r="S272" s="66">
        <v>25.6</v>
      </c>
      <c r="T272" s="66">
        <v>26</v>
      </c>
      <c r="U272" s="66">
        <v>26.8</v>
      </c>
      <c r="V272" s="66">
        <v>23.6</v>
      </c>
      <c r="W272" s="66">
        <v>26.6</v>
      </c>
      <c r="X272" s="66">
        <v>26</v>
      </c>
      <c r="Y272" s="66">
        <v>27.6</v>
      </c>
      <c r="Z272" s="66">
        <v>27.2</v>
      </c>
      <c r="AA272" s="66">
        <v>26.8</v>
      </c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17</v>
      </c>
      <c r="AQ272" s="68">
        <f t="shared" si="22"/>
        <v>26.305882352941182</v>
      </c>
      <c r="AR272" s="68" t="str">
        <f>IFERROR(VLOOKUP(A272,Climatologia_TMAX!A:U,9+$E$2,FALSE),"")</f>
        <v/>
      </c>
      <c r="AS272" s="68" t="str">
        <f t="shared" si="23"/>
        <v/>
      </c>
      <c r="AT272" s="74">
        <f t="shared" si="24"/>
        <v>28</v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>30.2</v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2" s="69">
        <f t="shared" si="25"/>
        <v>-2.1999999999999993</v>
      </c>
    </row>
    <row r="273" spans="1:49" ht="14.25" customHeight="1" x14ac:dyDescent="0.2">
      <c r="A273" s="64">
        <v>21205710</v>
      </c>
      <c r="B273" s="70" t="s">
        <v>514</v>
      </c>
      <c r="C273" s="70" t="s">
        <v>496</v>
      </c>
      <c r="D273" s="101">
        <v>-74.101033999999999</v>
      </c>
      <c r="E273" s="101">
        <v>4.6678670000000002</v>
      </c>
      <c r="F273" s="64">
        <v>2552</v>
      </c>
      <c r="G273" s="62">
        <v>11</v>
      </c>
      <c r="H273" s="62">
        <v>11001</v>
      </c>
      <c r="I273" s="72" t="s">
        <v>499</v>
      </c>
      <c r="J273" s="72" t="s">
        <v>500</v>
      </c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 t="str">
        <f t="shared" si="24"/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25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3" s="69" t="str">
        <f t="shared" si="25"/>
        <v>NA</v>
      </c>
    </row>
    <row r="274" spans="1:49" ht="14.25" customHeight="1" x14ac:dyDescent="0.2">
      <c r="A274" s="64">
        <v>35025060</v>
      </c>
      <c r="B274" s="70" t="s">
        <v>515</v>
      </c>
      <c r="C274" s="70" t="s">
        <v>496</v>
      </c>
      <c r="D274" s="101">
        <v>-73.995885000000001</v>
      </c>
      <c r="E274" s="101">
        <v>4.587059</v>
      </c>
      <c r="F274" s="64">
        <v>3195</v>
      </c>
      <c r="G274" s="62">
        <v>25</v>
      </c>
      <c r="H274" s="62">
        <v>25181</v>
      </c>
      <c r="I274" s="72" t="s">
        <v>73</v>
      </c>
      <c r="J274" s="72" t="s">
        <v>516</v>
      </c>
      <c r="K274" s="66">
        <v>13</v>
      </c>
      <c r="L274" s="66">
        <v>10.4</v>
      </c>
      <c r="M274" s="66">
        <v>10</v>
      </c>
      <c r="N274" s="66">
        <v>10.4</v>
      </c>
      <c r="O274" s="66">
        <v>11.2</v>
      </c>
      <c r="P274" s="66">
        <v>13.8</v>
      </c>
      <c r="Q274" s="66">
        <v>13.6</v>
      </c>
      <c r="R274" s="66">
        <v>13.6</v>
      </c>
      <c r="S274" s="66">
        <v>11</v>
      </c>
      <c r="T274" s="66">
        <v>12.4</v>
      </c>
      <c r="U274" s="109">
        <v>11.6</v>
      </c>
      <c r="V274" s="66">
        <v>12</v>
      </c>
      <c r="W274" s="66">
        <v>11.8</v>
      </c>
      <c r="X274" s="66">
        <v>13.4</v>
      </c>
      <c r="Y274" s="66">
        <v>12.4</v>
      </c>
      <c r="Z274" s="66">
        <v>13.2</v>
      </c>
      <c r="AA274" s="66">
        <v>14</v>
      </c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17</v>
      </c>
      <c r="AQ274" s="68">
        <f t="shared" si="22"/>
        <v>12.223529411764707</v>
      </c>
      <c r="AR274" s="68">
        <f>IFERROR(VLOOKUP(A274,Climatologia_TMAX!A:U,9+$E$2,FALSE),"")</f>
        <v>11.30910159979682</v>
      </c>
      <c r="AS274" s="68">
        <f t="shared" si="23"/>
        <v>0.91442781196788658</v>
      </c>
      <c r="AT274" s="74">
        <f t="shared" si="24"/>
        <v>14</v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16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4" s="69">
        <f t="shared" si="25"/>
        <v>-2</v>
      </c>
    </row>
    <row r="275" spans="1:49" ht="14.25" customHeight="1" x14ac:dyDescent="0.2">
      <c r="A275" s="64">
        <v>47075010</v>
      </c>
      <c r="B275" s="70" t="s">
        <v>517</v>
      </c>
      <c r="C275" s="70" t="s">
        <v>496</v>
      </c>
      <c r="D275" s="101">
        <v>-72.789583332999996</v>
      </c>
      <c r="E275" s="101">
        <v>-1.4446111109999999</v>
      </c>
      <c r="F275" s="64">
        <v>160</v>
      </c>
      <c r="G275" s="62">
        <v>91</v>
      </c>
      <c r="H275" s="62">
        <v>91405</v>
      </c>
      <c r="I275" s="72" t="s">
        <v>98</v>
      </c>
      <c r="J275" s="72" t="s">
        <v>517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 t="str">
        <f>IFERROR(VLOOKUP(A275,Climatologia_TMAX!A:U,9+$E$2,FALSE),"")</f>
        <v/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39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5" s="69" t="str">
        <f t="shared" si="25"/>
        <v>NA</v>
      </c>
    </row>
    <row r="276" spans="1:49" ht="14.25" customHeight="1" x14ac:dyDescent="0.2">
      <c r="A276" s="64">
        <v>21205670</v>
      </c>
      <c r="B276" s="70" t="s">
        <v>518</v>
      </c>
      <c r="C276" s="70" t="s">
        <v>496</v>
      </c>
      <c r="D276" s="101">
        <v>-74.434235000000001</v>
      </c>
      <c r="E276" s="101">
        <v>4.7679879999999999</v>
      </c>
      <c r="F276" s="64">
        <v>1915</v>
      </c>
      <c r="G276" s="62">
        <v>25</v>
      </c>
      <c r="H276" s="62">
        <v>25040</v>
      </c>
      <c r="I276" s="72" t="s">
        <v>73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>
        <f>IFERROR(VLOOKUP(A276,Climatologia_TMAX!A:U,9+$E$2,FALSE),"")</f>
        <v>20.771839444903961</v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25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6" s="69" t="str">
        <f t="shared" si="25"/>
        <v>NA</v>
      </c>
    </row>
    <row r="277" spans="1:49" ht="14.25" customHeight="1" x14ac:dyDescent="0.2">
      <c r="A277" s="64">
        <v>21205660</v>
      </c>
      <c r="B277" s="70" t="s">
        <v>520</v>
      </c>
      <c r="C277" s="70" t="s">
        <v>496</v>
      </c>
      <c r="D277" s="101">
        <v>-74.523179999999996</v>
      </c>
      <c r="E277" s="101">
        <v>4.5791000000000004</v>
      </c>
      <c r="F277" s="64">
        <v>765</v>
      </c>
      <c r="G277" s="62">
        <v>25</v>
      </c>
      <c r="H277" s="62">
        <v>25035</v>
      </c>
      <c r="I277" s="72" t="s">
        <v>73</v>
      </c>
      <c r="J277" s="72" t="s">
        <v>521</v>
      </c>
      <c r="K277" s="66">
        <v>32.200000000000003</v>
      </c>
      <c r="L277" s="66">
        <v>30.6</v>
      </c>
      <c r="M277" s="66">
        <v>27.8</v>
      </c>
      <c r="N277" s="66">
        <v>30.4</v>
      </c>
      <c r="O277" s="66">
        <v>32.799999999999997</v>
      </c>
      <c r="P277" s="66">
        <v>34.200000000000003</v>
      </c>
      <c r="Q277" s="66">
        <v>33.200000000000003</v>
      </c>
      <c r="R277" s="66">
        <v>32.799999999999997</v>
      </c>
      <c r="S277" s="66">
        <v>30.4</v>
      </c>
      <c r="T277" s="66">
        <v>31.8</v>
      </c>
      <c r="U277" s="66">
        <v>31.6</v>
      </c>
      <c r="V277" s="66">
        <v>27.6</v>
      </c>
      <c r="W277" s="66">
        <v>33.799999999999997</v>
      </c>
      <c r="X277" s="66">
        <v>32.4</v>
      </c>
      <c r="Y277" s="66">
        <v>34</v>
      </c>
      <c r="Z277" s="66">
        <v>33.799999999999997</v>
      </c>
      <c r="AA277" s="66">
        <v>33</v>
      </c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17</v>
      </c>
      <c r="AQ277" s="68">
        <f t="shared" si="22"/>
        <v>31.90588235294118</v>
      </c>
      <c r="AR277" s="68">
        <f>IFERROR(VLOOKUP(A277,Climatologia_TMAX!A:U,9+$E$2,FALSE),"")</f>
        <v>30.558898924731189</v>
      </c>
      <c r="AS277" s="68">
        <f t="shared" si="23"/>
        <v>1.3469834282099917</v>
      </c>
      <c r="AT277" s="74">
        <f t="shared" si="24"/>
        <v>34.200000000000003</v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35.799999999999997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7" s="69">
        <f t="shared" si="25"/>
        <v>-1.5999999999999943</v>
      </c>
    </row>
    <row r="278" spans="1:49" ht="14.25" customHeight="1" x14ac:dyDescent="0.2">
      <c r="A278" s="64">
        <v>21206600</v>
      </c>
      <c r="B278" s="70" t="s">
        <v>522</v>
      </c>
      <c r="C278" s="70" t="s">
        <v>496</v>
      </c>
      <c r="D278" s="101">
        <v>-74.102247000000006</v>
      </c>
      <c r="E278" s="101">
        <v>4.786594</v>
      </c>
      <c r="F278" s="64">
        <v>2590</v>
      </c>
      <c r="G278" s="62">
        <v>11</v>
      </c>
      <c r="H278" s="62">
        <v>11001</v>
      </c>
      <c r="I278" s="72" t="s">
        <v>499</v>
      </c>
      <c r="J278" s="72" t="s">
        <v>500</v>
      </c>
      <c r="K278" s="66">
        <v>21.2</v>
      </c>
      <c r="L278" s="66">
        <v>21.2</v>
      </c>
      <c r="M278" s="66">
        <v>21.2</v>
      </c>
      <c r="N278" s="66">
        <v>22.2</v>
      </c>
      <c r="O278" s="66">
        <v>23.5</v>
      </c>
      <c r="P278" s="66">
        <v>22</v>
      </c>
      <c r="Q278" s="66">
        <v>20.8</v>
      </c>
      <c r="R278" s="66"/>
      <c r="S278" s="66">
        <v>21</v>
      </c>
      <c r="T278" s="66">
        <v>20</v>
      </c>
      <c r="U278" s="66">
        <v>21</v>
      </c>
      <c r="V278" s="66">
        <v>18.600000000000001</v>
      </c>
      <c r="W278" s="66">
        <v>19.399999999999999</v>
      </c>
      <c r="X278" s="66">
        <v>19.8</v>
      </c>
      <c r="Y278" s="66">
        <v>20.2</v>
      </c>
      <c r="Z278" s="66">
        <v>22.4</v>
      </c>
      <c r="AA278" s="66">
        <v>22</v>
      </c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16</v>
      </c>
      <c r="AQ278" s="68">
        <f t="shared" si="22"/>
        <v>21.03125</v>
      </c>
      <c r="AR278" s="68">
        <f>IFERROR(VLOOKUP(A278,Climatologia_TMAX!A:U,9+$E$2,FALSE),"")</f>
        <v>19.979224744457721</v>
      </c>
      <c r="AS278" s="68">
        <f t="shared" si="23"/>
        <v>1.0520252555422793</v>
      </c>
      <c r="AT278" s="74">
        <f t="shared" si="24"/>
        <v>23.5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23.4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8" s="69">
        <f t="shared" si="25"/>
        <v>0.10000000000000142</v>
      </c>
    </row>
    <row r="279" spans="1:49" ht="14.25" customHeight="1" x14ac:dyDescent="0.2">
      <c r="A279" s="64">
        <v>21195060</v>
      </c>
      <c r="B279" s="70" t="s">
        <v>523</v>
      </c>
      <c r="C279" s="70" t="s">
        <v>496</v>
      </c>
      <c r="D279" s="101">
        <v>-74.487416670000002</v>
      </c>
      <c r="E279" s="101">
        <v>4.1927222220000004</v>
      </c>
      <c r="F279" s="64">
        <v>950</v>
      </c>
      <c r="G279" s="62">
        <v>25</v>
      </c>
      <c r="H279" s="62">
        <v>25524</v>
      </c>
      <c r="I279" s="72" t="s">
        <v>73</v>
      </c>
      <c r="J279" s="72" t="s">
        <v>523</v>
      </c>
      <c r="K279" s="66">
        <v>31.4</v>
      </c>
      <c r="L279" s="66">
        <v>31.6</v>
      </c>
      <c r="M279" s="66">
        <v>27.2</v>
      </c>
      <c r="N279" s="66">
        <v>27.8</v>
      </c>
      <c r="O279" s="66">
        <v>31.8</v>
      </c>
      <c r="P279" s="66">
        <v>33.4</v>
      </c>
      <c r="Q279" s="66">
        <v>31.4</v>
      </c>
      <c r="R279" s="66">
        <v>31.8</v>
      </c>
      <c r="S279" s="66">
        <v>29.2</v>
      </c>
      <c r="T279" s="66">
        <v>31.8</v>
      </c>
      <c r="U279" s="66">
        <v>32.799999999999997</v>
      </c>
      <c r="V279" s="66">
        <v>28.8</v>
      </c>
      <c r="W279" s="66">
        <v>31.6</v>
      </c>
      <c r="X279" s="66">
        <v>30.8</v>
      </c>
      <c r="Y279" s="66">
        <v>32.799999999999997</v>
      </c>
      <c r="Z279" s="66">
        <v>33.200000000000003</v>
      </c>
      <c r="AA279" s="66">
        <v>32.6</v>
      </c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17</v>
      </c>
      <c r="AQ279" s="68">
        <f t="shared" si="22"/>
        <v>31.176470588235301</v>
      </c>
      <c r="AR279" s="68">
        <f>IFERROR(VLOOKUP(A279,Climatologia_TMAX!A:U,9+$E$2,FALSE),"")</f>
        <v>29.080095604803059</v>
      </c>
      <c r="AS279" s="68">
        <f t="shared" si="23"/>
        <v>2.0963749834322414</v>
      </c>
      <c r="AT279" s="74">
        <f t="shared" si="24"/>
        <v>33.4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34.4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79" s="69">
        <f t="shared" si="25"/>
        <v>-1</v>
      </c>
    </row>
    <row r="280" spans="1:49" ht="14.25" customHeight="1" x14ac:dyDescent="0.2">
      <c r="A280" s="64">
        <v>21195190</v>
      </c>
      <c r="B280" s="70" t="s">
        <v>524</v>
      </c>
      <c r="C280" s="70" t="s">
        <v>496</v>
      </c>
      <c r="D280" s="101">
        <v>-74.308398999999994</v>
      </c>
      <c r="E280" s="101">
        <v>4.3071890000000002</v>
      </c>
      <c r="F280" s="64">
        <v>2187</v>
      </c>
      <c r="G280" s="62">
        <v>25</v>
      </c>
      <c r="H280" s="62">
        <v>25535</v>
      </c>
      <c r="I280" s="72" t="s">
        <v>73</v>
      </c>
      <c r="J280" s="72" t="s">
        <v>524</v>
      </c>
      <c r="K280" s="66">
        <v>21.4</v>
      </c>
      <c r="L280" s="66">
        <v>21.2</v>
      </c>
      <c r="M280" s="66">
        <v>19.2</v>
      </c>
      <c r="N280" s="66">
        <v>18.8</v>
      </c>
      <c r="O280" s="66">
        <v>21.4</v>
      </c>
      <c r="P280" s="66">
        <v>23.4</v>
      </c>
      <c r="Q280" s="66">
        <v>21.6</v>
      </c>
      <c r="R280" s="66">
        <v>21.2</v>
      </c>
      <c r="S280" s="66">
        <v>20.2</v>
      </c>
      <c r="T280" s="66">
        <v>22</v>
      </c>
      <c r="U280" s="66">
        <v>21.8</v>
      </c>
      <c r="V280" s="66">
        <v>20.399999999999999</v>
      </c>
      <c r="W280" s="66">
        <v>21</v>
      </c>
      <c r="X280" s="66">
        <v>20.2</v>
      </c>
      <c r="Y280" s="66">
        <v>22.2</v>
      </c>
      <c r="Z280" s="66">
        <v>22.4</v>
      </c>
      <c r="AA280" s="66">
        <v>22.2</v>
      </c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17</v>
      </c>
      <c r="AQ280" s="68">
        <f t="shared" si="22"/>
        <v>21.211764705882352</v>
      </c>
      <c r="AR280" s="68">
        <f>IFERROR(VLOOKUP(A280,Climatologia_TMAX!A:U,9+$E$2,FALSE),"")</f>
        <v>19.480961768219831</v>
      </c>
      <c r="AS280" s="68">
        <f t="shared" si="23"/>
        <v>1.7308029376625207</v>
      </c>
      <c r="AT280" s="74">
        <f t="shared" si="24"/>
        <v>23.4</v>
      </c>
      <c r="AU280" s="74" t="str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 t="str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 t="str">
        <f t="shared" si="25"/>
        <v>NA</v>
      </c>
    </row>
    <row r="281" spans="1:49" ht="14.25" customHeight="1" x14ac:dyDescent="0.2">
      <c r="A281" s="64">
        <v>21205740</v>
      </c>
      <c r="B281" s="70" t="s">
        <v>525</v>
      </c>
      <c r="C281" s="70" t="s">
        <v>496</v>
      </c>
      <c r="D281" s="101">
        <v>-73.70141667</v>
      </c>
      <c r="E281" s="101">
        <v>5.1177222220000003</v>
      </c>
      <c r="F281" s="64">
        <v>2709</v>
      </c>
      <c r="G281" s="62">
        <v>25</v>
      </c>
      <c r="H281" s="62">
        <v>25183</v>
      </c>
      <c r="I281" s="72" t="s">
        <v>73</v>
      </c>
      <c r="J281" s="72" t="s">
        <v>526</v>
      </c>
      <c r="K281" s="66">
        <v>15.2</v>
      </c>
      <c r="L281" s="66">
        <v>13.8</v>
      </c>
      <c r="M281" s="66">
        <v>14.2</v>
      </c>
      <c r="N281" s="66">
        <v>14.6</v>
      </c>
      <c r="O281" s="66">
        <v>15</v>
      </c>
      <c r="P281" s="66">
        <v>15.6</v>
      </c>
      <c r="Q281" s="66">
        <v>13.4</v>
      </c>
      <c r="R281" s="66">
        <v>14</v>
      </c>
      <c r="S281" s="66">
        <v>14.6</v>
      </c>
      <c r="T281" s="66">
        <v>16.8</v>
      </c>
      <c r="U281" s="66">
        <v>17</v>
      </c>
      <c r="V281" s="66">
        <v>13.2</v>
      </c>
      <c r="W281" s="66">
        <v>15</v>
      </c>
      <c r="X281" s="66"/>
      <c r="Y281" s="66"/>
      <c r="Z281" s="66"/>
      <c r="AA281" s="66"/>
      <c r="AB281" s="66"/>
      <c r="AC281" s="66"/>
      <c r="AD281" s="66"/>
      <c r="AE281" s="66"/>
      <c r="AF281" s="111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13</v>
      </c>
      <c r="AQ281" s="68" t="str">
        <f t="shared" si="22"/>
        <v/>
      </c>
      <c r="AR281" s="68">
        <f>IFERROR(VLOOKUP(A281,Climatologia_TMAX!A:U,9+$E$2,FALSE),"")</f>
        <v>15.486316278061681</v>
      </c>
      <c r="AS281" s="68" t="str">
        <f t="shared" si="23"/>
        <v/>
      </c>
      <c r="AT281" s="74">
        <f t="shared" si="24"/>
        <v>17</v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>19.399999999999999</v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1" s="69">
        <f t="shared" si="25"/>
        <v>-2.3999999999999986</v>
      </c>
    </row>
    <row r="282" spans="1:49" ht="14.25" customHeight="1" x14ac:dyDescent="0.2">
      <c r="A282" s="64">
        <v>21205920</v>
      </c>
      <c r="B282" s="70" t="s">
        <v>527</v>
      </c>
      <c r="C282" s="70" t="s">
        <v>496</v>
      </c>
      <c r="D282" s="101">
        <v>-73.963888890000007</v>
      </c>
      <c r="E282" s="101">
        <v>4.8208333330000004</v>
      </c>
      <c r="F282" s="64">
        <v>2650</v>
      </c>
      <c r="G282" s="62">
        <v>25</v>
      </c>
      <c r="H282" s="62">
        <v>25758</v>
      </c>
      <c r="I282" s="72" t="s">
        <v>73</v>
      </c>
      <c r="J282" s="72" t="s">
        <v>528</v>
      </c>
      <c r="K282" s="66">
        <v>18.600000000000001</v>
      </c>
      <c r="L282" s="66">
        <v>18</v>
      </c>
      <c r="M282" s="66">
        <v>18.600000000000001</v>
      </c>
      <c r="N282" s="66">
        <v>19.600000000000001</v>
      </c>
      <c r="O282" s="66">
        <v>19.399999999999999</v>
      </c>
      <c r="P282" s="66">
        <v>19.600000000000001</v>
      </c>
      <c r="Q282" s="66">
        <v>19.600000000000001</v>
      </c>
      <c r="R282" s="66">
        <v>18</v>
      </c>
      <c r="S282" s="66">
        <v>18</v>
      </c>
      <c r="T282" s="66">
        <v>18</v>
      </c>
      <c r="U282" s="66">
        <v>19.2</v>
      </c>
      <c r="V282" s="66">
        <v>18.8</v>
      </c>
      <c r="W282" s="66">
        <v>19</v>
      </c>
      <c r="X282" s="66">
        <v>19.399999999999999</v>
      </c>
      <c r="Y282" s="66">
        <v>19.2</v>
      </c>
      <c r="Z282" s="66">
        <v>19.399999999999999</v>
      </c>
      <c r="AA282" s="66">
        <v>19.2</v>
      </c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17</v>
      </c>
      <c r="AQ282" s="68">
        <f t="shared" si="22"/>
        <v>18.917647058823526</v>
      </c>
      <c r="AR282" s="68" t="str">
        <f>IFERROR(VLOOKUP(A282,Climatologia_TMAX!A:U,9+$E$2,FALSE),"")</f>
        <v/>
      </c>
      <c r="AS282" s="68" t="str">
        <f t="shared" si="23"/>
        <v/>
      </c>
      <c r="AT282" s="74">
        <f t="shared" si="24"/>
        <v>19.600000000000001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21.8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2" s="69">
        <f t="shared" si="25"/>
        <v>-2.1999999999999993</v>
      </c>
    </row>
    <row r="283" spans="1:49" ht="14.25" customHeight="1" x14ac:dyDescent="0.2">
      <c r="A283" s="64">
        <v>21205960</v>
      </c>
      <c r="B283" s="70" t="s">
        <v>529</v>
      </c>
      <c r="C283" s="70" t="s">
        <v>496</v>
      </c>
      <c r="D283" s="101">
        <v>-74.152583329999999</v>
      </c>
      <c r="E283" s="101">
        <v>4.9390555559999996</v>
      </c>
      <c r="F283" s="64">
        <v>2650</v>
      </c>
      <c r="G283" s="62">
        <v>25</v>
      </c>
      <c r="H283" s="62">
        <v>25769</v>
      </c>
      <c r="I283" s="72" t="s">
        <v>73</v>
      </c>
      <c r="J283" s="72" t="s">
        <v>530</v>
      </c>
      <c r="K283" s="66">
        <v>21</v>
      </c>
      <c r="L283" s="66">
        <v>17.8</v>
      </c>
      <c r="M283" s="66">
        <v>17.399999999999999</v>
      </c>
      <c r="N283" s="66">
        <v>19.399999999999999</v>
      </c>
      <c r="O283" s="66">
        <v>21.6</v>
      </c>
      <c r="P283" s="66">
        <v>21.4</v>
      </c>
      <c r="Q283" s="66">
        <v>21.2</v>
      </c>
      <c r="R283" s="66">
        <v>21.6</v>
      </c>
      <c r="S283" s="66">
        <v>19</v>
      </c>
      <c r="T283" s="66">
        <v>19.399999999999999</v>
      </c>
      <c r="U283" s="66">
        <v>20</v>
      </c>
      <c r="V283" s="66">
        <v>17.600000000000001</v>
      </c>
      <c r="W283" s="66">
        <v>19.2</v>
      </c>
      <c r="X283" s="66">
        <v>20.2</v>
      </c>
      <c r="Y283" s="66">
        <v>18.600000000000001</v>
      </c>
      <c r="Z283" s="66">
        <v>19.399999999999999</v>
      </c>
      <c r="AA283" s="66">
        <v>19.2</v>
      </c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17</v>
      </c>
      <c r="AQ283" s="68">
        <f t="shared" si="22"/>
        <v>19.647058823529409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21.6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22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3" s="69">
        <f t="shared" si="25"/>
        <v>-0.39999999999999858</v>
      </c>
    </row>
    <row r="284" spans="1:49" ht="14.25" customHeight="1" x14ac:dyDescent="0.2">
      <c r="A284" s="64">
        <v>21205420</v>
      </c>
      <c r="B284" s="70" t="s">
        <v>531</v>
      </c>
      <c r="C284" s="70" t="s">
        <v>496</v>
      </c>
      <c r="D284" s="101">
        <v>-74.205625999999995</v>
      </c>
      <c r="E284" s="101">
        <v>4.6886619999999999</v>
      </c>
      <c r="F284" s="64">
        <v>2543</v>
      </c>
      <c r="G284" s="62">
        <v>25</v>
      </c>
      <c r="H284" s="62">
        <v>25473</v>
      </c>
      <c r="I284" s="72" t="s">
        <v>73</v>
      </c>
      <c r="J284" s="72" t="s">
        <v>532</v>
      </c>
      <c r="K284" s="66">
        <v>21</v>
      </c>
      <c r="L284" s="66">
        <v>19</v>
      </c>
      <c r="M284" s="66">
        <v>19.399999999999999</v>
      </c>
      <c r="N284" s="66">
        <v>20</v>
      </c>
      <c r="O284" s="66">
        <v>21</v>
      </c>
      <c r="P284" s="66">
        <v>22.4</v>
      </c>
      <c r="Q284" s="66">
        <v>22</v>
      </c>
      <c r="R284" s="66">
        <v>21</v>
      </c>
      <c r="S284" s="66">
        <v>19.600000000000001</v>
      </c>
      <c r="T284" s="66">
        <v>20</v>
      </c>
      <c r="U284" s="109">
        <v>19.399999999999999</v>
      </c>
      <c r="V284" s="66">
        <v>18.399999999999999</v>
      </c>
      <c r="W284" s="66">
        <v>19.8</v>
      </c>
      <c r="X284" s="66">
        <v>21</v>
      </c>
      <c r="Y284" s="66">
        <v>21</v>
      </c>
      <c r="Z284" s="66">
        <v>22</v>
      </c>
      <c r="AA284" s="66">
        <v>22.6</v>
      </c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17</v>
      </c>
      <c r="AQ284" s="68">
        <f t="shared" si="22"/>
        <v>20.564705882352943</v>
      </c>
      <c r="AR284" s="68">
        <f>IFERROR(VLOOKUP(A284,Climatologia_TMAX!A:U,9+$E$2,FALSE),"")</f>
        <v>19.031953400468261</v>
      </c>
      <c r="AS284" s="68">
        <f t="shared" si="23"/>
        <v>1.5327524818846818</v>
      </c>
      <c r="AT284" s="74">
        <f t="shared" si="24"/>
        <v>22.6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25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4" s="69">
        <f t="shared" si="25"/>
        <v>-2.3999999999999986</v>
      </c>
    </row>
    <row r="285" spans="1:49" ht="14.25" customHeight="1" x14ac:dyDescent="0.2">
      <c r="A285" s="64">
        <v>44055010</v>
      </c>
      <c r="B285" s="70" t="s">
        <v>533</v>
      </c>
      <c r="C285" s="70" t="s">
        <v>496</v>
      </c>
      <c r="D285" s="101">
        <v>-75.236111109999996</v>
      </c>
      <c r="E285" s="101">
        <v>0.73750000000000004</v>
      </c>
      <c r="F285" s="64">
        <v>219</v>
      </c>
      <c r="G285" s="62">
        <v>18</v>
      </c>
      <c r="H285" s="62">
        <v>18756</v>
      </c>
      <c r="I285" s="72" t="s">
        <v>225</v>
      </c>
      <c r="J285" s="72" t="s">
        <v>226</v>
      </c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0</v>
      </c>
      <c r="AQ285" s="68" t="str">
        <f t="shared" si="22"/>
        <v/>
      </c>
      <c r="AR285" s="68">
        <f>IFERROR(VLOOKUP(A285,Climatologia_TMAX!A:U,9+$E$2,FALSE),"")</f>
        <v>28.981793702127721</v>
      </c>
      <c r="AS285" s="68" t="str">
        <f t="shared" si="23"/>
        <v/>
      </c>
      <c r="AT285" s="74" t="str">
        <f t="shared" si="24"/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36.4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5" s="69" t="str">
        <f t="shared" si="25"/>
        <v>NA</v>
      </c>
    </row>
    <row r="286" spans="1:49" ht="14.25" customHeight="1" x14ac:dyDescent="0.2">
      <c r="A286" s="64">
        <v>21205940</v>
      </c>
      <c r="B286" s="70" t="s">
        <v>534</v>
      </c>
      <c r="C286" s="70" t="s">
        <v>496</v>
      </c>
      <c r="D286" s="101">
        <v>-74.380560000000003</v>
      </c>
      <c r="E286" s="101">
        <v>4.8321100000000001</v>
      </c>
      <c r="F286" s="64">
        <v>2590</v>
      </c>
      <c r="G286" s="62">
        <v>25</v>
      </c>
      <c r="H286" s="62">
        <v>25269</v>
      </c>
      <c r="I286" s="72" t="s">
        <v>73</v>
      </c>
      <c r="J286" s="72" t="s">
        <v>535</v>
      </c>
      <c r="K286" s="66">
        <v>19</v>
      </c>
      <c r="L286" s="66">
        <v>18</v>
      </c>
      <c r="M286" s="66">
        <v>18</v>
      </c>
      <c r="N286" s="66">
        <v>17.8</v>
      </c>
      <c r="O286" s="66">
        <v>18.600000000000001</v>
      </c>
      <c r="P286" s="66">
        <v>20.2</v>
      </c>
      <c r="Q286" s="66">
        <v>22.4</v>
      </c>
      <c r="R286" s="66">
        <v>20.2</v>
      </c>
      <c r="S286" s="66">
        <v>18.399999999999999</v>
      </c>
      <c r="T286" s="66">
        <v>18.600000000000001</v>
      </c>
      <c r="U286" s="66">
        <v>17.399999999999999</v>
      </c>
      <c r="V286" s="66">
        <v>18</v>
      </c>
      <c r="W286" s="66">
        <v>18.399999999999999</v>
      </c>
      <c r="X286" s="66">
        <v>18.2</v>
      </c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14</v>
      </c>
      <c r="AQ286" s="68" t="str">
        <f t="shared" si="22"/>
        <v/>
      </c>
      <c r="AR286" s="68" t="str">
        <f>IFERROR(VLOOKUP(A286,Climatologia_TMAX!A:U,9+$E$2,FALSE),"")</f>
        <v/>
      </c>
      <c r="AS286" s="68" t="str">
        <f t="shared" si="23"/>
        <v/>
      </c>
      <c r="AT286" s="74">
        <f t="shared" si="24"/>
        <v>22.4</v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24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6" s="69">
        <f t="shared" si="25"/>
        <v>-1.6000000000000014</v>
      </c>
    </row>
    <row r="287" spans="1:49" ht="14.25" customHeight="1" x14ac:dyDescent="0.2">
      <c r="A287" s="64">
        <v>23065110</v>
      </c>
      <c r="B287" s="70" t="s">
        <v>536</v>
      </c>
      <c r="C287" s="70" t="s">
        <v>496</v>
      </c>
      <c r="D287" s="101">
        <v>-74.351249999999993</v>
      </c>
      <c r="E287" s="101">
        <v>5.4812099999999999</v>
      </c>
      <c r="F287" s="64">
        <v>1347</v>
      </c>
      <c r="G287" s="62">
        <v>25</v>
      </c>
      <c r="H287" s="62">
        <v>25885</v>
      </c>
      <c r="I287" s="72" t="s">
        <v>73</v>
      </c>
      <c r="J287" s="72" t="s">
        <v>537</v>
      </c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0</v>
      </c>
      <c r="AQ287" s="68" t="str">
        <f t="shared" si="22"/>
        <v/>
      </c>
      <c r="AR287" s="68">
        <f>IFERROR(VLOOKUP(A287,Climatologia_TMAX!A:U,9+$E$2,FALSE),"")</f>
        <v>25.99213257662791</v>
      </c>
      <c r="AS287" s="68" t="str">
        <f t="shared" si="23"/>
        <v/>
      </c>
      <c r="AT287" s="74" t="str">
        <f t="shared" si="24"/>
        <v/>
      </c>
      <c r="AU287" s="74" t="str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 t="str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 t="str">
        <f t="shared" si="25"/>
        <v>NA</v>
      </c>
    </row>
  </sheetData>
  <conditionalFormatting sqref="K5:AO287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7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7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7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538</v>
      </c>
      <c r="B1" s="116"/>
      <c r="C1" s="116"/>
      <c r="D1" s="116"/>
      <c r="E1" s="116"/>
      <c r="F1" s="116"/>
      <c r="G1" s="116"/>
      <c r="H1" s="116"/>
      <c r="I1" s="117"/>
      <c r="J1" s="118" t="s">
        <v>539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540</v>
      </c>
      <c r="X1" s="117"/>
    </row>
    <row r="2" spans="1:24" ht="24.6" customHeight="1" thickBot="1" x14ac:dyDescent="0.25">
      <c r="A2" s="2" t="s">
        <v>541</v>
      </c>
      <c r="B2" s="3" t="s">
        <v>542</v>
      </c>
      <c r="C2" s="3" t="s">
        <v>543</v>
      </c>
      <c r="D2" s="3" t="s">
        <v>15</v>
      </c>
      <c r="E2" s="3" t="s">
        <v>14</v>
      </c>
      <c r="F2" s="4" t="s">
        <v>544</v>
      </c>
      <c r="G2" s="3" t="s">
        <v>545</v>
      </c>
      <c r="H2" s="5" t="s">
        <v>546</v>
      </c>
      <c r="I2" s="6" t="s">
        <v>547</v>
      </c>
      <c r="J2" s="7" t="s">
        <v>548</v>
      </c>
      <c r="K2" s="3" t="s">
        <v>549</v>
      </c>
      <c r="L2" s="3" t="s">
        <v>550</v>
      </c>
      <c r="M2" s="3" t="s">
        <v>551</v>
      </c>
      <c r="N2" s="3" t="s">
        <v>552</v>
      </c>
      <c r="O2" s="3" t="s">
        <v>553</v>
      </c>
      <c r="P2" s="3" t="s">
        <v>554</v>
      </c>
      <c r="Q2" s="3" t="s">
        <v>555</v>
      </c>
      <c r="R2" s="3" t="s">
        <v>556</v>
      </c>
      <c r="S2" s="3" t="s">
        <v>557</v>
      </c>
      <c r="T2" s="3" t="s">
        <v>558</v>
      </c>
      <c r="U2" s="3" t="s">
        <v>559</v>
      </c>
      <c r="V2" s="8" t="s">
        <v>560</v>
      </c>
      <c r="W2" s="9" t="s">
        <v>561</v>
      </c>
      <c r="X2" s="10" t="s">
        <v>562</v>
      </c>
    </row>
    <row r="3" spans="1:24" ht="13.9" customHeight="1" x14ac:dyDescent="0.2">
      <c r="A3" s="11">
        <v>48015050</v>
      </c>
      <c r="B3" s="12" t="s">
        <v>563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564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565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564</v>
      </c>
      <c r="C6" s="12" t="s">
        <v>566</v>
      </c>
      <c r="D6" s="12" t="s">
        <v>566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567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564</v>
      </c>
      <c r="C8" s="20" t="s">
        <v>568</v>
      </c>
      <c r="D8" s="12" t="s">
        <v>569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567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564</v>
      </c>
      <c r="C10" s="12" t="s">
        <v>570</v>
      </c>
      <c r="D10" s="12" t="s">
        <v>571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563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564</v>
      </c>
      <c r="C12" s="12" t="s">
        <v>572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564</v>
      </c>
      <c r="C13" s="12" t="s">
        <v>573</v>
      </c>
      <c r="D13" s="12" t="s">
        <v>574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564</v>
      </c>
      <c r="C14" s="12" t="s">
        <v>575</v>
      </c>
      <c r="D14" s="12" t="s">
        <v>576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564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564</v>
      </c>
      <c r="C16" s="12" t="s">
        <v>577</v>
      </c>
      <c r="D16" s="12" t="s">
        <v>578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564</v>
      </c>
      <c r="C17" s="12" t="s">
        <v>579</v>
      </c>
      <c r="D17" s="12" t="s">
        <v>580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564</v>
      </c>
      <c r="C18" s="12" t="s">
        <v>116</v>
      </c>
      <c r="D18" s="12" t="s">
        <v>581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563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564</v>
      </c>
      <c r="C20" s="12" t="s">
        <v>582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583</v>
      </c>
      <c r="C21" s="12" t="s">
        <v>584</v>
      </c>
      <c r="D21" s="12" t="s">
        <v>585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564</v>
      </c>
      <c r="C22" s="12" t="s">
        <v>586</v>
      </c>
      <c r="D22" s="12" t="s">
        <v>587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563</v>
      </c>
      <c r="C23" s="12" t="s">
        <v>61</v>
      </c>
      <c r="D23" s="12" t="s">
        <v>588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567</v>
      </c>
      <c r="C24" s="12" t="s">
        <v>589</v>
      </c>
      <c r="D24" s="12" t="s">
        <v>588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583</v>
      </c>
      <c r="C25" s="12" t="s">
        <v>590</v>
      </c>
      <c r="D25" s="12" t="s">
        <v>591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564</v>
      </c>
      <c r="C26" s="12" t="s">
        <v>118</v>
      </c>
      <c r="D26" s="12" t="s">
        <v>592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583</v>
      </c>
      <c r="C27" s="12" t="s">
        <v>593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564</v>
      </c>
      <c r="C28" s="12" t="s">
        <v>594</v>
      </c>
      <c r="D28" s="12" t="s">
        <v>595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567</v>
      </c>
      <c r="C29" s="12" t="s">
        <v>596</v>
      </c>
      <c r="D29" s="12" t="s">
        <v>597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564</v>
      </c>
      <c r="C30" s="12" t="s">
        <v>598</v>
      </c>
      <c r="D30" s="12" t="s">
        <v>599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564</v>
      </c>
      <c r="C31" s="12" t="s">
        <v>600</v>
      </c>
      <c r="D31" s="12" t="s">
        <v>601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602</v>
      </c>
      <c r="C32" s="12" t="s">
        <v>603</v>
      </c>
      <c r="D32" s="12" t="s">
        <v>604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583</v>
      </c>
      <c r="C33" s="12" t="s">
        <v>605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564</v>
      </c>
      <c r="C34" s="22" t="s">
        <v>606</v>
      </c>
      <c r="D34" s="22" t="s">
        <v>413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564</v>
      </c>
      <c r="C35" s="22" t="s">
        <v>607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564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564</v>
      </c>
      <c r="C37" s="22" t="s">
        <v>492</v>
      </c>
      <c r="D37" s="22" t="s">
        <v>608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564</v>
      </c>
      <c r="C38" s="22" t="s">
        <v>609</v>
      </c>
      <c r="D38" s="22" t="s">
        <v>609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563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564</v>
      </c>
      <c r="C40" s="22" t="s">
        <v>610</v>
      </c>
      <c r="D40" s="22" t="s">
        <v>610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564</v>
      </c>
      <c r="C41" s="22" t="s">
        <v>305</v>
      </c>
      <c r="D41" s="22" t="s">
        <v>305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563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563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564</v>
      </c>
      <c r="C44" s="22" t="s">
        <v>611</v>
      </c>
      <c r="D44" s="22" t="s">
        <v>611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583</v>
      </c>
      <c r="C45" s="22" t="s">
        <v>612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563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563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567</v>
      </c>
      <c r="C48" s="22" t="s">
        <v>613</v>
      </c>
      <c r="D48" s="22" t="s">
        <v>614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564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564</v>
      </c>
      <c r="C50" s="22" t="s">
        <v>382</v>
      </c>
      <c r="D50" s="22" t="s">
        <v>615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564</v>
      </c>
      <c r="C51" s="22" t="s">
        <v>616</v>
      </c>
      <c r="D51" s="22" t="s">
        <v>617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567</v>
      </c>
      <c r="C52" s="22" t="s">
        <v>272</v>
      </c>
      <c r="D52" s="22" t="s">
        <v>272</v>
      </c>
      <c r="E52" s="22" t="s">
        <v>261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583</v>
      </c>
      <c r="C53" s="22" t="s">
        <v>273</v>
      </c>
      <c r="D53" s="22" t="s">
        <v>618</v>
      </c>
      <c r="E53" s="22" t="s">
        <v>261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564</v>
      </c>
      <c r="C54" s="22" t="s">
        <v>274</v>
      </c>
      <c r="D54" s="22" t="s">
        <v>274</v>
      </c>
      <c r="E54" s="22" t="s">
        <v>261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564</v>
      </c>
      <c r="C55" s="22" t="s">
        <v>276</v>
      </c>
      <c r="D55" s="22" t="s">
        <v>276</v>
      </c>
      <c r="E55" s="22" t="s">
        <v>261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564</v>
      </c>
      <c r="C56" s="22" t="s">
        <v>277</v>
      </c>
      <c r="D56" s="22" t="s">
        <v>277</v>
      </c>
      <c r="E56" s="22" t="s">
        <v>261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564</v>
      </c>
      <c r="C57" s="22" t="s">
        <v>619</v>
      </c>
      <c r="D57" s="22" t="s">
        <v>279</v>
      </c>
      <c r="E57" s="22" t="s">
        <v>261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583</v>
      </c>
      <c r="C58" s="22" t="s">
        <v>620</v>
      </c>
      <c r="D58" s="22" t="s">
        <v>284</v>
      </c>
      <c r="E58" s="22" t="s">
        <v>261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567</v>
      </c>
      <c r="C59" s="22" t="s">
        <v>301</v>
      </c>
      <c r="D59" s="22" t="s">
        <v>284</v>
      </c>
      <c r="E59" s="22" t="s">
        <v>261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564</v>
      </c>
      <c r="C60" s="22" t="s">
        <v>621</v>
      </c>
      <c r="D60" s="22" t="s">
        <v>622</v>
      </c>
      <c r="E60" s="22" t="s">
        <v>261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583</v>
      </c>
      <c r="C61" s="22" t="s">
        <v>623</v>
      </c>
      <c r="D61" s="22" t="s">
        <v>290</v>
      </c>
      <c r="E61" s="22" t="s">
        <v>261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564</v>
      </c>
      <c r="C62" s="22" t="s">
        <v>320</v>
      </c>
      <c r="D62" s="22" t="s">
        <v>624</v>
      </c>
      <c r="E62" s="22" t="s">
        <v>261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567</v>
      </c>
      <c r="C63" s="22" t="s">
        <v>295</v>
      </c>
      <c r="D63" s="22" t="s">
        <v>295</v>
      </c>
      <c r="E63" s="22" t="s">
        <v>261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564</v>
      </c>
      <c r="C64" s="22" t="s">
        <v>625</v>
      </c>
      <c r="D64" s="22" t="s">
        <v>625</v>
      </c>
      <c r="E64" s="22" t="s">
        <v>261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583</v>
      </c>
      <c r="C65" s="22" t="s">
        <v>344</v>
      </c>
      <c r="D65" s="22" t="s">
        <v>310</v>
      </c>
      <c r="E65" s="22" t="s">
        <v>261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567</v>
      </c>
      <c r="C66" s="22" t="s">
        <v>626</v>
      </c>
      <c r="D66" s="22" t="s">
        <v>310</v>
      </c>
      <c r="E66" s="22" t="s">
        <v>261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564</v>
      </c>
      <c r="C67" s="22" t="s">
        <v>282</v>
      </c>
      <c r="D67" s="22" t="s">
        <v>283</v>
      </c>
      <c r="E67" s="22" t="s">
        <v>261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564</v>
      </c>
      <c r="C68" s="22" t="s">
        <v>627</v>
      </c>
      <c r="D68" s="22" t="s">
        <v>627</v>
      </c>
      <c r="E68" s="22" t="s">
        <v>261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564</v>
      </c>
      <c r="C69" s="22" t="s">
        <v>628</v>
      </c>
      <c r="D69" s="22" t="s">
        <v>264</v>
      </c>
      <c r="E69" s="22" t="s">
        <v>261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564</v>
      </c>
      <c r="C70" s="22" t="s">
        <v>317</v>
      </c>
      <c r="D70" s="22" t="s">
        <v>318</v>
      </c>
      <c r="E70" s="22" t="s">
        <v>261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564</v>
      </c>
      <c r="C71" s="22" t="s">
        <v>629</v>
      </c>
      <c r="D71" s="22" t="s">
        <v>300</v>
      </c>
      <c r="E71" s="22" t="s">
        <v>261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583</v>
      </c>
      <c r="C72" s="22" t="s">
        <v>313</v>
      </c>
      <c r="D72" s="22" t="s">
        <v>314</v>
      </c>
      <c r="E72" s="22" t="s">
        <v>261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564</v>
      </c>
      <c r="C73" s="22" t="s">
        <v>630</v>
      </c>
      <c r="D73" s="22" t="s">
        <v>292</v>
      </c>
      <c r="E73" s="22" t="s">
        <v>261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564</v>
      </c>
      <c r="C74" s="22" t="s">
        <v>631</v>
      </c>
      <c r="D74" s="22" t="s">
        <v>631</v>
      </c>
      <c r="E74" s="22" t="s">
        <v>261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564</v>
      </c>
      <c r="C75" s="22" t="s">
        <v>632</v>
      </c>
      <c r="D75" s="22" t="s">
        <v>633</v>
      </c>
      <c r="E75" s="22" t="s">
        <v>261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583</v>
      </c>
      <c r="C76" s="22" t="s">
        <v>634</v>
      </c>
      <c r="D76" s="22" t="s">
        <v>262</v>
      </c>
      <c r="E76" s="22" t="s">
        <v>261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583</v>
      </c>
      <c r="C77" s="22" t="s">
        <v>302</v>
      </c>
      <c r="D77" s="22" t="s">
        <v>302</v>
      </c>
      <c r="E77" s="22" t="s">
        <v>261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564</v>
      </c>
      <c r="C78" s="22" t="s">
        <v>280</v>
      </c>
      <c r="D78" s="22" t="s">
        <v>281</v>
      </c>
      <c r="E78" s="22" t="s">
        <v>261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583</v>
      </c>
      <c r="C79" s="22" t="s">
        <v>311</v>
      </c>
      <c r="D79" s="22" t="s">
        <v>312</v>
      </c>
      <c r="E79" s="22" t="s">
        <v>261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583</v>
      </c>
      <c r="C80" s="22" t="s">
        <v>635</v>
      </c>
      <c r="D80" s="22" t="s">
        <v>636</v>
      </c>
      <c r="E80" s="22" t="s">
        <v>261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564</v>
      </c>
      <c r="C81" s="22" t="s">
        <v>637</v>
      </c>
      <c r="D81" s="22" t="s">
        <v>638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564</v>
      </c>
      <c r="C82" s="22" t="s">
        <v>428</v>
      </c>
      <c r="D82" s="22" t="s">
        <v>429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583</v>
      </c>
      <c r="C83" s="22" t="s">
        <v>639</v>
      </c>
      <c r="D83" s="22" t="s">
        <v>426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564</v>
      </c>
      <c r="C84" s="22" t="s">
        <v>640</v>
      </c>
      <c r="D84" s="22" t="s">
        <v>641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564</v>
      </c>
      <c r="C85" s="22" t="s">
        <v>489</v>
      </c>
      <c r="D85" s="22" t="s">
        <v>489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564</v>
      </c>
      <c r="C86" s="22" t="s">
        <v>642</v>
      </c>
      <c r="D86" s="22" t="s">
        <v>643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564</v>
      </c>
      <c r="C87" s="22" t="s">
        <v>644</v>
      </c>
      <c r="D87" s="22" t="s">
        <v>645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567</v>
      </c>
      <c r="C88" s="22" t="s">
        <v>646</v>
      </c>
      <c r="D88" s="22" t="s">
        <v>645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564</v>
      </c>
      <c r="C89" s="22" t="s">
        <v>647</v>
      </c>
      <c r="D89" s="22" t="s">
        <v>648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564</v>
      </c>
      <c r="C90" s="22" t="s">
        <v>649</v>
      </c>
      <c r="D90" s="22" t="s">
        <v>650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583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583</v>
      </c>
      <c r="C92" s="22" t="s">
        <v>533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564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564</v>
      </c>
      <c r="C94" s="22" t="s">
        <v>651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583</v>
      </c>
      <c r="C95" s="22" t="s">
        <v>652</v>
      </c>
      <c r="D95" s="22" t="s">
        <v>652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564</v>
      </c>
      <c r="C96" s="22" t="s">
        <v>653</v>
      </c>
      <c r="D96" s="22" t="s">
        <v>304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654</v>
      </c>
      <c r="C97" s="22" t="s">
        <v>306</v>
      </c>
      <c r="D97" s="22" t="s">
        <v>306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583</v>
      </c>
      <c r="C98" s="22" t="s">
        <v>655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583</v>
      </c>
      <c r="C99" s="22" t="s">
        <v>656</v>
      </c>
      <c r="D99" s="22" t="s">
        <v>266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564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564</v>
      </c>
      <c r="C101" s="22" t="s">
        <v>657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564</v>
      </c>
      <c r="C102" s="22" t="s">
        <v>658</v>
      </c>
      <c r="D102" s="22" t="s">
        <v>464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583</v>
      </c>
      <c r="C103" s="22" t="s">
        <v>659</v>
      </c>
      <c r="D103" s="22" t="s">
        <v>327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564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583</v>
      </c>
      <c r="C105" s="22" t="s">
        <v>345</v>
      </c>
      <c r="D105" s="22" t="s">
        <v>345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583</v>
      </c>
      <c r="C106" s="22" t="s">
        <v>660</v>
      </c>
      <c r="D106" s="22" t="s">
        <v>343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564</v>
      </c>
      <c r="C107" s="22" t="s">
        <v>661</v>
      </c>
      <c r="D107" s="22" t="s">
        <v>662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564</v>
      </c>
      <c r="C108" s="22" t="s">
        <v>662</v>
      </c>
      <c r="D108" s="22" t="s">
        <v>662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564</v>
      </c>
      <c r="C109" s="22" t="s">
        <v>663</v>
      </c>
      <c r="D109" s="22" t="s">
        <v>664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564</v>
      </c>
      <c r="C110" s="22" t="s">
        <v>460</v>
      </c>
      <c r="D110" s="22" t="s">
        <v>665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583</v>
      </c>
      <c r="C111" s="22" t="s">
        <v>666</v>
      </c>
      <c r="D111" s="22" t="s">
        <v>667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564</v>
      </c>
      <c r="C112" s="22" t="s">
        <v>668</v>
      </c>
      <c r="D112" s="22" t="s">
        <v>669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583</v>
      </c>
      <c r="C113" s="22" t="s">
        <v>365</v>
      </c>
      <c r="D113" s="22" t="s">
        <v>366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564</v>
      </c>
      <c r="C114" s="22" t="s">
        <v>670</v>
      </c>
      <c r="D114" s="22" t="s">
        <v>671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564</v>
      </c>
      <c r="C115" s="22" t="s">
        <v>442</v>
      </c>
      <c r="D115" s="22" t="s">
        <v>671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564</v>
      </c>
      <c r="C116" s="22" t="s">
        <v>352</v>
      </c>
      <c r="D116" s="22" t="s">
        <v>672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564</v>
      </c>
      <c r="C117" s="22" t="s">
        <v>673</v>
      </c>
      <c r="D117" s="22" t="s">
        <v>674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565</v>
      </c>
      <c r="C118" s="22" t="s">
        <v>675</v>
      </c>
      <c r="D118" s="22" t="s">
        <v>676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564</v>
      </c>
      <c r="C119" s="22" t="s">
        <v>677</v>
      </c>
      <c r="D119" s="22" t="s">
        <v>678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567</v>
      </c>
      <c r="C120" s="22" t="s">
        <v>679</v>
      </c>
      <c r="D120" s="22" t="s">
        <v>678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583</v>
      </c>
      <c r="C121" s="22" t="s">
        <v>680</v>
      </c>
      <c r="D121" s="22" t="s">
        <v>681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564</v>
      </c>
      <c r="C122" s="22" t="s">
        <v>682</v>
      </c>
      <c r="D122" s="22" t="s">
        <v>682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565</v>
      </c>
      <c r="C123" s="22" t="s">
        <v>401</v>
      </c>
      <c r="D123" s="22" t="s">
        <v>398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564</v>
      </c>
      <c r="C124" s="22" t="s">
        <v>683</v>
      </c>
      <c r="D124" s="22" t="s">
        <v>684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563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564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564</v>
      </c>
      <c r="C127" s="22" t="s">
        <v>685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564</v>
      </c>
      <c r="C128" s="22" t="s">
        <v>686</v>
      </c>
      <c r="D128" s="22" t="s">
        <v>687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564</v>
      </c>
      <c r="C129" s="22" t="s">
        <v>688</v>
      </c>
      <c r="D129" s="22" t="s">
        <v>689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564</v>
      </c>
      <c r="C130" s="22" t="s">
        <v>690</v>
      </c>
      <c r="D130" s="22" t="s">
        <v>452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564</v>
      </c>
      <c r="C131" s="22" t="s">
        <v>691</v>
      </c>
      <c r="D131" s="22" t="s">
        <v>692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563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565</v>
      </c>
      <c r="C133" s="22" t="s">
        <v>693</v>
      </c>
      <c r="D133" s="22" t="s">
        <v>694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567</v>
      </c>
      <c r="C134" s="22" t="s">
        <v>695</v>
      </c>
      <c r="D134" s="22" t="s">
        <v>696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564</v>
      </c>
      <c r="C135" s="22" t="s">
        <v>133</v>
      </c>
      <c r="D135" s="22" t="s">
        <v>697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564</v>
      </c>
      <c r="C136" s="22" t="s">
        <v>145</v>
      </c>
      <c r="D136" s="22" t="s">
        <v>698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583</v>
      </c>
      <c r="C137" s="22" t="s">
        <v>699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564</v>
      </c>
      <c r="C138" s="22" t="s">
        <v>700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563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564</v>
      </c>
      <c r="C140" s="22" t="s">
        <v>701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564</v>
      </c>
      <c r="C141" s="22" t="s">
        <v>702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564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564</v>
      </c>
      <c r="C143" s="22" t="s">
        <v>703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564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564</v>
      </c>
      <c r="C145" s="22" t="s">
        <v>704</v>
      </c>
      <c r="D145" s="22" t="s">
        <v>704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583</v>
      </c>
      <c r="C146" s="22" t="s">
        <v>520</v>
      </c>
      <c r="D146" s="22" t="s">
        <v>521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564</v>
      </c>
      <c r="C147" s="22" t="s">
        <v>705</v>
      </c>
      <c r="D147" s="22" t="s">
        <v>519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564</v>
      </c>
      <c r="C148" s="22" t="s">
        <v>706</v>
      </c>
      <c r="D148" s="22" t="s">
        <v>519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563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583</v>
      </c>
      <c r="C150" s="22" t="s">
        <v>707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564</v>
      </c>
      <c r="C151" s="22" t="s">
        <v>708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583</v>
      </c>
      <c r="C152" s="22" t="s">
        <v>709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583</v>
      </c>
      <c r="C153" s="22" t="s">
        <v>495</v>
      </c>
      <c r="D153" s="22" t="s">
        <v>497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564</v>
      </c>
      <c r="C154" s="22" t="s">
        <v>515</v>
      </c>
      <c r="D154" s="22" t="s">
        <v>516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564</v>
      </c>
      <c r="C155" s="22" t="s">
        <v>525</v>
      </c>
      <c r="D155" s="22" t="s">
        <v>526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583</v>
      </c>
      <c r="C156" s="22" t="s">
        <v>710</v>
      </c>
      <c r="D156" s="22" t="s">
        <v>511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564</v>
      </c>
      <c r="C157" s="22" t="s">
        <v>711</v>
      </c>
      <c r="D157" s="22" t="s">
        <v>711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564</v>
      </c>
      <c r="C158" s="22" t="s">
        <v>509</v>
      </c>
      <c r="D158" s="22" t="s">
        <v>509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564</v>
      </c>
      <c r="C159" s="22" t="s">
        <v>712</v>
      </c>
      <c r="D159" s="22" t="s">
        <v>713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564</v>
      </c>
      <c r="C160" s="22" t="s">
        <v>481</v>
      </c>
      <c r="D160" s="22" t="s">
        <v>481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567</v>
      </c>
      <c r="C161" s="22" t="s">
        <v>531</v>
      </c>
      <c r="D161" s="22" t="s">
        <v>714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564</v>
      </c>
      <c r="C162" s="22" t="s">
        <v>715</v>
      </c>
      <c r="D162" s="22" t="s">
        <v>716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564</v>
      </c>
      <c r="C163" s="22" t="s">
        <v>523</v>
      </c>
      <c r="D163" s="22" t="s">
        <v>523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564</v>
      </c>
      <c r="C164" s="22" t="s">
        <v>717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567</v>
      </c>
      <c r="C165" s="22" t="s">
        <v>718</v>
      </c>
      <c r="D165" s="22" t="s">
        <v>524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563</v>
      </c>
      <c r="C166" s="22" t="s">
        <v>465</v>
      </c>
      <c r="D166" s="22" t="s">
        <v>467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564</v>
      </c>
      <c r="C167" s="22" t="s">
        <v>719</v>
      </c>
      <c r="D167" s="22" t="s">
        <v>720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564</v>
      </c>
      <c r="C168" s="22" t="s">
        <v>507</v>
      </c>
      <c r="D168" s="22" t="s">
        <v>508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564</v>
      </c>
      <c r="C169" s="22" t="s">
        <v>505</v>
      </c>
      <c r="D169" s="22" t="s">
        <v>721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564</v>
      </c>
      <c r="C170" s="22" t="s">
        <v>722</v>
      </c>
      <c r="D170" s="22" t="s">
        <v>723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583</v>
      </c>
      <c r="C171" s="22" t="s">
        <v>724</v>
      </c>
      <c r="D171" s="22" t="s">
        <v>537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567</v>
      </c>
      <c r="C172" s="22" t="s">
        <v>725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564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564</v>
      </c>
      <c r="C174" s="22" t="s">
        <v>201</v>
      </c>
      <c r="D174" s="22" t="s">
        <v>726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567</v>
      </c>
      <c r="C175" s="22" t="s">
        <v>727</v>
      </c>
      <c r="D175" s="22" t="s">
        <v>726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564</v>
      </c>
      <c r="C176" s="22" t="s">
        <v>728</v>
      </c>
      <c r="D176" s="22" t="s">
        <v>729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564</v>
      </c>
      <c r="C177" s="22" t="s">
        <v>730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567</v>
      </c>
      <c r="C178" s="22" t="s">
        <v>731</v>
      </c>
      <c r="D178" s="22" t="s">
        <v>732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564</v>
      </c>
      <c r="C179" s="22" t="s">
        <v>601</v>
      </c>
      <c r="D179" s="22" t="s">
        <v>732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583</v>
      </c>
      <c r="C180" s="22" t="s">
        <v>733</v>
      </c>
      <c r="D180" s="22" t="s">
        <v>734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583</v>
      </c>
      <c r="C181" s="22" t="s">
        <v>735</v>
      </c>
      <c r="D181" s="22" t="s">
        <v>734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564</v>
      </c>
      <c r="C182" s="22" t="s">
        <v>736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564</v>
      </c>
      <c r="C183" s="22" t="s">
        <v>737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564</v>
      </c>
      <c r="C184" s="22" t="s">
        <v>738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564</v>
      </c>
      <c r="C185" s="22" t="s">
        <v>739</v>
      </c>
      <c r="D185" s="22" t="s">
        <v>400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564</v>
      </c>
      <c r="C186" s="22" t="s">
        <v>740</v>
      </c>
      <c r="D186" s="22" t="s">
        <v>741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583</v>
      </c>
      <c r="C187" s="22" t="s">
        <v>742</v>
      </c>
      <c r="D187" s="22" t="s">
        <v>743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744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564</v>
      </c>
      <c r="C189" s="22" t="s">
        <v>745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564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564</v>
      </c>
      <c r="C191" s="22" t="s">
        <v>435</v>
      </c>
      <c r="D191" s="22" t="s">
        <v>746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565</v>
      </c>
      <c r="C192" s="22" t="s">
        <v>747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564</v>
      </c>
      <c r="C193" s="22" t="s">
        <v>748</v>
      </c>
      <c r="D193" s="22" t="s">
        <v>748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564</v>
      </c>
      <c r="C194" s="22" t="s">
        <v>749</v>
      </c>
      <c r="D194" s="22" t="s">
        <v>750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564</v>
      </c>
      <c r="C195" s="22" t="s">
        <v>751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564</v>
      </c>
      <c r="C196" s="22" t="s">
        <v>752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583</v>
      </c>
      <c r="C197" s="22" t="s">
        <v>753</v>
      </c>
      <c r="D197" s="22" t="s">
        <v>754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564</v>
      </c>
      <c r="C198" s="22" t="s">
        <v>755</v>
      </c>
      <c r="D198" s="22" t="s">
        <v>756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583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563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583</v>
      </c>
      <c r="C201" s="12" t="s">
        <v>757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583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564</v>
      </c>
      <c r="C203" s="22" t="s">
        <v>758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564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564</v>
      </c>
      <c r="C205" s="22" t="s">
        <v>759</v>
      </c>
      <c r="D205" s="22" t="s">
        <v>760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583</v>
      </c>
      <c r="C206" s="22" t="s">
        <v>761</v>
      </c>
      <c r="D206" s="22" t="s">
        <v>268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583</v>
      </c>
      <c r="C207" s="22" t="s">
        <v>762</v>
      </c>
      <c r="D207" s="22" t="s">
        <v>763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564</v>
      </c>
      <c r="C208" s="22" t="s">
        <v>764</v>
      </c>
      <c r="D208" s="22" t="s">
        <v>765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563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583</v>
      </c>
      <c r="C210" s="22" t="s">
        <v>766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564</v>
      </c>
      <c r="C211" s="22" t="s">
        <v>767</v>
      </c>
      <c r="D211" s="22" t="s">
        <v>768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564</v>
      </c>
      <c r="C212" s="22" t="s">
        <v>769</v>
      </c>
      <c r="D212" s="22" t="s">
        <v>768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564</v>
      </c>
      <c r="C213" s="22" t="s">
        <v>187</v>
      </c>
      <c r="D213" s="22" t="s">
        <v>770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564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564</v>
      </c>
      <c r="C215" s="22" t="s">
        <v>771</v>
      </c>
      <c r="D215" s="22" t="s">
        <v>772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564</v>
      </c>
      <c r="C216" s="22" t="s">
        <v>196</v>
      </c>
      <c r="D216" s="22" t="s">
        <v>773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564</v>
      </c>
      <c r="C217" s="22" t="s">
        <v>774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583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564</v>
      </c>
      <c r="C219" s="22" t="s">
        <v>775</v>
      </c>
      <c r="D219" s="22" t="s">
        <v>776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564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654</v>
      </c>
      <c r="C221" s="22" t="s">
        <v>777</v>
      </c>
      <c r="D221" s="22" t="s">
        <v>778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564</v>
      </c>
      <c r="C222" s="22" t="s">
        <v>779</v>
      </c>
      <c r="D222" s="22" t="s">
        <v>779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564</v>
      </c>
      <c r="C223" s="22" t="s">
        <v>780</v>
      </c>
      <c r="D223" s="22" t="s">
        <v>781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563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567</v>
      </c>
      <c r="C225" s="22" t="s">
        <v>782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583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563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583</v>
      </c>
      <c r="C228" s="22" t="s">
        <v>783</v>
      </c>
      <c r="D228" s="22" t="s">
        <v>328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565</v>
      </c>
      <c r="C229" s="22" t="s">
        <v>328</v>
      </c>
      <c r="D229" s="22" t="s">
        <v>328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563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564</v>
      </c>
      <c r="C231" s="22" t="s">
        <v>330</v>
      </c>
      <c r="D231" s="22" t="s">
        <v>331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583</v>
      </c>
      <c r="C232" s="22" t="s">
        <v>784</v>
      </c>
      <c r="D232" s="22" t="s">
        <v>333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583</v>
      </c>
      <c r="C233" s="22" t="s">
        <v>785</v>
      </c>
      <c r="D233" s="22" t="s">
        <v>333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567</v>
      </c>
      <c r="C234" s="22" t="s">
        <v>351</v>
      </c>
      <c r="D234" s="22" t="s">
        <v>333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564</v>
      </c>
      <c r="C235" s="22" t="s">
        <v>349</v>
      </c>
      <c r="D235" s="22" t="s">
        <v>350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564</v>
      </c>
      <c r="C236" s="22" t="s">
        <v>786</v>
      </c>
      <c r="D236" s="22" t="s">
        <v>335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564</v>
      </c>
      <c r="C237" s="22" t="s">
        <v>363</v>
      </c>
      <c r="D237" s="22" t="s">
        <v>364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564</v>
      </c>
      <c r="C238" s="22" t="s">
        <v>359</v>
      </c>
      <c r="D238" s="22" t="s">
        <v>787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564</v>
      </c>
      <c r="C239" s="22" t="s">
        <v>258</v>
      </c>
      <c r="D239" s="22" t="s">
        <v>788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564</v>
      </c>
      <c r="C240" s="22" t="s">
        <v>362</v>
      </c>
      <c r="D240" s="22" t="s">
        <v>362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583</v>
      </c>
      <c r="C241" s="22" t="s">
        <v>360</v>
      </c>
      <c r="D241" s="22" t="s">
        <v>361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583</v>
      </c>
      <c r="C242" s="22" t="s">
        <v>789</v>
      </c>
      <c r="D242" s="22" t="s">
        <v>790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583</v>
      </c>
      <c r="C243" s="22" t="s">
        <v>791</v>
      </c>
      <c r="D243" s="22" t="s">
        <v>338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583</v>
      </c>
      <c r="C244" s="22" t="s">
        <v>792</v>
      </c>
      <c r="D244" s="22" t="s">
        <v>370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564</v>
      </c>
      <c r="C245" s="22" t="s">
        <v>793</v>
      </c>
      <c r="D245" s="22" t="s">
        <v>393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583</v>
      </c>
      <c r="C246" s="22" t="s">
        <v>794</v>
      </c>
      <c r="D246" s="22" t="s">
        <v>795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563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583</v>
      </c>
      <c r="C248" s="22" t="s">
        <v>796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583</v>
      </c>
      <c r="C249" s="22" t="s">
        <v>797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564</v>
      </c>
      <c r="C250" s="22" t="s">
        <v>402</v>
      </c>
      <c r="D250" s="22" t="s">
        <v>402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583</v>
      </c>
      <c r="C251" s="22" t="s">
        <v>371</v>
      </c>
      <c r="D251" s="22" t="s">
        <v>372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564</v>
      </c>
      <c r="C252" s="22" t="s">
        <v>798</v>
      </c>
      <c r="D252" s="22" t="s">
        <v>372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567</v>
      </c>
      <c r="C253" s="22" t="s">
        <v>396</v>
      </c>
      <c r="D253" s="22" t="s">
        <v>397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564</v>
      </c>
      <c r="C254" s="22" t="s">
        <v>799</v>
      </c>
      <c r="D254" s="22" t="s">
        <v>405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583</v>
      </c>
      <c r="C255" s="22" t="s">
        <v>405</v>
      </c>
      <c r="D255" s="22" t="s">
        <v>405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583</v>
      </c>
      <c r="C256" s="22" t="s">
        <v>406</v>
      </c>
      <c r="D256" s="22" t="s">
        <v>406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565</v>
      </c>
      <c r="C257" s="22" t="s">
        <v>409</v>
      </c>
      <c r="D257" s="22" t="s">
        <v>409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564</v>
      </c>
      <c r="C258" s="22" t="s">
        <v>525</v>
      </c>
      <c r="D258" s="22" t="s">
        <v>525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564</v>
      </c>
      <c r="C259" s="22" t="s">
        <v>800</v>
      </c>
      <c r="D259" s="22" t="s">
        <v>800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564</v>
      </c>
      <c r="C260" s="22" t="s">
        <v>412</v>
      </c>
      <c r="D260" s="22" t="s">
        <v>801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564</v>
      </c>
      <c r="C261" s="22" t="s">
        <v>802</v>
      </c>
      <c r="D261" s="22" t="s">
        <v>348</v>
      </c>
      <c r="E261" s="22" t="s">
        <v>324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583</v>
      </c>
      <c r="C262" s="22" t="s">
        <v>803</v>
      </c>
      <c r="D262" s="22" t="s">
        <v>325</v>
      </c>
      <c r="E262" s="22" t="s">
        <v>324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564</v>
      </c>
      <c r="C263" s="22" t="s">
        <v>355</v>
      </c>
      <c r="D263" s="22" t="s">
        <v>355</v>
      </c>
      <c r="E263" s="22" t="s">
        <v>324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564</v>
      </c>
      <c r="C264" s="22" t="s">
        <v>356</v>
      </c>
      <c r="D264" s="22" t="s">
        <v>355</v>
      </c>
      <c r="E264" s="22" t="s">
        <v>324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564</v>
      </c>
      <c r="C265" s="22" t="s">
        <v>804</v>
      </c>
      <c r="D265" s="22" t="s">
        <v>805</v>
      </c>
      <c r="E265" s="22" t="s">
        <v>324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567</v>
      </c>
      <c r="C266" s="22" t="s">
        <v>358</v>
      </c>
      <c r="D266" s="22" t="s">
        <v>358</v>
      </c>
      <c r="E266" s="22" t="s">
        <v>324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563</v>
      </c>
      <c r="C267" s="22" t="s">
        <v>66</v>
      </c>
      <c r="D267" s="22" t="s">
        <v>806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563</v>
      </c>
      <c r="C268" s="22" t="s">
        <v>63</v>
      </c>
      <c r="D268" s="22" t="s">
        <v>65</v>
      </c>
      <c r="E268" s="22" t="s">
        <v>807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564</v>
      </c>
      <c r="C269" s="22" t="s">
        <v>439</v>
      </c>
      <c r="D269" s="22" t="s">
        <v>65</v>
      </c>
      <c r="E269" s="22" t="s">
        <v>807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564</v>
      </c>
      <c r="C270" s="22" t="s">
        <v>450</v>
      </c>
      <c r="D270" s="22" t="s">
        <v>450</v>
      </c>
      <c r="E270" s="22" t="s">
        <v>807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565</v>
      </c>
      <c r="C271" s="22" t="s">
        <v>455</v>
      </c>
      <c r="D271" s="22" t="s">
        <v>808</v>
      </c>
      <c r="E271" s="22" t="s">
        <v>807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564</v>
      </c>
      <c r="C272" s="22" t="s">
        <v>809</v>
      </c>
      <c r="D272" s="22" t="s">
        <v>810</v>
      </c>
      <c r="E272" s="22" t="s">
        <v>807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563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564</v>
      </c>
      <c r="C274" s="22" t="s">
        <v>811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564</v>
      </c>
      <c r="C275" s="22" t="s">
        <v>275</v>
      </c>
      <c r="D275" s="22" t="s">
        <v>275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564</v>
      </c>
      <c r="C276" s="22" t="s">
        <v>812</v>
      </c>
      <c r="D276" s="22" t="s">
        <v>391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564</v>
      </c>
      <c r="C277" s="22" t="s">
        <v>813</v>
      </c>
      <c r="D277" s="22" t="s">
        <v>391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564</v>
      </c>
      <c r="C278" s="22" t="s">
        <v>814</v>
      </c>
      <c r="D278" s="22" t="s">
        <v>814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564</v>
      </c>
      <c r="C279" s="22" t="s">
        <v>133</v>
      </c>
      <c r="D279" s="22" t="s">
        <v>697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564</v>
      </c>
      <c r="C280" s="22" t="s">
        <v>380</v>
      </c>
      <c r="D280" s="22" t="s">
        <v>380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564</v>
      </c>
      <c r="C281" s="22" t="s">
        <v>383</v>
      </c>
      <c r="D281" s="22" t="s">
        <v>815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564</v>
      </c>
      <c r="C282" s="22" t="s">
        <v>816</v>
      </c>
      <c r="D282" s="22" t="s">
        <v>816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564</v>
      </c>
      <c r="C283" s="22" t="s">
        <v>399</v>
      </c>
      <c r="D283" s="22" t="s">
        <v>817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602</v>
      </c>
      <c r="C284" s="22" t="s">
        <v>818</v>
      </c>
      <c r="D284" s="22" t="s">
        <v>818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563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583</v>
      </c>
      <c r="C286" s="22" t="s">
        <v>819</v>
      </c>
      <c r="D286" s="22" t="s">
        <v>395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564</v>
      </c>
      <c r="C287" s="22" t="s">
        <v>820</v>
      </c>
      <c r="D287" s="22" t="s">
        <v>389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565</v>
      </c>
      <c r="C288" s="22" t="s">
        <v>386</v>
      </c>
      <c r="D288" s="22" t="s">
        <v>387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565</v>
      </c>
      <c r="C289" s="22" t="s">
        <v>821</v>
      </c>
      <c r="D289" s="22" t="s">
        <v>822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583</v>
      </c>
      <c r="C290" s="22" t="s">
        <v>414</v>
      </c>
      <c r="D290" s="22" t="s">
        <v>823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564</v>
      </c>
      <c r="C291" s="22" t="s">
        <v>824</v>
      </c>
      <c r="D291" s="22" t="s">
        <v>417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583</v>
      </c>
      <c r="C292" s="22" t="s">
        <v>825</v>
      </c>
      <c r="D292" s="22" t="s">
        <v>374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565</v>
      </c>
      <c r="C293" s="22" t="s">
        <v>826</v>
      </c>
      <c r="D293" s="22" t="s">
        <v>827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564</v>
      </c>
      <c r="C294" s="22" t="s">
        <v>418</v>
      </c>
      <c r="D294" s="22" t="s">
        <v>418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583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567</v>
      </c>
      <c r="C296" s="22" t="s">
        <v>828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583</v>
      </c>
      <c r="C297" s="22" t="s">
        <v>475</v>
      </c>
      <c r="D297" s="22" t="s">
        <v>476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583</v>
      </c>
      <c r="C298" s="22" t="s">
        <v>829</v>
      </c>
      <c r="D298" s="22" t="s">
        <v>830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564</v>
      </c>
      <c r="C299" s="22" t="s">
        <v>831</v>
      </c>
      <c r="D299" s="22" t="s">
        <v>484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564</v>
      </c>
      <c r="C300" s="22" t="s">
        <v>832</v>
      </c>
      <c r="D300" s="22" t="s">
        <v>832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564</v>
      </c>
      <c r="C301" s="22" t="s">
        <v>833</v>
      </c>
      <c r="D301" s="22" t="s">
        <v>832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564</v>
      </c>
      <c r="C302" s="22" t="s">
        <v>834</v>
      </c>
      <c r="D302" s="22" t="s">
        <v>474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564</v>
      </c>
      <c r="C303" s="22" t="s">
        <v>835</v>
      </c>
      <c r="D303" s="22" t="s">
        <v>474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564</v>
      </c>
      <c r="C304" s="22" t="s">
        <v>836</v>
      </c>
      <c r="D304" s="22" t="s">
        <v>837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564</v>
      </c>
      <c r="C305" s="22" t="s">
        <v>471</v>
      </c>
      <c r="D305" s="22" t="s">
        <v>472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567</v>
      </c>
      <c r="C306" s="22" t="s">
        <v>838</v>
      </c>
      <c r="D306" s="22" t="s">
        <v>472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583</v>
      </c>
      <c r="C307" s="22" t="s">
        <v>839</v>
      </c>
      <c r="D307" s="22" t="s">
        <v>840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583</v>
      </c>
      <c r="C308" s="22" t="s">
        <v>477</v>
      </c>
      <c r="D308" s="22" t="s">
        <v>477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564</v>
      </c>
      <c r="C309" s="22" t="s">
        <v>799</v>
      </c>
      <c r="D309" s="22" t="s">
        <v>841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744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564</v>
      </c>
      <c r="C311" s="22" t="s">
        <v>842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583</v>
      </c>
      <c r="C312" s="22" t="s">
        <v>843</v>
      </c>
      <c r="D312" s="22" t="s">
        <v>844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744</v>
      </c>
      <c r="C313" s="22" t="s">
        <v>845</v>
      </c>
      <c r="D313" s="22" t="s">
        <v>482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564</v>
      </c>
      <c r="C314" s="22" t="s">
        <v>250</v>
      </c>
      <c r="D314" s="22" t="s">
        <v>482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583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564</v>
      </c>
      <c r="C316" s="12" t="s">
        <v>846</v>
      </c>
      <c r="D316" s="22" t="s">
        <v>487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565</v>
      </c>
      <c r="C317" s="22" t="s">
        <v>847</v>
      </c>
      <c r="D317" s="22" t="s">
        <v>848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564</v>
      </c>
      <c r="C318" s="22" t="s">
        <v>849</v>
      </c>
      <c r="D318" s="22" t="s">
        <v>848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564</v>
      </c>
      <c r="C319" s="22" t="s">
        <v>850</v>
      </c>
      <c r="D319" s="22" t="s">
        <v>851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564</v>
      </c>
      <c r="C320" s="22" t="s">
        <v>852</v>
      </c>
      <c r="D320" s="22" t="s">
        <v>853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564</v>
      </c>
      <c r="C321" s="22" t="s">
        <v>478</v>
      </c>
      <c r="D321" s="22" t="s">
        <v>479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583</v>
      </c>
      <c r="C322" s="22" t="s">
        <v>490</v>
      </c>
      <c r="D322" s="22" t="s">
        <v>491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565</v>
      </c>
      <c r="C323" s="22" t="s">
        <v>854</v>
      </c>
      <c r="D323" s="22" t="s">
        <v>492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654</v>
      </c>
      <c r="C324" s="22" t="s">
        <v>492</v>
      </c>
      <c r="D324" s="22" t="s">
        <v>492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564</v>
      </c>
      <c r="C325" s="22" t="s">
        <v>492</v>
      </c>
      <c r="D325" s="22" t="s">
        <v>492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564</v>
      </c>
      <c r="C326" s="22" t="s">
        <v>494</v>
      </c>
      <c r="D326" s="22" t="s">
        <v>494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565</v>
      </c>
      <c r="C327" s="22" t="s">
        <v>419</v>
      </c>
      <c r="D327" s="22" t="s">
        <v>422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564</v>
      </c>
      <c r="C328" s="22" t="s">
        <v>855</v>
      </c>
      <c r="D328" s="22" t="s">
        <v>422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583</v>
      </c>
      <c r="C329" s="22" t="s">
        <v>856</v>
      </c>
      <c r="D329" s="22" t="s">
        <v>422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564</v>
      </c>
      <c r="C330" s="22" t="s">
        <v>453</v>
      </c>
      <c r="D330" s="22" t="s">
        <v>454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583</v>
      </c>
      <c r="C331" s="22" t="s">
        <v>857</v>
      </c>
      <c r="D331" s="22" t="s">
        <v>858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564</v>
      </c>
      <c r="C332" s="22" t="s">
        <v>506</v>
      </c>
      <c r="D332" s="22" t="s">
        <v>859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563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564</v>
      </c>
      <c r="C334" s="22" t="s">
        <v>860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567</v>
      </c>
      <c r="C335" s="12" t="s">
        <v>861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564</v>
      </c>
      <c r="C336" s="22" t="s">
        <v>434</v>
      </c>
      <c r="D336" s="22" t="s">
        <v>435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563</v>
      </c>
      <c r="C337" s="22" t="s">
        <v>862</v>
      </c>
      <c r="D337" s="22" t="s">
        <v>424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564</v>
      </c>
      <c r="C338" s="22" t="s">
        <v>863</v>
      </c>
      <c r="D338" s="22" t="s">
        <v>424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564</v>
      </c>
      <c r="C339" s="22" t="s">
        <v>444</v>
      </c>
      <c r="D339" s="22" t="s">
        <v>424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564</v>
      </c>
      <c r="C340" s="22" t="s">
        <v>437</v>
      </c>
      <c r="D340" s="22" t="s">
        <v>438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583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564</v>
      </c>
      <c r="C342" s="22" t="s">
        <v>864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564</v>
      </c>
      <c r="C343" s="22" t="s">
        <v>865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583</v>
      </c>
      <c r="C344" s="22" t="s">
        <v>866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563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0" t="s">
        <v>867</v>
      </c>
      <c r="B1" s="120" t="s">
        <v>7</v>
      </c>
      <c r="C1" s="120" t="s">
        <v>10</v>
      </c>
      <c r="D1" s="120" t="s">
        <v>9</v>
      </c>
      <c r="E1" s="120" t="s">
        <v>11</v>
      </c>
      <c r="F1" s="120" t="s">
        <v>15</v>
      </c>
      <c r="G1" s="120" t="s">
        <v>868</v>
      </c>
      <c r="H1" s="122" t="s">
        <v>869</v>
      </c>
      <c r="I1" s="123"/>
      <c r="J1" s="124"/>
      <c r="K1" s="122" t="s">
        <v>870</v>
      </c>
      <c r="L1" s="123"/>
      <c r="M1" s="124"/>
      <c r="N1" s="122" t="s">
        <v>871</v>
      </c>
      <c r="O1" s="123"/>
      <c r="P1" s="124"/>
      <c r="Q1" s="122" t="s">
        <v>872</v>
      </c>
      <c r="R1" s="123"/>
      <c r="S1" s="124"/>
      <c r="T1" s="122" t="s">
        <v>873</v>
      </c>
      <c r="U1" s="123"/>
      <c r="V1" s="124"/>
      <c r="W1" s="122" t="s">
        <v>874</v>
      </c>
      <c r="X1" s="123"/>
      <c r="Y1" s="124"/>
      <c r="Z1" s="122" t="s">
        <v>875</v>
      </c>
      <c r="AA1" s="123"/>
      <c r="AB1" s="124"/>
      <c r="AC1" s="122" t="s">
        <v>876</v>
      </c>
      <c r="AD1" s="123"/>
      <c r="AE1" s="124"/>
      <c r="AF1" s="122" t="s">
        <v>877</v>
      </c>
      <c r="AG1" s="123"/>
      <c r="AH1" s="124"/>
      <c r="AI1" s="122" t="s">
        <v>878</v>
      </c>
      <c r="AJ1" s="123"/>
      <c r="AK1" s="124"/>
      <c r="AL1" s="122" t="s">
        <v>879</v>
      </c>
      <c r="AM1" s="123"/>
      <c r="AN1" s="124"/>
      <c r="AO1" s="122" t="s">
        <v>880</v>
      </c>
      <c r="AP1" s="123"/>
      <c r="AQ1" s="124"/>
      <c r="AS1" s="46" t="s">
        <v>881</v>
      </c>
      <c r="AT1" s="46" t="s">
        <v>882</v>
      </c>
      <c r="AU1" s="46" t="s">
        <v>883</v>
      </c>
    </row>
    <row r="2" spans="1:47" ht="14.45" customHeight="1" x14ac:dyDescent="0.25">
      <c r="A2" s="121"/>
      <c r="B2" s="121"/>
      <c r="C2" s="121"/>
      <c r="D2" s="121"/>
      <c r="E2" s="121"/>
      <c r="F2" s="121"/>
      <c r="G2" s="121"/>
      <c r="H2" s="40" t="s">
        <v>884</v>
      </c>
      <c r="I2" s="38" t="s">
        <v>3</v>
      </c>
      <c r="J2" s="38" t="s">
        <v>885</v>
      </c>
      <c r="K2" s="40" t="s">
        <v>884</v>
      </c>
      <c r="L2" s="38" t="s">
        <v>3</v>
      </c>
      <c r="M2" s="38" t="s">
        <v>885</v>
      </c>
      <c r="N2" s="40" t="s">
        <v>884</v>
      </c>
      <c r="O2" s="38" t="s">
        <v>3</v>
      </c>
      <c r="P2" s="38" t="s">
        <v>885</v>
      </c>
      <c r="Q2" s="40" t="s">
        <v>884</v>
      </c>
      <c r="R2" s="38" t="s">
        <v>3</v>
      </c>
      <c r="S2" s="38" t="s">
        <v>885</v>
      </c>
      <c r="T2" s="40" t="s">
        <v>884</v>
      </c>
      <c r="U2" s="38" t="s">
        <v>3</v>
      </c>
      <c r="V2" s="38" t="s">
        <v>885</v>
      </c>
      <c r="W2" s="40" t="s">
        <v>884</v>
      </c>
      <c r="X2" s="38" t="s">
        <v>3</v>
      </c>
      <c r="Y2" s="38" t="s">
        <v>885</v>
      </c>
      <c r="Z2" s="40" t="s">
        <v>884</v>
      </c>
      <c r="AA2" s="38" t="s">
        <v>3</v>
      </c>
      <c r="AB2" s="38" t="s">
        <v>885</v>
      </c>
      <c r="AC2" s="40" t="s">
        <v>884</v>
      </c>
      <c r="AD2" s="38" t="s">
        <v>3</v>
      </c>
      <c r="AE2" s="38" t="s">
        <v>885</v>
      </c>
      <c r="AF2" s="40" t="s">
        <v>884</v>
      </c>
      <c r="AG2" s="38" t="s">
        <v>3</v>
      </c>
      <c r="AH2" s="38" t="s">
        <v>885</v>
      </c>
      <c r="AI2" s="40" t="s">
        <v>884</v>
      </c>
      <c r="AJ2" s="38" t="s">
        <v>3</v>
      </c>
      <c r="AK2" s="38" t="s">
        <v>885</v>
      </c>
      <c r="AL2" s="40" t="s">
        <v>884</v>
      </c>
      <c r="AM2" s="38" t="s">
        <v>3</v>
      </c>
      <c r="AN2" s="38" t="s">
        <v>885</v>
      </c>
      <c r="AO2" s="40" t="s">
        <v>884</v>
      </c>
      <c r="AP2" s="38" t="s">
        <v>3</v>
      </c>
      <c r="AQ2" s="38" t="s">
        <v>885</v>
      </c>
      <c r="AS2" s="47">
        <v>1</v>
      </c>
      <c r="AT2" s="49" t="s">
        <v>869</v>
      </c>
      <c r="AU2" s="48">
        <v>31</v>
      </c>
    </row>
    <row r="3" spans="1:47" ht="14.45" customHeight="1" x14ac:dyDescent="0.25">
      <c r="A3" s="1">
        <v>11025010</v>
      </c>
      <c r="B3" s="1" t="s">
        <v>886</v>
      </c>
      <c r="C3" s="1">
        <v>5.8783055559999999</v>
      </c>
      <c r="D3" s="1">
        <v>-76.084333330000007</v>
      </c>
      <c r="E3" s="1">
        <v>2018</v>
      </c>
      <c r="F3" s="1" t="s">
        <v>574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870</v>
      </c>
      <c r="AU3" s="48">
        <v>28</v>
      </c>
    </row>
    <row r="4" spans="1:47" ht="14.45" customHeight="1" x14ac:dyDescent="0.25">
      <c r="A4" s="1">
        <v>11035010</v>
      </c>
      <c r="B4" s="1" t="s">
        <v>887</v>
      </c>
      <c r="C4" s="1">
        <v>5.4989999999999997</v>
      </c>
      <c r="D4" s="1">
        <v>-76.539000000000001</v>
      </c>
      <c r="E4" s="1">
        <v>60</v>
      </c>
      <c r="F4" s="1" t="s">
        <v>888</v>
      </c>
      <c r="G4" s="1" t="s">
        <v>889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871</v>
      </c>
      <c r="AU4" s="48">
        <v>31</v>
      </c>
    </row>
    <row r="5" spans="1:47" ht="14.45" customHeight="1" x14ac:dyDescent="0.25">
      <c r="A5" s="1">
        <v>11035020</v>
      </c>
      <c r="B5" s="1" t="s">
        <v>890</v>
      </c>
      <c r="C5" s="1">
        <v>5.6261666669999997</v>
      </c>
      <c r="D5" s="1">
        <v>-76.749722219999995</v>
      </c>
      <c r="E5" s="1">
        <v>53</v>
      </c>
      <c r="F5" s="1" t="s">
        <v>891</v>
      </c>
      <c r="G5" s="1" t="s">
        <v>889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872</v>
      </c>
      <c r="AU5" s="48">
        <v>30</v>
      </c>
    </row>
    <row r="6" spans="1:47" ht="14.45" customHeight="1" x14ac:dyDescent="0.25">
      <c r="A6" s="1">
        <v>11045010</v>
      </c>
      <c r="B6" s="1" t="s">
        <v>892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889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873</v>
      </c>
      <c r="AU6" s="48">
        <v>31</v>
      </c>
    </row>
    <row r="7" spans="1:47" ht="14.45" customHeight="1" x14ac:dyDescent="0.25">
      <c r="A7" s="1">
        <v>11075020</v>
      </c>
      <c r="B7" s="1" t="s">
        <v>893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874</v>
      </c>
      <c r="AU7" s="48">
        <v>30</v>
      </c>
    </row>
    <row r="8" spans="1:47" ht="14.45" customHeight="1" x14ac:dyDescent="0.25">
      <c r="A8" s="1">
        <v>11115020</v>
      </c>
      <c r="B8" s="1" t="s">
        <v>894</v>
      </c>
      <c r="C8" s="1">
        <v>6.7580277779999998</v>
      </c>
      <c r="D8" s="1">
        <v>-76.029666669999997</v>
      </c>
      <c r="E8" s="1">
        <v>1294</v>
      </c>
      <c r="F8" s="1" t="s">
        <v>571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875</v>
      </c>
      <c r="AU8" s="48">
        <v>31</v>
      </c>
    </row>
    <row r="9" spans="1:47" ht="14.45" customHeight="1" x14ac:dyDescent="0.25">
      <c r="A9" s="1">
        <v>11115040</v>
      </c>
      <c r="B9" s="1" t="s">
        <v>895</v>
      </c>
      <c r="C9" s="1">
        <v>6.7779722219999998</v>
      </c>
      <c r="D9" s="1">
        <v>-76.203333330000007</v>
      </c>
      <c r="E9" s="1">
        <v>1396</v>
      </c>
      <c r="F9" s="1" t="s">
        <v>578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876</v>
      </c>
      <c r="AU9" s="48">
        <v>31</v>
      </c>
    </row>
    <row r="10" spans="1:47" ht="14.45" customHeight="1" x14ac:dyDescent="0.25">
      <c r="A10" s="1">
        <v>12015010</v>
      </c>
      <c r="B10" s="1" t="s">
        <v>896</v>
      </c>
      <c r="C10" s="1">
        <v>7.3346666669999996</v>
      </c>
      <c r="D10" s="1">
        <v>-76.486027780000001</v>
      </c>
      <c r="E10" s="1">
        <v>132</v>
      </c>
      <c r="F10" s="1" t="s">
        <v>897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877</v>
      </c>
      <c r="AU10" s="48">
        <v>30</v>
      </c>
    </row>
    <row r="11" spans="1:47" ht="14.45" customHeight="1" x14ac:dyDescent="0.25">
      <c r="A11" s="1">
        <v>12015020</v>
      </c>
      <c r="B11" s="1" t="s">
        <v>898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878</v>
      </c>
      <c r="AU11" s="48">
        <v>31</v>
      </c>
    </row>
    <row r="12" spans="1:47" ht="14.45" customHeight="1" x14ac:dyDescent="0.25">
      <c r="A12" s="1">
        <v>12015060</v>
      </c>
      <c r="B12" s="1" t="s">
        <v>899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879</v>
      </c>
      <c r="AU12" s="48">
        <v>30</v>
      </c>
    </row>
    <row r="13" spans="1:47" ht="14.45" customHeight="1" x14ac:dyDescent="0.25">
      <c r="A13" s="1">
        <v>12015070</v>
      </c>
      <c r="B13" s="1" t="s">
        <v>900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880</v>
      </c>
      <c r="AU13" s="48">
        <v>31</v>
      </c>
    </row>
    <row r="14" spans="1:47" ht="14.45" customHeight="1" x14ac:dyDescent="0.25">
      <c r="A14" s="1">
        <v>12025030</v>
      </c>
      <c r="B14" s="1" t="s">
        <v>901</v>
      </c>
      <c r="C14" s="1">
        <v>8.5426666670000007</v>
      </c>
      <c r="D14" s="1">
        <v>-76.673361110000002</v>
      </c>
      <c r="E14" s="1">
        <v>54</v>
      </c>
      <c r="F14" s="1" t="s">
        <v>902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903</v>
      </c>
      <c r="C15" s="1">
        <v>8.0918055560000006</v>
      </c>
      <c r="D15" s="1">
        <v>-76.716333329999998</v>
      </c>
      <c r="E15" s="1">
        <v>37</v>
      </c>
      <c r="F15" s="1" t="s">
        <v>904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905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906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907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908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907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909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907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910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907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911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907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912</v>
      </c>
      <c r="C22" s="1">
        <v>8.8395277780000008</v>
      </c>
      <c r="D22" s="1">
        <v>-75.801888890000001</v>
      </c>
      <c r="E22" s="1">
        <v>20</v>
      </c>
      <c r="F22" s="1" t="s">
        <v>696</v>
      </c>
      <c r="G22" s="1" t="s">
        <v>907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913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907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914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907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915</v>
      </c>
      <c r="C25" s="1">
        <v>9.5301388889999998</v>
      </c>
      <c r="D25" s="1">
        <v>-75.351361109999999</v>
      </c>
      <c r="E25" s="1">
        <v>200</v>
      </c>
      <c r="F25" s="1" t="s">
        <v>916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917</v>
      </c>
      <c r="C26" s="1">
        <v>10.794988</v>
      </c>
      <c r="D26" s="1">
        <v>-75.261671000000007</v>
      </c>
      <c r="E26" s="1">
        <v>20</v>
      </c>
      <c r="F26" s="1" t="s">
        <v>918</v>
      </c>
      <c r="G26" s="1" t="s">
        <v>329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919</v>
      </c>
      <c r="C27" s="1">
        <v>10.44725</v>
      </c>
      <c r="D27" s="1">
        <v>-75.516027780000002</v>
      </c>
      <c r="E27" s="1">
        <v>2</v>
      </c>
      <c r="F27" s="1" t="s">
        <v>920</v>
      </c>
      <c r="G27" s="1" t="s">
        <v>329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921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922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923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924</v>
      </c>
      <c r="C31" s="1">
        <v>11.2525</v>
      </c>
      <c r="D31" s="1">
        <v>-73.411388889999998</v>
      </c>
      <c r="E31" s="1">
        <v>5</v>
      </c>
      <c r="F31" s="1" t="s">
        <v>756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925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926</v>
      </c>
      <c r="C33" s="1">
        <v>10.89813889</v>
      </c>
      <c r="D33" s="1">
        <v>-72.828472219999995</v>
      </c>
      <c r="E33" s="1">
        <v>170</v>
      </c>
      <c r="F33" s="1" t="s">
        <v>927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928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929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930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931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932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933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934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935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369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936</v>
      </c>
      <c r="C42" s="1">
        <v>7.3731111110000001</v>
      </c>
      <c r="D42" s="1">
        <v>-72.644999999999996</v>
      </c>
      <c r="E42" s="1">
        <v>2340</v>
      </c>
      <c r="F42" s="1" t="s">
        <v>397</v>
      </c>
      <c r="G42" s="1" t="s">
        <v>369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937</v>
      </c>
      <c r="C43" s="1">
        <v>7.5697222220000002</v>
      </c>
      <c r="D43" s="1">
        <v>-72.53388889</v>
      </c>
      <c r="E43" s="1">
        <v>1760</v>
      </c>
      <c r="F43" s="1" t="s">
        <v>405</v>
      </c>
      <c r="G43" s="1" t="s">
        <v>369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938</v>
      </c>
      <c r="C44" s="1">
        <v>7.5766666669999996</v>
      </c>
      <c r="D44" s="1">
        <v>-72.483888890000003</v>
      </c>
      <c r="E44" s="1">
        <v>1550</v>
      </c>
      <c r="F44" s="1" t="s">
        <v>405</v>
      </c>
      <c r="G44" s="1" t="s">
        <v>369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939</v>
      </c>
      <c r="C45" s="1">
        <v>7.5173611109999996</v>
      </c>
      <c r="D45" s="1">
        <v>-72.644083330000001</v>
      </c>
      <c r="E45" s="1">
        <v>1107</v>
      </c>
      <c r="F45" s="1" t="s">
        <v>940</v>
      </c>
      <c r="G45" s="1" t="s">
        <v>369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941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369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942</v>
      </c>
      <c r="C47" s="1">
        <v>7.7745833329999998</v>
      </c>
      <c r="D47" s="1">
        <v>-72.830555559999993</v>
      </c>
      <c r="E47" s="1">
        <v>860</v>
      </c>
      <c r="F47" s="1" t="s">
        <v>406</v>
      </c>
      <c r="G47" s="1" t="s">
        <v>369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943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369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944</v>
      </c>
      <c r="C49" s="1">
        <v>8.3152777780000005</v>
      </c>
      <c r="D49" s="1">
        <v>-73.357500000000002</v>
      </c>
      <c r="E49" s="1">
        <v>1435</v>
      </c>
      <c r="F49" s="1" t="s">
        <v>372</v>
      </c>
      <c r="G49" s="1" t="s">
        <v>369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945</v>
      </c>
      <c r="C50" s="1">
        <v>8.4422222219999998</v>
      </c>
      <c r="D50" s="1">
        <v>-73.285277780000001</v>
      </c>
      <c r="E50" s="1">
        <v>1160</v>
      </c>
      <c r="F50" s="1" t="s">
        <v>800</v>
      </c>
      <c r="G50" s="1" t="s">
        <v>369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946</v>
      </c>
      <c r="C51" s="1">
        <v>8.0872222219999994</v>
      </c>
      <c r="D51" s="1">
        <v>-73.223055560000006</v>
      </c>
      <c r="E51" s="1">
        <v>1430</v>
      </c>
      <c r="F51" s="1" t="s">
        <v>370</v>
      </c>
      <c r="G51" s="1" t="s">
        <v>369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947</v>
      </c>
      <c r="C52" s="1">
        <v>8.2174999999999994</v>
      </c>
      <c r="D52" s="1">
        <v>-73.234999999999999</v>
      </c>
      <c r="E52" s="1">
        <v>1500</v>
      </c>
      <c r="F52" s="1" t="s">
        <v>402</v>
      </c>
      <c r="G52" s="1" t="s">
        <v>369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948</v>
      </c>
      <c r="C53" s="1">
        <v>8.2377777779999999</v>
      </c>
      <c r="D53" s="1">
        <v>-73.32222222</v>
      </c>
      <c r="E53" s="1">
        <v>1150</v>
      </c>
      <c r="F53" s="1" t="s">
        <v>372</v>
      </c>
      <c r="G53" s="1" t="s">
        <v>369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949</v>
      </c>
      <c r="C54" s="1">
        <v>12.587849</v>
      </c>
      <c r="D54" s="1">
        <v>-81.701116999999996</v>
      </c>
      <c r="E54" s="1">
        <v>3</v>
      </c>
      <c r="F54" s="1" t="s">
        <v>950</v>
      </c>
      <c r="G54" s="1" t="s">
        <v>951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952</v>
      </c>
      <c r="C55" s="1">
        <v>13.359500000000001</v>
      </c>
      <c r="D55" s="1">
        <v>-81.357721944000005</v>
      </c>
      <c r="E55" s="1">
        <v>7</v>
      </c>
      <c r="F55" s="1" t="s">
        <v>953</v>
      </c>
      <c r="G55" s="1" t="s">
        <v>951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954</v>
      </c>
      <c r="C56" s="1">
        <v>1.8248333329999999</v>
      </c>
      <c r="D56" s="1">
        <v>-76.13027778</v>
      </c>
      <c r="E56" s="1">
        <v>1320</v>
      </c>
      <c r="F56" s="1" t="s">
        <v>746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955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956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957</v>
      </c>
      <c r="C59" s="1">
        <v>1.87</v>
      </c>
      <c r="D59" s="1">
        <v>-75.83</v>
      </c>
      <c r="E59" s="1">
        <v>1045</v>
      </c>
      <c r="F59" s="1" t="s">
        <v>750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958</v>
      </c>
      <c r="C60" s="1">
        <v>2.2815833329999999</v>
      </c>
      <c r="D60" s="1">
        <v>-75.705083329999994</v>
      </c>
      <c r="E60" s="1">
        <v>780</v>
      </c>
      <c r="F60" s="1" t="s">
        <v>729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959</v>
      </c>
      <c r="C61" s="1">
        <v>2.38</v>
      </c>
      <c r="D61" s="1">
        <v>-75.89</v>
      </c>
      <c r="E61" s="1">
        <v>1070</v>
      </c>
      <c r="F61" s="1" t="s">
        <v>743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960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961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962</v>
      </c>
      <c r="C64" s="1">
        <v>2.76</v>
      </c>
      <c r="D64" s="1">
        <v>-75.58</v>
      </c>
      <c r="E64" s="1">
        <v>1030</v>
      </c>
      <c r="F64" s="1" t="s">
        <v>963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964</v>
      </c>
      <c r="C65" s="1">
        <v>2.8288055559999998</v>
      </c>
      <c r="D65" s="1">
        <v>-75.331166670000002</v>
      </c>
      <c r="E65" s="1">
        <v>460</v>
      </c>
      <c r="F65" s="1" t="s">
        <v>965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966</v>
      </c>
      <c r="C66" s="1">
        <v>2.6968055560000002</v>
      </c>
      <c r="D66" s="1">
        <v>-75.298888890000001</v>
      </c>
      <c r="E66" s="1">
        <v>680</v>
      </c>
      <c r="F66" s="1" t="s">
        <v>734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967</v>
      </c>
      <c r="C67" s="1">
        <v>2.6030555560000002</v>
      </c>
      <c r="D67" s="1">
        <v>-75.418333333000007</v>
      </c>
      <c r="E67" s="1">
        <v>553</v>
      </c>
      <c r="F67" s="1" t="s">
        <v>734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968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969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970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971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972</v>
      </c>
      <c r="C72" s="1">
        <v>3.133055556</v>
      </c>
      <c r="D72" s="1">
        <v>-75.081527780000002</v>
      </c>
      <c r="E72" s="1">
        <v>600</v>
      </c>
      <c r="F72" s="1" t="s">
        <v>732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973</v>
      </c>
      <c r="C73" s="1">
        <v>2.9356944440000001</v>
      </c>
      <c r="D73" s="1">
        <v>-75.589055560000006</v>
      </c>
      <c r="E73" s="1">
        <v>1300</v>
      </c>
      <c r="F73" s="1" t="s">
        <v>748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974</v>
      </c>
      <c r="C74" s="1">
        <v>3.85575</v>
      </c>
      <c r="D74" s="1">
        <v>-75.015749999999997</v>
      </c>
      <c r="E74" s="1">
        <v>313</v>
      </c>
      <c r="F74" s="1" t="s">
        <v>479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975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976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977</v>
      </c>
      <c r="C77" s="1">
        <v>3.2761111110000001</v>
      </c>
      <c r="D77" s="1">
        <v>-74.935833329999994</v>
      </c>
      <c r="E77" s="1">
        <v>638</v>
      </c>
      <c r="F77" s="1" t="s">
        <v>732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978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979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980</v>
      </c>
      <c r="C80" s="1">
        <v>3.7876111109999999</v>
      </c>
      <c r="D80" s="1">
        <v>-74.917027779999998</v>
      </c>
      <c r="E80" s="1">
        <v>311</v>
      </c>
      <c r="F80" s="1" t="s">
        <v>487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981</v>
      </c>
      <c r="C81" s="1">
        <v>3.8979460000000001</v>
      </c>
      <c r="D81" s="1">
        <v>-74.773088999999999</v>
      </c>
      <c r="E81" s="1">
        <v>389</v>
      </c>
      <c r="F81" s="1" t="s">
        <v>848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982</v>
      </c>
      <c r="C82" s="1">
        <v>4.0088333330000001</v>
      </c>
      <c r="D82" s="1">
        <v>-74.981388890000005</v>
      </c>
      <c r="E82" s="1">
        <v>332</v>
      </c>
      <c r="F82" s="1" t="s">
        <v>477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983</v>
      </c>
      <c r="C83" s="1">
        <v>4.2754444439999997</v>
      </c>
      <c r="D83" s="1">
        <v>-74.798000000000002</v>
      </c>
      <c r="E83" s="1">
        <v>305</v>
      </c>
      <c r="F83" s="1" t="s">
        <v>840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984</v>
      </c>
      <c r="C84" s="1">
        <v>4.2164583330000003</v>
      </c>
      <c r="D84" s="1">
        <v>-75.104611110999997</v>
      </c>
      <c r="E84" s="1">
        <v>591</v>
      </c>
      <c r="F84" s="1" t="s">
        <v>493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985</v>
      </c>
      <c r="C85" s="1">
        <v>4.1881388890000002</v>
      </c>
      <c r="D85" s="1">
        <v>-74.96047222</v>
      </c>
      <c r="E85" s="1">
        <v>371</v>
      </c>
      <c r="F85" s="1" t="s">
        <v>472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986</v>
      </c>
      <c r="C86" s="1">
        <v>4.1927222220000004</v>
      </c>
      <c r="D86" s="1">
        <v>-74.487416670000002</v>
      </c>
      <c r="E86" s="1">
        <v>950</v>
      </c>
      <c r="F86" s="1" t="s">
        <v>523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987</v>
      </c>
      <c r="C87" s="1">
        <v>3.9647222219999998</v>
      </c>
      <c r="D87" s="1">
        <v>-74.443749999999994</v>
      </c>
      <c r="E87" s="1">
        <v>250</v>
      </c>
      <c r="F87" s="1" t="s">
        <v>988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989</v>
      </c>
      <c r="C88" s="1">
        <v>4.3929200000000002</v>
      </c>
      <c r="D88" s="1">
        <v>-74.392719999999997</v>
      </c>
      <c r="E88" s="1">
        <v>1421</v>
      </c>
      <c r="F88" s="1" t="s">
        <v>513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990</v>
      </c>
      <c r="C89" s="1">
        <v>4.6372299999999997</v>
      </c>
      <c r="D89" s="1">
        <v>-74.088920000000002</v>
      </c>
      <c r="E89" s="1">
        <v>2556</v>
      </c>
      <c r="F89" s="1" t="s">
        <v>500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991</v>
      </c>
      <c r="C90" s="1">
        <v>4.6886619999999999</v>
      </c>
      <c r="D90" s="1">
        <v>-74.205625999999995</v>
      </c>
      <c r="E90" s="1">
        <v>2543</v>
      </c>
      <c r="F90" s="1" t="s">
        <v>532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992</v>
      </c>
      <c r="C91" s="1">
        <v>4.5791000000000004</v>
      </c>
      <c r="D91" s="1">
        <v>-74.523179999999996</v>
      </c>
      <c r="E91" s="1">
        <v>765</v>
      </c>
      <c r="F91" s="1" t="s">
        <v>521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993</v>
      </c>
      <c r="C92" s="1">
        <v>4.7679879999999999</v>
      </c>
      <c r="D92" s="1">
        <v>-74.434235000000001</v>
      </c>
      <c r="E92" s="1">
        <v>1915</v>
      </c>
      <c r="F92" s="1" t="s">
        <v>519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994</v>
      </c>
      <c r="C93" s="1">
        <v>4.8779529999999998</v>
      </c>
      <c r="D93" s="1">
        <v>-73.864452999999997</v>
      </c>
      <c r="E93" s="1">
        <v>2750</v>
      </c>
      <c r="F93" s="1" t="s">
        <v>509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995</v>
      </c>
      <c r="C94" s="1">
        <v>4.6678670000000002</v>
      </c>
      <c r="D94" s="1">
        <v>-74.101033999999999</v>
      </c>
      <c r="E94" s="1">
        <v>2552</v>
      </c>
      <c r="F94" s="1" t="s">
        <v>500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996</v>
      </c>
      <c r="C95" s="1">
        <v>4.5057499999999999</v>
      </c>
      <c r="D95" s="1">
        <v>-74.189277779999998</v>
      </c>
      <c r="E95" s="1">
        <v>2900</v>
      </c>
      <c r="F95" s="1" t="s">
        <v>508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997</v>
      </c>
      <c r="C96" s="1">
        <v>5.1177222220000003</v>
      </c>
      <c r="D96" s="1">
        <v>-73.70141667</v>
      </c>
      <c r="E96" s="1">
        <v>2709</v>
      </c>
      <c r="F96" s="1" t="s">
        <v>526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998</v>
      </c>
      <c r="C97" s="1">
        <v>4.7288055560000002</v>
      </c>
      <c r="D97" s="1">
        <v>-74.272499999999994</v>
      </c>
      <c r="E97" s="1">
        <v>2550</v>
      </c>
      <c r="F97" s="1" t="s">
        <v>999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1000</v>
      </c>
      <c r="C98" s="1">
        <v>4.7055829999999998</v>
      </c>
      <c r="D98" s="1">
        <v>-74.150666999999999</v>
      </c>
      <c r="E98" s="1">
        <v>2547</v>
      </c>
      <c r="F98" s="1" t="s">
        <v>500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1001</v>
      </c>
      <c r="C99" s="1">
        <v>4.9892200000000004</v>
      </c>
      <c r="D99" s="1">
        <v>-74.001189999999994</v>
      </c>
      <c r="E99" s="1">
        <v>2570</v>
      </c>
      <c r="F99" s="1" t="s">
        <v>1002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1003</v>
      </c>
      <c r="C100" s="1">
        <v>4.8208333330000004</v>
      </c>
      <c r="D100" s="1">
        <v>-73.963888890000007</v>
      </c>
      <c r="E100" s="1">
        <v>2650</v>
      </c>
      <c r="F100" s="1" t="s">
        <v>528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1004</v>
      </c>
      <c r="C101" s="1">
        <v>4.8321100000000001</v>
      </c>
      <c r="D101" s="1">
        <v>-74.380560000000003</v>
      </c>
      <c r="E101" s="1">
        <v>2590</v>
      </c>
      <c r="F101" s="1" t="s">
        <v>535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1005</v>
      </c>
      <c r="C102" s="1">
        <v>4.9390555559999996</v>
      </c>
      <c r="D102" s="1">
        <v>-74.152583329999999</v>
      </c>
      <c r="E102" s="1">
        <v>2650</v>
      </c>
      <c r="F102" s="1" t="s">
        <v>530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1006</v>
      </c>
      <c r="C103" s="1">
        <v>4.7923888889999997</v>
      </c>
      <c r="D103" s="1">
        <v>-74.200916669999998</v>
      </c>
      <c r="E103" s="1">
        <v>2560</v>
      </c>
      <c r="F103" s="1" t="s">
        <v>721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1007</v>
      </c>
      <c r="C104" s="1">
        <v>4.9168333329999996</v>
      </c>
      <c r="D104" s="1">
        <v>-74.181666669999998</v>
      </c>
      <c r="E104" s="1">
        <v>2650</v>
      </c>
      <c r="F104" s="1" t="s">
        <v>530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1008</v>
      </c>
      <c r="C105" s="1">
        <v>4.8055000000000003</v>
      </c>
      <c r="D105" s="1">
        <v>-74.443472220000004</v>
      </c>
      <c r="E105" s="1">
        <v>1850</v>
      </c>
      <c r="F105" s="1" t="s">
        <v>519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1009</v>
      </c>
      <c r="C106" s="1">
        <v>4.7986388890000002</v>
      </c>
      <c r="D106" s="1">
        <v>-74.049722220000007</v>
      </c>
      <c r="E106" s="1">
        <v>2570</v>
      </c>
      <c r="F106" s="1" t="s">
        <v>500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1010</v>
      </c>
      <c r="C107" s="1">
        <v>4.6482299999999999</v>
      </c>
      <c r="D107" s="1">
        <v>-74.320350000000005</v>
      </c>
      <c r="E107" s="1">
        <v>2680</v>
      </c>
      <c r="F107" s="1" t="s">
        <v>497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1011</v>
      </c>
      <c r="C108" s="1">
        <v>4.62547</v>
      </c>
      <c r="D108" s="1">
        <v>-74.156065999999996</v>
      </c>
      <c r="E108" s="1">
        <v>2557</v>
      </c>
      <c r="F108" s="1" t="s">
        <v>500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1012</v>
      </c>
      <c r="C109" s="1">
        <v>4.786594</v>
      </c>
      <c r="D109" s="1">
        <v>-74.102247000000006</v>
      </c>
      <c r="E109" s="1">
        <v>2590</v>
      </c>
      <c r="F109" s="1" t="s">
        <v>500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1013</v>
      </c>
      <c r="C110" s="1">
        <v>4.5167527779999999</v>
      </c>
      <c r="D110" s="1">
        <v>-74.088222221999999</v>
      </c>
      <c r="E110" s="1">
        <v>3100</v>
      </c>
      <c r="F110" s="1" t="s">
        <v>500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1014</v>
      </c>
      <c r="C111" s="1">
        <v>4.2315277780000002</v>
      </c>
      <c r="D111" s="1">
        <v>-74.995361110000005</v>
      </c>
      <c r="E111" s="1">
        <v>432</v>
      </c>
      <c r="F111" s="1" t="s">
        <v>472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1015</v>
      </c>
      <c r="C112" s="1">
        <v>4.3413888890000001</v>
      </c>
      <c r="D112" s="1">
        <v>-75.518583329999998</v>
      </c>
      <c r="E112" s="1">
        <v>2229</v>
      </c>
      <c r="F112" s="1" t="s">
        <v>832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1016</v>
      </c>
      <c r="C113" s="1">
        <v>4.5618055560000004</v>
      </c>
      <c r="D113" s="1">
        <v>-74.702388889999995</v>
      </c>
      <c r="E113" s="1">
        <v>297</v>
      </c>
      <c r="F113" s="1" t="s">
        <v>481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1017</v>
      </c>
      <c r="C114" s="1">
        <v>4.7356111109999999</v>
      </c>
      <c r="D114" s="1">
        <v>-75.13891667</v>
      </c>
      <c r="E114" s="1">
        <v>2670</v>
      </c>
      <c r="F114" s="1" t="s">
        <v>492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1018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1019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1020</v>
      </c>
      <c r="C117" s="1">
        <v>4.7118611110000002</v>
      </c>
      <c r="D117" s="1">
        <v>-75.09445556</v>
      </c>
      <c r="E117" s="1">
        <v>2288</v>
      </c>
      <c r="F117" s="1" t="s">
        <v>492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1021</v>
      </c>
      <c r="C118" s="1">
        <v>4.7837779999999999</v>
      </c>
      <c r="D118" s="1">
        <v>-74.767944439999994</v>
      </c>
      <c r="E118" s="1">
        <v>308</v>
      </c>
      <c r="F118" s="1" t="s">
        <v>476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1022</v>
      </c>
      <c r="C119" s="1">
        <v>5</v>
      </c>
      <c r="D119" s="1">
        <v>-74.899991666999995</v>
      </c>
      <c r="E119" s="1">
        <v>321</v>
      </c>
      <c r="F119" s="1" t="s">
        <v>830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1023</v>
      </c>
      <c r="C120" s="1">
        <v>4.7017499999999997</v>
      </c>
      <c r="D120" s="1">
        <v>-75.131833330000006</v>
      </c>
      <c r="E120" s="1">
        <v>2817</v>
      </c>
      <c r="F120" s="1" t="s">
        <v>492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1024</v>
      </c>
      <c r="C121" s="1">
        <v>5.0267619440000004</v>
      </c>
      <c r="D121" s="1">
        <v>-75.117336111</v>
      </c>
      <c r="E121" s="1">
        <v>2069</v>
      </c>
      <c r="F121" s="1" t="s">
        <v>494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1025</v>
      </c>
      <c r="C122" s="1">
        <v>4.8215000000000003</v>
      </c>
      <c r="D122" s="1">
        <v>-74.920638890000006</v>
      </c>
      <c r="E122" s="1">
        <v>429</v>
      </c>
      <c r="F122" s="1" t="s">
        <v>844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1026</v>
      </c>
      <c r="C123" s="1">
        <v>3.5291388889999999</v>
      </c>
      <c r="D123" s="1">
        <v>-75.631416669999993</v>
      </c>
      <c r="E123" s="1">
        <v>1160</v>
      </c>
      <c r="F123" s="1" t="s">
        <v>851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1027</v>
      </c>
      <c r="C124" s="1">
        <v>3.7224444440000002</v>
      </c>
      <c r="D124" s="1">
        <v>-75.503444439999996</v>
      </c>
      <c r="E124" s="1">
        <v>895</v>
      </c>
      <c r="F124" s="1" t="s">
        <v>474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1028</v>
      </c>
      <c r="C125" s="1">
        <v>3.65178</v>
      </c>
      <c r="D125" s="1">
        <v>-75.584194440000005</v>
      </c>
      <c r="E125" s="1">
        <v>1002</v>
      </c>
      <c r="F125" s="1" t="s">
        <v>474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1029</v>
      </c>
      <c r="C126" s="1">
        <v>3.4557777779999999</v>
      </c>
      <c r="D126" s="1">
        <v>-75.536361110000001</v>
      </c>
      <c r="E126" s="1">
        <v>699</v>
      </c>
      <c r="F126" s="1" t="s">
        <v>484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1030</v>
      </c>
      <c r="C127" s="1">
        <v>3.9211999999999998</v>
      </c>
      <c r="D127" s="1">
        <v>-75.467749999999995</v>
      </c>
      <c r="E127" s="1">
        <v>1566</v>
      </c>
      <c r="F127" s="1" t="s">
        <v>491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1031</v>
      </c>
      <c r="C128" s="1">
        <v>4.2067777780000002</v>
      </c>
      <c r="D128" s="1">
        <v>-75.415583330000004</v>
      </c>
      <c r="E128" s="1">
        <v>253</v>
      </c>
      <c r="F128" s="1" t="s">
        <v>853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1032</v>
      </c>
      <c r="C129" s="1">
        <v>5.301108889</v>
      </c>
      <c r="D129" s="1">
        <v>-74.914580556000004</v>
      </c>
      <c r="E129" s="1">
        <v>788</v>
      </c>
      <c r="F129" s="1" t="s">
        <v>482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1033</v>
      </c>
      <c r="C130" s="1">
        <v>5.471388889</v>
      </c>
      <c r="D130" s="1">
        <v>-74.654722219999996</v>
      </c>
      <c r="E130" s="1">
        <v>172</v>
      </c>
      <c r="F130" s="1" t="s">
        <v>467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1034</v>
      </c>
      <c r="C131" s="1">
        <v>5.4182880559999997</v>
      </c>
      <c r="D131" s="1">
        <v>-74.992927777999995</v>
      </c>
      <c r="E131" s="1">
        <v>1532</v>
      </c>
      <c r="F131" s="1" t="s">
        <v>489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1035</v>
      </c>
      <c r="C132" s="1">
        <v>5.73</v>
      </c>
      <c r="D132" s="1">
        <v>-75.14</v>
      </c>
      <c r="E132" s="1">
        <v>1740</v>
      </c>
      <c r="F132" s="1" t="s">
        <v>1036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1037</v>
      </c>
      <c r="C133" s="1">
        <v>5.1378870000000001</v>
      </c>
      <c r="D133" s="1">
        <v>-74.136578</v>
      </c>
      <c r="E133" s="1">
        <v>2018</v>
      </c>
      <c r="F133" s="1" t="s">
        <v>716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1038</v>
      </c>
      <c r="C134" s="1">
        <v>5.8555277779999999</v>
      </c>
      <c r="D134" s="1">
        <v>-74.848361109999999</v>
      </c>
      <c r="E134" s="1">
        <v>449</v>
      </c>
      <c r="F134" s="1" t="s">
        <v>604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1039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1040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1041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1042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1043</v>
      </c>
      <c r="C139" s="1">
        <v>6.3119444439999999</v>
      </c>
      <c r="D139" s="1">
        <v>-75.253555559999995</v>
      </c>
      <c r="E139" s="1">
        <v>1965</v>
      </c>
      <c r="F139" s="1" t="s">
        <v>595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1044</v>
      </c>
      <c r="C140" s="1">
        <v>6.157666667</v>
      </c>
      <c r="D140" s="1">
        <v>-75.038916670000006</v>
      </c>
      <c r="E140" s="1">
        <v>1113</v>
      </c>
      <c r="F140" s="1" t="s">
        <v>590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1045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1046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1047</v>
      </c>
      <c r="C143" s="1">
        <v>5.9783333330000001</v>
      </c>
      <c r="D143" s="1">
        <v>-74.566666670000004</v>
      </c>
      <c r="E143" s="1">
        <v>350</v>
      </c>
      <c r="F143" s="1" t="s">
        <v>627</v>
      </c>
      <c r="G143" s="1" t="s">
        <v>261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1048</v>
      </c>
      <c r="C144" s="1">
        <v>6.6161111110000004</v>
      </c>
      <c r="D144" s="1">
        <v>-73.920555559999997</v>
      </c>
      <c r="E144" s="1">
        <v>180</v>
      </c>
      <c r="F144" s="1" t="s">
        <v>376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1049</v>
      </c>
      <c r="C145" s="1">
        <v>6.6494444440000002</v>
      </c>
      <c r="D145" s="1">
        <v>-74.061388890000003</v>
      </c>
      <c r="E145" s="1">
        <v>168</v>
      </c>
      <c r="F145" s="1" t="s">
        <v>376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1050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1051</v>
      </c>
      <c r="C147" s="1">
        <v>5.6617222219999999</v>
      </c>
      <c r="D147" s="1">
        <v>-74.184611110000006</v>
      </c>
      <c r="E147" s="1">
        <v>1100</v>
      </c>
      <c r="F147" s="1" t="s">
        <v>625</v>
      </c>
      <c r="G147" s="1" t="s">
        <v>261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1052</v>
      </c>
      <c r="C148" s="1">
        <v>5.5149166669999996</v>
      </c>
      <c r="D148" s="1">
        <v>-73.943111110000004</v>
      </c>
      <c r="E148" s="1">
        <v>2200</v>
      </c>
      <c r="F148" s="1" t="s">
        <v>273</v>
      </c>
      <c r="G148" s="1" t="s">
        <v>261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1053</v>
      </c>
      <c r="C149" s="1">
        <v>6.3086111110000003</v>
      </c>
      <c r="D149" s="1">
        <v>-73.952222219999996</v>
      </c>
      <c r="E149" s="1">
        <v>198</v>
      </c>
      <c r="F149" s="1" t="s">
        <v>380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1054</v>
      </c>
      <c r="C150" s="1">
        <v>6.221388889</v>
      </c>
      <c r="D150" s="1">
        <v>-73.808888890000006</v>
      </c>
      <c r="E150" s="1">
        <v>935</v>
      </c>
      <c r="F150" s="1" t="s">
        <v>818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1055</v>
      </c>
      <c r="C151" s="1">
        <v>5.5208333329999997</v>
      </c>
      <c r="D151" s="1">
        <v>-74.182416669999995</v>
      </c>
      <c r="E151" s="1">
        <v>1250</v>
      </c>
      <c r="F151" s="1" t="s">
        <v>264</v>
      </c>
      <c r="G151" s="1" t="s">
        <v>261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1056</v>
      </c>
      <c r="C152" s="1">
        <v>6.6963888889999996</v>
      </c>
      <c r="D152" s="1">
        <v>-73.510000000000005</v>
      </c>
      <c r="E152" s="1">
        <v>805</v>
      </c>
      <c r="F152" s="1" t="s">
        <v>383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1057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1058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1059</v>
      </c>
      <c r="C155" s="1">
        <v>7.0117500000000001</v>
      </c>
      <c r="D155" s="1">
        <v>-74.716305559999995</v>
      </c>
      <c r="E155" s="1">
        <v>643</v>
      </c>
      <c r="F155" s="1" t="s">
        <v>587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1060</v>
      </c>
      <c r="C156" s="1">
        <v>7.4561111110000002</v>
      </c>
      <c r="D156" s="1">
        <v>-73.537222220000004</v>
      </c>
      <c r="E156" s="1">
        <v>328</v>
      </c>
      <c r="F156" s="1" t="s">
        <v>415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1061</v>
      </c>
      <c r="C157" s="1">
        <v>7.1447222220000004</v>
      </c>
      <c r="D157" s="1">
        <v>-73.122222219999998</v>
      </c>
      <c r="E157" s="1">
        <v>118</v>
      </c>
      <c r="F157" s="1" t="s">
        <v>1062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1063</v>
      </c>
      <c r="C158" s="1">
        <v>7.3658299999999999</v>
      </c>
      <c r="D158" s="1">
        <v>-72.987499999999997</v>
      </c>
      <c r="E158" s="1">
        <v>1791</v>
      </c>
      <c r="F158" s="1" t="s">
        <v>417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1064</v>
      </c>
      <c r="C159" s="1">
        <v>7.0255555559999996</v>
      </c>
      <c r="D159" s="1">
        <v>-73.167222219999999</v>
      </c>
      <c r="E159" s="1">
        <v>777</v>
      </c>
      <c r="F159" s="1" t="s">
        <v>404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1065</v>
      </c>
      <c r="C160" s="1">
        <v>7.7352777780000004</v>
      </c>
      <c r="D160" s="1">
        <v>-73.051666670000003</v>
      </c>
      <c r="E160" s="1">
        <v>1882</v>
      </c>
      <c r="F160" s="1" t="s">
        <v>393</v>
      </c>
      <c r="G160" s="1" t="s">
        <v>369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1066</v>
      </c>
      <c r="C161" s="1">
        <v>7.4738899999999999</v>
      </c>
      <c r="D161" s="1">
        <v>-72.991110000000006</v>
      </c>
      <c r="E161" s="1">
        <v>1885</v>
      </c>
      <c r="F161" s="1" t="s">
        <v>417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1067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1068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329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1069</v>
      </c>
      <c r="C164" s="1">
        <v>7.9652777779999999</v>
      </c>
      <c r="D164" s="1">
        <v>-74.059166669999996</v>
      </c>
      <c r="E164" s="1">
        <v>650</v>
      </c>
      <c r="F164" s="1" t="s">
        <v>408</v>
      </c>
      <c r="G164" s="1" t="s">
        <v>329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1070</v>
      </c>
      <c r="C165" s="1">
        <v>8.2288888890000003</v>
      </c>
      <c r="D165" s="1">
        <v>-73.602777779999997</v>
      </c>
      <c r="E165" s="1">
        <v>208</v>
      </c>
      <c r="F165" s="1" t="s">
        <v>676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1071</v>
      </c>
      <c r="C166" s="1">
        <v>8.6144444440000001</v>
      </c>
      <c r="D166" s="1">
        <v>-73.636388890000006</v>
      </c>
      <c r="E166" s="1">
        <v>163</v>
      </c>
      <c r="F166" s="1" t="s">
        <v>398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1072</v>
      </c>
      <c r="C167" s="1">
        <v>5.7106666669999999</v>
      </c>
      <c r="D167" s="1">
        <v>-73.602277779999994</v>
      </c>
      <c r="E167" s="1">
        <v>2300</v>
      </c>
      <c r="F167" s="1" t="s">
        <v>292</v>
      </c>
      <c r="G167" s="1" t="s">
        <v>261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1073</v>
      </c>
      <c r="C168" s="1">
        <v>5.5093888890000002</v>
      </c>
      <c r="D168" s="1">
        <v>-73.495777779999997</v>
      </c>
      <c r="E168" s="1">
        <v>2600</v>
      </c>
      <c r="F168" s="1" t="s">
        <v>314</v>
      </c>
      <c r="G168" s="1" t="s">
        <v>261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1074</v>
      </c>
      <c r="C169" s="1">
        <v>6.2371666670000003</v>
      </c>
      <c r="D169" s="1">
        <v>-73.415388890000003</v>
      </c>
      <c r="E169" s="1">
        <v>1400</v>
      </c>
      <c r="F169" s="1" t="s">
        <v>400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1075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1076</v>
      </c>
      <c r="C171" s="1">
        <v>5.9447222220000002</v>
      </c>
      <c r="D171" s="1">
        <v>-73.343611109999998</v>
      </c>
      <c r="E171" s="1">
        <v>1900</v>
      </c>
      <c r="F171" s="1" t="s">
        <v>816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1077</v>
      </c>
      <c r="C172" s="1">
        <v>5.6962222220000003</v>
      </c>
      <c r="D172" s="1">
        <v>-73.759</v>
      </c>
      <c r="E172" s="1">
        <v>2550</v>
      </c>
      <c r="F172" s="1" t="s">
        <v>300</v>
      </c>
      <c r="G172" s="1" t="s">
        <v>261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1078</v>
      </c>
      <c r="C173" s="1">
        <v>5.3481899999999998</v>
      </c>
      <c r="D173" s="1">
        <v>-73.898169999999993</v>
      </c>
      <c r="E173" s="1">
        <v>2960</v>
      </c>
      <c r="F173" s="1" t="s">
        <v>1079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1080</v>
      </c>
      <c r="C174" s="1">
        <v>6.5322222219999997</v>
      </c>
      <c r="D174" s="1">
        <v>-73.199166669999997</v>
      </c>
      <c r="E174" s="1">
        <v>975</v>
      </c>
      <c r="F174" s="1" t="s">
        <v>387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1081</v>
      </c>
      <c r="C175" s="1">
        <v>6.47</v>
      </c>
      <c r="D175" s="1">
        <v>-72.968888890000002</v>
      </c>
      <c r="E175" s="1">
        <v>1673</v>
      </c>
      <c r="F175" s="1" t="s">
        <v>395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1082</v>
      </c>
      <c r="C176" s="1">
        <v>6.2741666670000003</v>
      </c>
      <c r="D176" s="1">
        <v>-73.150555560000001</v>
      </c>
      <c r="E176" s="1">
        <v>1350</v>
      </c>
      <c r="F176" s="1" t="s">
        <v>814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1083</v>
      </c>
      <c r="C177" s="1">
        <v>6.2481111110000001</v>
      </c>
      <c r="D177" s="1">
        <v>-72.548888890000001</v>
      </c>
      <c r="E177" s="1">
        <v>2950</v>
      </c>
      <c r="F177" s="1" t="s">
        <v>1084</v>
      </c>
      <c r="G177" s="1" t="s">
        <v>261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1085</v>
      </c>
      <c r="C178" s="1">
        <v>5.5791944439999996</v>
      </c>
      <c r="D178" s="1">
        <v>-73.208777777999998</v>
      </c>
      <c r="E178" s="1">
        <v>2700</v>
      </c>
      <c r="F178" s="1" t="s">
        <v>281</v>
      </c>
      <c r="G178" s="1" t="s">
        <v>261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1086</v>
      </c>
      <c r="C179" s="1">
        <v>6.463472222</v>
      </c>
      <c r="D179" s="1">
        <v>-72.409194439999993</v>
      </c>
      <c r="E179" s="1">
        <v>2963</v>
      </c>
      <c r="F179" s="1" t="s">
        <v>622</v>
      </c>
      <c r="G179" s="1" t="s">
        <v>261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1087</v>
      </c>
      <c r="C180" s="1">
        <v>5.8024444439999998</v>
      </c>
      <c r="D180" s="1">
        <v>-73.074472220000004</v>
      </c>
      <c r="E180" s="1">
        <v>2485</v>
      </c>
      <c r="F180" s="1" t="s">
        <v>284</v>
      </c>
      <c r="G180" s="1" t="s">
        <v>261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1088</v>
      </c>
      <c r="C181" s="1">
        <v>5.5430774999999999</v>
      </c>
      <c r="D181" s="1">
        <v>-73.360813059999998</v>
      </c>
      <c r="E181" s="1">
        <v>2690</v>
      </c>
      <c r="F181" s="1" t="s">
        <v>312</v>
      </c>
      <c r="G181" s="1" t="s">
        <v>261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1089</v>
      </c>
      <c r="C182" s="1">
        <v>6.4100833330000002</v>
      </c>
      <c r="D182" s="1">
        <v>-72.375194440000001</v>
      </c>
      <c r="E182" s="1">
        <v>3716</v>
      </c>
      <c r="F182" s="1" t="s">
        <v>622</v>
      </c>
      <c r="G182" s="1" t="s">
        <v>261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1090</v>
      </c>
      <c r="C183" s="1">
        <v>6.5207222219999998</v>
      </c>
      <c r="D183" s="1">
        <v>-72.696611110000006</v>
      </c>
      <c r="E183" s="1">
        <v>1160</v>
      </c>
      <c r="F183" s="1" t="s">
        <v>275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1091</v>
      </c>
      <c r="C184" s="1">
        <v>6.5495277779999999</v>
      </c>
      <c r="D184" s="1">
        <v>-72.504722220000005</v>
      </c>
      <c r="E184" s="1">
        <v>2350</v>
      </c>
      <c r="F184" s="1" t="s">
        <v>277</v>
      </c>
      <c r="G184" s="1" t="s">
        <v>261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1092</v>
      </c>
      <c r="C185" s="1">
        <v>6.1168611110000004</v>
      </c>
      <c r="D185" s="1">
        <v>-72.70483333</v>
      </c>
      <c r="E185" s="1">
        <v>2594</v>
      </c>
      <c r="F185" s="1" t="s">
        <v>631</v>
      </c>
      <c r="G185" s="1" t="s">
        <v>261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1093</v>
      </c>
      <c r="C186" s="1">
        <v>6.328972222</v>
      </c>
      <c r="D186" s="1">
        <v>-72.582277779999998</v>
      </c>
      <c r="E186" s="1">
        <v>2150</v>
      </c>
      <c r="F186" s="1" t="s">
        <v>272</v>
      </c>
      <c r="G186" s="1" t="s">
        <v>261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1094</v>
      </c>
      <c r="C187" s="1">
        <v>5.6769444440000001</v>
      </c>
      <c r="D187" s="1">
        <v>-72.967916669999994</v>
      </c>
      <c r="E187" s="1">
        <v>2500</v>
      </c>
      <c r="F187" s="1" t="s">
        <v>262</v>
      </c>
      <c r="G187" s="1" t="s">
        <v>261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1095</v>
      </c>
      <c r="C188" s="1">
        <v>5.9011388890000003</v>
      </c>
      <c r="D188" s="1">
        <v>-73.058333329999996</v>
      </c>
      <c r="E188" s="1">
        <v>3265</v>
      </c>
      <c r="F188" s="1" t="s">
        <v>284</v>
      </c>
      <c r="G188" s="1" t="s">
        <v>261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1096</v>
      </c>
      <c r="C189" s="1">
        <v>6.8452777779999998</v>
      </c>
      <c r="D189" s="1">
        <v>-72.67777778</v>
      </c>
      <c r="E189" s="1">
        <v>2841</v>
      </c>
      <c r="F189" s="1" t="s">
        <v>391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1097</v>
      </c>
      <c r="C190" s="1">
        <v>6.7927777779999996</v>
      </c>
      <c r="D190" s="1">
        <v>-73.282749999999993</v>
      </c>
      <c r="E190" s="1">
        <v>1810</v>
      </c>
      <c r="F190" s="1" t="s">
        <v>418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1098</v>
      </c>
      <c r="C191" s="1">
        <v>6.5497222219999998</v>
      </c>
      <c r="D191" s="1">
        <v>-73.292000000000002</v>
      </c>
      <c r="E191" s="1">
        <v>940</v>
      </c>
      <c r="F191" s="1" t="s">
        <v>389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1099</v>
      </c>
      <c r="C192" s="1">
        <v>7.2461111110000003</v>
      </c>
      <c r="D192" s="1">
        <v>-73.790000000000006</v>
      </c>
      <c r="E192" s="1">
        <v>138</v>
      </c>
      <c r="F192" s="1" t="s">
        <v>822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1100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907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1101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1102</v>
      </c>
      <c r="C195" s="1">
        <v>8.2950638889999997</v>
      </c>
      <c r="D195" s="1">
        <v>-75.164555559999997</v>
      </c>
      <c r="E195" s="1">
        <v>20</v>
      </c>
      <c r="F195" s="1" t="s">
        <v>1103</v>
      </c>
      <c r="G195" s="1" t="s">
        <v>907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1104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1105</v>
      </c>
      <c r="C197" s="1">
        <v>9.0463333329999998</v>
      </c>
      <c r="D197" s="1">
        <v>-73.970833330000005</v>
      </c>
      <c r="E197" s="1">
        <v>34</v>
      </c>
      <c r="F197" s="1" t="s">
        <v>268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1106</v>
      </c>
      <c r="C198" s="1">
        <v>9.2819444440000005</v>
      </c>
      <c r="D198" s="1">
        <v>-74.845277780000004</v>
      </c>
      <c r="E198" s="1">
        <v>18</v>
      </c>
      <c r="F198" s="1" t="s">
        <v>1107</v>
      </c>
      <c r="G198" s="1" t="s">
        <v>329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1108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907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1109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907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1110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907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1111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329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1112</v>
      </c>
      <c r="C203" s="1">
        <v>9.3610277780000004</v>
      </c>
      <c r="D203" s="1">
        <v>-73.59338889</v>
      </c>
      <c r="E203" s="1">
        <v>40</v>
      </c>
      <c r="F203" s="1" t="s">
        <v>682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1113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1114</v>
      </c>
      <c r="C205" s="1">
        <v>8.9542222220000003</v>
      </c>
      <c r="D205" s="1">
        <v>-73.630083330000005</v>
      </c>
      <c r="E205" s="1">
        <v>50</v>
      </c>
      <c r="F205" s="1" t="s">
        <v>1115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1116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1117</v>
      </c>
      <c r="C207" s="1">
        <v>2.1917219999999999</v>
      </c>
      <c r="D207" s="1">
        <v>-76.482028</v>
      </c>
      <c r="E207" s="1">
        <v>2900</v>
      </c>
      <c r="F207" s="1" t="s">
        <v>1118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1119</v>
      </c>
      <c r="C208" s="1">
        <v>2.5097499999999999</v>
      </c>
      <c r="D208" s="1">
        <v>-76.289055555999994</v>
      </c>
      <c r="E208" s="1">
        <v>3071</v>
      </c>
      <c r="F208" s="1" t="s">
        <v>674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1120</v>
      </c>
      <c r="C209" s="1">
        <v>2.5847500000000001</v>
      </c>
      <c r="D209" s="1">
        <v>-76.561833332999996</v>
      </c>
      <c r="E209" s="1">
        <v>1850</v>
      </c>
      <c r="F209" s="1" t="s">
        <v>464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1121</v>
      </c>
      <c r="C210" s="1">
        <v>2.6744722219999999</v>
      </c>
      <c r="D210" s="1">
        <v>-76.52633333</v>
      </c>
      <c r="E210" s="1">
        <v>1822</v>
      </c>
      <c r="F210" s="1" t="s">
        <v>665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1122</v>
      </c>
      <c r="C211" s="1">
        <v>3.0753888890000001</v>
      </c>
      <c r="D211" s="1">
        <v>-76.556250000000006</v>
      </c>
      <c r="E211" s="1">
        <v>1009</v>
      </c>
      <c r="F211" s="1" t="s">
        <v>443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1123</v>
      </c>
      <c r="C212" s="1">
        <v>3.262805556</v>
      </c>
      <c r="D212" s="1">
        <v>-76.414472219999993</v>
      </c>
      <c r="E212" s="1">
        <v>983</v>
      </c>
      <c r="F212" s="1" t="s">
        <v>669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1124</v>
      </c>
      <c r="C213" s="1">
        <v>3.3780000000000001</v>
      </c>
      <c r="D213" s="1">
        <v>-76.53388889</v>
      </c>
      <c r="E213" s="1">
        <v>996</v>
      </c>
      <c r="F213" s="1" t="s">
        <v>858</v>
      </c>
      <c r="G213" s="1" t="s">
        <v>421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1125</v>
      </c>
      <c r="C214" s="1">
        <v>3.2456666670000001</v>
      </c>
      <c r="D214" s="1">
        <v>-76.223055560000006</v>
      </c>
      <c r="E214" s="1">
        <v>1133</v>
      </c>
      <c r="F214" s="1" t="s">
        <v>662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1126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421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1127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421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1128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421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1129</v>
      </c>
      <c r="C218" s="1">
        <v>3.360416667</v>
      </c>
      <c r="D218" s="1">
        <v>-76.299722222</v>
      </c>
      <c r="E218" s="1">
        <v>128</v>
      </c>
      <c r="F218" s="1" t="s">
        <v>433</v>
      </c>
      <c r="G218" s="1" t="s">
        <v>421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1130</v>
      </c>
      <c r="C219" s="1">
        <v>3.4544139999999999</v>
      </c>
      <c r="D219" s="1">
        <v>-76.499948000000003</v>
      </c>
      <c r="E219" s="1">
        <v>971</v>
      </c>
      <c r="F219" s="1" t="s">
        <v>858</v>
      </c>
      <c r="G219" s="1" t="s">
        <v>421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1131</v>
      </c>
      <c r="C220" s="1">
        <v>3.7299722219999998</v>
      </c>
      <c r="D220" s="1">
        <v>-76.074777780000005</v>
      </c>
      <c r="E220" s="1">
        <v>2628</v>
      </c>
      <c r="F220" s="1" t="s">
        <v>859</v>
      </c>
      <c r="G220" s="1" t="s">
        <v>421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1132</v>
      </c>
      <c r="C221" s="1">
        <v>3.360416667</v>
      </c>
      <c r="D221" s="1">
        <v>-76.300005556000002</v>
      </c>
      <c r="E221" s="1">
        <v>980</v>
      </c>
      <c r="F221" s="1" t="s">
        <v>433</v>
      </c>
      <c r="G221" s="1" t="s">
        <v>421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1133</v>
      </c>
      <c r="C222" s="1">
        <v>4.3244999999999996</v>
      </c>
      <c r="D222" s="1">
        <v>-76.084527780000002</v>
      </c>
      <c r="E222" s="1">
        <v>954</v>
      </c>
      <c r="F222" s="1" t="s">
        <v>438</v>
      </c>
      <c r="G222" s="1" t="s">
        <v>421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1134</v>
      </c>
      <c r="C223" s="1">
        <v>4.0330555559999999</v>
      </c>
      <c r="D223" s="1">
        <v>-75.888027777999994</v>
      </c>
      <c r="E223" s="1">
        <v>2902</v>
      </c>
      <c r="F223" s="1" t="s">
        <v>424</v>
      </c>
      <c r="G223" s="1" t="s">
        <v>421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1135</v>
      </c>
      <c r="C224" s="1">
        <v>4.2389166669999998</v>
      </c>
      <c r="D224" s="1">
        <v>-76.033055555999994</v>
      </c>
      <c r="E224" s="1">
        <v>1011</v>
      </c>
      <c r="F224" s="1" t="s">
        <v>454</v>
      </c>
      <c r="G224" s="1" t="s">
        <v>421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1136</v>
      </c>
      <c r="C225" s="1">
        <v>4.028333333</v>
      </c>
      <c r="D225" s="1">
        <v>-76.168527780000005</v>
      </c>
      <c r="E225" s="1">
        <v>1119</v>
      </c>
      <c r="F225" s="1" t="s">
        <v>424</v>
      </c>
      <c r="G225" s="1" t="s">
        <v>421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1137</v>
      </c>
      <c r="C226" s="1">
        <v>4.454722222</v>
      </c>
      <c r="D226" s="1">
        <v>-75.766388890000002</v>
      </c>
      <c r="E226" s="1">
        <v>1229</v>
      </c>
      <c r="F226" s="1" t="s">
        <v>806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1138</v>
      </c>
      <c r="C227" s="1">
        <v>4.185055556</v>
      </c>
      <c r="D227" s="1">
        <v>-75.832361109999994</v>
      </c>
      <c r="E227" s="1">
        <v>1749</v>
      </c>
      <c r="F227" s="1" t="s">
        <v>435</v>
      </c>
      <c r="G227" s="1" t="s">
        <v>421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1139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1140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1141</v>
      </c>
      <c r="C230" s="1">
        <v>4.87</v>
      </c>
      <c r="D230" s="1">
        <v>-75.63</v>
      </c>
      <c r="E230" s="1">
        <v>1628</v>
      </c>
      <c r="F230" s="1" t="s">
        <v>456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1142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1143</v>
      </c>
      <c r="C232" s="1">
        <v>4.8416666670000001</v>
      </c>
      <c r="D232" s="1">
        <v>-75.579972220000002</v>
      </c>
      <c r="E232" s="1">
        <v>1947</v>
      </c>
      <c r="F232" s="1" t="s">
        <v>456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1144</v>
      </c>
      <c r="C233" s="1">
        <v>5.2759444440000003</v>
      </c>
      <c r="D233" s="1">
        <v>-75.800138888999996</v>
      </c>
      <c r="E233" s="1">
        <v>1984</v>
      </c>
      <c r="F233" s="1" t="s">
        <v>429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1145</v>
      </c>
      <c r="C234" s="1">
        <v>5.08</v>
      </c>
      <c r="D234" s="1">
        <v>-75.97</v>
      </c>
      <c r="E234" s="1">
        <v>1763</v>
      </c>
      <c r="F234" s="1" t="s">
        <v>441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1146</v>
      </c>
      <c r="C235" s="1">
        <v>5.0297777779999997</v>
      </c>
      <c r="D235" s="1">
        <v>-75.469916667000007</v>
      </c>
      <c r="E235" s="1">
        <v>2104</v>
      </c>
      <c r="F235" s="1" t="s">
        <v>426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1147</v>
      </c>
      <c r="C236" s="1">
        <v>5.0322222219999997</v>
      </c>
      <c r="D236" s="1">
        <v>-75.438333330000006</v>
      </c>
      <c r="E236" s="1">
        <v>2325</v>
      </c>
      <c r="F236" s="1" t="s">
        <v>426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1148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1149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1150</v>
      </c>
      <c r="C239" s="1">
        <v>5.5787500000000003</v>
      </c>
      <c r="D239" s="1">
        <v>-75.344777780000001</v>
      </c>
      <c r="E239" s="1">
        <v>2180</v>
      </c>
      <c r="F239" s="1" t="s">
        <v>638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1151</v>
      </c>
      <c r="C240" s="1">
        <v>5.3729444439999998</v>
      </c>
      <c r="D240" s="1">
        <v>-75.375333330000004</v>
      </c>
      <c r="E240" s="1">
        <v>2855</v>
      </c>
      <c r="F240" s="1" t="s">
        <v>1152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1153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1154</v>
      </c>
      <c r="C242" s="1">
        <v>5.587722222</v>
      </c>
      <c r="D242" s="1">
        <v>-75.800555556000006</v>
      </c>
      <c r="E242" s="1">
        <v>2161</v>
      </c>
      <c r="F242" s="1" t="s">
        <v>580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1155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1156</v>
      </c>
      <c r="C244" s="1">
        <v>6.0395555559999998</v>
      </c>
      <c r="D244" s="1">
        <v>-75.919527778000003</v>
      </c>
      <c r="E244" s="1">
        <v>2032</v>
      </c>
      <c r="F244" s="1" t="s">
        <v>575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1157</v>
      </c>
      <c r="C245" s="1">
        <v>6.5339166669999997</v>
      </c>
      <c r="D245" s="1">
        <v>-75.827333332999999</v>
      </c>
      <c r="E245" s="1">
        <v>534</v>
      </c>
      <c r="F245" s="1" t="s">
        <v>1158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1159</v>
      </c>
      <c r="C246" s="1">
        <v>7.1572222219999997</v>
      </c>
      <c r="D246" s="1">
        <v>-75.442274999999995</v>
      </c>
      <c r="E246" s="1">
        <v>1131</v>
      </c>
      <c r="F246" s="1" t="s">
        <v>608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1160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1161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1162</v>
      </c>
      <c r="C249" s="1">
        <v>6.5403888889999999</v>
      </c>
      <c r="D249" s="1">
        <v>-75.146749999999997</v>
      </c>
      <c r="E249" s="1">
        <v>1440</v>
      </c>
      <c r="F249" s="1" t="s">
        <v>601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1163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1164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1165</v>
      </c>
      <c r="C252" s="1">
        <v>7.0719000000000003</v>
      </c>
      <c r="D252" s="1">
        <v>-75.150499999999994</v>
      </c>
      <c r="E252" s="1">
        <v>1601</v>
      </c>
      <c r="F252" s="1" t="s">
        <v>566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1166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1167</v>
      </c>
      <c r="C254" s="1">
        <v>10.271388890000001</v>
      </c>
      <c r="D254" s="1">
        <v>-73.131388889999997</v>
      </c>
      <c r="E254" s="1">
        <v>350</v>
      </c>
      <c r="F254" s="1" t="s">
        <v>684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1168</v>
      </c>
      <c r="C255" s="1">
        <v>10.001805559999999</v>
      </c>
      <c r="D255" s="1">
        <v>-73.249388890000006</v>
      </c>
      <c r="E255" s="1">
        <v>180</v>
      </c>
      <c r="F255" s="1" t="s">
        <v>678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1169</v>
      </c>
      <c r="C256" s="1">
        <v>9.8502500000000008</v>
      </c>
      <c r="D256" s="1">
        <v>-73.265472220000007</v>
      </c>
      <c r="E256" s="1">
        <v>100</v>
      </c>
      <c r="F256" s="1" t="s">
        <v>678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1170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1171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1172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1173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1174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329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1175</v>
      </c>
      <c r="C262" s="1">
        <v>9.7156900000000004</v>
      </c>
      <c r="D262" s="1">
        <v>-75.106448</v>
      </c>
      <c r="E262" s="1">
        <v>152</v>
      </c>
      <c r="F262" s="1" t="s">
        <v>1176</v>
      </c>
      <c r="G262" s="1" t="s">
        <v>329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1177</v>
      </c>
      <c r="C263" s="1">
        <v>9.7156900000000004</v>
      </c>
      <c r="D263" s="1">
        <v>-75.106448</v>
      </c>
      <c r="E263" s="1">
        <v>152</v>
      </c>
      <c r="F263" s="1" t="s">
        <v>1176</v>
      </c>
      <c r="G263" s="1" t="s">
        <v>329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1178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329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1179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329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1180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329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1181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1182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1183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329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1184</v>
      </c>
      <c r="C269" s="1">
        <v>10.49</v>
      </c>
      <c r="D269" s="1">
        <v>-75.126944440000003</v>
      </c>
      <c r="E269" s="1">
        <v>10</v>
      </c>
      <c r="F269" s="1" t="s">
        <v>1185</v>
      </c>
      <c r="G269" s="1" t="s">
        <v>1182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1186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1182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1187</v>
      </c>
      <c r="C271" s="1">
        <v>10.721111110000001</v>
      </c>
      <c r="D271" s="1">
        <v>-74.199722219999998</v>
      </c>
      <c r="E271" s="1">
        <v>20</v>
      </c>
      <c r="F271" s="1" t="s">
        <v>768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1188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1189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1190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1191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1192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1193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1194</v>
      </c>
      <c r="C278" s="1">
        <v>2.8117779999999999</v>
      </c>
      <c r="D278" s="1">
        <v>-70.475138999999999</v>
      </c>
      <c r="E278" s="1">
        <v>154</v>
      </c>
      <c r="F278" s="1" t="s">
        <v>1195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1196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1197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1198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1199</v>
      </c>
      <c r="C282" s="1">
        <v>4.587059</v>
      </c>
      <c r="D282" s="1">
        <v>-73.995885000000001</v>
      </c>
      <c r="E282" s="1">
        <v>3195</v>
      </c>
      <c r="F282" s="1" t="s">
        <v>516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1200</v>
      </c>
      <c r="C283" s="1">
        <v>4.1966666669999997</v>
      </c>
      <c r="D283" s="1">
        <v>-74.190944439999996</v>
      </c>
      <c r="E283" s="1">
        <v>3150</v>
      </c>
      <c r="F283" s="1" t="s">
        <v>500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1201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1202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1203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1204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1205</v>
      </c>
      <c r="C288" s="1">
        <v>5.3526944439999999</v>
      </c>
      <c r="D288" s="1">
        <v>-73.453777779999996</v>
      </c>
      <c r="E288" s="1">
        <v>2438</v>
      </c>
      <c r="F288" s="1" t="s">
        <v>295</v>
      </c>
      <c r="G288" s="1" t="s">
        <v>261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1206</v>
      </c>
      <c r="C289" s="1">
        <v>5.0222777780000003</v>
      </c>
      <c r="D289" s="1">
        <v>-73.449166669999997</v>
      </c>
      <c r="E289" s="1">
        <v>1930</v>
      </c>
      <c r="F289" s="1" t="s">
        <v>302</v>
      </c>
      <c r="G289" s="1" t="s">
        <v>261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1207</v>
      </c>
      <c r="C290" s="1">
        <v>5.4222222220000003</v>
      </c>
      <c r="D290" s="1">
        <v>-73.349416669999997</v>
      </c>
      <c r="E290" s="1">
        <v>2200</v>
      </c>
      <c r="F290" s="1" t="s">
        <v>318</v>
      </c>
      <c r="G290" s="1" t="s">
        <v>261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1208</v>
      </c>
      <c r="C291" s="1">
        <v>4.9743611110000003</v>
      </c>
      <c r="D291" s="1">
        <v>-73.316749999999999</v>
      </c>
      <c r="E291" s="1">
        <v>1300</v>
      </c>
      <c r="F291" s="1" t="s">
        <v>290</v>
      </c>
      <c r="G291" s="1" t="s">
        <v>261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1209</v>
      </c>
      <c r="C292" s="1">
        <v>5.3584166670000002</v>
      </c>
      <c r="D292" s="1">
        <v>-73.203611109999997</v>
      </c>
      <c r="E292" s="1">
        <v>2120</v>
      </c>
      <c r="F292" s="1" t="s">
        <v>298</v>
      </c>
      <c r="G292" s="1" t="s">
        <v>261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1210</v>
      </c>
      <c r="C293" s="1">
        <v>5.1925555560000003</v>
      </c>
      <c r="D293" s="1">
        <v>-73.144777779999998</v>
      </c>
      <c r="E293" s="1">
        <v>1640</v>
      </c>
      <c r="F293" s="1" t="s">
        <v>321</v>
      </c>
      <c r="G293" s="1" t="s">
        <v>261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1211</v>
      </c>
      <c r="C294" s="1">
        <v>5.0345000000000004</v>
      </c>
      <c r="D294" s="1">
        <v>-73.103666669999996</v>
      </c>
      <c r="E294" s="1">
        <v>1300</v>
      </c>
      <c r="F294" s="1" t="s">
        <v>274</v>
      </c>
      <c r="G294" s="1" t="s">
        <v>261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1212</v>
      </c>
      <c r="C295" s="1">
        <v>5.5749138890000003</v>
      </c>
      <c r="D295" s="1">
        <v>-72.947694440000006</v>
      </c>
      <c r="E295" s="1">
        <v>3000</v>
      </c>
      <c r="F295" s="1" t="s">
        <v>1213</v>
      </c>
      <c r="G295" s="1" t="s">
        <v>261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1214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1215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1216</v>
      </c>
      <c r="C298" s="1">
        <v>5.0272577780000001</v>
      </c>
      <c r="D298" s="1">
        <v>-72.869841667000003</v>
      </c>
      <c r="E298" s="1">
        <v>460</v>
      </c>
      <c r="F298" s="1" t="s">
        <v>306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1217</v>
      </c>
      <c r="C299" s="1">
        <v>5.1770833329999997</v>
      </c>
      <c r="D299" s="1">
        <v>-72.547388889999993</v>
      </c>
      <c r="E299" s="1">
        <v>380</v>
      </c>
      <c r="F299" s="1" t="s">
        <v>267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1218</v>
      </c>
      <c r="C300" s="1">
        <v>5.4072777780000001</v>
      </c>
      <c r="D300" s="1">
        <v>-72.717222219999996</v>
      </c>
      <c r="E300" s="1">
        <v>1550</v>
      </c>
      <c r="F300" s="1" t="s">
        <v>283</v>
      </c>
      <c r="G300" s="1" t="s">
        <v>261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1219</v>
      </c>
      <c r="C301" s="1">
        <v>5.3204444439999996</v>
      </c>
      <c r="D301" s="1">
        <v>-72.387500000000003</v>
      </c>
      <c r="E301" s="1">
        <v>325</v>
      </c>
      <c r="F301" s="1" t="s">
        <v>266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1220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1221</v>
      </c>
      <c r="C303" s="1">
        <v>6.0116666670000001</v>
      </c>
      <c r="D303" s="1">
        <v>-72.529277780000001</v>
      </c>
      <c r="E303" s="1">
        <v>3590</v>
      </c>
      <c r="F303" s="1" t="s">
        <v>633</v>
      </c>
      <c r="G303" s="1" t="s">
        <v>261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1222</v>
      </c>
      <c r="C304" s="1">
        <v>5.8185833330000003</v>
      </c>
      <c r="D304" s="1">
        <v>-72.166777780000004</v>
      </c>
      <c r="E304" s="1">
        <v>117</v>
      </c>
      <c r="F304" s="1" t="s">
        <v>304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1223</v>
      </c>
      <c r="C305" s="1">
        <v>5.8785277779999996</v>
      </c>
      <c r="D305" s="1">
        <v>-71.887194440000002</v>
      </c>
      <c r="E305" s="1">
        <v>342</v>
      </c>
      <c r="F305" s="1" t="s">
        <v>296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1224</v>
      </c>
      <c r="C306" s="1">
        <v>6.4561944440000003</v>
      </c>
      <c r="D306" s="1">
        <v>-71.745027780000001</v>
      </c>
      <c r="E306" s="1">
        <v>350</v>
      </c>
      <c r="F306" s="1" t="s">
        <v>305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1225</v>
      </c>
      <c r="C307" s="1">
        <v>7.1869444439999999</v>
      </c>
      <c r="D307" s="1">
        <v>-72.868611110000003</v>
      </c>
      <c r="E307" s="1">
        <v>3214</v>
      </c>
      <c r="F307" s="1" t="s">
        <v>374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1226</v>
      </c>
      <c r="C308" s="1">
        <v>7.0061111110000001</v>
      </c>
      <c r="D308" s="1">
        <v>-72.115833330000001</v>
      </c>
      <c r="E308" s="1">
        <v>370</v>
      </c>
      <c r="F308" s="1" t="s">
        <v>413</v>
      </c>
      <c r="G308" s="1" t="s">
        <v>369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1227</v>
      </c>
      <c r="C309" s="1">
        <v>6.9620800000000003</v>
      </c>
      <c r="D309" s="1">
        <v>-71.851252000000002</v>
      </c>
      <c r="E309" s="1">
        <v>197</v>
      </c>
      <c r="F309" s="1" t="s">
        <v>610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1228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1229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1230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1231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1232</v>
      </c>
      <c r="C313" s="1">
        <v>1.900416667</v>
      </c>
      <c r="D313" s="1">
        <v>-76.668750000000003</v>
      </c>
      <c r="E313" s="1">
        <v>2900</v>
      </c>
      <c r="F313" s="1" t="s">
        <v>366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1233</v>
      </c>
      <c r="C314" s="1">
        <v>1.157333333</v>
      </c>
      <c r="D314" s="1">
        <v>-76.651833330000002</v>
      </c>
      <c r="E314" s="1">
        <v>650</v>
      </c>
      <c r="F314" s="1" t="s">
        <v>325</v>
      </c>
      <c r="G314" s="1" t="s">
        <v>324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1234</v>
      </c>
      <c r="C315" s="1">
        <v>1.5</v>
      </c>
      <c r="D315" s="1">
        <v>-75.66</v>
      </c>
      <c r="E315" s="1">
        <v>280</v>
      </c>
      <c r="F315" s="1" t="s">
        <v>1235</v>
      </c>
      <c r="G315" s="1" t="s">
        <v>1236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1237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1236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1238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1236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1239</v>
      </c>
      <c r="C318" s="1">
        <v>1.3033611110000001</v>
      </c>
      <c r="D318" s="1">
        <v>-75.807722221999995</v>
      </c>
      <c r="E318" s="1">
        <v>300</v>
      </c>
      <c r="F318" s="1" t="s">
        <v>458</v>
      </c>
      <c r="G318" s="1" t="s">
        <v>1236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1240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1236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1241</v>
      </c>
      <c r="C320" s="1">
        <v>-6.0749999999999998E-2</v>
      </c>
      <c r="D320" s="1">
        <v>-74.665222220000004</v>
      </c>
      <c r="E320" s="1">
        <v>153</v>
      </c>
      <c r="F320" s="1" t="s">
        <v>355</v>
      </c>
      <c r="G320" s="1" t="s">
        <v>324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1242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1236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1243</v>
      </c>
      <c r="C322" s="1">
        <v>1.7354722220000001</v>
      </c>
      <c r="D322" s="1">
        <v>-74.785055560000004</v>
      </c>
      <c r="E322" s="1">
        <v>240</v>
      </c>
      <c r="F322" s="1" t="s">
        <v>1244</v>
      </c>
      <c r="G322" s="1" t="s">
        <v>1236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1245</v>
      </c>
      <c r="C323" s="1">
        <v>1.198277778</v>
      </c>
      <c r="D323" s="1">
        <v>-76.960972220000002</v>
      </c>
      <c r="E323" s="1">
        <v>2100</v>
      </c>
      <c r="F323" s="1" t="s">
        <v>348</v>
      </c>
      <c r="G323" s="1" t="s">
        <v>324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1246</v>
      </c>
      <c r="C324" s="1">
        <v>0.83897222199999999</v>
      </c>
      <c r="D324" s="1">
        <v>-76.570444440000003</v>
      </c>
      <c r="E324" s="1">
        <v>362</v>
      </c>
      <c r="F324" s="1" t="s">
        <v>358</v>
      </c>
      <c r="G324" s="1" t="s">
        <v>324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1247</v>
      </c>
      <c r="C325" s="1">
        <v>0.80491666699999997</v>
      </c>
      <c r="D325" s="1">
        <v>-77.303611110000006</v>
      </c>
      <c r="E325" s="1">
        <v>1776</v>
      </c>
      <c r="F325" s="1" t="s">
        <v>350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1248</v>
      </c>
      <c r="C326" s="1">
        <v>1.159944444</v>
      </c>
      <c r="D326" s="1">
        <v>-77.161472219999993</v>
      </c>
      <c r="E326" s="1">
        <v>2830</v>
      </c>
      <c r="F326" s="1" t="s">
        <v>333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1249</v>
      </c>
      <c r="C327" s="1">
        <v>0.132861111</v>
      </c>
      <c r="D327" s="1">
        <v>-75.851111110000005</v>
      </c>
      <c r="E327" s="1">
        <v>190</v>
      </c>
      <c r="F327" s="1" t="s">
        <v>355</v>
      </c>
      <c r="G327" s="1" t="s">
        <v>324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1250</v>
      </c>
      <c r="C328" s="1">
        <v>-0.18061111099999999</v>
      </c>
      <c r="D328" s="1">
        <v>-74.776277780000001</v>
      </c>
      <c r="E328" s="1">
        <v>147</v>
      </c>
      <c r="F328" s="1" t="s">
        <v>355</v>
      </c>
      <c r="G328" s="1" t="s">
        <v>324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1251</v>
      </c>
      <c r="C329" s="1">
        <v>-1.4446111109999999</v>
      </c>
      <c r="D329" s="1">
        <v>-72.789583332999996</v>
      </c>
      <c r="E329" s="1">
        <v>160</v>
      </c>
      <c r="F329" s="1" t="s">
        <v>517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1252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1253</v>
      </c>
      <c r="C331" s="1">
        <v>1.2483333329999999</v>
      </c>
      <c r="D331" s="1">
        <v>-78.092500000000001</v>
      </c>
      <c r="E331" s="1">
        <v>110</v>
      </c>
      <c r="F331" s="1" t="s">
        <v>328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1254</v>
      </c>
      <c r="C332" s="1">
        <v>1.819166667</v>
      </c>
      <c r="D332" s="1">
        <v>-78.73</v>
      </c>
      <c r="E332" s="1">
        <v>1</v>
      </c>
      <c r="F332" s="1" t="s">
        <v>790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1255</v>
      </c>
      <c r="C333" s="1">
        <v>2.2497222219999999</v>
      </c>
      <c r="D333" s="1">
        <v>-76.611944440000002</v>
      </c>
      <c r="E333" s="1">
        <v>2450</v>
      </c>
      <c r="F333" s="1" t="s">
        <v>1256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1257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1258</v>
      </c>
      <c r="C335" s="1">
        <v>2.1938333330000002</v>
      </c>
      <c r="D335" s="1">
        <v>-76.750333330000004</v>
      </c>
      <c r="E335" s="1">
        <v>1870</v>
      </c>
      <c r="F335" s="1" t="s">
        <v>345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1259</v>
      </c>
      <c r="C336" s="1">
        <v>1.1982222220000001</v>
      </c>
      <c r="D336" s="1">
        <v>-77.303083330000007</v>
      </c>
      <c r="E336" s="1">
        <v>2710</v>
      </c>
      <c r="F336" s="1" t="s">
        <v>333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1260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1261</v>
      </c>
      <c r="C338" s="1">
        <v>1.5387222220000001</v>
      </c>
      <c r="D338" s="1">
        <v>-77.032611110000005</v>
      </c>
      <c r="E338" s="1">
        <v>2190</v>
      </c>
      <c r="F338" s="1" t="s">
        <v>359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1262</v>
      </c>
      <c r="C339" s="1">
        <v>1.5491666669999999</v>
      </c>
      <c r="D339" s="1">
        <v>-77.267499999999998</v>
      </c>
      <c r="E339" s="1">
        <v>1875</v>
      </c>
      <c r="F339" s="1" t="s">
        <v>362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1263</v>
      </c>
      <c r="C340" s="1">
        <v>0.93263888900000003</v>
      </c>
      <c r="D340" s="1">
        <v>-77.629583330000003</v>
      </c>
      <c r="E340" s="1">
        <v>3141</v>
      </c>
      <c r="F340" s="1" t="s">
        <v>335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1264</v>
      </c>
      <c r="C341" s="1">
        <v>1.1843611110000001</v>
      </c>
      <c r="D341" s="1">
        <v>-77.465111109999995</v>
      </c>
      <c r="E341" s="1">
        <v>1493</v>
      </c>
      <c r="F341" s="1" t="s">
        <v>331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1265</v>
      </c>
      <c r="C342" s="1">
        <v>1.3735555559999999</v>
      </c>
      <c r="D342" s="1">
        <v>-77.583055560000005</v>
      </c>
      <c r="E342" s="1">
        <v>1500</v>
      </c>
      <c r="F342" s="1" t="s">
        <v>364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1266</v>
      </c>
      <c r="C343" s="1">
        <v>1.107583333</v>
      </c>
      <c r="D343" s="1">
        <v>-77.389361109999996</v>
      </c>
      <c r="E343" s="1">
        <v>2800</v>
      </c>
      <c r="F343" s="1" t="s">
        <v>361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1267</v>
      </c>
      <c r="C344" s="1">
        <v>1.0042222220000001</v>
      </c>
      <c r="D344" s="1">
        <v>-77.445805559999997</v>
      </c>
      <c r="E344" s="1">
        <v>2181</v>
      </c>
      <c r="F344" s="1" t="s">
        <v>339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1268</v>
      </c>
      <c r="C345" s="1">
        <v>1.1599999999999999</v>
      </c>
      <c r="D345" s="1">
        <v>-77.278805559999995</v>
      </c>
      <c r="E345" s="1">
        <v>2820</v>
      </c>
      <c r="F345" s="1" t="s">
        <v>333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1269</v>
      </c>
      <c r="C346" s="1">
        <v>1.070707855</v>
      </c>
      <c r="D346" s="1">
        <v>-77.636935688999998</v>
      </c>
      <c r="E346" s="1">
        <v>3033</v>
      </c>
      <c r="F346" s="1" t="s">
        <v>338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1270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1271</v>
      </c>
      <c r="C348" s="1">
        <v>1.67</v>
      </c>
      <c r="D348" s="1">
        <v>-78.14</v>
      </c>
      <c r="E348" s="1">
        <v>32</v>
      </c>
      <c r="F348" s="1" t="s">
        <v>328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1272</v>
      </c>
      <c r="C349" s="1">
        <v>3.8201111110000001</v>
      </c>
      <c r="D349" s="1">
        <v>-76.992388888999997</v>
      </c>
      <c r="E349" s="1">
        <v>28</v>
      </c>
      <c r="F349" s="1" t="s">
        <v>422</v>
      </c>
      <c r="G349" s="1" t="s">
        <v>421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1273</v>
      </c>
      <c r="C350" s="1">
        <v>4.8980833329999998</v>
      </c>
      <c r="D350" s="1">
        <v>-76.676666667000006</v>
      </c>
      <c r="E350" s="1">
        <v>1115</v>
      </c>
      <c r="F350" s="1" t="s">
        <v>452</v>
      </c>
      <c r="G350" s="1" t="s">
        <v>889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1274</v>
      </c>
      <c r="C351" s="1">
        <v>3.953555556</v>
      </c>
      <c r="D351" s="1">
        <v>-76.990444440000005</v>
      </c>
      <c r="E351" s="1">
        <v>66</v>
      </c>
      <c r="F351" s="1" t="s">
        <v>422</v>
      </c>
      <c r="G351" s="1" t="s">
        <v>421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1275</v>
      </c>
      <c r="C352" s="1">
        <v>4.2225000000000001</v>
      </c>
      <c r="D352" s="1">
        <v>-77.27633333</v>
      </c>
      <c r="E352" s="1">
        <v>14</v>
      </c>
      <c r="F352" s="1" t="s">
        <v>422</v>
      </c>
      <c r="G352" s="1" t="s">
        <v>421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1276</v>
      </c>
      <c r="C353" s="1">
        <v>4.6881944439999996</v>
      </c>
      <c r="D353" s="1">
        <v>-76.934250000000006</v>
      </c>
      <c r="E353" s="1">
        <v>28</v>
      </c>
      <c r="F353" s="1" t="s">
        <v>689</v>
      </c>
      <c r="G353" s="1" t="s">
        <v>889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1277</v>
      </c>
      <c r="C354" s="1">
        <v>5.1700520000000001</v>
      </c>
      <c r="D354" s="1">
        <v>-74.890866000000003</v>
      </c>
      <c r="E354" s="1">
        <v>437</v>
      </c>
      <c r="F354" s="1" t="s">
        <v>482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1278</v>
      </c>
      <c r="C355" s="1">
        <v>8.1159111110000008</v>
      </c>
      <c r="D355" s="1">
        <v>-75.413399999999996</v>
      </c>
      <c r="E355" s="1">
        <v>72</v>
      </c>
      <c r="F355" s="1" t="s">
        <v>273</v>
      </c>
      <c r="G355" s="1" t="s">
        <v>907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1279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85" width="11.42578125" style="42" customWidth="1"/>
    <col min="86" max="16384" width="11.42578125" style="42"/>
  </cols>
  <sheetData>
    <row r="1" spans="1:4" x14ac:dyDescent="0.2">
      <c r="A1" s="41" t="s">
        <v>1280</v>
      </c>
      <c r="B1" s="41" t="s">
        <v>1281</v>
      </c>
      <c r="C1" s="41" t="s">
        <v>1282</v>
      </c>
      <c r="D1" s="41" t="s">
        <v>1283</v>
      </c>
    </row>
    <row r="2" spans="1:4" ht="38.25" customHeight="1" x14ac:dyDescent="0.2">
      <c r="A2" s="43">
        <v>46071</v>
      </c>
      <c r="B2" s="44" t="s">
        <v>1284</v>
      </c>
      <c r="C2" s="45" t="s">
        <v>1285</v>
      </c>
      <c r="D2" s="44" t="s">
        <v>1286</v>
      </c>
    </row>
    <row r="3" spans="1:4" ht="51" customHeight="1" x14ac:dyDescent="0.2">
      <c r="A3" s="43">
        <v>46076</v>
      </c>
      <c r="B3" s="44" t="s">
        <v>1284</v>
      </c>
      <c r="C3" s="45" t="s">
        <v>1287</v>
      </c>
      <c r="D3" s="44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2026-07-18T15:24:03Z</dcterms:modified>
</cp:coreProperties>
</file>