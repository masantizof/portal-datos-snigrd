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42C3340-6D93-4821-9FE2-880A1D12CE58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<sst xmlns="http://schemas.openxmlformats.org/spreadsheetml/2006/main" count="604" uniqueCount="273">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</sst>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Q4" activePane="bottomRight" state="frozen"/>
      <selection pane="topRight" activeCell="E1" sqref="E1"/>
      <selection pane="bottomLeft" activeCell="A4" sqref="A4"/>
      <selection pane="bottomRight" activeCell="T2" sqref="T1:U104857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31.9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31.223529411764709</v>
      </c>
      <c r="AP5" s="23">
        <f>IF(AN5&gt;0,IFERROR(AO5-AN5,""),"")</f>
        <v>1.0261576357564799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31.2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30.629411764705878</v>
      </c>
      <c r="AP6" s="23">
        <f t="shared" ref="AP6:AP48" si="4">IF(AN6&gt;0,IFERROR(AO6-AN6,""),"")</f>
        <v>-2.4868632316461969E-2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38.6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36.205882352941174</v>
      </c>
      <c r="AP7" s="23">
        <f t="shared" si="4"/>
        <v>2.8398663453721014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33.9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33.42941176470589</v>
      </c>
      <c r="AP8" s="23">
        <f t="shared" si="4"/>
        <v>1.1803687539531964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34.200000000000003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>
        <f t="shared" si="3"/>
        <v>33.988235294117644</v>
      </c>
      <c r="AP9" s="23">
        <f t="shared" si="4"/>
        <v>0.89698915643379706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36.9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>
        <f t="shared" si="3"/>
        <v>35.794117647058826</v>
      </c>
      <c r="AP10" s="23">
        <f t="shared" si="4"/>
        <v>0.41387941939846939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39.6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>
        <f t="shared" si="3"/>
        <v>38.35294117647058</v>
      </c>
      <c r="AP11" s="23">
        <f t="shared" si="4"/>
        <v>2.8156570836219785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37.4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35.082352941176467</v>
      </c>
      <c r="AP12" s="23">
        <f t="shared" si="4"/>
        <v>2.8937287950027297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38.200000000000003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36.27058823529412</v>
      </c>
      <c r="AP13" s="23">
        <f t="shared" si="4"/>
        <v>2.8887961205987835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37.9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35.305882352941175</v>
      </c>
      <c r="AP14" s="23">
        <f t="shared" si="4"/>
        <v>2.0809457537269438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33.5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31.9</v>
      </c>
      <c r="AP15" s="23">
        <f t="shared" si="4"/>
        <v>0.16466254392004842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38.299999999999997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34.682352941176468</v>
      </c>
      <c r="AP17" s="23">
        <f>IF(AN17&gt;0,IFERROR(AO17-AN17,""),"")</f>
        <v>2.0083707387293117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31.6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28.24117647058824</v>
      </c>
      <c r="AP18" s="23">
        <f t="shared" si="4"/>
        <v>2.18130561663137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34.6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>
        <f t="shared" si="5"/>
        <v>33.852941176470587</v>
      </c>
      <c r="AP19" s="23">
        <f t="shared" si="4"/>
        <v>0.60197877380094411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31.1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30.611764705882358</v>
      </c>
      <c r="AP20" s="23">
        <f t="shared" si="4"/>
        <v>1.9709601081812096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24.9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24.429411764705879</v>
      </c>
      <c r="AP21" s="23">
        <f t="shared" si="4"/>
        <v>1.8199086130559081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30.5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29.011764705882356</v>
      </c>
      <c r="AP23" s="23">
        <f t="shared" si="4"/>
        <v>2.1433776091081569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28.8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30.088235294117649</v>
      </c>
      <c r="AP24" s="23">
        <f t="shared" si="4"/>
        <v>1.8364111773741669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33.200000000000003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32.3764705882353</v>
      </c>
      <c r="AP25" s="23">
        <f t="shared" si="4"/>
        <v>2.0006051950142307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20.3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19.629411764705885</v>
      </c>
      <c r="AP26" s="23">
        <f t="shared" si="4"/>
        <v>1.086540157262526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21</v>
      </c>
      <c r="AK27" s="21">
        <f t="shared" si="1"/>
        <v>21.6</v>
      </c>
      <c r="AL27" s="22">
        <v>21.4</v>
      </c>
      <c r="AM27" s="23">
        <f t="shared" si="2"/>
        <v>0.20000000000000284</v>
      </c>
      <c r="AN27" s="23">
        <v>16.682050544108389</v>
      </c>
      <c r="AO27" s="23">
        <f t="shared" si="5"/>
        <v>18.31176470588235</v>
      </c>
      <c r="AP27" s="23">
        <f t="shared" si="4"/>
        <v>1.6297141617739612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31.5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32.223529411764709</v>
      </c>
      <c r="AP28" s="23">
        <f t="shared" si="4"/>
        <v>1.6950768101085494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36.200000000000003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>
        <f t="shared" si="5"/>
        <v>34.735294117647065</v>
      </c>
      <c r="AP30" s="23">
        <f t="shared" si="4"/>
        <v>0.99304322158971559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27.2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27.77058823529412</v>
      </c>
      <c r="AP31" s="23">
        <f t="shared" si="4"/>
        <v>2.383163398173501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17.8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17.858823529411765</v>
      </c>
      <c r="AP32" s="23">
        <f t="shared" si="4"/>
        <v>1.5292857561505144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14.8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15.617647058823529</v>
      </c>
      <c r="AP33" s="23">
        <f t="shared" si="4"/>
        <v>0.87303452638007961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33.4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32.235294117647051</v>
      </c>
      <c r="AP35" s="23">
        <f t="shared" si="4"/>
        <v>1.1625982651124893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32.5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>
        <f>IF(COUNTIF(E38:AI38,"&gt;0")&gt;=15,AVERAGE(E38:AI38),"")</f>
        <v>30.070588235294114</v>
      </c>
      <c r="AP38" s="23">
        <f t="shared" si="4"/>
        <v>4.1562011901532969E-2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34.4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31.4</v>
      </c>
      <c r="AP39" s="23">
        <f t="shared" si="4"/>
        <v>0.55686688913607796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31.7</v>
      </c>
      <c r="AK40" s="21">
        <f t="shared" si="1"/>
        <v>31.7</v>
      </c>
      <c r="AL40" s="22">
        <v>33.5</v>
      </c>
      <c r="AM40" s="23">
        <f t="shared" si="2"/>
        <v>-1.8000000000000007</v>
      </c>
      <c r="AN40" s="23">
        <v>28.947548387096781</v>
      </c>
      <c r="AO40" s="23">
        <f t="shared" si="7"/>
        <v>29.447058823529414</v>
      </c>
      <c r="AP40" s="23">
        <f t="shared" si="4"/>
        <v>0.49951043643263304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33.799999999999997</v>
      </c>
      <c r="AK41" s="21">
        <f t="shared" si="1"/>
        <v>33.799999999999997</v>
      </c>
      <c r="AL41" s="22">
        <v>34.4</v>
      </c>
      <c r="AM41" s="23">
        <f t="shared" si="2"/>
        <v>-0.60000000000000142</v>
      </c>
      <c r="AN41" s="23">
        <v>29.366308243727591</v>
      </c>
      <c r="AO41" s="23">
        <f t="shared" si="7"/>
        <v>30.505882352941178</v>
      </c>
      <c r="AP41" s="23">
        <f t="shared" si="4"/>
        <v>1.1395741092135871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32.4</v>
      </c>
      <c r="AK43" s="21">
        <f t="shared" si="1"/>
        <v>33.200000000000003</v>
      </c>
      <c r="AL43" s="22">
        <v>34.200000000000003</v>
      </c>
      <c r="AM43" s="23">
        <f t="shared" si="2"/>
        <v>-1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31.4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31.224999999999998</v>
      </c>
      <c r="AP44" s="23">
        <f t="shared" si="4"/>
        <v>2.1818127946395371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32.799999999999997</v>
      </c>
      <c r="AK45" s="21">
        <f t="shared" si="1"/>
        <v>32.799999999999997</v>
      </c>
      <c r="AL45" s="22">
        <v>34.200000000000003</v>
      </c>
      <c r="AM45" s="23">
        <f t="shared" si="2"/>
        <v>-1.4000000000000057</v>
      </c>
      <c r="AN45" s="23">
        <v>29.54581639287883</v>
      </c>
      <c r="AO45" s="23">
        <f t="shared" si="7"/>
        <v>30.447058823529421</v>
      </c>
      <c r="AP45" s="23">
        <f t="shared" si="4"/>
        <v>0.90124243065059062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32.799999999999997</v>
      </c>
      <c r="AK48" s="21">
        <f t="shared" si="1"/>
        <v>32.799999999999997</v>
      </c>
      <c r="AL48" s="22">
        <v>35.200000000000003</v>
      </c>
      <c r="AM48" s="23">
        <f t="shared" si="2"/>
        <v>-2.4000000000000057</v>
      </c>
      <c r="AN48" s="23">
        <v>30.34253285543608</v>
      </c>
      <c r="AO48" s="23">
        <f t="shared" si="7"/>
        <v>30.105882352941176</v>
      </c>
      <c r="AP48" s="23">
        <f t="shared" si="4"/>
        <v>-0.23665050249490349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2026-07-18T13:43:27Z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