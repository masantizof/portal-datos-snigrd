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E7BC1130-FC5B-4D48-BBBE-BD2DC52E05A4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<sst xmlns="http://schemas.openxmlformats.org/spreadsheetml/2006/main" count="604" uniqueCount="273">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</sst>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O25" activePane="bottomRight" state="frozen"/>
      <selection pane="topRight" activeCell="E1" sqref="E1"/>
      <selection pane="bottomLeft" activeCell="A4" sqref="A4"/>
      <selection pane="bottomRight" activeCell="AB44" sqref="AB44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>
        <v>31.9</v>
      </c>
      <c r="V5" s="57">
        <v>30.9</v>
      </c>
      <c r="W5" s="57">
        <v>30.9</v>
      </c>
      <c r="X5" s="57">
        <v>29.2</v>
      </c>
      <c r="Y5" s="57">
        <v>30.8</v>
      </c>
      <c r="Z5" s="57">
        <v>30.7</v>
      </c>
      <c r="AA5" s="57">
        <v>31.2</v>
      </c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31.2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31.065217391304351</v>
      </c>
      <c r="AP5" s="23">
        <f>IF(AN5&gt;0,IFERROR(AO5-AN5,""),"")</f>
        <v>0.86784561529612247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>
        <v>31.2</v>
      </c>
      <c r="V6" s="57">
        <v>31.1</v>
      </c>
      <c r="W6" s="57">
        <v>30.8</v>
      </c>
      <c r="X6" s="57">
        <v>29.7</v>
      </c>
      <c r="Y6" s="57">
        <v>30.8</v>
      </c>
      <c r="Z6" s="57">
        <v>31.1</v>
      </c>
      <c r="AA6" s="57">
        <v>30.8</v>
      </c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30.8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30.652173913043473</v>
      </c>
      <c r="AP6" s="23">
        <f t="shared" ref="AP6:AP48" si="4">IF(AN6&gt;0,IFERROR(AO6-AN6,""),"")</f>
        <v>-2.1064839788671463E-3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>
        <v>38.6</v>
      </c>
      <c r="V7" s="57">
        <v>35.799999999999997</v>
      </c>
      <c r="W7" s="57">
        <v>35.9</v>
      </c>
      <c r="X7" s="57">
        <v>30.6</v>
      </c>
      <c r="Y7" s="57">
        <v>32.6</v>
      </c>
      <c r="Z7" s="57">
        <v>35</v>
      </c>
      <c r="AA7" s="57">
        <v>32</v>
      </c>
      <c r="AB7" s="57"/>
      <c r="AC7" s="57"/>
      <c r="AD7" s="57"/>
      <c r="AE7" s="57"/>
      <c r="AF7" s="57"/>
      <c r="AG7" s="57"/>
      <c r="AH7" s="57"/>
      <c r="AI7" s="57"/>
      <c r="AJ7" s="37">
        <f t="shared" si="0"/>
        <v>32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35.539130434782606</v>
      </c>
      <c r="AP7" s="23">
        <f t="shared" si="4"/>
        <v>2.1731144272135339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>
        <v>33.9</v>
      </c>
      <c r="V8" s="57">
        <v>34.1</v>
      </c>
      <c r="W8" s="57">
        <v>32.799999999999997</v>
      </c>
      <c r="X8" s="57">
        <v>30.2</v>
      </c>
      <c r="Y8" s="57">
        <v>32.799999999999997</v>
      </c>
      <c r="Z8" s="57">
        <v>33.1</v>
      </c>
      <c r="AA8" s="57">
        <v>32.4</v>
      </c>
      <c r="AB8" s="57"/>
      <c r="AC8" s="57"/>
      <c r="AD8" s="57"/>
      <c r="AE8" s="57"/>
      <c r="AF8" s="57"/>
      <c r="AG8" s="57"/>
      <c r="AH8" s="57"/>
      <c r="AI8" s="57"/>
      <c r="AJ8" s="37">
        <f t="shared" si="0"/>
        <v>32.4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33.204347826086959</v>
      </c>
      <c r="AP8" s="23">
        <f t="shared" si="4"/>
        <v>0.95530481533426581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>
        <v>34.200000000000003</v>
      </c>
      <c r="V9" s="57">
        <v>34.1</v>
      </c>
      <c r="W9" s="57">
        <v>33.200000000000003</v>
      </c>
      <c r="X9" s="57">
        <v>30.4</v>
      </c>
      <c r="Y9" s="57">
        <v>34</v>
      </c>
      <c r="Z9" s="57">
        <v>33.6</v>
      </c>
      <c r="AA9" s="57">
        <v>33.799999999999997</v>
      </c>
      <c r="AB9" s="57"/>
      <c r="AC9" s="57"/>
      <c r="AD9" s="57"/>
      <c r="AE9" s="57"/>
      <c r="AF9" s="57"/>
      <c r="AG9" s="57"/>
      <c r="AH9" s="57"/>
      <c r="AI9" s="57"/>
      <c r="AJ9" s="37">
        <f t="shared" si="0"/>
        <v>33.799999999999997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>
        <f t="shared" si="3"/>
        <v>33.778260869565216</v>
      </c>
      <c r="AP9" s="23">
        <f t="shared" si="4"/>
        <v>0.6870147318813693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>
        <v>36.9</v>
      </c>
      <c r="V10" s="57">
        <v>36.299999999999997</v>
      </c>
      <c r="W10" s="57">
        <v>35.4</v>
      </c>
      <c r="X10" s="57">
        <v>35.5</v>
      </c>
      <c r="Y10" s="57">
        <v>35.799999999999997</v>
      </c>
      <c r="Z10" s="57">
        <v>35.5</v>
      </c>
      <c r="AA10" s="57">
        <v>36</v>
      </c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36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>
        <f t="shared" si="3"/>
        <v>35.782608695652172</v>
      </c>
      <c r="AP10" s="23">
        <f t="shared" si="4"/>
        <v>0.40237046799181542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>
        <v>39.6</v>
      </c>
      <c r="V11" s="57">
        <v>38.299999999999997</v>
      </c>
      <c r="W11" s="57">
        <v>37</v>
      </c>
      <c r="X11" s="57">
        <v>36.4</v>
      </c>
      <c r="Y11" s="57">
        <v>37.4</v>
      </c>
      <c r="Z11" s="57">
        <v>37.700000000000003</v>
      </c>
      <c r="AA11" s="57">
        <v>34</v>
      </c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34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>
        <f t="shared" si="3"/>
        <v>37.947826086956518</v>
      </c>
      <c r="AP11" s="23">
        <f t="shared" si="4"/>
        <v>2.4105419941079163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>
        <v>37.4</v>
      </c>
      <c r="V12" s="57">
        <v>35.200000000000003</v>
      </c>
      <c r="W12" s="57">
        <v>32.799999999999997</v>
      </c>
      <c r="X12" s="57">
        <v>30.4</v>
      </c>
      <c r="Y12" s="57">
        <v>33.4</v>
      </c>
      <c r="Z12" s="57">
        <v>34.200000000000003</v>
      </c>
      <c r="AA12" s="57">
        <v>36.799999999999997</v>
      </c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36.799999999999997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34.747826086956522</v>
      </c>
      <c r="AP12" s="23">
        <f t="shared" si="4"/>
        <v>2.5592019407827848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>
        <v>38.200000000000003</v>
      </c>
      <c r="V13" s="57">
        <v>36.799999999999997</v>
      </c>
      <c r="W13" s="57">
        <v>34.6</v>
      </c>
      <c r="X13" s="57">
        <v>31.2</v>
      </c>
      <c r="Y13" s="57">
        <v>33.799999999999997</v>
      </c>
      <c r="Z13" s="57">
        <v>35</v>
      </c>
      <c r="AA13" s="57">
        <v>27.6</v>
      </c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27.6</v>
      </c>
      <c r="AK13" s="21">
        <f t="shared" si="1"/>
        <v>38.200000000000003</v>
      </c>
      <c r="AL13" s="22">
        <v>38.200000000000003</v>
      </c>
      <c r="AM13" s="23">
        <f t="shared" si="2"/>
        <v>0</v>
      </c>
      <c r="AN13" s="23">
        <v>33.381792114695337</v>
      </c>
      <c r="AO13" s="23">
        <f t="shared" si="3"/>
        <v>35.460869565217394</v>
      </c>
      <c r="AP13" s="23">
        <f t="shared" si="4"/>
        <v>2.0790774505220568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>
        <v>37.9</v>
      </c>
      <c r="V14" s="57">
        <v>36.700000000000003</v>
      </c>
      <c r="W14" s="57">
        <v>33</v>
      </c>
      <c r="X14" s="57">
        <v>31.1</v>
      </c>
      <c r="Y14" s="57">
        <v>34.9</v>
      </c>
      <c r="Z14" s="57">
        <v>35.9</v>
      </c>
      <c r="AA14" s="57">
        <v>26.2</v>
      </c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26.2</v>
      </c>
      <c r="AK14" s="21">
        <f t="shared" si="1"/>
        <v>37.9</v>
      </c>
      <c r="AL14" s="22">
        <v>38.4</v>
      </c>
      <c r="AM14" s="23">
        <f t="shared" si="2"/>
        <v>-0.5</v>
      </c>
      <c r="AN14" s="23">
        <v>33.224936599214232</v>
      </c>
      <c r="AO14" s="23">
        <f t="shared" si="3"/>
        <v>34.695652173913047</v>
      </c>
      <c r="AP14" s="23">
        <f t="shared" si="4"/>
        <v>1.470715574698815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>
        <v>33.5</v>
      </c>
      <c r="V15" s="57">
        <v>33.1</v>
      </c>
      <c r="W15" s="57">
        <v>29.5</v>
      </c>
      <c r="X15" s="57">
        <v>31.5</v>
      </c>
      <c r="Y15" s="57">
        <v>31.9</v>
      </c>
      <c r="Z15" s="57">
        <v>32.799999999999997</v>
      </c>
      <c r="AA15" s="57">
        <v>27.9</v>
      </c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27.9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31.695652173913039</v>
      </c>
      <c r="AP15" s="23">
        <f t="shared" si="4"/>
        <v>-3.9685282166910696E-2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>
        <v>38.299999999999997</v>
      </c>
      <c r="V17" s="57">
        <v>35.799999999999997</v>
      </c>
      <c r="W17" s="57">
        <v>32.4</v>
      </c>
      <c r="X17" s="57">
        <v>31</v>
      </c>
      <c r="Y17" s="57">
        <v>31.6</v>
      </c>
      <c r="Z17" s="57">
        <v>34.4</v>
      </c>
      <c r="AA17" s="57">
        <v>30.5</v>
      </c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30.5</v>
      </c>
      <c r="AK17" s="21">
        <f t="shared" si="1"/>
        <v>38.299999999999997</v>
      </c>
      <c r="AL17" s="22">
        <v>37.6</v>
      </c>
      <c r="AM17" s="23">
        <f t="shared" si="2"/>
        <v>0.69999999999999574</v>
      </c>
      <c r="AN17" s="23">
        <v>32.673982202447156</v>
      </c>
      <c r="AO17" s="23">
        <f>IF(COUNTIF(E17:AI17,"&gt;0")&gt;=15,AVERAGE(E17:AI17),"")</f>
        <v>34.143478260869557</v>
      </c>
      <c r="AP17" s="23">
        <f>IF(AN17&gt;0,IFERROR(AO17-AN17,""),"")</f>
        <v>1.4694960584224006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>
        <v>31.6</v>
      </c>
      <c r="V18" s="57">
        <v>27.6</v>
      </c>
      <c r="W18" s="57">
        <v>26.9</v>
      </c>
      <c r="X18" s="57">
        <v>24.8</v>
      </c>
      <c r="Y18" s="57">
        <v>25.9</v>
      </c>
      <c r="Z18" s="57">
        <v>28.6</v>
      </c>
      <c r="AA18" s="57">
        <v>26.7</v>
      </c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26.7</v>
      </c>
      <c r="AK18" s="21">
        <f t="shared" si="1"/>
        <v>31.6</v>
      </c>
      <c r="AL18" s="22">
        <v>30</v>
      </c>
      <c r="AM18" s="23">
        <f t="shared" si="2"/>
        <v>1.6000000000000014</v>
      </c>
      <c r="AN18" s="23">
        <v>26.05987085395687</v>
      </c>
      <c r="AO18" s="23">
        <f t="shared" ref="AO18:AO33" si="5">IF(COUNTIF(E18:AI18,"&gt;0")&gt;=15,AVERAGE(E18:AI18),"")</f>
        <v>27.852173913043483</v>
      </c>
      <c r="AP18" s="23">
        <f t="shared" si="4"/>
        <v>1.7923030590866134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>
        <v>34.6</v>
      </c>
      <c r="V19" s="57">
        <v>32.299999999999997</v>
      </c>
      <c r="W19" s="57">
        <v>34.1</v>
      </c>
      <c r="X19" s="57">
        <v>29.8</v>
      </c>
      <c r="Y19" s="57">
        <v>33.700000000000003</v>
      </c>
      <c r="Z19" s="57">
        <v>36.4</v>
      </c>
      <c r="AA19" s="57">
        <v>31.3</v>
      </c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31.3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>
        <f t="shared" si="5"/>
        <v>33.613043478260863</v>
      </c>
      <c r="AP19" s="23">
        <f t="shared" si="4"/>
        <v>0.36208107559122027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>
        <v>31.1</v>
      </c>
      <c r="V20" s="57">
        <v>31.8</v>
      </c>
      <c r="W20" s="57">
        <v>28.6</v>
      </c>
      <c r="X20" s="57">
        <v>26.9</v>
      </c>
      <c r="Y20" s="57">
        <v>31.2</v>
      </c>
      <c r="Z20" s="57">
        <v>28.6</v>
      </c>
      <c r="AA20" s="57">
        <v>27</v>
      </c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27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30.19565217391305</v>
      </c>
      <c r="AP20" s="23">
        <f t="shared" si="4"/>
        <v>1.5548475762119018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>
        <v>24.9</v>
      </c>
      <c r="V21" s="57">
        <v>24.9</v>
      </c>
      <c r="W21" s="57">
        <v>23.7</v>
      </c>
      <c r="X21" s="57">
        <v>21.9</v>
      </c>
      <c r="Y21" s="57">
        <v>24.4</v>
      </c>
      <c r="Z21" s="57">
        <v>25.3</v>
      </c>
      <c r="AA21" s="57">
        <v>23.4</v>
      </c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23.4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24.299999999999994</v>
      </c>
      <c r="AP21" s="23">
        <f t="shared" si="4"/>
        <v>1.6904968483500227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>
        <v>30.5</v>
      </c>
      <c r="V23" s="57">
        <v>28.5</v>
      </c>
      <c r="W23" s="57">
        <v>24</v>
      </c>
      <c r="X23" s="57">
        <v>27.2</v>
      </c>
      <c r="Y23" s="57">
        <v>29.2</v>
      </c>
      <c r="Z23" s="57">
        <v>29.9</v>
      </c>
      <c r="AA23" s="57">
        <v>25.8</v>
      </c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25.8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28.6</v>
      </c>
      <c r="AP23" s="23">
        <f t="shared" si="4"/>
        <v>1.7316129032258019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>
        <v>28.8</v>
      </c>
      <c r="V24" s="57">
        <v>29.6</v>
      </c>
      <c r="W24" s="57">
        <v>24.9</v>
      </c>
      <c r="X24" s="57">
        <v>27.7</v>
      </c>
      <c r="Y24" s="57">
        <v>28.5</v>
      </c>
      <c r="Z24" s="57">
        <v>29.8</v>
      </c>
      <c r="AA24" s="57">
        <v>27.7</v>
      </c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27.7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29.552173913043479</v>
      </c>
      <c r="AP24" s="23">
        <f t="shared" si="4"/>
        <v>1.3003497962999973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>
        <v>33.200000000000003</v>
      </c>
      <c r="V25" s="57">
        <v>31.1</v>
      </c>
      <c r="W25" s="57">
        <v>31.2</v>
      </c>
      <c r="X25" s="57">
        <v>32.4</v>
      </c>
      <c r="Y25" s="57">
        <v>32.799999999999997</v>
      </c>
      <c r="Z25" s="57">
        <v>34.1</v>
      </c>
      <c r="AA25" s="57">
        <v>32.200000000000003</v>
      </c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32.200000000000003</v>
      </c>
      <c r="AK25" s="21">
        <f t="shared" si="1"/>
        <v>34.6</v>
      </c>
      <c r="AL25" s="22">
        <v>35.4</v>
      </c>
      <c r="AM25" s="23">
        <f t="shared" si="2"/>
        <v>-0.79999999999999716</v>
      </c>
      <c r="AN25" s="23">
        <v>30.375865393221069</v>
      </c>
      <c r="AO25" s="23">
        <f t="shared" si="5"/>
        <v>32.356521739130443</v>
      </c>
      <c r="AP25" s="23">
        <f t="shared" si="4"/>
        <v>1.9806563459093738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>
        <v>20.3</v>
      </c>
      <c r="V26" s="57">
        <v>20.6</v>
      </c>
      <c r="W26" s="57">
        <v>19.3</v>
      </c>
      <c r="X26" s="57">
        <v>19.399999999999999</v>
      </c>
      <c r="Y26" s="57">
        <v>20.3</v>
      </c>
      <c r="Z26" s="57">
        <v>20.7</v>
      </c>
      <c r="AA26" s="57">
        <v>19.2</v>
      </c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19.2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19.704347826086959</v>
      </c>
      <c r="AP26" s="23">
        <f t="shared" si="4"/>
        <v>1.1614762186435996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>
        <v>21</v>
      </c>
      <c r="V27" s="57">
        <v>21.8</v>
      </c>
      <c r="W27" s="57">
        <v>20.399999999999999</v>
      </c>
      <c r="X27" s="57">
        <v>20</v>
      </c>
      <c r="Y27" s="57">
        <v>19.600000000000001</v>
      </c>
      <c r="Z27" s="57">
        <v>21.2</v>
      </c>
      <c r="AA27" s="57">
        <v>18</v>
      </c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18</v>
      </c>
      <c r="AK27" s="21">
        <f t="shared" si="1"/>
        <v>21.8</v>
      </c>
      <c r="AL27" s="22">
        <v>21.4</v>
      </c>
      <c r="AM27" s="23">
        <f t="shared" si="2"/>
        <v>0.40000000000000213</v>
      </c>
      <c r="AN27" s="23">
        <v>16.682050544108389</v>
      </c>
      <c r="AO27" s="23">
        <f t="shared" si="5"/>
        <v>18.795652173913041</v>
      </c>
      <c r="AP27" s="23">
        <f t="shared" si="4"/>
        <v>2.113601629804652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>
        <v>31.5</v>
      </c>
      <c r="V28" s="57">
        <v>30.5</v>
      </c>
      <c r="W28" s="57">
        <v>29.1</v>
      </c>
      <c r="X28" s="57">
        <v>30.5</v>
      </c>
      <c r="Y28" s="57">
        <v>32.1</v>
      </c>
      <c r="Z28" s="57">
        <v>33.6</v>
      </c>
      <c r="AA28" s="57">
        <v>30.8</v>
      </c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30.8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31.9304347826087</v>
      </c>
      <c r="AP28" s="23">
        <f t="shared" si="4"/>
        <v>1.4019821809525403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>
        <v>36.200000000000003</v>
      </c>
      <c r="V30" s="57">
        <v>31.8</v>
      </c>
      <c r="W30" s="57">
        <v>33.200000000000003</v>
      </c>
      <c r="X30" s="57">
        <v>35.299999999999997</v>
      </c>
      <c r="Y30" s="57">
        <v>36.5</v>
      </c>
      <c r="Z30" s="57">
        <v>36</v>
      </c>
      <c r="AA30" s="57">
        <v>34.700000000000003</v>
      </c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34.700000000000003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>
        <f t="shared" si="5"/>
        <v>34.695652173913047</v>
      </c>
      <c r="AP30" s="23">
        <f t="shared" si="4"/>
        <v>0.95340127785569706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>
        <v>27.2</v>
      </c>
      <c r="V31" s="57">
        <v>27.4</v>
      </c>
      <c r="W31" s="57">
        <v>23.8</v>
      </c>
      <c r="X31" s="57">
        <v>24.9</v>
      </c>
      <c r="Y31" s="57">
        <v>24.9</v>
      </c>
      <c r="Z31" s="57">
        <v>29.1</v>
      </c>
      <c r="AA31" s="57">
        <v>25.3</v>
      </c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25.3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27.282608695652169</v>
      </c>
      <c r="AP31" s="23">
        <f t="shared" si="4"/>
        <v>1.8951838585315492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>
        <v>17.8</v>
      </c>
      <c r="V32" s="57">
        <v>18.2</v>
      </c>
      <c r="W32" s="57">
        <v>17.600000000000001</v>
      </c>
      <c r="X32" s="57">
        <v>19.399999999999999</v>
      </c>
      <c r="Y32" s="57">
        <v>19.600000000000001</v>
      </c>
      <c r="Z32" s="57">
        <v>20</v>
      </c>
      <c r="AA32" s="57">
        <v>16.600000000000001</v>
      </c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16.600000000000001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18.043478260869566</v>
      </c>
      <c r="AP32" s="23">
        <f t="shared" si="4"/>
        <v>1.7139404876083155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>
        <v>14.8</v>
      </c>
      <c r="V33" s="57">
        <v>16</v>
      </c>
      <c r="W33" s="57">
        <v>16.2</v>
      </c>
      <c r="X33" s="57">
        <v>17.399999999999999</v>
      </c>
      <c r="Y33" s="57">
        <v>16.600000000000001</v>
      </c>
      <c r="Z33" s="57">
        <v>16.399999999999999</v>
      </c>
      <c r="AA33" s="57">
        <v>14.8</v>
      </c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14.8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15.778260869565216</v>
      </c>
      <c r="AP33" s="23">
        <f t="shared" si="4"/>
        <v>1.0336483371217664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>
        <v>33.4</v>
      </c>
      <c r="V35" s="57">
        <v>32.4</v>
      </c>
      <c r="W35" s="57">
        <v>28</v>
      </c>
      <c r="X35" s="57">
        <v>31.4</v>
      </c>
      <c r="Y35" s="57">
        <v>31.2</v>
      </c>
      <c r="Z35" s="57">
        <v>31</v>
      </c>
      <c r="AA35" s="57">
        <v>29.4</v>
      </c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29.4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31.799999999999994</v>
      </c>
      <c r="AP35" s="23">
        <f t="shared" si="4"/>
        <v>0.72730414746543204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>
        <v>32.5</v>
      </c>
      <c r="V38" s="57">
        <v>31.8</v>
      </c>
      <c r="W38" s="57">
        <v>31.5</v>
      </c>
      <c r="X38" s="57">
        <v>26.4</v>
      </c>
      <c r="Y38" s="57">
        <v>31.6</v>
      </c>
      <c r="Z38" s="57">
        <v>29</v>
      </c>
      <c r="AA38" s="57">
        <v>29.8</v>
      </c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29.8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>
        <f>IF(COUNTIF(E38:AI38,"&gt;0")&gt;=15,AVERAGE(E38:AI38),"")</f>
        <v>30.056521739130428</v>
      </c>
      <c r="AP38" s="23">
        <f t="shared" si="4"/>
        <v>2.7495515737847143E-2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>
        <v>34.4</v>
      </c>
      <c r="V39" s="57">
        <v>30.2</v>
      </c>
      <c r="W39" s="57">
        <v>29</v>
      </c>
      <c r="X39" s="57">
        <v>32.4</v>
      </c>
      <c r="Y39" s="57">
        <v>33.1</v>
      </c>
      <c r="Z39" s="57">
        <v>32.4</v>
      </c>
      <c r="AA39" s="57">
        <v>31.2</v>
      </c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31.2</v>
      </c>
      <c r="AK39" s="21">
        <f t="shared" si="1"/>
        <v>34.4</v>
      </c>
      <c r="AL39" s="22">
        <v>37.4</v>
      </c>
      <c r="AM39" s="23">
        <f t="shared" si="2"/>
        <v>-3</v>
      </c>
      <c r="AN39" s="23">
        <v>30.843133110863921</v>
      </c>
      <c r="AO39" s="23">
        <f t="shared" ref="AO39:AO48" si="7">IF(COUNTIF(E39:AI39,"&gt;0")&gt;=15,AVERAGE(E39:AI39),"")</f>
        <v>31.395652173913046</v>
      </c>
      <c r="AP39" s="23">
        <f t="shared" si="4"/>
        <v>0.55251906304912524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>
        <v>31.7</v>
      </c>
      <c r="V40" s="57">
        <v>29.2</v>
      </c>
      <c r="W40" s="57">
        <v>30.2</v>
      </c>
      <c r="X40" s="57">
        <v>30.8</v>
      </c>
      <c r="Y40" s="57">
        <v>31.3</v>
      </c>
      <c r="Z40" s="57">
        <v>31.4</v>
      </c>
      <c r="AA40" s="57">
        <v>29.8</v>
      </c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29.8</v>
      </c>
      <c r="AK40" s="21">
        <f t="shared" si="1"/>
        <v>31.7</v>
      </c>
      <c r="AL40" s="22">
        <v>33.5</v>
      </c>
      <c r="AM40" s="23">
        <f t="shared" si="2"/>
        <v>-1.8000000000000007</v>
      </c>
      <c r="AN40" s="23">
        <v>28.947548387096781</v>
      </c>
      <c r="AO40" s="23">
        <f t="shared" si="7"/>
        <v>29.708695652173912</v>
      </c>
      <c r="AP40" s="23">
        <f t="shared" si="4"/>
        <v>0.76114726507713115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>
        <v>33.799999999999997</v>
      </c>
      <c r="V41" s="57">
        <v>29.6</v>
      </c>
      <c r="W41" s="57">
        <v>29.2</v>
      </c>
      <c r="X41" s="57">
        <v>29.6</v>
      </c>
      <c r="Y41" s="57">
        <v>32.6</v>
      </c>
      <c r="Z41" s="57">
        <v>32</v>
      </c>
      <c r="AA41" s="57">
        <v>27.2</v>
      </c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27.2</v>
      </c>
      <c r="AK41" s="21">
        <f t="shared" si="1"/>
        <v>33.799999999999997</v>
      </c>
      <c r="AL41" s="22">
        <v>34.4</v>
      </c>
      <c r="AM41" s="23">
        <f t="shared" si="2"/>
        <v>-0.60000000000000142</v>
      </c>
      <c r="AN41" s="23">
        <v>29.366308243727591</v>
      </c>
      <c r="AO41" s="23">
        <f t="shared" si="7"/>
        <v>30.382608695652181</v>
      </c>
      <c r="AP41" s="23">
        <f t="shared" si="4"/>
        <v>1.0163004519245895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>
        <v>32.4</v>
      </c>
      <c r="V43" s="57">
        <v>31.2</v>
      </c>
      <c r="W43" s="57">
        <v>26.6</v>
      </c>
      <c r="X43" s="57">
        <v>32.200000000000003</v>
      </c>
      <c r="Y43" s="57">
        <v>33</v>
      </c>
      <c r="Z43" s="57">
        <v>31.2</v>
      </c>
      <c r="AA43" s="57">
        <v>32.4</v>
      </c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32.4</v>
      </c>
      <c r="AK43" s="21">
        <f t="shared" si="1"/>
        <v>33.200000000000003</v>
      </c>
      <c r="AL43" s="22">
        <v>34.200000000000003</v>
      </c>
      <c r="AM43" s="23">
        <f t="shared" si="2"/>
        <v>-1</v>
      </c>
      <c r="AN43" s="23">
        <v>30.061061827956991</v>
      </c>
      <c r="AO43" s="23">
        <f t="shared" si="7"/>
        <v>31</v>
      </c>
      <c r="AP43" s="23">
        <f t="shared" si="4"/>
        <v>0.93893817204300944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>
        <v>31.4</v>
      </c>
      <c r="V44" s="29">
        <v>31.1</v>
      </c>
      <c r="W44" s="29">
        <v>30.3</v>
      </c>
      <c r="X44" s="29">
        <v>31.4</v>
      </c>
      <c r="Y44" s="29">
        <v>30.4</v>
      </c>
      <c r="Z44" s="29">
        <v>31.2</v>
      </c>
      <c r="AA44" s="29">
        <v>31.1</v>
      </c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31.1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31.140909090909087</v>
      </c>
      <c r="AP44" s="23">
        <f t="shared" si="4"/>
        <v>2.0977218855486264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>
        <v>32.799999999999997</v>
      </c>
      <c r="V45" s="57">
        <v>29.8</v>
      </c>
      <c r="W45" s="57">
        <v>27.2</v>
      </c>
      <c r="X45" s="57">
        <v>31.6</v>
      </c>
      <c r="Y45" s="57">
        <v>31.6</v>
      </c>
      <c r="Z45" s="57">
        <v>30.4</v>
      </c>
      <c r="AA45" s="57">
        <v>30.6</v>
      </c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30.6</v>
      </c>
      <c r="AK45" s="21">
        <f t="shared" si="1"/>
        <v>32.799999999999997</v>
      </c>
      <c r="AL45" s="22">
        <v>34.200000000000003</v>
      </c>
      <c r="AM45" s="23">
        <f t="shared" si="2"/>
        <v>-1.4000000000000057</v>
      </c>
      <c r="AN45" s="23">
        <v>29.54581639287883</v>
      </c>
      <c r="AO45" s="23">
        <f t="shared" si="7"/>
        <v>30.382608695652181</v>
      </c>
      <c r="AP45" s="23">
        <f t="shared" si="4"/>
        <v>0.83679230277335037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>
        <v>32.799999999999997</v>
      </c>
      <c r="V48" s="57">
        <v>32.9</v>
      </c>
      <c r="W48" s="57">
        <v>32.9</v>
      </c>
      <c r="X48" s="57">
        <v>32.299999999999997</v>
      </c>
      <c r="Y48" s="57">
        <v>32.799999999999997</v>
      </c>
      <c r="Z48" s="57">
        <v>32.6</v>
      </c>
      <c r="AA48" s="57">
        <v>33.200000000000003</v>
      </c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33.200000000000003</v>
      </c>
      <c r="AK48" s="21">
        <f t="shared" si="1"/>
        <v>33.200000000000003</v>
      </c>
      <c r="AL48" s="22">
        <v>35.200000000000003</v>
      </c>
      <c r="AM48" s="23">
        <f t="shared" si="2"/>
        <v>-2</v>
      </c>
      <c r="AN48" s="23">
        <v>30.34253285543608</v>
      </c>
      <c r="AO48" s="23">
        <f t="shared" si="7"/>
        <v>30.804347826086957</v>
      </c>
      <c r="AP48" s="23">
        <f t="shared" si="4"/>
        <v>0.4618149706508774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2" t="s">
        <v>123</v>
      </c>
      <c r="I1" s="73"/>
      <c r="J1" s="74"/>
      <c r="K1" s="69" t="s">
        <v>124</v>
      </c>
      <c r="L1" s="70"/>
      <c r="M1" s="71"/>
      <c r="N1" s="72" t="s">
        <v>125</v>
      </c>
      <c r="O1" s="73"/>
      <c r="P1" s="74"/>
      <c r="Q1" s="69" t="s">
        <v>126</v>
      </c>
      <c r="R1" s="70"/>
      <c r="S1" s="71"/>
      <c r="T1" s="72" t="s">
        <v>127</v>
      </c>
      <c r="U1" s="73"/>
      <c r="V1" s="74"/>
      <c r="W1" s="69" t="s">
        <v>128</v>
      </c>
      <c r="X1" s="70"/>
      <c r="Y1" s="71"/>
      <c r="Z1" s="72" t="s">
        <v>129</v>
      </c>
      <c r="AA1" s="73"/>
      <c r="AB1" s="74"/>
      <c r="AC1" s="69" t="s">
        <v>130</v>
      </c>
      <c r="AD1" s="70"/>
      <c r="AE1" s="71"/>
      <c r="AF1" s="72" t="s">
        <v>131</v>
      </c>
      <c r="AG1" s="73"/>
      <c r="AH1" s="74"/>
      <c r="AI1" s="69" t="s">
        <v>132</v>
      </c>
      <c r="AJ1" s="70"/>
      <c r="AK1" s="71"/>
      <c r="AL1" s="72" t="s">
        <v>133</v>
      </c>
      <c r="AM1" s="73"/>
      <c r="AN1" s="74"/>
      <c r="AO1" s="69" t="s">
        <v>134</v>
      </c>
      <c r="AP1" s="70"/>
      <c r="AQ1" s="71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93</v>
      </c>
      <c r="C1" s="68" t="s">
        <v>94</v>
      </c>
      <c r="D1" s="75" t="s">
        <v>95</v>
      </c>
      <c r="E1" s="75" t="s">
        <v>96</v>
      </c>
      <c r="F1" s="75" t="s">
        <v>97</v>
      </c>
      <c r="G1" s="75" t="s">
        <v>98</v>
      </c>
      <c r="H1" s="75" t="s">
        <v>99</v>
      </c>
      <c r="I1" s="75" t="s">
        <v>100</v>
      </c>
      <c r="J1" s="75" t="s">
        <v>101</v>
      </c>
      <c r="K1" s="75" t="s">
        <v>102</v>
      </c>
      <c r="L1" s="75" t="s">
        <v>103</v>
      </c>
      <c r="M1" s="75" t="s">
        <v>104</v>
      </c>
      <c r="N1" s="75" t="s">
        <v>105</v>
      </c>
      <c r="O1" s="75" t="s">
        <v>106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2026-07-24T13:37:02Z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