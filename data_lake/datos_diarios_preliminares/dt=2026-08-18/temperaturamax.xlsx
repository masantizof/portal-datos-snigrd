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D0AB614-1E8A-44A6-8AA3-10435A7E3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Temperatura!$AA$1:$AA$288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S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Q281" i="1"/>
  <c r="AS281" i="1" s="1"/>
  <c r="AP281" i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S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/>
  <c r="AT273" i="1"/>
  <c r="AR273" i="1"/>
  <c r="AP273" i="1"/>
  <c r="AQ273" i="1" s="1"/>
  <c r="AS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R266" i="1"/>
  <c r="AS266" i="1" s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S264" i="1" s="1"/>
  <c r="AV263" i="1" a="1"/>
  <c r="AV263" i="1" s="1"/>
  <c r="AU263" i="1" a="1"/>
  <c r="AU263" i="1"/>
  <c r="AT263" i="1"/>
  <c r="AR263" i="1"/>
  <c r="AQ263" i="1"/>
  <c r="AP263" i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/>
  <c r="AT255" i="1"/>
  <c r="AR255" i="1"/>
  <c r="AQ255" i="1"/>
  <c r="AS255" i="1" s="1"/>
  <c r="AP255" i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W253" i="1" s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Q251" i="1"/>
  <c r="AP251" i="1"/>
  <c r="AV250" i="1" a="1"/>
  <c r="AV250" i="1" s="1"/>
  <c r="AU250" i="1" a="1"/>
  <c r="AU250" i="1" s="1"/>
  <c r="AT250" i="1"/>
  <c r="AR250" i="1"/>
  <c r="AS250" i="1" s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/>
  <c r="AT247" i="1"/>
  <c r="AR247" i="1"/>
  <c r="AQ247" i="1"/>
  <c r="AP247" i="1"/>
  <c r="AV246" i="1" a="1"/>
  <c r="AV246" i="1" s="1"/>
  <c r="AU246" i="1" a="1"/>
  <c r="AU246" i="1" s="1"/>
  <c r="AT246" i="1"/>
  <c r="AR246" i="1"/>
  <c r="AP246" i="1"/>
  <c r="AQ246" i="1" s="1"/>
  <c r="AS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Q235" i="1"/>
  <c r="AP235" i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Q233" i="1"/>
  <c r="AS233" i="1" s="1"/>
  <c r="AP233" i="1"/>
  <c r="AV232" i="1" a="1"/>
  <c r="AV232" i="1" s="1"/>
  <c r="AU232" i="1" a="1"/>
  <c r="AU232" i="1" s="1"/>
  <c r="AT232" i="1"/>
  <c r="AR232" i="1"/>
  <c r="AP232" i="1"/>
  <c r="AQ232" i="1" s="1"/>
  <c r="AS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S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S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W220" i="1" s="1"/>
  <c r="AR220" i="1"/>
  <c r="AP220" i="1"/>
  <c r="AQ220" i="1" s="1"/>
  <c r="AV219" i="1" a="1"/>
  <c r="AV219" i="1" s="1"/>
  <c r="AU219" i="1" a="1"/>
  <c r="AU219" i="1" s="1"/>
  <c r="AT219" i="1"/>
  <c r="AR219" i="1"/>
  <c r="AQ219" i="1"/>
  <c r="AP219" i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W209" i="1" s="1"/>
  <c r="AS209" i="1"/>
  <c r="AR209" i="1"/>
  <c r="AQ209" i="1"/>
  <c r="AP209" i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W205" i="1" s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W200" i="1" s="1"/>
  <c r="AR200" i="1"/>
  <c r="AP200" i="1"/>
  <c r="AQ200" i="1" s="1"/>
  <c r="AV199" i="1" a="1"/>
  <c r="AV199" i="1" s="1"/>
  <c r="AU199" i="1" a="1"/>
  <c r="AU199" i="1" s="1"/>
  <c r="AT199" i="1"/>
  <c r="AR199" i="1"/>
  <c r="AQ199" i="1"/>
  <c r="AP199" i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Q191" i="1"/>
  <c r="AP191" i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Q185" i="1"/>
  <c r="AS185" i="1" s="1"/>
  <c r="AP185" i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Q183" i="1"/>
  <c r="AP183" i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W181" i="1" s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S178" i="1"/>
  <c r="AR178" i="1"/>
  <c r="AP178" i="1"/>
  <c r="AQ178" i="1" s="1"/>
  <c r="AV177" i="1" a="1"/>
  <c r="AV177" i="1" s="1"/>
  <c r="AU177" i="1" a="1"/>
  <c r="AU177" i="1" s="1"/>
  <c r="AT177" i="1"/>
  <c r="AR177" i="1"/>
  <c r="AQ177" i="1"/>
  <c r="AP177" i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S172" i="1" s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Q167" i="1"/>
  <c r="AP167" i="1"/>
  <c r="AV166" i="1" a="1"/>
  <c r="AV166" i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W162" i="1" s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W152" i="1" s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Q151" i="1"/>
  <c r="AS151" i="1" s="1"/>
  <c r="AP151" i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Q147" i="1"/>
  <c r="AP147" i="1"/>
  <c r="AV146" i="1" a="1"/>
  <c r="AV146" i="1" s="1"/>
  <c r="AU146" i="1" a="1"/>
  <c r="AU146" i="1" s="1"/>
  <c r="AT146" i="1"/>
  <c r="AW146" i="1" s="1"/>
  <c r="AR146" i="1"/>
  <c r="AS146" i="1" s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W133" i="1" s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Q129" i="1"/>
  <c r="AS129" i="1" s="1"/>
  <c r="AP129" i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/>
  <c r="AT127" i="1"/>
  <c r="AW127" i="1" s="1"/>
  <c r="AR127" i="1"/>
  <c r="AP127" i="1"/>
  <c r="AQ127" i="1" s="1"/>
  <c r="AV126" i="1" a="1"/>
  <c r="AV126" i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W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W115" i="1" s="1"/>
  <c r="AR115" i="1"/>
  <c r="AP115" i="1"/>
  <c r="AQ115" i="1" s="1"/>
  <c r="AV114" i="1" a="1"/>
  <c r="AV114" i="1" s="1"/>
  <c r="AU114" i="1" a="1"/>
  <c r="AU114" i="1" s="1"/>
  <c r="AT114" i="1"/>
  <c r="AR114" i="1"/>
  <c r="AQ114" i="1"/>
  <c r="AS114" i="1" s="1"/>
  <c r="AP114" i="1"/>
  <c r="AV113" i="1" a="1"/>
  <c r="AV113" i="1" s="1"/>
  <c r="AU113" i="1" a="1"/>
  <c r="AU113" i="1" s="1"/>
  <c r="AT113" i="1"/>
  <c r="AW113" i="1" s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W111" i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W109" i="1" s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W101" i="1" s="1"/>
  <c r="AT101" i="1"/>
  <c r="AR101" i="1"/>
  <c r="AP101" i="1"/>
  <c r="AQ101" i="1" s="1"/>
  <c r="AV100" i="1" a="1"/>
  <c r="AV100" i="1" s="1"/>
  <c r="AU100" i="1" a="1"/>
  <c r="AU100" i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W93" i="1" s="1"/>
  <c r="AT93" i="1"/>
  <c r="AR93" i="1"/>
  <c r="AP93" i="1"/>
  <c r="AQ93" i="1" s="1"/>
  <c r="AV92" i="1" a="1"/>
  <c r="AV92" i="1" s="1"/>
  <c r="AU92" i="1" a="1"/>
  <c r="AU92" i="1" s="1"/>
  <c r="AT92" i="1"/>
  <c r="AW92" i="1" s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W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Q77" i="1"/>
  <c r="AP77" i="1"/>
  <c r="AV76" i="1" a="1"/>
  <c r="AV76" i="1" s="1"/>
  <c r="AU76" i="1" a="1"/>
  <c r="AU76" i="1" s="1"/>
  <c r="AW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W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W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W63" i="1" s="1"/>
  <c r="AR63" i="1"/>
  <c r="AP63" i="1"/>
  <c r="AQ63" i="1" s="1"/>
  <c r="AV62" i="1" a="1"/>
  <c r="AV62" i="1" s="1"/>
  <c r="AU62" i="1" a="1"/>
  <c r="AU62" i="1"/>
  <c r="AT62" i="1"/>
  <c r="AW62" i="1" s="1"/>
  <c r="AR62" i="1"/>
  <c r="AP62" i="1"/>
  <c r="AQ62" i="1" s="1"/>
  <c r="AS62" i="1" s="1"/>
  <c r="AV61" i="1" a="1"/>
  <c r="AV61" i="1" s="1"/>
  <c r="AU61" i="1" a="1"/>
  <c r="AU61" i="1" s="1"/>
  <c r="AT61" i="1"/>
  <c r="AR61" i="1"/>
  <c r="AQ61" i="1"/>
  <c r="AS61" i="1" s="1"/>
  <c r="AP61" i="1"/>
  <c r="AV60" i="1" a="1"/>
  <c r="AV60" i="1" s="1"/>
  <c r="AU60" i="1" a="1"/>
  <c r="AU60" i="1" s="1"/>
  <c r="AW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W59" i="1" s="1"/>
  <c r="AR59" i="1"/>
  <c r="AP59" i="1"/>
  <c r="AQ59" i="1" s="1"/>
  <c r="AS59" i="1" s="1"/>
  <c r="AV58" i="1" a="1"/>
  <c r="AV58" i="1" s="1"/>
  <c r="AU58" i="1" a="1"/>
  <c r="AU58" i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W51" i="1" s="1"/>
  <c r="AT51" i="1"/>
  <c r="AR51" i="1"/>
  <c r="AQ51" i="1"/>
  <c r="AS51" i="1" s="1"/>
  <c r="AP51" i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/>
  <c r="AT44" i="1"/>
  <c r="AW44" i="1" s="1"/>
  <c r="AR44" i="1"/>
  <c r="AP44" i="1"/>
  <c r="AQ44" i="1" s="1"/>
  <c r="AV43" i="1" a="1"/>
  <c r="AV43" i="1"/>
  <c r="AU43" i="1" a="1"/>
  <c r="AU43" i="1" s="1"/>
  <c r="AT43" i="1"/>
  <c r="AR43" i="1"/>
  <c r="AP43" i="1"/>
  <c r="AQ43" i="1" s="1"/>
  <c r="AV42" i="1" a="1"/>
  <c r="AV42" i="1" s="1"/>
  <c r="AU42" i="1" a="1"/>
  <c r="AU42" i="1"/>
  <c r="AT42" i="1"/>
  <c r="AR42" i="1"/>
  <c r="AP42" i="1"/>
  <c r="AQ42" i="1" s="1"/>
  <c r="AV41" i="1" a="1"/>
  <c r="AV41" i="1"/>
  <c r="AU41" i="1" a="1"/>
  <c r="AU41" i="1" s="1"/>
  <c r="AT41" i="1"/>
  <c r="AW41" i="1" s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Q39" i="1"/>
  <c r="AP39" i="1"/>
  <c r="AV38" i="1" a="1"/>
  <c r="AV38" i="1" s="1"/>
  <c r="AU38" i="1" a="1"/>
  <c r="AU38" i="1"/>
  <c r="AT38" i="1"/>
  <c r="AW38" i="1" s="1"/>
  <c r="AR38" i="1"/>
  <c r="AP38" i="1"/>
  <c r="AQ38" i="1" s="1"/>
  <c r="AS38" i="1" s="1"/>
  <c r="AW37" i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/>
  <c r="AU32" i="1" a="1"/>
  <c r="AU32" i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Q30" i="1"/>
  <c r="AP30" i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W26" i="1" s="1"/>
  <c r="AT26" i="1"/>
  <c r="AR26" i="1"/>
  <c r="AP26" i="1"/>
  <c r="AQ26" i="1" s="1"/>
  <c r="AS26" i="1" s="1"/>
  <c r="AV25" i="1" a="1"/>
  <c r="AV25" i="1" s="1"/>
  <c r="AU25" i="1" a="1"/>
  <c r="AU25" i="1"/>
  <c r="AT25" i="1"/>
  <c r="AW25" i="1" s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/>
  <c r="AU23" i="1" a="1"/>
  <c r="AU23" i="1" s="1"/>
  <c r="AT23" i="1"/>
  <c r="AR23" i="1"/>
  <c r="AP23" i="1"/>
  <c r="AQ23" i="1" s="1"/>
  <c r="AV22" i="1" a="1"/>
  <c r="AV22" i="1" s="1"/>
  <c r="AU22" i="1" a="1"/>
  <c r="AU22" i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/>
  <c r="AW20" i="1" s="1"/>
  <c r="AT20" i="1"/>
  <c r="AR20" i="1"/>
  <c r="AP20" i="1"/>
  <c r="AQ20" i="1" s="1"/>
  <c r="AV19" i="1" a="1"/>
  <c r="AV19" i="1"/>
  <c r="AU19" i="1" a="1"/>
  <c r="AU19" i="1"/>
  <c r="AT19" i="1"/>
  <c r="AR19" i="1"/>
  <c r="AP19" i="1"/>
  <c r="AQ19" i="1" s="1"/>
  <c r="AV18" i="1" a="1"/>
  <c r="AV18" i="1" s="1"/>
  <c r="AU18" i="1" a="1"/>
  <c r="AU18" i="1" s="1"/>
  <c r="AW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/>
  <c r="AU13" i="1" a="1"/>
  <c r="AU13" i="1"/>
  <c r="AT13" i="1"/>
  <c r="AW13" i="1" s="1"/>
  <c r="AR13" i="1"/>
  <c r="AP13" i="1"/>
  <c r="AQ13" i="1" s="1"/>
  <c r="AS13" i="1" s="1"/>
  <c r="AV12" i="1" a="1"/>
  <c r="AV12" i="1" s="1"/>
  <c r="AU12" i="1" a="1"/>
  <c r="AU12" i="1" s="1"/>
  <c r="AW12" i="1" s="1"/>
  <c r="AT12" i="1"/>
  <c r="AR12" i="1"/>
  <c r="AP12" i="1"/>
  <c r="AQ12" i="1" s="1"/>
  <c r="AS12" i="1" s="1"/>
  <c r="AV11" i="1" a="1"/>
  <c r="AV11" i="1"/>
  <c r="AU11" i="1" a="1"/>
  <c r="AU11" i="1"/>
  <c r="AT11" i="1"/>
  <c r="AR11" i="1"/>
  <c r="AP11" i="1"/>
  <c r="AQ11" i="1" s="1"/>
  <c r="AS11" i="1" s="1"/>
  <c r="AV10" i="1" a="1"/>
  <c r="AV10" i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/>
  <c r="AU8" i="1" a="1"/>
  <c r="AU8" i="1"/>
  <c r="AT8" i="1"/>
  <c r="AR8" i="1"/>
  <c r="AP8" i="1"/>
  <c r="AQ8" i="1" s="1"/>
  <c r="AV7" i="1" a="1"/>
  <c r="AV7" i="1"/>
  <c r="AU7" i="1" a="1"/>
  <c r="AU7" i="1" s="1"/>
  <c r="AT7" i="1"/>
  <c r="AR7" i="1"/>
  <c r="AP7" i="1"/>
  <c r="AQ7" i="1" s="1"/>
  <c r="AV6" i="1" a="1"/>
  <c r="AV6" i="1" s="1"/>
  <c r="AU6" i="1" a="1"/>
  <c r="AU6" i="1"/>
  <c r="AT6" i="1"/>
  <c r="AR6" i="1"/>
  <c r="AQ6" i="1"/>
  <c r="AP6" i="1"/>
  <c r="AV5" i="1" a="1"/>
  <c r="AV5" i="1"/>
  <c r="AU5" i="1" a="1"/>
  <c r="AU5" i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9" i="1" l="1"/>
  <c r="AS16" i="1"/>
  <c r="AW21" i="1"/>
  <c r="AS150" i="1"/>
  <c r="AW176" i="1"/>
  <c r="AW206" i="1"/>
  <c r="AW221" i="1"/>
  <c r="AS9" i="1"/>
  <c r="AW33" i="1"/>
  <c r="AS37" i="1"/>
  <c r="AW54" i="1"/>
  <c r="AW58" i="1"/>
  <c r="AS80" i="1"/>
  <c r="AW91" i="1"/>
  <c r="AS99" i="1"/>
  <c r="AS210" i="1"/>
  <c r="AS271" i="1"/>
  <c r="AW40" i="1"/>
  <c r="AW116" i="1"/>
  <c r="AS124" i="1"/>
  <c r="AS154" i="1"/>
  <c r="AW180" i="1"/>
  <c r="AW199" i="1"/>
  <c r="AW210" i="1"/>
  <c r="AS218" i="1"/>
  <c r="AS44" i="1"/>
  <c r="AS66" i="1"/>
  <c r="AS110" i="1"/>
  <c r="AW154" i="1"/>
  <c r="AW173" i="1"/>
  <c r="AS177" i="1"/>
  <c r="AS207" i="1"/>
  <c r="AW237" i="1"/>
  <c r="AS256" i="1"/>
  <c r="AS279" i="1"/>
  <c r="AW84" i="1"/>
  <c r="AW88" i="1"/>
  <c r="AS92" i="1"/>
  <c r="AS117" i="1"/>
  <c r="AS234" i="1"/>
  <c r="AW245" i="1"/>
  <c r="AW117" i="1"/>
  <c r="AS125" i="1"/>
  <c r="AS253" i="1"/>
  <c r="AS272" i="1"/>
  <c r="AS25" i="1"/>
  <c r="AS85" i="1"/>
  <c r="AS89" i="1"/>
  <c r="AS140" i="1"/>
  <c r="AW144" i="1"/>
  <c r="AS242" i="1"/>
  <c r="AW219" i="1"/>
  <c r="AS29" i="1"/>
  <c r="AW100" i="1"/>
  <c r="AS148" i="1"/>
  <c r="AS212" i="1"/>
  <c r="AW261" i="1"/>
  <c r="AS32" i="1"/>
  <c r="AW56" i="1"/>
  <c r="AW29" i="1"/>
  <c r="AW82" i="1"/>
  <c r="AW108" i="1"/>
  <c r="AW66" i="1"/>
  <c r="AS20" i="1"/>
  <c r="AS8" i="1"/>
  <c r="AS39" i="1"/>
  <c r="AW42" i="1"/>
  <c r="AS68" i="1"/>
  <c r="AS75" i="1"/>
  <c r="AS101" i="1"/>
  <c r="AW126" i="1"/>
  <c r="AS164" i="1"/>
  <c r="AS190" i="1"/>
  <c r="AW235" i="1"/>
  <c r="AW273" i="1"/>
  <c r="AW34" i="1"/>
  <c r="AW10" i="1"/>
  <c r="AS149" i="1"/>
  <c r="AW5" i="1"/>
  <c r="AW39" i="1"/>
  <c r="AW53" i="1"/>
  <c r="AW57" i="1"/>
  <c r="AW75" i="1"/>
  <c r="AS94" i="1"/>
  <c r="AS98" i="1"/>
  <c r="AS105" i="1"/>
  <c r="AW164" i="1"/>
  <c r="AS213" i="1"/>
  <c r="AW277" i="1"/>
  <c r="AW28" i="1"/>
  <c r="AW17" i="1"/>
  <c r="AS157" i="1"/>
  <c r="AS202" i="1"/>
  <c r="AS217" i="1"/>
  <c r="AS21" i="1"/>
  <c r="AS27" i="1"/>
  <c r="AS43" i="1"/>
  <c r="AW46" i="1"/>
  <c r="AW79" i="1"/>
  <c r="AW94" i="1"/>
  <c r="AS30" i="1"/>
  <c r="AS33" i="1"/>
  <c r="AS54" i="1"/>
  <c r="AW119" i="1"/>
  <c r="AW142" i="1"/>
  <c r="AS165" i="1"/>
  <c r="AS244" i="1"/>
  <c r="AW251" i="1"/>
  <c r="AS259" i="1"/>
  <c r="AS274" i="1"/>
  <c r="AS278" i="1"/>
  <c r="AW107" i="1"/>
  <c r="AW110" i="1"/>
  <c r="AW123" i="1"/>
  <c r="AS265" i="1"/>
  <c r="AW16" i="1"/>
  <c r="AW24" i="1"/>
  <c r="AW32" i="1"/>
  <c r="AW48" i="1"/>
  <c r="AW78" i="1"/>
  <c r="AW81" i="1"/>
  <c r="AW166" i="1"/>
  <c r="AW187" i="1"/>
  <c r="AS258" i="1"/>
  <c r="AS262" i="1"/>
  <c r="AW265" i="1"/>
  <c r="AS269" i="1"/>
  <c r="AS48" i="1"/>
  <c r="AW8" i="1"/>
  <c r="AW11" i="1"/>
  <c r="AW19" i="1"/>
  <c r="AW27" i="1"/>
  <c r="AW35" i="1"/>
  <c r="AS55" i="1"/>
  <c r="AS138" i="1"/>
  <c r="AW138" i="1"/>
  <c r="AS156" i="1"/>
  <c r="AW55" i="1"/>
  <c r="AS72" i="1"/>
  <c r="AW98" i="1"/>
  <c r="AW163" i="1"/>
  <c r="AS170" i="1"/>
  <c r="AS188" i="1"/>
  <c r="AW212" i="1"/>
  <c r="AW255" i="1"/>
  <c r="AS280" i="1"/>
  <c r="AW15" i="1"/>
  <c r="AS41" i="1"/>
  <c r="AW72" i="1"/>
  <c r="AW95" i="1"/>
  <c r="AW104" i="1"/>
  <c r="AW149" i="1"/>
  <c r="AW160" i="1"/>
  <c r="AS174" i="1"/>
  <c r="AS199" i="1"/>
  <c r="AS238" i="1"/>
  <c r="AW23" i="1"/>
  <c r="AS6" i="1"/>
  <c r="AS22" i="1"/>
  <c r="AS153" i="1"/>
  <c r="AS167" i="1"/>
  <c r="AW227" i="1"/>
  <c r="AS231" i="1"/>
  <c r="AS270" i="1"/>
  <c r="AS287" i="1"/>
  <c r="AW14" i="1"/>
  <c r="AS79" i="1"/>
  <c r="AP2" i="1"/>
  <c r="AW9" i="1"/>
  <c r="AW45" i="1"/>
  <c r="AW52" i="1"/>
  <c r="AW69" i="1"/>
  <c r="AW114" i="1"/>
  <c r="AS36" i="1"/>
  <c r="AS121" i="1"/>
  <c r="AS42" i="1"/>
  <c r="AW6" i="1"/>
  <c r="AW22" i="1"/>
  <c r="AW30" i="1"/>
  <c r="AS56" i="1"/>
  <c r="AS73" i="1"/>
  <c r="AS86" i="1"/>
  <c r="AW89" i="1"/>
  <c r="AS115" i="1"/>
  <c r="AS132" i="1"/>
  <c r="AW139" i="1"/>
  <c r="AW157" i="1"/>
  <c r="AW192" i="1"/>
  <c r="AS196" i="1"/>
  <c r="AS228" i="1"/>
  <c r="AS284" i="1"/>
  <c r="AW49" i="1"/>
  <c r="AS7" i="1"/>
  <c r="AS15" i="1"/>
  <c r="AS23" i="1"/>
  <c r="AS31" i="1"/>
  <c r="AW36" i="1"/>
  <c r="AS63" i="1"/>
  <c r="AS70" i="1"/>
  <c r="AW99" i="1"/>
  <c r="AS102" i="1"/>
  <c r="AW105" i="1"/>
  <c r="AW125" i="1"/>
  <c r="AW143" i="1"/>
  <c r="AS249" i="1"/>
  <c r="AS53" i="1"/>
  <c r="AS93" i="1"/>
  <c r="AS109" i="1"/>
  <c r="AW171" i="1"/>
  <c r="AW217" i="1"/>
  <c r="AW249" i="1"/>
  <c r="AS260" i="1"/>
  <c r="AW136" i="1"/>
  <c r="AS158" i="1"/>
  <c r="AS168" i="1"/>
  <c r="AW189" i="1"/>
  <c r="AW203" i="1"/>
  <c r="AS214" i="1"/>
  <c r="AW43" i="1"/>
  <c r="AS57" i="1"/>
  <c r="AW83" i="1"/>
  <c r="AS90" i="1"/>
  <c r="AW96" i="1"/>
  <c r="AS122" i="1"/>
  <c r="AW281" i="1"/>
  <c r="AW102" i="1"/>
  <c r="AS47" i="1"/>
  <c r="AW50" i="1"/>
  <c r="AW67" i="1"/>
  <c r="AS77" i="1"/>
  <c r="AS87" i="1"/>
  <c r="AS100" i="1"/>
  <c r="AW112" i="1"/>
  <c r="AW122" i="1"/>
  <c r="AW147" i="1"/>
  <c r="AW168" i="1"/>
  <c r="AS186" i="1"/>
  <c r="AS193" i="1"/>
  <c r="AS197" i="1"/>
  <c r="AW214" i="1"/>
  <c r="AS225" i="1"/>
  <c r="AW239" i="1"/>
  <c r="AS285" i="1"/>
  <c r="AW73" i="1"/>
  <c r="AW86" i="1"/>
  <c r="AS5" i="1"/>
  <c r="AW90" i="1"/>
  <c r="AW186" i="1"/>
  <c r="AS222" i="1"/>
  <c r="AW47" i="1"/>
  <c r="AS64" i="1"/>
  <c r="AW77" i="1"/>
  <c r="AW87" i="1"/>
  <c r="AS103" i="1"/>
  <c r="AW106" i="1"/>
  <c r="AW218" i="1"/>
  <c r="AS261" i="1"/>
  <c r="AS268" i="1"/>
  <c r="AW7" i="1"/>
  <c r="AW31" i="1"/>
  <c r="AS141" i="1"/>
  <c r="AS159" i="1"/>
  <c r="AW179" i="1"/>
  <c r="AW236" i="1"/>
  <c r="AW257" i="1"/>
  <c r="AS58" i="1"/>
  <c r="AW64" i="1"/>
  <c r="AW97" i="1"/>
  <c r="AW103" i="1"/>
  <c r="AS107" i="1"/>
  <c r="AS130" i="1"/>
  <c r="AW61" i="1"/>
  <c r="AW68" i="1"/>
  <c r="AS78" i="1"/>
  <c r="AS88" i="1"/>
  <c r="AS127" i="1"/>
  <c r="AW130" i="1"/>
  <c r="AW141" i="1"/>
  <c r="AW155" i="1"/>
  <c r="AW159" i="1"/>
  <c r="AS166" i="1"/>
  <c r="AS194" i="1"/>
  <c r="AS208" i="1"/>
  <c r="AS226" i="1"/>
  <c r="AS230" i="1"/>
  <c r="AW247" i="1"/>
  <c r="AS286" i="1"/>
  <c r="AW121" i="1"/>
  <c r="AW70" i="1"/>
  <c r="AW74" i="1"/>
  <c r="AW191" i="1"/>
  <c r="AW165" i="1"/>
  <c r="AW198" i="1"/>
  <c r="AW201" i="1"/>
  <c r="AW211" i="1"/>
  <c r="AS252" i="1"/>
  <c r="AW188" i="1"/>
  <c r="AS205" i="1"/>
  <c r="AW208" i="1"/>
  <c r="AS215" i="1"/>
  <c r="AW228" i="1"/>
  <c r="AS235" i="1"/>
  <c r="AW269" i="1"/>
  <c r="AS276" i="1"/>
  <c r="AW175" i="1"/>
  <c r="AW178" i="1"/>
  <c r="AS182" i="1"/>
  <c r="AS195" i="1"/>
  <c r="AW215" i="1"/>
  <c r="AW124" i="1"/>
  <c r="AW140" i="1"/>
  <c r="AW156" i="1"/>
  <c r="AW172" i="1"/>
  <c r="AW182" i="1"/>
  <c r="AW185" i="1"/>
  <c r="AW195" i="1"/>
  <c r="AW222" i="1"/>
  <c r="AW225" i="1"/>
  <c r="AS229" i="1"/>
  <c r="AW232" i="1"/>
  <c r="AW259" i="1"/>
  <c r="AS263" i="1"/>
  <c r="AW134" i="1"/>
  <c r="AW137" i="1"/>
  <c r="AW150" i="1"/>
  <c r="AW153" i="1"/>
  <c r="AW169" i="1"/>
  <c r="AS128" i="1"/>
  <c r="AS131" i="1"/>
  <c r="AS144" i="1"/>
  <c r="AS147" i="1"/>
  <c r="AS160" i="1"/>
  <c r="AS163" i="1"/>
  <c r="AS176" i="1"/>
  <c r="AS179" i="1"/>
  <c r="AW202" i="1"/>
  <c r="AS206" i="1"/>
  <c r="AS219" i="1"/>
  <c r="AW229" i="1"/>
  <c r="AS236" i="1"/>
  <c r="AW263" i="1"/>
  <c r="AS277" i="1"/>
  <c r="AW128" i="1"/>
  <c r="AW131" i="1"/>
  <c r="AS183" i="1"/>
  <c r="AW196" i="1"/>
  <c r="AW216" i="1"/>
  <c r="AW226" i="1"/>
  <c r="AW243" i="1"/>
  <c r="AS247" i="1"/>
  <c r="AS254" i="1"/>
  <c r="AS180" i="1"/>
  <c r="AW183" i="1"/>
  <c r="AS200" i="1"/>
  <c r="AW213" i="1"/>
  <c r="AS220" i="1"/>
  <c r="AW223" i="1"/>
  <c r="AW230" i="1"/>
  <c r="AW233" i="1"/>
  <c r="AS237" i="1"/>
  <c r="AW240" i="1"/>
  <c r="AW167" i="1"/>
  <c r="AW170" i="1"/>
  <c r="AW190" i="1"/>
  <c r="AW193" i="1"/>
  <c r="AW135" i="1"/>
  <c r="AW151" i="1"/>
  <c r="AS126" i="1"/>
  <c r="AS142" i="1"/>
  <c r="AW132" i="1"/>
  <c r="AW148" i="1"/>
  <c r="AW158" i="1"/>
  <c r="AW161" i="1"/>
  <c r="AW174" i="1"/>
  <c r="AW177" i="1"/>
  <c r="AS184" i="1"/>
  <c r="AW197" i="1"/>
  <c r="AS204" i="1"/>
  <c r="AW207" i="1"/>
  <c r="AS224" i="1"/>
  <c r="AS251" i="1"/>
  <c r="AW285" i="1"/>
  <c r="AS123" i="1"/>
  <c r="AS136" i="1"/>
  <c r="AS139" i="1"/>
  <c r="AW184" i="1"/>
  <c r="AS191" i="1"/>
  <c r="AW204" i="1"/>
  <c r="AW224" i="1"/>
  <c r="AW129" i="1"/>
  <c r="AW145" i="1"/>
  <c r="AW194" i="1"/>
  <c r="AS198" i="1"/>
  <c r="AS211" i="1"/>
  <c r="AW231" i="1"/>
  <c r="AW238" i="1"/>
  <c r="AW241" i="1"/>
  <c r="AS245" i="1"/>
  <c r="AW244" i="1"/>
  <c r="AW252" i="1"/>
  <c r="AW260" i="1"/>
  <c r="AW268" i="1"/>
  <c r="AW276" i="1"/>
  <c r="AW284" i="1"/>
  <c r="AW271" i="1"/>
  <c r="AW279" i="1"/>
  <c r="AW287" i="1"/>
  <c r="AW234" i="1"/>
  <c r="AW242" i="1"/>
  <c r="AW250" i="1"/>
  <c r="AW258" i="1"/>
  <c r="AW266" i="1"/>
  <c r="AW274" i="1"/>
  <c r="AW282" i="1"/>
  <c r="AW120" i="1"/>
  <c r="AW248" i="1"/>
  <c r="AW256" i="1"/>
  <c r="AW264" i="1"/>
  <c r="AW272" i="1"/>
  <c r="AW280" i="1"/>
  <c r="AW288" i="1"/>
  <c r="AW267" i="1"/>
  <c r="AW275" i="1"/>
  <c r="AW283" i="1"/>
  <c r="AW246" i="1"/>
  <c r="AW254" i="1"/>
  <c r="AW262" i="1"/>
  <c r="AW270" i="1"/>
  <c r="AW278" i="1"/>
  <c r="AW28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<sst xmlns="http://schemas.openxmlformats.org/spreadsheetml/2006/main" count="3701" uniqueCount="1289">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</sst>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zoomScale="70" zoomScaleNormal="70" workbookViewId="0">
      <selection activeCell="AG8" sqref="AG8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69" width="32.42578125" style="51" customWidth="1"/>
    <col min="170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38.200000000000003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>
        <v>30.4</v>
      </c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17</v>
      </c>
      <c r="AQ5" s="68">
        <f t="shared" ref="AQ5:AQ68" si="2">IF(AP5&gt;14,AVERAGE(K5:AO5),"")</f>
        <v>31.71764705882353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1.2017035893993402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>
        <v>31.4</v>
      </c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17</v>
      </c>
      <c r="AQ6" s="68">
        <f t="shared" si="2"/>
        <v>31.841176470588234</v>
      </c>
      <c r="AR6" s="68">
        <f>IFERROR(VLOOKUP(A6,Climatologia_TMAX!A:U,9+$E$2,FALSE),"")</f>
        <v>31.046424304488809</v>
      </c>
      <c r="AS6" s="68">
        <f t="shared" si="3"/>
        <v>0.79475216609942478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>
        <v>30.2</v>
      </c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17</v>
      </c>
      <c r="AQ7" s="68">
        <f t="shared" si="2"/>
        <v>35.317647058823532</v>
      </c>
      <c r="AR7" s="68">
        <f>IFERROR(VLOOKUP(A7,Climatologia_TMAX!A:U,9+$E$2,FALSE),"")</f>
        <v>33.115285708400279</v>
      </c>
      <c r="AS7" s="68">
        <f t="shared" si="3"/>
        <v>2.2023613504232529</v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>
        <v>30.8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17</v>
      </c>
      <c r="AQ8" s="68">
        <f t="shared" si="2"/>
        <v>33.57058823529411</v>
      </c>
      <c r="AR8" s="68">
        <f>IFERROR(VLOOKUP(A8,Climatologia_TMAX!A:U,9+$E$2,FALSE),"")</f>
        <v>32.243805889046577</v>
      </c>
      <c r="AS8" s="68">
        <f t="shared" si="3"/>
        <v>1.3267823462475334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>
        <v>31</v>
      </c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17</v>
      </c>
      <c r="AQ9" s="68">
        <f t="shared" si="2"/>
        <v>34.811764705882354</v>
      </c>
      <c r="AR9" s="68">
        <f>IFERROR(VLOOKUP(A9,Climatologia_TMAX!A:U,9+$E$2,FALSE),"")</f>
        <v>33.507160697070823</v>
      </c>
      <c r="AS9" s="68">
        <f t="shared" si="3"/>
        <v>1.3046040088115305</v>
      </c>
      <c r="AT9" s="74">
        <f t="shared" si="4"/>
        <v>37.700000000000003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>
        <v>36.200000000000003</v>
      </c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17</v>
      </c>
      <c r="AQ10" s="68">
        <f t="shared" si="2"/>
        <v>36.858823529411765</v>
      </c>
      <c r="AR10" s="68">
        <f>IFERROR(VLOOKUP(A10,Climatologia_TMAX!A:U,9+$E$2,FALSE),"")</f>
        <v>35.037947033054557</v>
      </c>
      <c r="AS10" s="68">
        <f t="shared" si="3"/>
        <v>1.8208764963572079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>
        <v>38.200000000000003</v>
      </c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17</v>
      </c>
      <c r="AQ11" s="68">
        <f t="shared" si="2"/>
        <v>39.417647058823533</v>
      </c>
      <c r="AR11" s="68">
        <f>IFERROR(VLOOKUP(A11,Climatologia_TMAX!A:U,9+$E$2,FALSE),"")</f>
        <v>35.179462365591398</v>
      </c>
      <c r="AS11" s="68">
        <f t="shared" si="3"/>
        <v>4.2381846932321352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>
        <v>30.1</v>
      </c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17</v>
      </c>
      <c r="AQ12" s="68">
        <f t="shared" si="2"/>
        <v>34.54117647058824</v>
      </c>
      <c r="AR12" s="68">
        <f>IFERROR(VLOOKUP(A12,Climatologia_TMAX!A:U,9+$E$2,FALSE),"")</f>
        <v>33.065084280874721</v>
      </c>
      <c r="AS12" s="68">
        <f t="shared" si="3"/>
        <v>1.4760921897135191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>
        <v>33</v>
      </c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17</v>
      </c>
      <c r="AQ13" s="68">
        <f t="shared" si="2"/>
        <v>35.805882352941182</v>
      </c>
      <c r="AR13" s="68">
        <f>IFERROR(VLOOKUP(A13,Climatologia_TMAX!A:U,9+$E$2,FALSE),"")</f>
        <v>32.703385242862417</v>
      </c>
      <c r="AS13" s="68">
        <f t="shared" si="3"/>
        <v>3.1024971100787653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>
        <v>26.8</v>
      </c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17</v>
      </c>
      <c r="AQ14" s="68">
        <f t="shared" si="2"/>
        <v>29.294117647058822</v>
      </c>
      <c r="AR14" s="68">
        <f>IFERROR(VLOOKUP(A14,Climatologia_TMAX!A:U,9+$E$2,FALSE),"")</f>
        <v>26.343645559538029</v>
      </c>
      <c r="AS14" s="68">
        <f t="shared" si="3"/>
        <v>2.9504720875207937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>
        <v>35.200000000000003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17</v>
      </c>
      <c r="AQ15" s="68">
        <f t="shared" si="2"/>
        <v>35.588235294117652</v>
      </c>
      <c r="AR15" s="68">
        <f>IFERROR(VLOOKUP(A15,Climatologia_TMAX!A:U,9+$E$2,FALSE),"")</f>
        <v>34.207406451612897</v>
      </c>
      <c r="AS15" s="68">
        <f t="shared" si="3"/>
        <v>1.380828842504755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>
        <v>27.9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17</v>
      </c>
      <c r="AQ16" s="68">
        <f t="shared" si="2"/>
        <v>31.835294117647056</v>
      </c>
      <c r="AR16" s="68">
        <f>IFERROR(VLOOKUP(A16,Climatologia_TMAX!A:U,9+$E$2,FALSE),"")</f>
        <v>31.919167946748601</v>
      </c>
      <c r="AS16" s="68">
        <f t="shared" si="3"/>
        <v>-8.3873829101545283E-2</v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-0.70000000000000284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>
        <v>26.1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17</v>
      </c>
      <c r="AQ17" s="68">
        <f t="shared" si="2"/>
        <v>30.982352941176472</v>
      </c>
      <c r="AR17" s="68">
        <f>IFERROR(VLOOKUP(A17,Climatologia_TMAX!A:U,9+$E$2,FALSE),"")</f>
        <v>28.699699180747569</v>
      </c>
      <c r="AS17" s="68">
        <f t="shared" si="3"/>
        <v>2.2826537604289037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>
        <v>22.1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17</v>
      </c>
      <c r="AQ18" s="68">
        <f t="shared" si="2"/>
        <v>24.541176470588233</v>
      </c>
      <c r="AR18" s="68">
        <f>IFERROR(VLOOKUP(A18,Climatologia_TMAX!A:U,9+$E$2,FALSE),"")</f>
        <v>22.70234743584826</v>
      </c>
      <c r="AS18" s="68">
        <f t="shared" si="3"/>
        <v>1.8388290347399732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>
        <v>21.7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17</v>
      </c>
      <c r="AQ19" s="68">
        <f t="shared" si="2"/>
        <v>29.494117647058822</v>
      </c>
      <c r="AR19" s="68">
        <f>IFERROR(VLOOKUP(A19,Climatologia_TMAX!A:U,9+$E$2,FALSE),"")</f>
        <v>27.308103225806452</v>
      </c>
      <c r="AS19" s="68">
        <f t="shared" si="3"/>
        <v>2.18601442125237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>
        <v>24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17</v>
      </c>
      <c r="AQ20" s="68">
        <f t="shared" si="2"/>
        <v>30.68823529411765</v>
      </c>
      <c r="AR20" s="68">
        <f>IFERROR(VLOOKUP(A20,Climatologia_TMAX!A:U,9+$E$2,FALSE),"")</f>
        <v>28.821983273596171</v>
      </c>
      <c r="AS20" s="68">
        <f t="shared" si="3"/>
        <v>1.866252020521479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>
        <v>27.6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17</v>
      </c>
      <c r="AQ21" s="68">
        <f t="shared" si="2"/>
        <v>34.235294117647058</v>
      </c>
      <c r="AR21" s="68">
        <f>IFERROR(VLOOKUP(A21,Climatologia_TMAX!A:U,9+$E$2,FALSE),"")</f>
        <v>31.558535251017972</v>
      </c>
      <c r="AS21" s="68">
        <f t="shared" si="3"/>
        <v>2.6767588666290862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>
        <v>18.5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17</v>
      </c>
      <c r="AQ22" s="68">
        <f t="shared" si="2"/>
        <v>19.905882352941177</v>
      </c>
      <c r="AR22" s="68">
        <f>IFERROR(VLOOKUP(A22,Climatologia_TMAX!A:U,9+$E$2,FALSE),"")</f>
        <v>18.772940161432931</v>
      </c>
      <c r="AS22" s="68">
        <f t="shared" si="3"/>
        <v>1.1329421915082456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>
        <v>25.2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17</v>
      </c>
      <c r="AQ23" s="68">
        <f t="shared" si="2"/>
        <v>32.235294117647058</v>
      </c>
      <c r="AR23" s="68">
        <f>IFERROR(VLOOKUP(A23,Climatologia_TMAX!A:U,9+$E$2,FALSE),"")</f>
        <v>31.11792011972717</v>
      </c>
      <c r="AS23" s="68">
        <f t="shared" si="3"/>
        <v>1.1173739979198878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>
        <v>32.299999999999997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17</v>
      </c>
      <c r="AQ24" s="68">
        <f t="shared" si="2"/>
        <v>35.870588235294115</v>
      </c>
      <c r="AR24" s="68">
        <f>IFERROR(VLOOKUP(A24,Climatologia_TMAX!A:U,9+$E$2,FALSE),"")</f>
        <v>34.619032258064507</v>
      </c>
      <c r="AS24" s="68">
        <f t="shared" si="3"/>
        <v>1.2515559772296072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>
        <v>25.2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17</v>
      </c>
      <c r="AQ25" s="68">
        <f t="shared" si="2"/>
        <v>26.982352941176472</v>
      </c>
      <c r="AR25" s="68">
        <f>IFERROR(VLOOKUP(A25,Climatologia_TMAX!A:U,9+$E$2,FALSE),"")</f>
        <v>26.14732965766952</v>
      </c>
      <c r="AS25" s="68">
        <f t="shared" si="3"/>
        <v>0.83502328350695265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>
        <v>17.600000000000001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17</v>
      </c>
      <c r="AQ26" s="68">
        <f t="shared" si="2"/>
        <v>15.494117647058822</v>
      </c>
      <c r="AR26" s="68">
        <f>IFERROR(VLOOKUP(A26,Climatologia_TMAX!A:U,9+$E$2,FALSE),"")</f>
        <v>14.98521690767519</v>
      </c>
      <c r="AS26" s="68">
        <f t="shared" si="3"/>
        <v>0.50890073938363223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>
        <v>28</v>
      </c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17</v>
      </c>
      <c r="AQ27" s="68">
        <f t="shared" si="2"/>
        <v>32.04117647058824</v>
      </c>
      <c r="AR27" s="68">
        <f>IFERROR(VLOOKUP(A27,Climatologia_TMAX!A:U,9+$E$2,FALSE),"")</f>
        <v>31.229699666295879</v>
      </c>
      <c r="AS27" s="68">
        <f t="shared" si="3"/>
        <v>0.81147680429236146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>
        <v>30.3</v>
      </c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17</v>
      </c>
      <c r="AQ28" s="68">
        <f t="shared" si="2"/>
        <v>32.188235294117639</v>
      </c>
      <c r="AR28" s="68">
        <f>IFERROR(VLOOKUP(A28,Climatologia_TMAX!A:U,9+$E$2,FALSE),"")</f>
        <v>30.80035842293907</v>
      </c>
      <c r="AS28" s="68">
        <f t="shared" si="3"/>
        <v>1.3878768711785696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>
        <v>28.2</v>
      </c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17</v>
      </c>
      <c r="AQ29" s="68">
        <f t="shared" si="2"/>
        <v>32.005882352941178</v>
      </c>
      <c r="AR29" s="68">
        <f>IFERROR(VLOOKUP(A29,Climatologia_TMAX!A:U,9+$E$2,FALSE),"")</f>
        <v>31.513637374860959</v>
      </c>
      <c r="AS29" s="68">
        <f t="shared" si="3"/>
        <v>0.49224497808021894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>
        <v>26.3</v>
      </c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17</v>
      </c>
      <c r="AQ30" s="68">
        <f t="shared" si="2"/>
        <v>30.552941176470579</v>
      </c>
      <c r="AR30" s="68">
        <f>IFERROR(VLOOKUP(A30,Climatologia_TMAX!A:U,9+$E$2,FALSE),"")</f>
        <v>29.807563959955498</v>
      </c>
      <c r="AS30" s="68">
        <f t="shared" si="3"/>
        <v>0.74537721651508093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>
        <v>31</v>
      </c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17</v>
      </c>
      <c r="AQ31" s="68">
        <f t="shared" si="2"/>
        <v>31.952941176470592</v>
      </c>
      <c r="AR31" s="68">
        <f>IFERROR(VLOOKUP(A31,Climatologia_TMAX!A:U,9+$E$2,FALSE),"")</f>
        <v>31.390004135649299</v>
      </c>
      <c r="AS31" s="68">
        <f t="shared" si="3"/>
        <v>0.56293704082129281</v>
      </c>
      <c r="AT31" s="74">
        <f t="shared" si="4"/>
        <v>33.299999999999997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-2.4000000000000057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>
        <v>26</v>
      </c>
      <c r="AA33" s="66">
        <v>24</v>
      </c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17</v>
      </c>
      <c r="AQ33" s="68">
        <f t="shared" si="2"/>
        <v>26.270588235294117</v>
      </c>
      <c r="AR33" s="68">
        <f>IFERROR(VLOOKUP(A33,Climatologia_TMAX!A:U,9+$E$2,FALSE),"")</f>
        <v>24.65905872628246</v>
      </c>
      <c r="AS33" s="68">
        <f t="shared" si="3"/>
        <v>1.6115295090116568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>
        <v>32.200000000000003</v>
      </c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17</v>
      </c>
      <c r="AQ36" s="68">
        <f t="shared" si="2"/>
        <v>38.035294117647062</v>
      </c>
      <c r="AR36" s="68">
        <f>IFERROR(VLOOKUP(A36,Climatologia_TMAX!A:U,9+$E$2,FALSE),"")</f>
        <v>34.16273657398132</v>
      </c>
      <c r="AS36" s="68">
        <f t="shared" si="3"/>
        <v>3.8725575436657422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>
        <v>23</v>
      </c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17</v>
      </c>
      <c r="AQ38" s="68">
        <f t="shared" si="2"/>
        <v>28.8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>
        <v>21.4</v>
      </c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17</v>
      </c>
      <c r="AQ39" s="68">
        <f t="shared" si="2"/>
        <v>27.099999999999994</v>
      </c>
      <c r="AR39" s="68">
        <f>IFERROR(VLOOKUP(A39,Climatologia_TMAX!A:U,9+$E$2,FALSE),"")</f>
        <v>23.769828120099859</v>
      </c>
      <c r="AS39" s="68">
        <f t="shared" si="3"/>
        <v>3.330171879900135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>
        <v>21.2</v>
      </c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17</v>
      </c>
      <c r="AQ40" s="68">
        <f t="shared" si="2"/>
        <v>22.223529411764705</v>
      </c>
      <c r="AR40" s="68">
        <f>IFERROR(VLOOKUP(A40,Climatologia_TMAX!A:U,9+$E$2,FALSE),"")</f>
        <v>20.644739340007408</v>
      </c>
      <c r="AS40" s="68">
        <f t="shared" si="3"/>
        <v>1.5787900717572967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>
        <v>27</v>
      </c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17</v>
      </c>
      <c r="AQ42" s="68">
        <f t="shared" si="2"/>
        <v>32.835294117647059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>
        <v>28.8</v>
      </c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17</v>
      </c>
      <c r="AQ43" s="68">
        <f t="shared" si="2"/>
        <v>32.6</v>
      </c>
      <c r="AR43" s="68">
        <f>IFERROR(VLOOKUP(A43,Climatologia_TMAX!A:U,9+$E$2,FALSE),"")</f>
        <v>31.773456872106181</v>
      </c>
      <c r="AS43" s="68">
        <f t="shared" si="3"/>
        <v>0.82654312789382089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>
        <v>27.4</v>
      </c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16</v>
      </c>
      <c r="AQ44" s="68">
        <f t="shared" si="2"/>
        <v>27.887499999999996</v>
      </c>
      <c r="AR44" s="68">
        <f>IFERROR(VLOOKUP(A44,Climatologia_TMAX!A:U,9+$E$2,FALSE),"")</f>
        <v>23.004822024471629</v>
      </c>
      <c r="AS44" s="68">
        <f t="shared" si="3"/>
        <v>4.8826779755283667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>
        <v>32.6</v>
      </c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17</v>
      </c>
      <c r="AQ45" s="68">
        <f t="shared" si="2"/>
        <v>35.400000000000006</v>
      </c>
      <c r="AR45" s="68">
        <f>IFERROR(VLOOKUP(A45,Climatologia_TMAX!A:U,9+$E$2,FALSE),"")</f>
        <v>32.923758320532507</v>
      </c>
      <c r="AS45" s="68">
        <f t="shared" si="3"/>
        <v>2.4762416794674991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>
        <v>29.8</v>
      </c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17</v>
      </c>
      <c r="AQ46" s="68">
        <f t="shared" si="2"/>
        <v>31.599999999999994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>
        <v>32</v>
      </c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17</v>
      </c>
      <c r="AQ49" s="68">
        <f t="shared" si="2"/>
        <v>34.60588235294118</v>
      </c>
      <c r="AR49" s="68">
        <f>IFERROR(VLOOKUP(A49,Climatologia_TMAX!A:U,9+$E$2,FALSE),"")</f>
        <v>32.535336464610658</v>
      </c>
      <c r="AS49" s="68">
        <f t="shared" si="3"/>
        <v>2.0705458883305212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>
        <v>29.4</v>
      </c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17</v>
      </c>
      <c r="AQ52" s="68">
        <f t="shared" si="2"/>
        <v>32.388235294117642</v>
      </c>
      <c r="AR52" s="68">
        <f>IFERROR(VLOOKUP(A52,Climatologia_TMAX!A:U,9+$E$2,FALSE),"")</f>
        <v>31.265434885322311</v>
      </c>
      <c r="AS52" s="68">
        <f t="shared" si="3"/>
        <v>1.1228004087953316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>
        <v>30.2</v>
      </c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17</v>
      </c>
      <c r="AQ53" s="68">
        <f t="shared" si="2"/>
        <v>33.905882352941184</v>
      </c>
      <c r="AR53" s="68">
        <f>IFERROR(VLOOKUP(A53,Climatologia_TMAX!A:U,9+$E$2,FALSE),"")</f>
        <v>32.397587365591413</v>
      </c>
      <c r="AS53" s="68">
        <f t="shared" si="3"/>
        <v>1.5082949873497711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>
        <v>32.4</v>
      </c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17</v>
      </c>
      <c r="AQ54" s="68">
        <f t="shared" si="2"/>
        <v>37.564705882352939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>
        <v>30.4</v>
      </c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16</v>
      </c>
      <c r="AQ55" s="68">
        <f t="shared" si="2"/>
        <v>35.587499999999999</v>
      </c>
      <c r="AR55" s="68">
        <f>IFERROR(VLOOKUP(A55,Climatologia_TMAX!A:U,9+$E$2,FALSE),"")</f>
        <v>32.916625540651467</v>
      </c>
      <c r="AS55" s="68">
        <f t="shared" si="3"/>
        <v>2.6708744593485321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>
        <v>32</v>
      </c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17</v>
      </c>
      <c r="AQ67" s="68">
        <f t="shared" si="2"/>
        <v>33.505882352941178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>
        <v>34.6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15</v>
      </c>
      <c r="AQ74" s="68">
        <f t="shared" si="7"/>
        <v>35.886666666666663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>
        <v>31.2</v>
      </c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17</v>
      </c>
      <c r="AQ76" s="68">
        <f t="shared" si="7"/>
        <v>34.741176470588243</v>
      </c>
      <c r="AR76" s="68">
        <f>IFERROR(VLOOKUP(A76,Climatologia_TMAX!A:U,9+$E$2,FALSE),"")</f>
        <v>32.131914371977928</v>
      </c>
      <c r="AS76" s="68">
        <f t="shared" si="8"/>
        <v>2.6092620986103157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>
        <v>28.8</v>
      </c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17</v>
      </c>
      <c r="AQ77" s="68">
        <f t="shared" si="7"/>
        <v>31.282352941176473</v>
      </c>
      <c r="AR77" s="68">
        <f>IFERROR(VLOOKUP(A77,Climatologia_TMAX!A:U,9+$E$2,FALSE),"")</f>
        <v>30.717419354838722</v>
      </c>
      <c r="AS77" s="68">
        <f t="shared" si="8"/>
        <v>0.56493358633775159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11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12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>
        <v>28</v>
      </c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17</v>
      </c>
      <c r="AQ81" s="68">
        <f t="shared" si="7"/>
        <v>30.829411764705885</v>
      </c>
      <c r="AR81" s="68">
        <f>IFERROR(VLOOKUP(A81,Climatologia_TMAX!A:U,9+$E$2,FALSE),"")</f>
        <v>30.066096038514271</v>
      </c>
      <c r="AS81" s="68">
        <f t="shared" si="8"/>
        <v>0.76331572619161392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>
        <v>28.4</v>
      </c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17</v>
      </c>
      <c r="AQ83" s="68">
        <f t="shared" si="7"/>
        <v>32.211764705882352</v>
      </c>
      <c r="AR83" s="68">
        <f>IFERROR(VLOOKUP(A83,Climatologia_TMAX!A:U,9+$E$2,FALSE),"")</f>
        <v>30.100740998164522</v>
      </c>
      <c r="AS83" s="68">
        <f t="shared" si="8"/>
        <v>2.1110237077178304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/>
      <c r="X85" s="66">
        <v>25.6</v>
      </c>
      <c r="Y85" s="66">
        <v>29.8</v>
      </c>
      <c r="Z85" s="66">
        <v>31</v>
      </c>
      <c r="AA85" s="66">
        <v>27.2</v>
      </c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16</v>
      </c>
      <c r="AQ85" s="68">
        <f t="shared" si="7"/>
        <v>30.837500000000002</v>
      </c>
      <c r="AR85" s="68">
        <f>IFERROR(VLOOKUP(A85,Climatologia_TMAX!A:U,9+$E$2,FALSE),"")</f>
        <v>30.126684246732939</v>
      </c>
      <c r="AS85" s="68">
        <f t="shared" si="8"/>
        <v>0.71081575326706314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/>
      <c r="Z86" s="66">
        <v>28.6</v>
      </c>
      <c r="AA86" s="66">
        <v>28.2</v>
      </c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16</v>
      </c>
      <c r="AQ86" s="68">
        <f t="shared" si="7"/>
        <v>31.274999999999999</v>
      </c>
      <c r="AR86" s="68">
        <f>IFERROR(VLOOKUP(A86,Climatologia_TMAX!A:U,9+$E$2,FALSE),"")</f>
        <v>30.211657926170119</v>
      </c>
      <c r="AS86" s="68">
        <f t="shared" si="8"/>
        <v>1.0633420738298796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>
        <v>30</v>
      </c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17</v>
      </c>
      <c r="AQ87" s="68">
        <f t="shared" si="7"/>
        <v>31.658823529411755</v>
      </c>
      <c r="AR87" s="68">
        <f>IFERROR(VLOOKUP(A87,Climatologia_TMAX!A:U,9+$E$2,FALSE),"")</f>
        <v>30.420577139515899</v>
      </c>
      <c r="AS87" s="68">
        <f t="shared" si="8"/>
        <v>1.2382463898958562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>
        <v>31.4</v>
      </c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17</v>
      </c>
      <c r="AQ90" s="68">
        <f t="shared" si="7"/>
        <v>31.276470588235291</v>
      </c>
      <c r="AR90" s="68">
        <f>IFERROR(VLOOKUP(A90,Climatologia_TMAX!A:U,9+$E$2,FALSE),"")</f>
        <v>30.14398006331821</v>
      </c>
      <c r="AS90" s="68">
        <f t="shared" si="8"/>
        <v>1.1324905249170811</v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>
        <v>30.2</v>
      </c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17</v>
      </c>
      <c r="AQ91" s="68">
        <f t="shared" si="7"/>
        <v>31.417647058823537</v>
      </c>
      <c r="AR91" s="68">
        <f>IFERROR(VLOOKUP(A91,Climatologia_TMAX!A:U,9+$E$2,FALSE),"")</f>
        <v>30.948480459796951</v>
      </c>
      <c r="AS91" s="68">
        <f t="shared" si="8"/>
        <v>0.46916659902658608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>
        <v>24.4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>
        <v>26.6</v>
      </c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17</v>
      </c>
      <c r="AQ94" s="68">
        <f t="shared" si="7"/>
        <v>31.717647058823527</v>
      </c>
      <c r="AR94" s="68">
        <f>IFERROR(VLOOKUP(A94,Climatologia_TMAX!A:U,9+$E$2,FALSE),"")</f>
        <v>31.022074370307589</v>
      </c>
      <c r="AS94" s="68">
        <f t="shared" si="8"/>
        <v>0.6955726885159379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>
        <v>25</v>
      </c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17</v>
      </c>
      <c r="AQ99" s="68">
        <f t="shared" si="7"/>
        <v>25.91764705882353</v>
      </c>
      <c r="AR99" s="68">
        <f>IFERROR(VLOOKUP(A99,Climatologia_TMAX!A:U,9+$E$2,FALSE),"")</f>
        <v>24.718314208501919</v>
      </c>
      <c r="AS99" s="68">
        <f t="shared" si="8"/>
        <v>1.1993328503216105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>
        <v>34.799999999999997</v>
      </c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17</v>
      </c>
      <c r="AQ100" s="68">
        <f t="shared" si="7"/>
        <v>38.788235294117641</v>
      </c>
      <c r="AR100" s="68">
        <f>IFERROR(VLOOKUP(A100,Climatologia_TMAX!A:U,9+$E$2,FALSE),"")</f>
        <v>37.075361698510143</v>
      </c>
      <c r="AS100" s="68">
        <f t="shared" si="8"/>
        <v>1.7128735956074976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>
        <v>25.2</v>
      </c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16</v>
      </c>
      <c r="AQ102" s="68">
        <f t="shared" si="7"/>
        <v>29.818750000000001</v>
      </c>
      <c r="AR102" s="68">
        <f>IFERROR(VLOOKUP(A102,Climatologia_TMAX!A:U,9+$E$2,FALSE),"")</f>
        <v>27.909677419354839</v>
      </c>
      <c r="AS102" s="68">
        <f t="shared" si="8"/>
        <v>1.9090725806451623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>
        <v>33.6</v>
      </c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17</v>
      </c>
      <c r="AQ104" s="68">
        <f t="shared" si="7"/>
        <v>37.105882352941173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>
        <v>28.8</v>
      </c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17</v>
      </c>
      <c r="AQ105" s="68">
        <f t="shared" si="7"/>
        <v>29.82352941176471</v>
      </c>
      <c r="AR105" s="68">
        <f>IFERROR(VLOOKUP(A105,Climatologia_TMAX!A:U,9+$E$2,FALSE),"")</f>
        <v>30.030668369518938</v>
      </c>
      <c r="AS105" s="68">
        <f t="shared" si="8"/>
        <v>-0.20713895775422841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>
        <v>22.8</v>
      </c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17</v>
      </c>
      <c r="AQ106" s="68">
        <f t="shared" si="7"/>
        <v>26.341176470588238</v>
      </c>
      <c r="AR106" s="68">
        <f>IFERROR(VLOOKUP(A106,Climatologia_TMAX!A:U,9+$E$2,FALSE),"")</f>
        <v>25.412337253032469</v>
      </c>
      <c r="AS106" s="68">
        <f t="shared" si="8"/>
        <v>0.92883921755576893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>
        <v>30.4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17</v>
      </c>
      <c r="AQ108" s="68">
        <f t="shared" si="7"/>
        <v>31.011764705882356</v>
      </c>
      <c r="AR108" s="68">
        <f>IFERROR(VLOOKUP(A108,Climatologia_TMAX!A:U,9+$E$2,FALSE),"")</f>
        <v>30.571207119021128</v>
      </c>
      <c r="AS108" s="68">
        <f t="shared" si="8"/>
        <v>0.44055758686122815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>
        <v>23.8</v>
      </c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17</v>
      </c>
      <c r="AQ109" s="68">
        <f t="shared" si="7"/>
        <v>26.423529411764708</v>
      </c>
      <c r="AR109" s="68">
        <f>IFERROR(VLOOKUP(A109,Climatologia_TMAX!A:U,9+$E$2,FALSE),"")</f>
        <v>25.742317801672641</v>
      </c>
      <c r="AS109" s="68">
        <f t="shared" si="8"/>
        <v>0.68121161009206688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>
        <v>37.799999999999997</v>
      </c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17</v>
      </c>
      <c r="AQ111" s="68">
        <f t="shared" si="7"/>
        <v>39.435294117647061</v>
      </c>
      <c r="AR111" s="68">
        <f>IFERROR(VLOOKUP(A111,Climatologia_TMAX!A:U,9+$E$2,FALSE),"")</f>
        <v>35.400483796811272</v>
      </c>
      <c r="AS111" s="68">
        <f t="shared" si="8"/>
        <v>4.0348103208357884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16</v>
      </c>
      <c r="AQ112" s="68">
        <f t="shared" si="7"/>
        <v>36.787499999999994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-2.3999999999999986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16</v>
      </c>
      <c r="AQ114" s="68">
        <f t="shared" si="7"/>
        <v>37.9375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>
        <v>36.799999999999997</v>
      </c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17</v>
      </c>
      <c r="AQ115" s="68">
        <f t="shared" si="7"/>
        <v>38.076470588235289</v>
      </c>
      <c r="AR115" s="68">
        <f>IFERROR(VLOOKUP(A115,Climatologia_TMAX!A:U,9+$E$2,FALSE),"")</f>
        <v>35.599806409679189</v>
      </c>
      <c r="AS115" s="68">
        <f t="shared" si="8"/>
        <v>2.4766641785560992</v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>
        <v>37.4</v>
      </c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17</v>
      </c>
      <c r="AQ118" s="68">
        <f t="shared" si="7"/>
        <v>38.117647058823529</v>
      </c>
      <c r="AR118" s="68">
        <f>IFERROR(VLOOKUP(A118,Climatologia_TMAX!A:U,9+$E$2,FALSE),"")</f>
        <v>34.447006277967013</v>
      </c>
      <c r="AS118" s="68">
        <f t="shared" si="8"/>
        <v>3.670640780856516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>
        <v>34</v>
      </c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17</v>
      </c>
      <c r="AQ119" s="68">
        <f t="shared" si="7"/>
        <v>39.28235294117647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>
        <v>36.6</v>
      </c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16</v>
      </c>
      <c r="AQ120" s="68">
        <f t="shared" si="7"/>
        <v>39.325000000000003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>
        <v>27.4</v>
      </c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17</v>
      </c>
      <c r="AQ122" s="68">
        <f t="shared" si="7"/>
        <v>30.564705882352943</v>
      </c>
      <c r="AR122" s="68">
        <f>IFERROR(VLOOKUP(A122,Climatologia_TMAX!A:U,9+$E$2,FALSE),"")</f>
        <v>28.13354838709677</v>
      </c>
      <c r="AS122" s="68">
        <f t="shared" si="8"/>
        <v>2.4311574952561728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>
        <v>31.2</v>
      </c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17</v>
      </c>
      <c r="AQ123" s="68">
        <f t="shared" si="7"/>
        <v>32.000000000000007</v>
      </c>
      <c r="AR123" s="68">
        <f>IFERROR(VLOOKUP(A123,Climatologia_TMAX!A:U,9+$E$2,FALSE),"")</f>
        <v>29.851373954599769</v>
      </c>
      <c r="AS123" s="68">
        <f t="shared" si="8"/>
        <v>2.1486260454002384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>
        <v>31.8</v>
      </c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17</v>
      </c>
      <c r="AQ124" s="68">
        <f t="shared" si="7"/>
        <v>32.305882352941168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>
        <v>26.4</v>
      </c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14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>
        <v>19.8</v>
      </c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17</v>
      </c>
      <c r="AQ128" s="68">
        <f t="shared" si="7"/>
        <v>23.152941176470588</v>
      </c>
      <c r="AR128" s="68">
        <f>IFERROR(VLOOKUP(A128,Climatologia_TMAX!A:U,9+$E$2,FALSE),"")</f>
        <v>19.945241107257019</v>
      </c>
      <c r="AS128" s="68">
        <f t="shared" si="8"/>
        <v>3.2077000692135691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>
        <v>23.4</v>
      </c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17</v>
      </c>
      <c r="AQ129" s="68">
        <f t="shared" si="7"/>
        <v>26.658823529411762</v>
      </c>
      <c r="AR129" s="68">
        <f>IFERROR(VLOOKUP(A129,Climatologia_TMAX!A:U,9+$E$2,FALSE),"")</f>
        <v>24.697992831541221</v>
      </c>
      <c r="AS129" s="68">
        <f t="shared" si="8"/>
        <v>1.9608306978705414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>
        <v>22</v>
      </c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13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>
        <v>19</v>
      </c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15</v>
      </c>
      <c r="AQ133" s="68">
        <f t="shared" ref="AQ133:AQ196" si="12">IF(AP133&gt;14,AVERAGE(K133:AO133),"")</f>
        <v>17.559999999999999</v>
      </c>
      <c r="AR133" s="68">
        <f>IFERROR(VLOOKUP(A133,Climatologia_TMAX!A:U,9+$E$2,FALSE),"")</f>
        <v>16.170153546617101</v>
      </c>
      <c r="AS133" s="68">
        <f t="shared" ref="AS133:AS196" si="13">IF(OR(AQ133="",AR133=""),"",IFERROR(AQ133-AR133,""))</f>
        <v>1.3898464533828978</v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>
        <v>23.6</v>
      </c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17</v>
      </c>
      <c r="AQ135" s="68">
        <f t="shared" si="12"/>
        <v>23.623529411764707</v>
      </c>
      <c r="AR135" s="68">
        <f>IFERROR(VLOOKUP(A135,Climatologia_TMAX!A:U,9+$E$2,FALSE),"")</f>
        <v>23.503001430160491</v>
      </c>
      <c r="AS135" s="68">
        <f t="shared" si="13"/>
        <v>0.12052798160421574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>
        <v>22</v>
      </c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17</v>
      </c>
      <c r="AQ138" s="68">
        <f t="shared" si="12"/>
        <v>21.823529411764707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>
        <v>19</v>
      </c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17</v>
      </c>
      <c r="AQ139" s="68">
        <f t="shared" si="12"/>
        <v>21.582352941176467</v>
      </c>
      <c r="AR139" s="68">
        <f>IFERROR(VLOOKUP(A139,Climatologia_TMAX!A:U,9+$E$2,FALSE),"")</f>
        <v>20.714326639736161</v>
      </c>
      <c r="AS139" s="68">
        <f t="shared" si="13"/>
        <v>0.86802630144030601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>
        <v>24.2</v>
      </c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16</v>
      </c>
      <c r="AQ140" s="68">
        <f t="shared" si="12"/>
        <v>23.650000000000002</v>
      </c>
      <c r="AR140" s="68">
        <f>IFERROR(VLOOKUP(A140,Climatologia_TMAX!A:U,9+$E$2,FALSE),"")</f>
        <v>21.647136438274369</v>
      </c>
      <c r="AS140" s="68">
        <f t="shared" si="13"/>
        <v>2.0028635617256327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>
        <v>19.8</v>
      </c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17</v>
      </c>
      <c r="AQ141" s="68">
        <f t="shared" si="12"/>
        <v>19.63529411764706</v>
      </c>
      <c r="AR141" s="68">
        <f>IFERROR(VLOOKUP(A141,Climatologia_TMAX!A:U,9+$E$2,FALSE),"")</f>
        <v>18.072580645161288</v>
      </c>
      <c r="AS141" s="68">
        <f t="shared" si="13"/>
        <v>1.5627134724857719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>
        <v>17.600000000000001</v>
      </c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17</v>
      </c>
      <c r="AQ142" s="68">
        <f t="shared" si="12"/>
        <v>18.482352941176472</v>
      </c>
      <c r="AR142" s="68">
        <f>IFERROR(VLOOKUP(A142,Climatologia_TMAX!A:U,9+$E$2,FALSE),"")</f>
        <v>17.502950587315588</v>
      </c>
      <c r="AS142" s="68">
        <f t="shared" si="13"/>
        <v>0.97940235386088403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>
        <v>22.8</v>
      </c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17</v>
      </c>
      <c r="AQ146" s="68">
        <f t="shared" si="12"/>
        <v>21.647058823529417</v>
      </c>
      <c r="AR146" s="68">
        <f>IFERROR(VLOOKUP(A146,Climatologia_TMAX!A:U,9+$E$2,FALSE),"")</f>
        <v>21.065636230144019</v>
      </c>
      <c r="AS146" s="68">
        <f t="shared" si="13"/>
        <v>0.58142259338539759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>
        <v>19</v>
      </c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15</v>
      </c>
      <c r="AQ147" s="68">
        <f t="shared" si="12"/>
        <v>21.693333333333332</v>
      </c>
      <c r="AR147" s="68">
        <f>IFERROR(VLOOKUP(A147,Climatologia_TMAX!A:U,9+$E$2,FALSE),"")</f>
        <v>21.75379211469534</v>
      </c>
      <c r="AS147" s="68">
        <f t="shared" si="13"/>
        <v>-6.0458781362008551E-2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>
        <v>26.4</v>
      </c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16</v>
      </c>
      <c r="AQ148" s="68">
        <f t="shared" si="12"/>
        <v>26.349999999999994</v>
      </c>
      <c r="AR148" s="68">
        <f>IFERROR(VLOOKUP(A148,Climatologia_TMAX!A:U,9+$E$2,FALSE),"")</f>
        <v>25.418951612903221</v>
      </c>
      <c r="AS148" s="68">
        <f t="shared" si="13"/>
        <v>0.93104838709677296</v>
      </c>
      <c r="AT148" s="74">
        <f t="shared" si="14"/>
        <v>27.6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>
        <v>32.799999999999997</v>
      </c>
      <c r="AA151" s="66">
        <v>33</v>
      </c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16</v>
      </c>
      <c r="AQ151" s="68">
        <f t="shared" si="12"/>
        <v>34.225000000000001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>
        <v>20</v>
      </c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17</v>
      </c>
      <c r="AQ153" s="68">
        <f t="shared" si="12"/>
        <v>20.599999999999998</v>
      </c>
      <c r="AR153" s="68">
        <f>IFERROR(VLOOKUP(A153,Climatologia_TMAX!A:U,9+$E$2,FALSE),"")</f>
        <v>17.087318670151451</v>
      </c>
      <c r="AS153" s="68">
        <f t="shared" si="13"/>
        <v>3.5126813298485473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>
        <v>18.2</v>
      </c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17</v>
      </c>
      <c r="AQ154" s="68">
        <f t="shared" si="12"/>
        <v>19.094117647058823</v>
      </c>
      <c r="AR154" s="68">
        <f>IFERROR(VLOOKUP(A154,Climatologia_TMAX!A:U,9+$E$2,FALSE),"")</f>
        <v>17.894822708653351</v>
      </c>
      <c r="AS154" s="68">
        <f t="shared" si="13"/>
        <v>1.1992949384054725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>
        <v>19.8</v>
      </c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17</v>
      </c>
      <c r="AQ156" s="68">
        <f t="shared" si="12"/>
        <v>21.388235294117653</v>
      </c>
      <c r="AR156" s="68">
        <f>IFERROR(VLOOKUP(A156,Climatologia_TMAX!A:U,9+$E$2,FALSE),"")</f>
        <v>19.9787274899533</v>
      </c>
      <c r="AS156" s="68">
        <f t="shared" si="13"/>
        <v>1.4095078041643525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>
        <v>21</v>
      </c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17</v>
      </c>
      <c r="AQ158" s="68">
        <f t="shared" si="12"/>
        <v>23.741176470588236</v>
      </c>
      <c r="AR158" s="68">
        <f>IFERROR(VLOOKUP(A158,Climatologia_TMAX!A:U,9+$E$2,FALSE),"")</f>
        <v>22.279202508960569</v>
      </c>
      <c r="AS158" s="68">
        <f t="shared" si="13"/>
        <v>1.4619739616276668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>
        <v>31.6</v>
      </c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17</v>
      </c>
      <c r="AQ160" s="68">
        <f t="shared" si="12"/>
        <v>31.200000000000006</v>
      </c>
      <c r="AR160" s="68">
        <f>IFERROR(VLOOKUP(A160,Climatologia_TMAX!A:U,9+$E$2,FALSE),"")</f>
        <v>29.899582174638489</v>
      </c>
      <c r="AS160" s="68">
        <f t="shared" si="13"/>
        <v>1.3004178253615173</v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>
        <v>16.399999999999999</v>
      </c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17</v>
      </c>
      <c r="AQ164" s="68">
        <f t="shared" si="12"/>
        <v>16.988235294117644</v>
      </c>
      <c r="AR164" s="68">
        <f>IFERROR(VLOOKUP(A164,Climatologia_TMAX!A:U,9+$E$2,FALSE),"")</f>
        <v>16.438135408145051</v>
      </c>
      <c r="AS164" s="68">
        <f t="shared" si="13"/>
        <v>0.55009988597259252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>
        <v>15</v>
      </c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17</v>
      </c>
      <c r="AQ165" s="68">
        <f t="shared" si="12"/>
        <v>13.564705882352939</v>
      </c>
      <c r="AR165" s="68">
        <f>IFERROR(VLOOKUP(A165,Climatologia_TMAX!A:U,9+$E$2,FALSE),"")</f>
        <v>13.11626251390434</v>
      </c>
      <c r="AS165" s="68">
        <f t="shared" si="13"/>
        <v>0.44844336844859889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>
        <v>13.8</v>
      </c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17</v>
      </c>
      <c r="AQ166" s="68">
        <f t="shared" si="12"/>
        <v>14.517647058823529</v>
      </c>
      <c r="AR166" s="68">
        <f>IFERROR(VLOOKUP(A166,Climatologia_TMAX!A:U,9+$E$2,FALSE),"")</f>
        <v>14.28566120241295</v>
      </c>
      <c r="AS166" s="68">
        <f t="shared" si="13"/>
        <v>0.23198585641057967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>
        <v>14.6</v>
      </c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17</v>
      </c>
      <c r="AQ167" s="68">
        <f t="shared" si="12"/>
        <v>16.629411764705878</v>
      </c>
      <c r="AR167" s="68">
        <f>IFERROR(VLOOKUP(A167,Climatologia_TMAX!A:U,9+$E$2,FALSE),"")</f>
        <v>15.33697398819201</v>
      </c>
      <c r="AS167" s="68">
        <f t="shared" si="13"/>
        <v>1.2924377765138679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>
        <v>22</v>
      </c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17</v>
      </c>
      <c r="AQ168" s="68">
        <f t="shared" si="12"/>
        <v>22.235294117647058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>
        <v>23.4</v>
      </c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17</v>
      </c>
      <c r="AQ172" s="68">
        <f t="shared" si="12"/>
        <v>23.988235294117651</v>
      </c>
      <c r="AR172" s="68">
        <f>IFERROR(VLOOKUP(A172,Climatologia_TMAX!A:U,9+$E$2,FALSE),"")</f>
        <v>21.606312954104371</v>
      </c>
      <c r="AS172" s="68">
        <f t="shared" si="13"/>
        <v>2.3819223400132792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>
        <v>19.399999999999999</v>
      </c>
      <c r="AA173" s="66">
        <v>16.8</v>
      </c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16</v>
      </c>
      <c r="AQ173" s="68">
        <f t="shared" si="12"/>
        <v>18.637499999999996</v>
      </c>
      <c r="AR173" s="68">
        <f>IFERROR(VLOOKUP(A173,Climatologia_TMAX!A:U,9+$E$2,FALSE),"")</f>
        <v>19.144848035988591</v>
      </c>
      <c r="AS173" s="68">
        <f t="shared" si="13"/>
        <v>-0.50734803598859557</v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>
        <v>16.399999999999999</v>
      </c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17</v>
      </c>
      <c r="AQ175" s="68">
        <f t="shared" si="12"/>
        <v>17.235294117647058</v>
      </c>
      <c r="AR175" s="68">
        <f>IFERROR(VLOOKUP(A175,Climatologia_TMAX!A:U,9+$E$2,FALSE),"")</f>
        <v>16.77337009846331</v>
      </c>
      <c r="AS175" s="68">
        <f t="shared" si="13"/>
        <v>0.4619240191837477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>
        <v>18.3</v>
      </c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17</v>
      </c>
      <c r="AQ176" s="68">
        <f t="shared" si="12"/>
        <v>19.770588235294117</v>
      </c>
      <c r="AR176" s="68">
        <f>IFERROR(VLOOKUP(A176,Climatologia_TMAX!A:U,9+$E$2,FALSE),"")</f>
        <v>18.929410456062289</v>
      </c>
      <c r="AS176" s="68">
        <f t="shared" si="13"/>
        <v>0.84117777923182757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>
        <v>24.4</v>
      </c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17</v>
      </c>
      <c r="AQ180" s="68">
        <f t="shared" si="12"/>
        <v>24.117647058823522</v>
      </c>
      <c r="AR180" s="68">
        <f>IFERROR(VLOOKUP(A180,Climatologia_TMAX!A:U,9+$E$2,FALSE),"")</f>
        <v>22.045425414753339</v>
      </c>
      <c r="AS180" s="68">
        <f t="shared" si="13"/>
        <v>2.0722216440701828</v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>
        <v>18</v>
      </c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17</v>
      </c>
      <c r="AQ181" s="68">
        <f t="shared" si="12"/>
        <v>18.405882352941177</v>
      </c>
      <c r="AR181" s="68">
        <f>IFERROR(VLOOKUP(A181,Climatologia_TMAX!A:U,9+$E$2,FALSE),"")</f>
        <v>17.645817781073621</v>
      </c>
      <c r="AS181" s="68">
        <f t="shared" si="13"/>
        <v>0.76006457186755583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>
        <v>21.8</v>
      </c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16</v>
      </c>
      <c r="AQ182" s="68">
        <f t="shared" si="12"/>
        <v>26.8125</v>
      </c>
      <c r="AR182" s="68">
        <f>IFERROR(VLOOKUP(A182,Climatologia_TMAX!A:U,9+$E$2,FALSE),"")</f>
        <v>25.244773595756431</v>
      </c>
      <c r="AS182" s="68">
        <f t="shared" si="13"/>
        <v>1.5677264042435688</v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>
        <v>24.8</v>
      </c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17</v>
      </c>
      <c r="AQ183" s="68">
        <f t="shared" si="12"/>
        <v>29.694117647058825</v>
      </c>
      <c r="AR183" s="68">
        <f>IFERROR(VLOOKUP(A183,Climatologia_TMAX!A:U,9+$E$2,FALSE),"")</f>
        <v>27.239077646938501</v>
      </c>
      <c r="AS183" s="68">
        <f t="shared" si="13"/>
        <v>2.4550400001203236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>
        <v>18.600000000000001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17</v>
      </c>
      <c r="AQ184" s="68">
        <f t="shared" si="12"/>
        <v>16.470588235294116</v>
      </c>
      <c r="AR184" s="68">
        <f>IFERROR(VLOOKUP(A184,Climatologia_TMAX!A:U,9+$E$2,FALSE),"")</f>
        <v>14.56273340748981</v>
      </c>
      <c r="AS184" s="68">
        <f t="shared" si="13"/>
        <v>1.9078548278043055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14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>
        <v>29</v>
      </c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17</v>
      </c>
      <c r="AQ186" s="68">
        <f t="shared" si="12"/>
        <v>30.45882352941177</v>
      </c>
      <c r="AR186" s="68">
        <f>IFERROR(VLOOKUP(A186,Climatologia_TMAX!A:U,9+$E$2,FALSE),"")</f>
        <v>28.080800691244239</v>
      </c>
      <c r="AS186" s="68">
        <f t="shared" si="13"/>
        <v>2.3780228381675315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>
        <v>23.6</v>
      </c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15</v>
      </c>
      <c r="AQ187" s="68">
        <f t="shared" si="12"/>
        <v>26.693333333333332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>
        <v>14.8</v>
      </c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17</v>
      </c>
      <c r="AQ188" s="68">
        <f t="shared" si="12"/>
        <v>13.564705882352941</v>
      </c>
      <c r="AR188" s="68">
        <f>IFERROR(VLOOKUP(A188,Climatologia_TMAX!A:U,9+$E$2,FALSE),"")</f>
        <v>13.20223385477499</v>
      </c>
      <c r="AS188" s="68">
        <f t="shared" si="13"/>
        <v>0.36247202757795094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16</v>
      </c>
      <c r="AQ191" s="68">
        <f t="shared" si="12"/>
        <v>36.85</v>
      </c>
      <c r="AR191" s="68">
        <f>IFERROR(VLOOKUP(A191,Climatologia_TMAX!A:U,9+$E$2,FALSE),"")</f>
        <v>34.386602574288887</v>
      </c>
      <c r="AS191" s="68">
        <f t="shared" si="13"/>
        <v>2.4633974257111149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>
        <v>30</v>
      </c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17</v>
      </c>
      <c r="AQ192" s="68">
        <f t="shared" si="12"/>
        <v>31.894117647058827</v>
      </c>
      <c r="AR192" s="68">
        <f>IFERROR(VLOOKUP(A192,Climatologia_TMAX!A:U,9+$E$2,FALSE),"")</f>
        <v>30.53754007980649</v>
      </c>
      <c r="AS192" s="68">
        <f t="shared" si="13"/>
        <v>1.3565775672523372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16</v>
      </c>
      <c r="AQ193" s="68">
        <f t="shared" si="12"/>
        <v>35.475000000000001</v>
      </c>
      <c r="AR193" s="68">
        <f>IFERROR(VLOOKUP(A193,Climatologia_TMAX!A:U,9+$E$2,FALSE),"")</f>
        <v>32.604882188186302</v>
      </c>
      <c r="AS193" s="68">
        <f t="shared" si="13"/>
        <v>2.8701178118136994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>
        <v>35</v>
      </c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17</v>
      </c>
      <c r="AQ194" s="68">
        <f t="shared" si="12"/>
        <v>36.694117647058818</v>
      </c>
      <c r="AR194" s="68">
        <f>IFERROR(VLOOKUP(A194,Climatologia_TMAX!A:U,9+$E$2,FALSE),"")</f>
        <v>33.982628113224877</v>
      </c>
      <c r="AS194" s="68">
        <f t="shared" si="13"/>
        <v>2.7114895338339409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>
        <v>33.200000000000003</v>
      </c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13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>
        <v>33.6</v>
      </c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17</v>
      </c>
      <c r="AQ199" s="68">
        <f t="shared" si="17"/>
        <v>36.058823529411768</v>
      </c>
      <c r="AR199" s="68">
        <f>IFERROR(VLOOKUP(A199,Climatologia_TMAX!A:U,9+$E$2,FALSE),"")</f>
        <v>32.492888905936347</v>
      </c>
      <c r="AS199" s="68">
        <f t="shared" si="18"/>
        <v>3.565934623475421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16</v>
      </c>
      <c r="AQ200" s="68">
        <f t="shared" si="17"/>
        <v>18.875</v>
      </c>
      <c r="AR200" s="68">
        <f>IFERROR(VLOOKUP(A200,Climatologia_TMAX!A:U,9+$E$2,FALSE),"")</f>
        <v>17.735029868578259</v>
      </c>
      <c r="AS200" s="68">
        <f t="shared" si="18"/>
        <v>1.139970131421741</v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-1.8000000000000007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>
        <v>23.6</v>
      </c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16</v>
      </c>
      <c r="AQ201" s="68">
        <f t="shared" si="17"/>
        <v>25.274999999999999</v>
      </c>
      <c r="AR201" s="68">
        <f>IFERROR(VLOOKUP(A201,Climatologia_TMAX!A:U,9+$E$2,FALSE),"")</f>
        <v>22.75197498391692</v>
      </c>
      <c r="AS201" s="68">
        <f t="shared" si="18"/>
        <v>2.5230250160830785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>
        <v>20.399999999999999</v>
      </c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17</v>
      </c>
      <c r="AQ203" s="68">
        <f t="shared" si="17"/>
        <v>20.835294117647059</v>
      </c>
      <c r="AR203" s="68">
        <f>IFERROR(VLOOKUP(A203,Climatologia_TMAX!A:U,9+$E$2,FALSE),"")</f>
        <v>19.985882256004611</v>
      </c>
      <c r="AS203" s="68">
        <f t="shared" si="18"/>
        <v>0.84941186164244797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>
        <v>27.4</v>
      </c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17</v>
      </c>
      <c r="AQ205" s="68">
        <f t="shared" si="17"/>
        <v>28.635294117647057</v>
      </c>
      <c r="AR205" s="68">
        <f>IFERROR(VLOOKUP(A205,Climatologia_TMAX!A:U,9+$E$2,FALSE),"")</f>
        <v>26.486742471058381</v>
      </c>
      <c r="AS205" s="68">
        <f t="shared" si="18"/>
        <v>2.1485516465886754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>
        <v>32.4</v>
      </c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16</v>
      </c>
      <c r="AQ208" s="68">
        <f t="shared" si="17"/>
        <v>34.062499999999993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>
        <v>23.4</v>
      </c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17</v>
      </c>
      <c r="AQ209" s="68">
        <f t="shared" si="17"/>
        <v>24.811764705882354</v>
      </c>
      <c r="AR209" s="68">
        <f>IFERROR(VLOOKUP(A209,Climatologia_TMAX!A:U,9+$E$2,FALSE),"")</f>
        <v>24.015476455320719</v>
      </c>
      <c r="AS209" s="68">
        <f t="shared" si="18"/>
        <v>0.79628825056163421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>
        <v>30.2</v>
      </c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17</v>
      </c>
      <c r="AQ210" s="68">
        <f t="shared" si="17"/>
        <v>31.564705882352943</v>
      </c>
      <c r="AR210" s="68">
        <f>IFERROR(VLOOKUP(A210,Climatologia_TMAX!A:U,9+$E$2,FALSE),"")</f>
        <v>29.654423963133631</v>
      </c>
      <c r="AS210" s="68">
        <f t="shared" si="18"/>
        <v>1.9102819192193117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>
        <v>30.4</v>
      </c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17</v>
      </c>
      <c r="AQ214" s="68">
        <f t="shared" si="17"/>
        <v>30.764705882352942</v>
      </c>
      <c r="AR214" s="68">
        <f>IFERROR(VLOOKUP(A214,Climatologia_TMAX!A:U,9+$E$2,FALSE),"")</f>
        <v>29.107319792911181</v>
      </c>
      <c r="AS214" s="68">
        <f t="shared" si="18"/>
        <v>1.6573860894417614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>
        <v>27.2</v>
      </c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17</v>
      </c>
      <c r="AQ216" s="68">
        <f t="shared" si="17"/>
        <v>28.117647058823525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>
        <v>25.6</v>
      </c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17</v>
      </c>
      <c r="AQ217" s="68">
        <f t="shared" si="17"/>
        <v>26.482352941176469</v>
      </c>
      <c r="AR217" s="68">
        <f>IFERROR(VLOOKUP(A217,Climatologia_TMAX!A:U,9+$E$2,FALSE),"")</f>
        <v>23.98799853208218</v>
      </c>
      <c r="AS217" s="68">
        <f t="shared" si="18"/>
        <v>2.4943544090942886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>
        <v>14</v>
      </c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15</v>
      </c>
      <c r="AQ221" s="68">
        <f t="shared" si="17"/>
        <v>17.8</v>
      </c>
      <c r="AR221" s="68">
        <f>IFERROR(VLOOKUP(A221,Climatologia_TMAX!A:U,9+$E$2,FALSE),"")</f>
        <v>15.966759634455681</v>
      </c>
      <c r="AS221" s="68">
        <f t="shared" si="18"/>
        <v>1.8332403655443201</v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>
        <v>18.600000000000001</v>
      </c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17</v>
      </c>
      <c r="AQ222" s="68">
        <f t="shared" si="17"/>
        <v>24.670588235294115</v>
      </c>
      <c r="AR222" s="68">
        <f>IFERROR(VLOOKUP(A222,Climatologia_TMAX!A:U,9+$E$2,FALSE),"")</f>
        <v>22.71125914315569</v>
      </c>
      <c r="AS222" s="68">
        <f t="shared" si="18"/>
        <v>1.9593290921384252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>
        <v>35</v>
      </c>
      <c r="Y224" s="66">
        <v>32.200000000000003</v>
      </c>
      <c r="Z224" s="66">
        <v>30</v>
      </c>
      <c r="AA224" s="66">
        <v>25.8</v>
      </c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17</v>
      </c>
      <c r="AQ224" s="68">
        <f t="shared" si="17"/>
        <v>32.705882352941167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>
        <v>28.2</v>
      </c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17</v>
      </c>
      <c r="AQ231" s="68">
        <f t="shared" si="17"/>
        <v>32</v>
      </c>
      <c r="AR231" s="68">
        <f>IFERROR(VLOOKUP(A231,Climatologia_TMAX!A:U,9+$E$2,FALSE),"")</f>
        <v>30.333152235427281</v>
      </c>
      <c r="AS231" s="68">
        <f t="shared" si="18"/>
        <v>1.6668477645727187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>
        <v>24.8</v>
      </c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17</v>
      </c>
      <c r="AQ235" s="68">
        <f t="shared" si="17"/>
        <v>32.17647058823529</v>
      </c>
      <c r="AR235" s="68">
        <f>IFERROR(VLOOKUP(A235,Climatologia_TMAX!A:U,9+$E$2,FALSE),"")</f>
        <v>30.387096774193552</v>
      </c>
      <c r="AS235" s="68">
        <f t="shared" si="18"/>
        <v>1.7893738140417383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>
        <v>23.8</v>
      </c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16</v>
      </c>
      <c r="AQ244" s="68">
        <f t="shared" si="17"/>
        <v>27.8125</v>
      </c>
      <c r="AR244" s="68">
        <f>IFERROR(VLOOKUP(A244,Climatologia_TMAX!A:U,9+$E$2,FALSE),"")</f>
        <v>25.772090800477901</v>
      </c>
      <c r="AS244" s="68">
        <f t="shared" si="18"/>
        <v>2.0404091995220988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>
        <v>28.8</v>
      </c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17</v>
      </c>
      <c r="AQ246" s="68">
        <f t="shared" si="17"/>
        <v>33.4</v>
      </c>
      <c r="AR246" s="68">
        <f>IFERROR(VLOOKUP(A246,Climatologia_TMAX!A:U,9+$E$2,FALSE),"")</f>
        <v>30.365280795815501</v>
      </c>
      <c r="AS246" s="68">
        <f t="shared" si="18"/>
        <v>3.0347192041844977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16</v>
      </c>
      <c r="AQ247" s="68">
        <f t="shared" si="17"/>
        <v>37.550000000000004</v>
      </c>
      <c r="AR247" s="68">
        <f>IFERROR(VLOOKUP(A247,Climatologia_TMAX!A:U,9+$E$2,FALSE),"")</f>
        <v>35.840573622107357</v>
      </c>
      <c r="AS247" s="68">
        <f t="shared" si="18"/>
        <v>1.7094263778926475</v>
      </c>
      <c r="AT247" s="74">
        <f t="shared" si="19"/>
        <v>40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-1.2000000000000028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>
        <v>30.2</v>
      </c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17</v>
      </c>
      <c r="AQ248" s="68">
        <f t="shared" si="17"/>
        <v>36.482352941176472</v>
      </c>
      <c r="AR248" s="68">
        <f>IFERROR(VLOOKUP(A248,Climatologia_TMAX!A:U,9+$E$2,FALSE),"")</f>
        <v>34.327826313407613</v>
      </c>
      <c r="AS248" s="68">
        <f t="shared" si="18"/>
        <v>2.1545266277688597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>
        <v>30.8</v>
      </c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17</v>
      </c>
      <c r="AQ249" s="68">
        <f t="shared" si="17"/>
        <v>31.694117647058828</v>
      </c>
      <c r="AR249" s="68">
        <f>IFERROR(VLOOKUP(A249,Climatologia_TMAX!A:U,9+$E$2,FALSE),"")</f>
        <v>31.369964157706089</v>
      </c>
      <c r="AS249" s="68">
        <f t="shared" si="18"/>
        <v>0.32415348935273869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>
        <v>33</v>
      </c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16</v>
      </c>
      <c r="AQ250" s="68">
        <f t="shared" si="17"/>
        <v>38.487499999999997</v>
      </c>
      <c r="AR250" s="68">
        <f>IFERROR(VLOOKUP(A250,Climatologia_TMAX!A:U,9+$E$2,FALSE),"")</f>
        <v>36.452131073091188</v>
      </c>
      <c r="AS250" s="68">
        <f t="shared" si="18"/>
        <v>2.0353689269088093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>
        <v>35</v>
      </c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17</v>
      </c>
      <c r="AQ252" s="68">
        <f t="shared" si="17"/>
        <v>38.611764705882351</v>
      </c>
      <c r="AR252" s="68">
        <f>IFERROR(VLOOKUP(A252,Climatologia_TMAX!A:U,9+$E$2,FALSE),"")</f>
        <v>35.220558268183389</v>
      </c>
      <c r="AS252" s="68">
        <f t="shared" si="18"/>
        <v>3.3912064376989619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>
        <v>32.799999999999997</v>
      </c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17</v>
      </c>
      <c r="AQ255" s="68">
        <f t="shared" si="17"/>
        <v>35.505882352941178</v>
      </c>
      <c r="AR255" s="68">
        <f>IFERROR(VLOOKUP(A255,Climatologia_TMAX!A:U,9+$E$2,FALSE),"")</f>
        <v>33.060314020206199</v>
      </c>
      <c r="AS255" s="68">
        <f t="shared" si="18"/>
        <v>2.4455683327349789</v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>
        <v>22.2</v>
      </c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17</v>
      </c>
      <c r="AQ258" s="68">
        <f t="shared" si="17"/>
        <v>26.011764705882349</v>
      </c>
      <c r="AR258" s="68">
        <f>IFERROR(VLOOKUP(A258,Climatologia_TMAX!A:U,9+$E$2,FALSE),"")</f>
        <v>23.450636822409319</v>
      </c>
      <c r="AS258" s="68">
        <f t="shared" si="18"/>
        <v>2.5611278834730307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16</v>
      </c>
      <c r="AQ259" s="68">
        <f t="shared" si="17"/>
        <v>27.206250000000001</v>
      </c>
      <c r="AR259" s="68">
        <f>IFERROR(VLOOKUP(A259,Climatologia_TMAX!A:U,9+$E$2,FALSE),"")</f>
        <v>26.859267723583631</v>
      </c>
      <c r="AS259" s="68">
        <f t="shared" si="18"/>
        <v>0.34698227641636947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>
        <v>17.399999999999999</v>
      </c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17</v>
      </c>
      <c r="AQ260" s="68">
        <f t="shared" si="17"/>
        <v>21.752941176470586</v>
      </c>
      <c r="AR260" s="68">
        <f>IFERROR(VLOOKUP(A260,Climatologia_TMAX!A:U,9+$E$2,FALSE),"")</f>
        <v>18.882112739608111</v>
      </c>
      <c r="AS260" s="68">
        <f t="shared" si="18"/>
        <v>2.8708284368624746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>
        <v>30.2</v>
      </c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16</v>
      </c>
      <c r="AQ261" s="68">
        <f t="shared" ref="AQ261:AQ324" si="22">IF(AP261&gt;14,AVERAGE(K261:AO261),"")</f>
        <v>35.924999999999997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>
        <v>22</v>
      </c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17</v>
      </c>
      <c r="AQ262" s="68">
        <f t="shared" si="22"/>
        <v>23.117647058823525</v>
      </c>
      <c r="AR262" s="68">
        <f>IFERROR(VLOOKUP(A262,Climatologia_TMAX!A:U,9+$E$2,FALSE),"")</f>
        <v>21.05350412968302</v>
      </c>
      <c r="AS262" s="68">
        <f t="shared" si="23"/>
        <v>2.0641429291405053</v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>
        <v>21.2</v>
      </c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11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-2.6000000000000014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>
        <v>15</v>
      </c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17</v>
      </c>
      <c r="AQ268" s="68">
        <f t="shared" si="22"/>
        <v>15.341176470588236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>
        <v>21.4</v>
      </c>
      <c r="AA269" s="66">
        <v>19</v>
      </c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17</v>
      </c>
      <c r="AQ269" s="68">
        <f t="shared" si="22"/>
        <v>20.329411764705881</v>
      </c>
      <c r="AR269" s="68">
        <f>IFERROR(VLOOKUP(A269,Climatologia_TMAX!A:U,9+$E$2,FALSE),"")</f>
        <v>19.143200050320459</v>
      </c>
      <c r="AS269" s="68">
        <f t="shared" si="23"/>
        <v>1.1862117143854221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14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>
        <v>17.399999999999999</v>
      </c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17</v>
      </c>
      <c r="AQ271" s="68">
        <f t="shared" si="22"/>
        <v>17.035294117647055</v>
      </c>
      <c r="AR271" s="68">
        <f>IFERROR(VLOOKUP(A271,Climatologia_TMAX!A:U,9+$E$2,FALSE),"")</f>
        <v>17.371682824188088</v>
      </c>
      <c r="AS271" s="68">
        <f t="shared" si="23"/>
        <v>-0.33638870654103314</v>
      </c>
      <c r="AT271" s="74">
        <f t="shared" si="24"/>
        <v>18.399999999999999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>
        <v>23.8</v>
      </c>
      <c r="Z272" s="66">
        <v>25.2</v>
      </c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16</v>
      </c>
      <c r="AQ272" s="68">
        <f t="shared" si="22"/>
        <v>22.750000000000004</v>
      </c>
      <c r="AR272" s="68">
        <f>IFERROR(VLOOKUP(A272,Climatologia_TMAX!A:U,9+$E$2,FALSE),"")</f>
        <v>20.524700215122909</v>
      </c>
      <c r="AS272" s="68">
        <f t="shared" si="23"/>
        <v>2.2252997848770946</v>
      </c>
      <c r="AT272" s="74">
        <f t="shared" si="24"/>
        <v>25.2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>
        <v>23.6</v>
      </c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17</v>
      </c>
      <c r="AQ273" s="68">
        <f t="shared" si="22"/>
        <v>27.105882352941176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16</v>
      </c>
      <c r="AQ275" s="68">
        <f t="shared" si="22"/>
        <v>11.712500000000002</v>
      </c>
      <c r="AR275" s="68">
        <f>IFERROR(VLOOKUP(A275,Climatologia_TMAX!A:U,9+$E$2,FALSE),"")</f>
        <v>11.567283004043301</v>
      </c>
      <c r="AS275" s="68">
        <f t="shared" si="23"/>
        <v>0.14521699595670157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>
        <v>33.4</v>
      </c>
      <c r="AA278" s="66">
        <v>30.4</v>
      </c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17</v>
      </c>
      <c r="AQ278" s="68">
        <f t="shared" si="22"/>
        <v>33.564705882352939</v>
      </c>
      <c r="AR278" s="68">
        <f>IFERROR(VLOOKUP(A278,Climatologia_TMAX!A:U,9+$E$2,FALSE),"")</f>
        <v>31.62928722448812</v>
      </c>
      <c r="AS278" s="68">
        <f t="shared" si="23"/>
        <v>1.9354186578648189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>
        <v>19.399999999999999</v>
      </c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17</v>
      </c>
      <c r="AQ279" s="68">
        <f t="shared" si="22"/>
        <v>20.976470588235291</v>
      </c>
      <c r="AR279" s="68">
        <f>IFERROR(VLOOKUP(A279,Climatologia_TMAX!A:U,9+$E$2,FALSE),"")</f>
        <v>20.492876344086021</v>
      </c>
      <c r="AS279" s="68">
        <f t="shared" si="23"/>
        <v>0.48359424414926977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>
        <v>28.4</v>
      </c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17</v>
      </c>
      <c r="AQ280" s="68">
        <f t="shared" si="22"/>
        <v>32.741176470588236</v>
      </c>
      <c r="AR280" s="68">
        <f>IFERROR(VLOOKUP(A280,Climatologia_TMAX!A:U,9+$E$2,FALSE),"")</f>
        <v>29.755468215712931</v>
      </c>
      <c r="AS280" s="68">
        <f t="shared" si="23"/>
        <v>2.9857082548753056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>
        <v>19</v>
      </c>
      <c r="AA281" s="66">
        <v>19.600000000000001</v>
      </c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17</v>
      </c>
      <c r="AQ281" s="68">
        <f t="shared" si="22"/>
        <v>22.070588235294121</v>
      </c>
      <c r="AR281" s="68">
        <f>IFERROR(VLOOKUP(A281,Climatologia_TMAX!A:U,9+$E$2,FALSE),"")</f>
        <v>19.62978110599078</v>
      </c>
      <c r="AS281" s="68">
        <f t="shared" si="23"/>
        <v>2.4408071293033409</v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>
        <v>18.600000000000001</v>
      </c>
      <c r="Y283" s="66">
        <v>19.600000000000001</v>
      </c>
      <c r="Z283" s="66">
        <v>18</v>
      </c>
      <c r="AA283" s="66">
        <v>18.600000000000001</v>
      </c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16</v>
      </c>
      <c r="AQ283" s="68">
        <f t="shared" si="22"/>
        <v>18.824999999999999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>
        <v>17.399999999999999</v>
      </c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17</v>
      </c>
      <c r="AQ284" s="68">
        <f t="shared" si="22"/>
        <v>19.152941176470588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>
        <v>19.600000000000001</v>
      </c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17</v>
      </c>
      <c r="AQ285" s="68">
        <f t="shared" si="22"/>
        <v>20.55294117647059</v>
      </c>
      <c r="AR285" s="68">
        <f>IFERROR(VLOOKUP(A285,Climatologia_TMAX!A:U,9+$E$2,FALSE),"")</f>
        <v>19.309961016360539</v>
      </c>
      <c r="AS285" s="68">
        <f t="shared" si="23"/>
        <v>1.2429801601100507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>
        <v>19.399999999999999</v>
      </c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16</v>
      </c>
      <c r="AQ287" s="68">
        <f t="shared" si="22"/>
        <v>19.574999999999999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7" width="11.42578125" style="42" customWidth="1"/>
    <col min="118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2026-08-18T15:09:30Z</dcterms:modified>
</cp:coreProperties>
</file>