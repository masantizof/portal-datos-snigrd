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02A0632-0507-4747-B69A-B0165ADB016B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<sst xmlns="http://schemas.openxmlformats.org/spreadsheetml/2006/main" count="603" uniqueCount="272">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</sst>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L22" activePane="bottomRight" state="frozen"/>
      <selection pane="topRight" activeCell="E1" sqref="E1"/>
      <selection pane="bottomLeft" activeCell="A4" sqref="A4"/>
      <selection pane="bottomRight" activeCell="V46" sqref="V4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>
        <v>32.799999999999997</v>
      </c>
      <c r="S5" s="63">
        <v>32</v>
      </c>
      <c r="T5" s="63">
        <v>32.6</v>
      </c>
      <c r="U5" s="63">
        <v>30.4</v>
      </c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30.4</v>
      </c>
      <c r="AK5" s="21">
        <f>+MAX($E5:$AI5)</f>
        <v>32.799999999999997</v>
      </c>
      <c r="AL5" s="22">
        <v>33.1</v>
      </c>
      <c r="AM5" s="23">
        <f>IF(AK5&gt;0,$AK5-$AL5,"")</f>
        <v>-0.30000000000000426</v>
      </c>
      <c r="AN5" s="23">
        <v>30.51594346942419</v>
      </c>
      <c r="AO5" s="23">
        <f>IF(COUNTIF(E5:AI5,"&gt;0")&gt;=15,AVERAGE(E5:AI5),"")</f>
        <v>31.71764705882353</v>
      </c>
      <c r="AP5" s="23">
        <f>IF(AN5&gt;0,IFERROR(AO5-AN5,""),"")</f>
        <v>1.2017035893993402</v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>
        <v>32.6</v>
      </c>
      <c r="S6" s="63">
        <v>32.700000000000003</v>
      </c>
      <c r="T6" s="63">
        <v>32</v>
      </c>
      <c r="U6" s="63">
        <v>31.4</v>
      </c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31.4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>
        <f t="shared" ref="AO6:AO15" si="3">IF(COUNTIF(E6:AI6,"&gt;0")&gt;=15,AVERAGE(E6:AI6),"")</f>
        <v>31.841176470588234</v>
      </c>
      <c r="AP6" s="23">
        <f t="shared" ref="AP6:AP48" si="4">IF(AN6&gt;0,IFERROR(AO6-AN6,""),"")</f>
        <v>0.79475216609942478</v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>
        <v>33.799999999999997</v>
      </c>
      <c r="R7" s="63">
        <v>35.799999999999997</v>
      </c>
      <c r="S7" s="63">
        <v>36.4</v>
      </c>
      <c r="T7" s="63">
        <v>35</v>
      </c>
      <c r="U7" s="63">
        <v>30.2</v>
      </c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30.2</v>
      </c>
      <c r="AK7" s="21">
        <f t="shared" si="1"/>
        <v>37.799999999999997</v>
      </c>
      <c r="AL7" s="22">
        <v>38.4</v>
      </c>
      <c r="AM7" s="23">
        <f t="shared" si="2"/>
        <v>-0.60000000000000142</v>
      </c>
      <c r="AN7" s="23">
        <v>33.115285708400279</v>
      </c>
      <c r="AO7" s="23">
        <f t="shared" si="3"/>
        <v>35.317647058823532</v>
      </c>
      <c r="AP7" s="23">
        <f t="shared" si="4"/>
        <v>2.2023613504232529</v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>
        <v>33.799999999999997</v>
      </c>
      <c r="R8" s="63">
        <v>33.6</v>
      </c>
      <c r="S8" s="63">
        <v>34</v>
      </c>
      <c r="T8" s="63">
        <v>35.1</v>
      </c>
      <c r="U8" s="63">
        <v>30.8</v>
      </c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30.8</v>
      </c>
      <c r="AK8" s="21">
        <f t="shared" si="1"/>
        <v>35.1</v>
      </c>
      <c r="AL8" s="22">
        <v>36.9</v>
      </c>
      <c r="AM8" s="23">
        <f t="shared" si="2"/>
        <v>-1.7999999999999972</v>
      </c>
      <c r="AN8" s="23">
        <v>32.243805889046577</v>
      </c>
      <c r="AO8" s="23">
        <f t="shared" si="3"/>
        <v>33.57058823529411</v>
      </c>
      <c r="AP8" s="23">
        <f t="shared" si="4"/>
        <v>1.3267823462475334</v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>
        <v>36.700000000000003</v>
      </c>
      <c r="R9" s="63">
        <v>33.6</v>
      </c>
      <c r="S9" s="63">
        <v>34.5</v>
      </c>
      <c r="T9" s="63">
        <v>36.9</v>
      </c>
      <c r="U9" s="63">
        <v>31</v>
      </c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31</v>
      </c>
      <c r="AK9" s="21">
        <f t="shared" si="1"/>
        <v>37.700000000000003</v>
      </c>
      <c r="AL9" s="22">
        <v>38.700000000000003</v>
      </c>
      <c r="AM9" s="23">
        <f t="shared" si="2"/>
        <v>-1</v>
      </c>
      <c r="AN9" s="23">
        <v>33.507160697070823</v>
      </c>
      <c r="AO9" s="23">
        <f t="shared" si="3"/>
        <v>34.811764705882354</v>
      </c>
      <c r="AP9" s="23">
        <f t="shared" si="4"/>
        <v>1.3046040088115305</v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>
        <v>38.5</v>
      </c>
      <c r="R10" s="63">
        <v>37.1</v>
      </c>
      <c r="S10" s="63">
        <v>36.6</v>
      </c>
      <c r="T10" s="63">
        <v>38</v>
      </c>
      <c r="U10" s="63">
        <v>36.200000000000003</v>
      </c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36.200000000000003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>
        <f t="shared" si="3"/>
        <v>36.858823529411765</v>
      </c>
      <c r="AP10" s="23">
        <f t="shared" si="4"/>
        <v>1.8208764963572079</v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>
        <v>42.4</v>
      </c>
      <c r="P11" s="63">
        <v>41.5</v>
      </c>
      <c r="Q11" s="63">
        <v>39</v>
      </c>
      <c r="R11" s="63">
        <v>39.200000000000003</v>
      </c>
      <c r="S11" s="63">
        <v>38.200000000000003</v>
      </c>
      <c r="T11" s="63">
        <v>38.799999999999997</v>
      </c>
      <c r="U11" s="63">
        <v>38.200000000000003</v>
      </c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38.200000000000003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>
        <f t="shared" si="3"/>
        <v>39.417647058823533</v>
      </c>
      <c r="AP11" s="23">
        <f t="shared" si="4"/>
        <v>4.2381846932321352</v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>
        <v>34.799999999999997</v>
      </c>
      <c r="R12" s="63">
        <v>36</v>
      </c>
      <c r="S12" s="63">
        <v>35.6</v>
      </c>
      <c r="T12" s="63">
        <v>34.200000000000003</v>
      </c>
      <c r="U12" s="63">
        <v>31.2</v>
      </c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31.2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>
        <f t="shared" si="3"/>
        <v>34.741176470588243</v>
      </c>
      <c r="AP12" s="23">
        <f t="shared" si="4"/>
        <v>2.6092620986103157</v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>
        <v>36</v>
      </c>
      <c r="R13" s="63">
        <v>36.6</v>
      </c>
      <c r="S13" s="63">
        <v>37.4</v>
      </c>
      <c r="T13" s="63">
        <v>35</v>
      </c>
      <c r="U13" s="63">
        <v>32.6</v>
      </c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32.6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>
        <f t="shared" si="3"/>
        <v>35.400000000000006</v>
      </c>
      <c r="AP13" s="23">
        <f t="shared" si="4"/>
        <v>2.4762416794674991</v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>
        <v>37.1</v>
      </c>
      <c r="P14" s="63">
        <v>37</v>
      </c>
      <c r="Q14" s="63">
        <v>34.9</v>
      </c>
      <c r="R14" s="63">
        <v>35.5</v>
      </c>
      <c r="S14" s="63">
        <v>35.799999999999997</v>
      </c>
      <c r="T14" s="63">
        <v>33.299999999999997</v>
      </c>
      <c r="U14" s="63">
        <v>30.1</v>
      </c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30.1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>
        <f t="shared" si="3"/>
        <v>34.54117647058824</v>
      </c>
      <c r="AP14" s="23">
        <f t="shared" si="4"/>
        <v>1.4760921897135191</v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>
        <v>33.200000000000003</v>
      </c>
      <c r="R15" s="63">
        <v>32.5</v>
      </c>
      <c r="S15" s="63">
        <v>32.4</v>
      </c>
      <c r="T15" s="63">
        <v>32</v>
      </c>
      <c r="U15" s="63">
        <v>27.9</v>
      </c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27.9</v>
      </c>
      <c r="AK15" s="21">
        <f t="shared" si="1"/>
        <v>34.299999999999997</v>
      </c>
      <c r="AL15" s="22">
        <v>35</v>
      </c>
      <c r="AM15" s="23">
        <f t="shared" si="2"/>
        <v>-0.70000000000000284</v>
      </c>
      <c r="AN15" s="23">
        <v>31.919167946748601</v>
      </c>
      <c r="AO15" s="23">
        <f t="shared" si="3"/>
        <v>31.835294117647056</v>
      </c>
      <c r="AP15" s="23">
        <f t="shared" si="4"/>
        <v>-8.3873829101545283E-2</v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>
        <v>37.4</v>
      </c>
      <c r="R17" s="63">
        <v>36</v>
      </c>
      <c r="S17" s="63">
        <v>36.5</v>
      </c>
      <c r="T17" s="63">
        <v>35.5</v>
      </c>
      <c r="U17" s="63">
        <v>33</v>
      </c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33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>
        <f>IF(COUNTIF(E17:AI17,"&gt;0")&gt;=15,AVERAGE(E17:AI17),"")</f>
        <v>35.805882352941182</v>
      </c>
      <c r="AP17" s="23">
        <f>IF(AN17&gt;0,IFERROR(AO17-AN17,""),"")</f>
        <v>3.1024971100787653</v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>
        <v>30.2</v>
      </c>
      <c r="R18" s="63">
        <v>30.5</v>
      </c>
      <c r="S18" s="63">
        <v>30</v>
      </c>
      <c r="T18" s="63">
        <v>27.5</v>
      </c>
      <c r="U18" s="63">
        <v>26.8</v>
      </c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26.8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>
        <f t="shared" ref="AO18:AO33" si="5">IF(COUNTIF(E18:AI18,"&gt;0")&gt;=15,AVERAGE(E18:AI18),"")</f>
        <v>29.294117647058822</v>
      </c>
      <c r="AP18" s="23">
        <f t="shared" si="4"/>
        <v>2.9504720875207937</v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>
        <v>37.6</v>
      </c>
      <c r="R19" s="63">
        <v>35.700000000000003</v>
      </c>
      <c r="S19" s="63">
        <v>34.200000000000003</v>
      </c>
      <c r="T19" s="63">
        <v>35.200000000000003</v>
      </c>
      <c r="U19" s="63">
        <v>35.200000000000003</v>
      </c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35.200000000000003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>
        <f t="shared" si="5"/>
        <v>35.588235294117652</v>
      </c>
      <c r="AP19" s="23">
        <f t="shared" si="4"/>
        <v>1.380828842504755</v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>
        <v>31.9</v>
      </c>
      <c r="R20" s="63">
        <v>32.299999999999997</v>
      </c>
      <c r="S20" s="63">
        <v>32.5</v>
      </c>
      <c r="T20" s="63">
        <v>30.6</v>
      </c>
      <c r="U20" s="63">
        <v>26.1</v>
      </c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26.1</v>
      </c>
      <c r="AK20" s="21">
        <f t="shared" si="1"/>
        <v>32.5</v>
      </c>
      <c r="AL20" s="22">
        <v>33.6</v>
      </c>
      <c r="AM20" s="23">
        <f t="shared" si="2"/>
        <v>-1.1000000000000014</v>
      </c>
      <c r="AN20" s="23">
        <v>28.699699180747569</v>
      </c>
      <c r="AO20" s="23">
        <f t="shared" si="5"/>
        <v>30.982352941176472</v>
      </c>
      <c r="AP20" s="23">
        <f t="shared" si="4"/>
        <v>2.2826537604289037</v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>
        <v>25</v>
      </c>
      <c r="R21" s="63">
        <v>25.8</v>
      </c>
      <c r="S21" s="63">
        <v>25.9</v>
      </c>
      <c r="T21" s="63">
        <v>24.9</v>
      </c>
      <c r="U21" s="63">
        <v>22.1</v>
      </c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22.1</v>
      </c>
      <c r="AK21" s="21">
        <f t="shared" si="1"/>
        <v>25.9</v>
      </c>
      <c r="AL21" s="22">
        <v>25.9</v>
      </c>
      <c r="AM21" s="23">
        <f t="shared" si="2"/>
        <v>0</v>
      </c>
      <c r="AN21" s="23">
        <v>22.70234743584826</v>
      </c>
      <c r="AO21" s="23">
        <f t="shared" si="5"/>
        <v>24.541176470588233</v>
      </c>
      <c r="AP21" s="23">
        <f t="shared" si="4"/>
        <v>1.8388290347399732</v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3">
        <v>35</v>
      </c>
      <c r="P23" s="63">
        <v>31.1</v>
      </c>
      <c r="Q23" s="63">
        <v>31.2</v>
      </c>
      <c r="R23" s="63">
        <v>31</v>
      </c>
      <c r="S23" s="63">
        <v>28.8</v>
      </c>
      <c r="T23" s="63">
        <v>25.2</v>
      </c>
      <c r="U23" s="63">
        <v>21.7</v>
      </c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21.7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>
        <f t="shared" si="5"/>
        <v>29.494117647058822</v>
      </c>
      <c r="AP23" s="23">
        <f t="shared" si="4"/>
        <v>2.18601442125237</v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>
        <v>33.9</v>
      </c>
      <c r="R24" s="63">
        <v>31.8</v>
      </c>
      <c r="S24" s="63">
        <v>29.8</v>
      </c>
      <c r="T24" s="63">
        <v>26.8</v>
      </c>
      <c r="U24" s="63">
        <v>24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24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>
        <f t="shared" si="5"/>
        <v>30.68823529411765</v>
      </c>
      <c r="AP24" s="23">
        <f t="shared" si="4"/>
        <v>1.866252020521479</v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>
        <v>35.799999999999997</v>
      </c>
      <c r="R25" s="63">
        <v>36.4</v>
      </c>
      <c r="S25" s="63">
        <v>35.4</v>
      </c>
      <c r="T25" s="63">
        <v>29</v>
      </c>
      <c r="U25" s="63">
        <v>27.6</v>
      </c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27.6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>
        <f t="shared" si="5"/>
        <v>34.235294117647058</v>
      </c>
      <c r="AP25" s="23">
        <f t="shared" si="4"/>
        <v>2.6767588666290862</v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>
        <v>19.899999999999999</v>
      </c>
      <c r="R26" s="63">
        <v>21.4</v>
      </c>
      <c r="S26" s="63">
        <v>21.5</v>
      </c>
      <c r="T26" s="63">
        <v>19.8</v>
      </c>
      <c r="U26" s="63">
        <v>18.5</v>
      </c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18.5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>
        <f t="shared" si="5"/>
        <v>19.905882352941177</v>
      </c>
      <c r="AP26" s="23">
        <f t="shared" si="4"/>
        <v>1.1329421915082456</v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>
        <v>21.6</v>
      </c>
      <c r="R27" s="63">
        <v>21.8</v>
      </c>
      <c r="S27" s="63">
        <v>21.4</v>
      </c>
      <c r="T27" s="63">
        <v>22.6</v>
      </c>
      <c r="U27" s="63">
        <v>20</v>
      </c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20</v>
      </c>
      <c r="AK27" s="21">
        <f t="shared" si="1"/>
        <v>22.6</v>
      </c>
      <c r="AL27" s="22">
        <v>22.4</v>
      </c>
      <c r="AM27" s="23">
        <f t="shared" si="2"/>
        <v>0.20000000000000284</v>
      </c>
      <c r="AN27" s="23">
        <v>17.087318670151451</v>
      </c>
      <c r="AO27" s="23">
        <f t="shared" si="5"/>
        <v>20.594117647058823</v>
      </c>
      <c r="AP27" s="23">
        <f t="shared" si="4"/>
        <v>3.5067989769073726</v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>
        <v>34.799999999999997</v>
      </c>
      <c r="R28" s="63">
        <v>32.5</v>
      </c>
      <c r="S28" s="63">
        <v>32</v>
      </c>
      <c r="T28" s="63">
        <v>28.3</v>
      </c>
      <c r="U28" s="63">
        <v>25.2</v>
      </c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25.2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>
        <f t="shared" si="5"/>
        <v>32.235294117647058</v>
      </c>
      <c r="AP28" s="23">
        <f t="shared" si="4"/>
        <v>1.1173739979198878</v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>
        <v>36.700000000000003</v>
      </c>
      <c r="R30" s="63">
        <v>35</v>
      </c>
      <c r="S30" s="63">
        <v>36.5</v>
      </c>
      <c r="T30" s="63">
        <v>34.299999999999997</v>
      </c>
      <c r="U30" s="63">
        <v>32.299999999999997</v>
      </c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32.299999999999997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>
        <f t="shared" si="5"/>
        <v>35.870588235294115</v>
      </c>
      <c r="AP30" s="23">
        <f t="shared" si="4"/>
        <v>1.2515559772296072</v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>
        <v>27.6</v>
      </c>
      <c r="R31" s="63">
        <v>25.9</v>
      </c>
      <c r="S31" s="63">
        <v>28.3</v>
      </c>
      <c r="T31" s="63">
        <v>24.8</v>
      </c>
      <c r="U31" s="63">
        <v>25.2</v>
      </c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25.2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>
        <f t="shared" si="5"/>
        <v>26.982352941176472</v>
      </c>
      <c r="AP31" s="23">
        <f t="shared" si="4"/>
        <v>0.83502328350695265</v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>
        <v>16.600000000000001</v>
      </c>
      <c r="R32" s="63">
        <v>16.2</v>
      </c>
      <c r="S32" s="63">
        <v>16.600000000000001</v>
      </c>
      <c r="T32" s="63">
        <v>17.600000000000001</v>
      </c>
      <c r="U32" s="63">
        <v>16.399999999999999</v>
      </c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16.399999999999999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>
        <f t="shared" si="5"/>
        <v>16.988235294117644</v>
      </c>
      <c r="AP32" s="23">
        <f t="shared" si="4"/>
        <v>0.55009988597259252</v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>
        <v>15</v>
      </c>
      <c r="R33" s="63">
        <v>13.8</v>
      </c>
      <c r="S33" s="63">
        <v>16</v>
      </c>
      <c r="T33" s="63">
        <v>16.600000000000001</v>
      </c>
      <c r="U33" s="63">
        <v>17.600000000000001</v>
      </c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17.600000000000001</v>
      </c>
      <c r="AK33" s="21">
        <f t="shared" si="1"/>
        <v>17.600000000000001</v>
      </c>
      <c r="AL33" s="22">
        <v>20.6</v>
      </c>
      <c r="AM33" s="23">
        <f t="shared" si="2"/>
        <v>-3</v>
      </c>
      <c r="AN33" s="23">
        <v>14.98521690767519</v>
      </c>
      <c r="AO33" s="23">
        <f t="shared" si="5"/>
        <v>15.494117647058822</v>
      </c>
      <c r="AP33" s="23">
        <f t="shared" si="4"/>
        <v>0.50890073938363223</v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>
        <v>36</v>
      </c>
      <c r="P35" s="63">
        <v>31.8</v>
      </c>
      <c r="Q35" s="63">
        <v>34.700000000000003</v>
      </c>
      <c r="R35" s="63">
        <v>32.799999999999997</v>
      </c>
      <c r="S35" s="63">
        <v>30.4</v>
      </c>
      <c r="T35" s="63">
        <v>29</v>
      </c>
      <c r="U35" s="63">
        <v>28</v>
      </c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28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>
        <f>IF(COUNTIF(E35:AI35,"&gt;0")&gt;=15,AVERAGE(E35:AI35),"")</f>
        <v>32.04117647058824</v>
      </c>
      <c r="AP35" s="23">
        <f t="shared" si="4"/>
        <v>0.81147680429236146</v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>
        <v>32.700000000000003</v>
      </c>
      <c r="R38" s="63">
        <v>32.4</v>
      </c>
      <c r="S38" s="63">
        <v>30.4</v>
      </c>
      <c r="T38" s="63">
        <v>29.4</v>
      </c>
      <c r="U38" s="63">
        <v>30.3</v>
      </c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30.3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>
        <f>IF(COUNTIF(E38:AI38,"&gt;0")&gt;=15,AVERAGE(E38:AI38),"")</f>
        <v>32.188235294117639</v>
      </c>
      <c r="AP38" s="23">
        <f t="shared" si="4"/>
        <v>1.3878768711785696</v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>
        <v>28.4</v>
      </c>
      <c r="R39" s="63">
        <v>33</v>
      </c>
      <c r="S39" s="63">
        <v>32.799999999999997</v>
      </c>
      <c r="T39" s="63">
        <v>30.4</v>
      </c>
      <c r="U39" s="63">
        <v>28.2</v>
      </c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28.2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>
        <f t="shared" ref="AO39:AO48" si="7">IF(COUNTIF(E39:AI39,"&gt;0")&gt;=15,AVERAGE(E39:AI39),"")</f>
        <v>32.005882352941178</v>
      </c>
      <c r="AP39" s="23">
        <f t="shared" si="4"/>
        <v>0.49224497808021894</v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>
        <v>31.4</v>
      </c>
      <c r="R40" s="63">
        <v>25.8</v>
      </c>
      <c r="S40" s="63">
        <v>29.4</v>
      </c>
      <c r="T40" s="63">
        <v>31.3</v>
      </c>
      <c r="U40" s="63">
        <v>26.3</v>
      </c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26.3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>
        <f t="shared" si="7"/>
        <v>30.552941176470579</v>
      </c>
      <c r="AP40" s="23">
        <f t="shared" si="4"/>
        <v>0.74537721651508093</v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>
        <v>32.6</v>
      </c>
      <c r="R41" s="63">
        <v>29.8</v>
      </c>
      <c r="S41" s="63">
        <v>30.8</v>
      </c>
      <c r="T41" s="63">
        <v>31.4</v>
      </c>
      <c r="U41" s="63">
        <v>31.2</v>
      </c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31.2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>
        <f t="shared" si="7"/>
        <v>32.000000000000007</v>
      </c>
      <c r="AP41" s="23">
        <f t="shared" si="4"/>
        <v>2.1486260454002384</v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>
        <v>32.4</v>
      </c>
      <c r="S43" s="63">
        <v>31.2</v>
      </c>
      <c r="T43" s="63">
        <v>31.8</v>
      </c>
      <c r="U43" s="63">
        <v>26.6</v>
      </c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26.6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>
        <f t="shared" si="7"/>
        <v>31.717647058823527</v>
      </c>
      <c r="AP43" s="23">
        <f t="shared" si="4"/>
        <v>0.6955726885159379</v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>
        <v>30.2</v>
      </c>
      <c r="S44" s="29">
        <v>31.2</v>
      </c>
      <c r="T44" s="29">
        <v>30.3</v>
      </c>
      <c r="U44" s="29">
        <v>31.4</v>
      </c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31.4</v>
      </c>
      <c r="AK44" s="21">
        <f t="shared" si="1"/>
        <v>32.4</v>
      </c>
      <c r="AL44" s="22">
        <v>34.4</v>
      </c>
      <c r="AM44" s="23">
        <f t="shared" si="2"/>
        <v>-2</v>
      </c>
      <c r="AN44" s="23">
        <v>30.14398006331821</v>
      </c>
      <c r="AO44" s="23">
        <f t="shared" si="7"/>
        <v>31.276470588235291</v>
      </c>
      <c r="AP44" s="23">
        <f t="shared" si="4"/>
        <v>1.1324905249170811</v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>
        <v>31.4</v>
      </c>
      <c r="S45" s="63">
        <v>29.4</v>
      </c>
      <c r="T45" s="63">
        <v>31.8</v>
      </c>
      <c r="U45" s="63">
        <v>30</v>
      </c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30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>
        <f t="shared" si="7"/>
        <v>31.658823529411755</v>
      </c>
      <c r="AP45" s="23">
        <f t="shared" si="4"/>
        <v>1.2382463898958562</v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>
        <v>33.299999999999997</v>
      </c>
      <c r="S48" s="63">
        <v>30.5</v>
      </c>
      <c r="T48" s="63">
        <v>32.4</v>
      </c>
      <c r="U48" s="63">
        <v>31</v>
      </c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31</v>
      </c>
      <c r="AK48" s="21">
        <f t="shared" si="1"/>
        <v>33.299999999999997</v>
      </c>
      <c r="AL48" s="22">
        <v>35.700000000000003</v>
      </c>
      <c r="AM48" s="23">
        <f t="shared" si="2"/>
        <v>-2.4000000000000057</v>
      </c>
      <c r="AN48" s="23">
        <v>31.390004135649299</v>
      </c>
      <c r="AO48" s="23">
        <f t="shared" si="7"/>
        <v>31.952941176470592</v>
      </c>
      <c r="AP48" s="23">
        <f t="shared" si="4"/>
        <v>0.56293704082129281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2026-08-18T13:41:22Z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