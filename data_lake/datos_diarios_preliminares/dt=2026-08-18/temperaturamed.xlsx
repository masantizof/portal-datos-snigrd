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DC218C8-B707-40A9-847C-2A4C1292123C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Q210" i="1"/>
  <c r="AS210" i="1" s="1"/>
  <c r="AP210" i="1"/>
  <c r="AR209" i="1"/>
  <c r="AQ209" i="1"/>
  <c r="AS209" i="1" s="1"/>
  <c r="AP209" i="1"/>
  <c r="AR208" i="1"/>
  <c r="AQ208" i="1"/>
  <c r="AS208" i="1" s="1"/>
  <c r="AP208" i="1"/>
  <c r="AR207" i="1"/>
  <c r="AP207" i="1"/>
  <c r="AQ207" i="1" s="1"/>
  <c r="AS207" i="1" s="1"/>
  <c r="AR206" i="1"/>
  <c r="AQ206" i="1"/>
  <c r="AS206" i="1" s="1"/>
  <c r="AP206" i="1"/>
  <c r="AR205" i="1"/>
  <c r="AQ205" i="1"/>
  <c r="AS205" i="1" s="1"/>
  <c r="AP205" i="1"/>
  <c r="AR204" i="1"/>
  <c r="AQ204" i="1"/>
  <c r="AS204" i="1" s="1"/>
  <c r="AP204" i="1"/>
  <c r="AR203" i="1"/>
  <c r="AQ203" i="1"/>
  <c r="AS203" i="1" s="1"/>
  <c r="AP203" i="1"/>
  <c r="AR202" i="1"/>
  <c r="AP202" i="1"/>
  <c r="AQ202" i="1" s="1"/>
  <c r="AS202" i="1" s="1"/>
  <c r="AR201" i="1"/>
  <c r="AQ201" i="1"/>
  <c r="AS201" i="1" s="1"/>
  <c r="AP201" i="1"/>
  <c r="AR200" i="1"/>
  <c r="AQ200" i="1"/>
  <c r="AS200" i="1" s="1"/>
  <c r="AP200" i="1"/>
  <c r="AR199" i="1"/>
  <c r="AQ199" i="1"/>
  <c r="AS199" i="1" s="1"/>
  <c r="AP199" i="1"/>
  <c r="AR198" i="1"/>
  <c r="AQ198" i="1"/>
  <c r="AS198" i="1" s="1"/>
  <c r="AP198" i="1"/>
  <c r="AR197" i="1"/>
  <c r="AP197" i="1"/>
  <c r="AQ197" i="1" s="1"/>
  <c r="AS197" i="1" s="1"/>
  <c r="AR196" i="1"/>
  <c r="AQ196" i="1"/>
  <c r="AS196" i="1" s="1"/>
  <c r="AP196" i="1"/>
  <c r="AR195" i="1"/>
  <c r="AQ195" i="1"/>
  <c r="AS195" i="1" s="1"/>
  <c r="AP195" i="1"/>
  <c r="AR194" i="1"/>
  <c r="AQ194" i="1"/>
  <c r="AS194" i="1" s="1"/>
  <c r="AP194" i="1"/>
  <c r="AR193" i="1"/>
  <c r="AQ193" i="1"/>
  <c r="AS193" i="1" s="1"/>
  <c r="AP193" i="1"/>
  <c r="AR192" i="1"/>
  <c r="AP192" i="1"/>
  <c r="AQ192" i="1" s="1"/>
  <c r="AS192" i="1" s="1"/>
  <c r="AR191" i="1"/>
  <c r="AQ191" i="1"/>
  <c r="AS191" i="1" s="1"/>
  <c r="AP191" i="1"/>
  <c r="AR190" i="1"/>
  <c r="AQ190" i="1"/>
  <c r="AS190" i="1" s="1"/>
  <c r="AP190" i="1"/>
  <c r="AR189" i="1"/>
  <c r="AQ189" i="1"/>
  <c r="AS189" i="1" s="1"/>
  <c r="AP189" i="1"/>
  <c r="AR188" i="1"/>
  <c r="AQ188" i="1"/>
  <c r="AS188" i="1" s="1"/>
  <c r="AP188" i="1"/>
  <c r="AR187" i="1"/>
  <c r="AP187" i="1"/>
  <c r="AQ187" i="1" s="1"/>
  <c r="AS187" i="1" s="1"/>
  <c r="AR186" i="1"/>
  <c r="AQ186" i="1"/>
  <c r="AS186" i="1" s="1"/>
  <c r="AP186" i="1"/>
  <c r="AR185" i="1"/>
  <c r="AQ185" i="1"/>
  <c r="AS185" i="1" s="1"/>
  <c r="AP185" i="1"/>
  <c r="AR184" i="1"/>
  <c r="AQ184" i="1"/>
  <c r="AS184" i="1" s="1"/>
  <c r="AP184" i="1"/>
  <c r="AR183" i="1"/>
  <c r="AQ183" i="1"/>
  <c r="AS183" i="1" s="1"/>
  <c r="AP183" i="1"/>
  <c r="AR182" i="1"/>
  <c r="AP182" i="1"/>
  <c r="AQ182" i="1" s="1"/>
  <c r="AS182" i="1" s="1"/>
  <c r="AR181" i="1"/>
  <c r="AQ181" i="1"/>
  <c r="AS181" i="1" s="1"/>
  <c r="AP181" i="1"/>
  <c r="AR180" i="1"/>
  <c r="AQ180" i="1"/>
  <c r="AS180" i="1" s="1"/>
  <c r="AP180" i="1"/>
  <c r="AR179" i="1"/>
  <c r="AQ179" i="1"/>
  <c r="AS179" i="1" s="1"/>
  <c r="AP179" i="1"/>
  <c r="AR178" i="1"/>
  <c r="AQ178" i="1"/>
  <c r="AS178" i="1" s="1"/>
  <c r="AP178" i="1"/>
  <c r="AR177" i="1"/>
  <c r="AP177" i="1"/>
  <c r="AQ177" i="1" s="1"/>
  <c r="AS177" i="1" s="1"/>
  <c r="AR176" i="1"/>
  <c r="AQ176" i="1"/>
  <c r="AS176" i="1" s="1"/>
  <c r="AP176" i="1"/>
  <c r="AR175" i="1"/>
  <c r="AQ175" i="1"/>
  <c r="AS175" i="1" s="1"/>
  <c r="AP175" i="1"/>
  <c r="AR174" i="1"/>
  <c r="AQ174" i="1"/>
  <c r="AS174" i="1" s="1"/>
  <c r="AP174" i="1"/>
  <c r="AR173" i="1"/>
  <c r="AQ173" i="1"/>
  <c r="AS173" i="1" s="1"/>
  <c r="AP173" i="1"/>
  <c r="AR172" i="1"/>
  <c r="AP172" i="1"/>
  <c r="AQ172" i="1" s="1"/>
  <c r="AS172" i="1" s="1"/>
  <c r="AR171" i="1"/>
  <c r="AQ171" i="1"/>
  <c r="AS171" i="1" s="1"/>
  <c r="AP171" i="1"/>
  <c r="AR170" i="1"/>
  <c r="AQ170" i="1"/>
  <c r="AS170" i="1" s="1"/>
  <c r="AP170" i="1"/>
  <c r="AR169" i="1"/>
  <c r="AQ169" i="1"/>
  <c r="AS169" i="1" s="1"/>
  <c r="AP169" i="1"/>
  <c r="AR168" i="1"/>
  <c r="AQ168" i="1"/>
  <c r="AS168" i="1" s="1"/>
  <c r="AP168" i="1"/>
  <c r="AR167" i="1"/>
  <c r="AP167" i="1"/>
  <c r="AQ167" i="1" s="1"/>
  <c r="AS167" i="1" s="1"/>
  <c r="AR166" i="1"/>
  <c r="AQ166" i="1"/>
  <c r="AS166" i="1" s="1"/>
  <c r="AP166" i="1"/>
  <c r="AR165" i="1"/>
  <c r="AQ165" i="1"/>
  <c r="AS165" i="1" s="1"/>
  <c r="AP165" i="1"/>
  <c r="AR164" i="1"/>
  <c r="AQ164" i="1"/>
  <c r="AS164" i="1" s="1"/>
  <c r="AP164" i="1"/>
  <c r="AR163" i="1"/>
  <c r="AQ163" i="1"/>
  <c r="AS163" i="1" s="1"/>
  <c r="AP163" i="1"/>
  <c r="AR162" i="1"/>
  <c r="AP162" i="1"/>
  <c r="AQ162" i="1" s="1"/>
  <c r="AS162" i="1" s="1"/>
  <c r="AR161" i="1"/>
  <c r="AQ161" i="1"/>
  <c r="AS161" i="1" s="1"/>
  <c r="AP161" i="1"/>
  <c r="AR160" i="1"/>
  <c r="AQ160" i="1"/>
  <c r="AS160" i="1" s="1"/>
  <c r="AP160" i="1"/>
  <c r="AR159" i="1"/>
  <c r="AQ159" i="1"/>
  <c r="AS159" i="1" s="1"/>
  <c r="AP159" i="1"/>
  <c r="AR158" i="1"/>
  <c r="AQ158" i="1"/>
  <c r="AS158" i="1" s="1"/>
  <c r="AP158" i="1"/>
  <c r="AR157" i="1"/>
  <c r="AP157" i="1"/>
  <c r="AQ157" i="1" s="1"/>
  <c r="AS157" i="1" s="1"/>
  <c r="AR156" i="1"/>
  <c r="AQ156" i="1"/>
  <c r="AS156" i="1" s="1"/>
  <c r="AP156" i="1"/>
  <c r="AR155" i="1"/>
  <c r="AQ155" i="1"/>
  <c r="AS155" i="1" s="1"/>
  <c r="AP155" i="1"/>
  <c r="AR154" i="1"/>
  <c r="AQ154" i="1"/>
  <c r="AS154" i="1" s="1"/>
  <c r="AP154" i="1"/>
  <c r="AR153" i="1"/>
  <c r="AQ153" i="1"/>
  <c r="AS153" i="1" s="1"/>
  <c r="AP153" i="1"/>
  <c r="AR152" i="1"/>
  <c r="AP152" i="1"/>
  <c r="AQ152" i="1" s="1"/>
  <c r="AS152" i="1" s="1"/>
  <c r="AR151" i="1"/>
  <c r="AQ151" i="1"/>
  <c r="AS151" i="1" s="1"/>
  <c r="AP151" i="1"/>
  <c r="AR150" i="1"/>
  <c r="AQ150" i="1"/>
  <c r="AS150" i="1" s="1"/>
  <c r="AP150" i="1"/>
  <c r="AR149" i="1"/>
  <c r="AQ149" i="1"/>
  <c r="AS149" i="1" s="1"/>
  <c r="AP149" i="1"/>
  <c r="AR148" i="1"/>
  <c r="AQ148" i="1"/>
  <c r="AS148" i="1" s="1"/>
  <c r="AP148" i="1"/>
  <c r="AR147" i="1"/>
  <c r="AP147" i="1"/>
  <c r="AQ147" i="1" s="1"/>
  <c r="AS147" i="1" s="1"/>
  <c r="AR146" i="1"/>
  <c r="AQ146" i="1"/>
  <c r="AS146" i="1" s="1"/>
  <c r="AP146" i="1"/>
  <c r="AR145" i="1"/>
  <c r="AQ145" i="1"/>
  <c r="AS145" i="1" s="1"/>
  <c r="AP145" i="1"/>
  <c r="AR144" i="1"/>
  <c r="AQ144" i="1"/>
  <c r="AS144" i="1" s="1"/>
  <c r="AP144" i="1"/>
  <c r="AR143" i="1"/>
  <c r="AQ143" i="1"/>
  <c r="AS143" i="1" s="1"/>
  <c r="AP143" i="1"/>
  <c r="AR142" i="1"/>
  <c r="AP142" i="1"/>
  <c r="AQ142" i="1" s="1"/>
  <c r="AS142" i="1" s="1"/>
  <c r="AR141" i="1"/>
  <c r="AQ141" i="1"/>
  <c r="AS141" i="1" s="1"/>
  <c r="AP141" i="1"/>
  <c r="AR140" i="1"/>
  <c r="AQ140" i="1"/>
  <c r="AS140" i="1" s="1"/>
  <c r="AP140" i="1"/>
  <c r="AR139" i="1"/>
  <c r="AQ139" i="1"/>
  <c r="AS139" i="1" s="1"/>
  <c r="AP139" i="1"/>
  <c r="AR138" i="1"/>
  <c r="AQ138" i="1"/>
  <c r="AS138" i="1" s="1"/>
  <c r="AP138" i="1"/>
  <c r="AR137" i="1"/>
  <c r="AP137" i="1"/>
  <c r="AQ137" i="1" s="1"/>
  <c r="AS137" i="1" s="1"/>
  <c r="AR136" i="1"/>
  <c r="AQ136" i="1"/>
  <c r="AS136" i="1" s="1"/>
  <c r="AP136" i="1"/>
  <c r="AR135" i="1"/>
  <c r="AQ135" i="1"/>
  <c r="AS135" i="1" s="1"/>
  <c r="AP135" i="1"/>
  <c r="AR134" i="1"/>
  <c r="AQ134" i="1"/>
  <c r="AS134" i="1" s="1"/>
  <c r="AP134" i="1"/>
  <c r="AR133" i="1"/>
  <c r="AQ133" i="1"/>
  <c r="AS133" i="1" s="1"/>
  <c r="AP133" i="1"/>
  <c r="AR132" i="1"/>
  <c r="AP132" i="1"/>
  <c r="AQ132" i="1" s="1"/>
  <c r="AS132" i="1" s="1"/>
  <c r="AR131" i="1"/>
  <c r="AQ131" i="1"/>
  <c r="AS131" i="1" s="1"/>
  <c r="AP131" i="1"/>
  <c r="AR130" i="1"/>
  <c r="AQ130" i="1"/>
  <c r="AS130" i="1" s="1"/>
  <c r="AP130" i="1"/>
  <c r="AR129" i="1"/>
  <c r="AQ129" i="1"/>
  <c r="AS129" i="1" s="1"/>
  <c r="AP129" i="1"/>
  <c r="AR128" i="1"/>
  <c r="AQ128" i="1"/>
  <c r="AS128" i="1" s="1"/>
  <c r="AP128" i="1"/>
  <c r="AR127" i="1"/>
  <c r="AP127" i="1"/>
  <c r="AQ127" i="1" s="1"/>
  <c r="AS127" i="1" s="1"/>
  <c r="AR126" i="1"/>
  <c r="AQ126" i="1"/>
  <c r="AS126" i="1" s="1"/>
  <c r="AP126" i="1"/>
  <c r="AR125" i="1"/>
  <c r="AQ125" i="1"/>
  <c r="AS125" i="1" s="1"/>
  <c r="AP125" i="1"/>
  <c r="AR124" i="1"/>
  <c r="AQ124" i="1"/>
  <c r="AS124" i="1" s="1"/>
  <c r="AP124" i="1"/>
  <c r="AR123" i="1"/>
  <c r="AQ123" i="1"/>
  <c r="AS123" i="1" s="1"/>
  <c r="AP123" i="1"/>
  <c r="AR122" i="1"/>
  <c r="AP122" i="1"/>
  <c r="AQ122" i="1" s="1"/>
  <c r="AS122" i="1" s="1"/>
  <c r="AR121" i="1"/>
  <c r="AQ121" i="1"/>
  <c r="AS121" i="1" s="1"/>
  <c r="AP121" i="1"/>
  <c r="AR120" i="1"/>
  <c r="AQ120" i="1"/>
  <c r="AS120" i="1" s="1"/>
  <c r="AP120" i="1"/>
  <c r="AR119" i="1"/>
  <c r="AQ119" i="1"/>
  <c r="AS119" i="1" s="1"/>
  <c r="AP119" i="1"/>
  <c r="AR118" i="1"/>
  <c r="AQ118" i="1"/>
  <c r="AS118" i="1" s="1"/>
  <c r="AP118" i="1"/>
  <c r="AR117" i="1"/>
  <c r="AP117" i="1"/>
  <c r="AQ117" i="1" s="1"/>
  <c r="AS117" i="1" s="1"/>
  <c r="AR116" i="1"/>
  <c r="AQ116" i="1"/>
  <c r="AS116" i="1" s="1"/>
  <c r="AP116" i="1"/>
  <c r="AR115" i="1"/>
  <c r="AQ115" i="1"/>
  <c r="AS115" i="1" s="1"/>
  <c r="AP115" i="1"/>
  <c r="AR114" i="1"/>
  <c r="AQ114" i="1"/>
  <c r="AS114" i="1" s="1"/>
  <c r="AP114" i="1"/>
  <c r="AR113" i="1"/>
  <c r="AQ113" i="1"/>
  <c r="AS113" i="1" s="1"/>
  <c r="AP113" i="1"/>
  <c r="AR112" i="1"/>
  <c r="AP112" i="1"/>
  <c r="AQ112" i="1" s="1"/>
  <c r="AS112" i="1" s="1"/>
  <c r="AR111" i="1"/>
  <c r="AQ111" i="1"/>
  <c r="AS111" i="1" s="1"/>
  <c r="AP111" i="1"/>
  <c r="AR110" i="1"/>
  <c r="AQ110" i="1"/>
  <c r="AS110" i="1" s="1"/>
  <c r="AP110" i="1"/>
  <c r="AR109" i="1"/>
  <c r="AQ109" i="1"/>
  <c r="AS109" i="1" s="1"/>
  <c r="AP109" i="1"/>
  <c r="AR108" i="1"/>
  <c r="AQ108" i="1"/>
  <c r="AS108" i="1" s="1"/>
  <c r="AP108" i="1"/>
  <c r="AR107" i="1"/>
  <c r="AP107" i="1"/>
  <c r="AQ107" i="1" s="1"/>
  <c r="AS107" i="1" s="1"/>
  <c r="AR106" i="1"/>
  <c r="AQ106" i="1"/>
  <c r="AS106" i="1" s="1"/>
  <c r="AP106" i="1"/>
  <c r="AR105" i="1"/>
  <c r="AQ105" i="1"/>
  <c r="AS105" i="1" s="1"/>
  <c r="AP105" i="1"/>
  <c r="AR104" i="1"/>
  <c r="AQ104" i="1"/>
  <c r="AS104" i="1" s="1"/>
  <c r="AP104" i="1"/>
  <c r="AR103" i="1"/>
  <c r="AQ103" i="1"/>
  <c r="AS103" i="1" s="1"/>
  <c r="AP103" i="1"/>
  <c r="AR102" i="1"/>
  <c r="AP102" i="1"/>
  <c r="AQ102" i="1" s="1"/>
  <c r="AS102" i="1" s="1"/>
  <c r="AR101" i="1"/>
  <c r="AQ101" i="1"/>
  <c r="AS101" i="1" s="1"/>
  <c r="AP101" i="1"/>
  <c r="AR100" i="1"/>
  <c r="AQ100" i="1"/>
  <c r="AS100" i="1" s="1"/>
  <c r="AP100" i="1"/>
  <c r="AR99" i="1"/>
  <c r="AQ99" i="1"/>
  <c r="AS99" i="1" s="1"/>
  <c r="AP99" i="1"/>
  <c r="AR98" i="1"/>
  <c r="AQ98" i="1"/>
  <c r="AS98" i="1" s="1"/>
  <c r="AP98" i="1"/>
  <c r="AR97" i="1"/>
  <c r="AP97" i="1"/>
  <c r="AQ97" i="1" s="1"/>
  <c r="AS97" i="1" s="1"/>
  <c r="AR96" i="1"/>
  <c r="AQ96" i="1"/>
  <c r="AS96" i="1" s="1"/>
  <c r="AP96" i="1"/>
  <c r="AR95" i="1"/>
  <c r="AQ95" i="1"/>
  <c r="AS95" i="1" s="1"/>
  <c r="AP95" i="1"/>
  <c r="AR94" i="1"/>
  <c r="AQ94" i="1"/>
  <c r="AS94" i="1" s="1"/>
  <c r="AP94" i="1"/>
  <c r="AR93" i="1"/>
  <c r="AQ93" i="1"/>
  <c r="AS93" i="1" s="1"/>
  <c r="AP93" i="1"/>
  <c r="AR92" i="1"/>
  <c r="AP92" i="1"/>
  <c r="AQ92" i="1" s="1"/>
  <c r="AS92" i="1" s="1"/>
  <c r="AR91" i="1"/>
  <c r="AQ91" i="1"/>
  <c r="AS91" i="1" s="1"/>
  <c r="AP91" i="1"/>
  <c r="AR90" i="1"/>
  <c r="AQ90" i="1"/>
  <c r="AS90" i="1" s="1"/>
  <c r="AP90" i="1"/>
  <c r="AR89" i="1"/>
  <c r="AQ89" i="1"/>
  <c r="AS89" i="1" s="1"/>
  <c r="AP89" i="1"/>
  <c r="AR88" i="1"/>
  <c r="AQ88" i="1"/>
  <c r="AS88" i="1" s="1"/>
  <c r="AP88" i="1"/>
  <c r="AR87" i="1"/>
  <c r="AP87" i="1"/>
  <c r="AQ87" i="1" s="1"/>
  <c r="AS87" i="1" s="1"/>
  <c r="AR86" i="1"/>
  <c r="AQ86" i="1"/>
  <c r="AS86" i="1" s="1"/>
  <c r="AP86" i="1"/>
  <c r="AR85" i="1"/>
  <c r="AQ85" i="1"/>
  <c r="AS85" i="1" s="1"/>
  <c r="AP85" i="1"/>
  <c r="AR84" i="1"/>
  <c r="AQ84" i="1"/>
  <c r="AS84" i="1" s="1"/>
  <c r="AP84" i="1"/>
  <c r="AR83" i="1"/>
  <c r="AQ83" i="1"/>
  <c r="AS83" i="1" s="1"/>
  <c r="AP83" i="1"/>
  <c r="AR82" i="1"/>
  <c r="AP82" i="1"/>
  <c r="AQ82" i="1" s="1"/>
  <c r="AS82" i="1" s="1"/>
  <c r="AR81" i="1"/>
  <c r="AQ81" i="1"/>
  <c r="AS81" i="1" s="1"/>
  <c r="AP81" i="1"/>
  <c r="AR80" i="1"/>
  <c r="AQ80" i="1"/>
  <c r="AS80" i="1" s="1"/>
  <c r="AP80" i="1"/>
  <c r="AR79" i="1"/>
  <c r="AQ79" i="1"/>
  <c r="AS79" i="1" s="1"/>
  <c r="AP79" i="1"/>
  <c r="AR78" i="1"/>
  <c r="AQ78" i="1"/>
  <c r="AS78" i="1" s="1"/>
  <c r="AP78" i="1"/>
  <c r="AR77" i="1"/>
  <c r="AP77" i="1"/>
  <c r="AQ77" i="1" s="1"/>
  <c r="AS77" i="1" s="1"/>
  <c r="AR76" i="1"/>
  <c r="AQ76" i="1"/>
  <c r="AS76" i="1" s="1"/>
  <c r="AP76" i="1"/>
  <c r="AR75" i="1"/>
  <c r="AQ75" i="1"/>
  <c r="AS75" i="1" s="1"/>
  <c r="AP75" i="1"/>
  <c r="AR74" i="1"/>
  <c r="AQ74" i="1"/>
  <c r="AS74" i="1" s="1"/>
  <c r="AP74" i="1"/>
  <c r="AR73" i="1"/>
  <c r="AQ73" i="1"/>
  <c r="AS73" i="1" s="1"/>
  <c r="AP73" i="1"/>
  <c r="AR72" i="1"/>
  <c r="AP72" i="1"/>
  <c r="AQ72" i="1" s="1"/>
  <c r="AS72" i="1" s="1"/>
  <c r="AR71" i="1"/>
  <c r="AQ71" i="1"/>
  <c r="AS71" i="1" s="1"/>
  <c r="AP71" i="1"/>
  <c r="AR70" i="1"/>
  <c r="AQ70" i="1"/>
  <c r="AS70" i="1" s="1"/>
  <c r="AP70" i="1"/>
  <c r="AR69" i="1"/>
  <c r="AQ69" i="1"/>
  <c r="AS69" i="1" s="1"/>
  <c r="AP69" i="1"/>
  <c r="AR68" i="1"/>
  <c r="AQ68" i="1"/>
  <c r="AS68" i="1" s="1"/>
  <c r="AP68" i="1"/>
  <c r="AR67" i="1"/>
  <c r="AP67" i="1"/>
  <c r="AQ67" i="1" s="1"/>
  <c r="AS67" i="1" s="1"/>
  <c r="AR66" i="1"/>
  <c r="AQ66" i="1"/>
  <c r="AS66" i="1" s="1"/>
  <c r="AP66" i="1"/>
  <c r="AR65" i="1"/>
  <c r="AQ65" i="1"/>
  <c r="AS65" i="1" s="1"/>
  <c r="AP65" i="1"/>
  <c r="AR64" i="1"/>
  <c r="AQ64" i="1"/>
  <c r="AS64" i="1" s="1"/>
  <c r="AP64" i="1"/>
  <c r="AR63" i="1"/>
  <c r="AQ63" i="1"/>
  <c r="AS63" i="1" s="1"/>
  <c r="AP63" i="1"/>
  <c r="AR62" i="1"/>
  <c r="AP62" i="1"/>
  <c r="AQ62" i="1" s="1"/>
  <c r="AS62" i="1" s="1"/>
  <c r="AR61" i="1"/>
  <c r="AQ61" i="1"/>
  <c r="AS61" i="1" s="1"/>
  <c r="AP61" i="1"/>
  <c r="AR60" i="1"/>
  <c r="AQ60" i="1"/>
  <c r="AS60" i="1" s="1"/>
  <c r="AP60" i="1"/>
  <c r="AR59" i="1"/>
  <c r="AQ59" i="1"/>
  <c r="AS59" i="1" s="1"/>
  <c r="AP59" i="1"/>
  <c r="AR58" i="1"/>
  <c r="AQ58" i="1"/>
  <c r="AS58" i="1" s="1"/>
  <c r="AP58" i="1"/>
  <c r="AR57" i="1"/>
  <c r="AP57" i="1"/>
  <c r="AQ57" i="1" s="1"/>
  <c r="AS57" i="1" s="1"/>
  <c r="AR56" i="1"/>
  <c r="AQ56" i="1"/>
  <c r="AS56" i="1" s="1"/>
  <c r="AP56" i="1"/>
  <c r="AR55" i="1"/>
  <c r="AQ55" i="1"/>
  <c r="AS55" i="1" s="1"/>
  <c r="AP55" i="1"/>
  <c r="AR54" i="1"/>
  <c r="AQ54" i="1"/>
  <c r="AS54" i="1" s="1"/>
  <c r="AP54" i="1"/>
  <c r="AR53" i="1"/>
  <c r="AQ53" i="1"/>
  <c r="AS53" i="1" s="1"/>
  <c r="AP53" i="1"/>
  <c r="AR52" i="1"/>
  <c r="AP52" i="1"/>
  <c r="AQ52" i="1" s="1"/>
  <c r="AS52" i="1" s="1"/>
  <c r="AR51" i="1"/>
  <c r="AQ51" i="1"/>
  <c r="AS51" i="1" s="1"/>
  <c r="AP51" i="1"/>
  <c r="AR50" i="1"/>
  <c r="AQ50" i="1"/>
  <c r="AS50" i="1" s="1"/>
  <c r="AP50" i="1"/>
  <c r="AR49" i="1"/>
  <c r="AQ49" i="1"/>
  <c r="AS49" i="1" s="1"/>
  <c r="AP49" i="1"/>
  <c r="AR48" i="1"/>
  <c r="AQ48" i="1"/>
  <c r="AS48" i="1" s="1"/>
  <c r="AP48" i="1"/>
  <c r="AR47" i="1"/>
  <c r="AP47" i="1"/>
  <c r="AQ47" i="1" s="1"/>
  <c r="AS47" i="1" s="1"/>
  <c r="AR46" i="1"/>
  <c r="AQ46" i="1"/>
  <c r="AS46" i="1" s="1"/>
  <c r="AP46" i="1"/>
  <c r="AR45" i="1"/>
  <c r="AQ45" i="1"/>
  <c r="AS45" i="1" s="1"/>
  <c r="AP45" i="1"/>
  <c r="AR44" i="1"/>
  <c r="AQ44" i="1"/>
  <c r="AS44" i="1" s="1"/>
  <c r="AP44" i="1"/>
  <c r="AR43" i="1"/>
  <c r="AQ43" i="1"/>
  <c r="AS43" i="1" s="1"/>
  <c r="AP43" i="1"/>
  <c r="AR42" i="1"/>
  <c r="AP42" i="1"/>
  <c r="AQ42" i="1" s="1"/>
  <c r="AS42" i="1" s="1"/>
  <c r="AR41" i="1"/>
  <c r="AQ41" i="1"/>
  <c r="AS41" i="1" s="1"/>
  <c r="AP41" i="1"/>
  <c r="AR40" i="1"/>
  <c r="AQ40" i="1"/>
  <c r="AS40" i="1" s="1"/>
  <c r="AP40" i="1"/>
  <c r="AR39" i="1"/>
  <c r="AQ39" i="1"/>
  <c r="AS39" i="1" s="1"/>
  <c r="AP39" i="1"/>
  <c r="AR38" i="1"/>
  <c r="AQ38" i="1"/>
  <c r="AS38" i="1" s="1"/>
  <c r="AP38" i="1"/>
  <c r="AR37" i="1"/>
  <c r="AP37" i="1"/>
  <c r="AQ37" i="1" s="1"/>
  <c r="AS37" i="1" s="1"/>
  <c r="AR36" i="1"/>
  <c r="AQ36" i="1"/>
  <c r="AS36" i="1" s="1"/>
  <c r="AP36" i="1"/>
  <c r="AR35" i="1"/>
  <c r="AQ35" i="1"/>
  <c r="AS35" i="1" s="1"/>
  <c r="AP35" i="1"/>
  <c r="AR34" i="1"/>
  <c r="AQ34" i="1"/>
  <c r="AS34" i="1" s="1"/>
  <c r="AP34" i="1"/>
  <c r="AR33" i="1"/>
  <c r="AQ33" i="1"/>
  <c r="AS33" i="1" s="1"/>
  <c r="AP33" i="1"/>
  <c r="AR32" i="1"/>
  <c r="AP32" i="1"/>
  <c r="AQ32" i="1" s="1"/>
  <c r="AS32" i="1" s="1"/>
  <c r="AR31" i="1"/>
  <c r="AQ31" i="1"/>
  <c r="AS31" i="1" s="1"/>
  <c r="AP31" i="1"/>
  <c r="AR30" i="1"/>
  <c r="AQ30" i="1"/>
  <c r="AS30" i="1" s="1"/>
  <c r="AP30" i="1"/>
  <c r="AR29" i="1"/>
  <c r="AQ29" i="1"/>
  <c r="AS29" i="1" s="1"/>
  <c r="AP29" i="1"/>
  <c r="AR28" i="1"/>
  <c r="AQ28" i="1"/>
  <c r="AS28" i="1" s="1"/>
  <c r="AP28" i="1"/>
  <c r="AR27" i="1"/>
  <c r="AP27" i="1"/>
  <c r="AQ27" i="1" s="1"/>
  <c r="AS27" i="1" s="1"/>
  <c r="AR26" i="1"/>
  <c r="AQ26" i="1"/>
  <c r="AS26" i="1" s="1"/>
  <c r="AP26" i="1"/>
  <c r="AR25" i="1"/>
  <c r="AQ25" i="1"/>
  <c r="AS25" i="1" s="1"/>
  <c r="AP25" i="1"/>
  <c r="AR24" i="1"/>
  <c r="AQ24" i="1"/>
  <c r="AS24" i="1" s="1"/>
  <c r="AP24" i="1"/>
  <c r="AR23" i="1"/>
  <c r="AQ23" i="1"/>
  <c r="AS23" i="1" s="1"/>
  <c r="AP23" i="1"/>
  <c r="AR22" i="1"/>
  <c r="AP22" i="1"/>
  <c r="AQ22" i="1" s="1"/>
  <c r="AS22" i="1" s="1"/>
  <c r="AR21" i="1"/>
  <c r="AQ21" i="1"/>
  <c r="AS21" i="1" s="1"/>
  <c r="AP21" i="1"/>
  <c r="AR20" i="1"/>
  <c r="AQ20" i="1"/>
  <c r="AS20" i="1" s="1"/>
  <c r="AP20" i="1"/>
  <c r="AR19" i="1"/>
  <c r="AQ19" i="1"/>
  <c r="AS19" i="1" s="1"/>
  <c r="AP19" i="1"/>
  <c r="AR18" i="1"/>
  <c r="AQ18" i="1"/>
  <c r="AS18" i="1" s="1"/>
  <c r="AP18" i="1"/>
  <c r="AR17" i="1"/>
  <c r="AP17" i="1"/>
  <c r="AQ17" i="1" s="1"/>
  <c r="AS17" i="1" s="1"/>
  <c r="AR16" i="1"/>
  <c r="AQ16" i="1"/>
  <c r="AS16" i="1" s="1"/>
  <c r="AP16" i="1"/>
  <c r="AR15" i="1"/>
  <c r="AQ15" i="1"/>
  <c r="AS15" i="1" s="1"/>
  <c r="AP15" i="1"/>
  <c r="AR14" i="1"/>
  <c r="AQ14" i="1"/>
  <c r="AS14" i="1" s="1"/>
  <c r="AP14" i="1"/>
  <c r="AR13" i="1"/>
  <c r="AQ13" i="1"/>
  <c r="AS13" i="1" s="1"/>
  <c r="AP13" i="1"/>
  <c r="AR12" i="1"/>
  <c r="AP12" i="1"/>
  <c r="AQ12" i="1" s="1"/>
  <c r="AS12" i="1" s="1"/>
  <c r="AR11" i="1"/>
  <c r="AQ11" i="1"/>
  <c r="AS11" i="1" s="1"/>
  <c r="AP11" i="1"/>
  <c r="AR10" i="1"/>
  <c r="AQ10" i="1"/>
  <c r="AS10" i="1" s="1"/>
  <c r="AP10" i="1"/>
  <c r="AR9" i="1"/>
  <c r="AQ9" i="1"/>
  <c r="AS9" i="1" s="1"/>
  <c r="AP9" i="1"/>
  <c r="AR8" i="1"/>
  <c r="AQ8" i="1"/>
  <c r="AS8" i="1" s="1"/>
  <c r="AP8" i="1"/>
  <c r="AR7" i="1"/>
  <c r="AP7" i="1"/>
  <c r="AQ7" i="1" s="1"/>
  <c r="AS7" i="1" s="1"/>
  <c r="AR6" i="1"/>
  <c r="AQ6" i="1"/>
  <c r="AS6" i="1" s="1"/>
  <c r="AP6" i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<sst xmlns="http://schemas.openxmlformats.org/spreadsheetml/2006/main" count="3690" uniqueCount="1514">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</sst>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89" zoomScale="80" zoomScaleNormal="80" workbookViewId="0">
      <selection activeCell="AE12" sqref="AE1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6" width="32.42578125" style="50" customWidth="1"/>
    <col min="137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17</v>
      </c>
      <c r="AQ5" s="71">
        <f t="shared" ref="AQ5:AQ68" si="1">IF(AP5&gt;14,AVERAGE(K5:AO5),"")</f>
        <v>29.664705882352933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1.3725008299416324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17</v>
      </c>
      <c r="AQ6" s="71">
        <f t="shared" si="1"/>
        <v>29.494117647058825</v>
      </c>
      <c r="AR6" s="71">
        <f>IFERROR(VLOOKUP(A6,Climatologia_TMED!A:U,9+$E$2,FALSE),"")</f>
        <v>28.542323510282561</v>
      </c>
      <c r="AS6" s="71">
        <f t="shared" si="2"/>
        <v>0.95179413677626457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17</v>
      </c>
      <c r="AQ7" s="71">
        <f t="shared" si="1"/>
        <v>31.176470588235293</v>
      </c>
      <c r="AR7" s="71">
        <f>IFERROR(VLOOKUP(A7,Climatologia_TMED!A:U,9+$E$2,FALSE),"")</f>
        <v>28.878924731182799</v>
      </c>
      <c r="AS7" s="71">
        <f t="shared" si="2"/>
        <v>2.2975458570524943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17</v>
      </c>
      <c r="AQ8" s="71">
        <f t="shared" si="1"/>
        <v>30.117647058823529</v>
      </c>
      <c r="AR8" s="71">
        <f>IFERROR(VLOOKUP(A8,Climatologia_TMED!A:U,9+$E$2,FALSE),"")</f>
        <v>28.663204007006499</v>
      </c>
      <c r="AS8" s="71">
        <f t="shared" si="2"/>
        <v>1.4544430518170302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17</v>
      </c>
      <c r="AQ9" s="71">
        <f t="shared" si="1"/>
        <v>30.023529411764706</v>
      </c>
      <c r="AR9" s="71">
        <f>IFERROR(VLOOKUP(A9,Climatologia_TMED!A:U,9+$E$2,FALSE),"")</f>
        <v>29.925161290322539</v>
      </c>
      <c r="AS9" s="71">
        <f t="shared" si="2"/>
        <v>9.8368121442167222E-2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17</v>
      </c>
      <c r="AQ10" s="71">
        <f t="shared" si="1"/>
        <v>32.035294117647062</v>
      </c>
      <c r="AR10" s="71">
        <f>IFERROR(VLOOKUP(A10,Climatologia_TMED!A:U,9+$E$2,FALSE),"")</f>
        <v>29.55639347861802</v>
      </c>
      <c r="AS10" s="71">
        <f t="shared" si="2"/>
        <v>2.4789006390290425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17</v>
      </c>
      <c r="AQ11" s="71">
        <f t="shared" si="1"/>
        <v>33.188235294117646</v>
      </c>
      <c r="AR11" s="71">
        <f>IFERROR(VLOOKUP(A11,Climatologia_TMED!A:U,9+$E$2,FALSE),"")</f>
        <v>29.275519036173971</v>
      </c>
      <c r="AS11" s="71">
        <f t="shared" si="2"/>
        <v>3.9127162579436749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17</v>
      </c>
      <c r="AQ12" s="71">
        <f t="shared" si="1"/>
        <v>30.076470588235292</v>
      </c>
      <c r="AR12" s="71">
        <f>IFERROR(VLOOKUP(A12,Climatologia_TMED!A:U,9+$E$2,FALSE),"")</f>
        <v>28.08210560234475</v>
      </c>
      <c r="AS12" s="71">
        <f t="shared" si="2"/>
        <v>1.9943649858905417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17</v>
      </c>
      <c r="AQ13" s="71">
        <f t="shared" si="1"/>
        <v>31.152941176470584</v>
      </c>
      <c r="AR13" s="71">
        <f>IFERROR(VLOOKUP(A13,Climatologia_TMED!A:U,9+$E$2,FALSE),"")</f>
        <v>28.275630329996261</v>
      </c>
      <c r="AS13" s="71">
        <f t="shared" si="2"/>
        <v>2.8773108464743231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17</v>
      </c>
      <c r="AQ14" s="71">
        <f t="shared" si="1"/>
        <v>24.72941176470588</v>
      </c>
      <c r="AR14" s="71">
        <f>IFERROR(VLOOKUP(A14,Climatologia_TMED!A:U,9+$E$2,FALSE),"")</f>
        <v>21.814997932175341</v>
      </c>
      <c r="AS14" s="71">
        <f t="shared" si="2"/>
        <v>2.9144138325305384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17</v>
      </c>
      <c r="AQ15" s="71">
        <f t="shared" si="1"/>
        <v>30.964705882352945</v>
      </c>
      <c r="AR15" s="71">
        <f>IFERROR(VLOOKUP(A15,Climatologia_TMED!A:U,9+$E$2,FALSE),"")</f>
        <v>28.742611827956981</v>
      </c>
      <c r="AS15" s="71">
        <f t="shared" si="2"/>
        <v>2.2220940543959635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17</v>
      </c>
      <c r="AQ16" s="71">
        <f t="shared" si="1"/>
        <v>28.358823529411762</v>
      </c>
      <c r="AR16" s="71">
        <f>IFERROR(VLOOKUP(A16,Climatologia_TMED!A:U,9+$E$2,FALSE),"")</f>
        <v>27.745849035404088</v>
      </c>
      <c r="AS16" s="71">
        <f t="shared" si="2"/>
        <v>0.61297449400767334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17</v>
      </c>
      <c r="AQ17" s="71">
        <f t="shared" si="1"/>
        <v>25.852941176470583</v>
      </c>
      <c r="AR17" s="71">
        <f>IFERROR(VLOOKUP(A17,Climatologia_TMED!A:U,9+$E$2,FALSE),"")</f>
        <v>23.942684331797231</v>
      </c>
      <c r="AS17" s="71">
        <f t="shared" si="2"/>
        <v>1.9102568446733521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17</v>
      </c>
      <c r="AQ18" s="71">
        <f t="shared" si="1"/>
        <v>19.252941176470593</v>
      </c>
      <c r="AR18" s="71">
        <f>IFERROR(VLOOKUP(A18,Climatologia_TMED!A:U,9+$E$2,FALSE),"")</f>
        <v>17.429768704357489</v>
      </c>
      <c r="AS18" s="71">
        <f t="shared" si="2"/>
        <v>1.8231724721131037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17</v>
      </c>
      <c r="AQ19" s="71">
        <f t="shared" si="1"/>
        <v>24.541176470588237</v>
      </c>
      <c r="AR19" s="71">
        <f>IFERROR(VLOOKUP(A19,Climatologia_TMED!A:U,9+$E$2,FALSE),"")</f>
        <v>22.368290322580641</v>
      </c>
      <c r="AS19" s="71">
        <f t="shared" si="2"/>
        <v>2.1728861480075956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16</v>
      </c>
      <c r="AQ20" s="71">
        <f t="shared" si="1"/>
        <v>24.662499999999998</v>
      </c>
      <c r="AR20" s="71">
        <f>IFERROR(VLOOKUP(A20,Climatologia_TMED!A:U,9+$E$2,FALSE),"")</f>
        <v>22.807707609594701</v>
      </c>
      <c r="AS20" s="71">
        <f t="shared" si="2"/>
        <v>1.8547923904052972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17</v>
      </c>
      <c r="AQ21" s="71">
        <f t="shared" si="1"/>
        <v>28.335294117647067</v>
      </c>
      <c r="AR21" s="71">
        <f>IFERROR(VLOOKUP(A21,Climatologia_TMED!A:U,9+$E$2,FALSE),"")</f>
        <v>25.445872233516159</v>
      </c>
      <c r="AS21" s="71">
        <f t="shared" si="2"/>
        <v>2.8894218841309076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17</v>
      </c>
      <c r="AQ22" s="71">
        <f t="shared" si="1"/>
        <v>15.664705882352942</v>
      </c>
      <c r="AR22" s="71">
        <f>IFERROR(VLOOKUP(A22,Climatologia_TMED!A:U,9+$E$2,FALSE),"")</f>
        <v>13.827819728473219</v>
      </c>
      <c r="AS22" s="71">
        <f t="shared" si="2"/>
        <v>1.836886153879723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16</v>
      </c>
      <c r="AQ23" s="71">
        <f t="shared" si="1"/>
        <v>26.106250000000003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17</v>
      </c>
      <c r="AQ24" s="71">
        <f t="shared" si="1"/>
        <v>30.547058823529415</v>
      </c>
      <c r="AR24" s="71">
        <f>IFERROR(VLOOKUP(A24,Climatologia_TMED!A:U,9+$E$2,FALSE),"")</f>
        <v>29.117078853046579</v>
      </c>
      <c r="AS24" s="71">
        <f t="shared" si="2"/>
        <v>1.4299799704828366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17</v>
      </c>
      <c r="AQ25" s="71">
        <f t="shared" si="1"/>
        <v>22.429411764705883</v>
      </c>
      <c r="AR25" s="71">
        <f>IFERROR(VLOOKUP(A25,Climatologia_TMED!A:U,9+$E$2,FALSE),"")</f>
        <v>20.318073144829391</v>
      </c>
      <c r="AS25" s="71">
        <f t="shared" si="2"/>
        <v>2.1113386198764914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17</v>
      </c>
      <c r="AQ26" s="71">
        <f t="shared" si="1"/>
        <v>11.482352941176469</v>
      </c>
      <c r="AR26" s="71">
        <f>IFERROR(VLOOKUP(A26,Climatologia_TMED!A:U,9+$E$2,FALSE),"")</f>
        <v>10.2499147200593</v>
      </c>
      <c r="AS26" s="71">
        <f t="shared" si="2"/>
        <v>1.2324382211171692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17</v>
      </c>
      <c r="AQ27" s="71">
        <f t="shared" si="1"/>
        <v>28.088235294117645</v>
      </c>
      <c r="AR27" s="71">
        <f>IFERROR(VLOOKUP(A27,Climatologia_TMED!A:U,9+$E$2,FALSE),"")</f>
        <v>26.978227598566299</v>
      </c>
      <c r="AS27" s="71">
        <f t="shared" si="2"/>
        <v>1.1100076955513458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17</v>
      </c>
      <c r="AQ28" s="71">
        <f t="shared" si="1"/>
        <v>27.723529411764702</v>
      </c>
      <c r="AR28" s="71">
        <f>IFERROR(VLOOKUP(A28,Climatologia_TMED!A:U,9+$E$2,FALSE),"")</f>
        <v>26.165451660622249</v>
      </c>
      <c r="AS28" s="71">
        <f t="shared" si="2"/>
        <v>1.5580777511424522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17</v>
      </c>
      <c r="AQ29" s="71">
        <f t="shared" si="1"/>
        <v>27.588235294117652</v>
      </c>
      <c r="AR29" s="71">
        <f>IFERROR(VLOOKUP(A29,Climatologia_TMED!A:U,9+$E$2,FALSE),"")</f>
        <v>27.268435099846361</v>
      </c>
      <c r="AS29" s="71">
        <f t="shared" si="2"/>
        <v>0.31980019427129136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17</v>
      </c>
      <c r="AQ30" s="71">
        <f t="shared" si="1"/>
        <v>25.935294117647064</v>
      </c>
      <c r="AR30" s="71">
        <f>IFERROR(VLOOKUP(A30,Climatologia_TMED!A:U,9+$E$2,FALSE),"")</f>
        <v>25.205756395995511</v>
      </c>
      <c r="AS30" s="71">
        <f t="shared" si="2"/>
        <v>0.72953772165155328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17</v>
      </c>
      <c r="AQ31" s="71">
        <f t="shared" si="1"/>
        <v>27.676470588235293</v>
      </c>
      <c r="AR31" s="71">
        <f>IFERROR(VLOOKUP(A31,Climatologia_TMED!A:U,9+$E$2,FALSE),"")</f>
        <v>25.960296951277201</v>
      </c>
      <c r="AS31" s="71">
        <f t="shared" si="2"/>
        <v>1.7161736369580929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17</v>
      </c>
      <c r="AQ32" s="71">
        <f t="shared" si="1"/>
        <v>20.184313725490195</v>
      </c>
      <c r="AR32" s="71">
        <f>IFERROR(VLOOKUP(A32,Climatologia_TMED!A:U,9+$E$2,FALSE),"")</f>
        <v>17.69892835396929</v>
      </c>
      <c r="AS32" s="71">
        <f t="shared" si="2"/>
        <v>2.4853853715209056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17</v>
      </c>
      <c r="AQ33" s="71">
        <f t="shared" si="1"/>
        <v>27.935294117647057</v>
      </c>
      <c r="AR33" s="71">
        <f>IFERROR(VLOOKUP(A33,Climatologia_TMED!A:U,9+$E$2,FALSE),"")</f>
        <v>26.885476337530289</v>
      </c>
      <c r="AS33" s="71">
        <f t="shared" si="2"/>
        <v>1.0498177801167685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17</v>
      </c>
      <c r="AQ34" s="71">
        <f t="shared" si="1"/>
        <v>21.603921568627449</v>
      </c>
      <c r="AR34" s="71">
        <f>IFERROR(VLOOKUP(A34,Climatologia_TMED!A:U,9+$E$2,FALSE),"")</f>
        <v>19.861806556333011</v>
      </c>
      <c r="AS34" s="71">
        <f t="shared" si="2"/>
        <v>1.7421150122944375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17</v>
      </c>
      <c r="AQ35" s="71">
        <f t="shared" si="1"/>
        <v>25.048529411764704</v>
      </c>
      <c r="AR35" s="71">
        <f>IFERROR(VLOOKUP(A35,Climatologia_TMED!A:U,9+$E$2,FALSE),"")</f>
        <v>24.163939937062029</v>
      </c>
      <c r="AS35" s="71">
        <f t="shared" si="2"/>
        <v>0.88458947470267546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17</v>
      </c>
      <c r="AQ36" s="71">
        <f t="shared" si="1"/>
        <v>20.155882352941177</v>
      </c>
      <c r="AR36" s="71">
        <f>IFERROR(VLOOKUP(A36,Climatologia_TMED!A:U,9+$E$2,FALSE),"")</f>
        <v>18.948390779307498</v>
      </c>
      <c r="AS36" s="71">
        <f t="shared" si="2"/>
        <v>1.2074915736336784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17</v>
      </c>
      <c r="AQ37" s="71">
        <f t="shared" si="1"/>
        <v>27.876470588235293</v>
      </c>
      <c r="AR37" s="71">
        <f>IFERROR(VLOOKUP(A37,Climatologia_TMED!A:U,9+$E$2,FALSE),"")</f>
        <v>26.09341273397051</v>
      </c>
      <c r="AS37" s="71">
        <f t="shared" si="2"/>
        <v>1.7830578542647828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16</v>
      </c>
      <c r="AQ38" s="71">
        <f t="shared" si="1"/>
        <v>16.128125000000001</v>
      </c>
      <c r="AR38" s="71">
        <f>IFERROR(VLOOKUP(A38,Climatologia_TMED!A:U,9+$E$2,FALSE),"")</f>
        <v>15.0852109133605</v>
      </c>
      <c r="AS38" s="71">
        <f t="shared" si="2"/>
        <v>1.0429140866395006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17</v>
      </c>
      <c r="AQ39" s="71">
        <f t="shared" si="1"/>
        <v>23.160784313725486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13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16</v>
      </c>
      <c r="AQ41" s="71">
        <f t="shared" si="1"/>
        <v>20.62083333333333</v>
      </c>
      <c r="AR41" s="71">
        <f>IFERROR(VLOOKUP(A41,Climatologia_TMED!A:U,9+$E$2,FALSE),"")</f>
        <v>18.50720543555942</v>
      </c>
      <c r="AS41" s="71">
        <f t="shared" si="2"/>
        <v>2.1136278977739096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17</v>
      </c>
      <c r="AQ42" s="71">
        <f t="shared" si="1"/>
        <v>28.076470588235296</v>
      </c>
      <c r="AR42" s="71">
        <f>IFERROR(VLOOKUP(A42,Climatologia_TMED!A:U,9+$E$2,FALSE),"")</f>
        <v>27.517114695340499</v>
      </c>
      <c r="AS42" s="71">
        <f t="shared" si="2"/>
        <v>0.55935589289479637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17</v>
      </c>
      <c r="AQ43" s="71">
        <f t="shared" si="1"/>
        <v>29.45882352941177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17</v>
      </c>
      <c r="AQ44" s="71">
        <f t="shared" si="1"/>
        <v>28.645588235294124</v>
      </c>
      <c r="AR44" s="71">
        <f>IFERROR(VLOOKUP(A44,Climatologia_TMED!A:U,9+$E$2,FALSE),"")</f>
        <v>27.22851750737534</v>
      </c>
      <c r="AS44" s="71">
        <f t="shared" si="2"/>
        <v>1.4170707279187837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17</v>
      </c>
      <c r="AQ45" s="71">
        <f t="shared" si="1"/>
        <v>29.247058823529407</v>
      </c>
      <c r="AR45" s="71">
        <f>IFERROR(VLOOKUP(A45,Climatologia_TMED!A:U,9+$E$2,FALSE),"")</f>
        <v>27.597106102685618</v>
      </c>
      <c r="AS45" s="71">
        <f t="shared" si="2"/>
        <v>1.649952720843789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17</v>
      </c>
      <c r="AQ46" s="71">
        <f t="shared" si="1"/>
        <v>28.966176470588234</v>
      </c>
      <c r="AR46" s="71">
        <f>IFERROR(VLOOKUP(A46,Climatologia_TMED!A:U,9+$E$2,FALSE),"")</f>
        <v>27.738976943755159</v>
      </c>
      <c r="AS46" s="71">
        <f t="shared" si="2"/>
        <v>1.2271995268330755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15</v>
      </c>
      <c r="AQ47" s="71">
        <f t="shared" si="1"/>
        <v>30.042222222222222</v>
      </c>
      <c r="AR47" s="71">
        <f>IFERROR(VLOOKUP(A47,Climatologia_TMED!A:U,9+$E$2,FALSE),"")</f>
        <v>27.87742247854888</v>
      </c>
      <c r="AS47" s="71">
        <f t="shared" si="2"/>
        <v>2.1647997436733419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17</v>
      </c>
      <c r="AQ50" s="71">
        <f t="shared" si="1"/>
        <v>29.217647058823534</v>
      </c>
      <c r="AR50" s="71">
        <f>IFERROR(VLOOKUP(A50,Climatologia_TMED!A:U,9+$E$2,FALSE),"")</f>
        <v>27.21920614995987</v>
      </c>
      <c r="AS50" s="71">
        <f t="shared" si="2"/>
        <v>1.9984409088636639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17</v>
      </c>
      <c r="AQ53" s="71">
        <f t="shared" si="1"/>
        <v>28.97941176470588</v>
      </c>
      <c r="AR53" s="71">
        <f>IFERROR(VLOOKUP(A53,Climatologia_TMED!A:U,9+$E$2,FALSE),"")</f>
        <v>27.2190910764708</v>
      </c>
      <c r="AS53" s="71">
        <f t="shared" si="2"/>
        <v>1.7603206882350797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17</v>
      </c>
      <c r="AQ54" s="71">
        <f t="shared" si="1"/>
        <v>30.202941176470592</v>
      </c>
      <c r="AR54" s="71">
        <f>IFERROR(VLOOKUP(A54,Climatologia_TMED!A:U,9+$E$2,FALSE),"")</f>
        <v>28.41139216335926</v>
      </c>
      <c r="AS54" s="71">
        <f t="shared" si="2"/>
        <v>1.7915490131113323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16</v>
      </c>
      <c r="AQ55" s="71">
        <f t="shared" si="1"/>
        <v>30.456250000000004</v>
      </c>
      <c r="AR55" s="71">
        <f>IFERROR(VLOOKUP(A55,Climatologia_TMED!A:U,9+$E$2,FALSE),"")</f>
        <v>28.417502124868491</v>
      </c>
      <c r="AS55" s="71">
        <f t="shared" si="2"/>
        <v>2.0387478751315129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17</v>
      </c>
      <c r="AQ59" s="71">
        <f t="shared" si="1"/>
        <v>28.882352941176471</v>
      </c>
      <c r="AR59" s="71">
        <f>IFERROR(VLOOKUP(A59,Climatologia_TMED!A:U,9+$E$2,FALSE),"")</f>
        <v>27.95576397141701</v>
      </c>
      <c r="AS59" s="71">
        <f t="shared" si="2"/>
        <v>0.92658896975946092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17</v>
      </c>
      <c r="AQ61" s="71">
        <f t="shared" si="1"/>
        <v>27.067647058823532</v>
      </c>
      <c r="AR61" s="71">
        <f>IFERROR(VLOOKUP(A61,Climatologia_TMED!A:U,9+$E$2,FALSE),"")</f>
        <v>26.14540821795481</v>
      </c>
      <c r="AS61" s="71">
        <f t="shared" si="2"/>
        <v>0.92223884086872232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/>
      <c r="Z62" s="56"/>
      <c r="AA62" s="56">
        <v>25.333333333333329</v>
      </c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15</v>
      </c>
      <c r="AQ62" s="71">
        <f t="shared" si="1"/>
        <v>26.799999999999994</v>
      </c>
      <c r="AR62" s="71">
        <f>IFERROR(VLOOKUP(A62,Climatologia_TMED!A:U,9+$E$2,FALSE),"")</f>
        <v>25.12904940316772</v>
      </c>
      <c r="AS62" s="71">
        <f t="shared" si="2"/>
        <v>1.6709505968322738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17</v>
      </c>
      <c r="AQ65" s="71">
        <f t="shared" si="1"/>
        <v>25.920588235294119</v>
      </c>
      <c r="AR65" s="71">
        <f>IFERROR(VLOOKUP(A65,Climatologia_TMED!A:U,9+$E$2,FALSE),"")</f>
        <v>25.359269039673709</v>
      </c>
      <c r="AS65" s="71">
        <f t="shared" si="2"/>
        <v>0.56131919562040977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17</v>
      </c>
      <c r="AQ66" s="71">
        <f t="shared" si="1"/>
        <v>25.855882352941176</v>
      </c>
      <c r="AR66" s="71">
        <f>IFERROR(VLOOKUP(A66,Climatologia_TMED!A:U,9+$E$2,FALSE),"")</f>
        <v>25.449219842417062</v>
      </c>
      <c r="AS66" s="71">
        <f t="shared" si="2"/>
        <v>0.4066625105241144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>
        <v>25.6</v>
      </c>
      <c r="Z67" s="56">
        <v>25.85</v>
      </c>
      <c r="AA67" s="56">
        <v>24</v>
      </c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14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17</v>
      </c>
      <c r="AQ68" s="71">
        <f t="shared" si="1"/>
        <v>25.582352941176467</v>
      </c>
      <c r="AR68" s="71">
        <f>IFERROR(VLOOKUP(A68,Climatologia_TMED!A:U,9+$E$2,FALSE),"")</f>
        <v>25.105050309426691</v>
      </c>
      <c r="AS68" s="71">
        <f t="shared" si="2"/>
        <v>0.47730263174977594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17</v>
      </c>
      <c r="AQ69" s="71">
        <f t="shared" ref="AQ69:AQ132" si="4">IF(AP69&gt;14,AVERAGE(K69:AO69),"")</f>
        <v>25.45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0.59026586578169926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13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17</v>
      </c>
      <c r="AQ71" s="71">
        <f t="shared" si="4"/>
        <v>26.413725490196079</v>
      </c>
      <c r="AR71" s="71">
        <f>IFERROR(VLOOKUP(A71,Climatologia_TMED!A:U,9+$E$2,FALSE),"")</f>
        <v>26.117252164977831</v>
      </c>
      <c r="AS71" s="71">
        <f t="shared" si="5"/>
        <v>0.29647332521824765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16</v>
      </c>
      <c r="AQ72" s="71">
        <f t="shared" si="4"/>
        <v>25.943749999999998</v>
      </c>
      <c r="AR72" s="71">
        <f>IFERROR(VLOOKUP(A72,Climatologia_TMED!A:U,9+$E$2,FALSE),"")</f>
        <v>25.27783516958878</v>
      </c>
      <c r="AS72" s="71">
        <f t="shared" si="5"/>
        <v>0.66591483041121791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17</v>
      </c>
      <c r="AQ74" s="71">
        <f t="shared" si="4"/>
        <v>21.232352941176469</v>
      </c>
      <c r="AR74" s="71">
        <f>IFERROR(VLOOKUP(A74,Climatologia_TMED!A:U,9+$E$2,FALSE),"")</f>
        <v>20.33780487249993</v>
      </c>
      <c r="AS74" s="71">
        <f t="shared" si="5"/>
        <v>0.89454806867653858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16</v>
      </c>
      <c r="AQ75" s="71">
        <f t="shared" si="4"/>
        <v>15.804166666666667</v>
      </c>
      <c r="AR75" s="71">
        <f>IFERROR(VLOOKUP(A75,Climatologia_TMED!A:U,9+$E$2,FALSE),"")</f>
        <v>15.196816531610249</v>
      </c>
      <c r="AS75" s="71">
        <f t="shared" si="5"/>
        <v>0.60735013505641788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17</v>
      </c>
      <c r="AQ76" s="71">
        <f t="shared" si="4"/>
        <v>20.617647058823525</v>
      </c>
      <c r="AR76" s="71">
        <f>IFERROR(VLOOKUP(A76,Climatologia_TMED!A:U,9+$E$2,FALSE),"")</f>
        <v>19.97314578052206</v>
      </c>
      <c r="AS76" s="71">
        <f t="shared" si="5"/>
        <v>0.64450127830146542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17</v>
      </c>
      <c r="AQ77" s="71">
        <f t="shared" si="4"/>
        <v>24.631372549019602</v>
      </c>
      <c r="AR77" s="71">
        <f>IFERROR(VLOOKUP(A77,Climatologia_TMED!A:U,9+$E$2,FALSE),"")</f>
        <v>23.041557017477079</v>
      </c>
      <c r="AS77" s="71">
        <f t="shared" si="5"/>
        <v>1.5898155315425235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17</v>
      </c>
      <c r="AQ78" s="71">
        <f t="shared" si="4"/>
        <v>32.026470588235291</v>
      </c>
      <c r="AR78" s="71">
        <f>IFERROR(VLOOKUP(A78,Climatologia_TMED!A:U,9+$E$2,FALSE),"")</f>
        <v>30.200545349460899</v>
      </c>
      <c r="AS78" s="71">
        <f t="shared" si="5"/>
        <v>1.8259252387743921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17</v>
      </c>
      <c r="AQ79" s="71">
        <f t="shared" si="4"/>
        <v>31.556862745098041</v>
      </c>
      <c r="AR79" s="71">
        <f>IFERROR(VLOOKUP(A79,Climatologia_TMED!A:U,9+$E$2,FALSE),"")</f>
        <v>30.2833215669562</v>
      </c>
      <c r="AS79" s="71">
        <f t="shared" si="5"/>
        <v>1.2735411781418406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17</v>
      </c>
      <c r="AQ80" s="71">
        <f t="shared" si="4"/>
        <v>21.168627450980395</v>
      </c>
      <c r="AR80" s="71">
        <f>IFERROR(VLOOKUP(A80,Climatologia_TMED!A:U,9+$E$2,FALSE),"")</f>
        <v>19.906859619029429</v>
      </c>
      <c r="AS80" s="71">
        <f t="shared" si="5"/>
        <v>1.2617678319509658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17</v>
      </c>
      <c r="AQ81" s="71">
        <f t="shared" si="4"/>
        <v>24.99117647058824</v>
      </c>
      <c r="AR81" s="71">
        <f>IFERROR(VLOOKUP(A81,Climatologia_TMED!A:U,9+$E$2,FALSE),"")</f>
        <v>24.759854360077661</v>
      </c>
      <c r="AS81" s="71">
        <f t="shared" si="5"/>
        <v>0.23132211051057894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16</v>
      </c>
      <c r="AQ82" s="71">
        <f t="shared" si="4"/>
        <v>26.608333333333331</v>
      </c>
      <c r="AR82" s="71">
        <f>IFERROR(VLOOKUP(A82,Climatologia_TMED!A:U,9+$E$2,FALSE),"")</f>
        <v>25.773428481765642</v>
      </c>
      <c r="AS82" s="71">
        <f t="shared" si="5"/>
        <v>0.83490485156768912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17</v>
      </c>
      <c r="AQ85" s="71">
        <f t="shared" si="4"/>
        <v>32.108823529411772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16</v>
      </c>
      <c r="AQ86" s="71">
        <f t="shared" si="4"/>
        <v>30.265625</v>
      </c>
      <c r="AR86" s="71">
        <f>IFERROR(VLOOKUP(A86,Climatologia_TMED!A:U,9+$E$2,FALSE),"")</f>
        <v>28.83382033964488</v>
      </c>
      <c r="AS86" s="71">
        <f t="shared" si="5"/>
        <v>1.4318046603551196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16</v>
      </c>
      <c r="AQ87" s="71">
        <f t="shared" si="4"/>
        <v>31.0703125</v>
      </c>
      <c r="AR87" s="71">
        <f>IFERROR(VLOOKUP(A87,Climatologia_TMED!A:U,9+$E$2,FALSE),"")</f>
        <v>28.894325312819621</v>
      </c>
      <c r="AS87" s="71">
        <f t="shared" si="5"/>
        <v>2.1759871871803789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17</v>
      </c>
      <c r="AQ88" s="71">
        <f t="shared" si="4"/>
        <v>30.135294117647064</v>
      </c>
      <c r="AR88" s="71">
        <f>IFERROR(VLOOKUP(A88,Climatologia_TMED!A:U,9+$E$2,FALSE),"")</f>
        <v>28.344159946236552</v>
      </c>
      <c r="AS88" s="71">
        <f t="shared" si="5"/>
        <v>1.791134171410512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14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17</v>
      </c>
      <c r="AQ90" s="71">
        <f t="shared" si="4"/>
        <v>32.667647058823533</v>
      </c>
      <c r="AR90" s="71">
        <f>IFERROR(VLOOKUP(A90,Climatologia_TMED!A:U,9+$E$2,FALSE),"")</f>
        <v>28.656630487957131</v>
      </c>
      <c r="AS90" s="71">
        <f t="shared" si="5"/>
        <v>4.0110165708664027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14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17</v>
      </c>
      <c r="AQ92" s="71">
        <f t="shared" si="4"/>
        <v>17.814705882352939</v>
      </c>
      <c r="AR92" s="71">
        <f>IFERROR(VLOOKUP(A92,Climatologia_TMED!A:U,9+$E$2,FALSE),"")</f>
        <v>16.21673046594978</v>
      </c>
      <c r="AS92" s="71">
        <f t="shared" si="5"/>
        <v>1.597975416403159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17</v>
      </c>
      <c r="AQ93" s="71">
        <f t="shared" si="4"/>
        <v>24.741176470588236</v>
      </c>
      <c r="AR93" s="71">
        <f>IFERROR(VLOOKUP(A93,Climatologia_TMED!A:U,9+$E$2,FALSE),"")</f>
        <v>22.373011505376319</v>
      </c>
      <c r="AS93" s="71">
        <f t="shared" si="5"/>
        <v>2.3681649652119177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17</v>
      </c>
      <c r="AQ94" s="71">
        <f t="shared" si="4"/>
        <v>17.602941176470587</v>
      </c>
      <c r="AR94" s="71">
        <f>IFERROR(VLOOKUP(A94,Climatologia_TMED!A:U,9+$E$2,FALSE),"")</f>
        <v>16.186325847907689</v>
      </c>
      <c r="AS94" s="71">
        <f t="shared" si="5"/>
        <v>1.416615328562898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17</v>
      </c>
      <c r="AQ95" s="71">
        <f t="shared" si="4"/>
        <v>15.291176470588239</v>
      </c>
      <c r="AR95" s="71">
        <f>IFERROR(VLOOKUP(A95,Climatologia_TMED!A:U,9+$E$2,FALSE),"")</f>
        <v>13.65433628672837</v>
      </c>
      <c r="AS95" s="71">
        <f t="shared" si="5"/>
        <v>1.636840183859869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17</v>
      </c>
      <c r="AQ98" s="71">
        <f t="shared" si="4"/>
        <v>13.041176470588237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17</v>
      </c>
      <c r="AQ99" s="71">
        <f t="shared" si="4"/>
        <v>15.190196078431374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15.976470588235296</v>
      </c>
      <c r="AR100" s="71">
        <f>IFERROR(VLOOKUP(A100,Climatologia_TMED!A:U,9+$E$2,FALSE),"")</f>
        <v>14.335275908930971</v>
      </c>
      <c r="AS100" s="71">
        <f t="shared" si="5"/>
        <v>1.6411946793043253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17</v>
      </c>
      <c r="AQ101" s="71">
        <f t="shared" si="4"/>
        <v>13.491176470588231</v>
      </c>
      <c r="AR101" s="71">
        <f>IFERROR(VLOOKUP(A101,Climatologia_TMED!A:U,9+$E$2,FALSE),"")</f>
        <v>12.395793750638649</v>
      </c>
      <c r="AS101" s="71">
        <f t="shared" si="5"/>
        <v>1.0953827199495816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14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13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13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17</v>
      </c>
      <c r="AQ108" s="71">
        <f t="shared" si="4"/>
        <v>14.435294117647059</v>
      </c>
      <c r="AR108" s="71">
        <f>IFERROR(VLOOKUP(A108,Climatologia_TMED!A:U,9+$E$2,FALSE),"")</f>
        <v>14.24758963832916</v>
      </c>
      <c r="AS108" s="71">
        <f t="shared" si="5"/>
        <v>0.18770447931789924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17</v>
      </c>
      <c r="AQ109" s="71">
        <f t="shared" si="4"/>
        <v>14.955882352941176</v>
      </c>
      <c r="AR109" s="71">
        <f>IFERROR(VLOOKUP(A109,Climatologia_TMED!A:U,9+$E$2,FALSE),"")</f>
        <v>13.718935791090621</v>
      </c>
      <c r="AS109" s="71">
        <f t="shared" si="5"/>
        <v>1.2369465618505551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13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17</v>
      </c>
      <c r="AQ111" s="71">
        <f t="shared" si="4"/>
        <v>16.129411764705882</v>
      </c>
      <c r="AR111" s="71">
        <f>IFERROR(VLOOKUP(A111,Climatologia_TMED!A:U,9+$E$2,FALSE),"")</f>
        <v>15.45884618025514</v>
      </c>
      <c r="AS111" s="71">
        <f t="shared" si="5"/>
        <v>0.67056558445074188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17</v>
      </c>
      <c r="AQ112" s="71">
        <f t="shared" si="4"/>
        <v>18.3</v>
      </c>
      <c r="AR112" s="71">
        <f>IFERROR(VLOOKUP(A112,Climatologia_TMED!A:U,9+$E$2,FALSE),"")</f>
        <v>16.69989368729069</v>
      </c>
      <c r="AS112" s="71">
        <f t="shared" si="5"/>
        <v>1.6001063127093111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16</v>
      </c>
      <c r="AQ113" s="71">
        <f t="shared" si="4"/>
        <v>19.425000000000001</v>
      </c>
      <c r="AR113" s="71">
        <f>IFERROR(VLOOKUP(A113,Climatologia_TMED!A:U,9+$E$2,FALSE),"")</f>
        <v>18.084103151649959</v>
      </c>
      <c r="AS113" s="71">
        <f t="shared" si="5"/>
        <v>1.3408968483500416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14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17</v>
      </c>
      <c r="AQ115" s="71">
        <f t="shared" si="4"/>
        <v>27.08235294117647</v>
      </c>
      <c r="AR115" s="71">
        <f>IFERROR(VLOOKUP(A115,Climatologia_TMED!A:U,9+$E$2,FALSE),"")</f>
        <v>26.548363201911549</v>
      </c>
      <c r="AS115" s="71">
        <f t="shared" si="5"/>
        <v>0.53398973926492133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17</v>
      </c>
      <c r="AQ116" s="71">
        <f t="shared" si="4"/>
        <v>19.513725490196077</v>
      </c>
      <c r="AR116" s="71">
        <f>IFERROR(VLOOKUP(A116,Climatologia_TMED!A:U,9+$E$2,FALSE),"")</f>
        <v>18.451479726130369</v>
      </c>
      <c r="AS116" s="71">
        <f t="shared" si="5"/>
        <v>1.0622457640657075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17</v>
      </c>
      <c r="AQ117" s="71">
        <f t="shared" si="4"/>
        <v>27.101960784313725</v>
      </c>
      <c r="AR117" s="71">
        <f>IFERROR(VLOOKUP(A117,Climatologia_TMED!A:U,9+$E$2,FALSE),"")</f>
        <v>25.726306451612881</v>
      </c>
      <c r="AS117" s="71">
        <f t="shared" si="5"/>
        <v>1.3756543327008437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15</v>
      </c>
      <c r="AQ118" s="71">
        <f t="shared" si="4"/>
        <v>29.933333333333334</v>
      </c>
      <c r="AR118" s="71">
        <f>IFERROR(VLOOKUP(A118,Climatologia_TMED!A:U,9+$E$2,FALSE),"")</f>
        <v>26.064774193548381</v>
      </c>
      <c r="AS118" s="71">
        <f t="shared" si="5"/>
        <v>3.8685591397849528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14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17</v>
      </c>
      <c r="AQ122" s="71">
        <f t="shared" si="4"/>
        <v>12.607843137254903</v>
      </c>
      <c r="AR122" s="71">
        <f>IFERROR(VLOOKUP(A122,Climatologia_TMED!A:U,9+$E$2,FALSE),"")</f>
        <v>10.160420312062531</v>
      </c>
      <c r="AS122" s="71">
        <f t="shared" si="5"/>
        <v>2.4474228251923726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16</v>
      </c>
      <c r="AQ124" s="71">
        <f t="shared" si="4"/>
        <v>15.487499999999997</v>
      </c>
      <c r="AR124" s="71">
        <f>IFERROR(VLOOKUP(A124,Climatologia_TMED!A:U,9+$E$2,FALSE),"")</f>
        <v>15.061040072324371</v>
      </c>
      <c r="AS124" s="71">
        <f t="shared" si="5"/>
        <v>0.42645992767562646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11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17</v>
      </c>
      <c r="AQ130" s="71">
        <f t="shared" si="4"/>
        <v>15.519607843137253</v>
      </c>
      <c r="AR130" s="71">
        <f>IFERROR(VLOOKUP(A130,Climatologia_TMED!A:U,9+$E$2,FALSE),"")</f>
        <v>14.37068910561999</v>
      </c>
      <c r="AS130" s="71">
        <f t="shared" si="5"/>
        <v>1.1489187375172634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17</v>
      </c>
      <c r="AQ131" s="71">
        <f t="shared" si="4"/>
        <v>18.420588235294115</v>
      </c>
      <c r="AR131" s="71">
        <f>IFERROR(VLOOKUP(A131,Climatologia_TMED!A:U,9+$E$2,FALSE),"")</f>
        <v>17.018039759621502</v>
      </c>
      <c r="AS131" s="71">
        <f t="shared" si="5"/>
        <v>1.4025484756726136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17</v>
      </c>
      <c r="AQ133" s="71">
        <f t="shared" ref="AQ133:AQ196" si="7">IF(AP133&gt;14,AVERAGE(K133:AO133),"")</f>
        <v>13.590196078431374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0.95813162739111313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17</v>
      </c>
      <c r="AQ134" s="71">
        <f t="shared" si="7"/>
        <v>17.71764705882353</v>
      </c>
      <c r="AR134" s="71">
        <f>IFERROR(VLOOKUP(A134,Climatologia_TMED!A:U,9+$E$2,FALSE),"")</f>
        <v>15.77617103004156</v>
      </c>
      <c r="AS134" s="71">
        <f t="shared" si="8"/>
        <v>1.9414760287819703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16</v>
      </c>
      <c r="AQ135" s="71">
        <f t="shared" si="7"/>
        <v>20.776562499999997</v>
      </c>
      <c r="AR135" s="71">
        <f>IFERROR(VLOOKUP(A135,Climatologia_TMED!A:U,9+$E$2,FALSE),"")</f>
        <v>19.08404124452408</v>
      </c>
      <c r="AS135" s="71">
        <f t="shared" si="8"/>
        <v>1.692521255475917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17</v>
      </c>
      <c r="AQ136" s="71">
        <f t="shared" si="7"/>
        <v>10.929411764705883</v>
      </c>
      <c r="AR136" s="71">
        <f>IFERROR(VLOOKUP(A136,Climatologia_TMED!A:U,9+$E$2,FALSE),"")</f>
        <v>10.862936379928311</v>
      </c>
      <c r="AS136" s="71">
        <f t="shared" si="8"/>
        <v>6.6475384777572089E-2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16</v>
      </c>
      <c r="AQ138" s="71">
        <f t="shared" si="7"/>
        <v>22.408333333333335</v>
      </c>
      <c r="AR138" s="71">
        <f>IFERROR(VLOOKUP(A138,Climatologia_TMED!A:U,9+$E$2,FALSE),"")</f>
        <v>20.235550356930549</v>
      </c>
      <c r="AS138" s="71">
        <f t="shared" si="8"/>
        <v>2.1727829764027859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17</v>
      </c>
      <c r="AQ139" s="71">
        <f t="shared" si="7"/>
        <v>13.623529411764705</v>
      </c>
      <c r="AR139" s="71">
        <f>IFERROR(VLOOKUP(A139,Climatologia_TMED!A:U,9+$E$2,FALSE),"")</f>
        <v>12.97471752858849</v>
      </c>
      <c r="AS139" s="71">
        <f t="shared" si="8"/>
        <v>0.64881188317621508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17</v>
      </c>
      <c r="AQ140" s="71">
        <f t="shared" si="7"/>
        <v>16.464705882352941</v>
      </c>
      <c r="AR140" s="71">
        <f>IFERROR(VLOOKUP(A140,Climatologia_TMED!A:U,9+$E$2,FALSE),"")</f>
        <v>15.718876344086</v>
      </c>
      <c r="AS140" s="71">
        <f t="shared" si="8"/>
        <v>0.74582953826694087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17</v>
      </c>
      <c r="AQ141" s="71">
        <f t="shared" si="7"/>
        <v>13.129411764705882</v>
      </c>
      <c r="AR141" s="71">
        <f>IFERROR(VLOOKUP(A141,Climatologia_TMED!A:U,9+$E$2,FALSE),"")</f>
        <v>11.969387238873461</v>
      </c>
      <c r="AS141" s="71">
        <f t="shared" si="8"/>
        <v>1.1600245258324211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16</v>
      </c>
      <c r="AQ142" s="71">
        <f t="shared" si="7"/>
        <v>11.129687499999998</v>
      </c>
      <c r="AR142" s="71">
        <f>IFERROR(VLOOKUP(A142,Climatologia_TMED!A:U,9+$E$2,FALSE),"")</f>
        <v>10.49248004916649</v>
      </c>
      <c r="AS142" s="71">
        <f t="shared" si="8"/>
        <v>0.63720745083350749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17</v>
      </c>
      <c r="AQ143" s="71">
        <f t="shared" si="7"/>
        <v>27.752941176470593</v>
      </c>
      <c r="AR143" s="71">
        <f>IFERROR(VLOOKUP(A143,Climatologia_TMED!A:U,9+$E$2,FALSE),"")</f>
        <v>25.992543202764971</v>
      </c>
      <c r="AS143" s="71">
        <f t="shared" si="8"/>
        <v>1.7603979737056221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17</v>
      </c>
      <c r="AQ144" s="71">
        <f t="shared" si="7"/>
        <v>16.301960784313724</v>
      </c>
      <c r="AR144" s="71">
        <f>IFERROR(VLOOKUP(A144,Climatologia_TMED!A:U,9+$E$2,FALSE),"")</f>
        <v>15.9826099414474</v>
      </c>
      <c r="AS144" s="71">
        <f t="shared" si="8"/>
        <v>0.31935084286632431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17</v>
      </c>
      <c r="AQ145" s="71">
        <f t="shared" si="7"/>
        <v>20.423529411764708</v>
      </c>
      <c r="AR145" s="71">
        <f>IFERROR(VLOOKUP(A145,Climatologia_TMED!A:U,9+$E$2,FALSE),"")</f>
        <v>19.40683329936412</v>
      </c>
      <c r="AS145" s="71">
        <f t="shared" si="8"/>
        <v>1.016696112400588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16</v>
      </c>
      <c r="AQ146" s="71">
        <f t="shared" si="7"/>
        <v>31.125</v>
      </c>
      <c r="AR146" s="71">
        <f>IFERROR(VLOOKUP(A146,Climatologia_TMED!A:U,9+$E$2,FALSE),"")</f>
        <v>29.306317625921391</v>
      </c>
      <c r="AS146" s="71">
        <f t="shared" si="8"/>
        <v>1.8186823740786089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17</v>
      </c>
      <c r="AQ147" s="71">
        <f t="shared" si="7"/>
        <v>26.415686274509802</v>
      </c>
      <c r="AR147" s="71">
        <f>IFERROR(VLOOKUP(A147,Climatologia_TMED!A:U,9+$E$2,FALSE),"")</f>
        <v>24.061574212155389</v>
      </c>
      <c r="AS147" s="71">
        <f t="shared" si="8"/>
        <v>2.3541120623544138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15</v>
      </c>
      <c r="AQ148" s="71">
        <f t="shared" si="7"/>
        <v>31.102222222222224</v>
      </c>
      <c r="AR148" s="71">
        <f>IFERROR(VLOOKUP(A148,Climatologia_TMED!A:U,9+$E$2,FALSE),"")</f>
        <v>29.17936497960693</v>
      </c>
      <c r="AS148" s="71">
        <f t="shared" si="8"/>
        <v>1.9228572426152937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17</v>
      </c>
      <c r="AQ149" s="71">
        <f t="shared" si="7"/>
        <v>24.380392156862751</v>
      </c>
      <c r="AR149" s="71">
        <f>IFERROR(VLOOKUP(A149,Climatologia_TMED!A:U,9+$E$2,FALSE),"")</f>
        <v>21.98128955804011</v>
      </c>
      <c r="AS149" s="71">
        <f t="shared" si="8"/>
        <v>2.3991025988226404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14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17</v>
      </c>
      <c r="AQ154" s="71">
        <f t="shared" si="7"/>
        <v>21.147058823529409</v>
      </c>
      <c r="AR154" s="71">
        <f>IFERROR(VLOOKUP(A154,Climatologia_TMED!A:U,9+$E$2,FALSE),"")</f>
        <v>19.603370199692769</v>
      </c>
      <c r="AS154" s="71">
        <f t="shared" si="8"/>
        <v>1.5436886238366405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15</v>
      </c>
      <c r="AQ155" s="71">
        <f t="shared" si="7"/>
        <v>29.364444444444441</v>
      </c>
      <c r="AR155" s="71">
        <f>IFERROR(VLOOKUP(A155,Climatologia_TMED!A:U,9+$E$2,FALSE),"")</f>
        <v>27.798082822950249</v>
      </c>
      <c r="AS155" s="71">
        <f t="shared" si="8"/>
        <v>1.5663616214941918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15</v>
      </c>
      <c r="AQ157" s="71">
        <f t="shared" si="7"/>
        <v>30.297777777777775</v>
      </c>
      <c r="AR157" s="71">
        <f>IFERROR(VLOOKUP(A157,Climatologia_TMED!A:U,9+$E$2,FALSE),"")</f>
        <v>27.586074724019738</v>
      </c>
      <c r="AS157" s="71">
        <f t="shared" si="8"/>
        <v>2.7117030537580362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17</v>
      </c>
      <c r="AQ158" s="71">
        <f t="shared" si="7"/>
        <v>30.792156862745099</v>
      </c>
      <c r="AR158" s="71">
        <f>IFERROR(VLOOKUP(A158,Climatologia_TMED!A:U,9+$E$2,FALSE),"")</f>
        <v>28.018688345149439</v>
      </c>
      <c r="AS158" s="71">
        <f t="shared" si="8"/>
        <v>2.7734685175956599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17</v>
      </c>
      <c r="AQ159" s="71">
        <f t="shared" si="7"/>
        <v>21.286274509803917</v>
      </c>
      <c r="AR159" s="71">
        <f>IFERROR(VLOOKUP(A159,Climatologia_TMED!A:U,9+$E$2,FALSE),"")</f>
        <v>19.083052786798319</v>
      </c>
      <c r="AS159" s="71">
        <f t="shared" si="8"/>
        <v>2.2032217230055977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15</v>
      </c>
      <c r="AQ160" s="71">
        <f t="shared" si="7"/>
        <v>27.822222222222216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14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17</v>
      </c>
      <c r="AQ162" s="71">
        <f t="shared" si="7"/>
        <v>29.025490196078437</v>
      </c>
      <c r="AR162" s="71">
        <f>IFERROR(VLOOKUP(A162,Climatologia_TMED!A:U,9+$E$2,FALSE),"")</f>
        <v>28.49681537062899</v>
      </c>
      <c r="AS162" s="71">
        <f t="shared" si="8"/>
        <v>0.52867482544944622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17</v>
      </c>
      <c r="AQ163" s="71">
        <f t="shared" si="7"/>
        <v>21.870588235294118</v>
      </c>
      <c r="AR163" s="71">
        <f>IFERROR(VLOOKUP(A163,Climatologia_TMED!A:U,9+$E$2,FALSE),"")</f>
        <v>21.304846458288491</v>
      </c>
      <c r="AS163" s="71">
        <f t="shared" si="8"/>
        <v>0.565741777005627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17</v>
      </c>
      <c r="AQ164" s="71">
        <f t="shared" si="7"/>
        <v>25.900000000000002</v>
      </c>
      <c r="AR164" s="71">
        <f>IFERROR(VLOOKUP(A164,Climatologia_TMED!A:U,9+$E$2,FALSE),"")</f>
        <v>23.886011584659681</v>
      </c>
      <c r="AS164" s="71">
        <f t="shared" si="8"/>
        <v>2.0139884153403216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16</v>
      </c>
      <c r="AQ166" s="71">
        <f t="shared" si="7"/>
        <v>15.004166666666666</v>
      </c>
      <c r="AR166" s="71">
        <f>IFERROR(VLOOKUP(A166,Climatologia_TMED!A:U,9+$E$2,FALSE),"")</f>
        <v>13.59731182795695</v>
      </c>
      <c r="AS166" s="71">
        <f t="shared" si="8"/>
        <v>1.4068548387097159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17</v>
      </c>
      <c r="AQ167" s="71">
        <f t="shared" si="7"/>
        <v>21.172549019607843</v>
      </c>
      <c r="AR167" s="71">
        <f>IFERROR(VLOOKUP(A167,Climatologia_TMED!A:U,9+$E$2,FALSE),"")</f>
        <v>19.132762427527378</v>
      </c>
      <c r="AS167" s="71">
        <f t="shared" si="8"/>
        <v>2.0397865920804641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17</v>
      </c>
      <c r="AQ168" s="71">
        <f t="shared" si="7"/>
        <v>28.82352941176471</v>
      </c>
      <c r="AR168" s="71">
        <f>IFERROR(VLOOKUP(A168,Climatologia_TMED!A:U,9+$E$2,FALSE),"")</f>
        <v>26.11906044753972</v>
      </c>
      <c r="AS168" s="71">
        <f t="shared" si="8"/>
        <v>2.7044689642249899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17</v>
      </c>
      <c r="AQ169" s="71">
        <f t="shared" si="7"/>
        <v>9.4529411764705884</v>
      </c>
      <c r="AR169" s="71">
        <f>IFERROR(VLOOKUP(A169,Climatologia_TMED!A:U,9+$E$2,FALSE),"")</f>
        <v>8.9418110731500597</v>
      </c>
      <c r="AS169" s="71">
        <f t="shared" si="8"/>
        <v>0.51113010332052866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17</v>
      </c>
      <c r="AQ170" s="71">
        <f t="shared" si="7"/>
        <v>25.807843137254903</v>
      </c>
      <c r="AR170" s="71">
        <f>IFERROR(VLOOKUP(A170,Climatologia_TMED!A:U,9+$E$2,FALSE),"")</f>
        <v>24.395609944791921</v>
      </c>
      <c r="AS170" s="71">
        <f t="shared" si="8"/>
        <v>1.4122331924629812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15</v>
      </c>
      <c r="AQ171" s="71">
        <f t="shared" si="7"/>
        <v>21.742222222222221</v>
      </c>
      <c r="AR171" s="71">
        <f>IFERROR(VLOOKUP(A171,Climatologia_TMED!A:U,9+$E$2,FALSE),"")</f>
        <v>19.277535015015289</v>
      </c>
      <c r="AS171" s="71">
        <f t="shared" si="8"/>
        <v>2.4646872072069321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15</v>
      </c>
      <c r="AQ172" s="71">
        <f t="shared" si="7"/>
        <v>25.841666666666665</v>
      </c>
      <c r="AR172" s="71">
        <f>IFERROR(VLOOKUP(A172,Climatologia_TMED!A:U,9+$E$2,FALSE),"")</f>
        <v>24.578876627051489</v>
      </c>
      <c r="AS172" s="71">
        <f t="shared" si="8"/>
        <v>1.2627900396151759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17</v>
      </c>
      <c r="AQ173" s="71">
        <f t="shared" si="7"/>
        <v>25.151470588235295</v>
      </c>
      <c r="AR173" s="71">
        <f>IFERROR(VLOOKUP(A173,Climatologia_TMED!A:U,9+$E$2,FALSE),"")</f>
        <v>24.24334341397849</v>
      </c>
      <c r="AS173" s="71">
        <f t="shared" si="8"/>
        <v>0.90812717425680489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17</v>
      </c>
      <c r="AQ174" s="71">
        <f t="shared" si="7"/>
        <v>13.290196078431375</v>
      </c>
      <c r="AR174" s="71">
        <f>IFERROR(VLOOKUP(A174,Climatologia_TMED!A:U,9+$E$2,FALSE),"")</f>
        <v>12.130348155415341</v>
      </c>
      <c r="AS174" s="71">
        <f t="shared" si="8"/>
        <v>1.1598479230160343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23.9</v>
      </c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16</v>
      </c>
      <c r="AQ178" s="71">
        <f t="shared" si="7"/>
        <v>25.952083333333327</v>
      </c>
      <c r="AR178" s="71">
        <f>IFERROR(VLOOKUP(A178,Climatologia_TMED!A:U,9+$E$2,FALSE),"")</f>
        <v>24.764281496732401</v>
      </c>
      <c r="AS178" s="71">
        <f t="shared" si="8"/>
        <v>1.1878018366009258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16</v>
      </c>
      <c r="AQ179" s="71">
        <f t="shared" si="7"/>
        <v>18.931250000000002</v>
      </c>
      <c r="AR179" s="71">
        <f>IFERROR(VLOOKUP(A179,Climatologia_TMED!A:U,9+$E$2,FALSE),"")</f>
        <v>17.52263018923631</v>
      </c>
      <c r="AS179" s="71">
        <f t="shared" si="8"/>
        <v>1.4086198107636925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17</v>
      </c>
      <c r="AQ181" s="71">
        <f t="shared" si="7"/>
        <v>31.984313725490196</v>
      </c>
      <c r="AR181" s="71">
        <f>IFERROR(VLOOKUP(A181,Climatologia_TMED!A:U,9+$E$2,FALSE),"")</f>
        <v>29.494520657328639</v>
      </c>
      <c r="AS181" s="71">
        <f t="shared" si="8"/>
        <v>2.489793068161557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9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14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16</v>
      </c>
      <c r="AQ188" s="71">
        <f t="shared" si="7"/>
        <v>17.854166666666668</v>
      </c>
      <c r="AR188" s="71">
        <f>IFERROR(VLOOKUP(A188,Climatologia_TMED!A:U,9+$E$2,FALSE),"")</f>
        <v>16.219992677735171</v>
      </c>
      <c r="AS188" s="71">
        <f t="shared" si="8"/>
        <v>1.6341739889314972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11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16</v>
      </c>
      <c r="AQ190" s="71">
        <f t="shared" si="7"/>
        <v>31.212499999999999</v>
      </c>
      <c r="AR190" s="71">
        <f>IFERROR(VLOOKUP(A190,Climatologia_TMED!A:U,9+$E$2,FALSE),"")</f>
        <v>29.552042558032198</v>
      </c>
      <c r="AS190" s="71">
        <f t="shared" si="8"/>
        <v>1.6604574419678002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17</v>
      </c>
      <c r="AQ191" s="71">
        <f t="shared" si="7"/>
        <v>19.267647058823531</v>
      </c>
      <c r="AR191" s="71">
        <f>IFERROR(VLOOKUP(A191,Climatologia_TMED!A:U,9+$E$2,FALSE),"")</f>
        <v>17.464112079265011</v>
      </c>
      <c r="AS191" s="71">
        <f t="shared" si="8"/>
        <v>1.8035349795585205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17</v>
      </c>
      <c r="AQ192" s="71">
        <f t="shared" si="7"/>
        <v>26.47058823529412</v>
      </c>
      <c r="AR192" s="71">
        <f>IFERROR(VLOOKUP(A192,Climatologia_TMED!A:U,9+$E$2,FALSE),"")</f>
        <v>25.598921067303831</v>
      </c>
      <c r="AS192" s="71">
        <f t="shared" si="8"/>
        <v>0.87166716799028876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17</v>
      </c>
      <c r="AQ193" s="71">
        <f t="shared" si="7"/>
        <v>28.711764705882356</v>
      </c>
      <c r="AR193" s="71">
        <f>IFERROR(VLOOKUP(A193,Climatologia_TMED!A:U,9+$E$2,FALSE),"")</f>
        <v>26.876419518290088</v>
      </c>
      <c r="AS193" s="71">
        <f t="shared" si="8"/>
        <v>1.8353451875922673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16</v>
      </c>
      <c r="AQ194" s="71">
        <f t="shared" si="7"/>
        <v>21.895833333333336</v>
      </c>
      <c r="AR194" s="71">
        <f>IFERROR(VLOOKUP(A194,Climatologia_TMED!A:U,9+$E$2,FALSE),"")</f>
        <v>21.92453935902186</v>
      </c>
      <c r="AS194" s="71">
        <f t="shared" si="8"/>
        <v>-2.8706025688524761E-2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15</v>
      </c>
      <c r="AQ195" s="71">
        <f t="shared" si="7"/>
        <v>28.78222222222222</v>
      </c>
      <c r="AR195" s="71">
        <f>IFERROR(VLOOKUP(A195,Climatologia_TMED!A:U,9+$E$2,FALSE),"")</f>
        <v>25.93887423035611</v>
      </c>
      <c r="AS195" s="71">
        <f t="shared" si="8"/>
        <v>2.8433479918661106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17</v>
      </c>
      <c r="AQ196" s="71">
        <f t="shared" si="7"/>
        <v>22.866666666666664</v>
      </c>
      <c r="AR196" s="71">
        <f>IFERROR(VLOOKUP(A196,Climatologia_TMED!A:U,9+$E$2,FALSE),"")</f>
        <v>20.501275507765811</v>
      </c>
      <c r="AS196" s="71">
        <f t="shared" si="8"/>
        <v>2.3653911589008523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17</v>
      </c>
      <c r="AQ197" s="71">
        <f t="shared" ref="AQ197:AQ260" si="10">IF(AP197&gt;14,AVERAGE(K197:AO197),"")</f>
        <v>27.405882352941177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2.736262194459016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17</v>
      </c>
      <c r="AQ198" s="71">
        <f t="shared" si="10"/>
        <v>22.21764705882353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15</v>
      </c>
      <c r="AQ199" s="71">
        <f t="shared" si="10"/>
        <v>16.777777777777775</v>
      </c>
      <c r="AR199" s="71">
        <f>IFERROR(VLOOKUP(A199,Climatologia_TMED!A:U,9+$E$2,FALSE),"")</f>
        <v>15.9056050475294</v>
      </c>
      <c r="AS199" s="71">
        <f t="shared" si="11"/>
        <v>0.87217273024837461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16</v>
      </c>
      <c r="AQ200" s="71">
        <f t="shared" si="10"/>
        <v>14.281250000000002</v>
      </c>
      <c r="AR200" s="71">
        <f>IFERROR(VLOOKUP(A200,Climatologia_TMED!A:U,9+$E$2,FALSE),"")</f>
        <v>13.344977882388941</v>
      </c>
      <c r="AS200" s="71">
        <f t="shared" si="11"/>
        <v>0.93627211761106111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29.8</v>
      </c>
      <c r="AA201" s="56">
        <v>26.7</v>
      </c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17</v>
      </c>
      <c r="AQ201" s="71">
        <f t="shared" si="10"/>
        <v>28.599999999999994</v>
      </c>
      <c r="AR201" s="71">
        <f>IFERROR(VLOOKUP(A201,Climatologia_TMED!A:U,9+$E$2,FALSE),"")</f>
        <v>26.42009640850436</v>
      </c>
      <c r="AS201" s="71">
        <f t="shared" si="11"/>
        <v>2.1799035914956342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17</v>
      </c>
      <c r="AQ202" s="71">
        <f t="shared" si="10"/>
        <v>12.935294117647057</v>
      </c>
      <c r="AR202" s="71">
        <f>IFERROR(VLOOKUP(A202,Climatologia_TMED!A:U,9+$E$2,FALSE),"")</f>
        <v>12.92387825817962</v>
      </c>
      <c r="AS202" s="71">
        <f t="shared" si="11"/>
        <v>1.1415859467437173E-2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14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16</v>
      </c>
      <c r="AQ206" s="71">
        <f t="shared" si="10"/>
        <v>13.459374999999998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7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17</v>
      </c>
      <c r="AQ208" s="71">
        <f t="shared" si="10"/>
        <v>13.770588235294117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17</v>
      </c>
      <c r="AQ209" s="71">
        <f t="shared" si="10"/>
        <v>11.076470588235296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16</v>
      </c>
      <c r="AQ210" s="71">
        <f t="shared" si="10"/>
        <v>15.75625</v>
      </c>
      <c r="AR210" s="71">
        <f>IFERROR(VLOOKUP(A210,Climatologia_TMED!A:U,9+$E$2,FALSE),"")</f>
        <v>14.343130840767889</v>
      </c>
      <c r="AS210" s="71">
        <f t="shared" si="11"/>
        <v>1.4131191592321102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16</v>
      </c>
      <c r="AQ211" s="71">
        <f t="shared" si="10"/>
        <v>8.3531250000000004</v>
      </c>
      <c r="AR211" s="71">
        <f>IFERROR(VLOOKUP(A211,Climatologia_TMED!A:U,9+$E$2,FALSE),"")</f>
        <v>8.1491623782224423</v>
      </c>
      <c r="AS211" s="71">
        <f t="shared" si="11"/>
        <v>0.20396262177755808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15</v>
      </c>
      <c r="AQ212" s="71">
        <f t="shared" si="10"/>
        <v>27.720000000000002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2026-08-18T15:09:38Z</dcterms:modified>
</cp:coreProperties>
</file>