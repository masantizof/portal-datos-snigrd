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C19D3F0-50CD-4669-92D1-DC869569CB9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Temperatura!$AB$1:$AB$209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W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W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W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/>
  <c r="AU175" i="1" a="1"/>
  <c r="AU175" i="1"/>
  <c r="AT175" i="1"/>
  <c r="AR175" i="1"/>
  <c r="AP175" i="1"/>
  <c r="AQ175" i="1" s="1"/>
  <c r="AV174" i="1" a="1"/>
  <c r="AV174" i="1" s="1"/>
  <c r="AU174" i="1" a="1"/>
  <c r="AU174" i="1" s="1"/>
  <c r="AW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Q167" i="1"/>
  <c r="AP167" i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W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S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Q143" i="1"/>
  <c r="AP143" i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/>
  <c r="AT122" i="1"/>
  <c r="AW122" i="1" s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W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W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/>
  <c r="AT102" i="1"/>
  <c r="AR102" i="1"/>
  <c r="AS102" i="1" s="1"/>
  <c r="AP102" i="1"/>
  <c r="AQ102" i="1" s="1"/>
  <c r="AV101" i="1" a="1"/>
  <c r="AV101" i="1" s="1"/>
  <c r="AU101" i="1" a="1"/>
  <c r="AU101" i="1"/>
  <c r="AT101" i="1"/>
  <c r="AR101" i="1"/>
  <c r="AQ101" i="1"/>
  <c r="AP101" i="1"/>
  <c r="AV100" i="1" a="1"/>
  <c r="AV100" i="1" s="1"/>
  <c r="AU100" i="1" a="1"/>
  <c r="AU100" i="1" s="1"/>
  <c r="AW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Q95" i="1"/>
  <c r="AP95" i="1"/>
  <c r="AV94" i="1" a="1"/>
  <c r="AV94" i="1" s="1"/>
  <c r="AU94" i="1" a="1"/>
  <c r="AU94" i="1" s="1"/>
  <c r="AT94" i="1"/>
  <c r="AR94" i="1"/>
  <c r="AP94" i="1"/>
  <c r="AQ94" i="1" s="1"/>
  <c r="AV93" i="1" a="1"/>
  <c r="AV93" i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S90" i="1" s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/>
  <c r="AU85" i="1" a="1"/>
  <c r="AU85" i="1" s="1"/>
  <c r="AT85" i="1"/>
  <c r="AR85" i="1"/>
  <c r="AQ85" i="1"/>
  <c r="AP85" i="1"/>
  <c r="AV84" i="1" a="1"/>
  <c r="AV84" i="1" s="1"/>
  <c r="AU84" i="1" a="1"/>
  <c r="AU84" i="1" s="1"/>
  <c r="AT84" i="1"/>
  <c r="AS84" i="1"/>
  <c r="AR84" i="1"/>
  <c r="AP84" i="1"/>
  <c r="AQ84" i="1" s="1"/>
  <c r="AV83" i="1" a="1"/>
  <c r="AV83" i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W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/>
  <c r="AT64" i="1"/>
  <c r="AW64" i="1" s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Q57" i="1"/>
  <c r="AP57" i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Q55" i="1"/>
  <c r="AP55" i="1"/>
  <c r="AV54" i="1" a="1"/>
  <c r="AV54" i="1" s="1"/>
  <c r="AU54" i="1" a="1"/>
  <c r="AU54" i="1" s="1"/>
  <c r="AW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W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/>
  <c r="AT43" i="1"/>
  <c r="AR43" i="1"/>
  <c r="AP43" i="1"/>
  <c r="AQ43" i="1" s="1"/>
  <c r="AV42" i="1" a="1"/>
  <c r="AV42" i="1" s="1"/>
  <c r="AU42" i="1" a="1"/>
  <c r="AU42" i="1" s="1"/>
  <c r="AT42" i="1"/>
  <c r="AW42" i="1" s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Q40" i="1"/>
  <c r="AP40" i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/>
  <c r="AT36" i="1"/>
  <c r="AR36" i="1"/>
  <c r="AP36" i="1"/>
  <c r="AQ36" i="1" s="1"/>
  <c r="AS36" i="1" s="1"/>
  <c r="AV35" i="1" a="1"/>
  <c r="AV35" i="1" s="1"/>
  <c r="AU35" i="1" a="1"/>
  <c r="AU35" i="1"/>
  <c r="AT35" i="1"/>
  <c r="AR35" i="1"/>
  <c r="AP35" i="1"/>
  <c r="AQ35" i="1" s="1"/>
  <c r="AV34" i="1" a="1"/>
  <c r="AV34" i="1" s="1"/>
  <c r="AU34" i="1" a="1"/>
  <c r="AU34" i="1"/>
  <c r="AT34" i="1"/>
  <c r="AW34" i="1" s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/>
  <c r="AT28" i="1"/>
  <c r="AR28" i="1"/>
  <c r="AP28" i="1"/>
  <c r="AQ28" i="1" s="1"/>
  <c r="AS28" i="1" s="1"/>
  <c r="AV27" i="1" a="1"/>
  <c r="AV27" i="1" s="1"/>
  <c r="AU27" i="1" a="1"/>
  <c r="AU27" i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/>
  <c r="AT21" i="1"/>
  <c r="AR21" i="1"/>
  <c r="AP21" i="1"/>
  <c r="AQ21" i="1" s="1"/>
  <c r="AV20" i="1" a="1"/>
  <c r="AV20" i="1" s="1"/>
  <c r="AU20" i="1" a="1"/>
  <c r="AU20" i="1"/>
  <c r="AT20" i="1"/>
  <c r="AR20" i="1"/>
  <c r="AP20" i="1"/>
  <c r="AQ20" i="1" s="1"/>
  <c r="AS20" i="1" s="1"/>
  <c r="AV19" i="1" a="1"/>
  <c r="AV19" i="1" s="1"/>
  <c r="AU19" i="1" a="1"/>
  <c r="AU19" i="1"/>
  <c r="AT19" i="1"/>
  <c r="AR19" i="1"/>
  <c r="AP19" i="1"/>
  <c r="AQ19" i="1" s="1"/>
  <c r="AV18" i="1" a="1"/>
  <c r="AV18" i="1" s="1"/>
  <c r="AU18" i="1" a="1"/>
  <c r="AU18" i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/>
  <c r="AT13" i="1"/>
  <c r="AW13" i="1" s="1"/>
  <c r="AR13" i="1"/>
  <c r="AP13" i="1"/>
  <c r="AQ13" i="1" s="1"/>
  <c r="AV12" i="1" a="1"/>
  <c r="AV12" i="1" s="1"/>
  <c r="AU12" i="1" a="1"/>
  <c r="AU12" i="1"/>
  <c r="AT12" i="1"/>
  <c r="AW12" i="1" s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/>
  <c r="AT6" i="1"/>
  <c r="AW6" i="1" s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3" i="1" l="1"/>
  <c r="AW66" i="1"/>
  <c r="AW44" i="1"/>
  <c r="AW106" i="1"/>
  <c r="AS194" i="1"/>
  <c r="AS103" i="1"/>
  <c r="AS107" i="1"/>
  <c r="AW114" i="1"/>
  <c r="AW31" i="1"/>
  <c r="AS49" i="1"/>
  <c r="AW140" i="1"/>
  <c r="AW154" i="1"/>
  <c r="AS180" i="1"/>
  <c r="AS89" i="1"/>
  <c r="AS111" i="1"/>
  <c r="AS118" i="1"/>
  <c r="AS151" i="1"/>
  <c r="AS162" i="1"/>
  <c r="AW187" i="1"/>
  <c r="AW129" i="1"/>
  <c r="AW180" i="1"/>
  <c r="AS18" i="1"/>
  <c r="AW21" i="1"/>
  <c r="AW35" i="1"/>
  <c r="AS64" i="1"/>
  <c r="AW74" i="1"/>
  <c r="AW78" i="1"/>
  <c r="AS97" i="1"/>
  <c r="AS115" i="1"/>
  <c r="AS177" i="1"/>
  <c r="AS184" i="1"/>
  <c r="AW39" i="1"/>
  <c r="AS104" i="1"/>
  <c r="AS68" i="1"/>
  <c r="AS86" i="1"/>
  <c r="AS119" i="1"/>
  <c r="AS130" i="1"/>
  <c r="AS145" i="1"/>
  <c r="AW148" i="1"/>
  <c r="AS163" i="1"/>
  <c r="AS43" i="1"/>
  <c r="AS83" i="1"/>
  <c r="AS101" i="1"/>
  <c r="AS134" i="1"/>
  <c r="AS152" i="1"/>
  <c r="AS167" i="1"/>
  <c r="AW207" i="1"/>
  <c r="AW8" i="1"/>
  <c r="AS72" i="1"/>
  <c r="AS185" i="1"/>
  <c r="AS192" i="1"/>
  <c r="AS196" i="1"/>
  <c r="AS5" i="1"/>
  <c r="AS19" i="1"/>
  <c r="AW22" i="1"/>
  <c r="AS33" i="1"/>
  <c r="AS58" i="1"/>
  <c r="AS142" i="1"/>
  <c r="AW152" i="1"/>
  <c r="AW185" i="1"/>
  <c r="AS51" i="1"/>
  <c r="AS62" i="1"/>
  <c r="AW142" i="1"/>
  <c r="AS164" i="1"/>
  <c r="AS30" i="1"/>
  <c r="AS135" i="1"/>
  <c r="AS146" i="1"/>
  <c r="AS153" i="1"/>
  <c r="AS168" i="1"/>
  <c r="AW16" i="1"/>
  <c r="AS23" i="1"/>
  <c r="AS37" i="1"/>
  <c r="AS55" i="1"/>
  <c r="AS13" i="1"/>
  <c r="AS44" i="1"/>
  <c r="AS59" i="1"/>
  <c r="AW189" i="1"/>
  <c r="AW146" i="1"/>
  <c r="AS161" i="1"/>
  <c r="AS179" i="1"/>
  <c r="AW37" i="1"/>
  <c r="AW50" i="1"/>
  <c r="AW89" i="1"/>
  <c r="AW169" i="1"/>
  <c r="AS47" i="1"/>
  <c r="AS57" i="1"/>
  <c r="AS73" i="1"/>
  <c r="AW92" i="1"/>
  <c r="AW121" i="1"/>
  <c r="AW128" i="1"/>
  <c r="AS147" i="1"/>
  <c r="AW156" i="1"/>
  <c r="AS166" i="1"/>
  <c r="AW172" i="1"/>
  <c r="AS195" i="1"/>
  <c r="AS202" i="1"/>
  <c r="AW105" i="1"/>
  <c r="AW163" i="1"/>
  <c r="AS15" i="1"/>
  <c r="AW18" i="1"/>
  <c r="AS25" i="1"/>
  <c r="AW28" i="1"/>
  <c r="AS38" i="1"/>
  <c r="AS41" i="1"/>
  <c r="AW60" i="1"/>
  <c r="AS70" i="1"/>
  <c r="AS93" i="1"/>
  <c r="AS99" i="1"/>
  <c r="AW102" i="1"/>
  <c r="AS138" i="1"/>
  <c r="AS144" i="1"/>
  <c r="AW147" i="1"/>
  <c r="AS150" i="1"/>
  <c r="AS160" i="1"/>
  <c r="AS182" i="1"/>
  <c r="AW202" i="1"/>
  <c r="AW83" i="1"/>
  <c r="AW96" i="1"/>
  <c r="AW135" i="1"/>
  <c r="AW144" i="1"/>
  <c r="AW176" i="1"/>
  <c r="AW182" i="1"/>
  <c r="AS199" i="1"/>
  <c r="AS206" i="1"/>
  <c r="AW76" i="1"/>
  <c r="AW70" i="1"/>
  <c r="AW5" i="1"/>
  <c r="AS12" i="1"/>
  <c r="AW15" i="1"/>
  <c r="AS22" i="1"/>
  <c r="AW25" i="1"/>
  <c r="AS35" i="1"/>
  <c r="AW38" i="1"/>
  <c r="AW41" i="1"/>
  <c r="AS80" i="1"/>
  <c r="AW86" i="1"/>
  <c r="AS112" i="1"/>
  <c r="AS122" i="1"/>
  <c r="AS129" i="1"/>
  <c r="AS132" i="1"/>
  <c r="AW138" i="1"/>
  <c r="AW150" i="1"/>
  <c r="AS157" i="1"/>
  <c r="AW49" i="1"/>
  <c r="AW11" i="1"/>
  <c r="AW57" i="1"/>
  <c r="AS32" i="1"/>
  <c r="AS48" i="1"/>
  <c r="AS61" i="1"/>
  <c r="AS106" i="1"/>
  <c r="AS186" i="1"/>
  <c r="AS189" i="1"/>
  <c r="AW206" i="1"/>
  <c r="AW32" i="1"/>
  <c r="AS77" i="1"/>
  <c r="AW80" i="1"/>
  <c r="AW90" i="1"/>
  <c r="AS109" i="1"/>
  <c r="AW112" i="1"/>
  <c r="AW132" i="1"/>
  <c r="AW170" i="1"/>
  <c r="AS6" i="1"/>
  <c r="AW9" i="1"/>
  <c r="AS16" i="1"/>
  <c r="AW19" i="1"/>
  <c r="AS26" i="1"/>
  <c r="AW29" i="1"/>
  <c r="AS39" i="1"/>
  <c r="AS52" i="1"/>
  <c r="AW55" i="1"/>
  <c r="AW58" i="1"/>
  <c r="AS94" i="1"/>
  <c r="AS100" i="1"/>
  <c r="AW109" i="1"/>
  <c r="AS126" i="1"/>
  <c r="AS139" i="1"/>
  <c r="AS174" i="1"/>
  <c r="AW186" i="1"/>
  <c r="AS193" i="1"/>
  <c r="AW196" i="1"/>
  <c r="AS207" i="1"/>
  <c r="AS42" i="1"/>
  <c r="AS81" i="1"/>
  <c r="AS133" i="1"/>
  <c r="AW136" i="1"/>
  <c r="AW145" i="1"/>
  <c r="AW161" i="1"/>
  <c r="AS200" i="1"/>
  <c r="AS65" i="1"/>
  <c r="AW68" i="1"/>
  <c r="AW94" i="1"/>
  <c r="AS113" i="1"/>
  <c r="AS123" i="1"/>
  <c r="AW126" i="1"/>
  <c r="AP2" i="1"/>
  <c r="AW52" i="1"/>
  <c r="AW81" i="1"/>
  <c r="AW84" i="1"/>
  <c r="AS88" i="1"/>
  <c r="AS91" i="1"/>
  <c r="AW97" i="1"/>
  <c r="AW116" i="1"/>
  <c r="AS190" i="1"/>
  <c r="AS197" i="1"/>
  <c r="AW200" i="1"/>
  <c r="AW33" i="1"/>
  <c r="AW36" i="1"/>
  <c r="AS46" i="1"/>
  <c r="AW62" i="1"/>
  <c r="AW88" i="1"/>
  <c r="AS110" i="1"/>
  <c r="AS120" i="1"/>
  <c r="AW168" i="1"/>
  <c r="AS7" i="1"/>
  <c r="AW10" i="1"/>
  <c r="AS17" i="1"/>
  <c r="AW20" i="1"/>
  <c r="AW30" i="1"/>
  <c r="AW56" i="1"/>
  <c r="AW107" i="1"/>
  <c r="AW130" i="1"/>
  <c r="AW158" i="1"/>
  <c r="AS175" i="1"/>
  <c r="AS201" i="1"/>
  <c r="AS208" i="1"/>
  <c r="AS82" i="1"/>
  <c r="AS85" i="1"/>
  <c r="AS95" i="1"/>
  <c r="AW104" i="1"/>
  <c r="AW110" i="1"/>
  <c r="AS117" i="1"/>
  <c r="AS143" i="1"/>
  <c r="AS149" i="1"/>
  <c r="AW162" i="1"/>
  <c r="AS181" i="1"/>
  <c r="AW7" i="1"/>
  <c r="AS14" i="1"/>
  <c r="AW17" i="1"/>
  <c r="AS24" i="1"/>
  <c r="AW27" i="1"/>
  <c r="AS40" i="1"/>
  <c r="AW43" i="1"/>
  <c r="AS66" i="1"/>
  <c r="AW69" i="1"/>
  <c r="AS98" i="1"/>
  <c r="AS114" i="1"/>
  <c r="AW149" i="1"/>
  <c r="AS159" i="1"/>
  <c r="AW175" i="1"/>
  <c r="AS178" i="1"/>
  <c r="AW184" i="1"/>
  <c r="AS191" i="1"/>
  <c r="AW208" i="1"/>
  <c r="AW26" i="1"/>
  <c r="AW82" i="1"/>
  <c r="AW95" i="1"/>
  <c r="AW134" i="1"/>
  <c r="AS11" i="1"/>
  <c r="AW14" i="1"/>
  <c r="AS21" i="1"/>
  <c r="AW24" i="1"/>
  <c r="AS31" i="1"/>
  <c r="AS34" i="1"/>
  <c r="AW40" i="1"/>
  <c r="AS50" i="1"/>
  <c r="AS54" i="1"/>
  <c r="AS79" i="1"/>
  <c r="AW98" i="1"/>
  <c r="AS121" i="1"/>
  <c r="AS128" i="1"/>
  <c r="AS131" i="1"/>
  <c r="AW178" i="1"/>
  <c r="AS198" i="1"/>
  <c r="AS205" i="1"/>
  <c r="AW124" i="1"/>
  <c r="AW188" i="1"/>
  <c r="AW108" i="1"/>
  <c r="AW166" i="1"/>
  <c r="AW48" i="1"/>
  <c r="AW164" i="1"/>
  <c r="AW190" i="1"/>
  <c r="AW204" i="1"/>
  <c r="AW65" i="1"/>
  <c r="AW91" i="1"/>
  <c r="AW131" i="1"/>
  <c r="AW171" i="1"/>
  <c r="AW77" i="1"/>
  <c r="AW117" i="1"/>
  <c r="AW157" i="1"/>
  <c r="AW197" i="1"/>
  <c r="AW63" i="1"/>
  <c r="AW103" i="1"/>
  <c r="AW143" i="1"/>
  <c r="AW183" i="1"/>
  <c r="AW75" i="1"/>
  <c r="AW115" i="1"/>
  <c r="AW155" i="1"/>
  <c r="AW195" i="1"/>
  <c r="AW47" i="1"/>
  <c r="AW61" i="1"/>
  <c r="AW101" i="1"/>
  <c r="AW141" i="1"/>
  <c r="AW181" i="1"/>
  <c r="AW87" i="1"/>
  <c r="AW127" i="1"/>
  <c r="AW167" i="1"/>
  <c r="AW73" i="1"/>
  <c r="AW113" i="1"/>
  <c r="AW153" i="1"/>
  <c r="AW193" i="1"/>
  <c r="AW59" i="1"/>
  <c r="AW99" i="1"/>
  <c r="AW139" i="1"/>
  <c r="AW179" i="1"/>
  <c r="AW85" i="1"/>
  <c r="AW125" i="1"/>
  <c r="AW165" i="1"/>
  <c r="AW205" i="1"/>
  <c r="AW71" i="1"/>
  <c r="AW111" i="1"/>
  <c r="AW151" i="1"/>
  <c r="AW191" i="1"/>
  <c r="AW51" i="1"/>
  <c r="AW137" i="1"/>
  <c r="AW177" i="1"/>
  <c r="AW123" i="1"/>
  <c r="AW203" i="1"/>
  <c r="AW201" i="1"/>
  <c r="AW45" i="1"/>
  <c r="AW67" i="1"/>
  <c r="AW53" i="1"/>
  <c r="AW93" i="1"/>
  <c r="AW133" i="1"/>
  <c r="AW173" i="1"/>
  <c r="AW79" i="1"/>
  <c r="AW119" i="1"/>
  <c r="AW159" i="1"/>
  <c r="AW199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<sst xmlns="http://schemas.openxmlformats.org/spreadsheetml/2006/main" count="3544" uniqueCount="1272">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</sst>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I164" zoomScale="80" zoomScaleNormal="80" workbookViewId="0">
      <selection activeCell="AD18" sqref="AD18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57" width="32.42578125" style="74" customWidth="1"/>
    <col min="158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4.2</v>
      </c>
      <c r="AA2" s="89">
        <f t="shared" si="0"/>
        <v>4.5999999999999996</v>
      </c>
      <c r="AB2" s="89">
        <f t="shared" si="0"/>
        <v>4.2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>
        <v>25.4</v>
      </c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18</v>
      </c>
      <c r="AQ5" s="89">
        <f t="shared" ref="AQ5:AQ68" si="2">IF(AP5&gt;14,AVERAGE(K5:AO5),"")</f>
        <v>26.827777777777776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0.56848919924744479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>
        <v>26.7</v>
      </c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18</v>
      </c>
      <c r="AQ6" s="89">
        <f t="shared" si="2"/>
        <v>27.144444444444442</v>
      </c>
      <c r="AR6" s="89">
        <f>IFERROR(VLOOKUP(A6,Climatologia!A:U,9+$E$2,FALSE),"")</f>
        <v>26.228813072776621</v>
      </c>
      <c r="AS6" s="89">
        <f t="shared" si="3"/>
        <v>0.91563137166782127</v>
      </c>
      <c r="AT6" s="90">
        <f t="shared" si="4"/>
        <v>26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5.6000000000000014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>
        <v>25.4</v>
      </c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18</v>
      </c>
      <c r="AQ7" s="89">
        <f t="shared" si="2"/>
        <v>26.566666666666666</v>
      </c>
      <c r="AR7" s="89">
        <f>IFERROR(VLOOKUP(A7,Climatologia!A:U,9+$E$2,FALSE),"")</f>
        <v>24.806006674082301</v>
      </c>
      <c r="AS7" s="89">
        <f t="shared" si="3"/>
        <v>1.7606599925843653</v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>
        <v>26.5</v>
      </c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18</v>
      </c>
      <c r="AQ8" s="89">
        <f t="shared" si="2"/>
        <v>26.461111111111109</v>
      </c>
      <c r="AR8" s="89">
        <f>IFERROR(VLOOKUP(A8,Climatologia!A:U,9+$E$2,FALSE),"")</f>
        <v>25.86230323116423</v>
      </c>
      <c r="AS8" s="89">
        <f t="shared" si="3"/>
        <v>0.59880787994687878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>
        <v>25.1</v>
      </c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18</v>
      </c>
      <c r="AQ9" s="89">
        <f t="shared" si="2"/>
        <v>26.061111111111117</v>
      </c>
      <c r="AR9" s="89">
        <f>IFERROR(VLOOKUP(A9,Climatologia!A:U,9+$E$2,FALSE),"")</f>
        <v>24.75295901904628</v>
      </c>
      <c r="AS9" s="89">
        <f t="shared" si="3"/>
        <v>1.3081520920648373</v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>
        <v>27.9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18</v>
      </c>
      <c r="AQ10" s="89">
        <f t="shared" si="2"/>
        <v>27.95</v>
      </c>
      <c r="AR10" s="89">
        <f>IFERROR(VLOOKUP(A10,Climatologia!A:U,9+$E$2,FALSE),"")</f>
        <v>25.518421261719372</v>
      </c>
      <c r="AS10" s="89">
        <f t="shared" si="3"/>
        <v>2.4315787382806278</v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>
        <v>24.2</v>
      </c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18</v>
      </c>
      <c r="AQ11" s="89">
        <f t="shared" si="2"/>
        <v>26.833333333333332</v>
      </c>
      <c r="AR11" s="89">
        <f>IFERROR(VLOOKUP(A11,Climatologia!A:U,9+$E$2,FALSE),"")</f>
        <v>24.333982334869429</v>
      </c>
      <c r="AS11" s="89">
        <f t="shared" si="3"/>
        <v>2.4993509984639033</v>
      </c>
      <c r="AT11" s="90">
        <f t="shared" si="4"/>
        <v>24.2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4.1999999999999993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>
        <v>23.6</v>
      </c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18</v>
      </c>
      <c r="AQ12" s="89">
        <f t="shared" si="2"/>
        <v>25.799999999999997</v>
      </c>
      <c r="AR12" s="89">
        <f>IFERROR(VLOOKUP(A12,Climatologia!A:U,9+$E$2,FALSE),"")</f>
        <v>23.252867103531361</v>
      </c>
      <c r="AS12" s="89">
        <f t="shared" si="3"/>
        <v>2.5471328964686357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>
        <v>24</v>
      </c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18</v>
      </c>
      <c r="AQ13" s="89">
        <f t="shared" si="2"/>
        <v>25.083333333333332</v>
      </c>
      <c r="AR13" s="89">
        <f>IFERROR(VLOOKUP(A13,Climatologia!A:U,9+$E$2,FALSE),"")</f>
        <v>23.256381449473771</v>
      </c>
      <c r="AS13" s="89">
        <f t="shared" si="3"/>
        <v>1.8269518838595609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>
        <v>19.399999999999999</v>
      </c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18</v>
      </c>
      <c r="AQ14" s="89">
        <f t="shared" si="2"/>
        <v>20.177777777777781</v>
      </c>
      <c r="AR14" s="89">
        <f>IFERROR(VLOOKUP(A14,Climatologia!A:U,9+$E$2,FALSE),"")</f>
        <v>18.604610712863401</v>
      </c>
      <c r="AS14" s="89">
        <f t="shared" si="3"/>
        <v>1.5731670649143794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>
        <v>24.4</v>
      </c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18</v>
      </c>
      <c r="AQ15" s="89">
        <f t="shared" si="2"/>
        <v>25.616666666666664</v>
      </c>
      <c r="AR15" s="89">
        <f>IFERROR(VLOOKUP(A15,Climatologia!A:U,9+$E$2,FALSE),"")</f>
        <v>23.891303077493511</v>
      </c>
      <c r="AS15" s="89">
        <f t="shared" si="3"/>
        <v>1.7253635891731527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>
        <v>23.8</v>
      </c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18</v>
      </c>
      <c r="AQ16" s="89">
        <f t="shared" si="2"/>
        <v>24.911111111111108</v>
      </c>
      <c r="AR16" s="89">
        <f>IFERROR(VLOOKUP(A16,Climatologia!A:U,9+$E$2,FALSE),"")</f>
        <v>23.404404619673439</v>
      </c>
      <c r="AS16" s="89">
        <f t="shared" si="3"/>
        <v>1.5067064914376687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>
        <v>18.5</v>
      </c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18</v>
      </c>
      <c r="AQ17" s="89">
        <f t="shared" si="2"/>
        <v>19.466666666666669</v>
      </c>
      <c r="AR17" s="89">
        <f>IFERROR(VLOOKUP(A17,Climatologia!A:U,9+$E$2,FALSE),"")</f>
        <v>17.58853046594982</v>
      </c>
      <c r="AS17" s="89">
        <f t="shared" si="3"/>
        <v>1.8781362007168489</v>
      </c>
      <c r="AT17" s="90">
        <f t="shared" si="4"/>
        <v>18.100000000000001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6.7000000000000011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>
        <v>13.9</v>
      </c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18</v>
      </c>
      <c r="AQ18" s="89">
        <f t="shared" si="2"/>
        <v>12.833333333333337</v>
      </c>
      <c r="AR18" s="89">
        <f>IFERROR(VLOOKUP(A18,Climatologia!A:U,9+$E$2,FALSE),"")</f>
        <v>12.112884686688909</v>
      </c>
      <c r="AS18" s="89">
        <f t="shared" si="3"/>
        <v>0.72044864664442798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>
        <v>17.399999999999999</v>
      </c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18</v>
      </c>
      <c r="AQ19" s="89">
        <f t="shared" si="2"/>
        <v>18.655555555555551</v>
      </c>
      <c r="AR19" s="89">
        <f>IFERROR(VLOOKUP(A19,Climatologia!A:U,9+$E$2,FALSE),"")</f>
        <v>17.60198511166254</v>
      </c>
      <c r="AS19" s="89">
        <f t="shared" si="3"/>
        <v>1.0535704438930118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4.1999999999999993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>
        <v>18.3</v>
      </c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18</v>
      </c>
      <c r="AQ20" s="89">
        <f t="shared" si="2"/>
        <v>17.594444444444445</v>
      </c>
      <c r="AR20" s="89">
        <f>IFERROR(VLOOKUP(A20,Climatologia!A:U,9+$E$2,FALSE),"")</f>
        <v>16.759506289039098</v>
      </c>
      <c r="AS20" s="89">
        <f t="shared" si="3"/>
        <v>0.83493815540534655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>
        <v>19.600000000000001</v>
      </c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18</v>
      </c>
      <c r="AQ21" s="89">
        <f t="shared" si="2"/>
        <v>21.411111111111111</v>
      </c>
      <c r="AR21" s="89">
        <f>IFERROR(VLOOKUP(A21,Climatologia!A:U,9+$E$2,FALSE),"")</f>
        <v>19.456815855631209</v>
      </c>
      <c r="AS21" s="89">
        <f t="shared" si="3"/>
        <v>1.9542952554799022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>
        <v>10.3</v>
      </c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18</v>
      </c>
      <c r="AQ22" s="89">
        <f t="shared" si="2"/>
        <v>9.4833333333333343</v>
      </c>
      <c r="AR22" s="89">
        <f>IFERROR(VLOOKUP(A22,Climatologia!A:U,9+$E$2,FALSE),"")</f>
        <v>8.3796136733122264</v>
      </c>
      <c r="AS22" s="89">
        <f t="shared" si="3"/>
        <v>1.1037196600211079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>
        <v>19.600000000000001</v>
      </c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18</v>
      </c>
      <c r="AQ23" s="89">
        <f t="shared" si="2"/>
        <v>19.027777777777775</v>
      </c>
      <c r="AR23" s="89">
        <f>IFERROR(VLOOKUP(A23,Climatologia!A:U,9+$E$2,FALSE),"")</f>
        <v>18.46166778427882</v>
      </c>
      <c r="AS23" s="89">
        <f t="shared" si="3"/>
        <v>0.56610999349895508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>
        <v>22.7</v>
      </c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18</v>
      </c>
      <c r="AQ24" s="89">
        <f t="shared" si="2"/>
        <v>24.988888888888884</v>
      </c>
      <c r="AR24" s="89">
        <f>IFERROR(VLOOKUP(A24,Climatologia!A:U,9+$E$2,FALSE),"")</f>
        <v>23.298802867383511</v>
      </c>
      <c r="AS24" s="89">
        <f t="shared" si="3"/>
        <v>1.6900860215053726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>
        <v>14</v>
      </c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18</v>
      </c>
      <c r="AQ25" s="89">
        <f t="shared" si="2"/>
        <v>15.633333333333333</v>
      </c>
      <c r="AR25" s="89">
        <f>IFERROR(VLOOKUP(A25,Climatologia!A:U,9+$E$2,FALSE),"")</f>
        <v>14.619937099422639</v>
      </c>
      <c r="AS25" s="89">
        <f t="shared" si="3"/>
        <v>1.0133962339106937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>
        <v>7</v>
      </c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18</v>
      </c>
      <c r="AQ26" s="89">
        <f t="shared" si="2"/>
        <v>6.9222222222222225</v>
      </c>
      <c r="AR26" s="89">
        <f>IFERROR(VLOOKUP(A26,Climatologia!A:U,9+$E$2,FALSE),"")</f>
        <v>4.8923173896922503</v>
      </c>
      <c r="AS26" s="89">
        <f t="shared" si="3"/>
        <v>2.0299048325299722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>
        <v>22.8</v>
      </c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18</v>
      </c>
      <c r="AQ27" s="89">
        <f t="shared" si="2"/>
        <v>24.261111111111109</v>
      </c>
      <c r="AR27" s="89">
        <f>IFERROR(VLOOKUP(A27,Climatologia!A:U,9+$E$2,FALSE),"")</f>
        <v>23.179136204978711</v>
      </c>
      <c r="AS27" s="89">
        <f t="shared" si="3"/>
        <v>1.0819749061323982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2.4000000000000021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>
        <v>22.8</v>
      </c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18</v>
      </c>
      <c r="AQ28" s="89">
        <f t="shared" si="2"/>
        <v>23.62222222222222</v>
      </c>
      <c r="AR28" s="89">
        <f>IFERROR(VLOOKUP(A28,Climatologia!A:U,9+$E$2,FALSE),"")</f>
        <v>22.746845081640782</v>
      </c>
      <c r="AS28" s="89">
        <f t="shared" si="3"/>
        <v>0.87537714058143834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>
        <v>24.2</v>
      </c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18</v>
      </c>
      <c r="AQ29" s="89">
        <f t="shared" si="2"/>
        <v>24.988888888888891</v>
      </c>
      <c r="AR29" s="89">
        <f>IFERROR(VLOOKUP(A29,Climatologia!A:U,9+$E$2,FALSE),"")</f>
        <v>23.54566184649611</v>
      </c>
      <c r="AS29" s="89">
        <f t="shared" si="3"/>
        <v>1.4432270423927811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3.8000000000000007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>
        <v>21.3</v>
      </c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18</v>
      </c>
      <c r="AQ30" s="89">
        <f t="shared" si="2"/>
        <v>21.561111111111114</v>
      </c>
      <c r="AR30" s="89">
        <f>IFERROR(VLOOKUP(A30,Climatologia!A:U,9+$E$2,FALSE),"")</f>
        <v>20.53698553948831</v>
      </c>
      <c r="AS30" s="89">
        <f t="shared" si="3"/>
        <v>1.0241255716228039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>
        <v>22.8</v>
      </c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18</v>
      </c>
      <c r="AQ31" s="89">
        <f t="shared" si="2"/>
        <v>23.205555555555556</v>
      </c>
      <c r="AR31" s="89">
        <f>IFERROR(VLOOKUP(A31,Climatologia!A:U,9+$E$2,FALSE),"")</f>
        <v>21.82882961124896</v>
      </c>
      <c r="AS31" s="89">
        <f t="shared" si="3"/>
        <v>1.376725944306596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>
        <v>15</v>
      </c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18</v>
      </c>
      <c r="AQ32" s="89">
        <f t="shared" si="2"/>
        <v>13.6</v>
      </c>
      <c r="AR32" s="89">
        <f>IFERROR(VLOOKUP(A32,Climatologia!A:U,9+$E$2,FALSE),"")</f>
        <v>13.384747431302269</v>
      </c>
      <c r="AS32" s="89">
        <f t="shared" si="3"/>
        <v>0.21525256869773024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>
        <v>16.2</v>
      </c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18</v>
      </c>
      <c r="AQ34" s="89">
        <f t="shared" si="2"/>
        <v>15.833333333333334</v>
      </c>
      <c r="AR34" s="89">
        <f>IFERROR(VLOOKUP(A34,Climatologia!A:U,9+$E$2,FALSE),"")</f>
        <v>14.78540372493654</v>
      </c>
      <c r="AS34" s="89">
        <f t="shared" si="3"/>
        <v>1.0479296083967942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>
        <v>15</v>
      </c>
      <c r="AB35" s="51">
        <v>15.6</v>
      </c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18</v>
      </c>
      <c r="AQ35" s="89">
        <f t="shared" si="2"/>
        <v>14.911111111111113</v>
      </c>
      <c r="AR35" s="89">
        <f>IFERROR(VLOOKUP(A35,Climatologia!A:U,9+$E$2,FALSE),"")</f>
        <v>13.2928973207542</v>
      </c>
      <c r="AS35" s="89">
        <f t="shared" si="3"/>
        <v>1.6182137903569132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>
        <v>20</v>
      </c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18</v>
      </c>
      <c r="AQ36" s="89">
        <f t="shared" si="2"/>
        <v>18.577777777777779</v>
      </c>
      <c r="AR36" s="89">
        <f>IFERROR(VLOOKUP(A36,Climatologia!A:U,9+$E$2,FALSE),"")</f>
        <v>19.435919418842811</v>
      </c>
      <c r="AS36" s="89">
        <f t="shared" si="3"/>
        <v>-0.85814164106503199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>
        <v>9</v>
      </c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18</v>
      </c>
      <c r="AQ37" s="89">
        <f t="shared" si="2"/>
        <v>9.2000000000000011</v>
      </c>
      <c r="AR37" s="89">
        <f>IFERROR(VLOOKUP(A37,Climatologia!A:U,9+$E$2,FALSE),"")</f>
        <v>9.4603029050299927</v>
      </c>
      <c r="AS37" s="89">
        <f t="shared" si="3"/>
        <v>-0.26030290502999165</v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>
        <v>19</v>
      </c>
      <c r="W38" s="51">
        <v>18.399999999999999</v>
      </c>
      <c r="X38" s="51">
        <v>18.600000000000001</v>
      </c>
      <c r="Y38" s="51">
        <v>18.8</v>
      </c>
      <c r="Z38" s="111">
        <v>17.8</v>
      </c>
      <c r="AA38" s="51">
        <v>17</v>
      </c>
      <c r="AB38" s="51">
        <v>16.399999999999999</v>
      </c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18</v>
      </c>
      <c r="AQ38" s="89">
        <f t="shared" si="2"/>
        <v>17.677777777777777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>
        <v>19</v>
      </c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18</v>
      </c>
      <c r="AQ39" s="89">
        <f t="shared" si="2"/>
        <v>19.744444444444451</v>
      </c>
      <c r="AR39" s="89">
        <f>IFERROR(VLOOKUP(A39,Climatologia!A:U,9+$E$2,FALSE),"")</f>
        <v>17.324090157154679</v>
      </c>
      <c r="AS39" s="89">
        <f t="shared" si="3"/>
        <v>2.4203542872897721</v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>
        <v>16.2</v>
      </c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18</v>
      </c>
      <c r="AQ40" s="89">
        <f t="shared" si="2"/>
        <v>14.777777777777779</v>
      </c>
      <c r="AR40" s="89">
        <f>IFERROR(VLOOKUP(A40,Climatologia!A:U,9+$E$2,FALSE),"")</f>
        <v>13.024959037378389</v>
      </c>
      <c r="AS40" s="89">
        <f t="shared" si="3"/>
        <v>1.7528187403993893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>
        <v>23</v>
      </c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18</v>
      </c>
      <c r="AQ41" s="89">
        <f t="shared" si="2"/>
        <v>24.900000000000002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>
        <v>24.4</v>
      </c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18</v>
      </c>
      <c r="AQ42" s="89">
        <f t="shared" si="2"/>
        <v>26.011111111111106</v>
      </c>
      <c r="AR42" s="89">
        <f>IFERROR(VLOOKUP(A42,Climatologia!A:U,9+$E$2,FALSE),"")</f>
        <v>24.242887721454171</v>
      </c>
      <c r="AS42" s="89">
        <f t="shared" si="3"/>
        <v>1.768223389656935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>
        <v>22.5</v>
      </c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18</v>
      </c>
      <c r="AQ43" s="89">
        <f t="shared" si="2"/>
        <v>25.011111111111113</v>
      </c>
      <c r="AR43" s="89">
        <f>IFERROR(VLOOKUP(A43,Climatologia!A:U,9+$E$2,FALSE),"")</f>
        <v>23.780114118567958</v>
      </c>
      <c r="AS43" s="89">
        <f t="shared" si="3"/>
        <v>1.2309969925431545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>
        <v>24.8</v>
      </c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18</v>
      </c>
      <c r="AQ44" s="89">
        <f t="shared" si="2"/>
        <v>24.7</v>
      </c>
      <c r="AR44" s="89">
        <f>IFERROR(VLOOKUP(A44,Climatologia!A:U,9+$E$2,FALSE),"")</f>
        <v>23.0554149406661</v>
      </c>
      <c r="AS44" s="89">
        <f t="shared" si="3"/>
        <v>1.6445850593338989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>
        <v>24.6</v>
      </c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18</v>
      </c>
      <c r="AQ47" s="89">
        <f t="shared" si="2"/>
        <v>25.188888888888894</v>
      </c>
      <c r="AR47" s="89">
        <f>IFERROR(VLOOKUP(A47,Climatologia!A:U,9+$E$2,FALSE),"")</f>
        <v>22.672444338506629</v>
      </c>
      <c r="AS47" s="89">
        <f t="shared" si="3"/>
        <v>2.5164445503822641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>
        <v>23.8</v>
      </c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18</v>
      </c>
      <c r="AQ51" s="89">
        <f t="shared" si="2"/>
        <v>25.166666666666668</v>
      </c>
      <c r="AR51" s="89">
        <f>IFERROR(VLOOKUP(A51,Climatologia!A:U,9+$E$2,FALSE),"")</f>
        <v>23.046735261401551</v>
      </c>
      <c r="AS51" s="89">
        <f t="shared" si="3"/>
        <v>2.1199314052651168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>
        <v>24</v>
      </c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18</v>
      </c>
      <c r="AQ52" s="89">
        <f t="shared" si="2"/>
        <v>24.722222222222221</v>
      </c>
      <c r="AR52" s="89">
        <f>IFERROR(VLOOKUP(A52,Climatologia!A:U,9+$E$2,FALSE),"")</f>
        <v>22.42011697979439</v>
      </c>
      <c r="AS52" s="89">
        <f t="shared" si="3"/>
        <v>2.3021052424278317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>
        <v>26.4</v>
      </c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17</v>
      </c>
      <c r="AQ53" s="89">
        <f t="shared" si="2"/>
        <v>25.223529411764705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>
        <v>23.2</v>
      </c>
      <c r="Y54" s="51"/>
      <c r="Z54" s="111"/>
      <c r="AA54" s="51">
        <v>22.2</v>
      </c>
      <c r="AB54" s="51">
        <v>21.6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16</v>
      </c>
      <c r="AQ54" s="89">
        <f t="shared" si="2"/>
        <v>22.362499999999997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>
        <v>26.2</v>
      </c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18</v>
      </c>
      <c r="AQ57" s="89">
        <f t="shared" si="2"/>
        <v>25.177777777777774</v>
      </c>
      <c r="AR57" s="89">
        <f>IFERROR(VLOOKUP(A57,Climatologia!A:U,9+$E$2,FALSE),"")</f>
        <v>23.979265352535649</v>
      </c>
      <c r="AS57" s="89">
        <f t="shared" si="3"/>
        <v>1.1985124252421251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9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/>
      <c r="AA60" s="51">
        <v>21.6</v>
      </c>
      <c r="AB60" s="51">
        <v>21.4</v>
      </c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17</v>
      </c>
      <c r="AQ60" s="89">
        <f t="shared" si="2"/>
        <v>22.082352941176474</v>
      </c>
      <c r="AR60" s="89">
        <f>IFERROR(VLOOKUP(A60,Climatologia!A:U,9+$E$2,FALSE),"")</f>
        <v>21.421723438405142</v>
      </c>
      <c r="AS60" s="89">
        <f t="shared" si="3"/>
        <v>0.66062950277133226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>
        <v>21</v>
      </c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18</v>
      </c>
      <c r="AQ63" s="89">
        <f t="shared" si="2"/>
        <v>22.088888888888889</v>
      </c>
      <c r="AR63" s="89">
        <f>IFERROR(VLOOKUP(A63,Climatologia!A:U,9+$E$2,FALSE),"")</f>
        <v>22.115021493152749</v>
      </c>
      <c r="AS63" s="89">
        <f t="shared" si="3"/>
        <v>-2.613260426386077E-2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>
        <v>22</v>
      </c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18</v>
      </c>
      <c r="AQ64" s="89">
        <f t="shared" si="2"/>
        <v>22.222222222222218</v>
      </c>
      <c r="AR64" s="89">
        <f>IFERROR(VLOOKUP(A64,Climatologia!A:U,9+$E$2,FALSE),"")</f>
        <v>21.829845625062539</v>
      </c>
      <c r="AS64" s="89">
        <f t="shared" si="3"/>
        <v>0.39237659715967865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/>
      <c r="Y65" s="51">
        <v>23</v>
      </c>
      <c r="Z65" s="111">
        <v>23</v>
      </c>
      <c r="AA65" s="51">
        <v>21.8</v>
      </c>
      <c r="AB65" s="51">
        <v>22.4</v>
      </c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17</v>
      </c>
      <c r="AQ65" s="89">
        <f t="shared" si="2"/>
        <v>22.458823529411767</v>
      </c>
      <c r="AR65" s="89">
        <f>IFERROR(VLOOKUP(A65,Climatologia!A:U,9+$E$2,FALSE),"")</f>
        <v>21.51595325788206</v>
      </c>
      <c r="AS65" s="89">
        <f t="shared" si="3"/>
        <v>0.94287027152970637</v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>
        <v>20.399999999999999</v>
      </c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18</v>
      </c>
      <c r="AQ67" s="89">
        <f t="shared" si="2"/>
        <v>20.344444444444449</v>
      </c>
      <c r="AR67" s="89">
        <f>IFERROR(VLOOKUP(A67,Climatologia!A:U,9+$E$2,FALSE),"")</f>
        <v>21.155438855480959</v>
      </c>
      <c r="AS67" s="89">
        <f t="shared" si="3"/>
        <v>-0.8109944110365106</v>
      </c>
      <c r="AT67" s="90">
        <f t="shared" si="4"/>
        <v>19.600000000000001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1.6000000000000014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>
        <v>20.399999999999999</v>
      </c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18</v>
      </c>
      <c r="AQ68" s="89">
        <f t="shared" si="2"/>
        <v>21.261111111111116</v>
      </c>
      <c r="AR68" s="89">
        <f>IFERROR(VLOOKUP(A68,Climatologia!A:U,9+$E$2,FALSE),"")</f>
        <v>21.17954086440843</v>
      </c>
      <c r="AS68" s="89">
        <f t="shared" si="3"/>
        <v>8.1570246702685978E-2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>
        <v>22.4</v>
      </c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15</v>
      </c>
      <c r="AQ69" s="89">
        <f t="shared" ref="AQ69:AQ132" si="7">IF(AP69&gt;14,AVERAGE(K69:AO69),"")</f>
        <v>22.693333333333332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1.7351036866359415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>
        <v>22.1</v>
      </c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18</v>
      </c>
      <c r="AQ70" s="89">
        <f t="shared" si="7"/>
        <v>22.972222222222221</v>
      </c>
      <c r="AR70" s="89">
        <f>IFERROR(VLOOKUP(A70,Climatologia!A:U,9+$E$2,FALSE),"")</f>
        <v>22.49395085458767</v>
      </c>
      <c r="AS70" s="89">
        <f t="shared" si="8"/>
        <v>0.47827136763455158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>
        <v>23.3</v>
      </c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18</v>
      </c>
      <c r="AQ71" s="89">
        <f t="shared" si="7"/>
        <v>22.450000000000003</v>
      </c>
      <c r="AR71" s="89">
        <f>IFERROR(VLOOKUP(A71,Climatologia!A:U,9+$E$2,FALSE),"")</f>
        <v>21.499102150537631</v>
      </c>
      <c r="AS71" s="89">
        <f t="shared" si="8"/>
        <v>0.95089784946237188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14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>
        <v>17.2</v>
      </c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18</v>
      </c>
      <c r="AQ73" s="89">
        <f t="shared" si="7"/>
        <v>17.633333333333329</v>
      </c>
      <c r="AR73" s="89">
        <f>IFERROR(VLOOKUP(A73,Climatologia!A:U,9+$E$2,FALSE),"")</f>
        <v>16.339759362254359</v>
      </c>
      <c r="AS73" s="89">
        <f t="shared" si="8"/>
        <v>1.2935739710789704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>
        <v>11.2</v>
      </c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17</v>
      </c>
      <c r="AQ74" s="89">
        <f t="shared" si="7"/>
        <v>11.905882352941177</v>
      </c>
      <c r="AR74" s="89">
        <f>IFERROR(VLOOKUP(A74,Climatologia!A:U,9+$E$2,FALSE),"")</f>
        <v>11.60078927362504</v>
      </c>
      <c r="AS74" s="89">
        <f t="shared" si="8"/>
        <v>0.30509307931613705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>
        <v>14.8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18</v>
      </c>
      <c r="AQ75" s="89">
        <f t="shared" si="7"/>
        <v>15.866666666666667</v>
      </c>
      <c r="AR75" s="89">
        <f>IFERROR(VLOOKUP(A75,Climatologia!A:U,9+$E$2,FALSE),"")</f>
        <v>15.418794564997761</v>
      </c>
      <c r="AS75" s="89">
        <f t="shared" si="8"/>
        <v>0.44787210166890645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>
        <v>16.600000000000001</v>
      </c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18</v>
      </c>
      <c r="AQ76" s="89">
        <f t="shared" si="7"/>
        <v>17.322222222222223</v>
      </c>
      <c r="AR76" s="89">
        <f>IFERROR(VLOOKUP(A76,Climatologia!A:U,9+$E$2,FALSE),"")</f>
        <v>18.47633867500863</v>
      </c>
      <c r="AS76" s="89">
        <f t="shared" si="8"/>
        <v>-1.1541164527864076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>
        <v>25</v>
      </c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18</v>
      </c>
      <c r="AQ77" s="89">
        <f t="shared" si="7"/>
        <v>26.788888888888888</v>
      </c>
      <c r="AR77" s="89">
        <f>IFERROR(VLOOKUP(A77,Climatologia!A:U,9+$E$2,FALSE),"")</f>
        <v>24.545433207708651</v>
      </c>
      <c r="AS77" s="89">
        <f t="shared" si="8"/>
        <v>2.2434556811802366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>
        <v>23.6</v>
      </c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18</v>
      </c>
      <c r="AQ78" s="89">
        <f t="shared" si="7"/>
        <v>25.144444444444446</v>
      </c>
      <c r="AR78" s="89">
        <f>IFERROR(VLOOKUP(A78,Climatologia!A:U,9+$E$2,FALSE),"")</f>
        <v>23.46580771270726</v>
      </c>
      <c r="AS78" s="89">
        <f t="shared" si="8"/>
        <v>1.6786367317371855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>
        <v>14.4</v>
      </c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18</v>
      </c>
      <c r="AQ79" s="89">
        <f t="shared" si="7"/>
        <v>14.922222222222221</v>
      </c>
      <c r="AR79" s="89">
        <f>IFERROR(VLOOKUP(A79,Climatologia!A:U,9+$E$2,FALSE),"")</f>
        <v>15.28784620132488</v>
      </c>
      <c r="AS79" s="89">
        <f t="shared" si="8"/>
        <v>-0.36562397910265965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>
        <v>22.6</v>
      </c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18</v>
      </c>
      <c r="AQ81" s="89">
        <f t="shared" si="7"/>
        <v>23.033333333333339</v>
      </c>
      <c r="AR81" s="89">
        <f>IFERROR(VLOOKUP(A81,Climatologia!A:U,9+$E$2,FALSE),"")</f>
        <v>21.715420961210111</v>
      </c>
      <c r="AS81" s="89">
        <f t="shared" si="8"/>
        <v>1.317912372123228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>
        <v>27.6</v>
      </c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18</v>
      </c>
      <c r="AQ83" s="89">
        <f t="shared" si="7"/>
        <v>28.044444444444444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17</v>
      </c>
      <c r="AQ84" s="89">
        <f t="shared" si="7"/>
        <v>26.89411764705882</v>
      </c>
      <c r="AR84" s="89">
        <f>IFERROR(VLOOKUP(A84,Climatologia!A:U,9+$E$2,FALSE),"")</f>
        <v>23.659247311827961</v>
      </c>
      <c r="AS84" s="89">
        <f t="shared" si="8"/>
        <v>3.234870335230859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17</v>
      </c>
      <c r="AQ85" s="89">
        <f t="shared" si="7"/>
        <v>24.988235294117644</v>
      </c>
      <c r="AR85" s="89">
        <f>IFERROR(VLOOKUP(A85,Climatologia!A:U,9+$E$2,FALSE),"")</f>
        <v>23.235308274059729</v>
      </c>
      <c r="AS85" s="89">
        <f t="shared" si="8"/>
        <v>1.7529270200579141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>
        <v>22.8</v>
      </c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18</v>
      </c>
      <c r="AQ86" s="89">
        <f t="shared" si="7"/>
        <v>21.822222222222226</v>
      </c>
      <c r="AR86" s="89">
        <f>IFERROR(VLOOKUP(A86,Climatologia!A:U,9+$E$2,FALSE),"")</f>
        <v>22.828530465949822</v>
      </c>
      <c r="AS86" s="89">
        <f t="shared" si="8"/>
        <v>-1.0063082437275952</v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>
        <v>23.6</v>
      </c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18</v>
      </c>
      <c r="AQ87" s="89">
        <f t="shared" si="7"/>
        <v>26.355555555555558</v>
      </c>
      <c r="AR87" s="89">
        <f>IFERROR(VLOOKUP(A87,Climatologia!A:U,9+$E$2,FALSE),"")</f>
        <v>23.725363919312059</v>
      </c>
      <c r="AS87" s="89">
        <f t="shared" si="8"/>
        <v>2.6301916362434987</v>
      </c>
      <c r="AT87" s="90">
        <f t="shared" si="9"/>
        <v>23.6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5.6000000000000014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>
        <v>23.8</v>
      </c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18</v>
      </c>
      <c r="AQ88" s="89">
        <f t="shared" si="7"/>
        <v>26.355555555555558</v>
      </c>
      <c r="AR88" s="89">
        <f>IFERROR(VLOOKUP(A88,Climatologia!A:U,9+$E$2,FALSE),"")</f>
        <v>23.148531221247211</v>
      </c>
      <c r="AS88" s="89">
        <f t="shared" si="8"/>
        <v>3.2070243343083469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>
        <v>25.2</v>
      </c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18</v>
      </c>
      <c r="AQ89" s="89">
        <f t="shared" si="7"/>
        <v>26.63333333333334</v>
      </c>
      <c r="AR89" s="89">
        <f>IFERROR(VLOOKUP(A89,Climatologia!A:U,9+$E$2,FALSE),"")</f>
        <v>22.80687536416124</v>
      </c>
      <c r="AS89" s="89">
        <f t="shared" si="8"/>
        <v>3.8264579691721003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>
        <v>13</v>
      </c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18</v>
      </c>
      <c r="AQ90" s="89">
        <f t="shared" si="7"/>
        <v>12.722222222222221</v>
      </c>
      <c r="AR90" s="89">
        <f>IFERROR(VLOOKUP(A90,Climatologia!A:U,9+$E$2,FALSE),"")</f>
        <v>11.03161290322581</v>
      </c>
      <c r="AS90" s="89">
        <f t="shared" si="8"/>
        <v>1.6906093189964118</v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>
        <v>17.399999999999999</v>
      </c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18</v>
      </c>
      <c r="AQ91" s="89">
        <f t="shared" si="7"/>
        <v>18.111111111111107</v>
      </c>
      <c r="AR91" s="89">
        <f>IFERROR(VLOOKUP(A91,Climatologia!A:U,9+$E$2,FALSE),"")</f>
        <v>17.610862560172901</v>
      </c>
      <c r="AS91" s="89">
        <f t="shared" si="8"/>
        <v>0.50024855093820619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>
        <v>11.8</v>
      </c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17</v>
      </c>
      <c r="AQ92" s="89">
        <f t="shared" si="7"/>
        <v>11.141176470588235</v>
      </c>
      <c r="AR92" s="89">
        <f>IFERROR(VLOOKUP(A92,Climatologia!A:U,9+$E$2,FALSE),"")</f>
        <v>11.399375551378929</v>
      </c>
      <c r="AS92" s="89">
        <f t="shared" si="8"/>
        <v>-0.25819908079069442</v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>
        <v>10</v>
      </c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18</v>
      </c>
      <c r="AQ93" s="89">
        <f t="shared" si="7"/>
        <v>10.088888888888892</v>
      </c>
      <c r="AR93" s="89">
        <f>IFERROR(VLOOKUP(A93,Climatologia!A:U,9+$E$2,FALSE),"")</f>
        <v>8.6931200495597167</v>
      </c>
      <c r="AS93" s="89">
        <f t="shared" si="8"/>
        <v>1.3957688393291754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>
        <v>9</v>
      </c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18</v>
      </c>
      <c r="AQ96" s="89">
        <f t="shared" si="7"/>
        <v>7.4666666666666686</v>
      </c>
      <c r="AR96" s="89">
        <f>IFERROR(VLOOKUP(A96,Climatologia!A:U,9+$E$2,FALSE),"")</f>
        <v>7.1833471822125867</v>
      </c>
      <c r="AS96" s="89">
        <f t="shared" si="8"/>
        <v>0.28331948445408184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>
        <v>10.199999999999999</v>
      </c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18</v>
      </c>
      <c r="AQ98" s="89">
        <f t="shared" si="7"/>
        <v>6.3888888888888893</v>
      </c>
      <c r="AR98" s="89">
        <f>IFERROR(VLOOKUP(A98,Climatologia!A:U,9+$E$2,FALSE),"")</f>
        <v>6.5568614692818183</v>
      </c>
      <c r="AS98" s="89">
        <f t="shared" si="8"/>
        <v>-0.16797258039292906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>
        <v>10.4</v>
      </c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18</v>
      </c>
      <c r="AQ99" s="89">
        <f t="shared" si="7"/>
        <v>9.1999999999999993</v>
      </c>
      <c r="AR99" s="89">
        <f>IFERROR(VLOOKUP(A99,Climatologia!A:U,9+$E$2,FALSE),"")</f>
        <v>8.4968567690188941</v>
      </c>
      <c r="AS99" s="89">
        <f t="shared" si="8"/>
        <v>0.70314323098110521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>
        <v>9.4</v>
      </c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17</v>
      </c>
      <c r="AQ100" s="89">
        <f t="shared" si="7"/>
        <v>7.7</v>
      </c>
      <c r="AR100" s="89">
        <f>IFERROR(VLOOKUP(A100,Climatologia!A:U,9+$E$2,FALSE),"")</f>
        <v>7.0594081215067499</v>
      </c>
      <c r="AS100" s="89">
        <f t="shared" si="8"/>
        <v>0.64059187849325028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>
        <v>13</v>
      </c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15</v>
      </c>
      <c r="AQ103" s="89">
        <f t="shared" si="7"/>
        <v>11.8</v>
      </c>
      <c r="AR103" s="89">
        <f>IFERROR(VLOOKUP(A103,Climatologia!A:U,9+$E$2,FALSE),"")</f>
        <v>11.333242057563099</v>
      </c>
      <c r="AS103" s="89">
        <f t="shared" si="8"/>
        <v>0.46675794243690127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>
        <v>6.8</v>
      </c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15</v>
      </c>
      <c r="AQ104" s="89">
        <f t="shared" si="7"/>
        <v>4.0750000000000002</v>
      </c>
      <c r="AR104" s="89">
        <f>IFERROR(VLOOKUP(A104,Climatologia!A:U,9+$E$2,FALSE),"")</f>
        <v>6.0789725209080059</v>
      </c>
      <c r="AS104" s="89">
        <f t="shared" si="8"/>
        <v>-2.0039725209080057</v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>
        <v>7.6</v>
      </c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18</v>
      </c>
      <c r="AQ105" s="89">
        <f t="shared" si="7"/>
        <v>5.333333333333333</v>
      </c>
      <c r="AR105" s="89">
        <f>IFERROR(VLOOKUP(A105,Climatologia!A:U,9+$E$2,FALSE),"")</f>
        <v>6.6867982257377889</v>
      </c>
      <c r="AS105" s="89">
        <f t="shared" si="8"/>
        <v>-1.3534648924044559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>
        <v>11.4</v>
      </c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18</v>
      </c>
      <c r="AQ106" s="89">
        <f t="shared" si="7"/>
        <v>10.81111111111111</v>
      </c>
      <c r="AR106" s="89">
        <f>IFERROR(VLOOKUP(A106,Climatologia!A:U,9+$E$2,FALSE),"")</f>
        <v>9.9225433842748103</v>
      </c>
      <c r="AS106" s="89">
        <f t="shared" si="8"/>
        <v>0.8885677268362997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>
        <v>15</v>
      </c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16</v>
      </c>
      <c r="AQ107" s="89">
        <f t="shared" si="7"/>
        <v>14.5625</v>
      </c>
      <c r="AR107" s="89">
        <f>IFERROR(VLOOKUP(A107,Climatologia!A:U,9+$E$2,FALSE),"")</f>
        <v>13.650700267218999</v>
      </c>
      <c r="AS107" s="89">
        <f t="shared" si="8"/>
        <v>0.91179973278100057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>
        <v>13.4</v>
      </c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18</v>
      </c>
      <c r="AQ108" s="89">
        <f t="shared" si="7"/>
        <v>11.933333333333334</v>
      </c>
      <c r="AR108" s="89">
        <f>IFERROR(VLOOKUP(A108,Climatologia!A:U,9+$E$2,FALSE),"")</f>
        <v>11.71482091212458</v>
      </c>
      <c r="AS108" s="89">
        <f t="shared" si="8"/>
        <v>0.21851242120875369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>
        <v>14.6</v>
      </c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18</v>
      </c>
      <c r="AQ109" s="89">
        <f t="shared" si="7"/>
        <v>14.555555555555555</v>
      </c>
      <c r="AR109" s="89">
        <f>IFERROR(VLOOKUP(A109,Climatologia!A:U,9+$E$2,FALSE),"")</f>
        <v>13.486598754951901</v>
      </c>
      <c r="AS109" s="89">
        <f t="shared" si="8"/>
        <v>1.0689568006036545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>
        <v>16</v>
      </c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18</v>
      </c>
      <c r="AQ110" s="89">
        <f t="shared" si="7"/>
        <v>15.255555555555553</v>
      </c>
      <c r="AR110" s="89">
        <f>IFERROR(VLOOKUP(A110,Climatologia!A:U,9+$E$2,FALSE),"")</f>
        <v>13.526900330851941</v>
      </c>
      <c r="AS110" s="89">
        <f t="shared" si="8"/>
        <v>1.728655224703612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>
        <v>19.2</v>
      </c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18</v>
      </c>
      <c r="AQ111" s="89">
        <f t="shared" si="7"/>
        <v>18.277777777777779</v>
      </c>
      <c r="AR111" s="89">
        <f>IFERROR(VLOOKUP(A111,Climatologia!A:U,9+$E$2,FALSE),"")</f>
        <v>16.8655441109516</v>
      </c>
      <c r="AS111" s="89">
        <f t="shared" si="8"/>
        <v>1.4122336668261788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>
        <v>22.8</v>
      </c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18</v>
      </c>
      <c r="AQ112" s="89">
        <f t="shared" si="7"/>
        <v>23.166666666666668</v>
      </c>
      <c r="AR112" s="89">
        <f>IFERROR(VLOOKUP(A112,Climatologia!A:U,9+$E$2,FALSE),"")</f>
        <v>22.5308162078518</v>
      </c>
      <c r="AS112" s="89">
        <f t="shared" si="8"/>
        <v>0.63585045881486835</v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>
        <v>16.5</v>
      </c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18</v>
      </c>
      <c r="AQ113" s="89">
        <f t="shared" si="7"/>
        <v>15.144444444444446</v>
      </c>
      <c r="AR113" s="89">
        <f>IFERROR(VLOOKUP(A113,Climatologia!A:U,9+$E$2,FALSE),"")</f>
        <v>15.24686243974787</v>
      </c>
      <c r="AS113" s="89">
        <f t="shared" si="8"/>
        <v>-0.10241799530342455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>
        <v>19.600000000000001</v>
      </c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18</v>
      </c>
      <c r="AQ114" s="89">
        <f t="shared" si="7"/>
        <v>19.68888888888889</v>
      </c>
      <c r="AR114" s="89">
        <f>IFERROR(VLOOKUP(A114,Climatologia!A:U,9+$E$2,FALSE),"")</f>
        <v>22.117682198327358</v>
      </c>
      <c r="AS114" s="89">
        <f t="shared" si="8"/>
        <v>-2.4287933094384684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>
        <v>23</v>
      </c>
      <c r="AB115" s="51">
        <v>22.4</v>
      </c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17</v>
      </c>
      <c r="AQ115" s="89">
        <f t="shared" si="7"/>
        <v>22.529411764705877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>
        <v>20.2</v>
      </c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17</v>
      </c>
      <c r="AQ116" s="89">
        <f t="shared" si="7"/>
        <v>20.776470588235291</v>
      </c>
      <c r="AR116" s="89">
        <f>IFERROR(VLOOKUP(A116,Climatologia!A:U,9+$E$2,FALSE),"")</f>
        <v>18.405984169653529</v>
      </c>
      <c r="AS116" s="89">
        <f t="shared" si="8"/>
        <v>2.3704864185817627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>
        <v>8.4</v>
      </c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18</v>
      </c>
      <c r="AQ119" s="89">
        <f t="shared" si="7"/>
        <v>8.4555555555555557</v>
      </c>
      <c r="AR119" s="89">
        <f>IFERROR(VLOOKUP(A119,Climatologia!A:U,9+$E$2,FALSE),"")</f>
        <v>5.9386052057570407</v>
      </c>
      <c r="AS119" s="89">
        <f t="shared" si="8"/>
        <v>2.5169503497985151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>
        <v>12.7</v>
      </c>
      <c r="AB121" s="51">
        <v>12.4</v>
      </c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17</v>
      </c>
      <c r="AQ121" s="89">
        <f t="shared" si="7"/>
        <v>10.911764705882351</v>
      </c>
      <c r="AR121" s="89">
        <f>IFERROR(VLOOKUP(A121,Climatologia!A:U,9+$E$2,FALSE),"")</f>
        <v>10.81260585836114</v>
      </c>
      <c r="AS121" s="89">
        <f t="shared" si="8"/>
        <v>9.9158847521211513E-2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>
        <v>8.4</v>
      </c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18</v>
      </c>
      <c r="AQ123" s="89">
        <f t="shared" si="7"/>
        <v>8.5444444444444443</v>
      </c>
      <c r="AR123" s="89">
        <f>IFERROR(VLOOKUP(A123,Climatologia!A:U,9+$E$2,FALSE),"")</f>
        <v>7.6782114198549483</v>
      </c>
      <c r="AS123" s="89">
        <f t="shared" si="8"/>
        <v>0.86623302458949603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>
        <v>11.5</v>
      </c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16</v>
      </c>
      <c r="AQ126" s="89">
        <f t="shared" si="7"/>
        <v>13.143750000000001</v>
      </c>
      <c r="AR126" s="89">
        <f>IFERROR(VLOOKUP(A126,Climatologia!A:U,9+$E$2,FALSE),"")</f>
        <v>11.41155222734255</v>
      </c>
      <c r="AS126" s="89">
        <f t="shared" si="8"/>
        <v>1.7321977726574502</v>
      </c>
      <c r="AT126" s="90">
        <f t="shared" si="9"/>
        <v>11.5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7.3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13.2</v>
      </c>
      <c r="AB127" s="51">
        <v>13</v>
      </c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18</v>
      </c>
      <c r="AQ127" s="89">
        <f t="shared" si="7"/>
        <v>14.811111111111106</v>
      </c>
      <c r="AR127" s="89">
        <f>IFERROR(VLOOKUP(A127,Climatologia!A:U,9+$E$2,FALSE),"")</f>
        <v>13.308933276833161</v>
      </c>
      <c r="AS127" s="89">
        <f t="shared" si="8"/>
        <v>1.5021778342779459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>
        <v>8.8000000000000007</v>
      </c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18</v>
      </c>
      <c r="AQ129" s="89">
        <f t="shared" si="7"/>
        <v>10.283333333333333</v>
      </c>
      <c r="AR129" s="89">
        <f>IFERROR(VLOOKUP(A129,Climatologia!A:U,9+$E$2,FALSE),"")</f>
        <v>9.236293266429529</v>
      </c>
      <c r="AS129" s="89">
        <f t="shared" si="8"/>
        <v>1.0470400669038042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>
        <v>11.6</v>
      </c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18</v>
      </c>
      <c r="AQ130" s="89">
        <f t="shared" si="7"/>
        <v>11.144444444444444</v>
      </c>
      <c r="AR130" s="89">
        <f>IFERROR(VLOOKUP(A130,Climatologia!A:U,9+$E$2,FALSE),"")</f>
        <v>10.41098422703651</v>
      </c>
      <c r="AS130" s="89">
        <f t="shared" si="8"/>
        <v>0.73346021740793432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>
        <v>15.2</v>
      </c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18</v>
      </c>
      <c r="AQ131" s="89">
        <f t="shared" si="7"/>
        <v>16.588888888888889</v>
      </c>
      <c r="AR131" s="89">
        <f>IFERROR(VLOOKUP(A131,Climatologia!A:U,9+$E$2,FALSE),"")</f>
        <v>14.78700374480772</v>
      </c>
      <c r="AS131" s="89">
        <f t="shared" si="8"/>
        <v>1.8018851440811687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>
        <v>6.2</v>
      </c>
      <c r="AB132" s="51">
        <v>5.2</v>
      </c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18</v>
      </c>
      <c r="AQ132" s="89">
        <f t="shared" si="7"/>
        <v>5.5166666666666666</v>
      </c>
      <c r="AR132" s="89">
        <f>IFERROR(VLOOKUP(A132,Climatologia!A:U,9+$E$2,FALSE),"")</f>
        <v>5.8955999815287932</v>
      </c>
      <c r="AS132" s="89">
        <f t="shared" si="8"/>
        <v>-0.37893331486212656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>
        <v>16.8</v>
      </c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16</v>
      </c>
      <c r="AQ134" s="89">
        <f t="shared" si="12"/>
        <v>15.537500000000003</v>
      </c>
      <c r="AR134" s="89">
        <f>IFERROR(VLOOKUP(A134,Climatologia!A:U,9+$E$2,FALSE),"")</f>
        <v>13.620393029291799</v>
      </c>
      <c r="AS134" s="89">
        <f t="shared" si="13"/>
        <v>1.917106970708204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>
        <v>11</v>
      </c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18</v>
      </c>
      <c r="AQ135" s="89">
        <f t="shared" si="12"/>
        <v>10.766666666666666</v>
      </c>
      <c r="AR135" s="89">
        <f>IFERROR(VLOOKUP(A135,Climatologia!A:U,9+$E$2,FALSE),"")</f>
        <v>9.1065439288804146</v>
      </c>
      <c r="AS135" s="89">
        <f t="shared" si="13"/>
        <v>1.6601227377862511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>
        <v>12.2</v>
      </c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18</v>
      </c>
      <c r="AQ136" s="89">
        <f t="shared" si="12"/>
        <v>13.833333333333332</v>
      </c>
      <c r="AR136" s="89">
        <f>IFERROR(VLOOKUP(A136,Climatologia!A:U,9+$E$2,FALSE),"")</f>
        <v>12.59594623655914</v>
      </c>
      <c r="AS136" s="89">
        <f t="shared" si="13"/>
        <v>1.2373870967741922</v>
      </c>
      <c r="AT136" s="90">
        <f t="shared" si="14"/>
        <v>12.2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4.3999999999999995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>
        <v>8.6</v>
      </c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18</v>
      </c>
      <c r="AQ137" s="89">
        <f t="shared" si="12"/>
        <v>9.6666666666666643</v>
      </c>
      <c r="AR137" s="89">
        <f>IFERROR(VLOOKUP(A137,Climatologia!A:U,9+$E$2,FALSE),"")</f>
        <v>8.5766227213911144</v>
      </c>
      <c r="AS137" s="89">
        <f t="shared" si="13"/>
        <v>1.0900439452755499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>
        <v>8.8000000000000007</v>
      </c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18</v>
      </c>
      <c r="AQ138" s="89">
        <f t="shared" si="12"/>
        <v>7.666666666666667</v>
      </c>
      <c r="AR138" s="89">
        <f>IFERROR(VLOOKUP(A138,Climatologia!A:U,9+$E$2,FALSE),"")</f>
        <v>6.6337893956247704</v>
      </c>
      <c r="AS138" s="89">
        <f t="shared" si="13"/>
        <v>1.0328772710418965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>
        <v>24.4</v>
      </c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18</v>
      </c>
      <c r="AQ139" s="89">
        <f t="shared" si="12"/>
        <v>24.666666666666661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>
        <v>12</v>
      </c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18</v>
      </c>
      <c r="AQ140" s="89">
        <f t="shared" si="12"/>
        <v>11.43333333333333</v>
      </c>
      <c r="AR140" s="89">
        <f>IFERROR(VLOOKUP(A140,Climatologia!A:U,9+$E$2,FALSE),"")</f>
        <v>11.08632974910395</v>
      </c>
      <c r="AS140" s="89">
        <f t="shared" si="13"/>
        <v>0.34700358422938038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>
        <v>16</v>
      </c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18</v>
      </c>
      <c r="AQ141" s="89">
        <f t="shared" si="12"/>
        <v>14.944444444444445</v>
      </c>
      <c r="AR141" s="89">
        <f>IFERROR(VLOOKUP(A141,Climatologia!A:U,9+$E$2,FALSE),"")</f>
        <v>14.39065028161802</v>
      </c>
      <c r="AS141" s="89">
        <f t="shared" si="13"/>
        <v>0.55379416282642424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17</v>
      </c>
      <c r="AQ142" s="89">
        <f t="shared" si="12"/>
        <v>23.894117647058824</v>
      </c>
      <c r="AR142" s="89">
        <f>IFERROR(VLOOKUP(A142,Climatologia!A:U,9+$E$2,FALSE),"")</f>
        <v>22.55356989247311</v>
      </c>
      <c r="AS142" s="89">
        <f t="shared" si="13"/>
        <v>1.3405477545857138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>
        <v>20.6</v>
      </c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18</v>
      </c>
      <c r="AQ143" s="89">
        <f t="shared" si="12"/>
        <v>20.333333333333336</v>
      </c>
      <c r="AR143" s="89">
        <f>IFERROR(VLOOKUP(A143,Climatologia!A:U,9+$E$2,FALSE),"")</f>
        <v>19.318198924731181</v>
      </c>
      <c r="AS143" s="89">
        <f t="shared" si="13"/>
        <v>1.0151344086021545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>
        <v>24.4</v>
      </c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18</v>
      </c>
      <c r="AQ144" s="89">
        <f t="shared" si="12"/>
        <v>24.477777777777778</v>
      </c>
      <c r="AR144" s="89">
        <f>IFERROR(VLOOKUP(A144,Climatologia!A:U,9+$E$2,FALSE),"")</f>
        <v>23.19416875486397</v>
      </c>
      <c r="AS144" s="89">
        <f t="shared" si="13"/>
        <v>1.283609022913808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>
        <v>18.600000000000001</v>
      </c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18</v>
      </c>
      <c r="AQ145" s="89">
        <f t="shared" si="12"/>
        <v>17.37777777777778</v>
      </c>
      <c r="AR145" s="89">
        <f>IFERROR(VLOOKUP(A145,Climatologia!A:U,9+$E$2,FALSE),"")</f>
        <v>15.79466943151284</v>
      </c>
      <c r="AS145" s="89">
        <f t="shared" si="13"/>
        <v>1.5831083462649396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>
        <v>16.399999999999999</v>
      </c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16</v>
      </c>
      <c r="AQ146" s="89">
        <f t="shared" si="12"/>
        <v>13.487500000000001</v>
      </c>
      <c r="AR146" s="89">
        <f>IFERROR(VLOOKUP(A146,Climatologia!A:U,9+$E$2,FALSE),"")</f>
        <v>13.67439615180003</v>
      </c>
      <c r="AS146" s="89">
        <f t="shared" si="13"/>
        <v>-0.18689615180002939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>
        <v>17.2</v>
      </c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18</v>
      </c>
      <c r="AQ147" s="89">
        <f t="shared" si="12"/>
        <v>16.733333333333334</v>
      </c>
      <c r="AR147" s="89">
        <f>IFERROR(VLOOKUP(A147,Climatologia!A:U,9+$E$2,FALSE),"")</f>
        <v>14.54256377143717</v>
      </c>
      <c r="AS147" s="89">
        <f t="shared" si="13"/>
        <v>2.1907695618961647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>
        <v>24.2</v>
      </c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17</v>
      </c>
      <c r="AQ150" s="89">
        <f t="shared" si="12"/>
        <v>24.799999999999997</v>
      </c>
      <c r="AR150" s="89">
        <f>IFERROR(VLOOKUP(A150,Climatologia!A:U,9+$E$2,FALSE),"")</f>
        <v>22.358974539611911</v>
      </c>
      <c r="AS150" s="89">
        <f t="shared" si="13"/>
        <v>2.4410254603880865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>
        <v>23.2</v>
      </c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18</v>
      </c>
      <c r="AQ151" s="89">
        <f t="shared" si="12"/>
        <v>24.43333333333333</v>
      </c>
      <c r="AR151" s="89">
        <f>IFERROR(VLOOKUP(A151,Climatologia!A:U,9+$E$2,FALSE),"")</f>
        <v>23.435096179938832</v>
      </c>
      <c r="AS151" s="89">
        <f t="shared" si="13"/>
        <v>0.99823715339449848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6.1999999999999993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>
        <v>14.8</v>
      </c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18</v>
      </c>
      <c r="AQ152" s="89">
        <f t="shared" si="12"/>
        <v>14.944444444444445</v>
      </c>
      <c r="AR152" s="89">
        <f>IFERROR(VLOOKUP(A152,Climatologia!A:U,9+$E$2,FALSE),"")</f>
        <v>14.28172753446659</v>
      </c>
      <c r="AS152" s="89">
        <f t="shared" si="13"/>
        <v>0.66271690997785448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>
        <v>21.8</v>
      </c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18</v>
      </c>
      <c r="AQ153" s="89">
        <f t="shared" si="12"/>
        <v>20.933333333333334</v>
      </c>
      <c r="AR153" s="89">
        <f>IFERROR(VLOOKUP(A153,Climatologia!A:U,9+$E$2,FALSE),"")</f>
        <v>19.33438505823419</v>
      </c>
      <c r="AS153" s="89">
        <f t="shared" si="13"/>
        <v>1.5989482750991435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>
        <v>17.399999999999999</v>
      </c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18</v>
      </c>
      <c r="AQ154" s="89">
        <f t="shared" si="12"/>
        <v>16.255555555555553</v>
      </c>
      <c r="AR154" s="89">
        <f>IFERROR(VLOOKUP(A154,Climatologia!A:U,9+$E$2,FALSE),"")</f>
        <v>15.34016874367072</v>
      </c>
      <c r="AS154" s="89">
        <f t="shared" si="13"/>
        <v>0.91538681188483295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>
        <v>18.600000000000001</v>
      </c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18</v>
      </c>
      <c r="AQ155" s="89">
        <f t="shared" si="12"/>
        <v>18.855555555555558</v>
      </c>
      <c r="AR155" s="89">
        <f>IFERROR(VLOOKUP(A155,Climatologia!A:U,9+$E$2,FALSE),"")</f>
        <v>17.753898511573709</v>
      </c>
      <c r="AS155" s="89">
        <f t="shared" si="13"/>
        <v>1.1016570439818487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17</v>
      </c>
      <c r="AQ157" s="89">
        <f t="shared" si="12"/>
        <v>10.388235294117647</v>
      </c>
      <c r="AR157" s="89">
        <f>IFERROR(VLOOKUP(A157,Climatologia!A:U,9+$E$2,FALSE),"")</f>
        <v>9.0629738863287237</v>
      </c>
      <c r="AS157" s="89">
        <f t="shared" si="13"/>
        <v>1.3252614077889238</v>
      </c>
      <c r="AT157" s="90">
        <f t="shared" si="14"/>
        <v>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1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>
        <v>14.4</v>
      </c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18</v>
      </c>
      <c r="AQ158" s="89">
        <f t="shared" si="12"/>
        <v>13.988888888888889</v>
      </c>
      <c r="AR158" s="89">
        <f>IFERROR(VLOOKUP(A158,Climatologia!A:U,9+$E$2,FALSE),"")</f>
        <v>13.99486833930705</v>
      </c>
      <c r="AS158" s="89">
        <f t="shared" si="13"/>
        <v>-5.9794504181613917E-3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>
        <v>20.6</v>
      </c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18</v>
      </c>
      <c r="AQ159" s="89">
        <f t="shared" si="12"/>
        <v>20.688888888888886</v>
      </c>
      <c r="AR159" s="89">
        <f>IFERROR(VLOOKUP(A159,Climatologia!A:U,9+$E$2,FALSE),"")</f>
        <v>19.80259102706712</v>
      </c>
      <c r="AS159" s="89">
        <f t="shared" si="13"/>
        <v>0.88629786182176673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>
        <v>7.4</v>
      </c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18</v>
      </c>
      <c r="AQ160" s="89">
        <f t="shared" si="12"/>
        <v>5.9888888888888889</v>
      </c>
      <c r="AR160" s="89">
        <f>IFERROR(VLOOKUP(A160,Climatologia!A:U,9+$E$2,FALSE),"")</f>
        <v>5.545852566091324</v>
      </c>
      <c r="AS160" s="89">
        <f t="shared" si="13"/>
        <v>0.44303632279756489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>
        <v>21.8</v>
      </c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18</v>
      </c>
      <c r="AQ161" s="89">
        <f t="shared" si="12"/>
        <v>21.211111111111112</v>
      </c>
      <c r="AR161" s="89">
        <f>IFERROR(VLOOKUP(A161,Climatologia!A:U,9+$E$2,FALSE),"")</f>
        <v>20.699024154274429</v>
      </c>
      <c r="AS161" s="89">
        <f t="shared" si="13"/>
        <v>0.51208695683668282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>
        <v>14.6</v>
      </c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18</v>
      </c>
      <c r="AQ162" s="89">
        <f t="shared" si="12"/>
        <v>15.18888888888889</v>
      </c>
      <c r="AR162" s="89">
        <f>IFERROR(VLOOKUP(A162,Climatologia!A:U,9+$E$2,FALSE),"")</f>
        <v>13.81981919292388</v>
      </c>
      <c r="AS162" s="89">
        <f t="shared" si="13"/>
        <v>1.3690696959650097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>
        <v>18</v>
      </c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18</v>
      </c>
      <c r="AQ163" s="89">
        <f t="shared" si="12"/>
        <v>18.577777777777779</v>
      </c>
      <c r="AR163" s="89">
        <f>IFERROR(VLOOKUP(A163,Climatologia!A:U,9+$E$2,FALSE),"")</f>
        <v>17.92353706847765</v>
      </c>
      <c r="AS163" s="89">
        <f t="shared" si="13"/>
        <v>0.65424070930012945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>
        <v>19.7</v>
      </c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18</v>
      </c>
      <c r="AQ164" s="89">
        <f t="shared" si="12"/>
        <v>19.327777777777783</v>
      </c>
      <c r="AR164" s="89">
        <f>IFERROR(VLOOKUP(A164,Climatologia!A:U,9+$E$2,FALSE),"")</f>
        <v>19.04428975316489</v>
      </c>
      <c r="AS164" s="89">
        <f t="shared" si="13"/>
        <v>0.28348802461289324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>
        <v>10</v>
      </c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15</v>
      </c>
      <c r="AQ165" s="89">
        <f t="shared" si="12"/>
        <v>9.68</v>
      </c>
      <c r="AR165" s="89">
        <f>IFERROR(VLOOKUP(A165,Climatologia!A:U,9+$E$2,FALSE),"")</f>
        <v>8.2009357976098798</v>
      </c>
      <c r="AS165" s="89">
        <f t="shared" si="13"/>
        <v>1.4790642023901199</v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17</v>
      </c>
      <c r="AQ169" s="89">
        <f t="shared" si="12"/>
        <v>19.594117647058823</v>
      </c>
      <c r="AR169" s="89">
        <f>IFERROR(VLOOKUP(A169,Climatologia!A:U,9+$E$2,FALSE),"")</f>
        <v>18.98804930581305</v>
      </c>
      <c r="AS169" s="89">
        <f t="shared" si="13"/>
        <v>0.60606834124577347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>
        <v>14.2</v>
      </c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18</v>
      </c>
      <c r="AQ170" s="89">
        <f t="shared" si="12"/>
        <v>14.300000000000002</v>
      </c>
      <c r="AR170" s="89">
        <f>IFERROR(VLOOKUP(A170,Climatologia!A:U,9+$E$2,FALSE),"")</f>
        <v>13.515835523098669</v>
      </c>
      <c r="AS170" s="89">
        <f t="shared" si="13"/>
        <v>0.78416447690133317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>
        <v>24</v>
      </c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16</v>
      </c>
      <c r="AQ172" s="89">
        <f t="shared" si="12"/>
        <v>24.974999999999998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>
        <v>21.4</v>
      </c>
      <c r="AA175" s="51">
        <v>21.4</v>
      </c>
      <c r="AB175" s="51">
        <v>22.2</v>
      </c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15</v>
      </c>
      <c r="AQ175" s="89">
        <f t="shared" si="12"/>
        <v>21.666666666666664</v>
      </c>
      <c r="AR175" s="89">
        <f>IFERROR(VLOOKUP(A175,Climatologia!A:U,9+$E$2,FALSE),"")</f>
        <v>20.369629293079871</v>
      </c>
      <c r="AS175" s="89">
        <f t="shared" si="13"/>
        <v>1.2970373735867931</v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>
        <v>23.2</v>
      </c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16</v>
      </c>
      <c r="AQ176" s="89">
        <f t="shared" si="12"/>
        <v>23.024999999999999</v>
      </c>
      <c r="AR176" s="89">
        <f>IFERROR(VLOOKUP(A176,Climatologia!A:U,9+$E$2,FALSE),"")</f>
        <v>21.653737839221709</v>
      </c>
      <c r="AS176" s="89">
        <f t="shared" si="13"/>
        <v>1.37126216077829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>
        <v>13</v>
      </c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18</v>
      </c>
      <c r="AQ179" s="89">
        <f t="shared" si="12"/>
        <v>13.633333333333333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>
        <v>24.8</v>
      </c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12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>
        <v>24.4</v>
      </c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17</v>
      </c>
      <c r="AQ181" s="89">
        <f t="shared" si="12"/>
        <v>23.364705882352936</v>
      </c>
      <c r="AR181" s="89">
        <f>IFERROR(VLOOKUP(A181,Climatologia!A:U,9+$E$2,FALSE),"")</f>
        <v>21.70483579702303</v>
      </c>
      <c r="AS181" s="89">
        <f t="shared" si="13"/>
        <v>1.6598700853299064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>
        <v>14</v>
      </c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18</v>
      </c>
      <c r="AQ182" s="89">
        <f t="shared" si="12"/>
        <v>13.655555555555557</v>
      </c>
      <c r="AR182" s="89">
        <f>IFERROR(VLOOKUP(A182,Climatologia!A:U,9+$E$2,FALSE),"")</f>
        <v>14.173503840245781</v>
      </c>
      <c r="AS182" s="89">
        <f t="shared" si="13"/>
        <v>-0.51794828469022391</v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>
        <v>18.2</v>
      </c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18</v>
      </c>
      <c r="AQ183" s="89">
        <f t="shared" si="12"/>
        <v>18.666666666666664</v>
      </c>
      <c r="AR183" s="89">
        <f>IFERROR(VLOOKUP(A183,Climatologia!A:U,9+$E$2,FALSE),"")</f>
        <v>20.070986681091949</v>
      </c>
      <c r="AS183" s="89">
        <f t="shared" si="13"/>
        <v>-1.4043200144252843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>
        <v>20.399999999999999</v>
      </c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17</v>
      </c>
      <c r="AQ184" s="89">
        <f t="shared" si="12"/>
        <v>21.458823529411763</v>
      </c>
      <c r="AR184" s="89">
        <f>IFERROR(VLOOKUP(A184,Climatologia!A:U,9+$E$2,FALSE),"")</f>
        <v>20.076368634370251</v>
      </c>
      <c r="AS184" s="89">
        <f t="shared" si="13"/>
        <v>1.3824548950415121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>
        <v>15</v>
      </c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16</v>
      </c>
      <c r="AQ185" s="89">
        <f t="shared" si="12"/>
        <v>16.149999999999999</v>
      </c>
      <c r="AR185" s="89">
        <f>IFERROR(VLOOKUP(A185,Climatologia!A:U,9+$E$2,FALSE),"")</f>
        <v>17.074088213241051</v>
      </c>
      <c r="AS185" s="89">
        <f t="shared" si="13"/>
        <v>-0.92408821324105261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>
        <v>21.6</v>
      </c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17</v>
      </c>
      <c r="AQ186" s="89">
        <f t="shared" si="12"/>
        <v>22.247058823529414</v>
      </c>
      <c r="AR186" s="89">
        <f>IFERROR(VLOOKUP(A186,Climatologia!A:U,9+$E$2,FALSE),"")</f>
        <v>20.422025791399172</v>
      </c>
      <c r="AS186" s="89">
        <f t="shared" si="13"/>
        <v>1.8250330321302428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>
        <v>17.399999999999999</v>
      </c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15</v>
      </c>
      <c r="AQ187" s="89">
        <f t="shared" si="12"/>
        <v>18.040000000000003</v>
      </c>
      <c r="AR187" s="89">
        <f>IFERROR(VLOOKUP(A187,Climatologia!A:U,9+$E$2,FALSE),"")</f>
        <v>16.993025163915739</v>
      </c>
      <c r="AS187" s="89">
        <f t="shared" si="13"/>
        <v>1.0469748360842637</v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>
        <v>20.8</v>
      </c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18</v>
      </c>
      <c r="AQ188" s="89">
        <f t="shared" si="12"/>
        <v>22.077777777777783</v>
      </c>
      <c r="AR188" s="89">
        <f>IFERROR(VLOOKUP(A188,Climatologia!A:U,9+$E$2,FALSE),"")</f>
        <v>20.28174546114397</v>
      </c>
      <c r="AS188" s="89">
        <f t="shared" si="13"/>
        <v>1.7960323166338128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>
        <v>19.2</v>
      </c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18</v>
      </c>
      <c r="AQ189" s="89">
        <f t="shared" si="12"/>
        <v>18.544444444444444</v>
      </c>
      <c r="AR189" s="89">
        <f>IFERROR(VLOOKUP(A189,Climatologia!A:U,9+$E$2,FALSE),"")</f>
        <v>15.63081985682097</v>
      </c>
      <c r="AS189" s="89">
        <f t="shared" si="13"/>
        <v>2.9136245876234739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>
        <v>14</v>
      </c>
      <c r="AB190" s="51">
        <v>13.8</v>
      </c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18</v>
      </c>
      <c r="AQ190" s="89">
        <f t="shared" si="12"/>
        <v>13.655555555555557</v>
      </c>
      <c r="AR190" s="89">
        <f>IFERROR(VLOOKUP(A190,Climatologia!A:U,9+$E$2,FALSE),"")</f>
        <v>11.261282597948339</v>
      </c>
      <c r="AS190" s="89">
        <f t="shared" si="13"/>
        <v>2.3942729576072175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>
        <v>9</v>
      </c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18</v>
      </c>
      <c r="AQ191" s="89">
        <f t="shared" si="12"/>
        <v>8.0444444444444443</v>
      </c>
      <c r="AR191" s="89">
        <f>IFERROR(VLOOKUP(A191,Climatologia!A:U,9+$E$2,FALSE),"")</f>
        <v>6.994628239761723</v>
      </c>
      <c r="AS191" s="89">
        <f t="shared" si="13"/>
        <v>1.0498162046827213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>
        <v>23.6</v>
      </c>
      <c r="AB192" s="51">
        <v>21.2</v>
      </c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18</v>
      </c>
      <c r="AQ192" s="89">
        <f t="shared" si="12"/>
        <v>22.544444444444448</v>
      </c>
      <c r="AR192" s="89">
        <f>IFERROR(VLOOKUP(A192,Climatologia!A:U,9+$E$2,FALSE),"")</f>
        <v>19.908691930571798</v>
      </c>
      <c r="AS192" s="89">
        <f t="shared" si="13"/>
        <v>2.6357525138726494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>
        <v>8.8000000000000007</v>
      </c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18</v>
      </c>
      <c r="AQ193" s="89">
        <f t="shared" si="12"/>
        <v>9.5222222222222204</v>
      </c>
      <c r="AR193" s="89">
        <f>IFERROR(VLOOKUP(A193,Climatologia!A:U,9+$E$2,FALSE),"")</f>
        <v>8.0869853706863069</v>
      </c>
      <c r="AS193" s="89">
        <f t="shared" si="13"/>
        <v>1.4352368515359135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>
        <v>9</v>
      </c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16</v>
      </c>
      <c r="AQ194" s="89">
        <f t="shared" si="12"/>
        <v>9.125</v>
      </c>
      <c r="AR194" s="89">
        <f>IFERROR(VLOOKUP(A194,Climatologia!A:U,9+$E$2,FALSE),"")</f>
        <v>7.6640343615186746</v>
      </c>
      <c r="AS194" s="89">
        <f t="shared" si="13"/>
        <v>1.4609656384813254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>
        <v>8.5</v>
      </c>
      <c r="Z196" s="111">
        <v>7.6</v>
      </c>
      <c r="AA196" s="51">
        <v>8.4</v>
      </c>
      <c r="AB196" s="51">
        <v>8.1999999999999993</v>
      </c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18</v>
      </c>
      <c r="AQ196" s="89">
        <f t="shared" si="12"/>
        <v>7.5611111111111127</v>
      </c>
      <c r="AR196" s="89">
        <f>IFERROR(VLOOKUP(A196,Climatologia!A:U,9+$E$2,FALSE),"")</f>
        <v>7.3820830111058147</v>
      </c>
      <c r="AS196" s="89">
        <f t="shared" si="13"/>
        <v>0.17902810000529801</v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>
        <v>10.199999999999999</v>
      </c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17</v>
      </c>
      <c r="AQ197" s="89">
        <f t="shared" ref="AQ197:AQ260" si="17">IF(AP197&gt;14,AVERAGE(K197:AO197),"")</f>
        <v>8.4352941176470573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2.0523588350579383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>
        <v>8.4</v>
      </c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18</v>
      </c>
      <c r="AQ198" s="89">
        <f t="shared" si="17"/>
        <v>8.8277777777777793</v>
      </c>
      <c r="AR198" s="89">
        <f>IFERROR(VLOOKUP(A198,Climatologia!A:U,9+$E$2,FALSE),"")</f>
        <v>7.491938037728997</v>
      </c>
      <c r="AS198" s="89">
        <f t="shared" si="18"/>
        <v>1.3358397400487823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>
        <v>10.9</v>
      </c>
      <c r="AB199" s="51">
        <v>10.199999999999999</v>
      </c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18</v>
      </c>
      <c r="AQ199" s="89">
        <f t="shared" si="17"/>
        <v>9.6722222222222225</v>
      </c>
      <c r="AR199" s="89">
        <f>IFERROR(VLOOKUP(A199,Climatologia!A:U,9+$E$2,FALSE),"")</f>
        <v>7.4487940592962838</v>
      </c>
      <c r="AS199" s="89">
        <f t="shared" si="18"/>
        <v>2.2234281629259387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>
        <v>10</v>
      </c>
      <c r="AB200" s="51">
        <v>10</v>
      </c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15</v>
      </c>
      <c r="AQ200" s="89">
        <f t="shared" si="17"/>
        <v>9.5866666666666678</v>
      </c>
      <c r="AR200" s="89">
        <f>IFERROR(VLOOKUP(A200,Climatologia!A:U,9+$E$2,FALSE),"")</f>
        <v>7.107223600771988</v>
      </c>
      <c r="AS200" s="89">
        <f t="shared" si="18"/>
        <v>2.4794430658946798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>
        <v>4.2</v>
      </c>
      <c r="AA201" s="51">
        <v>11</v>
      </c>
      <c r="AB201" s="51">
        <v>9.8000000000000007</v>
      </c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18</v>
      </c>
      <c r="AQ201" s="89">
        <f t="shared" si="17"/>
        <v>8.4222222222222243</v>
      </c>
      <c r="AR201" s="89">
        <f>IFERROR(VLOOKUP(A201,Climatologia!A:U,9+$E$2,FALSE),"")</f>
        <v>6.8025057736192744</v>
      </c>
      <c r="AS201" s="89">
        <f t="shared" si="18"/>
        <v>1.6197164486029498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>
        <v>9.6</v>
      </c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12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>
        <v>9.8000000000000007</v>
      </c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18</v>
      </c>
      <c r="AQ203" s="89">
        <f t="shared" si="17"/>
        <v>8.68888888888889</v>
      </c>
      <c r="AR203" s="89">
        <f>IFERROR(VLOOKUP(A203,Climatologia!A:U,9+$E$2,FALSE),"")</f>
        <v>7.9932587877038674</v>
      </c>
      <c r="AS203" s="89">
        <f t="shared" si="18"/>
        <v>0.69563010118502255</v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>
        <v>4.2</v>
      </c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18</v>
      </c>
      <c r="AQ204" s="89">
        <f t="shared" si="17"/>
        <v>4.8722222222222227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>
        <v>10.4</v>
      </c>
      <c r="AA206" s="51">
        <v>12</v>
      </c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17</v>
      </c>
      <c r="AQ206" s="89">
        <f t="shared" si="17"/>
        <v>10.811764705882354</v>
      </c>
      <c r="AR206" s="89">
        <f>IFERROR(VLOOKUP(A206,Climatologia!A:U,9+$E$2,FALSE),"")</f>
        <v>9.3415228944019546</v>
      </c>
      <c r="AS206" s="89">
        <f t="shared" si="18"/>
        <v>1.470241811480399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>
        <v>7</v>
      </c>
      <c r="AA207" s="51">
        <v>7.4</v>
      </c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17</v>
      </c>
      <c r="AQ207" s="89">
        <f t="shared" si="17"/>
        <v>6.0352941176470587</v>
      </c>
      <c r="AR207" s="89">
        <f>IFERROR(VLOOKUP(A207,Climatologia!A:U,9+$E$2,FALSE),"")</f>
        <v>5.0408940752175297</v>
      </c>
      <c r="AS207" s="89">
        <f t="shared" si="18"/>
        <v>0.99440004242952895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>
        <v>23.6</v>
      </c>
      <c r="AB208" s="51">
        <v>23</v>
      </c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17</v>
      </c>
      <c r="AQ208" s="89">
        <f t="shared" si="17"/>
        <v>22.988235294117647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2026-08-18T15:10:51Z</dcterms:modified>
</cp:coreProperties>
</file>