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BB4D470-54B0-4A48-B38F-374B4F6C0D4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Temperatura!$AF$1:$AF$288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V273" i="1" a="1"/>
  <c r="AV273" i="1" s="1"/>
  <c r="AU273" i="1" a="1"/>
  <c r="AU273" i="1" s="1"/>
  <c r="AT273" i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W269" i="1" s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P263" i="1"/>
  <c r="AQ263" i="1" s="1"/>
  <c r="AS263" i="1" s="1"/>
  <c r="AV262" i="1" a="1"/>
  <c r="AV262" i="1" s="1"/>
  <c r="AU262" i="1" a="1"/>
  <c r="AU262" i="1" s="1"/>
  <c r="AT262" i="1"/>
  <c r="AR262" i="1"/>
  <c r="AP262" i="1"/>
  <c r="AQ262" i="1" s="1"/>
  <c r="AS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W251" i="1" s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W246" i="1" s="1"/>
  <c r="AT246" i="1"/>
  <c r="AR246" i="1"/>
  <c r="AP246" i="1"/>
  <c r="AQ246" i="1" s="1"/>
  <c r="AS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S236" i="1" s="1"/>
  <c r="AV235" i="1" a="1"/>
  <c r="AV235" i="1" s="1"/>
  <c r="AU235" i="1" a="1"/>
  <c r="AU235" i="1" s="1"/>
  <c r="AW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S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W225" i="1" s="1"/>
  <c r="AR225" i="1"/>
  <c r="AP225" i="1"/>
  <c r="AQ225" i="1" s="1"/>
  <c r="AV224" i="1" a="1"/>
  <c r="AV224" i="1" s="1"/>
  <c r="AU224" i="1" a="1"/>
  <c r="AU224" i="1" s="1"/>
  <c r="AT224" i="1"/>
  <c r="AW224" i="1" s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S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W214" i="1" s="1"/>
  <c r="AT214" i="1"/>
  <c r="AR214" i="1"/>
  <c r="AP214" i="1"/>
  <c r="AQ214" i="1" s="1"/>
  <c r="AS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Q208" i="1"/>
  <c r="AP208" i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W199" i="1" s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W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W190" i="1" s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W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S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W167" i="1" s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S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W154" i="1" s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S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W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/>
  <c r="AT136" i="1"/>
  <c r="AR136" i="1"/>
  <c r="AP136" i="1"/>
  <c r="AQ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W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W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W117" i="1" s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W112" i="1" s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W97" i="1" s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W95" i="1" s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 s="1"/>
  <c r="AU82" i="1" a="1"/>
  <c r="AU82" i="1" s="1"/>
  <c r="AT82" i="1"/>
  <c r="AW82" i="1" s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S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V58" i="1" a="1"/>
  <c r="AV58" i="1" s="1"/>
  <c r="AU58" i="1" a="1"/>
  <c r="AU58" i="1" s="1"/>
  <c r="AT58" i="1"/>
  <c r="AW58" i="1" s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S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S52" i="1" s="1"/>
  <c r="AV51" i="1" a="1"/>
  <c r="AV51" i="1" s="1"/>
  <c r="AU51" i="1" a="1"/>
  <c r="AU51" i="1" s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 s="1"/>
  <c r="AU30" i="1" a="1"/>
  <c r="AU30" i="1" s="1"/>
  <c r="AT30" i="1"/>
  <c r="AR30" i="1"/>
  <c r="AP30" i="1"/>
  <c r="AQ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W27" i="1" s="1"/>
  <c r="AR27" i="1"/>
  <c r="AP27" i="1"/>
  <c r="AQ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W16" i="1" s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78" i="1" l="1"/>
  <c r="AW91" i="1"/>
  <c r="AS155" i="1"/>
  <c r="AW193" i="1"/>
  <c r="AS41" i="1"/>
  <c r="AS79" i="1"/>
  <c r="AS168" i="1"/>
  <c r="AS54" i="1"/>
  <c r="AW130" i="1"/>
  <c r="AS28" i="1"/>
  <c r="AS218" i="1"/>
  <c r="AS144" i="1"/>
  <c r="AS119" i="1"/>
  <c r="AW284" i="1"/>
  <c r="AS285" i="1"/>
  <c r="AW15" i="1"/>
  <c r="AS57" i="1"/>
  <c r="AW120" i="1"/>
  <c r="AW209" i="1"/>
  <c r="AS235" i="1"/>
  <c r="AS286" i="1"/>
  <c r="AS223" i="1"/>
  <c r="AW45" i="1"/>
  <c r="AW83" i="1"/>
  <c r="AS65" i="1"/>
  <c r="AS46" i="1"/>
  <c r="AS224" i="1"/>
  <c r="AW122" i="1"/>
  <c r="AS186" i="1"/>
  <c r="AS47" i="1"/>
  <c r="AW72" i="1"/>
  <c r="AS85" i="1"/>
  <c r="AS15" i="1"/>
  <c r="AS238" i="1"/>
  <c r="AS149" i="1"/>
  <c r="AW238" i="1"/>
  <c r="AS124" i="1"/>
  <c r="AS60" i="1"/>
  <c r="AW33" i="1"/>
  <c r="AS112" i="1"/>
  <c r="AS48" i="1"/>
  <c r="AW252" i="1"/>
  <c r="AW150" i="1"/>
  <c r="AS62" i="1"/>
  <c r="AS253" i="1"/>
  <c r="AW34" i="1"/>
  <c r="AW35" i="1"/>
  <c r="AS164" i="1"/>
  <c r="AS215" i="1"/>
  <c r="AW278" i="1"/>
  <c r="AS205" i="1"/>
  <c r="AW59" i="1"/>
  <c r="AW215" i="1"/>
  <c r="AS38" i="1"/>
  <c r="AS76" i="1"/>
  <c r="AS165" i="1"/>
  <c r="AW203" i="1"/>
  <c r="AW267" i="1"/>
  <c r="AS191" i="1"/>
  <c r="AW64" i="1"/>
  <c r="AW102" i="1"/>
  <c r="AW77" i="1"/>
  <c r="AS90" i="1"/>
  <c r="AW166" i="1"/>
  <c r="AW217" i="1"/>
  <c r="AS243" i="1"/>
  <c r="AW106" i="1"/>
  <c r="AW169" i="1"/>
  <c r="AW281" i="1"/>
  <c r="AW144" i="1"/>
  <c r="AW43" i="1"/>
  <c r="AS6" i="1"/>
  <c r="AW132" i="1"/>
  <c r="AS44" i="1"/>
  <c r="AW69" i="1"/>
  <c r="AS120" i="1"/>
  <c r="AS208" i="1"/>
  <c r="AS233" i="1"/>
  <c r="AS270" i="1"/>
  <c r="AW183" i="1"/>
  <c r="AW233" i="1"/>
  <c r="AS70" i="1"/>
  <c r="AS108" i="1"/>
  <c r="AW158" i="1"/>
  <c r="AW196" i="1"/>
  <c r="AW171" i="1"/>
  <c r="AW146" i="1"/>
  <c r="AS159" i="1"/>
  <c r="AS197" i="1"/>
  <c r="AS247" i="1"/>
  <c r="AS185" i="1"/>
  <c r="AS222" i="1"/>
  <c r="AW8" i="1"/>
  <c r="AS21" i="1"/>
  <c r="AS59" i="1"/>
  <c r="AW71" i="1"/>
  <c r="AW109" i="1"/>
  <c r="AS272" i="1"/>
  <c r="AS173" i="1"/>
  <c r="AW30" i="1"/>
  <c r="AW47" i="1"/>
  <c r="AS249" i="1"/>
  <c r="AW22" i="1"/>
  <c r="AS35" i="1"/>
  <c r="AS98" i="1"/>
  <c r="AS136" i="1"/>
  <c r="AW211" i="1"/>
  <c r="AS20" i="1"/>
  <c r="AW60" i="1"/>
  <c r="AS71" i="1"/>
  <c r="AS36" i="1"/>
  <c r="AS175" i="1"/>
  <c r="AW237" i="1"/>
  <c r="AS11" i="1"/>
  <c r="AS49" i="1"/>
  <c r="AS188" i="1"/>
  <c r="AS7" i="1"/>
  <c r="AS275" i="1"/>
  <c r="AS287" i="1"/>
  <c r="AW20" i="1"/>
  <c r="AS12" i="1"/>
  <c r="AW37" i="1"/>
  <c r="AW100" i="1"/>
  <c r="AW163" i="1"/>
  <c r="AW188" i="1"/>
  <c r="AS25" i="1"/>
  <c r="AS88" i="1"/>
  <c r="AW113" i="1"/>
  <c r="AW201" i="1"/>
  <c r="AS276" i="1"/>
  <c r="AS101" i="1"/>
  <c r="AS177" i="1"/>
  <c r="AS202" i="1"/>
  <c r="AS114" i="1"/>
  <c r="AS139" i="1"/>
  <c r="AS127" i="1"/>
  <c r="AS240" i="1"/>
  <c r="AW26" i="1"/>
  <c r="AS178" i="1"/>
  <c r="AS77" i="1"/>
  <c r="AW39" i="1"/>
  <c r="AS128" i="1"/>
  <c r="AW140" i="1"/>
  <c r="AS241" i="1"/>
  <c r="AW265" i="1"/>
  <c r="AS278" i="1"/>
  <c r="AW128" i="1"/>
  <c r="AW192" i="1"/>
  <c r="AW66" i="1"/>
  <c r="AS80" i="1"/>
  <c r="AS156" i="1"/>
  <c r="AS131" i="1"/>
  <c r="AW143" i="1"/>
  <c r="AW54" i="1"/>
  <c r="AW55" i="1"/>
  <c r="AS106" i="1"/>
  <c r="AW156" i="1"/>
  <c r="AS182" i="1"/>
  <c r="AW194" i="1"/>
  <c r="AS207" i="1"/>
  <c r="AS281" i="1"/>
  <c r="AW5" i="1"/>
  <c r="AS18" i="1"/>
  <c r="AS43" i="1"/>
  <c r="AS68" i="1"/>
  <c r="AW92" i="1"/>
  <c r="AS105" i="1"/>
  <c r="AS130" i="1"/>
  <c r="AW142" i="1"/>
  <c r="AW178" i="1"/>
  <c r="AW202" i="1"/>
  <c r="AW249" i="1"/>
  <c r="AS226" i="1"/>
  <c r="AS261" i="1"/>
  <c r="AS283" i="1"/>
  <c r="AW105" i="1"/>
  <c r="AS143" i="1"/>
  <c r="AS179" i="1"/>
  <c r="AS203" i="1"/>
  <c r="AW226" i="1"/>
  <c r="AS250" i="1"/>
  <c r="AW261" i="1"/>
  <c r="AW272" i="1"/>
  <c r="AW283" i="1"/>
  <c r="AS81" i="1"/>
  <c r="AW93" i="1"/>
  <c r="AW155" i="1"/>
  <c r="AW250" i="1"/>
  <c r="AW81" i="1"/>
  <c r="AW191" i="1"/>
  <c r="AS227" i="1"/>
  <c r="AS239" i="1"/>
  <c r="AS273" i="1"/>
  <c r="AS284" i="1"/>
  <c r="AW68" i="1"/>
  <c r="AW131" i="1"/>
  <c r="AS82" i="1"/>
  <c r="AW94" i="1"/>
  <c r="AW119" i="1"/>
  <c r="AW168" i="1"/>
  <c r="AS192" i="1"/>
  <c r="AW227" i="1"/>
  <c r="AW239" i="1"/>
  <c r="AW273" i="1"/>
  <c r="AS107" i="1"/>
  <c r="AS132" i="1"/>
  <c r="AW180" i="1"/>
  <c r="AS204" i="1"/>
  <c r="AS216" i="1"/>
  <c r="AW262" i="1"/>
  <c r="AS8" i="1"/>
  <c r="AS58" i="1"/>
  <c r="AW70" i="1"/>
  <c r="AW107" i="1"/>
  <c r="AS157" i="1"/>
  <c r="AS169" i="1"/>
  <c r="AS181" i="1"/>
  <c r="AS274" i="1"/>
  <c r="AS145" i="1"/>
  <c r="AW157" i="1"/>
  <c r="AW181" i="1"/>
  <c r="AW240" i="1"/>
  <c r="AS252" i="1"/>
  <c r="AW32" i="1"/>
  <c r="AW263" i="1"/>
  <c r="AW285" i="1"/>
  <c r="AW21" i="1"/>
  <c r="AS34" i="1"/>
  <c r="AW46" i="1"/>
  <c r="AS96" i="1"/>
  <c r="AW108" i="1"/>
  <c r="AW133" i="1"/>
  <c r="AW229" i="1"/>
  <c r="AS84" i="1"/>
  <c r="AW96" i="1"/>
  <c r="AS158" i="1"/>
  <c r="AS194" i="1"/>
  <c r="AS109" i="1"/>
  <c r="AW121" i="1"/>
  <c r="AS146" i="1"/>
  <c r="AS206" i="1"/>
  <c r="AS264" i="1"/>
  <c r="AW84" i="1"/>
  <c r="AW241" i="1"/>
  <c r="AW275" i="1"/>
  <c r="AW206" i="1"/>
  <c r="AS230" i="1"/>
  <c r="AW253" i="1"/>
  <c r="AW264" i="1"/>
  <c r="AS122" i="1"/>
  <c r="AW134" i="1"/>
  <c r="AS171" i="1"/>
  <c r="AS183" i="1"/>
  <c r="AW286" i="1"/>
  <c r="AW230" i="1"/>
  <c r="AS242" i="1"/>
  <c r="AW57" i="1"/>
  <c r="AW10" i="1"/>
  <c r="AW85" i="1"/>
  <c r="AS135" i="1"/>
  <c r="AS219" i="1"/>
  <c r="AW242" i="1"/>
  <c r="AS254" i="1"/>
  <c r="AS265" i="1"/>
  <c r="AW80" i="1"/>
  <c r="AW48" i="1"/>
  <c r="AS123" i="1"/>
  <c r="AW135" i="1"/>
  <c r="AS184" i="1"/>
  <c r="AW219" i="1"/>
  <c r="AS231" i="1"/>
  <c r="AW254" i="1"/>
  <c r="AS24" i="1"/>
  <c r="AW73" i="1"/>
  <c r="AS111" i="1"/>
  <c r="AS148" i="1"/>
  <c r="AS160" i="1"/>
  <c r="AS172" i="1"/>
  <c r="AS277" i="1"/>
  <c r="AW287" i="1"/>
  <c r="AW7" i="1"/>
  <c r="AW243" i="1"/>
  <c r="AS266" i="1"/>
  <c r="AW11" i="1"/>
  <c r="AS37" i="1"/>
  <c r="AS74" i="1"/>
  <c r="AW86" i="1"/>
  <c r="AS99" i="1"/>
  <c r="AS220" i="1"/>
  <c r="AW277" i="1"/>
  <c r="AW136" i="1"/>
  <c r="AW208" i="1"/>
  <c r="AS232" i="1"/>
  <c r="AS255" i="1"/>
  <c r="AW44" i="1"/>
  <c r="AS288" i="1"/>
  <c r="AW99" i="1"/>
  <c r="AW220" i="1"/>
  <c r="AW232" i="1"/>
  <c r="AW255" i="1"/>
  <c r="AW6" i="1"/>
  <c r="AS50" i="1"/>
  <c r="AW62" i="1"/>
  <c r="AW87" i="1"/>
  <c r="AW197" i="1"/>
  <c r="AS267" i="1"/>
  <c r="AS100" i="1"/>
  <c r="AS137" i="1"/>
  <c r="AW149" i="1"/>
  <c r="AW161" i="1"/>
  <c r="AW173" i="1"/>
  <c r="AS209" i="1"/>
  <c r="AS221" i="1"/>
  <c r="AW221" i="1"/>
  <c r="AW75" i="1"/>
  <c r="AW137" i="1"/>
  <c r="AS150" i="1"/>
  <c r="AS162" i="1"/>
  <c r="AS174" i="1"/>
  <c r="AS198" i="1"/>
  <c r="AS245" i="1"/>
  <c r="AW88" i="1"/>
  <c r="AS113" i="1"/>
  <c r="AS279" i="1"/>
  <c r="AS19" i="1"/>
  <c r="AW19" i="1"/>
  <c r="AS138" i="1"/>
  <c r="AW162" i="1"/>
  <c r="AW174" i="1"/>
  <c r="AW198" i="1"/>
  <c r="AS210" i="1"/>
  <c r="AS26" i="1"/>
  <c r="AS268" i="1"/>
  <c r="AW279" i="1"/>
  <c r="AS14" i="1"/>
  <c r="AS64" i="1"/>
  <c r="AW76" i="1"/>
  <c r="AW101" i="1"/>
  <c r="AS126" i="1"/>
  <c r="AW138" i="1"/>
  <c r="AS187" i="1"/>
  <c r="AS234" i="1"/>
  <c r="AS257" i="1"/>
  <c r="AS151" i="1"/>
  <c r="AW222" i="1"/>
  <c r="AW31" i="1"/>
  <c r="AW50" i="1"/>
  <c r="AS199" i="1"/>
  <c r="AW234" i="1"/>
  <c r="AW257" i="1"/>
  <c r="AW268" i="1"/>
  <c r="AW56" i="1"/>
  <c r="AS75" i="1"/>
  <c r="AW151" i="1"/>
  <c r="AW175" i="1"/>
  <c r="AS211" i="1"/>
  <c r="AS280" i="1"/>
  <c r="AW25" i="1"/>
  <c r="AW63" i="1"/>
  <c r="AS258" i="1"/>
  <c r="AW280" i="1"/>
  <c r="AW38" i="1"/>
  <c r="AW13" i="1"/>
  <c r="AS115" i="1"/>
  <c r="AW127" i="1"/>
  <c r="AS200" i="1"/>
  <c r="AW258" i="1"/>
  <c r="AW14" i="1"/>
  <c r="AS140" i="1"/>
  <c r="AW152" i="1"/>
  <c r="AW164" i="1"/>
  <c r="AW12" i="1"/>
  <c r="AW126" i="1"/>
  <c r="AW176" i="1"/>
  <c r="AW200" i="1"/>
  <c r="AS212" i="1"/>
  <c r="AW247" i="1"/>
  <c r="AS69" i="1"/>
  <c r="AS51" i="1"/>
  <c r="AS259" i="1"/>
  <c r="AW18" i="1"/>
  <c r="AS189" i="1"/>
  <c r="AW212" i="1"/>
  <c r="AW270" i="1"/>
  <c r="AW52" i="1"/>
  <c r="AW53" i="1"/>
  <c r="AW115" i="1"/>
  <c r="AW41" i="1"/>
  <c r="AW165" i="1"/>
  <c r="AW189" i="1"/>
  <c r="AW259" i="1"/>
  <c r="AS27" i="1"/>
  <c r="AW29" i="1"/>
  <c r="AS104" i="1"/>
  <c r="AW153" i="1"/>
  <c r="AS213" i="1"/>
  <c r="AS17" i="1"/>
  <c r="AS42" i="1"/>
  <c r="AS67" i="1"/>
  <c r="AW79" i="1"/>
  <c r="AS129" i="1"/>
  <c r="AW141" i="1"/>
  <c r="AW177" i="1"/>
  <c r="AS260" i="1"/>
  <c r="AS282" i="1"/>
  <c r="AW104" i="1"/>
  <c r="AS225" i="1"/>
  <c r="AW114" i="1"/>
  <c r="AW40" i="1"/>
  <c r="AS5" i="1"/>
  <c r="AS30" i="1"/>
  <c r="AS55" i="1"/>
  <c r="AS92" i="1"/>
  <c r="AS117" i="1"/>
  <c r="AS154" i="1"/>
  <c r="AS166" i="1"/>
  <c r="AS190" i="1"/>
  <c r="AS237" i="1"/>
  <c r="AP2" i="1"/>
  <c r="AW9" i="1"/>
  <c r="AW28" i="1"/>
  <c r="AW204" i="1"/>
  <c r="AW216" i="1"/>
  <c r="AW228" i="1"/>
  <c r="AW274" i="1"/>
  <c r="AW145" i="1"/>
  <c r="AW205" i="1"/>
  <c r="AW170" i="1"/>
  <c r="AW218" i="1"/>
  <c r="AW110" i="1"/>
  <c r="AW147" i="1"/>
  <c r="AW159" i="1"/>
  <c r="AW207" i="1"/>
  <c r="AW276" i="1"/>
  <c r="AW36" i="1"/>
  <c r="AW98" i="1"/>
  <c r="AW123" i="1"/>
  <c r="AW184" i="1"/>
  <c r="AW231" i="1"/>
  <c r="AW179" i="1"/>
  <c r="AW23" i="1"/>
  <c r="AW24" i="1"/>
  <c r="AW111" i="1"/>
  <c r="AW148" i="1"/>
  <c r="AW160" i="1"/>
  <c r="AW172" i="1"/>
  <c r="AW49" i="1"/>
  <c r="AW266" i="1"/>
  <c r="AW74" i="1"/>
  <c r="AW185" i="1"/>
  <c r="AW288" i="1"/>
  <c r="AW244" i="1"/>
  <c r="AW186" i="1"/>
  <c r="AW256" i="1"/>
  <c r="AW245" i="1"/>
  <c r="AW210" i="1"/>
  <c r="AW223" i="1"/>
  <c r="AW187" i="1"/>
  <c r="AW116" i="1"/>
  <c r="AW236" i="1"/>
  <c r="AW248" i="1"/>
  <c r="AW125" i="1"/>
  <c r="AW65" i="1"/>
  <c r="AW213" i="1"/>
  <c r="AW271" i="1"/>
  <c r="AW90" i="1"/>
  <c r="AW17" i="1"/>
  <c r="AW42" i="1"/>
  <c r="AW67" i="1"/>
  <c r="AW129" i="1"/>
  <c r="AW260" i="1"/>
  <c r="AW282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<sst xmlns="http://schemas.openxmlformats.org/spreadsheetml/2006/main" count="3701" uniqueCount="1289">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</sst>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P1" zoomScale="71" zoomScaleNormal="71" workbookViewId="0">
      <selection activeCell="AI289" sqref="AI289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42" width="32.42578125" style="51" customWidth="1"/>
    <col min="14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</v>
      </c>
      <c r="L2" s="92">
        <f t="shared" si="0"/>
        <v>39.200000000000003</v>
      </c>
      <c r="M2" s="92">
        <f t="shared" si="0"/>
        <v>37.6</v>
      </c>
      <c r="N2" s="92">
        <f t="shared" si="0"/>
        <v>36.200000000000003</v>
      </c>
      <c r="O2" s="92">
        <f t="shared" si="0"/>
        <v>39.4</v>
      </c>
      <c r="P2" s="92">
        <f t="shared" si="0"/>
        <v>40</v>
      </c>
      <c r="Q2" s="92">
        <f t="shared" si="0"/>
        <v>41</v>
      </c>
      <c r="R2" s="92">
        <f t="shared" si="0"/>
        <v>40.799999999999997</v>
      </c>
      <c r="S2" s="92">
        <f t="shared" si="0"/>
        <v>38.4</v>
      </c>
      <c r="T2" s="92">
        <f t="shared" si="0"/>
        <v>40</v>
      </c>
      <c r="U2" s="92">
        <f t="shared" si="0"/>
        <v>40.200000000000003</v>
      </c>
      <c r="V2" s="92">
        <f t="shared" si="0"/>
        <v>38.4</v>
      </c>
      <c r="W2" s="92">
        <f t="shared" si="0"/>
        <v>39.799999999999997</v>
      </c>
      <c r="X2" s="92">
        <f t="shared" si="0"/>
        <v>40.799999999999997</v>
      </c>
      <c r="Y2" s="92">
        <f t="shared" si="0"/>
        <v>41.8</v>
      </c>
      <c r="Z2" s="92">
        <f t="shared" si="0"/>
        <v>41.2</v>
      </c>
      <c r="AA2" s="92">
        <f t="shared" si="0"/>
        <v>43.2</v>
      </c>
      <c r="AB2" s="92">
        <f t="shared" si="0"/>
        <v>40</v>
      </c>
      <c r="AC2" s="92">
        <f t="shared" si="0"/>
        <v>38</v>
      </c>
      <c r="AD2" s="92">
        <f t="shared" si="0"/>
        <v>39.4</v>
      </c>
      <c r="AE2" s="92">
        <f t="shared" si="0"/>
        <v>39.4</v>
      </c>
      <c r="AF2" s="92">
        <f t="shared" si="0"/>
        <v>40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43.2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32.299999999999997</v>
      </c>
      <c r="L5" s="66">
        <v>32.299999999999997</v>
      </c>
      <c r="M5" s="66">
        <v>31.4</v>
      </c>
      <c r="N5" s="66">
        <v>29.3</v>
      </c>
      <c r="O5" s="66">
        <v>30.6</v>
      </c>
      <c r="P5" s="66">
        <v>32.1</v>
      </c>
      <c r="Q5" s="66">
        <v>31.7</v>
      </c>
      <c r="R5" s="66">
        <v>31.7</v>
      </c>
      <c r="S5" s="66">
        <v>32.1</v>
      </c>
      <c r="T5" s="66">
        <v>31.1</v>
      </c>
      <c r="U5" s="66">
        <v>31.6</v>
      </c>
      <c r="V5" s="66">
        <v>31.9</v>
      </c>
      <c r="W5" s="66">
        <v>29.6</v>
      </c>
      <c r="X5" s="66">
        <v>30.3</v>
      </c>
      <c r="Y5" s="66">
        <v>29.9</v>
      </c>
      <c r="Z5" s="66">
        <v>31</v>
      </c>
      <c r="AA5" s="66">
        <v>31.9</v>
      </c>
      <c r="AB5" s="66">
        <v>30.9</v>
      </c>
      <c r="AC5" s="66">
        <v>30.9</v>
      </c>
      <c r="AD5" s="66">
        <v>29.2</v>
      </c>
      <c r="AE5" s="66">
        <v>30.8</v>
      </c>
      <c r="AF5" s="66">
        <v>30.7</v>
      </c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22</v>
      </c>
      <c r="AQ5" s="68">
        <f t="shared" ref="AQ5:AQ68" si="2">IF(AP5&gt;14,AVERAGE(K5:AO5),"")</f>
        <v>31.059090909090912</v>
      </c>
      <c r="AR5" s="68">
        <f>IFERROR(VLOOKUP(A5,Climatologia_TMAX!A:U,9+$E$2,FALSE),"")</f>
        <v>30.197371776008229</v>
      </c>
      <c r="AS5" s="68">
        <f t="shared" ref="AS5:AS68" si="3">IF(OR(AQ5="",AR5=""),"",IFERROR(AQ5-AR5,""))</f>
        <v>0.86171913308268344</v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>
        <v>32</v>
      </c>
      <c r="N6" s="66">
        <v>29.5</v>
      </c>
      <c r="O6" s="66">
        <v>30</v>
      </c>
      <c r="P6" s="66">
        <v>30.8</v>
      </c>
      <c r="Q6" s="66">
        <v>31</v>
      </c>
      <c r="R6" s="66">
        <v>30.7</v>
      </c>
      <c r="S6" s="66">
        <v>31</v>
      </c>
      <c r="T6" s="66">
        <v>30.4</v>
      </c>
      <c r="U6" s="66">
        <v>31.2</v>
      </c>
      <c r="V6" s="66">
        <v>30.8</v>
      </c>
      <c r="W6" s="66">
        <v>29.2</v>
      </c>
      <c r="X6" s="66">
        <v>29.7</v>
      </c>
      <c r="Y6" s="66">
        <v>29.8</v>
      </c>
      <c r="Z6" s="66">
        <v>31.5</v>
      </c>
      <c r="AA6" s="66">
        <v>31.2</v>
      </c>
      <c r="AB6" s="66">
        <v>31.1</v>
      </c>
      <c r="AC6" s="66">
        <v>30.8</v>
      </c>
      <c r="AD6" s="66">
        <v>29.7</v>
      </c>
      <c r="AE6" s="66">
        <v>30.8</v>
      </c>
      <c r="AF6" s="66">
        <v>31.1</v>
      </c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22</v>
      </c>
      <c r="AQ6" s="68">
        <f t="shared" si="2"/>
        <v>30.645454545454541</v>
      </c>
      <c r="AR6" s="68">
        <f>IFERROR(VLOOKUP(A6,Climatologia_TMAX!A:U,9+$E$2,FALSE),"")</f>
        <v>30.65428039702234</v>
      </c>
      <c r="AS6" s="68">
        <f t="shared" si="3"/>
        <v>-8.8258515677992477E-3</v>
      </c>
      <c r="AT6" s="74">
        <f t="shared" si="4"/>
        <v>32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-0.5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>
        <v>33.5</v>
      </c>
      <c r="N7" s="66">
        <v>31.4</v>
      </c>
      <c r="O7" s="66">
        <v>35.200000000000003</v>
      </c>
      <c r="P7" s="66">
        <v>36.4</v>
      </c>
      <c r="Q7" s="66">
        <v>37.9</v>
      </c>
      <c r="R7" s="66">
        <v>38.4</v>
      </c>
      <c r="S7" s="66">
        <v>33</v>
      </c>
      <c r="T7" s="66">
        <v>34.200000000000003</v>
      </c>
      <c r="U7" s="66">
        <v>37.200000000000003</v>
      </c>
      <c r="V7" s="66">
        <v>36.6</v>
      </c>
      <c r="W7" s="66">
        <v>36.200000000000003</v>
      </c>
      <c r="X7" s="66">
        <v>37</v>
      </c>
      <c r="Y7" s="113">
        <v>38.6</v>
      </c>
      <c r="Z7" s="66">
        <v>38.299999999999997</v>
      </c>
      <c r="AA7" s="66">
        <v>38.6</v>
      </c>
      <c r="AB7" s="66">
        <v>35.799999999999997</v>
      </c>
      <c r="AC7" s="66">
        <v>35.9</v>
      </c>
      <c r="AD7" s="66">
        <v>30.6</v>
      </c>
      <c r="AE7" s="66">
        <v>32.6</v>
      </c>
      <c r="AF7" s="66">
        <v>35</v>
      </c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22</v>
      </c>
      <c r="AQ7" s="68">
        <f t="shared" si="2"/>
        <v>35.699999999999996</v>
      </c>
      <c r="AR7" s="68">
        <f>IFERROR(VLOOKUP(A7,Climatologia_TMAX!A:U,9+$E$2,FALSE),"")</f>
        <v>33.366016007569073</v>
      </c>
      <c r="AS7" s="68">
        <f t="shared" si="3"/>
        <v>2.3339839924309231</v>
      </c>
      <c r="AT7" s="74">
        <f t="shared" si="4"/>
        <v>38.6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0.20000000000000284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>
        <v>32.299999999999997</v>
      </c>
      <c r="N8" s="66">
        <v>31.4</v>
      </c>
      <c r="O8" s="66">
        <v>32.5</v>
      </c>
      <c r="P8" s="66">
        <v>34.200000000000003</v>
      </c>
      <c r="Q8" s="66">
        <v>34.299999999999997</v>
      </c>
      <c r="R8" s="66">
        <v>34.6</v>
      </c>
      <c r="S8" s="66">
        <v>34.4</v>
      </c>
      <c r="T8" s="66">
        <v>33.6</v>
      </c>
      <c r="U8" s="66">
        <v>33.200000000000003</v>
      </c>
      <c r="V8" s="66">
        <v>33</v>
      </c>
      <c r="W8" s="66">
        <v>32</v>
      </c>
      <c r="X8" s="66">
        <v>33.6</v>
      </c>
      <c r="Y8" s="66">
        <v>33.799999999999997</v>
      </c>
      <c r="Z8" s="66">
        <v>34.5</v>
      </c>
      <c r="AA8" s="66">
        <v>33.9</v>
      </c>
      <c r="AB8" s="66">
        <v>34.1</v>
      </c>
      <c r="AC8" s="66">
        <v>32.799999999999997</v>
      </c>
      <c r="AD8" s="66">
        <v>30.2</v>
      </c>
      <c r="AE8" s="66">
        <v>32.799999999999997</v>
      </c>
      <c r="AF8" s="66">
        <v>33.1</v>
      </c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22</v>
      </c>
      <c r="AQ8" s="68">
        <f t="shared" si="2"/>
        <v>33.240909090909092</v>
      </c>
      <c r="AR8" s="68">
        <f>IFERROR(VLOOKUP(A8,Climatologia_TMAX!A:U,9+$E$2,FALSE),"")</f>
        <v>32.249043010752693</v>
      </c>
      <c r="AS8" s="68">
        <f t="shared" si="3"/>
        <v>0.99186608015639877</v>
      </c>
      <c r="AT8" s="74">
        <f t="shared" si="4"/>
        <v>34.6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-3.3999999999999986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>
        <v>32.9</v>
      </c>
      <c r="N9" s="66">
        <v>30.7</v>
      </c>
      <c r="O9" s="66">
        <v>35.299999999999997</v>
      </c>
      <c r="P9" s="66">
        <v>33.200000000000003</v>
      </c>
      <c r="Q9" s="66">
        <v>34.6</v>
      </c>
      <c r="R9" s="66">
        <v>35.799999999999997</v>
      </c>
      <c r="S9" s="66">
        <v>35</v>
      </c>
      <c r="T9" s="66">
        <v>33.9</v>
      </c>
      <c r="U9" s="66">
        <v>33</v>
      </c>
      <c r="V9" s="66">
        <v>33.6</v>
      </c>
      <c r="W9" s="66">
        <v>34.4</v>
      </c>
      <c r="X9" s="66">
        <v>35.1</v>
      </c>
      <c r="Y9" s="66">
        <v>34.700000000000003</v>
      </c>
      <c r="Z9" s="66">
        <v>33.200000000000003</v>
      </c>
      <c r="AA9" s="66">
        <v>34.200000000000003</v>
      </c>
      <c r="AB9" s="66">
        <v>34.1</v>
      </c>
      <c r="AC9" s="66">
        <v>33.200000000000003</v>
      </c>
      <c r="AD9" s="66">
        <v>30.4</v>
      </c>
      <c r="AE9" s="66">
        <v>34</v>
      </c>
      <c r="AF9" s="66">
        <v>33.6</v>
      </c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22</v>
      </c>
      <c r="AQ9" s="68">
        <f t="shared" si="2"/>
        <v>33.777272727272731</v>
      </c>
      <c r="AR9" s="68">
        <f>IFERROR(VLOOKUP(A9,Climatologia_TMAX!A:U,9+$E$2,FALSE),"")</f>
        <v>33.091246137683846</v>
      </c>
      <c r="AS9" s="68">
        <f t="shared" si="3"/>
        <v>0.68602658958888441</v>
      </c>
      <c r="AT9" s="74">
        <f t="shared" si="4"/>
        <v>35.799999999999997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-2.6000000000000014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>
        <v>32.4</v>
      </c>
      <c r="N10" s="66">
        <v>34</v>
      </c>
      <c r="O10" s="66">
        <v>35.9</v>
      </c>
      <c r="P10" s="66">
        <v>36</v>
      </c>
      <c r="Q10" s="66">
        <v>36.9</v>
      </c>
      <c r="R10" s="66">
        <v>37.1</v>
      </c>
      <c r="S10" s="66">
        <v>34.9</v>
      </c>
      <c r="T10" s="66">
        <v>33.9</v>
      </c>
      <c r="U10" s="66">
        <v>35.799999999999997</v>
      </c>
      <c r="V10" s="66">
        <v>36.799999999999997</v>
      </c>
      <c r="W10" s="66">
        <v>35.9</v>
      </c>
      <c r="X10" s="66">
        <v>36.700000000000003</v>
      </c>
      <c r="Y10" s="66">
        <v>37</v>
      </c>
      <c r="Z10" s="66">
        <v>35.700000000000003</v>
      </c>
      <c r="AA10" s="66">
        <v>36.9</v>
      </c>
      <c r="AB10" s="66">
        <v>36.299999999999997</v>
      </c>
      <c r="AC10" s="66">
        <v>35.4</v>
      </c>
      <c r="AD10" s="66">
        <v>35.5</v>
      </c>
      <c r="AE10" s="66">
        <v>35.799999999999997</v>
      </c>
      <c r="AF10" s="66">
        <v>35.5</v>
      </c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22</v>
      </c>
      <c r="AQ10" s="68">
        <f t="shared" si="2"/>
        <v>35.772727272727266</v>
      </c>
      <c r="AR10" s="68">
        <f>IFERROR(VLOOKUP(A10,Climatologia_TMAX!A:U,9+$E$2,FALSE),"")</f>
        <v>35.380238227660357</v>
      </c>
      <c r="AS10" s="68">
        <f t="shared" si="3"/>
        <v>0.39248904506690963</v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-2.1000000000000014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>
        <v>35</v>
      </c>
      <c r="N11" s="66">
        <v>34.6</v>
      </c>
      <c r="O11" s="66">
        <v>38.799999999999997</v>
      </c>
      <c r="P11" s="66">
        <v>37.799999999999997</v>
      </c>
      <c r="Q11" s="66">
        <v>40.5</v>
      </c>
      <c r="R11" s="66">
        <v>39.700000000000003</v>
      </c>
      <c r="S11" s="66">
        <v>37.5</v>
      </c>
      <c r="T11" s="66">
        <v>37.9</v>
      </c>
      <c r="U11" s="66">
        <v>38</v>
      </c>
      <c r="V11" s="66">
        <v>38.4</v>
      </c>
      <c r="W11" s="66">
        <v>37.4</v>
      </c>
      <c r="X11" s="66">
        <v>40.4</v>
      </c>
      <c r="Y11" s="66">
        <v>40.4</v>
      </c>
      <c r="Z11" s="66">
        <v>38.799999999999997</v>
      </c>
      <c r="AA11" s="66">
        <v>39.6</v>
      </c>
      <c r="AB11" s="66">
        <v>38.299999999999997</v>
      </c>
      <c r="AC11" s="66">
        <v>37</v>
      </c>
      <c r="AD11" s="66">
        <v>36.4</v>
      </c>
      <c r="AE11" s="66">
        <v>37.4</v>
      </c>
      <c r="AF11" s="66">
        <v>37.700000000000003</v>
      </c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22</v>
      </c>
      <c r="AQ11" s="68">
        <f t="shared" si="2"/>
        <v>38.127272727272718</v>
      </c>
      <c r="AR11" s="68">
        <f>IFERROR(VLOOKUP(A11,Climatologia_TMAX!A:U,9+$E$2,FALSE),"")</f>
        <v>35.537284092848601</v>
      </c>
      <c r="AS11" s="68">
        <f t="shared" si="3"/>
        <v>2.5899886344241168</v>
      </c>
      <c r="AT11" s="112">
        <f t="shared" si="4"/>
        <v>40.5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-0.89999999999999858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>
        <v>35</v>
      </c>
      <c r="N12" s="66">
        <v>31.6</v>
      </c>
      <c r="O12" s="66">
        <v>36.1</v>
      </c>
      <c r="P12" s="66">
        <v>35.299999999999997</v>
      </c>
      <c r="Q12" s="66">
        <v>36.200000000000003</v>
      </c>
      <c r="R12" s="66">
        <v>37.1</v>
      </c>
      <c r="S12" s="66">
        <v>30</v>
      </c>
      <c r="T12" s="66">
        <v>34.5</v>
      </c>
      <c r="U12" s="66">
        <v>35</v>
      </c>
      <c r="V12" s="66">
        <v>33.799999999999997</v>
      </c>
      <c r="W12" s="66">
        <v>33.700000000000003</v>
      </c>
      <c r="X12" s="66">
        <v>36.4</v>
      </c>
      <c r="Y12" s="66">
        <v>37.1</v>
      </c>
      <c r="Z12" s="66">
        <v>37.5</v>
      </c>
      <c r="AA12" s="66">
        <v>37.9</v>
      </c>
      <c r="AB12" s="66">
        <v>36.700000000000003</v>
      </c>
      <c r="AC12" s="66">
        <v>33</v>
      </c>
      <c r="AD12" s="66">
        <v>31.1</v>
      </c>
      <c r="AE12" s="66">
        <v>34.9</v>
      </c>
      <c r="AF12" s="66">
        <v>35.9</v>
      </c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22</v>
      </c>
      <c r="AQ12" s="68">
        <f t="shared" si="2"/>
        <v>35.081818181818178</v>
      </c>
      <c r="AR12" s="68">
        <f>IFERROR(VLOOKUP(A12,Climatologia_TMAX!A:U,9+$E$2,FALSE),"")</f>
        <v>33.224936599214232</v>
      </c>
      <c r="AS12" s="68">
        <f t="shared" si="3"/>
        <v>1.8568815826039469</v>
      </c>
      <c r="AT12" s="74">
        <f t="shared" si="4"/>
        <v>37.9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-0.5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66">
        <v>32.700000000000003</v>
      </c>
      <c r="M13" s="66">
        <v>35.6</v>
      </c>
      <c r="N13" s="66">
        <v>30.5</v>
      </c>
      <c r="O13" s="66">
        <v>34.6</v>
      </c>
      <c r="P13" s="66">
        <v>36.200000000000003</v>
      </c>
      <c r="Q13" s="66">
        <v>36.200000000000003</v>
      </c>
      <c r="R13" s="66">
        <v>36.299999999999997</v>
      </c>
      <c r="S13" s="66">
        <v>29</v>
      </c>
      <c r="T13" s="66">
        <v>34.5</v>
      </c>
      <c r="U13" s="66">
        <v>35.4</v>
      </c>
      <c r="V13" s="66">
        <v>32.299999999999997</v>
      </c>
      <c r="W13" s="66">
        <v>34.4</v>
      </c>
      <c r="X13" s="66">
        <v>36</v>
      </c>
      <c r="Y13" s="66">
        <v>35.6</v>
      </c>
      <c r="Z13" s="66">
        <v>37.200000000000003</v>
      </c>
      <c r="AA13" s="66">
        <v>38.299999999999997</v>
      </c>
      <c r="AB13" s="66">
        <v>35.799999999999997</v>
      </c>
      <c r="AC13" s="66">
        <v>32.4</v>
      </c>
      <c r="AD13" s="66">
        <v>31</v>
      </c>
      <c r="AE13" s="66">
        <v>31.6</v>
      </c>
      <c r="AF13" s="66">
        <v>34.4</v>
      </c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22</v>
      </c>
      <c r="AQ13" s="68">
        <f t="shared" si="2"/>
        <v>34.309090909090905</v>
      </c>
      <c r="AR13" s="68">
        <f>IFERROR(VLOOKUP(A13,Climatologia_TMAX!A:U,9+$E$2,FALSE),"")</f>
        <v>32.673982202447156</v>
      </c>
      <c r="AS13" s="68">
        <f t="shared" si="3"/>
        <v>1.6351087066437486</v>
      </c>
      <c r="AT13" s="74">
        <f t="shared" si="4"/>
        <v>38.299999999999997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0.69999999999999574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66">
        <v>27.5</v>
      </c>
      <c r="M14" s="66">
        <v>26.8</v>
      </c>
      <c r="N14" s="66">
        <v>25.5</v>
      </c>
      <c r="O14" s="66">
        <v>29.2</v>
      </c>
      <c r="P14" s="66">
        <v>30.4</v>
      </c>
      <c r="Q14" s="66">
        <v>30</v>
      </c>
      <c r="R14" s="66">
        <v>30.2</v>
      </c>
      <c r="S14" s="66">
        <v>24.5</v>
      </c>
      <c r="T14" s="66">
        <v>27.8</v>
      </c>
      <c r="U14" s="66">
        <v>27.4</v>
      </c>
      <c r="V14" s="66">
        <v>24.8</v>
      </c>
      <c r="W14" s="66">
        <v>27.6</v>
      </c>
      <c r="X14" s="66">
        <v>27.6</v>
      </c>
      <c r="Y14" s="66">
        <v>30.1</v>
      </c>
      <c r="Z14" s="66">
        <v>30.3</v>
      </c>
      <c r="AA14" s="66">
        <v>31.6</v>
      </c>
      <c r="AB14" s="66">
        <v>27.6</v>
      </c>
      <c r="AC14" s="66">
        <v>26.9</v>
      </c>
      <c r="AD14" s="66">
        <v>24.8</v>
      </c>
      <c r="AE14" s="66">
        <v>25.9</v>
      </c>
      <c r="AF14" s="66">
        <v>28.6</v>
      </c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22</v>
      </c>
      <c r="AQ14" s="68">
        <f t="shared" si="2"/>
        <v>27.90454545454546</v>
      </c>
      <c r="AR14" s="68">
        <f>IFERROR(VLOOKUP(A14,Climatologia_TMAX!A:U,9+$E$2,FALSE),"")</f>
        <v>26.05987085395687</v>
      </c>
      <c r="AS14" s="68">
        <f t="shared" si="3"/>
        <v>1.8446746005885899</v>
      </c>
      <c r="AT14" s="74">
        <f t="shared" si="4"/>
        <v>31.6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1.6000000000000014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>
        <v>32.5</v>
      </c>
      <c r="N15" s="66">
        <v>30.9</v>
      </c>
      <c r="O15" s="66">
        <v>35.5</v>
      </c>
      <c r="P15" s="66">
        <v>35.4</v>
      </c>
      <c r="Q15" s="66">
        <v>33.799999999999997</v>
      </c>
      <c r="R15" s="66">
        <v>37.200000000000003</v>
      </c>
      <c r="S15" s="66">
        <v>30.9</v>
      </c>
      <c r="T15" s="66">
        <v>34.200000000000003</v>
      </c>
      <c r="U15" s="66">
        <v>33.5</v>
      </c>
      <c r="V15" s="66">
        <v>32</v>
      </c>
      <c r="W15" s="66">
        <v>34.700000000000003</v>
      </c>
      <c r="X15" s="66">
        <v>33.799999999999997</v>
      </c>
      <c r="Y15" s="66">
        <v>35.700000000000003</v>
      </c>
      <c r="Z15" s="66">
        <v>33.700000000000003</v>
      </c>
      <c r="AA15" s="66">
        <v>34.6</v>
      </c>
      <c r="AB15" s="66">
        <v>32.299999999999997</v>
      </c>
      <c r="AC15" s="66">
        <v>34.1</v>
      </c>
      <c r="AD15" s="66">
        <v>29.8</v>
      </c>
      <c r="AE15" s="66">
        <v>33.700000000000003</v>
      </c>
      <c r="AF15" s="66">
        <v>36.4</v>
      </c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22</v>
      </c>
      <c r="AQ15" s="68">
        <f t="shared" si="2"/>
        <v>33.718181818181819</v>
      </c>
      <c r="AR15" s="68">
        <f>IFERROR(VLOOKUP(A15,Climatologia_TMAX!A:U,9+$E$2,FALSE),"")</f>
        <v>33.250962402669643</v>
      </c>
      <c r="AS15" s="68">
        <f t="shared" si="3"/>
        <v>0.46721941551217583</v>
      </c>
      <c r="AT15" s="74">
        <f t="shared" si="4"/>
        <v>37.200000000000003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-0.29999999999999716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>
        <v>32.200000000000003</v>
      </c>
      <c r="N16" s="66">
        <v>29.9</v>
      </c>
      <c r="O16" s="66">
        <v>33.4</v>
      </c>
      <c r="P16" s="66">
        <v>29.2</v>
      </c>
      <c r="Q16" s="66">
        <v>32.9</v>
      </c>
      <c r="R16" s="66">
        <v>33.4</v>
      </c>
      <c r="S16" s="66">
        <v>27.3</v>
      </c>
      <c r="T16" s="66">
        <v>32</v>
      </c>
      <c r="U16" s="66">
        <v>32</v>
      </c>
      <c r="V16" s="66">
        <v>29.5</v>
      </c>
      <c r="W16" s="66">
        <v>32.200000000000003</v>
      </c>
      <c r="X16" s="66">
        <v>32.6</v>
      </c>
      <c r="Y16" s="66">
        <v>33.1</v>
      </c>
      <c r="Z16" s="66">
        <v>33.5</v>
      </c>
      <c r="AA16" s="66">
        <v>33.5</v>
      </c>
      <c r="AB16" s="66">
        <v>33.1</v>
      </c>
      <c r="AC16" s="66">
        <v>29.5</v>
      </c>
      <c r="AD16" s="66">
        <v>31.5</v>
      </c>
      <c r="AE16" s="66">
        <v>31.9</v>
      </c>
      <c r="AF16" s="66">
        <v>32.799999999999997</v>
      </c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22</v>
      </c>
      <c r="AQ16" s="68">
        <f t="shared" si="2"/>
        <v>31.868181818181814</v>
      </c>
      <c r="AR16" s="68">
        <f>IFERROR(VLOOKUP(A16,Climatologia_TMAX!A:U,9+$E$2,FALSE),"")</f>
        <v>31.73533745607995</v>
      </c>
      <c r="AS16" s="68">
        <f t="shared" si="3"/>
        <v>0.13284436210186357</v>
      </c>
      <c r="AT16" s="74">
        <f t="shared" si="4"/>
        <v>33.5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-2.5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>
        <v>30.6</v>
      </c>
      <c r="N17" s="66">
        <v>27.8</v>
      </c>
      <c r="O17" s="66">
        <v>30.1</v>
      </c>
      <c r="P17" s="66">
        <v>32</v>
      </c>
      <c r="Q17" s="66">
        <v>34.5</v>
      </c>
      <c r="R17" s="66">
        <v>32.4</v>
      </c>
      <c r="S17" s="66">
        <v>27.6</v>
      </c>
      <c r="T17" s="66">
        <v>30.2</v>
      </c>
      <c r="U17" s="66">
        <v>31.2</v>
      </c>
      <c r="V17" s="66">
        <v>27.8</v>
      </c>
      <c r="W17" s="66">
        <v>30.5</v>
      </c>
      <c r="X17" s="66">
        <v>30.3</v>
      </c>
      <c r="Y17" s="66">
        <v>31.1</v>
      </c>
      <c r="Z17" s="66">
        <v>31.1</v>
      </c>
      <c r="AA17" s="66">
        <v>31.1</v>
      </c>
      <c r="AB17" s="66">
        <v>31.8</v>
      </c>
      <c r="AC17" s="66">
        <v>28.6</v>
      </c>
      <c r="AD17" s="66">
        <v>26.9</v>
      </c>
      <c r="AE17" s="66">
        <v>31.2</v>
      </c>
      <c r="AF17" s="66">
        <v>28.6</v>
      </c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22</v>
      </c>
      <c r="AQ17" s="68">
        <f t="shared" si="2"/>
        <v>30.340909090909097</v>
      </c>
      <c r="AR17" s="68">
        <f>IFERROR(VLOOKUP(A17,Climatologia_TMAX!A:U,9+$E$2,FALSE),"")</f>
        <v>28.640804597701148</v>
      </c>
      <c r="AS17" s="68">
        <f t="shared" si="3"/>
        <v>1.7001044932079488</v>
      </c>
      <c r="AT17" s="74">
        <f t="shared" si="4"/>
        <v>34.5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1.2999999999999972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>
        <v>24.5</v>
      </c>
      <c r="N18" s="66">
        <v>22.4</v>
      </c>
      <c r="O18" s="66">
        <v>25.2</v>
      </c>
      <c r="P18" s="66">
        <v>25.4</v>
      </c>
      <c r="Q18" s="66">
        <v>26.1</v>
      </c>
      <c r="R18" s="66">
        <v>25.8</v>
      </c>
      <c r="S18" s="66">
        <v>23.4</v>
      </c>
      <c r="T18" s="66">
        <v>24.1</v>
      </c>
      <c r="U18" s="66">
        <v>24.5</v>
      </c>
      <c r="V18" s="66">
        <v>22.4</v>
      </c>
      <c r="W18" s="66">
        <v>23.7</v>
      </c>
      <c r="X18" s="66">
        <v>23.8</v>
      </c>
      <c r="Y18" s="66">
        <v>24.4</v>
      </c>
      <c r="Z18" s="66">
        <v>24.6</v>
      </c>
      <c r="AA18" s="66">
        <v>24.9</v>
      </c>
      <c r="AB18" s="66">
        <v>24.9</v>
      </c>
      <c r="AC18" s="66">
        <v>23.7</v>
      </c>
      <c r="AD18" s="66">
        <v>21.9</v>
      </c>
      <c r="AE18" s="66">
        <v>24.4</v>
      </c>
      <c r="AF18" s="66">
        <v>25.3</v>
      </c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22</v>
      </c>
      <c r="AQ18" s="68">
        <f t="shared" si="2"/>
        <v>24.340909090909086</v>
      </c>
      <c r="AR18" s="68">
        <f>IFERROR(VLOOKUP(A18,Climatologia_TMAX!A:U,9+$E$2,FALSE),"")</f>
        <v>22.609503151649971</v>
      </c>
      <c r="AS18" s="68">
        <f t="shared" si="3"/>
        <v>1.7314059392591155</v>
      </c>
      <c r="AT18" s="74">
        <f t="shared" si="4"/>
        <v>26.1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0.30000000000000071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>
        <v>28.2</v>
      </c>
      <c r="N19" s="66">
        <v>26.3</v>
      </c>
      <c r="O19" s="66">
        <v>29.4</v>
      </c>
      <c r="P19" s="66">
        <v>30</v>
      </c>
      <c r="Q19" s="66">
        <v>31.4</v>
      </c>
      <c r="R19" s="66">
        <v>29.5</v>
      </c>
      <c r="S19" s="66">
        <v>28.4</v>
      </c>
      <c r="T19" s="66">
        <v>28.8</v>
      </c>
      <c r="U19" s="66">
        <v>26.6</v>
      </c>
      <c r="V19" s="66">
        <v>24.5</v>
      </c>
      <c r="W19" s="66">
        <v>30</v>
      </c>
      <c r="X19" s="66">
        <v>31.8</v>
      </c>
      <c r="Y19" s="66">
        <v>29.5</v>
      </c>
      <c r="Z19" s="66">
        <v>30.8</v>
      </c>
      <c r="AA19" s="66">
        <v>30.5</v>
      </c>
      <c r="AB19" s="66">
        <v>28.5</v>
      </c>
      <c r="AC19" s="66">
        <v>24</v>
      </c>
      <c r="AD19" s="66">
        <v>27.2</v>
      </c>
      <c r="AE19" s="66">
        <v>29.2</v>
      </c>
      <c r="AF19" s="66">
        <v>29.9</v>
      </c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22</v>
      </c>
      <c r="AQ19" s="68">
        <f t="shared" si="2"/>
        <v>28.727272727272734</v>
      </c>
      <c r="AR19" s="68">
        <f>IFERROR(VLOOKUP(A19,Climatologia_TMAX!A:U,9+$E$2,FALSE),"")</f>
        <v>26.8683870967742</v>
      </c>
      <c r="AS19" s="68">
        <f t="shared" si="3"/>
        <v>1.8588856304985342</v>
      </c>
      <c r="AT19" s="74">
        <f t="shared" si="4"/>
        <v>31.8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-0.69999999999999929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>
        <v>28.7</v>
      </c>
      <c r="N20" s="66">
        <v>28.3</v>
      </c>
      <c r="O20" s="66">
        <v>29.5</v>
      </c>
      <c r="P20" s="66">
        <v>31.2</v>
      </c>
      <c r="Q20" s="66">
        <v>32.799999999999997</v>
      </c>
      <c r="R20" s="66">
        <v>30.1</v>
      </c>
      <c r="S20" s="66">
        <v>28.4</v>
      </c>
      <c r="T20" s="66">
        <v>31.6</v>
      </c>
      <c r="U20" s="66">
        <v>29.1</v>
      </c>
      <c r="V20" s="66">
        <v>25.9</v>
      </c>
      <c r="W20" s="66">
        <v>32.1</v>
      </c>
      <c r="X20" s="66">
        <v>31.4</v>
      </c>
      <c r="Y20" s="66">
        <v>31.4</v>
      </c>
      <c r="Z20" s="66">
        <v>32.799999999999997</v>
      </c>
      <c r="AA20" s="66">
        <v>28.8</v>
      </c>
      <c r="AB20" s="66">
        <v>29.6</v>
      </c>
      <c r="AC20" s="66">
        <v>24.9</v>
      </c>
      <c r="AD20" s="66">
        <v>27.7</v>
      </c>
      <c r="AE20" s="66">
        <v>28.5</v>
      </c>
      <c r="AF20" s="66">
        <v>29.8</v>
      </c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22</v>
      </c>
      <c r="AQ20" s="68">
        <f t="shared" si="2"/>
        <v>29.636363636363637</v>
      </c>
      <c r="AR20" s="68">
        <f>IFERROR(VLOOKUP(A20,Climatologia_TMAX!A:U,9+$E$2,FALSE),"")</f>
        <v>28.251824116743482</v>
      </c>
      <c r="AS20" s="68">
        <f t="shared" si="3"/>
        <v>1.3845395196201551</v>
      </c>
      <c r="AT20" s="74">
        <f t="shared" si="4"/>
        <v>32.799999999999997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-1.4000000000000057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66">
        <v>32</v>
      </c>
      <c r="M21" s="66">
        <v>29.9</v>
      </c>
      <c r="N21" s="66">
        <v>30.3</v>
      </c>
      <c r="O21" s="66">
        <v>33.4</v>
      </c>
      <c r="P21" s="66">
        <v>34</v>
      </c>
      <c r="Q21" s="66">
        <v>33.799999999999997</v>
      </c>
      <c r="R21" s="66">
        <v>33.1</v>
      </c>
      <c r="S21" s="66">
        <v>31.3</v>
      </c>
      <c r="T21" s="66">
        <v>31.2</v>
      </c>
      <c r="U21" s="66">
        <v>31.7</v>
      </c>
      <c r="V21" s="66">
        <v>29.6</v>
      </c>
      <c r="W21" s="66">
        <v>33</v>
      </c>
      <c r="X21" s="66">
        <v>33.200000000000003</v>
      </c>
      <c r="Y21" s="66">
        <v>34.6</v>
      </c>
      <c r="Z21" s="66">
        <v>33.299999999999997</v>
      </c>
      <c r="AA21" s="66">
        <v>33.200000000000003</v>
      </c>
      <c r="AB21" s="66">
        <v>31.1</v>
      </c>
      <c r="AC21" s="66">
        <v>31.2</v>
      </c>
      <c r="AD21" s="66">
        <v>32.4</v>
      </c>
      <c r="AE21" s="66">
        <v>32.799999999999997</v>
      </c>
      <c r="AF21" s="66">
        <v>34.1</v>
      </c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22</v>
      </c>
      <c r="AQ21" s="68">
        <f t="shared" si="2"/>
        <v>32.363636363636367</v>
      </c>
      <c r="AR21" s="68">
        <f>IFERROR(VLOOKUP(A21,Climatologia_TMAX!A:U,9+$E$2,FALSE),"")</f>
        <v>30.375865393221069</v>
      </c>
      <c r="AS21" s="68">
        <f t="shared" si="3"/>
        <v>1.9877709704152977</v>
      </c>
      <c r="AT21" s="74">
        <f t="shared" si="4"/>
        <v>34.6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-0.79999999999999716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>
        <v>19</v>
      </c>
      <c r="N22" s="66">
        <v>19.600000000000001</v>
      </c>
      <c r="O22" s="66">
        <v>19.7</v>
      </c>
      <c r="P22" s="66">
        <v>21</v>
      </c>
      <c r="Q22" s="66">
        <v>20.399999999999999</v>
      </c>
      <c r="R22" s="66">
        <v>20</v>
      </c>
      <c r="S22" s="66">
        <v>20.3</v>
      </c>
      <c r="T22" s="66">
        <v>17.899999999999999</v>
      </c>
      <c r="U22" s="66">
        <v>19.399999999999999</v>
      </c>
      <c r="V22" s="66">
        <v>18</v>
      </c>
      <c r="W22" s="66">
        <v>18.8</v>
      </c>
      <c r="X22" s="66">
        <v>19.7</v>
      </c>
      <c r="Y22" s="66">
        <v>19.5</v>
      </c>
      <c r="Z22" s="66">
        <v>21.6</v>
      </c>
      <c r="AA22" s="66">
        <v>20.3</v>
      </c>
      <c r="AB22" s="66">
        <v>20.6</v>
      </c>
      <c r="AC22" s="66">
        <v>19.3</v>
      </c>
      <c r="AD22" s="66">
        <v>19.399999999999999</v>
      </c>
      <c r="AE22" s="66">
        <v>20.3</v>
      </c>
      <c r="AF22" s="66">
        <v>20.7</v>
      </c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22</v>
      </c>
      <c r="AQ22" s="68">
        <f t="shared" si="2"/>
        <v>19.72727272727273</v>
      </c>
      <c r="AR22" s="68">
        <f>IFERROR(VLOOKUP(A22,Climatologia_TMAX!A:U,9+$E$2,FALSE),"")</f>
        <v>18.542871607443359</v>
      </c>
      <c r="AS22" s="68">
        <f t="shared" si="3"/>
        <v>1.1844011198293707</v>
      </c>
      <c r="AT22" s="74">
        <f t="shared" si="4"/>
        <v>21.6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>
        <v>30.9</v>
      </c>
      <c r="N23" s="66">
        <v>30.8</v>
      </c>
      <c r="O23" s="66">
        <v>32</v>
      </c>
      <c r="P23" s="66">
        <v>33.9</v>
      </c>
      <c r="Q23" s="66">
        <v>35.5</v>
      </c>
      <c r="R23" s="66">
        <v>33.1</v>
      </c>
      <c r="S23" s="66">
        <v>30.3</v>
      </c>
      <c r="T23" s="66">
        <v>32.6</v>
      </c>
      <c r="U23" s="66">
        <v>30.7</v>
      </c>
      <c r="V23" s="66">
        <v>28.8</v>
      </c>
      <c r="W23" s="66">
        <v>33.200000000000003</v>
      </c>
      <c r="X23" s="66">
        <v>34.1</v>
      </c>
      <c r="Y23" s="66">
        <v>34.6</v>
      </c>
      <c r="Z23" s="66">
        <v>32.299999999999997</v>
      </c>
      <c r="AA23" s="66">
        <v>31.5</v>
      </c>
      <c r="AB23" s="66">
        <v>30.5</v>
      </c>
      <c r="AC23" s="66">
        <v>29.1</v>
      </c>
      <c r="AD23" s="66">
        <v>30.5</v>
      </c>
      <c r="AE23" s="66">
        <v>32.1</v>
      </c>
      <c r="AF23" s="66">
        <v>33.6</v>
      </c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22</v>
      </c>
      <c r="AQ23" s="68">
        <f t="shared" si="2"/>
        <v>31.981818181818188</v>
      </c>
      <c r="AR23" s="68">
        <f>IFERROR(VLOOKUP(A23,Climatologia_TMAX!A:U,9+$E$2,FALSE),"")</f>
        <v>30.528452601656159</v>
      </c>
      <c r="AS23" s="68">
        <f t="shared" si="3"/>
        <v>1.4533655801620284</v>
      </c>
      <c r="AT23" s="74">
        <f t="shared" si="4"/>
        <v>35.5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1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>
        <v>32.6</v>
      </c>
      <c r="N24" s="66">
        <v>33.5</v>
      </c>
      <c r="O24" s="66">
        <v>35.1</v>
      </c>
      <c r="P24" s="66">
        <v>37.200000000000003</v>
      </c>
      <c r="Q24" s="66">
        <v>36.299999999999997</v>
      </c>
      <c r="R24" s="66">
        <v>35</v>
      </c>
      <c r="S24" s="66">
        <v>32.799999999999997</v>
      </c>
      <c r="T24" s="66">
        <v>35</v>
      </c>
      <c r="U24" s="66">
        <v>35.799999999999997</v>
      </c>
      <c r="V24" s="66">
        <v>33.6</v>
      </c>
      <c r="W24" s="66">
        <v>36.200000000000003</v>
      </c>
      <c r="X24" s="66">
        <v>34</v>
      </c>
      <c r="Y24" s="66">
        <v>36.200000000000003</v>
      </c>
      <c r="Z24" s="66">
        <v>35.299999999999997</v>
      </c>
      <c r="AA24" s="66">
        <v>36.200000000000003</v>
      </c>
      <c r="AB24" s="66">
        <v>31.8</v>
      </c>
      <c r="AC24" s="66">
        <v>33.200000000000003</v>
      </c>
      <c r="AD24" s="66">
        <v>35.299999999999997</v>
      </c>
      <c r="AE24" s="66">
        <v>36.5</v>
      </c>
      <c r="AF24" s="66">
        <v>36</v>
      </c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22</v>
      </c>
      <c r="AQ24" s="68">
        <f t="shared" si="2"/>
        <v>34.695454545454545</v>
      </c>
      <c r="AR24" s="68">
        <f>IFERROR(VLOOKUP(A24,Climatologia_TMAX!A:U,9+$E$2,FALSE),"")</f>
        <v>33.74225089605735</v>
      </c>
      <c r="AS24" s="68">
        <f t="shared" si="3"/>
        <v>0.95320364939719582</v>
      </c>
      <c r="AT24" s="74">
        <f t="shared" si="4"/>
        <v>37.200000000000003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-1.3999999999999986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>
        <v>25.4</v>
      </c>
      <c r="N25" s="66">
        <v>26.4</v>
      </c>
      <c r="O25" s="66">
        <v>29</v>
      </c>
      <c r="P25" s="66">
        <v>28.2</v>
      </c>
      <c r="Q25" s="66">
        <v>29.2</v>
      </c>
      <c r="R25" s="66">
        <v>28.8</v>
      </c>
      <c r="S25" s="66">
        <v>28.1</v>
      </c>
      <c r="T25" s="66">
        <v>27.5</v>
      </c>
      <c r="U25" s="66">
        <v>27.8</v>
      </c>
      <c r="V25" s="66">
        <v>25.8</v>
      </c>
      <c r="W25" s="66">
        <v>26.6</v>
      </c>
      <c r="X25" s="66">
        <v>28.2</v>
      </c>
      <c r="Y25" s="66">
        <v>28.6</v>
      </c>
      <c r="Z25" s="66">
        <v>29.4</v>
      </c>
      <c r="AA25" s="66">
        <v>27.2</v>
      </c>
      <c r="AB25" s="66">
        <v>27.4</v>
      </c>
      <c r="AC25" s="66">
        <v>23.8</v>
      </c>
      <c r="AD25" s="66">
        <v>24.9</v>
      </c>
      <c r="AE25" s="66">
        <v>24.9</v>
      </c>
      <c r="AF25" s="66">
        <v>29.1</v>
      </c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22</v>
      </c>
      <c r="AQ25" s="68">
        <f t="shared" si="2"/>
        <v>27.372727272727271</v>
      </c>
      <c r="AR25" s="68">
        <f>IFERROR(VLOOKUP(A25,Climatologia_TMAX!A:U,9+$E$2,FALSE),"")</f>
        <v>25.387424837120619</v>
      </c>
      <c r="AS25" s="68">
        <f t="shared" si="3"/>
        <v>1.985302435606652</v>
      </c>
      <c r="AT25" s="74">
        <f t="shared" si="4"/>
        <v>29.4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-0.80000000000000071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>
        <v>14.4</v>
      </c>
      <c r="N26" s="66">
        <v>14.8</v>
      </c>
      <c r="O26" s="66">
        <v>17.600000000000001</v>
      </c>
      <c r="P26" s="66">
        <v>16</v>
      </c>
      <c r="Q26" s="66">
        <v>16.600000000000001</v>
      </c>
      <c r="R26" s="66">
        <v>16.399999999999999</v>
      </c>
      <c r="S26" s="66">
        <v>17.3</v>
      </c>
      <c r="T26" s="66">
        <v>15</v>
      </c>
      <c r="U26" s="66">
        <v>15.6</v>
      </c>
      <c r="V26" s="66">
        <v>15.2</v>
      </c>
      <c r="W26" s="66">
        <v>14</v>
      </c>
      <c r="X26" s="66">
        <v>15</v>
      </c>
      <c r="Y26" s="66">
        <v>16</v>
      </c>
      <c r="Z26" s="66">
        <v>16.399999999999999</v>
      </c>
      <c r="AA26" s="66">
        <v>14.8</v>
      </c>
      <c r="AB26" s="66">
        <v>16</v>
      </c>
      <c r="AC26" s="66">
        <v>16.2</v>
      </c>
      <c r="AD26" s="66">
        <v>17.399999999999999</v>
      </c>
      <c r="AE26" s="66">
        <v>16.600000000000001</v>
      </c>
      <c r="AF26" s="66">
        <v>16.399999999999999</v>
      </c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22</v>
      </c>
      <c r="AQ26" s="68">
        <f t="shared" si="2"/>
        <v>15.822727272727271</v>
      </c>
      <c r="AR26" s="68">
        <f>IFERROR(VLOOKUP(A26,Climatologia_TMAX!A:U,9+$E$2,FALSE),"")</f>
        <v>14.744612532443449</v>
      </c>
      <c r="AS26" s="68">
        <f t="shared" si="3"/>
        <v>1.0781147402838211</v>
      </c>
      <c r="AT26" s="74">
        <f t="shared" si="4"/>
        <v>17.600000000000001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-2.3999999999999986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>
        <v>31.8</v>
      </c>
      <c r="N27" s="66">
        <v>31.6</v>
      </c>
      <c r="O27" s="66">
        <v>31.6</v>
      </c>
      <c r="P27" s="66">
        <v>34.6</v>
      </c>
      <c r="Q27" s="66">
        <v>33.200000000000003</v>
      </c>
      <c r="R27" s="66">
        <v>31</v>
      </c>
      <c r="S27" s="66">
        <v>32.200000000000003</v>
      </c>
      <c r="T27" s="66">
        <v>33.4</v>
      </c>
      <c r="U27" s="66">
        <v>30.2</v>
      </c>
      <c r="V27" s="66">
        <v>27.4</v>
      </c>
      <c r="W27" s="66">
        <v>33.200000000000003</v>
      </c>
      <c r="X27" s="66">
        <v>33.799999999999997</v>
      </c>
      <c r="Y27" s="66">
        <v>30.8</v>
      </c>
      <c r="Z27" s="66">
        <v>34.6</v>
      </c>
      <c r="AA27" s="66">
        <v>33.4</v>
      </c>
      <c r="AB27" s="66">
        <v>32.4</v>
      </c>
      <c r="AC27" s="66">
        <v>28</v>
      </c>
      <c r="AD27" s="66">
        <v>31.4</v>
      </c>
      <c r="AE27" s="66">
        <v>31.2</v>
      </c>
      <c r="AF27" s="66">
        <v>31</v>
      </c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22</v>
      </c>
      <c r="AQ27" s="68">
        <f t="shared" si="2"/>
        <v>31.909090909090903</v>
      </c>
      <c r="AR27" s="68">
        <f>IFERROR(VLOOKUP(A27,Climatologia_TMAX!A:U,9+$E$2,FALSE),"")</f>
        <v>31.072695852534562</v>
      </c>
      <c r="AS27" s="68">
        <f t="shared" si="3"/>
        <v>0.83639505655634139</v>
      </c>
      <c r="AT27" s="74">
        <f t="shared" si="4"/>
        <v>34.6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-1.6000000000000014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>
        <v>27.8</v>
      </c>
      <c r="N28" s="66">
        <v>29.1</v>
      </c>
      <c r="O28" s="66">
        <v>30</v>
      </c>
      <c r="P28" s="66">
        <v>31.2</v>
      </c>
      <c r="Q28" s="66">
        <v>30.4</v>
      </c>
      <c r="R28" s="66">
        <v>32.4</v>
      </c>
      <c r="S28" s="66">
        <v>26.2</v>
      </c>
      <c r="T28" s="66">
        <v>30.4</v>
      </c>
      <c r="U28" s="66">
        <v>30.1</v>
      </c>
      <c r="V28" s="66">
        <v>26.7</v>
      </c>
      <c r="W28" s="66">
        <v>31.4</v>
      </c>
      <c r="X28" s="66">
        <v>28.3</v>
      </c>
      <c r="Y28" s="66">
        <v>32.4</v>
      </c>
      <c r="Z28" s="66">
        <v>32.200000000000003</v>
      </c>
      <c r="AA28" s="66">
        <v>32.5</v>
      </c>
      <c r="AB28" s="66">
        <v>31.8</v>
      </c>
      <c r="AC28" s="66">
        <v>31.5</v>
      </c>
      <c r="AD28" s="66">
        <v>26.4</v>
      </c>
      <c r="AE28" s="66">
        <v>31.6</v>
      </c>
      <c r="AF28" s="66">
        <v>29</v>
      </c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22</v>
      </c>
      <c r="AQ28" s="68">
        <f t="shared" si="2"/>
        <v>30.068181818181813</v>
      </c>
      <c r="AR28" s="68">
        <f>IFERROR(VLOOKUP(A28,Climatologia_TMAX!A:U,9+$E$2,FALSE),"")</f>
        <v>30.029026223392581</v>
      </c>
      <c r="AS28" s="68">
        <f t="shared" si="3"/>
        <v>3.915559478923214E-2</v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>
        <v>31</v>
      </c>
      <c r="N29" s="66">
        <v>28.8</v>
      </c>
      <c r="O29" s="66">
        <v>25.4</v>
      </c>
      <c r="P29" s="66">
        <v>31.7</v>
      </c>
      <c r="Q29" s="66">
        <v>31</v>
      </c>
      <c r="R29" s="66">
        <v>32</v>
      </c>
      <c r="S29" s="66">
        <v>31.6</v>
      </c>
      <c r="T29" s="66">
        <v>29.4</v>
      </c>
      <c r="U29" s="66">
        <v>32.299999999999997</v>
      </c>
      <c r="V29" s="66">
        <v>32</v>
      </c>
      <c r="W29" s="66">
        <v>31.6</v>
      </c>
      <c r="X29" s="66">
        <v>33.200000000000003</v>
      </c>
      <c r="Y29" s="66">
        <v>33.6</v>
      </c>
      <c r="Z29" s="66">
        <v>33.4</v>
      </c>
      <c r="AA29" s="66">
        <v>34.4</v>
      </c>
      <c r="AB29" s="66">
        <v>30.2</v>
      </c>
      <c r="AC29" s="66">
        <v>29</v>
      </c>
      <c r="AD29" s="66">
        <v>32.4</v>
      </c>
      <c r="AE29" s="66">
        <v>33.1</v>
      </c>
      <c r="AF29" s="66">
        <v>32.4</v>
      </c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22</v>
      </c>
      <c r="AQ29" s="68">
        <f t="shared" si="2"/>
        <v>31.404545454545453</v>
      </c>
      <c r="AR29" s="68">
        <f>IFERROR(VLOOKUP(A29,Climatologia_TMAX!A:U,9+$E$2,FALSE),"")</f>
        <v>30.843133110863921</v>
      </c>
      <c r="AS29" s="68">
        <f t="shared" si="3"/>
        <v>0.56141234368153192</v>
      </c>
      <c r="AT29" s="74">
        <f t="shared" si="4"/>
        <v>34.4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-3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>
        <v>27.5</v>
      </c>
      <c r="N30" s="66">
        <v>27.8</v>
      </c>
      <c r="O30" s="66">
        <v>28.2</v>
      </c>
      <c r="P30" s="66">
        <v>30.6</v>
      </c>
      <c r="Q30" s="66">
        <v>28.3</v>
      </c>
      <c r="R30" s="66">
        <v>30.4</v>
      </c>
      <c r="S30" s="66">
        <v>27.3</v>
      </c>
      <c r="T30" s="66">
        <v>30.6</v>
      </c>
      <c r="U30" s="66">
        <v>30.4</v>
      </c>
      <c r="V30" s="66">
        <v>30.2</v>
      </c>
      <c r="W30" s="66">
        <v>31.3</v>
      </c>
      <c r="X30" s="66">
        <v>29.6</v>
      </c>
      <c r="Y30" s="66">
        <v>30.6</v>
      </c>
      <c r="Z30" s="66">
        <v>30.2</v>
      </c>
      <c r="AA30" s="66">
        <v>31.7</v>
      </c>
      <c r="AB30" s="66">
        <v>29.2</v>
      </c>
      <c r="AC30" s="66">
        <v>30.2</v>
      </c>
      <c r="AD30" s="66">
        <v>30.8</v>
      </c>
      <c r="AE30" s="66">
        <v>31.3</v>
      </c>
      <c r="AF30" s="66">
        <v>31.4</v>
      </c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22</v>
      </c>
      <c r="AQ30" s="68">
        <f t="shared" si="2"/>
        <v>29.704545454545453</v>
      </c>
      <c r="AR30" s="68">
        <f>IFERROR(VLOOKUP(A30,Climatologia_TMAX!A:U,9+$E$2,FALSE),"")</f>
        <v>28.947548387096781</v>
      </c>
      <c r="AS30" s="68">
        <f t="shared" si="3"/>
        <v>0.75699706744867257</v>
      </c>
      <c r="AT30" s="74">
        <f t="shared" si="4"/>
        <v>31.7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-1.8000000000000007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>
        <v>31.7</v>
      </c>
      <c r="N31" s="105">
        <v>26.1</v>
      </c>
      <c r="O31" s="105">
        <v>30.1</v>
      </c>
      <c r="P31" s="105">
        <v>30.1</v>
      </c>
      <c r="Q31" s="105">
        <v>31</v>
      </c>
      <c r="R31" s="105">
        <v>27.7</v>
      </c>
      <c r="S31" s="105">
        <v>32</v>
      </c>
      <c r="T31" s="105">
        <v>30.4</v>
      </c>
      <c r="U31" s="105">
        <v>27.6</v>
      </c>
      <c r="V31" s="105">
        <v>30.4</v>
      </c>
      <c r="W31" s="105">
        <v>29.3</v>
      </c>
      <c r="X31" s="105">
        <v>31.1</v>
      </c>
      <c r="Y31" s="105">
        <v>29.2</v>
      </c>
      <c r="Z31" s="105">
        <v>31.9</v>
      </c>
      <c r="AA31" s="105">
        <v>32.799999999999997</v>
      </c>
      <c r="AB31" s="105">
        <v>32.9</v>
      </c>
      <c r="AC31" s="105">
        <v>32.9</v>
      </c>
      <c r="AD31" s="105">
        <v>32.299999999999997</v>
      </c>
      <c r="AE31" s="105">
        <v>32.799999999999997</v>
      </c>
      <c r="AF31" s="105">
        <v>32.6</v>
      </c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22</v>
      </c>
      <c r="AQ31" s="68">
        <f t="shared" si="2"/>
        <v>30.695454545454542</v>
      </c>
      <c r="AR31" s="68">
        <f>IFERROR(VLOOKUP(A31,Climatologia_TMAX!A:U,9+$E$2,FALSE),"")</f>
        <v>30.34253285543608</v>
      </c>
      <c r="AS31" s="68">
        <f t="shared" si="3"/>
        <v>0.35292169001846219</v>
      </c>
      <c r="AT31" s="74">
        <f t="shared" si="4"/>
        <v>32.9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-2.3000000000000043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>
        <v>26.8</v>
      </c>
      <c r="N33" s="66">
        <v>23</v>
      </c>
      <c r="O33" s="66">
        <v>27</v>
      </c>
      <c r="P33" s="66">
        <v>27.2</v>
      </c>
      <c r="Q33" s="66">
        <v>26.6</v>
      </c>
      <c r="R33" s="66">
        <v>27.8</v>
      </c>
      <c r="S33" s="66">
        <v>25.2</v>
      </c>
      <c r="T33" s="66">
        <v>26.4</v>
      </c>
      <c r="U33" s="66">
        <v>25.6</v>
      </c>
      <c r="V33" s="66">
        <v>24</v>
      </c>
      <c r="W33" s="66">
        <v>25.6</v>
      </c>
      <c r="X33" s="66">
        <v>25.8</v>
      </c>
      <c r="Y33" s="66">
        <v>26.4</v>
      </c>
      <c r="Z33" s="66">
        <v>28</v>
      </c>
      <c r="AA33" s="66">
        <v>27.6</v>
      </c>
      <c r="AB33" s="66">
        <v>27.8</v>
      </c>
      <c r="AC33" s="66">
        <v>27</v>
      </c>
      <c r="AD33" s="66">
        <v>24</v>
      </c>
      <c r="AE33" s="66">
        <v>24.6</v>
      </c>
      <c r="AF33" s="66">
        <v>26.8</v>
      </c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22</v>
      </c>
      <c r="AQ33" s="68">
        <f t="shared" si="2"/>
        <v>26.172727272727276</v>
      </c>
      <c r="AR33" s="68">
        <f>IFERROR(VLOOKUP(A33,Climatologia_TMAX!A:U,9+$E$2,FALSE),"")</f>
        <v>24.63366101619717</v>
      </c>
      <c r="AS33" s="68">
        <f t="shared" si="3"/>
        <v>1.5390662565301056</v>
      </c>
      <c r="AT33" s="74">
        <f t="shared" si="4"/>
        <v>28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0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>
        <v>33.6</v>
      </c>
      <c r="N36" s="66">
        <v>31.6</v>
      </c>
      <c r="O36" s="66">
        <v>36.200000000000003</v>
      </c>
      <c r="P36" s="66">
        <v>36.4</v>
      </c>
      <c r="Q36" s="66">
        <v>37</v>
      </c>
      <c r="R36" s="66">
        <v>35</v>
      </c>
      <c r="S36" s="66">
        <v>35</v>
      </c>
      <c r="T36" s="66">
        <v>38.4</v>
      </c>
      <c r="U36" s="66">
        <v>34.799999999999997</v>
      </c>
      <c r="V36" s="66">
        <v>34</v>
      </c>
      <c r="W36" s="66">
        <v>39</v>
      </c>
      <c r="X36" s="66">
        <v>39.4</v>
      </c>
      <c r="Y36" s="66">
        <v>35.200000000000003</v>
      </c>
      <c r="Z36" s="66">
        <v>39</v>
      </c>
      <c r="AA36" s="66">
        <v>39.200000000000003</v>
      </c>
      <c r="AB36" s="66">
        <v>39</v>
      </c>
      <c r="AC36" s="66">
        <v>32.799999999999997</v>
      </c>
      <c r="AD36" s="66">
        <v>33.799999999999997</v>
      </c>
      <c r="AE36" s="66">
        <v>35</v>
      </c>
      <c r="AF36" s="66">
        <v>36.799999999999997</v>
      </c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22</v>
      </c>
      <c r="AQ36" s="68">
        <f t="shared" si="2"/>
        <v>35.909090909090907</v>
      </c>
      <c r="AR36" s="68">
        <f>IFERROR(VLOOKUP(A36,Climatologia_TMAX!A:U,9+$E$2,FALSE),"")</f>
        <v>33.669529909436747</v>
      </c>
      <c r="AS36" s="68">
        <f t="shared" si="3"/>
        <v>2.2395609996541594</v>
      </c>
      <c r="AT36" s="74">
        <f t="shared" si="4"/>
        <v>39.4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-0.39999999999999858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>
        <v>28.4</v>
      </c>
      <c r="N38" s="66">
        <v>24.2</v>
      </c>
      <c r="O38" s="66">
        <v>29.2</v>
      </c>
      <c r="P38" s="66">
        <v>30.6</v>
      </c>
      <c r="Q38" s="66">
        <v>31</v>
      </c>
      <c r="R38" s="66">
        <v>29</v>
      </c>
      <c r="S38" s="66">
        <v>25</v>
      </c>
      <c r="T38" s="66">
        <v>28.4</v>
      </c>
      <c r="U38" s="66">
        <v>27.4</v>
      </c>
      <c r="V38" s="66">
        <v>24.8</v>
      </c>
      <c r="W38" s="66">
        <v>28</v>
      </c>
      <c r="X38" s="66">
        <v>29.2</v>
      </c>
      <c r="Y38" s="66">
        <v>27.8</v>
      </c>
      <c r="Z38" s="66">
        <v>30.4</v>
      </c>
      <c r="AA38" s="66">
        <v>29.8</v>
      </c>
      <c r="AB38" s="66">
        <v>28.6</v>
      </c>
      <c r="AC38" s="66">
        <v>24.8</v>
      </c>
      <c r="AD38" s="66">
        <v>22.4</v>
      </c>
      <c r="AE38" s="66">
        <v>28.4</v>
      </c>
      <c r="AF38" s="66">
        <v>27.4</v>
      </c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22</v>
      </c>
      <c r="AQ38" s="68">
        <f t="shared" si="2"/>
        <v>27.75454545454545</v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31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1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>
        <v>27</v>
      </c>
      <c r="N39" s="66">
        <v>25</v>
      </c>
      <c r="O39" s="66">
        <v>28.2</v>
      </c>
      <c r="P39" s="66">
        <v>28</v>
      </c>
      <c r="Q39" s="66">
        <v>27.8</v>
      </c>
      <c r="R39" s="66">
        <v>27.4</v>
      </c>
      <c r="S39" s="66">
        <v>24.8</v>
      </c>
      <c r="T39" s="66">
        <v>27.2</v>
      </c>
      <c r="U39" s="66">
        <v>25.4</v>
      </c>
      <c r="V39" s="109">
        <v>24.4</v>
      </c>
      <c r="W39" s="66">
        <v>26.6</v>
      </c>
      <c r="X39" s="66">
        <v>27</v>
      </c>
      <c r="Y39" s="66">
        <v>26.2</v>
      </c>
      <c r="Z39" s="66">
        <v>27.2</v>
      </c>
      <c r="AA39" s="66">
        <v>27.4</v>
      </c>
      <c r="AB39" s="66">
        <v>27.8</v>
      </c>
      <c r="AC39" s="66">
        <v>25.4</v>
      </c>
      <c r="AD39" s="66">
        <v>25.4</v>
      </c>
      <c r="AE39" s="66">
        <v>26.8</v>
      </c>
      <c r="AF39" s="66">
        <v>25.2</v>
      </c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22</v>
      </c>
      <c r="AQ39" s="68">
        <f t="shared" si="2"/>
        <v>26.581818181818178</v>
      </c>
      <c r="AR39" s="68">
        <f>IFERROR(VLOOKUP(A39,Climatologia_TMAX!A:U,9+$E$2,FALSE),"")</f>
        <v>23.752466703156351</v>
      </c>
      <c r="AS39" s="68">
        <f t="shared" si="3"/>
        <v>2.8293514786618275</v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-1.8000000000000007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>
        <v>21.2</v>
      </c>
      <c r="N40" s="66">
        <v>20.399999999999999</v>
      </c>
      <c r="O40" s="66">
        <v>22</v>
      </c>
      <c r="P40" s="66">
        <v>22.4</v>
      </c>
      <c r="Q40" s="66">
        <v>23.2</v>
      </c>
      <c r="R40" s="66">
        <v>22.8</v>
      </c>
      <c r="S40" s="66">
        <v>21.2</v>
      </c>
      <c r="T40" s="66">
        <v>21</v>
      </c>
      <c r="U40" s="66">
        <v>21.4</v>
      </c>
      <c r="V40" s="66">
        <v>19.399999999999999</v>
      </c>
      <c r="W40" s="66">
        <v>21</v>
      </c>
      <c r="X40" s="66">
        <v>20.8</v>
      </c>
      <c r="Y40" s="66">
        <v>21.4</v>
      </c>
      <c r="Z40" s="66">
        <v>21.6</v>
      </c>
      <c r="AA40" s="66">
        <v>22</v>
      </c>
      <c r="AB40" s="66">
        <v>22.4</v>
      </c>
      <c r="AC40" s="66">
        <v>21</v>
      </c>
      <c r="AD40" s="66">
        <v>21.2</v>
      </c>
      <c r="AE40" s="66">
        <v>21</v>
      </c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21</v>
      </c>
      <c r="AQ40" s="68">
        <f t="shared" si="2"/>
        <v>21.485714285714284</v>
      </c>
      <c r="AR40" s="68">
        <f>IFERROR(VLOOKUP(A40,Climatologia_TMAX!A:U,9+$E$2,FALSE),"")</f>
        <v>20.412982326041281</v>
      </c>
      <c r="AS40" s="68">
        <f t="shared" si="3"/>
        <v>1.0727319596730034</v>
      </c>
      <c r="AT40" s="74">
        <f t="shared" si="4"/>
        <v>23.2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>
        <v>32</v>
      </c>
      <c r="N42" s="66">
        <v>28.6</v>
      </c>
      <c r="O42" s="66">
        <v>33.200000000000003</v>
      </c>
      <c r="P42" s="66">
        <v>35</v>
      </c>
      <c r="Q42" s="66">
        <v>35</v>
      </c>
      <c r="R42" s="66">
        <v>34.4</v>
      </c>
      <c r="S42" s="66">
        <v>28.2</v>
      </c>
      <c r="T42" s="66">
        <v>32.799999999999997</v>
      </c>
      <c r="U42" s="66">
        <v>33.200000000000003</v>
      </c>
      <c r="V42" s="66">
        <v>28.2</v>
      </c>
      <c r="W42" s="66">
        <v>32</v>
      </c>
      <c r="X42" s="66">
        <v>33</v>
      </c>
      <c r="Y42" s="66">
        <v>32</v>
      </c>
      <c r="Z42" s="66">
        <v>33.4</v>
      </c>
      <c r="AA42" s="66">
        <v>34</v>
      </c>
      <c r="AB42" s="66">
        <v>33.799999999999997</v>
      </c>
      <c r="AC42" s="66">
        <v>30</v>
      </c>
      <c r="AD42" s="66">
        <v>29.4</v>
      </c>
      <c r="AE42" s="66">
        <v>33</v>
      </c>
      <c r="AF42" s="66">
        <v>32</v>
      </c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22</v>
      </c>
      <c r="AQ42" s="68">
        <f t="shared" si="2"/>
        <v>32.172727272727265</v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35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1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>
        <v>33.200000000000003</v>
      </c>
      <c r="N43" s="66">
        <v>30.8</v>
      </c>
      <c r="O43" s="66">
        <v>33.4</v>
      </c>
      <c r="P43" s="66">
        <v>32.4</v>
      </c>
      <c r="Q43" s="66">
        <v>33.200000000000003</v>
      </c>
      <c r="R43" s="66">
        <v>33.4</v>
      </c>
      <c r="S43" s="66">
        <v>29.8</v>
      </c>
      <c r="T43" s="66">
        <v>32.4</v>
      </c>
      <c r="U43" s="66">
        <v>33</v>
      </c>
      <c r="V43" s="66">
        <v>30.2</v>
      </c>
      <c r="W43" s="66">
        <v>32</v>
      </c>
      <c r="X43" s="66">
        <v>33</v>
      </c>
      <c r="Y43" s="66">
        <v>34.799999999999997</v>
      </c>
      <c r="Z43" s="66">
        <v>33.4</v>
      </c>
      <c r="AA43" s="66">
        <v>33.200000000000003</v>
      </c>
      <c r="AB43" s="66">
        <v>32.799999999999997</v>
      </c>
      <c r="AC43" s="66">
        <v>30</v>
      </c>
      <c r="AD43" s="66">
        <v>30.4</v>
      </c>
      <c r="AE43" s="66">
        <v>32.4</v>
      </c>
      <c r="AF43" s="66">
        <v>34</v>
      </c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22</v>
      </c>
      <c r="AQ43" s="68">
        <f t="shared" si="2"/>
        <v>32.381818181818183</v>
      </c>
      <c r="AR43" s="68">
        <f>IFERROR(VLOOKUP(A43,Climatologia_TMAX!A:U,9+$E$2,FALSE),"")</f>
        <v>31.60886672633503</v>
      </c>
      <c r="AS43" s="68">
        <f t="shared" si="3"/>
        <v>0.77295145548315247</v>
      </c>
      <c r="AT43" s="74">
        <f t="shared" si="4"/>
        <v>34.799999999999997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-1.2000000000000028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>
        <v>26.8</v>
      </c>
      <c r="N44" s="66">
        <v>27.2</v>
      </c>
      <c r="O44" s="66">
        <v>26.8</v>
      </c>
      <c r="P44" s="66">
        <v>22</v>
      </c>
      <c r="Q44" s="66">
        <v>27.2</v>
      </c>
      <c r="R44" s="66">
        <v>27.6</v>
      </c>
      <c r="S44" s="66">
        <v>27.8</v>
      </c>
      <c r="T44" s="66">
        <v>28</v>
      </c>
      <c r="U44" s="66">
        <v>28</v>
      </c>
      <c r="V44" s="66">
        <v>27.2</v>
      </c>
      <c r="W44" s="66">
        <v>27.8</v>
      </c>
      <c r="X44" s="66">
        <v>28.6</v>
      </c>
      <c r="Y44" s="66">
        <v>28.4</v>
      </c>
      <c r="Z44" s="66">
        <v>28</v>
      </c>
      <c r="AA44" s="66">
        <v>29</v>
      </c>
      <c r="AB44" s="66">
        <v>28.4</v>
      </c>
      <c r="AC44" s="66">
        <v>29</v>
      </c>
      <c r="AD44" s="66">
        <v>28</v>
      </c>
      <c r="AE44" s="66">
        <v>29</v>
      </c>
      <c r="AF44" s="66">
        <v>27.8</v>
      </c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22</v>
      </c>
      <c r="AQ44" s="68">
        <f t="shared" si="2"/>
        <v>27.599999999999998</v>
      </c>
      <c r="AR44" s="68">
        <f>IFERROR(VLOOKUP(A44,Climatologia_TMAX!A:U,9+$E$2,FALSE),"")</f>
        <v>22.96179749103943</v>
      </c>
      <c r="AS44" s="68">
        <f t="shared" si="3"/>
        <v>4.6382025089605676</v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0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66">
        <v>37</v>
      </c>
      <c r="M45" s="66">
        <v>36.799999999999997</v>
      </c>
      <c r="N45" s="66">
        <v>33.6</v>
      </c>
      <c r="O45" s="66">
        <v>35.799999999999997</v>
      </c>
      <c r="P45" s="66">
        <v>36.6</v>
      </c>
      <c r="Q45" s="66">
        <v>37.799999999999997</v>
      </c>
      <c r="R45" s="66">
        <v>38</v>
      </c>
      <c r="S45" s="66">
        <v>31.8</v>
      </c>
      <c r="T45" s="66">
        <v>36.799999999999997</v>
      </c>
      <c r="U45" s="66">
        <v>36.6</v>
      </c>
      <c r="V45" s="66">
        <v>34.200000000000003</v>
      </c>
      <c r="W45" s="66">
        <v>35.200000000000003</v>
      </c>
      <c r="X45" s="66">
        <v>36</v>
      </c>
      <c r="Y45" s="66">
        <v>37.6</v>
      </c>
      <c r="Z45" s="66">
        <v>37.799999999999997</v>
      </c>
      <c r="AA45" s="66">
        <v>38.200000000000003</v>
      </c>
      <c r="AB45" s="66">
        <v>36.799999999999997</v>
      </c>
      <c r="AC45" s="66">
        <v>34.6</v>
      </c>
      <c r="AD45" s="66">
        <v>31.2</v>
      </c>
      <c r="AE45" s="66">
        <v>33.799999999999997</v>
      </c>
      <c r="AF45" s="66">
        <v>35</v>
      </c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22</v>
      </c>
      <c r="AQ45" s="68">
        <f t="shared" si="2"/>
        <v>35.81818181818182</v>
      </c>
      <c r="AR45" s="68">
        <f>IFERROR(VLOOKUP(A45,Climatologia_TMAX!A:U,9+$E$2,FALSE),"")</f>
        <v>33.381792114695337</v>
      </c>
      <c r="AS45" s="68">
        <f t="shared" si="3"/>
        <v>2.4363897034864834</v>
      </c>
      <c r="AT45" s="74">
        <f t="shared" si="4"/>
        <v>38.200000000000003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0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>
        <v>31.8</v>
      </c>
      <c r="N46" s="66">
        <v>31</v>
      </c>
      <c r="O46" s="66">
        <v>32.200000000000003</v>
      </c>
      <c r="P46" s="66">
        <v>32</v>
      </c>
      <c r="Q46" s="66">
        <v>32.799999999999997</v>
      </c>
      <c r="R46" s="66">
        <v>32.6</v>
      </c>
      <c r="S46" s="66">
        <v>28.8</v>
      </c>
      <c r="T46" s="66">
        <v>31.8</v>
      </c>
      <c r="U46" s="66">
        <v>32</v>
      </c>
      <c r="V46" s="66">
        <v>31.8</v>
      </c>
      <c r="W46" s="66">
        <v>30.2</v>
      </c>
      <c r="X46" s="66">
        <v>32.200000000000003</v>
      </c>
      <c r="Y46" s="66">
        <v>32.799999999999997</v>
      </c>
      <c r="Z46" s="66">
        <v>33</v>
      </c>
      <c r="AA46" s="66">
        <v>32.799999999999997</v>
      </c>
      <c r="AB46" s="66">
        <v>32.6</v>
      </c>
      <c r="AC46" s="66">
        <v>32</v>
      </c>
      <c r="AD46" s="66">
        <v>29.4</v>
      </c>
      <c r="AE46" s="66">
        <v>31.6</v>
      </c>
      <c r="AF46" s="66">
        <v>32.200000000000003</v>
      </c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22</v>
      </c>
      <c r="AQ46" s="68">
        <f t="shared" si="2"/>
        <v>31.827272727272728</v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>
        <v>34.200000000000003</v>
      </c>
      <c r="N49" s="66">
        <v>30</v>
      </c>
      <c r="O49" s="66">
        <v>36</v>
      </c>
      <c r="P49" s="66">
        <v>35</v>
      </c>
      <c r="Q49" s="66">
        <v>36.4</v>
      </c>
      <c r="R49" s="66">
        <v>37.200000000000003</v>
      </c>
      <c r="S49" s="66">
        <v>31.8</v>
      </c>
      <c r="T49" s="66">
        <v>35.6</v>
      </c>
      <c r="U49" s="66">
        <v>34.799999999999997</v>
      </c>
      <c r="V49" s="66">
        <v>33.6</v>
      </c>
      <c r="W49" s="66">
        <v>33.200000000000003</v>
      </c>
      <c r="X49" s="66">
        <v>36</v>
      </c>
      <c r="Y49" s="66">
        <v>37.200000000000003</v>
      </c>
      <c r="Z49" s="66">
        <v>37.799999999999997</v>
      </c>
      <c r="AA49" s="66">
        <v>37.799999999999997</v>
      </c>
      <c r="AB49" s="66">
        <v>36.6</v>
      </c>
      <c r="AC49" s="66">
        <v>33.799999999999997</v>
      </c>
      <c r="AD49" s="66">
        <v>30.8</v>
      </c>
      <c r="AE49" s="66">
        <v>35.200000000000003</v>
      </c>
      <c r="AF49" s="66">
        <v>34.6</v>
      </c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22</v>
      </c>
      <c r="AQ49" s="68">
        <f t="shared" si="2"/>
        <v>35.018181818181816</v>
      </c>
      <c r="AR49" s="68">
        <f>IFERROR(VLOOKUP(A49,Climatologia_TMAX!A:U,9+$E$2,FALSE),"")</f>
        <v>32.8234456183622</v>
      </c>
      <c r="AS49" s="68">
        <f t="shared" si="3"/>
        <v>2.1947361998196158</v>
      </c>
      <c r="AT49" s="74">
        <f t="shared" si="4"/>
        <v>37.799999999999997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-1.8000000000000043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>
        <v>31.6</v>
      </c>
      <c r="N52" s="66">
        <v>31.4</v>
      </c>
      <c r="O52" s="66">
        <v>32</v>
      </c>
      <c r="P52" s="66">
        <v>32.200000000000003</v>
      </c>
      <c r="Q52" s="66">
        <v>33</v>
      </c>
      <c r="R52" s="66">
        <v>32.6</v>
      </c>
      <c r="S52" s="66">
        <v>31.4</v>
      </c>
      <c r="T52" s="66">
        <v>31.6</v>
      </c>
      <c r="U52" s="66">
        <v>32</v>
      </c>
      <c r="V52" s="66">
        <v>31.6</v>
      </c>
      <c r="W52" s="66">
        <v>31</v>
      </c>
      <c r="X52" s="66">
        <v>32.4</v>
      </c>
      <c r="Y52" s="66">
        <v>32.799999999999997</v>
      </c>
      <c r="Z52" s="66">
        <v>33.200000000000003</v>
      </c>
      <c r="AA52" s="66">
        <v>34</v>
      </c>
      <c r="AB52" s="66">
        <v>33</v>
      </c>
      <c r="AC52" s="66">
        <v>32.200000000000003</v>
      </c>
      <c r="AD52" s="66">
        <v>29</v>
      </c>
      <c r="AE52" s="66">
        <v>31.8</v>
      </c>
      <c r="AF52" s="66">
        <v>32.799999999999997</v>
      </c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21</v>
      </c>
      <c r="AQ52" s="68">
        <f t="shared" si="2"/>
        <v>32.114285714285714</v>
      </c>
      <c r="AR52" s="68">
        <f>IFERROR(VLOOKUP(A52,Climatologia_TMAX!A:U,9+$E$2,FALSE),"")</f>
        <v>31.351722385882571</v>
      </c>
      <c r="AS52" s="68">
        <f t="shared" si="3"/>
        <v>0.762563328403143</v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>
        <v>34.200000000000003</v>
      </c>
      <c r="N53" s="66">
        <v>32</v>
      </c>
      <c r="O53" s="66">
        <v>35.200000000000003</v>
      </c>
      <c r="P53" s="66">
        <v>35</v>
      </c>
      <c r="Q53" s="66">
        <v>35.200000000000003</v>
      </c>
      <c r="R53" s="66">
        <v>37</v>
      </c>
      <c r="S53" s="66">
        <v>30.2</v>
      </c>
      <c r="T53" s="66">
        <v>34</v>
      </c>
      <c r="U53" s="66">
        <v>36.200000000000003</v>
      </c>
      <c r="V53" s="66">
        <v>33.799999999999997</v>
      </c>
      <c r="W53" s="66">
        <v>32.799999999999997</v>
      </c>
      <c r="X53" s="66">
        <v>34.799999999999997</v>
      </c>
      <c r="Y53" s="66">
        <v>35.799999999999997</v>
      </c>
      <c r="Z53" s="66">
        <v>35.799999999999997</v>
      </c>
      <c r="AA53" s="66">
        <v>36.799999999999997</v>
      </c>
      <c r="AB53" s="66">
        <v>34.200000000000003</v>
      </c>
      <c r="AC53" s="66">
        <v>32.799999999999997</v>
      </c>
      <c r="AD53" s="66">
        <v>31.8</v>
      </c>
      <c r="AE53" s="66">
        <v>32.200000000000003</v>
      </c>
      <c r="AF53" s="66">
        <v>33.799999999999997</v>
      </c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22</v>
      </c>
      <c r="AQ53" s="68">
        <f t="shared" si="2"/>
        <v>34.218181818181812</v>
      </c>
      <c r="AR53" s="68">
        <f>IFERROR(VLOOKUP(A53,Climatologia_TMAX!A:U,9+$E$2,FALSE),"")</f>
        <v>32.406928995179832</v>
      </c>
      <c r="AS53" s="68">
        <f t="shared" si="3"/>
        <v>1.8112528230019791</v>
      </c>
      <c r="AT53" s="74">
        <f t="shared" si="4"/>
        <v>37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1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>
        <v>39</v>
      </c>
      <c r="R54" s="66">
        <v>40</v>
      </c>
      <c r="S54" s="66">
        <v>34</v>
      </c>
      <c r="T54" s="66">
        <v>38.4</v>
      </c>
      <c r="U54" s="66">
        <v>38.799999999999997</v>
      </c>
      <c r="V54" s="66">
        <v>36.6</v>
      </c>
      <c r="W54" s="66">
        <v>36</v>
      </c>
      <c r="X54" s="66">
        <v>38.4</v>
      </c>
      <c r="Y54" s="66">
        <v>40.4</v>
      </c>
      <c r="Z54" s="66">
        <v>40.6</v>
      </c>
      <c r="AA54" s="66">
        <v>41.6</v>
      </c>
      <c r="AB54" s="66">
        <v>39.4</v>
      </c>
      <c r="AC54" s="66">
        <v>35.799999999999997</v>
      </c>
      <c r="AD54" s="66"/>
      <c r="AE54" s="66"/>
      <c r="AF54" s="66">
        <v>35.799999999999997</v>
      </c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16</v>
      </c>
      <c r="AQ54" s="68">
        <f t="shared" si="2"/>
        <v>38.212499999999999</v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41.6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-0.39999999999999858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>
        <v>36</v>
      </c>
      <c r="N55" s="66">
        <v>32.6</v>
      </c>
      <c r="O55" s="66">
        <v>36.6</v>
      </c>
      <c r="P55" s="66">
        <v>36</v>
      </c>
      <c r="Q55" s="66">
        <v>37</v>
      </c>
      <c r="R55" s="66">
        <v>37.200000000000003</v>
      </c>
      <c r="S55" s="66">
        <v>30.7</v>
      </c>
      <c r="T55" s="66">
        <v>34.799999999999997</v>
      </c>
      <c r="U55" s="66">
        <v>34.799999999999997</v>
      </c>
      <c r="V55" s="66">
        <v>35</v>
      </c>
      <c r="W55" s="66">
        <v>34.4</v>
      </c>
      <c r="X55" s="66">
        <v>36.200000000000003</v>
      </c>
      <c r="Y55" s="66">
        <v>37.4</v>
      </c>
      <c r="Z55" s="66">
        <v>38</v>
      </c>
      <c r="AA55" s="66">
        <v>38.6</v>
      </c>
      <c r="AB55" s="66">
        <v>37.4</v>
      </c>
      <c r="AC55" s="66">
        <v>32</v>
      </c>
      <c r="AD55" s="66">
        <v>32</v>
      </c>
      <c r="AE55" s="66">
        <v>35.4</v>
      </c>
      <c r="AF55" s="66">
        <v>35.799999999999997</v>
      </c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22</v>
      </c>
      <c r="AQ55" s="68">
        <f t="shared" si="2"/>
        <v>35.604545454545452</v>
      </c>
      <c r="AR55" s="68">
        <f>IFERROR(VLOOKUP(A55,Climatologia_TMAX!A:U,9+$E$2,FALSE),"")</f>
        <v>33.028858295246998</v>
      </c>
      <c r="AS55" s="68">
        <f t="shared" si="3"/>
        <v>2.5756871592984538</v>
      </c>
      <c r="AT55" s="112">
        <f t="shared" si="4"/>
        <v>38.6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-0.39999999999999858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>
        <v>34.799999999999997</v>
      </c>
      <c r="N64" s="66">
        <v>32.799999999999997</v>
      </c>
      <c r="O64" s="66">
        <v>35.4</v>
      </c>
      <c r="P64" s="66">
        <v>36</v>
      </c>
      <c r="Q64" s="66">
        <v>35.799999999999997</v>
      </c>
      <c r="R64" s="66">
        <v>37.200000000000003</v>
      </c>
      <c r="S64" s="66">
        <v>31</v>
      </c>
      <c r="T64" s="66">
        <v>34.6</v>
      </c>
      <c r="U64" s="66">
        <v>34.799999999999997</v>
      </c>
      <c r="V64" s="66">
        <v>34.6</v>
      </c>
      <c r="W64" s="66">
        <v>33.6</v>
      </c>
      <c r="X64" s="66">
        <v>35.200000000000003</v>
      </c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14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37.200000000000003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0.20000000000000284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>
        <v>32.4</v>
      </c>
      <c r="N67" s="66">
        <v>32.5</v>
      </c>
      <c r="O67" s="66">
        <v>33.799999999999997</v>
      </c>
      <c r="P67" s="66">
        <v>32.4</v>
      </c>
      <c r="Q67" s="66">
        <v>34.4</v>
      </c>
      <c r="R67" s="66">
        <v>34.799999999999997</v>
      </c>
      <c r="S67" s="66">
        <v>35</v>
      </c>
      <c r="T67" s="66">
        <v>32.799999999999997</v>
      </c>
      <c r="U67" s="66">
        <v>33.200000000000003</v>
      </c>
      <c r="V67" s="66">
        <v>32.200000000000003</v>
      </c>
      <c r="W67" s="66">
        <v>32.6</v>
      </c>
      <c r="X67" s="66">
        <v>34.4</v>
      </c>
      <c r="Y67" s="114">
        <v>36.4</v>
      </c>
      <c r="Z67" s="66">
        <v>36.4</v>
      </c>
      <c r="AA67" s="66">
        <v>35.200000000000003</v>
      </c>
      <c r="AB67" s="66">
        <v>34.4</v>
      </c>
      <c r="AC67" s="66">
        <v>32</v>
      </c>
      <c r="AD67" s="66">
        <v>31.2</v>
      </c>
      <c r="AE67" s="66">
        <v>32.799999999999997</v>
      </c>
      <c r="AF67" s="66">
        <v>32.799999999999997</v>
      </c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22</v>
      </c>
      <c r="AQ67" s="68">
        <f t="shared" si="2"/>
        <v>33.586363636363636</v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36.4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1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>
        <v>34.4</v>
      </c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1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>
        <f t="shared" si="4"/>
        <v>34.4</v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>
        <f t="shared" si="5"/>
        <v>-4.2000000000000028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>
        <v>36</v>
      </c>
      <c r="N74" s="66">
        <v>36.200000000000003</v>
      </c>
      <c r="O74" s="66">
        <v>36.6</v>
      </c>
      <c r="P74" s="66">
        <v>36.799999999999997</v>
      </c>
      <c r="Q74" s="66">
        <v>36.200000000000003</v>
      </c>
      <c r="R74" s="66">
        <v>37.6</v>
      </c>
      <c r="S74" s="66">
        <v>36.200000000000003</v>
      </c>
      <c r="T74" s="66">
        <v>36.6</v>
      </c>
      <c r="U74" s="66">
        <v>36</v>
      </c>
      <c r="V74" s="66">
        <v>35.200000000000003</v>
      </c>
      <c r="W74" s="66">
        <v>35.6</v>
      </c>
      <c r="X74" s="66">
        <v>36.6</v>
      </c>
      <c r="Y74" s="66">
        <v>36.200000000000003</v>
      </c>
      <c r="Z74" s="66">
        <v>36</v>
      </c>
      <c r="AA74" s="66">
        <v>36</v>
      </c>
      <c r="AB74" s="66">
        <v>36.799999999999997</v>
      </c>
      <c r="AC74" s="66">
        <v>35.6</v>
      </c>
      <c r="AD74" s="66">
        <v>35.799999999999997</v>
      </c>
      <c r="AE74" s="66">
        <v>34.200000000000003</v>
      </c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21</v>
      </c>
      <c r="AQ74" s="68">
        <f t="shared" si="7"/>
        <v>36.147619047619045</v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37.6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-1.6000000000000014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>
        <v>35.4</v>
      </c>
      <c r="N76" s="66">
        <v>30.6</v>
      </c>
      <c r="O76" s="66">
        <v>35.200000000000003</v>
      </c>
      <c r="P76" s="66">
        <v>36</v>
      </c>
      <c r="Q76" s="66">
        <v>36.6</v>
      </c>
      <c r="R76" s="66">
        <v>37.4</v>
      </c>
      <c r="S76" s="66">
        <v>30.2</v>
      </c>
      <c r="T76" s="66">
        <v>34.6</v>
      </c>
      <c r="U76" s="66">
        <v>34.799999999999997</v>
      </c>
      <c r="V76" s="66">
        <v>33.4</v>
      </c>
      <c r="W76" s="66">
        <v>33.799999999999997</v>
      </c>
      <c r="X76" s="66">
        <v>35.6</v>
      </c>
      <c r="Y76" s="66">
        <v>36.200000000000003</v>
      </c>
      <c r="Z76" s="66">
        <v>36.4</v>
      </c>
      <c r="AA76" s="66">
        <v>37.4</v>
      </c>
      <c r="AB76" s="66">
        <v>35.200000000000003</v>
      </c>
      <c r="AC76" s="66">
        <v>32.799999999999997</v>
      </c>
      <c r="AD76" s="66">
        <v>30.4</v>
      </c>
      <c r="AE76" s="66">
        <v>33.4</v>
      </c>
      <c r="AF76" s="66">
        <v>34.200000000000003</v>
      </c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22</v>
      </c>
      <c r="AQ76" s="68">
        <f t="shared" si="7"/>
        <v>34.654545454545456</v>
      </c>
      <c r="AR76" s="68">
        <f>IFERROR(VLOOKUP(A76,Climatologia_TMAX!A:U,9+$E$2,FALSE),"")</f>
        <v>32.188624146173737</v>
      </c>
      <c r="AS76" s="68">
        <f t="shared" si="8"/>
        <v>2.4659213083717191</v>
      </c>
      <c r="AT76" s="74">
        <f t="shared" si="9"/>
        <v>37.4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>
        <v>25.8</v>
      </c>
      <c r="R77" s="66">
        <v>28.8</v>
      </c>
      <c r="S77" s="66">
        <v>28.4</v>
      </c>
      <c r="T77" s="66"/>
      <c r="U77" s="66">
        <v>32.4</v>
      </c>
      <c r="V77" s="66">
        <v>32.200000000000003</v>
      </c>
      <c r="W77" s="66">
        <v>31.8</v>
      </c>
      <c r="X77" s="66">
        <v>31</v>
      </c>
      <c r="Y77" s="66">
        <v>30.4</v>
      </c>
      <c r="Z77" s="66">
        <v>33.200000000000003</v>
      </c>
      <c r="AA77" s="66">
        <v>32.200000000000003</v>
      </c>
      <c r="AB77" s="66">
        <v>30.8</v>
      </c>
      <c r="AC77" s="66">
        <v>28.4</v>
      </c>
      <c r="AD77" s="66">
        <v>32</v>
      </c>
      <c r="AE77" s="66">
        <v>31.8</v>
      </c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14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>
        <f t="shared" si="9"/>
        <v>33.200000000000003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>
        <f t="shared" si="10"/>
        <v>-1.3999999999999986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>
        <v>30.6</v>
      </c>
      <c r="N79" s="66">
        <v>31.2</v>
      </c>
      <c r="O79" s="66">
        <v>28.6</v>
      </c>
      <c r="P79" s="66">
        <v>31</v>
      </c>
      <c r="Q79" s="66">
        <v>31.2</v>
      </c>
      <c r="R79" s="66">
        <v>28</v>
      </c>
      <c r="S79" s="66">
        <v>28.6</v>
      </c>
      <c r="T79" s="66">
        <v>31.2</v>
      </c>
      <c r="U79" s="66">
        <v>31.6</v>
      </c>
      <c r="V79" s="66">
        <v>31.6</v>
      </c>
      <c r="W79" s="66">
        <v>31.6</v>
      </c>
      <c r="X79" s="66">
        <v>31.6</v>
      </c>
      <c r="Y79" s="66">
        <v>31.4</v>
      </c>
      <c r="Z79" s="66">
        <v>31.6</v>
      </c>
      <c r="AA79" s="66">
        <v>31.2</v>
      </c>
      <c r="AB79" s="66">
        <v>30.2</v>
      </c>
      <c r="AC79" s="66">
        <v>28</v>
      </c>
      <c r="AD79" s="66">
        <v>31.4</v>
      </c>
      <c r="AE79" s="66">
        <v>31.8</v>
      </c>
      <c r="AF79" s="66">
        <v>31.2</v>
      </c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22</v>
      </c>
      <c r="AQ79" s="68">
        <f t="shared" si="7"/>
        <v>30.590909090909097</v>
      </c>
      <c r="AR79" s="68">
        <f>IFERROR(VLOOKUP(A79,Climatologia_TMAX!A:U,9+$E$2,FALSE),"")</f>
        <v>29.544674995207899</v>
      </c>
      <c r="AS79" s="68">
        <f t="shared" si="8"/>
        <v>1.0462340957011982</v>
      </c>
      <c r="AT79" s="74">
        <f t="shared" si="9"/>
        <v>31.8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-3.8000000000000007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>
        <v>29.2</v>
      </c>
      <c r="N80" s="66"/>
      <c r="O80" s="66"/>
      <c r="P80" s="66">
        <v>31.2</v>
      </c>
      <c r="Q80" s="66">
        <v>30.2</v>
      </c>
      <c r="R80" s="66">
        <v>31</v>
      </c>
      <c r="S80" s="66">
        <v>27.2</v>
      </c>
      <c r="T80" s="66">
        <v>32</v>
      </c>
      <c r="U80" s="66">
        <v>31.8</v>
      </c>
      <c r="V80" s="66"/>
      <c r="W80" s="66"/>
      <c r="X80" s="66">
        <v>29.8</v>
      </c>
      <c r="Y80" s="66">
        <v>30</v>
      </c>
      <c r="Z80" s="66">
        <v>32</v>
      </c>
      <c r="AA80" s="66">
        <v>33</v>
      </c>
      <c r="AB80" s="66"/>
      <c r="AC80" s="66"/>
      <c r="AD80" s="66"/>
      <c r="AE80" s="66">
        <v>31.4</v>
      </c>
      <c r="AF80" s="66">
        <v>30.6</v>
      </c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15</v>
      </c>
      <c r="AQ80" s="68">
        <f t="shared" si="7"/>
        <v>30.36</v>
      </c>
      <c r="AR80" s="68">
        <f>IFERROR(VLOOKUP(A80,Climatologia_TMAX!A:U,9+$E$2,FALSE),"")</f>
        <v>29.810195727942482</v>
      </c>
      <c r="AS80" s="68">
        <f t="shared" si="8"/>
        <v>0.54980427205751781</v>
      </c>
      <c r="AT80" s="74">
        <f t="shared" si="9"/>
        <v>33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>
        <v>28.6</v>
      </c>
      <c r="N81" s="66">
        <v>27.8</v>
      </c>
      <c r="O81" s="66">
        <v>27.2</v>
      </c>
      <c r="P81" s="66">
        <v>30.6</v>
      </c>
      <c r="Q81" s="66">
        <v>27.8</v>
      </c>
      <c r="R81" s="66">
        <v>30.6</v>
      </c>
      <c r="S81" s="66">
        <v>27.8</v>
      </c>
      <c r="T81" s="66">
        <v>31</v>
      </c>
      <c r="U81" s="66">
        <v>32</v>
      </c>
      <c r="V81" s="66">
        <v>30.4</v>
      </c>
      <c r="W81" s="66">
        <v>32</v>
      </c>
      <c r="X81" s="66">
        <v>31</v>
      </c>
      <c r="Y81" s="66">
        <v>30.4</v>
      </c>
      <c r="Z81" s="66">
        <v>32</v>
      </c>
      <c r="AA81" s="66">
        <v>33</v>
      </c>
      <c r="AB81" s="66">
        <v>28.6</v>
      </c>
      <c r="AC81" s="66">
        <v>28.6</v>
      </c>
      <c r="AD81" s="66">
        <v>31.8</v>
      </c>
      <c r="AE81" s="66">
        <v>32.6</v>
      </c>
      <c r="AF81" s="66">
        <v>31.2</v>
      </c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22</v>
      </c>
      <c r="AQ81" s="68">
        <f t="shared" si="7"/>
        <v>30.218181818181815</v>
      </c>
      <c r="AR81" s="68">
        <f>IFERROR(VLOOKUP(A81,Climatologia_TMAX!A:U,9+$E$2,FALSE),"")</f>
        <v>29.131406078560449</v>
      </c>
      <c r="AS81" s="68">
        <f t="shared" si="8"/>
        <v>1.0867757396213662</v>
      </c>
      <c r="AT81" s="74">
        <f t="shared" si="9"/>
        <v>33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-1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>
        <v>29.1</v>
      </c>
      <c r="N83" s="66"/>
      <c r="O83" s="66"/>
      <c r="P83" s="66">
        <v>31</v>
      </c>
      <c r="Q83" s="66">
        <v>31</v>
      </c>
      <c r="R83" s="66">
        <v>32</v>
      </c>
      <c r="S83" s="66">
        <v>26</v>
      </c>
      <c r="T83" s="66">
        <v>32.299999999999997</v>
      </c>
      <c r="U83" s="66">
        <v>31.3</v>
      </c>
      <c r="V83" s="66">
        <v>31.3</v>
      </c>
      <c r="W83" s="66">
        <v>31.8</v>
      </c>
      <c r="X83" s="66">
        <v>30.4</v>
      </c>
      <c r="Y83" s="66">
        <v>29.6</v>
      </c>
      <c r="Z83" s="66">
        <v>32.200000000000003</v>
      </c>
      <c r="AA83" s="66">
        <v>33</v>
      </c>
      <c r="AB83" s="66">
        <v>27.6</v>
      </c>
      <c r="AC83" s="66">
        <v>29.8</v>
      </c>
      <c r="AD83" s="66">
        <v>32</v>
      </c>
      <c r="AE83" s="66">
        <v>30.4</v>
      </c>
      <c r="AF83" s="66">
        <v>32</v>
      </c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20</v>
      </c>
      <c r="AQ83" s="68">
        <f t="shared" si="7"/>
        <v>30.439999999999998</v>
      </c>
      <c r="AR83" s="68">
        <f>IFERROR(VLOOKUP(A83,Climatologia_TMAX!A:U,9+$E$2,FALSE),"")</f>
        <v>29.283968683114491</v>
      </c>
      <c r="AS83" s="68">
        <f t="shared" si="8"/>
        <v>1.1560313168855068</v>
      </c>
      <c r="AT83" s="74">
        <f t="shared" si="9"/>
        <v>33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>
        <v>29</v>
      </c>
      <c r="N85" s="66">
        <v>28.8</v>
      </c>
      <c r="O85" s="66">
        <v>29.4</v>
      </c>
      <c r="P85" s="66">
        <v>30.2</v>
      </c>
      <c r="Q85" s="66">
        <v>29</v>
      </c>
      <c r="R85" s="66">
        <v>30.6</v>
      </c>
      <c r="S85" s="66">
        <v>28</v>
      </c>
      <c r="T85" s="66">
        <v>30.4</v>
      </c>
      <c r="U85" s="66">
        <v>31</v>
      </c>
      <c r="V85" s="66">
        <v>30.6</v>
      </c>
      <c r="W85" s="66">
        <v>31.8</v>
      </c>
      <c r="X85" s="66">
        <v>31</v>
      </c>
      <c r="Y85" s="66">
        <v>30.8</v>
      </c>
      <c r="Z85" s="66">
        <v>31.2</v>
      </c>
      <c r="AA85" s="66">
        <v>32.200000000000003</v>
      </c>
      <c r="AB85" s="66">
        <v>29.6</v>
      </c>
      <c r="AC85" s="66">
        <v>29.4</v>
      </c>
      <c r="AD85" s="66">
        <v>30.8</v>
      </c>
      <c r="AE85" s="66">
        <v>31.4</v>
      </c>
      <c r="AF85" s="66">
        <v>31</v>
      </c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22</v>
      </c>
      <c r="AQ85" s="68">
        <f t="shared" si="7"/>
        <v>30.099999999999998</v>
      </c>
      <c r="AR85" s="68">
        <f>IFERROR(VLOOKUP(A85,Climatologia_TMAX!A:U,9+$E$2,FALSE),"")</f>
        <v>29.391449466603099</v>
      </c>
      <c r="AS85" s="68">
        <f t="shared" si="8"/>
        <v>0.70855053339689889</v>
      </c>
      <c r="AT85" s="74">
        <f t="shared" si="9"/>
        <v>32.200000000000003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-2.5999999999999943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>
        <v>30.2</v>
      </c>
      <c r="N86" s="66">
        <v>29.4</v>
      </c>
      <c r="O86" s="66">
        <v>29.6</v>
      </c>
      <c r="P86" s="66">
        <v>31.4</v>
      </c>
      <c r="Q86" s="66">
        <v>31</v>
      </c>
      <c r="R86" s="66">
        <v>29.8</v>
      </c>
      <c r="S86" s="66">
        <v>27.2</v>
      </c>
      <c r="T86" s="66">
        <v>31.2</v>
      </c>
      <c r="U86" s="66">
        <v>30.4</v>
      </c>
      <c r="V86" s="66">
        <v>30</v>
      </c>
      <c r="W86" s="66">
        <v>31.2</v>
      </c>
      <c r="X86" s="66">
        <v>30.8</v>
      </c>
      <c r="Y86" s="66">
        <v>31.4</v>
      </c>
      <c r="Z86" s="66">
        <v>31</v>
      </c>
      <c r="AA86" s="66">
        <v>29.4</v>
      </c>
      <c r="AB86" s="66">
        <v>29.6</v>
      </c>
      <c r="AC86" s="66">
        <v>30.6</v>
      </c>
      <c r="AD86" s="66">
        <v>32.6</v>
      </c>
      <c r="AE86" s="66">
        <v>31.8</v>
      </c>
      <c r="AF86" s="66">
        <v>30</v>
      </c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22</v>
      </c>
      <c r="AQ86" s="68">
        <f t="shared" si="7"/>
        <v>30.172727272727272</v>
      </c>
      <c r="AR86" s="68">
        <f>IFERROR(VLOOKUP(A86,Climatologia_TMAX!A:U,9+$E$2,FALSE),"")</f>
        <v>29.45927642223533</v>
      </c>
      <c r="AS86" s="68">
        <f t="shared" si="8"/>
        <v>0.71345085049194168</v>
      </c>
      <c r="AT86" s="74">
        <f t="shared" si="9"/>
        <v>32.6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-0.60000000000000142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>
        <v>29.6</v>
      </c>
      <c r="N87" s="66">
        <v>26.2</v>
      </c>
      <c r="O87" s="66">
        <v>29</v>
      </c>
      <c r="P87" s="66">
        <v>30.8</v>
      </c>
      <c r="Q87" s="66">
        <v>28.8</v>
      </c>
      <c r="R87" s="66">
        <v>30.8</v>
      </c>
      <c r="S87" s="66">
        <v>28.4</v>
      </c>
      <c r="T87" s="66">
        <v>32</v>
      </c>
      <c r="U87" s="66">
        <v>31</v>
      </c>
      <c r="V87" s="66">
        <v>30.6</v>
      </c>
      <c r="W87" s="66">
        <v>31.6</v>
      </c>
      <c r="X87" s="66">
        <v>32.799999999999997</v>
      </c>
      <c r="Y87" s="66">
        <v>31.6</v>
      </c>
      <c r="Z87" s="66">
        <v>32.799999999999997</v>
      </c>
      <c r="AA87" s="66">
        <v>32.799999999999997</v>
      </c>
      <c r="AB87" s="66">
        <v>29.8</v>
      </c>
      <c r="AC87" s="66">
        <v>27.2</v>
      </c>
      <c r="AD87" s="66">
        <v>31.6</v>
      </c>
      <c r="AE87" s="66">
        <v>31.6</v>
      </c>
      <c r="AF87" s="66">
        <v>30.4</v>
      </c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22</v>
      </c>
      <c r="AQ87" s="68">
        <f t="shared" si="7"/>
        <v>30.372727272727278</v>
      </c>
      <c r="AR87" s="68">
        <f>IFERROR(VLOOKUP(A87,Climatologia_TMAX!A:U,9+$E$2,FALSE),"")</f>
        <v>29.54581639287883</v>
      </c>
      <c r="AS87" s="68">
        <f t="shared" si="8"/>
        <v>0.82691087984844813</v>
      </c>
      <c r="AT87" s="74">
        <f t="shared" si="9"/>
        <v>32.799999999999997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-1.4000000000000057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>
        <v>33.4</v>
      </c>
      <c r="N90" s="66">
        <v>29.4</v>
      </c>
      <c r="O90" s="66">
        <v>30.4</v>
      </c>
      <c r="P90" s="66">
        <v>30.4</v>
      </c>
      <c r="Q90" s="66">
        <v>31.4</v>
      </c>
      <c r="R90" s="66">
        <v>30.4</v>
      </c>
      <c r="S90" s="66">
        <v>31</v>
      </c>
      <c r="T90" s="66">
        <v>31</v>
      </c>
      <c r="U90" s="66">
        <v>32.299999999999997</v>
      </c>
      <c r="V90" s="66">
        <v>31.3</v>
      </c>
      <c r="W90" s="66">
        <v>31.3</v>
      </c>
      <c r="X90" s="66">
        <v>31.2</v>
      </c>
      <c r="Y90" s="66">
        <v>31.2</v>
      </c>
      <c r="Z90" s="66">
        <v>31.2</v>
      </c>
      <c r="AA90" s="66">
        <v>31.4</v>
      </c>
      <c r="AB90" s="66">
        <v>31.1</v>
      </c>
      <c r="AC90" s="66">
        <v>30.3</v>
      </c>
      <c r="AD90" s="66">
        <v>31.4</v>
      </c>
      <c r="AE90" s="66">
        <v>30.4</v>
      </c>
      <c r="AF90" s="109">
        <v>31.2</v>
      </c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22</v>
      </c>
      <c r="AQ90" s="68">
        <f t="shared" si="7"/>
        <v>31.195454545454542</v>
      </c>
      <c r="AR90" s="68">
        <f>IFERROR(VLOOKUP(A90,Climatologia_TMAX!A:U,9+$E$2,FALSE),"")</f>
        <v>29.043187205360461</v>
      </c>
      <c r="AS90" s="68">
        <f t="shared" si="8"/>
        <v>2.152267340094081</v>
      </c>
      <c r="AT90" s="74">
        <f t="shared" si="9"/>
        <v>33.4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-0.20000000000000284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>
        <v>30.2</v>
      </c>
      <c r="N91" s="66">
        <v>25</v>
      </c>
      <c r="O91" s="66">
        <v>28</v>
      </c>
      <c r="P91" s="66">
        <v>32.200000000000003</v>
      </c>
      <c r="Q91" s="66">
        <v>27</v>
      </c>
      <c r="R91" s="66">
        <v>32.4</v>
      </c>
      <c r="S91" s="66">
        <v>27.1</v>
      </c>
      <c r="T91" s="66">
        <v>32.1</v>
      </c>
      <c r="U91" s="66">
        <v>31.2</v>
      </c>
      <c r="V91" s="66">
        <v>30.3</v>
      </c>
      <c r="W91" s="66">
        <v>31.3</v>
      </c>
      <c r="X91" s="66">
        <v>32.4</v>
      </c>
      <c r="Y91" s="66">
        <v>32.1</v>
      </c>
      <c r="Z91" s="107">
        <v>32.299999999999997</v>
      </c>
      <c r="AA91" s="66">
        <v>32.4</v>
      </c>
      <c r="AB91" s="66">
        <v>30.1</v>
      </c>
      <c r="AC91" s="66">
        <v>29.2</v>
      </c>
      <c r="AD91" s="66">
        <v>30.3</v>
      </c>
      <c r="AE91" s="66">
        <v>31.3</v>
      </c>
      <c r="AF91" s="66">
        <v>32</v>
      </c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22</v>
      </c>
      <c r="AQ91" s="68">
        <f t="shared" si="7"/>
        <v>30.418181818181822</v>
      </c>
      <c r="AR91" s="68">
        <f>IFERROR(VLOOKUP(A91,Climatologia_TMAX!A:U,9+$E$2,FALSE),"")</f>
        <v>30.168933517456878</v>
      </c>
      <c r="AS91" s="68">
        <f t="shared" si="8"/>
        <v>0.24924830072494331</v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>
        <v>29.8</v>
      </c>
      <c r="N92" s="66"/>
      <c r="O92" s="66">
        <v>29.2</v>
      </c>
      <c r="P92" s="66">
        <v>31.8</v>
      </c>
      <c r="Q92" s="66">
        <v>29.6</v>
      </c>
      <c r="R92" s="66">
        <v>31</v>
      </c>
      <c r="S92" s="66">
        <v>32.799999999999997</v>
      </c>
      <c r="T92" s="66">
        <v>31.2</v>
      </c>
      <c r="U92" s="66">
        <v>31.4</v>
      </c>
      <c r="V92" s="66"/>
      <c r="W92" s="66"/>
      <c r="X92" s="66">
        <v>30</v>
      </c>
      <c r="Y92" s="66">
        <v>30.6</v>
      </c>
      <c r="Z92" s="66">
        <v>30.8</v>
      </c>
      <c r="AA92" s="66">
        <v>32.200000000000003</v>
      </c>
      <c r="AB92" s="66"/>
      <c r="AC92" s="66"/>
      <c r="AD92" s="66">
        <v>30.8</v>
      </c>
      <c r="AE92" s="66">
        <v>32.200000000000003</v>
      </c>
      <c r="AF92" s="66">
        <v>32.200000000000003</v>
      </c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17</v>
      </c>
      <c r="AQ92" s="68">
        <f t="shared" si="7"/>
        <v>30.788235294117644</v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32.799999999999997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-0.60000000000000142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>
        <v>30.2</v>
      </c>
      <c r="N94" s="66">
        <v>28</v>
      </c>
      <c r="O94" s="66">
        <v>26.4</v>
      </c>
      <c r="P94" s="66">
        <v>31.8</v>
      </c>
      <c r="Q94" s="66">
        <v>32</v>
      </c>
      <c r="R94" s="66">
        <v>30.4</v>
      </c>
      <c r="S94" s="66">
        <v>31.4</v>
      </c>
      <c r="T94" s="66">
        <v>30.8</v>
      </c>
      <c r="U94" s="66">
        <v>31.4</v>
      </c>
      <c r="V94" s="66">
        <v>31</v>
      </c>
      <c r="W94" s="66">
        <v>31.2</v>
      </c>
      <c r="X94" s="66">
        <v>32</v>
      </c>
      <c r="Y94" s="66">
        <v>31.6</v>
      </c>
      <c r="Z94" s="66">
        <v>33.200000000000003</v>
      </c>
      <c r="AA94" s="66">
        <v>32.4</v>
      </c>
      <c r="AB94" s="66">
        <v>31.2</v>
      </c>
      <c r="AC94" s="66">
        <v>26.6</v>
      </c>
      <c r="AD94" s="66">
        <v>32.200000000000003</v>
      </c>
      <c r="AE94" s="66">
        <v>33</v>
      </c>
      <c r="AF94" s="66">
        <v>31.2</v>
      </c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22</v>
      </c>
      <c r="AQ94" s="68">
        <f t="shared" si="7"/>
        <v>30.963636363636372</v>
      </c>
      <c r="AR94" s="68">
        <f>IFERROR(VLOOKUP(A94,Climatologia_TMAX!A:U,9+$E$2,FALSE),"")</f>
        <v>30.061061827956991</v>
      </c>
      <c r="AS94" s="68">
        <f t="shared" si="8"/>
        <v>0.90257453567938128</v>
      </c>
      <c r="AT94" s="74">
        <f t="shared" si="9"/>
        <v>33.200000000000003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-1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>
        <v>24.4</v>
      </c>
      <c r="N99" s="66">
        <v>25</v>
      </c>
      <c r="O99" s="66">
        <v>24</v>
      </c>
      <c r="P99" s="66">
        <v>27.2</v>
      </c>
      <c r="Q99" s="66">
        <v>25</v>
      </c>
      <c r="R99" s="66">
        <v>22.2</v>
      </c>
      <c r="S99" s="66">
        <v>23</v>
      </c>
      <c r="T99" s="66">
        <v>25</v>
      </c>
      <c r="U99" s="109">
        <v>26</v>
      </c>
      <c r="V99" s="66">
        <v>23.2</v>
      </c>
      <c r="W99" s="66">
        <v>24</v>
      </c>
      <c r="X99" s="66">
        <v>22</v>
      </c>
      <c r="Y99" s="66">
        <v>26.2</v>
      </c>
      <c r="Z99" s="66">
        <v>26.4</v>
      </c>
      <c r="AA99" s="66">
        <v>28.4</v>
      </c>
      <c r="AB99" s="66">
        <v>23.4</v>
      </c>
      <c r="AC99" s="66">
        <v>22</v>
      </c>
      <c r="AD99" s="66">
        <v>26</v>
      </c>
      <c r="AE99" s="66">
        <v>27.4</v>
      </c>
      <c r="AF99" s="66">
        <v>30</v>
      </c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22</v>
      </c>
      <c r="AQ99" s="68">
        <f t="shared" si="7"/>
        <v>24.909090909090903</v>
      </c>
      <c r="AR99" s="68">
        <f>IFERROR(VLOOKUP(A99,Climatologia_TMAX!A:U,9+$E$2,FALSE),"")</f>
        <v>24.239088972462049</v>
      </c>
      <c r="AS99" s="68">
        <f t="shared" si="8"/>
        <v>0.67000193662885366</v>
      </c>
      <c r="AT99" s="74">
        <f t="shared" si="9"/>
        <v>30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0.80000000000000071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>
        <v>34.4</v>
      </c>
      <c r="N100" s="66">
        <v>36.200000000000003</v>
      </c>
      <c r="O100" s="66">
        <v>39</v>
      </c>
      <c r="P100" s="66">
        <v>39.6</v>
      </c>
      <c r="Q100" s="66">
        <v>39.4</v>
      </c>
      <c r="R100" s="66">
        <v>36.799999999999997</v>
      </c>
      <c r="S100" s="66">
        <v>36.799999999999997</v>
      </c>
      <c r="T100" s="66">
        <v>37</v>
      </c>
      <c r="U100" s="66">
        <v>40.200000000000003</v>
      </c>
      <c r="V100" s="66">
        <v>34.200000000000003</v>
      </c>
      <c r="W100" s="66">
        <v>39.799999999999997</v>
      </c>
      <c r="X100" s="66">
        <v>35.4</v>
      </c>
      <c r="Y100" s="66">
        <v>38.799999999999997</v>
      </c>
      <c r="Z100" s="107">
        <v>38</v>
      </c>
      <c r="AA100" s="66">
        <v>38</v>
      </c>
      <c r="AB100" s="66">
        <v>33.799999999999997</v>
      </c>
      <c r="AC100" s="66">
        <v>36.799999999999997</v>
      </c>
      <c r="AD100" s="66">
        <v>39.4</v>
      </c>
      <c r="AE100" s="66">
        <v>39.4</v>
      </c>
      <c r="AF100" s="109">
        <v>40</v>
      </c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22</v>
      </c>
      <c r="AQ100" s="68">
        <f t="shared" si="7"/>
        <v>37.427272727272722</v>
      </c>
      <c r="AR100" s="68">
        <f>IFERROR(VLOOKUP(A100,Climatologia_TMAX!A:U,9+$E$2,FALSE),"")</f>
        <v>35.854842588404878</v>
      </c>
      <c r="AS100" s="68">
        <f t="shared" si="8"/>
        <v>1.5724301388678441</v>
      </c>
      <c r="AT100" s="74">
        <f t="shared" si="9"/>
        <v>40.200000000000003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-1.1999999999999957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>
        <v>25.8</v>
      </c>
      <c r="N102" s="66">
        <v>26.2</v>
      </c>
      <c r="O102" s="66">
        <v>29.6</v>
      </c>
      <c r="P102" s="66">
        <v>31.2</v>
      </c>
      <c r="Q102" s="66">
        <v>29.8</v>
      </c>
      <c r="R102" s="66">
        <v>29.4</v>
      </c>
      <c r="S102" s="66">
        <v>26.6</v>
      </c>
      <c r="T102" s="66">
        <v>28.6</v>
      </c>
      <c r="U102" s="66">
        <v>29.8</v>
      </c>
      <c r="V102" s="66">
        <v>26.8</v>
      </c>
      <c r="W102" s="66">
        <v>29.6</v>
      </c>
      <c r="X102" s="66">
        <v>27.2</v>
      </c>
      <c r="Y102" s="66">
        <v>30.6</v>
      </c>
      <c r="Z102" s="66">
        <v>29.4</v>
      </c>
      <c r="AA102" s="66">
        <v>29</v>
      </c>
      <c r="AB102" s="66">
        <v>25.4</v>
      </c>
      <c r="AC102" s="66">
        <v>26.2</v>
      </c>
      <c r="AD102" s="66">
        <v>30</v>
      </c>
      <c r="AE102" s="66">
        <v>30.2</v>
      </c>
      <c r="AF102" s="66">
        <v>29.6</v>
      </c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22</v>
      </c>
      <c r="AQ102" s="68">
        <f t="shared" si="7"/>
        <v>28.490909090909096</v>
      </c>
      <c r="AR102" s="68">
        <f>IFERROR(VLOOKUP(A102,Climatologia_TMAX!A:U,9+$E$2,FALSE),"")</f>
        <v>27.486459028550239</v>
      </c>
      <c r="AS102" s="68">
        <f t="shared" si="8"/>
        <v>1.0044500623588561</v>
      </c>
      <c r="AT102" s="74">
        <f t="shared" si="9"/>
        <v>31.2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-2.1999999999999993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>
        <v>36.6</v>
      </c>
      <c r="N104" s="66">
        <v>35.799999999999997</v>
      </c>
      <c r="O104" s="66">
        <v>37.6</v>
      </c>
      <c r="P104" s="66">
        <v>39.4</v>
      </c>
      <c r="Q104" s="66">
        <v>39.6</v>
      </c>
      <c r="R104" s="66">
        <v>38.4</v>
      </c>
      <c r="S104" s="66">
        <v>36</v>
      </c>
      <c r="T104" s="66">
        <v>37.799999999999997</v>
      </c>
      <c r="U104" s="66"/>
      <c r="V104" s="66">
        <v>37.200000000000003</v>
      </c>
      <c r="W104" s="66">
        <v>37.4</v>
      </c>
      <c r="X104" s="66">
        <v>35.200000000000003</v>
      </c>
      <c r="Y104" s="66">
        <v>37.200000000000003</v>
      </c>
      <c r="Z104" s="66">
        <v>37.6</v>
      </c>
      <c r="AA104" s="66">
        <v>38.4</v>
      </c>
      <c r="AB104" s="66">
        <v>32.200000000000003</v>
      </c>
      <c r="AC104" s="66">
        <v>36</v>
      </c>
      <c r="AD104" s="66">
        <v>37.4</v>
      </c>
      <c r="AE104" s="66">
        <v>37.799999999999997</v>
      </c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19</v>
      </c>
      <c r="AQ104" s="68">
        <f t="shared" si="7"/>
        <v>36.999999999999993</v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-2.3999999999999986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>
        <v>28.2</v>
      </c>
      <c r="N105" s="66">
        <v>26.6</v>
      </c>
      <c r="O105" s="66">
        <v>28.8</v>
      </c>
      <c r="P105" s="66">
        <v>29.8</v>
      </c>
      <c r="Q105" s="66">
        <v>25.6</v>
      </c>
      <c r="R105" s="66">
        <v>24.2</v>
      </c>
      <c r="S105" s="66">
        <v>25.8</v>
      </c>
      <c r="T105" s="66">
        <v>30.2</v>
      </c>
      <c r="U105" s="66">
        <v>30</v>
      </c>
      <c r="V105" s="66">
        <v>28.8</v>
      </c>
      <c r="W105" s="66">
        <v>26.4</v>
      </c>
      <c r="X105" s="66">
        <v>27</v>
      </c>
      <c r="Y105" s="66">
        <v>29.6</v>
      </c>
      <c r="Z105" s="66">
        <v>26.6</v>
      </c>
      <c r="AA105" s="66">
        <v>31</v>
      </c>
      <c r="AB105" s="66">
        <v>26.6</v>
      </c>
      <c r="AC105" s="66">
        <v>33.4</v>
      </c>
      <c r="AD105" s="66">
        <v>33</v>
      </c>
      <c r="AE105" s="66">
        <v>32.200000000000003</v>
      </c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21</v>
      </c>
      <c r="AQ105" s="68">
        <f t="shared" si="7"/>
        <v>28.533333333333342</v>
      </c>
      <c r="AR105" s="68">
        <f>IFERROR(VLOOKUP(A105,Climatologia_TMAX!A:U,9+$E$2,FALSE),"")</f>
        <v>28.80830593663741</v>
      </c>
      <c r="AS105" s="68">
        <f t="shared" si="8"/>
        <v>-0.27497260330406803</v>
      </c>
      <c r="AT105" s="74">
        <f t="shared" si="9"/>
        <v>33.4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-1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26.4</v>
      </c>
      <c r="L106" s="66">
        <v>23.4</v>
      </c>
      <c r="M106" s="66">
        <v>23.4</v>
      </c>
      <c r="N106" s="66">
        <v>24.2</v>
      </c>
      <c r="O106" s="66">
        <v>25</v>
      </c>
      <c r="P106" s="66">
        <v>25</v>
      </c>
      <c r="Q106" s="66">
        <v>25.6</v>
      </c>
      <c r="R106" s="66">
        <v>25.8</v>
      </c>
      <c r="S106" s="66">
        <v>25</v>
      </c>
      <c r="T106" s="66">
        <v>25.6</v>
      </c>
      <c r="U106" s="66">
        <v>26.8</v>
      </c>
      <c r="V106" s="66">
        <v>24.4</v>
      </c>
      <c r="W106" s="66">
        <v>27.2</v>
      </c>
      <c r="X106" s="66">
        <v>24.8</v>
      </c>
      <c r="Y106" s="66">
        <v>26.8</v>
      </c>
      <c r="Z106" s="66">
        <v>26.4</v>
      </c>
      <c r="AA106" s="66">
        <v>25.4</v>
      </c>
      <c r="AB106" s="66">
        <v>24.2</v>
      </c>
      <c r="AC106" s="66">
        <v>24</v>
      </c>
      <c r="AD106" s="66">
        <v>25.4</v>
      </c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20</v>
      </c>
      <c r="AQ106" s="68">
        <f t="shared" si="7"/>
        <v>25.239999999999995</v>
      </c>
      <c r="AR106" s="68">
        <f>IFERROR(VLOOKUP(A106,Climatologia_TMAX!A:U,9+$E$2,FALSE),"")</f>
        <v>24.258263255469039</v>
      </c>
      <c r="AS106" s="68">
        <f t="shared" si="8"/>
        <v>0.98173674453095572</v>
      </c>
      <c r="AT106" s="74">
        <f t="shared" si="9"/>
        <v>27.2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>
        <v>29.2</v>
      </c>
      <c r="N108" s="66">
        <v>28.6</v>
      </c>
      <c r="O108" s="66">
        <v>29.4</v>
      </c>
      <c r="P108" s="66">
        <v>31.8</v>
      </c>
      <c r="Q108" s="66">
        <v>27.8</v>
      </c>
      <c r="R108" s="66">
        <v>25.8</v>
      </c>
      <c r="S108" s="66">
        <v>26.6</v>
      </c>
      <c r="T108" s="66">
        <v>31.4</v>
      </c>
      <c r="U108" s="66">
        <v>28.4</v>
      </c>
      <c r="V108" s="66">
        <v>30.4</v>
      </c>
      <c r="W108" s="66">
        <v>28</v>
      </c>
      <c r="X108" s="66">
        <v>28.8</v>
      </c>
      <c r="Y108" s="66">
        <v>30.4</v>
      </c>
      <c r="Z108" s="66">
        <v>29.2</v>
      </c>
      <c r="AA108" s="66">
        <v>31.8</v>
      </c>
      <c r="AB108" s="66"/>
      <c r="AC108" s="66">
        <v>30.4</v>
      </c>
      <c r="AD108" s="66">
        <v>33.799999999999997</v>
      </c>
      <c r="AE108" s="66">
        <v>34.200000000000003</v>
      </c>
      <c r="AF108" s="66">
        <v>33.6</v>
      </c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21</v>
      </c>
      <c r="AQ108" s="68">
        <f t="shared" si="7"/>
        <v>29.799999999999997</v>
      </c>
      <c r="AR108" s="68">
        <f>IFERROR(VLOOKUP(A108,Climatologia_TMAX!A:U,9+$E$2,FALSE),"")</f>
        <v>29.378447243270202</v>
      </c>
      <c r="AS108" s="68">
        <f t="shared" si="8"/>
        <v>0.42155275672979542</v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-2.3999999999999986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25.2</v>
      </c>
      <c r="L109" s="66">
        <v>23.2</v>
      </c>
      <c r="M109" s="66">
        <v>24.8</v>
      </c>
      <c r="N109" s="66">
        <v>25.2</v>
      </c>
      <c r="O109" s="66">
        <v>27.2</v>
      </c>
      <c r="P109" s="66">
        <v>28.2</v>
      </c>
      <c r="Q109" s="66">
        <v>27</v>
      </c>
      <c r="R109" s="66">
        <v>24.8</v>
      </c>
      <c r="S109" s="66">
        <v>24.2</v>
      </c>
      <c r="T109" s="66">
        <v>25</v>
      </c>
      <c r="U109" s="66">
        <v>29</v>
      </c>
      <c r="V109" s="66">
        <v>25.2</v>
      </c>
      <c r="W109" s="66">
        <v>26.8</v>
      </c>
      <c r="X109" s="66">
        <v>24.8</v>
      </c>
      <c r="Y109" s="66">
        <v>26.2</v>
      </c>
      <c r="Z109" s="66">
        <v>25.8</v>
      </c>
      <c r="AA109" s="66">
        <v>27.8</v>
      </c>
      <c r="AB109" s="66">
        <v>24.8</v>
      </c>
      <c r="AC109" s="66">
        <v>25.2</v>
      </c>
      <c r="AD109" s="66">
        <v>29.2</v>
      </c>
      <c r="AE109" s="66">
        <v>29</v>
      </c>
      <c r="AF109" s="66">
        <v>27.2</v>
      </c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22</v>
      </c>
      <c r="AQ109" s="68">
        <f t="shared" si="7"/>
        <v>26.172727272727276</v>
      </c>
      <c r="AR109" s="68">
        <f>IFERROR(VLOOKUP(A109,Climatologia_TMAX!A:U,9+$E$2,FALSE),"")</f>
        <v>25.24188769414576</v>
      </c>
      <c r="AS109" s="68">
        <f t="shared" si="8"/>
        <v>0.93083957858151578</v>
      </c>
      <c r="AT109" s="74">
        <f t="shared" si="9"/>
        <v>29.2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>
        <f t="shared" si="10"/>
        <v>-1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>
        <v>33.4</v>
      </c>
      <c r="N111" s="66">
        <v>33</v>
      </c>
      <c r="O111" s="66">
        <v>39.200000000000003</v>
      </c>
      <c r="P111" s="66">
        <v>37.4</v>
      </c>
      <c r="Q111" s="66">
        <v>39.799999999999997</v>
      </c>
      <c r="R111" s="66">
        <v>39.200000000000003</v>
      </c>
      <c r="S111" s="66">
        <v>37.4</v>
      </c>
      <c r="T111" s="66">
        <v>37.6</v>
      </c>
      <c r="U111" s="66">
        <v>37.200000000000003</v>
      </c>
      <c r="V111" s="66">
        <v>38.4</v>
      </c>
      <c r="W111" s="66">
        <v>37.799999999999997</v>
      </c>
      <c r="X111" s="66">
        <v>40.4</v>
      </c>
      <c r="Y111" s="66">
        <v>40</v>
      </c>
      <c r="Z111" s="66">
        <v>38.4</v>
      </c>
      <c r="AA111" s="66">
        <v>39</v>
      </c>
      <c r="AB111" s="66">
        <v>38.4</v>
      </c>
      <c r="AC111" s="66"/>
      <c r="AD111" s="66"/>
      <c r="AE111" s="66"/>
      <c r="AF111" s="66">
        <v>38.4</v>
      </c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19</v>
      </c>
      <c r="AQ111" s="68">
        <f t="shared" si="7"/>
        <v>37.999999999999993</v>
      </c>
      <c r="AR111" s="68">
        <f>IFERROR(VLOOKUP(A111,Climatologia_TMAX!A:U,9+$E$2,FALSE),"")</f>
        <v>35.374911033986344</v>
      </c>
      <c r="AS111" s="68">
        <f t="shared" si="8"/>
        <v>2.6250889660136494</v>
      </c>
      <c r="AT111" s="74">
        <f t="shared" si="9"/>
        <v>40.4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-1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>
        <v>33.6</v>
      </c>
      <c r="N112" s="66">
        <v>33.799999999999997</v>
      </c>
      <c r="O112" s="66">
        <v>34.200000000000003</v>
      </c>
      <c r="P112" s="66">
        <v>34.6</v>
      </c>
      <c r="Q112" s="66">
        <v>35.799999999999997</v>
      </c>
      <c r="R112" s="66">
        <v>36.4</v>
      </c>
      <c r="S112" s="66">
        <v>36.799999999999997</v>
      </c>
      <c r="T112" s="66">
        <v>36.4</v>
      </c>
      <c r="U112" s="66">
        <v>35.4</v>
      </c>
      <c r="V112" s="66">
        <v>35</v>
      </c>
      <c r="W112" s="66">
        <v>34.6</v>
      </c>
      <c r="X112" s="66">
        <v>35.6</v>
      </c>
      <c r="Y112" s="66">
        <v>36</v>
      </c>
      <c r="Z112" s="66">
        <v>35.799999999999997</v>
      </c>
      <c r="AA112" s="66">
        <v>35.4</v>
      </c>
      <c r="AB112" s="66">
        <v>34.799999999999997</v>
      </c>
      <c r="AC112" s="66">
        <v>36</v>
      </c>
      <c r="AD112" s="66">
        <v>35.6</v>
      </c>
      <c r="AE112" s="66">
        <v>34.799999999999997</v>
      </c>
      <c r="AF112" s="66">
        <v>36.200000000000003</v>
      </c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22</v>
      </c>
      <c r="AQ112" s="68">
        <f t="shared" si="7"/>
        <v>35.372727272727268</v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-3.2000000000000028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>
        <v>37.6</v>
      </c>
      <c r="N114" s="66">
        <v>36</v>
      </c>
      <c r="O114" s="66">
        <v>39</v>
      </c>
      <c r="P114" s="66">
        <v>39.200000000000003</v>
      </c>
      <c r="Q114" s="66">
        <v>41</v>
      </c>
      <c r="R114" s="66">
        <v>40.4</v>
      </c>
      <c r="S114" s="66">
        <v>33.6</v>
      </c>
      <c r="T114" s="66">
        <v>39.200000000000003</v>
      </c>
      <c r="U114" s="66">
        <v>38.6</v>
      </c>
      <c r="V114" s="66">
        <v>36.799999999999997</v>
      </c>
      <c r="W114" s="66">
        <v>37.4</v>
      </c>
      <c r="X114" s="66">
        <v>40</v>
      </c>
      <c r="Y114" s="66">
        <v>41.2</v>
      </c>
      <c r="Z114" s="66">
        <v>41.2</v>
      </c>
      <c r="AA114" s="66">
        <v>42</v>
      </c>
      <c r="AB114" s="66">
        <v>40</v>
      </c>
      <c r="AC114" s="66">
        <v>38</v>
      </c>
      <c r="AD114" s="66">
        <v>35.799999999999997</v>
      </c>
      <c r="AE114" s="66">
        <v>36.6</v>
      </c>
      <c r="AF114" s="66">
        <v>36.799999999999997</v>
      </c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22</v>
      </c>
      <c r="AQ114" s="68">
        <f t="shared" si="7"/>
        <v>38.554545454545455</v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42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0.20000000000000284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>
        <v>35</v>
      </c>
      <c r="N115" s="66">
        <v>34.6</v>
      </c>
      <c r="O115" s="66">
        <v>36.6</v>
      </c>
      <c r="P115" s="66">
        <v>37.4</v>
      </c>
      <c r="Q115" s="66">
        <v>37.200000000000003</v>
      </c>
      <c r="R115" s="66"/>
      <c r="S115" s="66">
        <v>35.799999999999997</v>
      </c>
      <c r="T115" s="66">
        <v>36.6</v>
      </c>
      <c r="U115" s="66"/>
      <c r="V115" s="66"/>
      <c r="W115" s="66">
        <v>37.200000000000003</v>
      </c>
      <c r="X115" s="66"/>
      <c r="Y115" s="66">
        <v>37.6</v>
      </c>
      <c r="Z115" s="66">
        <v>38</v>
      </c>
      <c r="AA115" s="66"/>
      <c r="AB115" s="66">
        <v>36.6</v>
      </c>
      <c r="AC115" s="66">
        <v>36.799999999999997</v>
      </c>
      <c r="AD115" s="66">
        <v>37.4</v>
      </c>
      <c r="AE115" s="66">
        <v>36.200000000000003</v>
      </c>
      <c r="AF115" s="66">
        <v>36.4</v>
      </c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17</v>
      </c>
      <c r="AQ115" s="68">
        <f t="shared" si="7"/>
        <v>36.705882352941174</v>
      </c>
      <c r="AR115" s="68">
        <f>IFERROR(VLOOKUP(A115,Climatologia_TMAX!A:U,9+$E$2,FALSE),"")</f>
        <v>35.904703383898273</v>
      </c>
      <c r="AS115" s="68">
        <f t="shared" si="8"/>
        <v>0.8011789690429012</v>
      </c>
      <c r="AT115" s="74">
        <f t="shared" si="9"/>
        <v>38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>
        <v>33</v>
      </c>
      <c r="N118" s="66">
        <v>32.799999999999997</v>
      </c>
      <c r="O118" s="66">
        <v>39.200000000000003</v>
      </c>
      <c r="P118" s="66">
        <v>38.799999999999997</v>
      </c>
      <c r="Q118" s="66">
        <v>40.6</v>
      </c>
      <c r="R118" s="66">
        <v>39.4</v>
      </c>
      <c r="S118" s="66">
        <v>36.6</v>
      </c>
      <c r="T118" s="66">
        <v>40</v>
      </c>
      <c r="U118" s="66">
        <v>38</v>
      </c>
      <c r="V118" s="66">
        <v>37.200000000000003</v>
      </c>
      <c r="W118" s="66">
        <v>35.4</v>
      </c>
      <c r="X118" s="66">
        <v>39.799999999999997</v>
      </c>
      <c r="Y118" s="66">
        <v>40</v>
      </c>
      <c r="Z118" s="66">
        <v>39</v>
      </c>
      <c r="AA118" s="66">
        <v>40.6</v>
      </c>
      <c r="AB118" s="66">
        <v>38</v>
      </c>
      <c r="AC118" s="66">
        <v>37.4</v>
      </c>
      <c r="AD118" s="66">
        <v>35.799999999999997</v>
      </c>
      <c r="AE118" s="66">
        <v>36.4</v>
      </c>
      <c r="AF118" s="66">
        <v>34.6</v>
      </c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22</v>
      </c>
      <c r="AQ118" s="68">
        <f t="shared" si="7"/>
        <v>37.709090909090904</v>
      </c>
      <c r="AR118" s="68">
        <f>IFERROR(VLOOKUP(A118,Climatologia_TMAX!A:U,9+$E$2,FALSE),"")</f>
        <v>34.902965072302557</v>
      </c>
      <c r="AS118" s="68">
        <f t="shared" si="8"/>
        <v>2.8061258367883468</v>
      </c>
      <c r="AT118" s="74">
        <f t="shared" si="9"/>
        <v>40.6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-1.6000000000000014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>
        <v>36.799999999999997</v>
      </c>
      <c r="N119" s="66">
        <v>35.200000000000003</v>
      </c>
      <c r="O119" s="66">
        <v>39.4</v>
      </c>
      <c r="P119" s="66">
        <v>40</v>
      </c>
      <c r="Q119" s="66">
        <v>39.799999999999997</v>
      </c>
      <c r="R119" s="66">
        <v>40.6</v>
      </c>
      <c r="S119" s="66">
        <v>36.6</v>
      </c>
      <c r="T119" s="66">
        <v>38.799999999999997</v>
      </c>
      <c r="U119" s="66">
        <v>39.4</v>
      </c>
      <c r="V119" s="66">
        <v>38.200000000000003</v>
      </c>
      <c r="W119" s="66">
        <v>39.200000000000003</v>
      </c>
      <c r="X119" s="66">
        <v>40.799999999999997</v>
      </c>
      <c r="Y119" s="66">
        <v>41.2</v>
      </c>
      <c r="Z119" s="66">
        <v>40.6</v>
      </c>
      <c r="AA119" s="66">
        <v>41</v>
      </c>
      <c r="AB119" s="66">
        <v>39.6</v>
      </c>
      <c r="AC119" s="66">
        <v>37.4</v>
      </c>
      <c r="AD119" s="66">
        <v>35.4</v>
      </c>
      <c r="AE119" s="66">
        <v>39</v>
      </c>
      <c r="AF119" s="66">
        <v>39.200000000000003</v>
      </c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22</v>
      </c>
      <c r="AQ119" s="68">
        <f t="shared" si="7"/>
        <v>38.972727272727276</v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41.2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-1.1999999999999957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36.6</v>
      </c>
      <c r="L120" s="66">
        <v>36.6</v>
      </c>
      <c r="M120" s="66">
        <v>36.200000000000003</v>
      </c>
      <c r="N120" s="66">
        <v>36.200000000000003</v>
      </c>
      <c r="O120" s="66">
        <v>36.200000000000003</v>
      </c>
      <c r="P120" s="66">
        <v>39.6</v>
      </c>
      <c r="Q120" s="66">
        <v>41</v>
      </c>
      <c r="R120" s="66">
        <v>40.799999999999997</v>
      </c>
      <c r="S120" s="66">
        <v>38.4</v>
      </c>
      <c r="T120" s="66">
        <v>38.4</v>
      </c>
      <c r="U120" s="66">
        <v>39</v>
      </c>
      <c r="V120" s="66">
        <v>37</v>
      </c>
      <c r="W120" s="66">
        <v>37.4</v>
      </c>
      <c r="X120" s="66">
        <v>40</v>
      </c>
      <c r="Y120" s="66">
        <v>41.8</v>
      </c>
      <c r="Z120" s="66">
        <v>40.799999999999997</v>
      </c>
      <c r="AA120" s="66">
        <v>43.2</v>
      </c>
      <c r="AB120" s="66"/>
      <c r="AC120" s="66"/>
      <c r="AD120" s="66">
        <v>36.200000000000003</v>
      </c>
      <c r="AE120" s="66">
        <v>35.799999999999997</v>
      </c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19</v>
      </c>
      <c r="AQ120" s="68">
        <f t="shared" si="7"/>
        <v>38.484210526315778</v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43.2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41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20" s="69">
        <f t="shared" si="10"/>
        <v>2.2000000000000028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20.304345718001631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25.2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29.8</v>
      </c>
      <c r="L122" s="66">
        <v>27.4</v>
      </c>
      <c r="M122" s="66">
        <v>28.4</v>
      </c>
      <c r="N122" s="66">
        <v>26.8</v>
      </c>
      <c r="O122" s="66">
        <v>27.8</v>
      </c>
      <c r="P122" s="66">
        <v>30.4</v>
      </c>
      <c r="Q122" s="66">
        <v>29.8</v>
      </c>
      <c r="R122" s="66">
        <v>31.8</v>
      </c>
      <c r="S122" s="66">
        <v>25.2</v>
      </c>
      <c r="T122" s="66">
        <v>30.4</v>
      </c>
      <c r="U122" s="66">
        <v>29.2</v>
      </c>
      <c r="V122" s="66">
        <v>27.4</v>
      </c>
      <c r="W122" s="66">
        <v>28.8</v>
      </c>
      <c r="X122" s="66">
        <v>29.4</v>
      </c>
      <c r="Y122" s="66">
        <v>30.4</v>
      </c>
      <c r="Z122" s="66">
        <v>31.8</v>
      </c>
      <c r="AA122" s="66">
        <v>30.2</v>
      </c>
      <c r="AB122" s="66">
        <v>28.4</v>
      </c>
      <c r="AC122" s="66">
        <v>25.6</v>
      </c>
      <c r="AD122" s="66">
        <v>26.4</v>
      </c>
      <c r="AE122" s="66">
        <v>28.2</v>
      </c>
      <c r="AF122" s="66">
        <v>28</v>
      </c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22</v>
      </c>
      <c r="AQ122" s="68">
        <f t="shared" si="7"/>
        <v>28.709090909090911</v>
      </c>
      <c r="AR122" s="68">
        <f>IFERROR(VLOOKUP(A122,Climatologia_TMAX!A:U,9+$E$2,FALSE),"")</f>
        <v>27.695483870967738</v>
      </c>
      <c r="AS122" s="68">
        <f t="shared" si="8"/>
        <v>1.0136070381231725</v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33.799999999999997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2" s="69">
        <f t="shared" si="10"/>
        <v>-1.9999999999999964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30.8</v>
      </c>
      <c r="L123" s="66">
        <v>27.6</v>
      </c>
      <c r="M123" s="66">
        <v>28</v>
      </c>
      <c r="N123" s="66">
        <v>26.6</v>
      </c>
      <c r="O123" s="66">
        <v>28.2</v>
      </c>
      <c r="P123" s="66">
        <v>31</v>
      </c>
      <c r="Q123" s="66">
        <v>28.8</v>
      </c>
      <c r="R123" s="66">
        <v>31.6</v>
      </c>
      <c r="S123" s="66">
        <v>28.4</v>
      </c>
      <c r="T123" s="66">
        <v>32</v>
      </c>
      <c r="U123" s="66">
        <v>31.6</v>
      </c>
      <c r="V123" s="66">
        <v>29.6</v>
      </c>
      <c r="W123" s="66">
        <v>31.4</v>
      </c>
      <c r="X123" s="66">
        <v>32.6</v>
      </c>
      <c r="Y123" s="66">
        <v>33.4</v>
      </c>
      <c r="Z123" s="66">
        <v>33.200000000000003</v>
      </c>
      <c r="AA123" s="66">
        <v>33.799999999999997</v>
      </c>
      <c r="AB123" s="66">
        <v>29.6</v>
      </c>
      <c r="AC123" s="66">
        <v>29.2</v>
      </c>
      <c r="AD123" s="66">
        <v>29.6</v>
      </c>
      <c r="AE123" s="66">
        <v>32.6</v>
      </c>
      <c r="AF123" s="66">
        <v>32</v>
      </c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22</v>
      </c>
      <c r="AQ123" s="68">
        <f t="shared" si="7"/>
        <v>30.527272727272734</v>
      </c>
      <c r="AR123" s="68">
        <f>IFERROR(VLOOKUP(A123,Climatologia_TMAX!A:U,9+$E$2,FALSE),"")</f>
        <v>29.366308243727591</v>
      </c>
      <c r="AS123" s="68">
        <f t="shared" si="8"/>
        <v>1.1609644835451434</v>
      </c>
      <c r="AT123" s="74">
        <f t="shared" si="9"/>
        <v>33.799999999999997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34.4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3" s="69">
        <f t="shared" si="10"/>
        <v>-0.60000000000000142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31.2</v>
      </c>
      <c r="L124" s="66">
        <v>27.2</v>
      </c>
      <c r="M124" s="66">
        <v>29.2</v>
      </c>
      <c r="N124" s="66">
        <v>26.2</v>
      </c>
      <c r="O124" s="66">
        <v>29.6</v>
      </c>
      <c r="P124" s="66">
        <v>30.4</v>
      </c>
      <c r="Q124" s="66">
        <v>29.4</v>
      </c>
      <c r="R124" s="66">
        <v>31.2</v>
      </c>
      <c r="S124" s="66">
        <v>26</v>
      </c>
      <c r="T124" s="66">
        <v>32</v>
      </c>
      <c r="U124" s="66">
        <v>31.9</v>
      </c>
      <c r="V124" s="66">
        <v>31</v>
      </c>
      <c r="W124" s="66">
        <v>32</v>
      </c>
      <c r="X124" s="66">
        <v>32.6</v>
      </c>
      <c r="Y124" s="66">
        <v>32.799999999999997</v>
      </c>
      <c r="Z124" s="66">
        <v>33</v>
      </c>
      <c r="AA124" s="66">
        <v>34.200000000000003</v>
      </c>
      <c r="AB124" s="66">
        <v>29.6</v>
      </c>
      <c r="AC124" s="66">
        <v>30.2</v>
      </c>
      <c r="AD124" s="66">
        <v>29.8</v>
      </c>
      <c r="AE124" s="66">
        <v>30.6</v>
      </c>
      <c r="AF124" s="66">
        <v>30.6</v>
      </c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22</v>
      </c>
      <c r="AQ124" s="68">
        <f t="shared" si="7"/>
        <v>30.486363636363638</v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34.200000000000003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4" s="69">
        <f t="shared" si="10"/>
        <v>-2.7999999999999972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26.8</v>
      </c>
      <c r="L127" s="66">
        <v>20.6</v>
      </c>
      <c r="M127" s="66">
        <v>25.6</v>
      </c>
      <c r="N127" s="66">
        <v>22</v>
      </c>
      <c r="O127" s="66">
        <v>24</v>
      </c>
      <c r="P127" s="66"/>
      <c r="Q127" s="66"/>
      <c r="R127" s="66">
        <v>23</v>
      </c>
      <c r="S127" s="66">
        <v>19.2</v>
      </c>
      <c r="T127" s="66">
        <v>23.8</v>
      </c>
      <c r="U127" s="66">
        <v>24</v>
      </c>
      <c r="V127" s="66">
        <v>24.6</v>
      </c>
      <c r="W127" s="66">
        <v>24</v>
      </c>
      <c r="X127" s="66">
        <v>25</v>
      </c>
      <c r="Y127" s="66">
        <v>26.6</v>
      </c>
      <c r="Z127" s="66">
        <v>26.6</v>
      </c>
      <c r="AA127" s="66">
        <v>27</v>
      </c>
      <c r="AB127" s="66">
        <v>26.8</v>
      </c>
      <c r="AC127" s="66">
        <v>23</v>
      </c>
      <c r="AD127" s="66">
        <v>21.6</v>
      </c>
      <c r="AE127" s="66">
        <v>26.6</v>
      </c>
      <c r="AF127" s="66">
        <v>26.6</v>
      </c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20</v>
      </c>
      <c r="AQ127" s="68">
        <f t="shared" si="7"/>
        <v>24.370000000000008</v>
      </c>
      <c r="AR127" s="68">
        <f>IFERROR(VLOOKUP(A127,Climatologia_TMAX!A:U,9+$E$2,FALSE),"")</f>
        <v>23.534082478068139</v>
      </c>
      <c r="AS127" s="68">
        <f t="shared" si="8"/>
        <v>0.83591752193186863</v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28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7" s="69">
        <f t="shared" si="10"/>
        <v>-1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22.2</v>
      </c>
      <c r="L128" s="66">
        <v>21.6</v>
      </c>
      <c r="M128" s="66">
        <v>22.4</v>
      </c>
      <c r="N128" s="66">
        <v>20.2</v>
      </c>
      <c r="O128" s="66">
        <v>21.2</v>
      </c>
      <c r="P128" s="66">
        <v>24</v>
      </c>
      <c r="Q128" s="66">
        <v>24</v>
      </c>
      <c r="R128" s="66">
        <v>25</v>
      </c>
      <c r="S128" s="66">
        <v>19.399999999999999</v>
      </c>
      <c r="T128" s="66">
        <v>22</v>
      </c>
      <c r="U128" s="66">
        <v>23</v>
      </c>
      <c r="V128" s="66">
        <v>21.4</v>
      </c>
      <c r="W128" s="66">
        <v>22.8</v>
      </c>
      <c r="X128" s="66">
        <v>23</v>
      </c>
      <c r="Y128" s="66">
        <v>22.4</v>
      </c>
      <c r="Z128" s="66">
        <v>24.8</v>
      </c>
      <c r="AA128" s="66">
        <v>25.2</v>
      </c>
      <c r="AB128" s="66">
        <v>20.399999999999999</v>
      </c>
      <c r="AC128" s="66">
        <v>19.8</v>
      </c>
      <c r="AD128" s="66">
        <v>18.8</v>
      </c>
      <c r="AE128" s="66">
        <v>21.4</v>
      </c>
      <c r="AF128" s="66">
        <v>21.4</v>
      </c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22</v>
      </c>
      <c r="AQ128" s="68">
        <f t="shared" si="7"/>
        <v>22.109090909090906</v>
      </c>
      <c r="AR128" s="68">
        <f>IFERROR(VLOOKUP(A128,Climatologia_TMAX!A:U,9+$E$2,FALSE),"")</f>
        <v>19.631024170572559</v>
      </c>
      <c r="AS128" s="68">
        <f t="shared" si="8"/>
        <v>2.478066738518347</v>
      </c>
      <c r="AT128" s="74">
        <f t="shared" si="9"/>
        <v>25.2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8" s="69">
        <f t="shared" si="10"/>
        <v>1.1999999999999993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26.6</v>
      </c>
      <c r="L129" s="66">
        <v>21</v>
      </c>
      <c r="M129" s="66">
        <v>22.2</v>
      </c>
      <c r="N129" s="66"/>
      <c r="O129" s="66"/>
      <c r="P129" s="66">
        <v>26.6</v>
      </c>
      <c r="Q129" s="66">
        <v>21.8</v>
      </c>
      <c r="R129" s="66">
        <v>27.6</v>
      </c>
      <c r="S129" s="66">
        <v>21.2</v>
      </c>
      <c r="T129" s="66">
        <v>27.4</v>
      </c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8</v>
      </c>
      <c r="AQ129" s="68" t="str">
        <f t="shared" si="7"/>
        <v/>
      </c>
      <c r="AR129" s="68">
        <f>IFERROR(VLOOKUP(A129,Climatologia_TMAX!A:U,9+$E$2,FALSE),"")</f>
        <v>24.044338963731992</v>
      </c>
      <c r="AS129" s="68" t="str">
        <f t="shared" si="8"/>
        <v/>
      </c>
      <c r="AT129" s="74">
        <f t="shared" si="9"/>
        <v>27.6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33.799999999999997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9" s="69">
        <f t="shared" si="10"/>
        <v>-6.1999999999999957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33.475307321525342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>
        <v>20.2</v>
      </c>
      <c r="L131" s="66">
        <v>19.600000000000001</v>
      </c>
      <c r="M131" s="66">
        <v>18.2</v>
      </c>
      <c r="N131" s="66"/>
      <c r="O131" s="66">
        <v>21.4</v>
      </c>
      <c r="P131" s="66">
        <v>22.8</v>
      </c>
      <c r="Q131" s="66">
        <v>20.8</v>
      </c>
      <c r="R131" s="66"/>
      <c r="S131" s="66"/>
      <c r="T131" s="66"/>
      <c r="U131" s="66"/>
      <c r="V131" s="66"/>
      <c r="W131" s="66"/>
      <c r="X131" s="66">
        <v>20.399999999999999</v>
      </c>
      <c r="Y131" s="66">
        <v>21.2</v>
      </c>
      <c r="Z131" s="66">
        <v>20.399999999999999</v>
      </c>
      <c r="AA131" s="66">
        <v>22.2</v>
      </c>
      <c r="AB131" s="66">
        <v>20.8</v>
      </c>
      <c r="AC131" s="66">
        <v>21</v>
      </c>
      <c r="AD131" s="66">
        <v>20.2</v>
      </c>
      <c r="AE131" s="66">
        <v>21</v>
      </c>
      <c r="AF131" s="66">
        <v>21.6</v>
      </c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15</v>
      </c>
      <c r="AQ131" s="68">
        <f t="shared" si="7"/>
        <v>20.786666666666669</v>
      </c>
      <c r="AR131" s="68">
        <f>IFERROR(VLOOKUP(A131,Climatologia_TMAX!A:U,9+$E$2,FALSE),"")</f>
        <v>20.1562724014337</v>
      </c>
      <c r="AS131" s="68">
        <f t="shared" si="8"/>
        <v>0.63039426523296882</v>
      </c>
      <c r="AT131" s="74">
        <f t="shared" si="9"/>
        <v>22.8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21.274139752786539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26.6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17.2</v>
      </c>
      <c r="L133" s="66">
        <v>17.399999999999999</v>
      </c>
      <c r="M133" s="66">
        <v>17.2</v>
      </c>
      <c r="N133" s="66">
        <v>18.600000000000001</v>
      </c>
      <c r="O133" s="66"/>
      <c r="P133" s="66">
        <v>17.8</v>
      </c>
      <c r="Q133" s="66">
        <v>17.8</v>
      </c>
      <c r="R133" s="66">
        <v>18</v>
      </c>
      <c r="S133" s="66">
        <v>14.2</v>
      </c>
      <c r="T133" s="66">
        <v>16.8</v>
      </c>
      <c r="U133" s="66">
        <v>16.8</v>
      </c>
      <c r="V133" s="66">
        <v>18.8</v>
      </c>
      <c r="W133" s="66">
        <v>18</v>
      </c>
      <c r="X133" s="66">
        <v>16.2</v>
      </c>
      <c r="Y133" s="66">
        <v>19.399999999999999</v>
      </c>
      <c r="Z133" s="66">
        <v>17.8</v>
      </c>
      <c r="AA133" s="66"/>
      <c r="AB133" s="66">
        <v>19</v>
      </c>
      <c r="AC133" s="66">
        <v>19.399999999999999</v>
      </c>
      <c r="AD133" s="66">
        <v>19.399999999999999</v>
      </c>
      <c r="AE133" s="66">
        <v>18.8</v>
      </c>
      <c r="AF133" s="66">
        <v>19.2</v>
      </c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20</v>
      </c>
      <c r="AQ133" s="68">
        <f t="shared" ref="AQ133:AQ196" si="12">IF(AP133&gt;14,AVERAGE(K133:AO133),"")</f>
        <v>17.889999999999997</v>
      </c>
      <c r="AR133" s="68">
        <f>IFERROR(VLOOKUP(A133,Climatologia_TMAX!A:U,9+$E$2,FALSE),"")</f>
        <v>15.83566774324839</v>
      </c>
      <c r="AS133" s="68">
        <f t="shared" ref="AS133:AS196" si="13">IF(OR(AQ133="",AR133=""),"",IFERROR(AQ133-AR133,""))</f>
        <v>2.0543322567516071</v>
      </c>
      <c r="AT133" s="74">
        <f t="shared" ref="AT133:AT196" si="14">IF(COUNT(K133:AO133)=0,"",MAX(K133:AO133))</f>
        <v>19.399999999999999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</v>
      </c>
      <c r="L135" s="66">
        <v>21</v>
      </c>
      <c r="M135" s="66">
        <v>23</v>
      </c>
      <c r="N135" s="66">
        <v>20.6</v>
      </c>
      <c r="O135" s="66">
        <v>23</v>
      </c>
      <c r="P135" s="66">
        <v>24</v>
      </c>
      <c r="Q135" s="66">
        <v>22.8</v>
      </c>
      <c r="R135" s="66">
        <v>23.6</v>
      </c>
      <c r="S135" s="66">
        <v>19.2</v>
      </c>
      <c r="T135" s="66">
        <v>24.2</v>
      </c>
      <c r="U135" s="66">
        <v>23.4</v>
      </c>
      <c r="V135" s="66">
        <v>24</v>
      </c>
      <c r="W135" s="66">
        <v>24.2</v>
      </c>
      <c r="X135" s="66">
        <v>20</v>
      </c>
      <c r="Y135" s="66">
        <v>23.8</v>
      </c>
      <c r="Z135" s="66">
        <v>23.6</v>
      </c>
      <c r="AA135" s="66">
        <v>24.2</v>
      </c>
      <c r="AB135" s="66">
        <v>23</v>
      </c>
      <c r="AC135" s="66">
        <v>21.2</v>
      </c>
      <c r="AD135" s="66">
        <v>22.6</v>
      </c>
      <c r="AE135" s="66">
        <v>22.4</v>
      </c>
      <c r="AF135" s="66">
        <v>24</v>
      </c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22</v>
      </c>
      <c r="AQ135" s="68">
        <f t="shared" si="12"/>
        <v>22.763636363636362</v>
      </c>
      <c r="AR135" s="68">
        <f>IFERROR(VLOOKUP(A135,Climatologia_TMAX!A:U,9+$E$2,FALSE),"")</f>
        <v>23.062270114942532</v>
      </c>
      <c r="AS135" s="68">
        <f t="shared" si="13"/>
        <v>-0.29863375130616987</v>
      </c>
      <c r="AT135" s="74">
        <f t="shared" si="14"/>
        <v>24.2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26.2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5" s="69">
        <f t="shared" si="15"/>
        <v>-2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16</v>
      </c>
      <c r="M138" s="66">
        <v>20</v>
      </c>
      <c r="N138" s="66">
        <v>16.2</v>
      </c>
      <c r="O138" s="66">
        <v>20.5</v>
      </c>
      <c r="P138" s="66">
        <v>21</v>
      </c>
      <c r="Q138" s="66">
        <v>22</v>
      </c>
      <c r="R138" s="66"/>
      <c r="S138" s="66"/>
      <c r="T138" s="66">
        <v>18.2</v>
      </c>
      <c r="U138" s="66">
        <v>20.2</v>
      </c>
      <c r="V138" s="66">
        <v>20</v>
      </c>
      <c r="W138" s="66">
        <v>20.2</v>
      </c>
      <c r="X138" s="66">
        <v>21.2</v>
      </c>
      <c r="Y138" s="66">
        <v>21.4</v>
      </c>
      <c r="Z138" s="66">
        <v>22</v>
      </c>
      <c r="AA138" s="66">
        <v>23</v>
      </c>
      <c r="AB138" s="66">
        <v>22</v>
      </c>
      <c r="AC138" s="66">
        <v>18.2</v>
      </c>
      <c r="AD138" s="66">
        <v>18</v>
      </c>
      <c r="AE138" s="66">
        <v>21.4</v>
      </c>
      <c r="AF138" s="66">
        <v>21</v>
      </c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20</v>
      </c>
      <c r="AQ138" s="68">
        <f t="shared" si="12"/>
        <v>20.224999999999994</v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23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8" s="69">
        <f t="shared" si="15"/>
        <v>0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21.6</v>
      </c>
      <c r="L139" s="66">
        <v>17.8</v>
      </c>
      <c r="M139" s="66">
        <v>18</v>
      </c>
      <c r="N139" s="66">
        <v>17.8</v>
      </c>
      <c r="O139" s="66">
        <v>20</v>
      </c>
      <c r="P139" s="66">
        <v>21</v>
      </c>
      <c r="Q139" s="66">
        <v>18</v>
      </c>
      <c r="R139" s="66">
        <v>22.2</v>
      </c>
      <c r="S139" s="66">
        <v>17.399999999999999</v>
      </c>
      <c r="T139" s="66">
        <v>21.8</v>
      </c>
      <c r="U139" s="66">
        <v>22.2</v>
      </c>
      <c r="V139" s="66">
        <v>21</v>
      </c>
      <c r="W139" s="66">
        <v>22</v>
      </c>
      <c r="X139" s="66">
        <v>20.399999999999999</v>
      </c>
      <c r="Y139" s="66">
        <v>21</v>
      </c>
      <c r="Z139" s="66">
        <v>22.6</v>
      </c>
      <c r="AA139" s="66">
        <v>23.4</v>
      </c>
      <c r="AB139" s="66">
        <v>20.399999999999999</v>
      </c>
      <c r="AC139" s="66">
        <v>21</v>
      </c>
      <c r="AD139" s="66">
        <v>22.4</v>
      </c>
      <c r="AE139" s="66">
        <v>20.6</v>
      </c>
      <c r="AF139" s="66">
        <v>21.8</v>
      </c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22</v>
      </c>
      <c r="AQ139" s="68">
        <f t="shared" si="12"/>
        <v>20.654545454545453</v>
      </c>
      <c r="AR139" s="68">
        <f>IFERROR(VLOOKUP(A139,Climatologia_TMAX!A:U,9+$E$2,FALSE),"")</f>
        <v>20.14919071873231</v>
      </c>
      <c r="AS139" s="68">
        <f t="shared" si="13"/>
        <v>0.5053547358131425</v>
      </c>
      <c r="AT139" s="74">
        <f t="shared" si="14"/>
        <v>23.4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28.6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9" s="69">
        <f t="shared" si="15"/>
        <v>-5.2000000000000028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22.6</v>
      </c>
      <c r="L140" s="66">
        <v>22.4</v>
      </c>
      <c r="M140" s="66">
        <v>22.8</v>
      </c>
      <c r="N140" s="66">
        <v>24</v>
      </c>
      <c r="O140" s="66">
        <v>22.2</v>
      </c>
      <c r="P140" s="66">
        <v>24.2</v>
      </c>
      <c r="Q140" s="66">
        <v>24.4</v>
      </c>
      <c r="R140" s="66">
        <v>23.8</v>
      </c>
      <c r="S140" s="66">
        <v>22.2</v>
      </c>
      <c r="T140" s="66">
        <v>22.8</v>
      </c>
      <c r="U140" s="66">
        <v>24.2</v>
      </c>
      <c r="V140" s="66">
        <v>22</v>
      </c>
      <c r="W140" s="66">
        <v>22.8</v>
      </c>
      <c r="X140" s="66">
        <v>22.4</v>
      </c>
      <c r="Y140" s="66">
        <v>23.4</v>
      </c>
      <c r="Z140" s="66">
        <v>22.6</v>
      </c>
      <c r="AA140" s="66">
        <v>25</v>
      </c>
      <c r="AB140" s="66">
        <v>26</v>
      </c>
      <c r="AC140" s="66">
        <v>22.2</v>
      </c>
      <c r="AD140" s="66">
        <v>22.8</v>
      </c>
      <c r="AE140" s="66">
        <v>21</v>
      </c>
      <c r="AF140" s="66">
        <v>24.2</v>
      </c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22</v>
      </c>
      <c r="AQ140" s="68">
        <f t="shared" si="12"/>
        <v>23.181818181818183</v>
      </c>
      <c r="AR140" s="68">
        <f>IFERROR(VLOOKUP(A140,Climatologia_TMAX!A:U,9+$E$2,FALSE),"")</f>
        <v>21.34563346802684</v>
      </c>
      <c r="AS140" s="68">
        <f t="shared" si="13"/>
        <v>1.8361847137913436</v>
      </c>
      <c r="AT140" s="74">
        <f t="shared" si="14"/>
        <v>26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40" s="69">
        <f t="shared" si="15"/>
        <v>-1.8000000000000007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19.2</v>
      </c>
      <c r="L141" s="66">
        <v>19.600000000000001</v>
      </c>
      <c r="M141" s="66">
        <v>18.600000000000001</v>
      </c>
      <c r="N141" s="66">
        <v>16</v>
      </c>
      <c r="O141" s="66">
        <v>20.399999999999999</v>
      </c>
      <c r="P141" s="66">
        <v>20.399999999999999</v>
      </c>
      <c r="Q141" s="66">
        <v>19.600000000000001</v>
      </c>
      <c r="R141" s="66">
        <v>21</v>
      </c>
      <c r="S141" s="66">
        <v>14.8</v>
      </c>
      <c r="T141" s="66">
        <v>18.2</v>
      </c>
      <c r="U141" s="66">
        <v>19.8</v>
      </c>
      <c r="V141" s="66">
        <v>17.2</v>
      </c>
      <c r="W141" s="66">
        <v>16.8</v>
      </c>
      <c r="X141" s="66">
        <v>18.600000000000001</v>
      </c>
      <c r="Y141" s="66">
        <v>20.2</v>
      </c>
      <c r="Z141" s="66">
        <v>19.399999999999999</v>
      </c>
      <c r="AA141" s="66">
        <v>20.8</v>
      </c>
      <c r="AB141" s="66">
        <v>21.6</v>
      </c>
      <c r="AC141" s="66">
        <v>18.399999999999999</v>
      </c>
      <c r="AD141" s="66">
        <v>19</v>
      </c>
      <c r="AE141" s="66">
        <v>17.8</v>
      </c>
      <c r="AF141" s="66">
        <v>18.399999999999999</v>
      </c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22</v>
      </c>
      <c r="AQ141" s="68">
        <f t="shared" si="12"/>
        <v>18.900000000000002</v>
      </c>
      <c r="AR141" s="68">
        <f>IFERROR(VLOOKUP(A141,Climatologia_TMAX!A:U,9+$E$2,FALSE),"")</f>
        <v>17.924274193548381</v>
      </c>
      <c r="AS141" s="68">
        <f t="shared" si="13"/>
        <v>0.97572580645162077</v>
      </c>
      <c r="AT141" s="74">
        <f t="shared" si="14"/>
        <v>21.6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21.6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1" s="69">
        <f t="shared" si="15"/>
        <v>0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16.8</v>
      </c>
      <c r="L142" s="66">
        <v>16.600000000000001</v>
      </c>
      <c r="M142" s="66">
        <v>15.2</v>
      </c>
      <c r="N142" s="66">
        <v>16.399999999999999</v>
      </c>
      <c r="O142" s="66">
        <v>18.2</v>
      </c>
      <c r="P142" s="66">
        <v>20</v>
      </c>
      <c r="Q142" s="66">
        <v>17.2</v>
      </c>
      <c r="R142" s="66">
        <v>19</v>
      </c>
      <c r="S142" s="66">
        <v>17</v>
      </c>
      <c r="T142" s="66">
        <v>17.399999999999999</v>
      </c>
      <c r="U142" s="66">
        <v>19.399999999999999</v>
      </c>
      <c r="V142" s="66">
        <v>16.399999999999999</v>
      </c>
      <c r="W142" s="66">
        <v>17.399999999999999</v>
      </c>
      <c r="X142" s="66">
        <v>17.2</v>
      </c>
      <c r="Y142" s="66">
        <v>18.2</v>
      </c>
      <c r="Z142" s="66">
        <v>19</v>
      </c>
      <c r="AA142" s="66">
        <v>20.399999999999999</v>
      </c>
      <c r="AB142" s="66">
        <v>20</v>
      </c>
      <c r="AC142" s="66">
        <v>19</v>
      </c>
      <c r="AD142" s="66">
        <v>18.399999999999999</v>
      </c>
      <c r="AE142" s="66">
        <v>17.399999999999999</v>
      </c>
      <c r="AF142" s="66">
        <v>18.2</v>
      </c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22</v>
      </c>
      <c r="AQ142" s="68">
        <f t="shared" si="12"/>
        <v>17.945454545454542</v>
      </c>
      <c r="AR142" s="68">
        <f>IFERROR(VLOOKUP(A142,Climatologia_TMAX!A:U,9+$E$2,FALSE),"")</f>
        <v>17.294555679149671</v>
      </c>
      <c r="AS142" s="68">
        <f t="shared" si="13"/>
        <v>0.65089886630487115</v>
      </c>
      <c r="AT142" s="74">
        <f t="shared" si="14"/>
        <v>20.399999999999999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22.6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31.8</v>
      </c>
      <c r="L143" s="66">
        <v>27.2</v>
      </c>
      <c r="M143" s="66">
        <v>27.8</v>
      </c>
      <c r="N143" s="66">
        <v>29.2</v>
      </c>
      <c r="O143" s="66">
        <v>30.2</v>
      </c>
      <c r="P143" s="66"/>
      <c r="Q143" s="66"/>
      <c r="R143" s="66"/>
      <c r="S143" s="66">
        <v>32.4</v>
      </c>
      <c r="T143" s="66">
        <v>32.6</v>
      </c>
      <c r="U143" s="66">
        <v>30</v>
      </c>
      <c r="V143" s="66">
        <v>30</v>
      </c>
      <c r="W143" s="66">
        <v>31</v>
      </c>
      <c r="X143" s="66">
        <v>29.4</v>
      </c>
      <c r="Y143" s="66">
        <v>33.200000000000003</v>
      </c>
      <c r="Z143" s="66">
        <v>33.200000000000003</v>
      </c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13</v>
      </c>
      <c r="AQ143" s="68" t="str">
        <f t="shared" si="12"/>
        <v/>
      </c>
      <c r="AR143" s="68">
        <f>IFERROR(VLOOKUP(A143,Climatologia_TMAX!A:U,9+$E$2,FALSE),"")</f>
        <v>30.086073414905449</v>
      </c>
      <c r="AS143" s="68" t="str">
        <f t="shared" si="13"/>
        <v/>
      </c>
      <c r="AT143" s="74">
        <f t="shared" si="14"/>
        <v>33.200000000000003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37.200000000000003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3" s="69">
        <f t="shared" si="15"/>
        <v>-4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21.335838174102911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26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/>
      <c r="L146" s="66"/>
      <c r="M146" s="66">
        <v>21.8</v>
      </c>
      <c r="N146" s="66">
        <v>19.399999999999999</v>
      </c>
      <c r="O146" s="66">
        <v>23</v>
      </c>
      <c r="P146" s="66">
        <v>23.8</v>
      </c>
      <c r="Q146" s="66">
        <v>22.8</v>
      </c>
      <c r="R146" s="66">
        <v>22.4</v>
      </c>
      <c r="S146" s="66">
        <v>19</v>
      </c>
      <c r="T146" s="66">
        <v>20.2</v>
      </c>
      <c r="U146" s="66">
        <v>22.4</v>
      </c>
      <c r="V146" s="66">
        <v>20.2</v>
      </c>
      <c r="W146" s="66">
        <v>22.6</v>
      </c>
      <c r="X146" s="66">
        <v>22.4</v>
      </c>
      <c r="Y146" s="66">
        <v>21.6</v>
      </c>
      <c r="Z146" s="66">
        <v>21.6</v>
      </c>
      <c r="AA146" s="66">
        <v>22.2</v>
      </c>
      <c r="AB146" s="66"/>
      <c r="AC146" s="66"/>
      <c r="AD146" s="66">
        <v>22</v>
      </c>
      <c r="AE146" s="66">
        <v>21</v>
      </c>
      <c r="AF146" s="66">
        <v>22.2</v>
      </c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18</v>
      </c>
      <c r="AQ146" s="68">
        <f t="shared" si="12"/>
        <v>21.7</v>
      </c>
      <c r="AR146" s="68">
        <f>IFERROR(VLOOKUP(A146,Climatologia_TMAX!A:U,9+$E$2,FALSE),"")</f>
        <v>20.927355094854001</v>
      </c>
      <c r="AS146" s="68">
        <f t="shared" si="13"/>
        <v>0.77264490514599871</v>
      </c>
      <c r="AT146" s="74">
        <f t="shared" si="14"/>
        <v>23.8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24.4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6" s="69">
        <f t="shared" si="15"/>
        <v>-0.59999999999999787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21.2</v>
      </c>
      <c r="L147" s="66">
        <v>18</v>
      </c>
      <c r="M147" s="66">
        <v>20.8</v>
      </c>
      <c r="N147" s="66">
        <v>17.8</v>
      </c>
      <c r="O147" s="66">
        <v>21.6</v>
      </c>
      <c r="P147" s="66">
        <v>22.6</v>
      </c>
      <c r="Q147" s="66">
        <v>19.2</v>
      </c>
      <c r="R147" s="66">
        <v>23.4</v>
      </c>
      <c r="S147" s="66">
        <v>22.4</v>
      </c>
      <c r="T147" s="66">
        <v>21.6</v>
      </c>
      <c r="U147" s="66">
        <v>23</v>
      </c>
      <c r="V147" s="66">
        <v>20</v>
      </c>
      <c r="W147" s="66">
        <v>21.8</v>
      </c>
      <c r="X147" s="66">
        <v>21</v>
      </c>
      <c r="Y147" s="66">
        <v>21.8</v>
      </c>
      <c r="Z147" s="66">
        <v>22</v>
      </c>
      <c r="AA147" s="66">
        <v>23</v>
      </c>
      <c r="AB147" s="66">
        <v>21.4</v>
      </c>
      <c r="AC147" s="66">
        <v>20.8</v>
      </c>
      <c r="AD147" s="66">
        <v>22.4</v>
      </c>
      <c r="AE147" s="66">
        <v>21.2</v>
      </c>
      <c r="AF147" s="66">
        <v>21.8</v>
      </c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22</v>
      </c>
      <c r="AQ147" s="68">
        <f t="shared" si="12"/>
        <v>21.309090909090909</v>
      </c>
      <c r="AR147" s="68">
        <f>IFERROR(VLOOKUP(A147,Climatologia_TMAX!A:U,9+$E$2,FALSE),"")</f>
        <v>21.257146953405019</v>
      </c>
      <c r="AS147" s="68">
        <f t="shared" si="13"/>
        <v>5.1943955685889165E-2</v>
      </c>
      <c r="AT147" s="74">
        <f t="shared" si="14"/>
        <v>23.4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25.2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7" s="69">
        <f t="shared" si="15"/>
        <v>-1.8000000000000007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26.4</v>
      </c>
      <c r="L148" s="66">
        <v>24.2</v>
      </c>
      <c r="M148" s="66">
        <v>25.2</v>
      </c>
      <c r="N148" s="66">
        <v>24.6</v>
      </c>
      <c r="O148" s="66">
        <v>25.2</v>
      </c>
      <c r="P148" s="66">
        <v>26.2</v>
      </c>
      <c r="Q148" s="66">
        <v>25.6</v>
      </c>
      <c r="R148" s="66">
        <v>26.4</v>
      </c>
      <c r="S148" s="66">
        <v>24.2</v>
      </c>
      <c r="T148" s="66">
        <v>27.2</v>
      </c>
      <c r="U148" s="66">
        <v>25.4</v>
      </c>
      <c r="V148" s="66">
        <v>24.2</v>
      </c>
      <c r="W148" s="66">
        <v>25.4</v>
      </c>
      <c r="X148" s="66">
        <v>27.2</v>
      </c>
      <c r="Y148" s="66">
        <v>26.6</v>
      </c>
      <c r="Z148" s="66">
        <v>27.2</v>
      </c>
      <c r="AA148" s="66">
        <v>26.2</v>
      </c>
      <c r="AB148" s="66">
        <v>25.4</v>
      </c>
      <c r="AC148" s="66">
        <v>27.2</v>
      </c>
      <c r="AD148" s="66">
        <v>26.2</v>
      </c>
      <c r="AE148" s="66">
        <v>27.2</v>
      </c>
      <c r="AF148" s="66">
        <v>26.4</v>
      </c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22</v>
      </c>
      <c r="AQ148" s="68">
        <f t="shared" si="12"/>
        <v>25.9</v>
      </c>
      <c r="AR148" s="68">
        <f>IFERROR(VLOOKUP(A148,Climatologia_TMAX!A:U,9+$E$2,FALSE),"")</f>
        <v>24.958892473118279</v>
      </c>
      <c r="AS148" s="68">
        <f t="shared" si="13"/>
        <v>0.94110752688171928</v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32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8" s="69">
        <f t="shared" si="15"/>
        <v>-4.8000000000000007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33.455483870967747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36.6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28.671096774193551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32.6</v>
      </c>
      <c r="L151" s="66">
        <v>32.6</v>
      </c>
      <c r="M151" s="66">
        <v>31.4</v>
      </c>
      <c r="N151" s="66">
        <v>32.200000000000003</v>
      </c>
      <c r="O151" s="66">
        <v>32</v>
      </c>
      <c r="P151" s="66">
        <v>33</v>
      </c>
      <c r="Q151" s="66">
        <v>31</v>
      </c>
      <c r="R151" s="66">
        <v>32</v>
      </c>
      <c r="S151" s="66">
        <v>30.2</v>
      </c>
      <c r="T151" s="66">
        <v>32.200000000000003</v>
      </c>
      <c r="U151" s="66">
        <v>31</v>
      </c>
      <c r="V151" s="66">
        <v>30</v>
      </c>
      <c r="W151" s="66">
        <v>32.200000000000003</v>
      </c>
      <c r="X151" s="66">
        <v>31.4</v>
      </c>
      <c r="Y151" s="66">
        <v>33.799999999999997</v>
      </c>
      <c r="Z151" s="107">
        <v>33</v>
      </c>
      <c r="AA151" s="66">
        <v>34.200000000000003</v>
      </c>
      <c r="AB151" s="66">
        <v>32.4</v>
      </c>
      <c r="AC151" s="66">
        <v>31.6</v>
      </c>
      <c r="AD151" s="66">
        <v>32</v>
      </c>
      <c r="AE151" s="66">
        <v>32.799999999999997</v>
      </c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21</v>
      </c>
      <c r="AQ151" s="68">
        <f t="shared" si="12"/>
        <v>32.076190476190469</v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34.200000000000003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23.4</v>
      </c>
      <c r="L152" s="66">
        <v>19.399999999999999</v>
      </c>
      <c r="M152" s="66">
        <v>23.4</v>
      </c>
      <c r="N152" s="66">
        <v>20.399999999999999</v>
      </c>
      <c r="O152" s="66">
        <v>25</v>
      </c>
      <c r="P152" s="66">
        <v>24.4</v>
      </c>
      <c r="Q152" s="66">
        <v>23.6</v>
      </c>
      <c r="R152" s="66">
        <v>24.2</v>
      </c>
      <c r="S152" s="66">
        <v>16.8</v>
      </c>
      <c r="T152" s="66">
        <v>22</v>
      </c>
      <c r="U152" s="66">
        <v>24</v>
      </c>
      <c r="V152" s="66">
        <v>20.399999999999999</v>
      </c>
      <c r="W152" s="66">
        <v>22</v>
      </c>
      <c r="X152" s="66">
        <v>22.6</v>
      </c>
      <c r="Y152" s="66">
        <v>24.2</v>
      </c>
      <c r="Z152" s="66">
        <v>24</v>
      </c>
      <c r="AA152" s="66">
        <v>25</v>
      </c>
      <c r="AB152" s="66">
        <v>24</v>
      </c>
      <c r="AC152" s="66">
        <v>22.4</v>
      </c>
      <c r="AD152" s="66">
        <v>22</v>
      </c>
      <c r="AE152" s="66">
        <v>21.5</v>
      </c>
      <c r="AF152" s="66">
        <v>22.4</v>
      </c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22</v>
      </c>
      <c r="AQ152" s="68">
        <f t="shared" si="12"/>
        <v>22.595454545454544</v>
      </c>
      <c r="AR152" s="68">
        <f>IFERROR(VLOOKUP(A152,Climatologia_TMAX!A:U,9+$E$2,FALSE),"")</f>
        <v>20.826350237314909</v>
      </c>
      <c r="AS152" s="68">
        <f t="shared" si="13"/>
        <v>1.7691043081396352</v>
      </c>
      <c r="AT152" s="74">
        <f t="shared" si="14"/>
        <v>25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19.2</v>
      </c>
      <c r="L153" s="66">
        <v>19.600000000000001</v>
      </c>
      <c r="M153" s="66"/>
      <c r="N153" s="66">
        <v>17.2</v>
      </c>
      <c r="O153" s="66">
        <v>20.6</v>
      </c>
      <c r="P153" s="66">
        <v>20.399999999999999</v>
      </c>
      <c r="Q153" s="66">
        <v>20.2</v>
      </c>
      <c r="R153" s="66">
        <v>21</v>
      </c>
      <c r="S153" s="66">
        <v>16.600000000000001</v>
      </c>
      <c r="T153" s="109"/>
      <c r="U153" s="66"/>
      <c r="V153" s="66"/>
      <c r="W153" s="66">
        <v>21.4</v>
      </c>
      <c r="X153" s="110">
        <v>20.399999999999999</v>
      </c>
      <c r="Y153" s="114">
        <v>21.6</v>
      </c>
      <c r="Z153" s="66">
        <v>19.399999999999999</v>
      </c>
      <c r="AA153" s="66">
        <v>21</v>
      </c>
      <c r="AB153" s="66">
        <v>21.8</v>
      </c>
      <c r="AC153" s="66">
        <v>20.399999999999999</v>
      </c>
      <c r="AD153" s="66">
        <v>20</v>
      </c>
      <c r="AE153" s="66">
        <v>19.2</v>
      </c>
      <c r="AF153" s="66">
        <v>21.2</v>
      </c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18</v>
      </c>
      <c r="AQ153" s="68">
        <f t="shared" si="12"/>
        <v>20.066666666666666</v>
      </c>
      <c r="AR153" s="68">
        <f>IFERROR(VLOOKUP(A153,Climatologia_TMAX!A:U,9+$E$2,FALSE),"")</f>
        <v>16.682050544108389</v>
      </c>
      <c r="AS153" s="68">
        <f t="shared" si="13"/>
        <v>3.3846161225582776</v>
      </c>
      <c r="AT153" s="74">
        <f t="shared" si="14"/>
        <v>21.8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21.4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3" s="69">
        <f t="shared" si="15"/>
        <v>0.40000000000000213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18</v>
      </c>
      <c r="L154" s="66">
        <v>17.2</v>
      </c>
      <c r="M154" s="66">
        <v>17.8</v>
      </c>
      <c r="N154" s="66">
        <v>17</v>
      </c>
      <c r="O154" s="66">
        <v>19.2</v>
      </c>
      <c r="P154" s="66">
        <v>20.399999999999999</v>
      </c>
      <c r="Q154" s="66">
        <v>18.2</v>
      </c>
      <c r="R154" s="66">
        <v>19.8</v>
      </c>
      <c r="S154" s="66">
        <v>15.4</v>
      </c>
      <c r="T154" s="66">
        <v>18</v>
      </c>
      <c r="U154" s="66">
        <v>20</v>
      </c>
      <c r="V154" s="66">
        <v>17</v>
      </c>
      <c r="W154" s="66">
        <v>18.399999999999999</v>
      </c>
      <c r="X154" s="66">
        <v>18</v>
      </c>
      <c r="Y154" s="66">
        <v>18.399999999999999</v>
      </c>
      <c r="Z154" s="66">
        <v>18</v>
      </c>
      <c r="AA154" s="66">
        <v>20.399999999999999</v>
      </c>
      <c r="AB154" s="66">
        <v>20.6</v>
      </c>
      <c r="AC154" s="66">
        <v>18.8</v>
      </c>
      <c r="AD154" s="66">
        <v>20.2</v>
      </c>
      <c r="AE154" s="66">
        <v>17.8</v>
      </c>
      <c r="AF154" s="66">
        <v>19.600000000000001</v>
      </c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22</v>
      </c>
      <c r="AQ154" s="68">
        <f t="shared" si="12"/>
        <v>18.554545454545458</v>
      </c>
      <c r="AR154" s="68">
        <f>IFERROR(VLOOKUP(A154,Climatologia_TMAX!A:U,9+$E$2,FALSE),"")</f>
        <v>17.74207636891661</v>
      </c>
      <c r="AS154" s="68">
        <f t="shared" si="13"/>
        <v>0.81246908562884812</v>
      </c>
      <c r="AT154" s="74">
        <f t="shared" si="14"/>
        <v>20.6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22.8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4" s="69">
        <f t="shared" si="15"/>
        <v>-2.1999999999999993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23.213862316153751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</v>
      </c>
      <c r="L156" s="66">
        <v>18.399999999999999</v>
      </c>
      <c r="M156" s="66">
        <v>18.8</v>
      </c>
      <c r="N156" s="66">
        <v>18</v>
      </c>
      <c r="O156" s="66">
        <v>20.2</v>
      </c>
      <c r="P156" s="66">
        <v>22.8</v>
      </c>
      <c r="Q156" s="66">
        <v>19</v>
      </c>
      <c r="R156" s="66">
        <v>23.6</v>
      </c>
      <c r="S156" s="66">
        <v>17.2</v>
      </c>
      <c r="T156" s="66">
        <v>20.8</v>
      </c>
      <c r="U156" s="66">
        <v>22.6</v>
      </c>
      <c r="V156" s="66">
        <v>19.8</v>
      </c>
      <c r="W156" s="66">
        <v>20.6</v>
      </c>
      <c r="X156" s="110">
        <v>20.8</v>
      </c>
      <c r="Y156" s="66">
        <v>22.4</v>
      </c>
      <c r="Z156" s="66">
        <v>23.2</v>
      </c>
      <c r="AA156" s="66">
        <v>23.6</v>
      </c>
      <c r="AB156" s="66">
        <v>22.2</v>
      </c>
      <c r="AC156" s="66">
        <v>21</v>
      </c>
      <c r="AD156" s="66">
        <v>21.2</v>
      </c>
      <c r="AE156" s="66">
        <v>20</v>
      </c>
      <c r="AF156" s="66">
        <v>21.2</v>
      </c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22</v>
      </c>
      <c r="AQ156" s="68">
        <f t="shared" si="12"/>
        <v>20.836363636363636</v>
      </c>
      <c r="AR156" s="68">
        <f>IFERROR(VLOOKUP(A156,Climatologia_TMAX!A:U,9+$E$2,FALSE),"")</f>
        <v>19.979731688407991</v>
      </c>
      <c r="AS156" s="68">
        <f t="shared" si="13"/>
        <v>0.85663194795564479</v>
      </c>
      <c r="AT156" s="74">
        <f t="shared" si="14"/>
        <v>23.6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25.4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6" s="69">
        <f t="shared" si="15"/>
        <v>-1.7999999999999972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23</v>
      </c>
      <c r="L158" s="66">
        <v>19.2</v>
      </c>
      <c r="M158" s="66">
        <v>19.600000000000001</v>
      </c>
      <c r="N158" s="66">
        <v>18.600000000000001</v>
      </c>
      <c r="O158" s="66">
        <v>22.6</v>
      </c>
      <c r="P158" s="66">
        <v>23.2</v>
      </c>
      <c r="Q158" s="66">
        <v>21</v>
      </c>
      <c r="R158" s="66">
        <v>24</v>
      </c>
      <c r="S158" s="66">
        <v>19.2</v>
      </c>
      <c r="T158" s="66">
        <v>24.4</v>
      </c>
      <c r="U158" s="66">
        <v>23.8</v>
      </c>
      <c r="V158" s="66">
        <v>22.4</v>
      </c>
      <c r="W158" s="66">
        <v>22.8</v>
      </c>
      <c r="X158" s="66">
        <v>23.8</v>
      </c>
      <c r="Y158" s="66">
        <v>23.4</v>
      </c>
      <c r="Z158" s="66">
        <v>24.2</v>
      </c>
      <c r="AA158" s="66">
        <v>25.6</v>
      </c>
      <c r="AB158" s="66">
        <v>23.8</v>
      </c>
      <c r="AC158" s="66">
        <v>23.6</v>
      </c>
      <c r="AD158" s="66">
        <v>23.4</v>
      </c>
      <c r="AE158" s="66">
        <v>23</v>
      </c>
      <c r="AF158" s="66">
        <v>22.8</v>
      </c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22</v>
      </c>
      <c r="AQ158" s="68">
        <f t="shared" si="12"/>
        <v>22.609090909090909</v>
      </c>
      <c r="AR158" s="68">
        <f>IFERROR(VLOOKUP(A158,Climatologia_TMAX!A:U,9+$E$2,FALSE),"")</f>
        <v>22.235245771655119</v>
      </c>
      <c r="AS158" s="68">
        <f t="shared" si="13"/>
        <v>0.37384513743579006</v>
      </c>
      <c r="AT158" s="74">
        <f t="shared" si="14"/>
        <v>25.6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29.8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8" s="69">
        <f t="shared" si="15"/>
        <v>-4.1999999999999993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26.11163440860215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31.4</v>
      </c>
      <c r="L160" s="66">
        <v>30.2</v>
      </c>
      <c r="M160" s="66">
        <v>31.4</v>
      </c>
      <c r="N160" s="66">
        <v>31.2</v>
      </c>
      <c r="O160" s="66">
        <v>31.6</v>
      </c>
      <c r="P160" s="66">
        <v>32</v>
      </c>
      <c r="Q160" s="66">
        <v>31.8</v>
      </c>
      <c r="R160" s="66">
        <v>31.8</v>
      </c>
      <c r="S160" s="66">
        <v>29.4</v>
      </c>
      <c r="T160" s="66">
        <v>32</v>
      </c>
      <c r="U160" s="66">
        <v>32.200000000000003</v>
      </c>
      <c r="V160" s="66">
        <v>30.6</v>
      </c>
      <c r="W160" s="66">
        <v>31</v>
      </c>
      <c r="X160" s="66">
        <v>31.8</v>
      </c>
      <c r="Y160" s="66">
        <v>32</v>
      </c>
      <c r="Z160" s="66">
        <v>32.799999999999997</v>
      </c>
      <c r="AA160" s="66">
        <v>33</v>
      </c>
      <c r="AB160" s="66">
        <v>31.2</v>
      </c>
      <c r="AC160" s="66">
        <v>29.2</v>
      </c>
      <c r="AD160" s="66">
        <v>31</v>
      </c>
      <c r="AE160" s="66">
        <v>31</v>
      </c>
      <c r="AF160" s="66">
        <v>31.2</v>
      </c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22</v>
      </c>
      <c r="AQ160" s="68">
        <f t="shared" si="12"/>
        <v>31.354545454545462</v>
      </c>
      <c r="AR160" s="68">
        <f>IFERROR(VLOOKUP(A160,Climatologia_TMAX!A:U,9+$E$2,FALSE),"")</f>
        <v>29.869247988652891</v>
      </c>
      <c r="AS160" s="68">
        <f t="shared" si="13"/>
        <v>1.4852974658925717</v>
      </c>
      <c r="AT160" s="74">
        <f t="shared" si="14"/>
        <v>33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30.035285884963301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34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27.43639016897081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26.4662638839655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18.600000000000001</v>
      </c>
      <c r="L164" s="66">
        <v>18</v>
      </c>
      <c r="M164" s="66">
        <v>15.8</v>
      </c>
      <c r="N164" s="66">
        <v>18.399999999999999</v>
      </c>
      <c r="O164" s="66">
        <v>17.399999999999999</v>
      </c>
      <c r="P164" s="66">
        <v>17.600000000000001</v>
      </c>
      <c r="Q164" s="66">
        <v>18.8</v>
      </c>
      <c r="R164" s="66">
        <v>19.2</v>
      </c>
      <c r="S164" s="66">
        <v>20.2</v>
      </c>
      <c r="T164" s="66">
        <v>17.2</v>
      </c>
      <c r="U164" s="109">
        <v>17.8</v>
      </c>
      <c r="V164" s="66">
        <v>15.4</v>
      </c>
      <c r="W164" s="66">
        <v>17.399999999999999</v>
      </c>
      <c r="X164" s="66">
        <v>17.8</v>
      </c>
      <c r="Y164" s="66">
        <v>18.2</v>
      </c>
      <c r="Z164" s="66">
        <v>18</v>
      </c>
      <c r="AA164" s="66">
        <v>17.8</v>
      </c>
      <c r="AB164" s="66">
        <v>18.2</v>
      </c>
      <c r="AC164" s="66">
        <v>17.600000000000001</v>
      </c>
      <c r="AD164" s="66">
        <v>19.399999999999999</v>
      </c>
      <c r="AE164" s="66">
        <v>19.600000000000001</v>
      </c>
      <c r="AF164" s="66">
        <v>20</v>
      </c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22</v>
      </c>
      <c r="AQ164" s="68">
        <f t="shared" si="12"/>
        <v>18.109090909090909</v>
      </c>
      <c r="AR164" s="68">
        <f>IFERROR(VLOOKUP(A164,Climatologia_TMAX!A:U,9+$E$2,FALSE),"")</f>
        <v>16.329537773261251</v>
      </c>
      <c r="AS164" s="68">
        <f t="shared" si="13"/>
        <v>1.7795531358296586</v>
      </c>
      <c r="AT164" s="74">
        <f t="shared" si="14"/>
        <v>20.2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21.8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4" s="69">
        <f t="shared" si="15"/>
        <v>-1.6000000000000014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13.4</v>
      </c>
      <c r="L165" s="66">
        <v>13</v>
      </c>
      <c r="M165" s="66">
        <v>12</v>
      </c>
      <c r="N165" s="66">
        <v>12.2</v>
      </c>
      <c r="O165" s="66">
        <v>12</v>
      </c>
      <c r="P165" s="66">
        <v>12.2</v>
      </c>
      <c r="Q165" s="66">
        <v>12.8</v>
      </c>
      <c r="R165" s="66">
        <v>12.8</v>
      </c>
      <c r="S165" s="66">
        <v>14</v>
      </c>
      <c r="T165" s="66">
        <v>14.8</v>
      </c>
      <c r="U165" s="66">
        <v>15.2</v>
      </c>
      <c r="V165" s="66">
        <v>13</v>
      </c>
      <c r="W165" s="66">
        <v>13.2</v>
      </c>
      <c r="X165" s="66">
        <v>13.8</v>
      </c>
      <c r="Y165" s="66">
        <v>13.6</v>
      </c>
      <c r="Z165" s="66">
        <v>13.8</v>
      </c>
      <c r="AA165" s="66">
        <v>13.6</v>
      </c>
      <c r="AB165" s="66">
        <v>14.2</v>
      </c>
      <c r="AC165" s="66">
        <v>14.4</v>
      </c>
      <c r="AD165" s="66">
        <v>15</v>
      </c>
      <c r="AE165" s="66">
        <v>15.6</v>
      </c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21</v>
      </c>
      <c r="AQ165" s="68">
        <f t="shared" si="12"/>
        <v>13.552380952380954</v>
      </c>
      <c r="AR165" s="68">
        <f>IFERROR(VLOOKUP(A165,Climatologia_TMAX!A:U,9+$E$2,FALSE),"")</f>
        <v>12.99240860215054</v>
      </c>
      <c r="AS165" s="68">
        <f t="shared" si="13"/>
        <v>0.5599723502304137</v>
      </c>
      <c r="AT165" s="74">
        <f t="shared" si="14"/>
        <v>15.6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17.399999999999999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5" s="69">
        <f t="shared" si="15"/>
        <v>-1.7999999999999989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15</v>
      </c>
      <c r="L166" s="66">
        <v>14</v>
      </c>
      <c r="M166" s="66">
        <v>12.6</v>
      </c>
      <c r="N166" s="66">
        <v>14</v>
      </c>
      <c r="O166" s="66">
        <v>15.8</v>
      </c>
      <c r="P166" s="66">
        <v>16</v>
      </c>
      <c r="Q166" s="66">
        <v>16.2</v>
      </c>
      <c r="R166" s="66">
        <v>14.2</v>
      </c>
      <c r="S166" s="66">
        <v>14.4</v>
      </c>
      <c r="T166" s="66">
        <v>14.6</v>
      </c>
      <c r="U166" s="66">
        <v>15.2</v>
      </c>
      <c r="V166" s="66">
        <v>13.4</v>
      </c>
      <c r="W166" s="66">
        <v>13.2</v>
      </c>
      <c r="X166" s="66">
        <v>14.8</v>
      </c>
      <c r="Y166" s="66">
        <v>15.4</v>
      </c>
      <c r="Z166" s="66">
        <v>16</v>
      </c>
      <c r="AA166" s="66">
        <v>15.6</v>
      </c>
      <c r="AB166" s="66">
        <v>13.6</v>
      </c>
      <c r="AC166" s="66">
        <v>15</v>
      </c>
      <c r="AD166" s="66">
        <v>17</v>
      </c>
      <c r="AE166" s="66">
        <v>15.4</v>
      </c>
      <c r="AF166" s="66">
        <v>16.399999999999999</v>
      </c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22</v>
      </c>
      <c r="AQ166" s="68">
        <f t="shared" si="12"/>
        <v>14.899999999999999</v>
      </c>
      <c r="AR166" s="68">
        <f>IFERROR(VLOOKUP(A166,Climatologia_TMAX!A:U,9+$E$2,FALSE),"")</f>
        <v>14.233020730924361</v>
      </c>
      <c r="AS166" s="68">
        <f t="shared" si="13"/>
        <v>0.66697926907563776</v>
      </c>
      <c r="AT166" s="74">
        <f t="shared" si="14"/>
        <v>17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6" s="69">
        <f t="shared" si="15"/>
        <v>-5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</v>
      </c>
      <c r="L167" s="66">
        <v>15.4</v>
      </c>
      <c r="M167" s="66">
        <v>14.4</v>
      </c>
      <c r="N167" s="66">
        <v>16</v>
      </c>
      <c r="O167" s="66">
        <v>17.2</v>
      </c>
      <c r="P167" s="66">
        <v>18</v>
      </c>
      <c r="Q167" s="66">
        <v>18.600000000000001</v>
      </c>
      <c r="R167" s="66">
        <v>16.600000000000001</v>
      </c>
      <c r="S167" s="66">
        <v>18.8</v>
      </c>
      <c r="T167" s="66">
        <v>17</v>
      </c>
      <c r="U167" s="109">
        <v>17.8</v>
      </c>
      <c r="V167" s="66">
        <v>15.2</v>
      </c>
      <c r="W167" s="66">
        <v>15</v>
      </c>
      <c r="X167" s="66">
        <v>15.8</v>
      </c>
      <c r="Y167" s="66">
        <v>17.8</v>
      </c>
      <c r="Z167" s="66">
        <v>17.399999999999999</v>
      </c>
      <c r="AA167" s="66">
        <v>17.8</v>
      </c>
      <c r="AB167" s="66">
        <v>16.600000000000001</v>
      </c>
      <c r="AC167" s="66">
        <v>21.6</v>
      </c>
      <c r="AD167" s="66">
        <v>17.2</v>
      </c>
      <c r="AE167" s="66">
        <v>19</v>
      </c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21</v>
      </c>
      <c r="AQ167" s="68">
        <f t="shared" si="12"/>
        <v>17.104761904761908</v>
      </c>
      <c r="AR167" s="68">
        <f>IFERROR(VLOOKUP(A167,Climatologia_TMAX!A:U,9+$E$2,FALSE),"")</f>
        <v>15.20642771804062</v>
      </c>
      <c r="AS167" s="68">
        <f t="shared" si="13"/>
        <v>1.8983341867212875</v>
      </c>
      <c r="AT167" s="74">
        <f t="shared" si="14"/>
        <v>21.6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19.399999999999999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2.2000000000000028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23.2</v>
      </c>
      <c r="L168" s="66">
        <v>22.2</v>
      </c>
      <c r="M168" s="66">
        <v>21.6</v>
      </c>
      <c r="N168" s="66">
        <v>22.8</v>
      </c>
      <c r="O168" s="66">
        <v>24.6</v>
      </c>
      <c r="P168" s="66">
        <v>23.8</v>
      </c>
      <c r="Q168" s="66">
        <v>24.6</v>
      </c>
      <c r="R168" s="66">
        <v>23.8</v>
      </c>
      <c r="S168" s="66">
        <v>24.6</v>
      </c>
      <c r="T168" s="66">
        <v>22.6</v>
      </c>
      <c r="U168" s="109">
        <v>23.2</v>
      </c>
      <c r="V168" s="66">
        <v>22</v>
      </c>
      <c r="W168" s="66">
        <v>21.8</v>
      </c>
      <c r="X168" s="66">
        <v>22.8</v>
      </c>
      <c r="Y168" s="66">
        <v>21.8</v>
      </c>
      <c r="Z168" s="66">
        <v>23.2</v>
      </c>
      <c r="AA168" s="66">
        <v>23.2</v>
      </c>
      <c r="AB168" s="66">
        <v>22.6</v>
      </c>
      <c r="AC168" s="66">
        <v>23.2</v>
      </c>
      <c r="AD168" s="66">
        <v>23.8</v>
      </c>
      <c r="AE168" s="66">
        <v>24.4</v>
      </c>
      <c r="AF168" s="66">
        <v>24.2</v>
      </c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22</v>
      </c>
      <c r="AQ168" s="68">
        <f t="shared" si="12"/>
        <v>23.181818181818183</v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24.6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8" s="69">
        <f t="shared" si="15"/>
        <v>-0.39999999999999858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30.37697548716681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34.396219921470212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22.977759802921099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23.6</v>
      </c>
      <c r="L172" s="66">
        <v>24.6</v>
      </c>
      <c r="M172" s="66">
        <v>21.8</v>
      </c>
      <c r="N172" s="66">
        <v>23.6</v>
      </c>
      <c r="O172" s="66">
        <v>24.6</v>
      </c>
      <c r="P172" s="66">
        <v>25.8</v>
      </c>
      <c r="Q172" s="66">
        <v>26</v>
      </c>
      <c r="R172" s="66">
        <v>26.2</v>
      </c>
      <c r="S172" s="66">
        <v>25.6</v>
      </c>
      <c r="T172" s="66">
        <v>25.4</v>
      </c>
      <c r="U172" s="66">
        <v>23.4</v>
      </c>
      <c r="V172" s="66">
        <v>23.2</v>
      </c>
      <c r="W172" s="66">
        <v>22.6</v>
      </c>
      <c r="X172" s="66">
        <v>24</v>
      </c>
      <c r="Y172" s="66">
        <v>23.6</v>
      </c>
      <c r="Z172" s="66">
        <v>25.4</v>
      </c>
      <c r="AA172" s="66">
        <v>23.6</v>
      </c>
      <c r="AB172" s="66">
        <v>23.2</v>
      </c>
      <c r="AC172" s="66">
        <v>22.6</v>
      </c>
      <c r="AD172" s="66">
        <v>22.6</v>
      </c>
      <c r="AE172" s="66">
        <v>26.4</v>
      </c>
      <c r="AF172" s="66">
        <v>25.6</v>
      </c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22</v>
      </c>
      <c r="AQ172" s="68">
        <f t="shared" si="12"/>
        <v>24.245454545454546</v>
      </c>
      <c r="AR172" s="68">
        <f>IFERROR(VLOOKUP(A172,Climatologia_TMAX!A:U,9+$E$2,FALSE),"")</f>
        <v>21.37397849462366</v>
      </c>
      <c r="AS172" s="68">
        <f t="shared" si="13"/>
        <v>2.8714760508308856</v>
      </c>
      <c r="AT172" s="74">
        <f t="shared" si="14"/>
        <v>26.4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26.4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2" s="69">
        <f t="shared" si="15"/>
        <v>0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18</v>
      </c>
      <c r="L173" s="66">
        <v>17.399999999999999</v>
      </c>
      <c r="M173" s="66">
        <v>18.5</v>
      </c>
      <c r="N173" s="66">
        <v>17.600000000000001</v>
      </c>
      <c r="O173" s="66">
        <v>18.600000000000001</v>
      </c>
      <c r="P173" s="66">
        <v>18.2</v>
      </c>
      <c r="Q173" s="66">
        <v>18.8</v>
      </c>
      <c r="R173" s="66">
        <v>18.600000000000001</v>
      </c>
      <c r="S173" s="66">
        <v>18.2</v>
      </c>
      <c r="T173" s="66">
        <v>17.399999999999999</v>
      </c>
      <c r="U173" s="66">
        <v>18.600000000000001</v>
      </c>
      <c r="V173" s="66"/>
      <c r="W173" s="66">
        <v>16.600000000000001</v>
      </c>
      <c r="X173" s="66">
        <v>17.8</v>
      </c>
      <c r="Y173" s="66">
        <v>18.600000000000001</v>
      </c>
      <c r="Z173" s="66">
        <v>19.2</v>
      </c>
      <c r="AA173" s="66">
        <v>21.2</v>
      </c>
      <c r="AB173" s="66">
        <v>17.399999999999999</v>
      </c>
      <c r="AC173" s="66">
        <v>17.8</v>
      </c>
      <c r="AD173" s="66">
        <v>22.2</v>
      </c>
      <c r="AE173" s="66">
        <v>20.6</v>
      </c>
      <c r="AF173" s="66">
        <v>20.8</v>
      </c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21</v>
      </c>
      <c r="AQ173" s="68">
        <f t="shared" si="12"/>
        <v>18.671428571428571</v>
      </c>
      <c r="AR173" s="68">
        <f>IFERROR(VLOOKUP(A173,Climatologia_TMAX!A:U,9+$E$2,FALSE),"")</f>
        <v>18.960986089776409</v>
      </c>
      <c r="AS173" s="68">
        <f t="shared" si="13"/>
        <v>-0.28955751834783783</v>
      </c>
      <c r="AT173" s="74">
        <f t="shared" si="14"/>
        <v>22.2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3" s="69">
        <f t="shared" si="15"/>
        <v>-2.8000000000000007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19.45048195084485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25.4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17.600000000000001</v>
      </c>
      <c r="L175" s="66">
        <v>18.600000000000001</v>
      </c>
      <c r="M175" s="66">
        <v>14.9</v>
      </c>
      <c r="N175" s="66">
        <v>17.8</v>
      </c>
      <c r="O175" s="66">
        <v>18</v>
      </c>
      <c r="P175" s="66">
        <v>16.600000000000001</v>
      </c>
      <c r="Q175" s="66">
        <v>18.8</v>
      </c>
      <c r="R175" s="66">
        <v>20.399999999999999</v>
      </c>
      <c r="S175" s="66">
        <v>20</v>
      </c>
      <c r="T175" s="66">
        <v>16.399999999999999</v>
      </c>
      <c r="U175" s="109">
        <v>18.600000000000001</v>
      </c>
      <c r="V175" s="66">
        <v>14.8</v>
      </c>
      <c r="W175" s="66">
        <v>16.8</v>
      </c>
      <c r="X175" s="66">
        <v>17.2</v>
      </c>
      <c r="Y175" s="66">
        <v>18.399999999999999</v>
      </c>
      <c r="Z175" s="66">
        <v>20.399999999999999</v>
      </c>
      <c r="AA175" s="66">
        <v>18</v>
      </c>
      <c r="AB175" s="66">
        <v>17.399999999999999</v>
      </c>
      <c r="AC175" s="66">
        <v>17.600000000000001</v>
      </c>
      <c r="AD175" s="66">
        <v>19.600000000000001</v>
      </c>
      <c r="AE175" s="66">
        <v>19.8</v>
      </c>
      <c r="AF175" s="66">
        <v>19.899999999999999</v>
      </c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22</v>
      </c>
      <c r="AQ175" s="68">
        <f t="shared" si="12"/>
        <v>18.072727272727271</v>
      </c>
      <c r="AR175" s="68">
        <f>IFERROR(VLOOKUP(A175,Climatologia_TMAX!A:U,9+$E$2,FALSE),"")</f>
        <v>16.556385496150121</v>
      </c>
      <c r="AS175" s="68">
        <f t="shared" si="13"/>
        <v>1.5163417765771499</v>
      </c>
      <c r="AT175" s="74">
        <f t="shared" si="14"/>
        <v>20.399999999999999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5" s="69">
        <f t="shared" si="15"/>
        <v>-1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20.6</v>
      </c>
      <c r="L176" s="66">
        <v>21.5</v>
      </c>
      <c r="M176" s="66">
        <v>18.3</v>
      </c>
      <c r="N176" s="66">
        <v>19.8</v>
      </c>
      <c r="O176" s="66">
        <v>21.3</v>
      </c>
      <c r="P176" s="66">
        <v>21.9</v>
      </c>
      <c r="Q176" s="66">
        <v>21.2</v>
      </c>
      <c r="R176" s="66">
        <v>21.7</v>
      </c>
      <c r="S176" s="66">
        <v>20.9</v>
      </c>
      <c r="T176" s="66">
        <v>19.899999999999999</v>
      </c>
      <c r="U176" s="109">
        <v>19.7</v>
      </c>
      <c r="V176" s="109">
        <v>18.399999999999999</v>
      </c>
      <c r="W176" s="66">
        <v>19.5</v>
      </c>
      <c r="X176" s="66">
        <v>20.399999999999999</v>
      </c>
      <c r="Y176" s="66">
        <v>19.600000000000001</v>
      </c>
      <c r="Z176" s="66">
        <v>22.2</v>
      </c>
      <c r="AA176" s="66">
        <v>20.3</v>
      </c>
      <c r="AB176" s="66">
        <v>20.399999999999999</v>
      </c>
      <c r="AC176" s="66">
        <v>17.8</v>
      </c>
      <c r="AD176" s="66">
        <v>17.7</v>
      </c>
      <c r="AE176" s="66">
        <v>21.6</v>
      </c>
      <c r="AF176" s="66">
        <v>21.9</v>
      </c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22</v>
      </c>
      <c r="AQ176" s="68">
        <f t="shared" si="12"/>
        <v>20.299999999999997</v>
      </c>
      <c r="AR176" s="68">
        <f>IFERROR(VLOOKUP(A176,Climatologia_TMAX!A:U,9+$E$2,FALSE),"")</f>
        <v>18.845440860215049</v>
      </c>
      <c r="AS176" s="68">
        <f t="shared" si="13"/>
        <v>1.4545591397849478</v>
      </c>
      <c r="AT176" s="74">
        <f t="shared" si="14"/>
        <v>22.2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22.5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6" s="69">
        <f t="shared" si="15"/>
        <v>-0.30000000000000071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29.392088700170181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29.35030129788559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34.799999999999997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/>
      <c r="L180" s="66">
        <v>25</v>
      </c>
      <c r="M180" s="66"/>
      <c r="N180" s="66">
        <v>23.8</v>
      </c>
      <c r="O180" s="66">
        <v>24.4</v>
      </c>
      <c r="P180" s="66">
        <v>26.4</v>
      </c>
      <c r="Q180" s="66">
        <v>26.6</v>
      </c>
      <c r="R180" s="66">
        <v>24.2</v>
      </c>
      <c r="S180" s="66">
        <v>25.4</v>
      </c>
      <c r="T180" s="66">
        <v>24.2</v>
      </c>
      <c r="U180" s="109">
        <v>23.8</v>
      </c>
      <c r="V180" s="66">
        <v>23.4</v>
      </c>
      <c r="W180" s="66">
        <v>22</v>
      </c>
      <c r="X180" s="66">
        <v>24.8</v>
      </c>
      <c r="Y180" s="66">
        <v>25.4</v>
      </c>
      <c r="Z180" s="66">
        <v>25</v>
      </c>
      <c r="AA180" s="66">
        <v>24.4</v>
      </c>
      <c r="AB180" s="66">
        <v>23.8</v>
      </c>
      <c r="AC180" s="66">
        <v>23</v>
      </c>
      <c r="AD180" s="66">
        <v>25</v>
      </c>
      <c r="AE180" s="66">
        <v>26.2</v>
      </c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19</v>
      </c>
      <c r="AQ180" s="68">
        <f t="shared" si="12"/>
        <v>24.568421052631578</v>
      </c>
      <c r="AR180" s="68">
        <f>IFERROR(VLOOKUP(A180,Climatologia_TMAX!A:U,9+$E$2,FALSE),"")</f>
        <v>21.704538720271199</v>
      </c>
      <c r="AS180" s="68">
        <f t="shared" si="13"/>
        <v>2.8638823323603795</v>
      </c>
      <c r="AT180" s="74">
        <f t="shared" si="14"/>
        <v>26.6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26.6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18.600000000000001</v>
      </c>
      <c r="L181" s="66">
        <v>19</v>
      </c>
      <c r="M181" s="66">
        <v>17.100000000000001</v>
      </c>
      <c r="N181" s="66">
        <v>18</v>
      </c>
      <c r="O181" s="66">
        <v>19</v>
      </c>
      <c r="P181" s="66">
        <v>19.399999999999999</v>
      </c>
      <c r="Q181" s="66">
        <v>20</v>
      </c>
      <c r="R181" s="66">
        <v>20.6</v>
      </c>
      <c r="S181" s="66">
        <v>20</v>
      </c>
      <c r="T181" s="66">
        <v>18.8</v>
      </c>
      <c r="U181" s="109">
        <v>17.8</v>
      </c>
      <c r="V181" s="66">
        <v>17.899999999999999</v>
      </c>
      <c r="W181" s="66">
        <v>19</v>
      </c>
      <c r="X181" s="66">
        <v>19.399999999999999</v>
      </c>
      <c r="Y181" s="66">
        <v>20.399999999999999</v>
      </c>
      <c r="Z181" s="66">
        <v>19.399999999999999</v>
      </c>
      <c r="AA181" s="66">
        <v>18.100000000000001</v>
      </c>
      <c r="AB181" s="66">
        <v>19</v>
      </c>
      <c r="AC181" s="66">
        <v>19.100000000000001</v>
      </c>
      <c r="AD181" s="66">
        <v>20</v>
      </c>
      <c r="AE181" s="66">
        <v>20.399999999999999</v>
      </c>
      <c r="AF181" s="66">
        <v>20</v>
      </c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22</v>
      </c>
      <c r="AQ181" s="68">
        <f t="shared" si="12"/>
        <v>19.136363636363637</v>
      </c>
      <c r="AR181" s="68">
        <f>IFERROR(VLOOKUP(A181,Climatologia_TMAX!A:U,9+$E$2,FALSE),"")</f>
        <v>17.347963765614409</v>
      </c>
      <c r="AS181" s="68">
        <f t="shared" si="13"/>
        <v>1.7883998707492275</v>
      </c>
      <c r="AT181" s="74">
        <f t="shared" si="14"/>
        <v>20.6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21.2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1" s="69">
        <f t="shared" si="15"/>
        <v>-0.59999999999999787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26.8</v>
      </c>
      <c r="L182" s="66">
        <v>25.2</v>
      </c>
      <c r="M182" s="66">
        <v>24.6</v>
      </c>
      <c r="N182" s="66">
        <v>25.4</v>
      </c>
      <c r="O182" s="66">
        <v>26.6</v>
      </c>
      <c r="P182" s="66">
        <v>28.2</v>
      </c>
      <c r="Q182" s="66">
        <v>28.8</v>
      </c>
      <c r="R182" s="66">
        <v>25.8</v>
      </c>
      <c r="S182" s="66">
        <v>28.4</v>
      </c>
      <c r="T182" s="66">
        <v>27.6</v>
      </c>
      <c r="U182" s="66">
        <v>26.6</v>
      </c>
      <c r="V182" s="66">
        <v>25</v>
      </c>
      <c r="W182" s="66">
        <v>24.8</v>
      </c>
      <c r="X182" s="66">
        <v>27.2</v>
      </c>
      <c r="Y182" s="66">
        <v>28.6</v>
      </c>
      <c r="Z182" s="66">
        <v>28.4</v>
      </c>
      <c r="AA182" s="66">
        <v>28</v>
      </c>
      <c r="AB182" s="66">
        <v>25.2</v>
      </c>
      <c r="AC182" s="66">
        <v>22.4</v>
      </c>
      <c r="AD182" s="66">
        <v>23.8</v>
      </c>
      <c r="AE182" s="66">
        <v>27</v>
      </c>
      <c r="AF182" s="66">
        <v>27.4</v>
      </c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22</v>
      </c>
      <c r="AQ182" s="68">
        <f t="shared" si="12"/>
        <v>26.445454545454542</v>
      </c>
      <c r="AR182" s="68">
        <f>IFERROR(VLOOKUP(A182,Climatologia_TMAX!A:U,9+$E$2,FALSE),"")</f>
        <v>24.30997741990134</v>
      </c>
      <c r="AS182" s="68">
        <f t="shared" si="13"/>
        <v>2.1354771255532015</v>
      </c>
      <c r="AT182" s="74">
        <f t="shared" si="14"/>
        <v>28.8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28.8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2" s="69">
        <f t="shared" si="15"/>
        <v>0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29</v>
      </c>
      <c r="L183" s="66">
        <v>26.8</v>
      </c>
      <c r="M183" s="66">
        <v>26.2</v>
      </c>
      <c r="N183" s="66">
        <v>27.4</v>
      </c>
      <c r="O183" s="66">
        <v>30</v>
      </c>
      <c r="P183" s="66">
        <v>31.6</v>
      </c>
      <c r="Q183" s="66">
        <v>32.4</v>
      </c>
      <c r="R183" s="66">
        <v>28.8</v>
      </c>
      <c r="S183" s="66">
        <v>28</v>
      </c>
      <c r="T183" s="66">
        <v>30.2</v>
      </c>
      <c r="U183" s="66">
        <v>29.4</v>
      </c>
      <c r="V183" s="66">
        <v>28.2</v>
      </c>
      <c r="W183" s="66">
        <v>27</v>
      </c>
      <c r="X183" s="66">
        <v>31.2</v>
      </c>
      <c r="Y183" s="66">
        <v>31.6</v>
      </c>
      <c r="Z183" s="66">
        <v>30</v>
      </c>
      <c r="AA183" s="66">
        <v>30.6</v>
      </c>
      <c r="AB183" s="66">
        <v>29</v>
      </c>
      <c r="AC183" s="109">
        <v>25.4</v>
      </c>
      <c r="AD183" s="66">
        <v>27</v>
      </c>
      <c r="AE183" s="66">
        <v>30.8</v>
      </c>
      <c r="AF183" s="66">
        <v>31.2</v>
      </c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22</v>
      </c>
      <c r="AQ183" s="68">
        <f t="shared" si="12"/>
        <v>29.172727272727276</v>
      </c>
      <c r="AR183" s="68">
        <f>IFERROR(VLOOKUP(A183,Climatologia_TMAX!A:U,9+$E$2,FALSE),"")</f>
        <v>26.548927953153569</v>
      </c>
      <c r="AS183" s="68">
        <f t="shared" si="13"/>
        <v>2.6237993195737062</v>
      </c>
      <c r="AT183" s="74">
        <f t="shared" si="14"/>
        <v>32.4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3" s="69">
        <f t="shared" si="15"/>
        <v>1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14.8</v>
      </c>
      <c r="L184" s="66">
        <v>15.8</v>
      </c>
      <c r="M184" s="66">
        <v>13.8</v>
      </c>
      <c r="N184" s="66">
        <v>15.6</v>
      </c>
      <c r="O184" s="66">
        <v>14.6</v>
      </c>
      <c r="P184" s="66">
        <v>17.8</v>
      </c>
      <c r="Q184" s="66">
        <v>17.399999999999999</v>
      </c>
      <c r="R184" s="66">
        <v>17.600000000000001</v>
      </c>
      <c r="S184" s="66">
        <v>13.8</v>
      </c>
      <c r="T184" s="66">
        <v>17.2</v>
      </c>
      <c r="U184" s="109">
        <v>17</v>
      </c>
      <c r="V184" s="66">
        <v>14.6</v>
      </c>
      <c r="W184" s="66">
        <v>15.8</v>
      </c>
      <c r="X184" s="66">
        <v>17.8</v>
      </c>
      <c r="Y184" s="66">
        <v>16.8</v>
      </c>
      <c r="Z184" s="66">
        <v>15.6</v>
      </c>
      <c r="AA184" s="66">
        <v>17.2</v>
      </c>
      <c r="AB184" s="66">
        <v>15.4</v>
      </c>
      <c r="AC184" s="66">
        <v>15.8</v>
      </c>
      <c r="AD184" s="66">
        <v>17.600000000000001</v>
      </c>
      <c r="AE184" s="66">
        <v>17.8</v>
      </c>
      <c r="AF184" s="66">
        <v>18.8</v>
      </c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22</v>
      </c>
      <c r="AQ184" s="68">
        <f t="shared" si="12"/>
        <v>16.300000000000004</v>
      </c>
      <c r="AR184" s="68">
        <f>IFERROR(VLOOKUP(A184,Climatologia_TMAX!A:U,9+$E$2,FALSE),"")</f>
        <v>14.413290322580639</v>
      </c>
      <c r="AS184" s="68">
        <f t="shared" si="13"/>
        <v>1.8867096774193648</v>
      </c>
      <c r="AT184" s="74">
        <f t="shared" si="14"/>
        <v>18.8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22.2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4" s="69">
        <f t="shared" si="15"/>
        <v>-3.3999999999999986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31.4</v>
      </c>
      <c r="L185" s="66">
        <v>31.4</v>
      </c>
      <c r="M185" s="66">
        <v>31.2</v>
      </c>
      <c r="N185" s="66">
        <v>30.4</v>
      </c>
      <c r="O185" s="66">
        <v>31.4</v>
      </c>
      <c r="P185" s="66">
        <v>30</v>
      </c>
      <c r="Q185" s="66">
        <v>33.4</v>
      </c>
      <c r="R185" s="66">
        <v>33</v>
      </c>
      <c r="S185" s="66">
        <v>27.2</v>
      </c>
      <c r="T185" s="66">
        <v>28.4</v>
      </c>
      <c r="U185" s="66">
        <v>29</v>
      </c>
      <c r="V185" s="66">
        <v>30.2</v>
      </c>
      <c r="W185" s="66">
        <v>31.6</v>
      </c>
      <c r="X185" s="66">
        <v>30.4</v>
      </c>
      <c r="Y185" s="66">
        <v>30.8</v>
      </c>
      <c r="Z185" s="66">
        <v>30.6</v>
      </c>
      <c r="AA185" s="66">
        <v>32.200000000000003</v>
      </c>
      <c r="AB185" s="66">
        <v>30.6</v>
      </c>
      <c r="AC185" s="66">
        <v>30.2</v>
      </c>
      <c r="AD185" s="66">
        <v>26.4</v>
      </c>
      <c r="AE185" s="66">
        <v>28.6</v>
      </c>
      <c r="AF185" s="66">
        <v>30.2</v>
      </c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22</v>
      </c>
      <c r="AQ185" s="68">
        <f t="shared" si="12"/>
        <v>30.390909090909098</v>
      </c>
      <c r="AR185" s="68">
        <f>IFERROR(VLOOKUP(A185,Climatologia_TMAX!A:U,9+$E$2,FALSE),"")</f>
        <v>28.305306586427651</v>
      </c>
      <c r="AS185" s="68">
        <f t="shared" si="13"/>
        <v>2.0856025044814466</v>
      </c>
      <c r="AT185" s="74">
        <f t="shared" si="14"/>
        <v>33.4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32.6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5" s="69">
        <f t="shared" si="15"/>
        <v>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31.4</v>
      </c>
      <c r="L186" s="66">
        <v>31.4</v>
      </c>
      <c r="M186" s="66">
        <v>28.8</v>
      </c>
      <c r="N186" s="66">
        <v>28.8</v>
      </c>
      <c r="O186" s="66">
        <v>30.2</v>
      </c>
      <c r="P186" s="66">
        <v>29</v>
      </c>
      <c r="Q186" s="66">
        <v>30.4</v>
      </c>
      <c r="R186" s="66">
        <v>29.8</v>
      </c>
      <c r="S186" s="66">
        <v>25.8</v>
      </c>
      <c r="T186" s="66">
        <v>29.6</v>
      </c>
      <c r="U186" s="66">
        <v>29.6</v>
      </c>
      <c r="V186" s="66">
        <v>29.2</v>
      </c>
      <c r="W186" s="66">
        <v>29</v>
      </c>
      <c r="X186" s="66">
        <v>30</v>
      </c>
      <c r="Y186" s="66">
        <v>31</v>
      </c>
      <c r="Z186" s="66">
        <v>31</v>
      </c>
      <c r="AA186" s="66">
        <v>32.4</v>
      </c>
      <c r="AB186" s="66">
        <v>27.8</v>
      </c>
      <c r="AC186" s="66">
        <v>28.8</v>
      </c>
      <c r="AD186" s="66">
        <v>24.8</v>
      </c>
      <c r="AE186" s="66">
        <v>29</v>
      </c>
      <c r="AF186" s="66">
        <v>28.6</v>
      </c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22</v>
      </c>
      <c r="AQ186" s="68">
        <f t="shared" si="12"/>
        <v>29.381818181818179</v>
      </c>
      <c r="AR186" s="68">
        <f>IFERROR(VLOOKUP(A186,Climatologia_TMAX!A:U,9+$E$2,FALSE),"")</f>
        <v>28.17490975422427</v>
      </c>
      <c r="AS186" s="68">
        <f t="shared" si="13"/>
        <v>1.206908427593909</v>
      </c>
      <c r="AT186" s="74">
        <f t="shared" si="14"/>
        <v>32.4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32.200000000000003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6" s="69">
        <f t="shared" si="15"/>
        <v>0.19999999999999574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</v>
      </c>
      <c r="L187" s="66">
        <v>25</v>
      </c>
      <c r="M187" s="66">
        <v>26.2</v>
      </c>
      <c r="N187" s="66">
        <v>24.6</v>
      </c>
      <c r="O187" s="66">
        <v>25.2</v>
      </c>
      <c r="P187" s="66">
        <v>26.8</v>
      </c>
      <c r="Q187" s="66">
        <v>29</v>
      </c>
      <c r="R187" s="66">
        <v>28.2</v>
      </c>
      <c r="S187" s="66">
        <v>22.6</v>
      </c>
      <c r="T187" s="66">
        <v>26.4</v>
      </c>
      <c r="U187" s="66">
        <v>26.2</v>
      </c>
      <c r="V187" s="66">
        <v>25</v>
      </c>
      <c r="W187" s="66">
        <v>26.8</v>
      </c>
      <c r="X187" s="66">
        <v>26.8</v>
      </c>
      <c r="Y187" s="66">
        <v>26.6</v>
      </c>
      <c r="Z187" s="66">
        <v>28</v>
      </c>
      <c r="AA187" s="66">
        <v>28.4</v>
      </c>
      <c r="AB187" s="66">
        <v>24.6</v>
      </c>
      <c r="AC187" s="66">
        <v>24.6</v>
      </c>
      <c r="AD187" s="66">
        <v>23.6</v>
      </c>
      <c r="AE187" s="66">
        <v>25.2</v>
      </c>
      <c r="AF187" s="66">
        <v>25.6</v>
      </c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22</v>
      </c>
      <c r="AQ187" s="68">
        <f t="shared" si="12"/>
        <v>26.018181818181823</v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29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29.2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-0.19999999999999929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13.2</v>
      </c>
      <c r="L188" s="66">
        <v>10.8</v>
      </c>
      <c r="M188" s="66">
        <v>12.2</v>
      </c>
      <c r="N188" s="66">
        <v>9.8000000000000007</v>
      </c>
      <c r="O188" s="66">
        <v>11.8</v>
      </c>
      <c r="P188" s="66">
        <v>14.4</v>
      </c>
      <c r="Q188" s="66">
        <v>13.6</v>
      </c>
      <c r="R188" s="66">
        <v>14.4</v>
      </c>
      <c r="S188" s="66">
        <v>10.4</v>
      </c>
      <c r="T188" s="66">
        <v>10.199999999999999</v>
      </c>
      <c r="U188" s="66">
        <v>10.199999999999999</v>
      </c>
      <c r="V188" s="66">
        <v>10.4</v>
      </c>
      <c r="W188" s="66">
        <v>10.4</v>
      </c>
      <c r="X188" s="66">
        <v>12</v>
      </c>
      <c r="Y188" s="66">
        <v>12.2</v>
      </c>
      <c r="Z188" s="66">
        <v>12.6</v>
      </c>
      <c r="AA188" s="66">
        <v>14</v>
      </c>
      <c r="AB188" s="66">
        <v>13.2</v>
      </c>
      <c r="AC188" s="109">
        <v>10.199999999999999</v>
      </c>
      <c r="AD188" s="66">
        <v>13.6</v>
      </c>
      <c r="AE188" s="66">
        <v>13.8</v>
      </c>
      <c r="AF188" s="66">
        <v>14.8</v>
      </c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22</v>
      </c>
      <c r="AQ188" s="68">
        <f t="shared" si="12"/>
        <v>12.19090909090909</v>
      </c>
      <c r="AR188" s="68">
        <f>IFERROR(VLOOKUP(A188,Climatologia_TMAX!A:U,9+$E$2,FALSE),"")</f>
        <v>12.467666540959829</v>
      </c>
      <c r="AS188" s="68">
        <f t="shared" si="13"/>
        <v>-0.27675745005073971</v>
      </c>
      <c r="AT188" s="74">
        <f t="shared" si="14"/>
        <v>14.8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8" s="69">
        <f t="shared" si="15"/>
        <v>-2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38.200000000000003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37.6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</v>
      </c>
      <c r="L191" s="66">
        <v>32.799999999999997</v>
      </c>
      <c r="M191" s="66">
        <v>34</v>
      </c>
      <c r="N191" s="66">
        <v>31.2</v>
      </c>
      <c r="O191" s="66">
        <v>38</v>
      </c>
      <c r="P191" s="66">
        <v>36</v>
      </c>
      <c r="Q191" s="66">
        <v>36.200000000000003</v>
      </c>
      <c r="R191" s="66">
        <v>37.200000000000003</v>
      </c>
      <c r="S191" s="66">
        <v>31.6</v>
      </c>
      <c r="T191" s="66">
        <v>35.4</v>
      </c>
      <c r="U191" s="66">
        <v>36.4</v>
      </c>
      <c r="V191" s="66">
        <v>32.6</v>
      </c>
      <c r="W191" s="66">
        <v>37</v>
      </c>
      <c r="X191" s="66">
        <v>34</v>
      </c>
      <c r="Y191" s="66">
        <v>36</v>
      </c>
      <c r="Z191" s="66">
        <v>35.799999999999997</v>
      </c>
      <c r="AA191" s="66">
        <v>36.799999999999997</v>
      </c>
      <c r="AB191" s="66">
        <v>33.6</v>
      </c>
      <c r="AC191" s="66">
        <v>36</v>
      </c>
      <c r="AD191" s="66">
        <v>31.6</v>
      </c>
      <c r="AE191" s="66">
        <v>34.799999999999997</v>
      </c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21</v>
      </c>
      <c r="AQ191" s="68">
        <f t="shared" si="12"/>
        <v>34.904761904761898</v>
      </c>
      <c r="AR191" s="68">
        <f>IFERROR(VLOOKUP(A191,Climatologia_TMAX!A:U,9+$E$2,FALSE),"")</f>
        <v>33.566923401480572</v>
      </c>
      <c r="AS191" s="68">
        <f t="shared" si="13"/>
        <v>1.3378385032813256</v>
      </c>
      <c r="AT191" s="74">
        <f t="shared" si="14"/>
        <v>38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1" s="69">
        <f t="shared" si="15"/>
        <v>-1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32.6</v>
      </c>
      <c r="L192" s="66">
        <v>31</v>
      </c>
      <c r="M192" s="66">
        <v>30.6</v>
      </c>
      <c r="N192" s="66">
        <v>28.6</v>
      </c>
      <c r="O192" s="66">
        <v>32.799999999999997</v>
      </c>
      <c r="P192" s="66">
        <v>32.4</v>
      </c>
      <c r="Q192" s="66">
        <v>34.200000000000003</v>
      </c>
      <c r="R192" s="66">
        <v>33</v>
      </c>
      <c r="S192" s="66">
        <v>27</v>
      </c>
      <c r="T192" s="66">
        <v>30.4</v>
      </c>
      <c r="U192" s="66">
        <v>29.8</v>
      </c>
      <c r="V192" s="66">
        <v>28.8</v>
      </c>
      <c r="W192" s="66">
        <v>31.2</v>
      </c>
      <c r="X192" s="66">
        <v>32.4</v>
      </c>
      <c r="Y192" s="66">
        <v>32.6</v>
      </c>
      <c r="Z192" s="66">
        <v>32</v>
      </c>
      <c r="AA192" s="66">
        <v>33</v>
      </c>
      <c r="AB192" s="66">
        <v>32.799999999999997</v>
      </c>
      <c r="AC192" s="66">
        <v>31.8</v>
      </c>
      <c r="AD192" s="66">
        <v>29.8</v>
      </c>
      <c r="AE192" s="66">
        <v>27.2</v>
      </c>
      <c r="AF192" s="66">
        <v>32</v>
      </c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22</v>
      </c>
      <c r="AQ192" s="68">
        <f t="shared" si="12"/>
        <v>31.181818181818183</v>
      </c>
      <c r="AR192" s="68">
        <f>IFERROR(VLOOKUP(A192,Climatologia_TMAX!A:U,9+$E$2,FALSE),"")</f>
        <v>30.282678784775559</v>
      </c>
      <c r="AS192" s="68">
        <f t="shared" si="13"/>
        <v>0.89913939704262447</v>
      </c>
      <c r="AT192" s="74">
        <f t="shared" si="14"/>
        <v>34.200000000000003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34.200000000000003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2" s="69">
        <f t="shared" si="15"/>
        <v>0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34.6</v>
      </c>
      <c r="L193" s="66">
        <v>31.8</v>
      </c>
      <c r="M193" s="66">
        <v>34.4</v>
      </c>
      <c r="N193" s="66">
        <v>30.2</v>
      </c>
      <c r="O193" s="66">
        <v>33.4</v>
      </c>
      <c r="P193" s="66">
        <v>35</v>
      </c>
      <c r="Q193" s="66">
        <v>36.4</v>
      </c>
      <c r="R193" s="66">
        <v>35.6</v>
      </c>
      <c r="S193" s="66">
        <v>28.6</v>
      </c>
      <c r="T193" s="66">
        <v>34.4</v>
      </c>
      <c r="U193" s="66">
        <v>35.799999999999997</v>
      </c>
      <c r="V193" s="66">
        <v>33.4</v>
      </c>
      <c r="W193" s="66">
        <v>34</v>
      </c>
      <c r="X193" s="66">
        <v>35.799999999999997</v>
      </c>
      <c r="Y193" s="66">
        <v>36.4</v>
      </c>
      <c r="Z193" s="66">
        <v>37.200000000000003</v>
      </c>
      <c r="AA193" s="66">
        <v>38</v>
      </c>
      <c r="AB193" s="66">
        <v>35</v>
      </c>
      <c r="AC193" s="66">
        <v>34.6</v>
      </c>
      <c r="AD193" s="66">
        <v>33.6</v>
      </c>
      <c r="AE193" s="66">
        <v>30.8</v>
      </c>
      <c r="AF193" s="66">
        <v>33.6</v>
      </c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22</v>
      </c>
      <c r="AQ193" s="68">
        <f t="shared" si="12"/>
        <v>34.209090909090911</v>
      </c>
      <c r="AR193" s="68">
        <f>IFERROR(VLOOKUP(A193,Climatologia_TMAX!A:U,9+$E$2,FALSE),"")</f>
        <v>32.385684601765163</v>
      </c>
      <c r="AS193" s="68">
        <f t="shared" si="13"/>
        <v>1.8234063073257474</v>
      </c>
      <c r="AT193" s="74">
        <f t="shared" si="14"/>
        <v>38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37.799999999999997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3" s="69">
        <f t="shared" si="15"/>
        <v>0.20000000000000284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35.6</v>
      </c>
      <c r="L194" s="66">
        <v>36</v>
      </c>
      <c r="M194" s="66">
        <v>33.200000000000003</v>
      </c>
      <c r="N194" s="66">
        <v>34</v>
      </c>
      <c r="O194" s="66">
        <v>36.200000000000003</v>
      </c>
      <c r="P194" s="66">
        <v>35.200000000000003</v>
      </c>
      <c r="Q194" s="66">
        <v>36.4</v>
      </c>
      <c r="R194" s="66">
        <v>37</v>
      </c>
      <c r="S194" s="66">
        <v>31</v>
      </c>
      <c r="T194" s="66">
        <v>34.4</v>
      </c>
      <c r="U194" s="66">
        <v>33</v>
      </c>
      <c r="V194" s="66">
        <v>35</v>
      </c>
      <c r="W194" s="66">
        <v>35.4</v>
      </c>
      <c r="X194" s="66">
        <v>37.200000000000003</v>
      </c>
      <c r="Y194" s="66">
        <v>36</v>
      </c>
      <c r="Z194" s="66">
        <v>36.4</v>
      </c>
      <c r="AA194" s="66">
        <v>37</v>
      </c>
      <c r="AB194" s="66">
        <v>32.4</v>
      </c>
      <c r="AC194" s="66">
        <v>33</v>
      </c>
      <c r="AD194" s="66">
        <v>34.6</v>
      </c>
      <c r="AE194" s="66">
        <v>34.4</v>
      </c>
      <c r="AF194" s="66">
        <v>35.799999999999997</v>
      </c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22</v>
      </c>
      <c r="AQ194" s="68">
        <f t="shared" si="12"/>
        <v>34.963636363636354</v>
      </c>
      <c r="AR194" s="68">
        <f>IFERROR(VLOOKUP(A194,Climatologia_TMAX!A:U,9+$E$2,FALSE),"")</f>
        <v>33.2712702861986</v>
      </c>
      <c r="AS194" s="68">
        <f t="shared" si="13"/>
        <v>1.6923660774377538</v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38.6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4" s="69">
        <f t="shared" si="15"/>
        <v>-1.3999999999999986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33.173392682277559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37.200000000000003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28.4180188276693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33.200000000000003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34.799999999999997</v>
      </c>
      <c r="L197" s="66">
        <v>32.6</v>
      </c>
      <c r="M197" s="66">
        <v>35.6</v>
      </c>
      <c r="N197" s="66">
        <v>32.200000000000003</v>
      </c>
      <c r="O197" s="66">
        <v>35.6</v>
      </c>
      <c r="P197" s="66">
        <v>36.799999999999997</v>
      </c>
      <c r="Q197" s="66">
        <v>36.799999999999997</v>
      </c>
      <c r="R197" s="66">
        <v>37.799999999999997</v>
      </c>
      <c r="S197" s="66">
        <v>32.4</v>
      </c>
      <c r="T197" s="66">
        <v>34.200000000000003</v>
      </c>
      <c r="U197" s="66">
        <v>36.799999999999997</v>
      </c>
      <c r="V197" s="66">
        <v>33.4</v>
      </c>
      <c r="W197" s="66">
        <v>34.799999999999997</v>
      </c>
      <c r="X197" s="66">
        <v>35.200000000000003</v>
      </c>
      <c r="Y197" s="66">
        <v>37.4</v>
      </c>
      <c r="Z197" s="66">
        <v>37.799999999999997</v>
      </c>
      <c r="AA197" s="66">
        <v>38</v>
      </c>
      <c r="AB197" s="66"/>
      <c r="AC197" s="66">
        <v>33.4</v>
      </c>
      <c r="AD197" s="66">
        <v>32.799999999999997</v>
      </c>
      <c r="AE197" s="66">
        <v>31.6</v>
      </c>
      <c r="AF197" s="66">
        <v>34.799999999999997</v>
      </c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21</v>
      </c>
      <c r="AQ197" s="68">
        <f t="shared" ref="AQ197:AQ260" si="17">IF(AP197&gt;14,AVERAGE(K197:AO197),"")</f>
        <v>34.99047619047618</v>
      </c>
      <c r="AR197" s="68">
        <f>IFERROR(VLOOKUP(A197,Climatologia_TMAX!A:U,9+$E$2,FALSE),"")</f>
        <v>33.366042996244893</v>
      </c>
      <c r="AS197" s="68">
        <f t="shared" ref="AS197:AS260" si="18">IF(OR(AQ197="",AR197=""),"",IFERROR(AQ197-AR197,""))</f>
        <v>1.6244331942312868</v>
      </c>
      <c r="AT197" s="74">
        <f t="shared" ref="AT197:AT260" si="19">IF(COUNT(K197:AO197)=0,"",MAX(K197:AO197))</f>
        <v>38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37.799999999999997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>
        <f t="shared" ref="AW197:AW260" si="20">IF(OR(AT197="",AU197=""),"NA",IFERROR(AT197-AU197,"NA"))</f>
        <v>0.20000000000000284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31.20389136077123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36.4</v>
      </c>
      <c r="L199" s="66">
        <v>34.6</v>
      </c>
      <c r="M199" s="66">
        <v>34.6</v>
      </c>
      <c r="N199" s="66">
        <v>29</v>
      </c>
      <c r="O199" s="66">
        <v>35.200000000000003</v>
      </c>
      <c r="P199" s="66">
        <v>35.6</v>
      </c>
      <c r="Q199" s="66">
        <v>37</v>
      </c>
      <c r="R199" s="66">
        <v>37.4</v>
      </c>
      <c r="S199" s="66">
        <v>30</v>
      </c>
      <c r="T199" s="66">
        <v>35</v>
      </c>
      <c r="U199" s="66">
        <v>36</v>
      </c>
      <c r="V199" s="66">
        <v>35</v>
      </c>
      <c r="W199" s="66">
        <v>35.6</v>
      </c>
      <c r="X199" s="66">
        <v>37.200000000000003</v>
      </c>
      <c r="Y199" s="66">
        <v>37</v>
      </c>
      <c r="Z199" s="66">
        <v>37.6</v>
      </c>
      <c r="AA199" s="66"/>
      <c r="AB199" s="66">
        <v>36.799999999999997</v>
      </c>
      <c r="AC199" s="66">
        <v>30.8</v>
      </c>
      <c r="AD199" s="66">
        <v>35.200000000000003</v>
      </c>
      <c r="AE199" s="66">
        <v>32</v>
      </c>
      <c r="AF199" s="66">
        <v>35</v>
      </c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21</v>
      </c>
      <c r="AQ199" s="68">
        <f t="shared" si="17"/>
        <v>34.904761904761905</v>
      </c>
      <c r="AR199" s="68">
        <f>IFERROR(VLOOKUP(A199,Climatologia_TMAX!A:U,9+$E$2,FALSE),"")</f>
        <v>32.247721945302388</v>
      </c>
      <c r="AS199" s="68">
        <f t="shared" si="18"/>
        <v>2.6570399594595173</v>
      </c>
      <c r="AT199" s="74">
        <f t="shared" si="19"/>
        <v>37.6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9" s="69">
        <f t="shared" si="20"/>
        <v>0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20.2</v>
      </c>
      <c r="L200" s="66">
        <v>16</v>
      </c>
      <c r="M200" s="66">
        <v>17.8</v>
      </c>
      <c r="N200" s="66">
        <v>17.600000000000001</v>
      </c>
      <c r="O200" s="66">
        <v>18.2</v>
      </c>
      <c r="P200" s="66">
        <v>21</v>
      </c>
      <c r="Q200" s="66">
        <v>20</v>
      </c>
      <c r="R200" s="66">
        <v>20</v>
      </c>
      <c r="S200" s="66">
        <v>18.2</v>
      </c>
      <c r="T200" s="66">
        <v>18.2</v>
      </c>
      <c r="U200" s="66">
        <v>17.600000000000001</v>
      </c>
      <c r="V200" s="66">
        <v>18</v>
      </c>
      <c r="W200" s="66">
        <v>18.399999999999999</v>
      </c>
      <c r="X200" s="66">
        <v>18.8</v>
      </c>
      <c r="Y200" s="66">
        <v>19.2</v>
      </c>
      <c r="Z200" s="66"/>
      <c r="AA200" s="66">
        <v>20</v>
      </c>
      <c r="AB200" s="66">
        <v>19</v>
      </c>
      <c r="AC200" s="66">
        <v>15.6</v>
      </c>
      <c r="AD200" s="66">
        <v>18</v>
      </c>
      <c r="AE200" s="66">
        <v>18.8</v>
      </c>
      <c r="AF200" s="66">
        <v>20.2</v>
      </c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21</v>
      </c>
      <c r="AQ200" s="68">
        <f t="shared" si="17"/>
        <v>18.609523809523811</v>
      </c>
      <c r="AR200" s="68">
        <f>IFERROR(VLOOKUP(A200,Climatologia_TMAX!A:U,9+$E$2,FALSE),"")</f>
        <v>17.595698924731181</v>
      </c>
      <c r="AS200" s="68">
        <f t="shared" si="18"/>
        <v>1.0138248847926299</v>
      </c>
      <c r="AT200" s="74">
        <f t="shared" si="19"/>
        <v>21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>
        <v>25.2</v>
      </c>
      <c r="M201" s="66">
        <v>23.2</v>
      </c>
      <c r="N201" s="66">
        <v>19.8</v>
      </c>
      <c r="O201" s="66">
        <v>22.2</v>
      </c>
      <c r="P201" s="66">
        <v>23.6</v>
      </c>
      <c r="Q201" s="66">
        <v>26</v>
      </c>
      <c r="R201" s="66"/>
      <c r="S201" s="66">
        <v>20.2</v>
      </c>
      <c r="T201" s="66"/>
      <c r="U201" s="66">
        <v>20.6</v>
      </c>
      <c r="V201" s="66">
        <v>21.2</v>
      </c>
      <c r="W201" s="66">
        <v>24.6</v>
      </c>
      <c r="X201" s="66">
        <v>25.5</v>
      </c>
      <c r="Y201" s="66">
        <v>24.8</v>
      </c>
      <c r="Z201" s="66">
        <v>25.4</v>
      </c>
      <c r="AA201" s="66">
        <v>25</v>
      </c>
      <c r="AB201" s="66">
        <v>24.6</v>
      </c>
      <c r="AC201" s="66">
        <v>21.2</v>
      </c>
      <c r="AD201" s="66">
        <v>20.6</v>
      </c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17</v>
      </c>
      <c r="AQ201" s="68">
        <f t="shared" si="17"/>
        <v>23.158823529411762</v>
      </c>
      <c r="AR201" s="68">
        <f>IFERROR(VLOOKUP(A201,Climatologia_TMAX!A:U,9+$E$2,FALSE),"")</f>
        <v>22.545313159242191</v>
      </c>
      <c r="AS201" s="68">
        <f t="shared" si="18"/>
        <v>0.61351037016957122</v>
      </c>
      <c r="AT201" s="74">
        <f t="shared" si="19"/>
        <v>26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25.607592417044291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32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</v>
      </c>
      <c r="L203" s="66">
        <v>18</v>
      </c>
      <c r="M203" s="66">
        <v>19</v>
      </c>
      <c r="N203" s="66">
        <v>19.2</v>
      </c>
      <c r="O203" s="66">
        <v>20</v>
      </c>
      <c r="P203" s="66">
        <v>20.6</v>
      </c>
      <c r="Q203" s="66">
        <v>21.8</v>
      </c>
      <c r="R203" s="66">
        <v>21.6</v>
      </c>
      <c r="S203" s="66">
        <v>17</v>
      </c>
      <c r="T203" s="66">
        <v>18.8</v>
      </c>
      <c r="U203" s="66">
        <v>18</v>
      </c>
      <c r="V203" s="66">
        <v>19</v>
      </c>
      <c r="W203" s="66">
        <v>20.2</v>
      </c>
      <c r="X203" s="66">
        <v>18.399999999999999</v>
      </c>
      <c r="Y203" s="66">
        <v>19.399999999999999</v>
      </c>
      <c r="Z203" s="66">
        <v>18</v>
      </c>
      <c r="AA203" s="66">
        <v>19.399999999999999</v>
      </c>
      <c r="AB203" s="66">
        <v>20</v>
      </c>
      <c r="AC203" s="66">
        <v>19.600000000000001</v>
      </c>
      <c r="AD203" s="66">
        <v>20.8</v>
      </c>
      <c r="AE203" s="66">
        <v>19.8</v>
      </c>
      <c r="AF203" s="66">
        <v>21.6</v>
      </c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22</v>
      </c>
      <c r="AQ203" s="68">
        <f t="shared" si="17"/>
        <v>19.554545454545458</v>
      </c>
      <c r="AR203" s="68">
        <f>IFERROR(VLOOKUP(A203,Climatologia_TMAX!A:U,9+$E$2,FALSE),"")</f>
        <v>19.408677967961381</v>
      </c>
      <c r="AS203" s="68">
        <f t="shared" si="18"/>
        <v>0.145867486584077</v>
      </c>
      <c r="AT203" s="74">
        <f t="shared" si="19"/>
        <v>21.8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3" s="69">
        <f t="shared" si="20"/>
        <v>-1.1999999999999993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29.2</v>
      </c>
      <c r="L205" s="66">
        <v>29.8</v>
      </c>
      <c r="M205" s="66">
        <v>27.6</v>
      </c>
      <c r="N205" s="66">
        <v>26</v>
      </c>
      <c r="O205" s="66">
        <v>27.4</v>
      </c>
      <c r="P205" s="66">
        <v>28.8</v>
      </c>
      <c r="Q205" s="66">
        <v>29.8</v>
      </c>
      <c r="R205" s="66">
        <v>29</v>
      </c>
      <c r="S205" s="66">
        <v>21</v>
      </c>
      <c r="T205" s="66">
        <v>28</v>
      </c>
      <c r="U205" s="66">
        <v>27.8</v>
      </c>
      <c r="V205" s="66">
        <v>26</v>
      </c>
      <c r="W205" s="66">
        <v>28.2</v>
      </c>
      <c r="X205" s="66">
        <v>28.6</v>
      </c>
      <c r="Y205" s="66">
        <v>28.8</v>
      </c>
      <c r="Z205" s="66">
        <v>29.2</v>
      </c>
      <c r="AA205" s="66">
        <v>29</v>
      </c>
      <c r="AB205" s="66">
        <v>27.8</v>
      </c>
      <c r="AC205" s="66">
        <v>28</v>
      </c>
      <c r="AD205" s="66">
        <v>26</v>
      </c>
      <c r="AE205" s="66">
        <v>24.8</v>
      </c>
      <c r="AF205" s="66">
        <v>28</v>
      </c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22</v>
      </c>
      <c r="AQ205" s="68">
        <f t="shared" si="17"/>
        <v>27.672727272727272</v>
      </c>
      <c r="AR205" s="68">
        <f>IFERROR(VLOOKUP(A205,Climatologia_TMAX!A:U,9+$E$2,FALSE),"")</f>
        <v>26.493225806451608</v>
      </c>
      <c r="AS205" s="68">
        <f t="shared" si="18"/>
        <v>1.1795014662756635</v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34.330295058883763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27.082569937993391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31.6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32.799999999999997</v>
      </c>
      <c r="L208" s="66">
        <v>32.200000000000003</v>
      </c>
      <c r="M208" s="66">
        <v>33.200000000000003</v>
      </c>
      <c r="N208" s="66">
        <v>30.8</v>
      </c>
      <c r="O208" s="66">
        <v>33.200000000000003</v>
      </c>
      <c r="P208" s="66">
        <v>34.799999999999997</v>
      </c>
      <c r="Q208" s="66">
        <v>35</v>
      </c>
      <c r="R208" s="66">
        <v>35.200000000000003</v>
      </c>
      <c r="S208" s="66">
        <v>27.4</v>
      </c>
      <c r="T208" s="66">
        <v>33</v>
      </c>
      <c r="U208" s="66">
        <v>32.6</v>
      </c>
      <c r="V208" s="66">
        <v>30.6</v>
      </c>
      <c r="W208" s="66">
        <v>33.799999999999997</v>
      </c>
      <c r="X208" s="66">
        <v>34</v>
      </c>
      <c r="Y208" s="113">
        <v>35.4</v>
      </c>
      <c r="Z208" s="66">
        <v>35.200000000000003</v>
      </c>
      <c r="AA208" s="66">
        <v>35.6</v>
      </c>
      <c r="AB208" s="66">
        <v>34.6</v>
      </c>
      <c r="AC208" s="66">
        <v>30.6</v>
      </c>
      <c r="AD208" s="66">
        <v>31.2</v>
      </c>
      <c r="AE208" s="66">
        <v>31</v>
      </c>
      <c r="AF208" s="66">
        <v>33.200000000000003</v>
      </c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22</v>
      </c>
      <c r="AQ208" s="68">
        <f t="shared" si="17"/>
        <v>32.972727272727283</v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8" s="69">
        <f t="shared" si="20"/>
        <v>0.60000000000000142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23</v>
      </c>
      <c r="L209" s="66">
        <v>23.6</v>
      </c>
      <c r="M209" s="66">
        <v>21.8</v>
      </c>
      <c r="N209" s="66">
        <v>22</v>
      </c>
      <c r="O209" s="66">
        <v>25.6</v>
      </c>
      <c r="P209" s="66">
        <v>23.6</v>
      </c>
      <c r="Q209" s="66">
        <v>26.6</v>
      </c>
      <c r="R209" s="66">
        <v>25.6</v>
      </c>
      <c r="S209" s="66">
        <v>20.2</v>
      </c>
      <c r="T209" s="66">
        <v>23.2</v>
      </c>
      <c r="U209" s="66">
        <v>24.2</v>
      </c>
      <c r="V209" s="66">
        <v>20.399999999999999</v>
      </c>
      <c r="W209" s="66">
        <v>23.8</v>
      </c>
      <c r="X209" s="66">
        <v>21.2</v>
      </c>
      <c r="Y209" s="66">
        <v>24.6</v>
      </c>
      <c r="Z209" s="66">
        <v>25.6</v>
      </c>
      <c r="AA209" s="66">
        <v>24.6</v>
      </c>
      <c r="AB209" s="66">
        <v>23.6</v>
      </c>
      <c r="AC209" s="66">
        <v>24</v>
      </c>
      <c r="AD209" s="66">
        <v>21.2</v>
      </c>
      <c r="AE209" s="66">
        <v>22</v>
      </c>
      <c r="AF209" s="66">
        <v>24.2</v>
      </c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22</v>
      </c>
      <c r="AQ209" s="68">
        <f t="shared" si="17"/>
        <v>23.390909090909091</v>
      </c>
      <c r="AR209" s="68">
        <f>IFERROR(VLOOKUP(A209,Climatologia_TMAX!A:U,9+$E$2,FALSE),"")</f>
        <v>23.463917315535781</v>
      </c>
      <c r="AS209" s="68">
        <f t="shared" si="18"/>
        <v>-7.3008224626690321E-2</v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27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9" s="69">
        <f t="shared" si="20"/>
        <v>-0.39999999999999858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29.8</v>
      </c>
      <c r="L210" s="66">
        <v>28.4</v>
      </c>
      <c r="M210" s="66">
        <v>28.4</v>
      </c>
      <c r="N210" s="66">
        <v>27.8</v>
      </c>
      <c r="O210" s="66">
        <v>31.4</v>
      </c>
      <c r="P210" s="66">
        <v>31.2</v>
      </c>
      <c r="Q210" s="66">
        <v>30.6</v>
      </c>
      <c r="R210" s="66">
        <v>31.8</v>
      </c>
      <c r="S210" s="66">
        <v>26</v>
      </c>
      <c r="T210" s="66">
        <v>28.6</v>
      </c>
      <c r="U210" s="66">
        <v>29.6</v>
      </c>
      <c r="V210" s="66">
        <v>26.6</v>
      </c>
      <c r="W210" s="66">
        <v>30.8</v>
      </c>
      <c r="X210" s="66">
        <v>28.4</v>
      </c>
      <c r="Y210" s="66">
        <v>30.2</v>
      </c>
      <c r="Z210" s="66">
        <v>30</v>
      </c>
      <c r="AA210" s="66">
        <v>31.4</v>
      </c>
      <c r="AB210" s="66">
        <v>28.8</v>
      </c>
      <c r="AC210" s="66">
        <v>30.6</v>
      </c>
      <c r="AD210" s="66">
        <v>27</v>
      </c>
      <c r="AE210" s="66">
        <v>28.4</v>
      </c>
      <c r="AF210" s="66">
        <v>30.8</v>
      </c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22</v>
      </c>
      <c r="AQ210" s="68">
        <f t="shared" si="17"/>
        <v>29.390909090909087</v>
      </c>
      <c r="AR210" s="68">
        <f>IFERROR(VLOOKUP(A210,Climatologia_TMAX!A:U,9+$E$2,FALSE),"")</f>
        <v>28.857991979167998</v>
      </c>
      <c r="AS210" s="68">
        <f t="shared" si="18"/>
        <v>0.53291711174108869</v>
      </c>
      <c r="AT210" s="74">
        <f t="shared" si="19"/>
        <v>31.8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32.6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10" s="69">
        <f t="shared" si="20"/>
        <v>-0.80000000000000071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29.616851526558602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35.4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33.870803163126581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/>
      <c r="L214" s="66"/>
      <c r="M214" s="66">
        <v>29.8</v>
      </c>
      <c r="N214" s="66">
        <v>28</v>
      </c>
      <c r="O214" s="66">
        <v>30.6</v>
      </c>
      <c r="P214" s="66"/>
      <c r="Q214" s="66">
        <v>28.2</v>
      </c>
      <c r="R214" s="66">
        <v>32</v>
      </c>
      <c r="S214" s="66"/>
      <c r="T214" s="109">
        <v>28.4</v>
      </c>
      <c r="U214" s="66"/>
      <c r="V214" s="66">
        <v>29</v>
      </c>
      <c r="W214" s="66">
        <v>29.4</v>
      </c>
      <c r="X214" s="66">
        <v>28</v>
      </c>
      <c r="Y214" s="66">
        <v>31</v>
      </c>
      <c r="Z214" s="66">
        <v>30.8</v>
      </c>
      <c r="AA214" s="66"/>
      <c r="AB214" s="66"/>
      <c r="AC214" s="66">
        <v>28</v>
      </c>
      <c r="AD214" s="66">
        <v>27</v>
      </c>
      <c r="AE214" s="66">
        <v>29</v>
      </c>
      <c r="AF214" s="66">
        <v>31</v>
      </c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15</v>
      </c>
      <c r="AQ214" s="68">
        <f t="shared" si="17"/>
        <v>29.346666666666671</v>
      </c>
      <c r="AR214" s="68">
        <f>IFERROR(VLOOKUP(A214,Climatologia_TMAX!A:U,9+$E$2,FALSE),"")</f>
        <v>28.602773765873511</v>
      </c>
      <c r="AS214" s="68">
        <f t="shared" si="18"/>
        <v>0.74389290079315984</v>
      </c>
      <c r="AT214" s="74">
        <f t="shared" si="19"/>
        <v>32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4" s="69">
        <f t="shared" si="20"/>
        <v>-3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>
        <v>24.8</v>
      </c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>
        <f>IFERROR(VLOOKUP(A215,Climatologia_TMAX!A:U,9+$E$2,FALSE),"")</f>
        <v>33.824759929830392</v>
      </c>
      <c r="AS215" s="68" t="str">
        <f t="shared" si="18"/>
        <v/>
      </c>
      <c r="AT215" s="74">
        <f t="shared" si="19"/>
        <v>24.8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38.799999999999997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5" s="69">
        <f t="shared" si="20"/>
        <v>-13.999999999999996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/>
      <c r="L216" s="66">
        <v>24.4</v>
      </c>
      <c r="M216" s="66">
        <v>25.4</v>
      </c>
      <c r="N216" s="66">
        <v>25.4</v>
      </c>
      <c r="O216" s="66">
        <v>26.2</v>
      </c>
      <c r="P216" s="66">
        <v>26.4</v>
      </c>
      <c r="Q216" s="66">
        <v>28.2</v>
      </c>
      <c r="R216" s="66">
        <v>27.8</v>
      </c>
      <c r="S216" s="66">
        <v>26.2</v>
      </c>
      <c r="T216" s="66">
        <v>25.8</v>
      </c>
      <c r="U216" s="66">
        <v>25</v>
      </c>
      <c r="V216" s="66">
        <v>25</v>
      </c>
      <c r="W216" s="66">
        <v>25.8</v>
      </c>
      <c r="X216" s="66">
        <v>26.2</v>
      </c>
      <c r="Y216" s="66">
        <v>28</v>
      </c>
      <c r="Z216" s="66">
        <v>27.8</v>
      </c>
      <c r="AA216" s="66">
        <v>29.8</v>
      </c>
      <c r="AB216" s="66">
        <v>26.6</v>
      </c>
      <c r="AC216" s="66">
        <v>24</v>
      </c>
      <c r="AD216" s="66">
        <v>23.6</v>
      </c>
      <c r="AE216" s="66">
        <v>24.8</v>
      </c>
      <c r="AF216" s="66">
        <v>26.8</v>
      </c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21</v>
      </c>
      <c r="AQ216" s="68">
        <f t="shared" si="17"/>
        <v>26.152380952380948</v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29.8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30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6" s="69">
        <f t="shared" si="20"/>
        <v>-0.19999999999999929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25.8</v>
      </c>
      <c r="L217" s="66">
        <v>26.2</v>
      </c>
      <c r="M217" s="66">
        <v>25</v>
      </c>
      <c r="N217" s="66">
        <v>21.6</v>
      </c>
      <c r="O217" s="66">
        <v>25.6</v>
      </c>
      <c r="P217" s="66">
        <v>26</v>
      </c>
      <c r="Q217" s="66">
        <v>27.8</v>
      </c>
      <c r="R217" s="66"/>
      <c r="S217" s="66">
        <v>23.6</v>
      </c>
      <c r="T217" s="66">
        <v>24.5</v>
      </c>
      <c r="U217" s="66">
        <v>25.6</v>
      </c>
      <c r="V217" s="66">
        <v>25.6</v>
      </c>
      <c r="W217" s="66">
        <v>25.6</v>
      </c>
      <c r="X217" s="66">
        <v>24.8</v>
      </c>
      <c r="Y217" s="66">
        <v>26.8</v>
      </c>
      <c r="Z217" s="66">
        <v>26.8</v>
      </c>
      <c r="AA217" s="66">
        <v>27</v>
      </c>
      <c r="AB217" s="66">
        <v>26.2</v>
      </c>
      <c r="AC217" s="66">
        <v>26.2</v>
      </c>
      <c r="AD217" s="66">
        <v>26</v>
      </c>
      <c r="AE217" s="66">
        <v>24.2</v>
      </c>
      <c r="AF217" s="66">
        <v>25.4</v>
      </c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21</v>
      </c>
      <c r="AQ217" s="68">
        <f t="shared" si="17"/>
        <v>25.538095238095242</v>
      </c>
      <c r="AR217" s="68">
        <f>IFERROR(VLOOKUP(A217,Climatologia_TMAX!A:U,9+$E$2,FALSE),"")</f>
        <v>23.708222693998628</v>
      </c>
      <c r="AS217" s="68">
        <f t="shared" si="18"/>
        <v>1.829872544096613</v>
      </c>
      <c r="AT217" s="74">
        <f t="shared" si="19"/>
        <v>27.8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27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7" s="69">
        <f t="shared" si="20"/>
        <v>0.80000000000000071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30.310080645161289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30.287562724014339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21.409907304412311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26.2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15.8</v>
      </c>
      <c r="L221" s="66">
        <v>15.8</v>
      </c>
      <c r="M221" s="109">
        <v>15.4</v>
      </c>
      <c r="N221" s="66">
        <v>16.2</v>
      </c>
      <c r="O221" s="66">
        <v>18</v>
      </c>
      <c r="P221" s="66">
        <v>20.2</v>
      </c>
      <c r="Q221" s="66">
        <v>18.600000000000001</v>
      </c>
      <c r="R221" s="66"/>
      <c r="S221" s="66">
        <v>17.600000000000001</v>
      </c>
      <c r="T221" s="66">
        <v>19.2</v>
      </c>
      <c r="U221" s="66">
        <v>20</v>
      </c>
      <c r="V221" s="66">
        <v>16.600000000000001</v>
      </c>
      <c r="W221" s="66">
        <v>18.600000000000001</v>
      </c>
      <c r="X221" s="66">
        <v>19.8</v>
      </c>
      <c r="Y221" s="66">
        <v>20</v>
      </c>
      <c r="Z221" s="66">
        <v>18.600000000000001</v>
      </c>
      <c r="AA221" s="66">
        <v>16.600000000000001</v>
      </c>
      <c r="AB221" s="66">
        <v>18.8</v>
      </c>
      <c r="AC221" s="66">
        <v>17.600000000000001</v>
      </c>
      <c r="AD221" s="66">
        <v>18</v>
      </c>
      <c r="AE221" s="66">
        <v>20</v>
      </c>
      <c r="AF221" s="66">
        <v>21</v>
      </c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21</v>
      </c>
      <c r="AQ221" s="68">
        <f t="shared" si="17"/>
        <v>18.209523809523812</v>
      </c>
      <c r="AR221" s="68">
        <f>IFERROR(VLOOKUP(A221,Climatologia_TMAX!A:U,9+$E$2,FALSE),"")</f>
        <v>15.77183842348882</v>
      </c>
      <c r="AS221" s="68">
        <f t="shared" si="18"/>
        <v>2.4376853860349925</v>
      </c>
      <c r="AT221" s="74">
        <f t="shared" si="19"/>
        <v>21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20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1" s="69">
        <f t="shared" si="20"/>
        <v>1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24</v>
      </c>
      <c r="M222" s="66">
        <v>23.4</v>
      </c>
      <c r="N222" s="66">
        <v>21.8</v>
      </c>
      <c r="O222" s="66">
        <v>25</v>
      </c>
      <c r="P222" s="66"/>
      <c r="Q222" s="66">
        <v>26</v>
      </c>
      <c r="R222" s="66">
        <v>23.8</v>
      </c>
      <c r="S222" s="66"/>
      <c r="T222" s="66">
        <v>25</v>
      </c>
      <c r="U222" s="66">
        <v>22.4</v>
      </c>
      <c r="V222" s="66">
        <v>20.8</v>
      </c>
      <c r="W222" s="66">
        <v>25.2</v>
      </c>
      <c r="X222" s="66">
        <v>26</v>
      </c>
      <c r="Y222" s="66">
        <v>25.8</v>
      </c>
      <c r="Z222" s="66">
        <v>26</v>
      </c>
      <c r="AA222" s="66">
        <v>27.2</v>
      </c>
      <c r="AB222" s="66">
        <v>24.2</v>
      </c>
      <c r="AC222" s="66">
        <v>20</v>
      </c>
      <c r="AD222" s="66">
        <v>21.4</v>
      </c>
      <c r="AE222" s="66">
        <v>24.8</v>
      </c>
      <c r="AF222" s="66">
        <v>23.6</v>
      </c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20</v>
      </c>
      <c r="AQ222" s="68">
        <f t="shared" si="17"/>
        <v>24.020000000000003</v>
      </c>
      <c r="AR222" s="68">
        <f>IFERROR(VLOOKUP(A222,Climatologia_TMAX!A:U,9+$E$2,FALSE),"")</f>
        <v>22.577401658408331</v>
      </c>
      <c r="AS222" s="68">
        <f t="shared" si="18"/>
        <v>1.4425983415916726</v>
      </c>
      <c r="AT222" s="74">
        <f t="shared" si="19"/>
        <v>27.2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2" s="69">
        <f t="shared" si="20"/>
        <v>-1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31.8</v>
      </c>
      <c r="L224" s="66">
        <v>32.799999999999997</v>
      </c>
      <c r="M224" s="66">
        <v>32.1</v>
      </c>
      <c r="N224" s="66">
        <v>32.299999999999997</v>
      </c>
      <c r="O224" s="66">
        <v>32</v>
      </c>
      <c r="P224" s="66">
        <v>33.4</v>
      </c>
      <c r="Q224" s="66">
        <v>34.200000000000003</v>
      </c>
      <c r="R224" s="66">
        <v>35.200000000000003</v>
      </c>
      <c r="S224" s="66">
        <v>30.6</v>
      </c>
      <c r="T224" s="66"/>
      <c r="U224" s="66"/>
      <c r="V224" s="66"/>
      <c r="W224" s="66"/>
      <c r="X224" s="66">
        <v>33.799999999999997</v>
      </c>
      <c r="Y224" s="66">
        <v>34.200000000000003</v>
      </c>
      <c r="Z224" s="66">
        <v>32</v>
      </c>
      <c r="AA224" s="66">
        <v>30.4</v>
      </c>
      <c r="AB224" s="66">
        <v>29.6</v>
      </c>
      <c r="AC224" s="66">
        <v>30.2</v>
      </c>
      <c r="AD224" s="66">
        <v>29.4</v>
      </c>
      <c r="AE224" s="66">
        <v>32.4</v>
      </c>
      <c r="AF224" s="66">
        <v>33.200000000000003</v>
      </c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18</v>
      </c>
      <c r="AQ224" s="68">
        <f t="shared" si="17"/>
        <v>32.200000000000003</v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35.200000000000003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4" s="69">
        <f t="shared" si="20"/>
        <v>-0.39999999999999858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24.302030426719401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31.2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34.4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31.94941523503481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30.27748387096775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37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24.233281164045469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29.6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29.6</v>
      </c>
      <c r="L231" s="66">
        <v>31.2</v>
      </c>
      <c r="M231" s="66">
        <v>30.2</v>
      </c>
      <c r="N231" s="66">
        <v>29</v>
      </c>
      <c r="O231" s="66">
        <v>31.2</v>
      </c>
      <c r="P231" s="66">
        <v>32.6</v>
      </c>
      <c r="Q231" s="66">
        <v>33.6</v>
      </c>
      <c r="R231" s="66"/>
      <c r="S231" s="66">
        <v>30.4</v>
      </c>
      <c r="T231" s="66">
        <v>32.6</v>
      </c>
      <c r="U231" s="66">
        <v>30</v>
      </c>
      <c r="V231" s="66">
        <v>29.6</v>
      </c>
      <c r="W231" s="66">
        <v>31.4</v>
      </c>
      <c r="X231" s="66">
        <v>33.799999999999997</v>
      </c>
      <c r="Y231" s="114">
        <v>34.200000000000003</v>
      </c>
      <c r="Z231" s="66">
        <v>32.6</v>
      </c>
      <c r="AA231" s="66">
        <v>30.6</v>
      </c>
      <c r="AB231" s="66">
        <v>29.6</v>
      </c>
      <c r="AC231" s="66">
        <v>29</v>
      </c>
      <c r="AD231" s="66">
        <v>29.6</v>
      </c>
      <c r="AE231" s="66">
        <v>33.6</v>
      </c>
      <c r="AF231" s="66">
        <v>32.6</v>
      </c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21</v>
      </c>
      <c r="AQ231" s="68">
        <f t="shared" si="17"/>
        <v>31.285714285714292</v>
      </c>
      <c r="AR231" s="68">
        <f>IFERROR(VLOOKUP(A231,Climatologia_TMAX!A:U,9+$E$2,FALSE),"")</f>
        <v>30.05920303605313</v>
      </c>
      <c r="AS231" s="68">
        <f t="shared" si="18"/>
        <v>1.2265112496611614</v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1" s="69">
        <f t="shared" si="20"/>
        <v>0.20000000000000284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29.851615807687551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36.200000000000003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30</v>
      </c>
      <c r="L235" s="66">
        <v>33.200000000000003</v>
      </c>
      <c r="M235" s="66">
        <v>31.4</v>
      </c>
      <c r="N235" s="66">
        <v>31</v>
      </c>
      <c r="O235" s="66">
        <v>32</v>
      </c>
      <c r="P235" s="66">
        <v>33.5</v>
      </c>
      <c r="Q235" s="66">
        <v>35.1</v>
      </c>
      <c r="R235" s="66">
        <v>32.700000000000003</v>
      </c>
      <c r="S235" s="66">
        <v>30.1</v>
      </c>
      <c r="T235" s="66">
        <v>32.1</v>
      </c>
      <c r="U235" s="66">
        <v>30.4</v>
      </c>
      <c r="V235" s="66">
        <v>28.8</v>
      </c>
      <c r="W235" s="66">
        <v>32</v>
      </c>
      <c r="X235" s="66">
        <v>33.200000000000003</v>
      </c>
      <c r="Y235" s="66">
        <v>34.200000000000003</v>
      </c>
      <c r="Z235" s="66">
        <v>32</v>
      </c>
      <c r="AA235" s="66">
        <v>31.6</v>
      </c>
      <c r="AB235" s="66">
        <v>30.4</v>
      </c>
      <c r="AC235" s="66">
        <v>29.2</v>
      </c>
      <c r="AD235" s="66">
        <v>29.2</v>
      </c>
      <c r="AE235" s="66">
        <v>32</v>
      </c>
      <c r="AF235" s="66">
        <v>32.799999999999997</v>
      </c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22</v>
      </c>
      <c r="AQ235" s="68">
        <f t="shared" si="17"/>
        <v>31.677272727272726</v>
      </c>
      <c r="AR235" s="68">
        <f>IFERROR(VLOOKUP(A235,Climatologia_TMAX!A:U,9+$E$2,FALSE),"")</f>
        <v>30.007526881720441</v>
      </c>
      <c r="AS235" s="68">
        <f t="shared" si="18"/>
        <v>1.6697458455522849</v>
      </c>
      <c r="AT235" s="74">
        <f t="shared" si="19"/>
        <v>35.1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35.9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5" s="69">
        <f t="shared" si="20"/>
        <v>-0.79999999999999716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22.423335331438221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24.800134408602151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29.2</v>
      </c>
      <c r="L238" s="66">
        <v>31.2</v>
      </c>
      <c r="M238" s="66">
        <v>30.4</v>
      </c>
      <c r="N238" s="66">
        <v>30.2</v>
      </c>
      <c r="O238" s="66">
        <v>31.2</v>
      </c>
      <c r="P238" s="66">
        <v>33.200000000000003</v>
      </c>
      <c r="Q238" s="66">
        <v>34.200000000000003</v>
      </c>
      <c r="R238" s="66">
        <v>33.200000000000003</v>
      </c>
      <c r="S238" s="66">
        <v>29.2</v>
      </c>
      <c r="T238" s="66">
        <v>31.6</v>
      </c>
      <c r="U238" s="66">
        <v>30.2</v>
      </c>
      <c r="V238" s="66">
        <v>28.4</v>
      </c>
      <c r="W238" s="66">
        <v>31.6</v>
      </c>
      <c r="X238" s="66">
        <v>32.4</v>
      </c>
      <c r="Y238" s="66">
        <v>33.200000000000003</v>
      </c>
      <c r="Z238" s="66">
        <v>32</v>
      </c>
      <c r="AA238" s="66">
        <v>32</v>
      </c>
      <c r="AB238" s="66">
        <v>30.4</v>
      </c>
      <c r="AC238" s="66">
        <v>27.6</v>
      </c>
      <c r="AD238" s="66">
        <v>30.2</v>
      </c>
      <c r="AE238" s="66">
        <v>29.6</v>
      </c>
      <c r="AF238" s="66">
        <v>31.4</v>
      </c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22</v>
      </c>
      <c r="AQ238" s="68">
        <f t="shared" si="17"/>
        <v>31.027272727272724</v>
      </c>
      <c r="AR238" s="68">
        <f>IFERROR(VLOOKUP(A238,Climatologia_TMAX!A:U,9+$E$2,FALSE),"")</f>
        <v>30.124159739837651</v>
      </c>
      <c r="AS238" s="68">
        <f t="shared" si="18"/>
        <v>0.90311298743507251</v>
      </c>
      <c r="AT238" s="74">
        <f t="shared" si="19"/>
        <v>34.200000000000003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35.6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8" s="69">
        <f t="shared" si="20"/>
        <v>-1.3999999999999986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21.95525324434557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26.7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24.6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24.697665985080661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30.457726673817479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35.6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25</v>
      </c>
      <c r="L244" s="66">
        <v>25.4</v>
      </c>
      <c r="M244" s="66">
        <v>26.4</v>
      </c>
      <c r="N244" s="66">
        <v>25.4</v>
      </c>
      <c r="O244" s="66">
        <v>28</v>
      </c>
      <c r="P244" s="66">
        <v>30.2</v>
      </c>
      <c r="Q244" s="66">
        <v>29.8</v>
      </c>
      <c r="R244" s="66">
        <v>29.4</v>
      </c>
      <c r="S244" s="66">
        <v>26.4</v>
      </c>
      <c r="T244" s="66">
        <v>28</v>
      </c>
      <c r="U244" s="66">
        <v>26.8</v>
      </c>
      <c r="V244" s="66">
        <v>26.4</v>
      </c>
      <c r="W244" s="66">
        <v>27</v>
      </c>
      <c r="X244" s="66"/>
      <c r="Y244" s="66">
        <v>28.2</v>
      </c>
      <c r="Z244" s="66">
        <v>28.4</v>
      </c>
      <c r="AA244" s="66">
        <v>27.4</v>
      </c>
      <c r="AB244" s="66">
        <v>24.6</v>
      </c>
      <c r="AC244" s="66">
        <v>25</v>
      </c>
      <c r="AD244" s="66">
        <v>24.2</v>
      </c>
      <c r="AE244" s="66">
        <v>28.4</v>
      </c>
      <c r="AF244" s="66">
        <v>29</v>
      </c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21</v>
      </c>
      <c r="AQ244" s="68">
        <f t="shared" si="17"/>
        <v>27.114285714285714</v>
      </c>
      <c r="AR244" s="68">
        <f>IFERROR(VLOOKUP(A244,Climatologia_TMAX!A:U,9+$E$2,FALSE),"")</f>
        <v>25.185936967000369</v>
      </c>
      <c r="AS244" s="68">
        <f t="shared" si="18"/>
        <v>1.9283487472853444</v>
      </c>
      <c r="AT244" s="74">
        <f t="shared" si="19"/>
        <v>30.2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29.8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4" s="69">
        <f t="shared" si="20"/>
        <v>0.39999999999999858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34.498707926502703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40.6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33.6</v>
      </c>
      <c r="L246" s="66">
        <v>29.6</v>
      </c>
      <c r="M246" s="66">
        <v>30.2</v>
      </c>
      <c r="N246" s="66">
        <v>29.2</v>
      </c>
      <c r="O246" s="66">
        <v>32.6</v>
      </c>
      <c r="P246" s="66">
        <v>33.6</v>
      </c>
      <c r="Q246" s="66">
        <v>34.200000000000003</v>
      </c>
      <c r="R246" s="66">
        <v>32</v>
      </c>
      <c r="S246" s="66">
        <v>29.2</v>
      </c>
      <c r="T246" s="66">
        <v>32.6</v>
      </c>
      <c r="U246" s="66">
        <v>32.200000000000003</v>
      </c>
      <c r="V246" s="66">
        <v>28.4</v>
      </c>
      <c r="W246" s="66">
        <v>33.6</v>
      </c>
      <c r="X246" s="66">
        <v>32.799999999999997</v>
      </c>
      <c r="Y246" s="66">
        <v>33.4</v>
      </c>
      <c r="Z246" s="66">
        <v>34.200000000000003</v>
      </c>
      <c r="AA246" s="66">
        <v>34.6</v>
      </c>
      <c r="AB246" s="66">
        <v>33</v>
      </c>
      <c r="AC246" s="66">
        <v>30</v>
      </c>
      <c r="AD246" s="66">
        <v>30.6</v>
      </c>
      <c r="AE246" s="66">
        <v>30.6</v>
      </c>
      <c r="AF246" s="66">
        <v>32.6</v>
      </c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22</v>
      </c>
      <c r="AQ246" s="68">
        <f t="shared" si="17"/>
        <v>31.945454545454549</v>
      </c>
      <c r="AR246" s="68">
        <f>IFERROR(VLOOKUP(A246,Climatologia_TMAX!A:U,9+$E$2,FALSE),"")</f>
        <v>29.837016579267971</v>
      </c>
      <c r="AS246" s="68">
        <f t="shared" si="18"/>
        <v>2.1084379661865782</v>
      </c>
      <c r="AT246" s="74">
        <f t="shared" si="19"/>
        <v>34.6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35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-0.39999999999999858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36.200000000000003</v>
      </c>
      <c r="L247" s="66">
        <v>34.4</v>
      </c>
      <c r="M247" s="66">
        <v>34.6</v>
      </c>
      <c r="N247" s="66">
        <v>32.200000000000003</v>
      </c>
      <c r="O247" s="66">
        <v>37.200000000000003</v>
      </c>
      <c r="P247" s="66">
        <v>38.4</v>
      </c>
      <c r="Q247" s="66">
        <v>38.6</v>
      </c>
      <c r="R247" s="66">
        <v>38.200000000000003</v>
      </c>
      <c r="S247" s="66">
        <v>35.200000000000003</v>
      </c>
      <c r="T247" s="66">
        <v>37.200000000000003</v>
      </c>
      <c r="U247" s="66">
        <v>37.799999999999997</v>
      </c>
      <c r="V247" s="66">
        <v>32.6</v>
      </c>
      <c r="W247" s="66">
        <v>38.200000000000003</v>
      </c>
      <c r="X247" s="66">
        <v>37.799999999999997</v>
      </c>
      <c r="Y247" s="66">
        <v>38.4</v>
      </c>
      <c r="Z247" s="66">
        <v>39.799999999999997</v>
      </c>
      <c r="AA247" s="66">
        <v>39</v>
      </c>
      <c r="AB247" s="66">
        <v>37</v>
      </c>
      <c r="AC247" s="66">
        <v>34.6</v>
      </c>
      <c r="AD247" s="66">
        <v>38.200000000000003</v>
      </c>
      <c r="AE247" s="66">
        <v>34.799999999999997</v>
      </c>
      <c r="AF247" s="66">
        <v>37.799999999999997</v>
      </c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22</v>
      </c>
      <c r="AQ247" s="68">
        <f t="shared" si="17"/>
        <v>36.736363636363635</v>
      </c>
      <c r="AR247" s="68">
        <f>IFERROR(VLOOKUP(A247,Climatologia_TMAX!A:U,9+$E$2,FALSE),"")</f>
        <v>34.589235433370753</v>
      </c>
      <c r="AS247" s="68">
        <f t="shared" si="18"/>
        <v>2.1471282029928815</v>
      </c>
      <c r="AT247" s="74">
        <f t="shared" si="19"/>
        <v>39.799999999999997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39.6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7" s="69">
        <f t="shared" si="20"/>
        <v>0.19999999999999574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33.6</v>
      </c>
      <c r="L248" s="66">
        <v>34.6</v>
      </c>
      <c r="M248" s="66">
        <v>31.6</v>
      </c>
      <c r="N248" s="66">
        <v>31.8</v>
      </c>
      <c r="O248" s="66">
        <v>33.799999999999997</v>
      </c>
      <c r="P248" s="66">
        <v>36.200000000000003</v>
      </c>
      <c r="Q248" s="66">
        <v>36.6</v>
      </c>
      <c r="R248" s="66">
        <v>36.4</v>
      </c>
      <c r="S248" s="66">
        <v>33.799999999999997</v>
      </c>
      <c r="T248" s="66">
        <v>33</v>
      </c>
      <c r="U248" s="66"/>
      <c r="V248" s="66"/>
      <c r="W248" s="66"/>
      <c r="X248" s="66"/>
      <c r="Y248" s="66">
        <v>37.4</v>
      </c>
      <c r="Z248" s="66">
        <v>37</v>
      </c>
      <c r="AA248" s="66">
        <v>35.200000000000003</v>
      </c>
      <c r="AB248" s="66">
        <v>33.200000000000003</v>
      </c>
      <c r="AC248" s="66">
        <v>34.4</v>
      </c>
      <c r="AD248" s="66">
        <v>35.6</v>
      </c>
      <c r="AE248" s="66">
        <v>35.799999999999997</v>
      </c>
      <c r="AF248" s="66">
        <v>37.799999999999997</v>
      </c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18</v>
      </c>
      <c r="AQ248" s="68">
        <f t="shared" si="17"/>
        <v>34.877777777777773</v>
      </c>
      <c r="AR248" s="68">
        <f>IFERROR(VLOOKUP(A248,Climatologia_TMAX!A:U,9+$E$2,FALSE),"")</f>
        <v>33.055274477310391</v>
      </c>
      <c r="AS248" s="68">
        <f t="shared" si="18"/>
        <v>1.8225033004673818</v>
      </c>
      <c r="AT248" s="74">
        <f t="shared" si="19"/>
        <v>37.799999999999997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38.6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29</v>
      </c>
      <c r="M249" s="66">
        <v>30</v>
      </c>
      <c r="N249" s="66">
        <v>31.8</v>
      </c>
      <c r="O249" s="66">
        <v>32</v>
      </c>
      <c r="P249" s="66">
        <v>31.8</v>
      </c>
      <c r="Q249" s="66">
        <v>32.799999999999997</v>
      </c>
      <c r="R249" s="66">
        <v>31.8</v>
      </c>
      <c r="S249" s="66">
        <v>32</v>
      </c>
      <c r="T249" s="66">
        <v>31.8</v>
      </c>
      <c r="U249" s="66">
        <v>32</v>
      </c>
      <c r="V249" s="66">
        <v>31.8</v>
      </c>
      <c r="W249" s="106">
        <v>32.6</v>
      </c>
      <c r="X249" s="66">
        <v>30.8</v>
      </c>
      <c r="Y249" s="106">
        <v>32.4</v>
      </c>
      <c r="Z249" s="66">
        <v>30</v>
      </c>
      <c r="AA249" s="66">
        <v>29.8</v>
      </c>
      <c r="AB249" s="66">
        <v>30.4</v>
      </c>
      <c r="AC249" s="66">
        <v>29.8</v>
      </c>
      <c r="AD249" s="66">
        <v>31.8</v>
      </c>
      <c r="AE249" s="66">
        <v>32.6</v>
      </c>
      <c r="AF249" s="66">
        <v>32.6</v>
      </c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22</v>
      </c>
      <c r="AQ249" s="68">
        <f t="shared" si="17"/>
        <v>31.463636363636361</v>
      </c>
      <c r="AR249" s="68">
        <f>IFERROR(VLOOKUP(A249,Climatologia_TMAX!A:U,9+$E$2,FALSE),"")</f>
        <v>30.878774770320931</v>
      </c>
      <c r="AS249" s="68">
        <f t="shared" si="18"/>
        <v>0.58486159331543064</v>
      </c>
      <c r="AT249" s="74">
        <f t="shared" si="19"/>
        <v>32.799999999999997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34.799999999999997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37.4</v>
      </c>
      <c r="L250" s="66">
        <v>37.200000000000003</v>
      </c>
      <c r="M250" s="66">
        <v>35.4</v>
      </c>
      <c r="N250" s="66">
        <v>35.6</v>
      </c>
      <c r="O250" s="66">
        <v>38</v>
      </c>
      <c r="P250" s="66">
        <v>38</v>
      </c>
      <c r="Q250" s="66">
        <v>38.200000000000003</v>
      </c>
      <c r="R250" s="66">
        <v>38.799999999999997</v>
      </c>
      <c r="S250" s="66"/>
      <c r="T250" s="66">
        <v>35.6</v>
      </c>
      <c r="U250" s="66">
        <v>38.4</v>
      </c>
      <c r="V250" s="66">
        <v>35</v>
      </c>
      <c r="W250" s="66">
        <v>37.6</v>
      </c>
      <c r="X250" s="66">
        <v>37.4</v>
      </c>
      <c r="Y250" s="66">
        <v>38.4</v>
      </c>
      <c r="Z250" s="66">
        <v>38.200000000000003</v>
      </c>
      <c r="AA250" s="66">
        <v>38.6</v>
      </c>
      <c r="AB250" s="66">
        <v>36.200000000000003</v>
      </c>
      <c r="AC250" s="66"/>
      <c r="AD250" s="66">
        <v>35.799999999999997</v>
      </c>
      <c r="AE250" s="66">
        <v>37</v>
      </c>
      <c r="AF250" s="66">
        <v>39.4</v>
      </c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20</v>
      </c>
      <c r="AQ250" s="68">
        <f t="shared" si="17"/>
        <v>37.31</v>
      </c>
      <c r="AR250" s="68">
        <f>IFERROR(VLOOKUP(A250,Climatologia_TMAX!A:U,9+$E$2,FALSE),"")</f>
        <v>35.594967029941238</v>
      </c>
      <c r="AS250" s="68">
        <f t="shared" si="18"/>
        <v>1.7150329700587648</v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41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50" s="69">
        <f t="shared" si="20"/>
        <v>-1.6000000000000014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34.119661479497253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38.799999999999997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35.6</v>
      </c>
      <c r="L252" s="66">
        <v>36.200000000000003</v>
      </c>
      <c r="M252" s="66">
        <v>33.6</v>
      </c>
      <c r="N252" s="66">
        <v>35.6</v>
      </c>
      <c r="O252" s="66">
        <v>36.6</v>
      </c>
      <c r="P252" s="66">
        <v>38.4</v>
      </c>
      <c r="Q252" s="66">
        <v>38.6</v>
      </c>
      <c r="R252" s="66">
        <v>38</v>
      </c>
      <c r="S252" s="66">
        <v>36.200000000000003</v>
      </c>
      <c r="T252" s="66">
        <v>36.799999999999997</v>
      </c>
      <c r="U252" s="66">
        <v>37.4</v>
      </c>
      <c r="V252" s="66">
        <v>33.200000000000003</v>
      </c>
      <c r="W252" s="66">
        <v>38</v>
      </c>
      <c r="X252" s="66">
        <v>35.799999999999997</v>
      </c>
      <c r="Y252" s="66">
        <v>38.6</v>
      </c>
      <c r="Z252" s="66">
        <v>38.6</v>
      </c>
      <c r="AA252" s="66">
        <v>37.4</v>
      </c>
      <c r="AB252" s="66">
        <v>33</v>
      </c>
      <c r="AC252" s="66">
        <v>35.200000000000003</v>
      </c>
      <c r="AD252" s="66">
        <v>37</v>
      </c>
      <c r="AE252" s="66">
        <v>37.6</v>
      </c>
      <c r="AF252" s="106">
        <v>39.200000000000003</v>
      </c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22</v>
      </c>
      <c r="AQ252" s="68">
        <f t="shared" si="17"/>
        <v>36.663636363636371</v>
      </c>
      <c r="AR252" s="68">
        <f>IFERROR(VLOOKUP(A252,Climatologia_TMAX!A:U,9+$E$2,FALSE),"")</f>
        <v>34.166488485337432</v>
      </c>
      <c r="AS252" s="68">
        <f t="shared" si="18"/>
        <v>2.4971478782989394</v>
      </c>
      <c r="AT252" s="74">
        <f t="shared" si="19"/>
        <v>39.200000000000003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39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35.95996503418305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40.6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34</v>
      </c>
      <c r="L255" s="66">
        <v>32.6</v>
      </c>
      <c r="M255" s="66">
        <v>28.2</v>
      </c>
      <c r="N255" s="66">
        <v>30.2</v>
      </c>
      <c r="O255" s="66">
        <v>33.4</v>
      </c>
      <c r="P255" s="66">
        <v>35</v>
      </c>
      <c r="Q255" s="66">
        <v>35.6</v>
      </c>
      <c r="R255" s="66">
        <v>35.4</v>
      </c>
      <c r="S255" s="66">
        <v>32.799999999999997</v>
      </c>
      <c r="T255" s="66">
        <v>33.4</v>
      </c>
      <c r="U255" s="66">
        <v>36.200000000000003</v>
      </c>
      <c r="V255" s="66">
        <v>30</v>
      </c>
      <c r="W255" s="66">
        <v>35</v>
      </c>
      <c r="X255" s="66">
        <v>31.8</v>
      </c>
      <c r="Y255" s="114">
        <v>36.799999999999997</v>
      </c>
      <c r="Z255" s="66">
        <v>33.799999999999997</v>
      </c>
      <c r="AA255" s="66">
        <v>33.4</v>
      </c>
      <c r="AB255" s="66">
        <v>31</v>
      </c>
      <c r="AC255" s="66">
        <v>31.4</v>
      </c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19</v>
      </c>
      <c r="AQ255" s="68">
        <f t="shared" si="17"/>
        <v>33.157894736842103</v>
      </c>
      <c r="AR255" s="68">
        <f>IFERROR(VLOOKUP(A255,Climatologia_TMAX!A:U,9+$E$2,FALSE),"")</f>
        <v>32.101564904411298</v>
      </c>
      <c r="AS255" s="68">
        <f t="shared" si="18"/>
        <v>1.056329832430805</v>
      </c>
      <c r="AT255" s="74">
        <f t="shared" si="19"/>
        <v>36.799999999999997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36.200000000000003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5" s="69">
        <f t="shared" si="20"/>
        <v>0.59999999999999432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31.34521198156683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34.156164050591187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38.200000000000003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26.2</v>
      </c>
      <c r="L258" s="66">
        <v>26.6</v>
      </c>
      <c r="M258" s="66">
        <v>25.2</v>
      </c>
      <c r="N258" s="66">
        <v>22.4</v>
      </c>
      <c r="O258" s="66">
        <v>24.4</v>
      </c>
      <c r="P258" s="66">
        <v>26.2</v>
      </c>
      <c r="Q258" s="66">
        <v>27.2</v>
      </c>
      <c r="R258" s="66">
        <v>27.2</v>
      </c>
      <c r="S258" s="66">
        <v>24.2</v>
      </c>
      <c r="T258" s="66">
        <v>26.2</v>
      </c>
      <c r="U258" s="66">
        <v>25.6</v>
      </c>
      <c r="V258" s="66">
        <v>23.6</v>
      </c>
      <c r="W258" s="66">
        <v>26.6</v>
      </c>
      <c r="X258" s="66">
        <v>25.8</v>
      </c>
      <c r="Y258" s="66">
        <v>26.2</v>
      </c>
      <c r="Z258" s="66">
        <v>27.2</v>
      </c>
      <c r="AA258" s="66">
        <v>27.6</v>
      </c>
      <c r="AB258" s="66">
        <v>26.6</v>
      </c>
      <c r="AC258" s="66">
        <v>23.8</v>
      </c>
      <c r="AD258" s="66">
        <v>23.4</v>
      </c>
      <c r="AE258" s="66">
        <v>23.6</v>
      </c>
      <c r="AF258" s="66">
        <v>25.2</v>
      </c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22</v>
      </c>
      <c r="AQ258" s="68">
        <f t="shared" si="17"/>
        <v>25.500000000000004</v>
      </c>
      <c r="AR258" s="68">
        <f>IFERROR(VLOOKUP(A258,Climatologia_TMAX!A:U,9+$E$2,FALSE),"")</f>
        <v>23.031672231617851</v>
      </c>
      <c r="AS258" s="68">
        <f t="shared" si="18"/>
        <v>2.468327768382153</v>
      </c>
      <c r="AT258" s="74">
        <f t="shared" si="19"/>
        <v>27.6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29.2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8" s="69">
        <f t="shared" si="20"/>
        <v>-1.5999999999999979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25.6</v>
      </c>
      <c r="L259" s="66">
        <v>24.4</v>
      </c>
      <c r="M259" s="66">
        <v>22.4</v>
      </c>
      <c r="N259" s="66">
        <v>25</v>
      </c>
      <c r="O259" s="66">
        <v>25.2</v>
      </c>
      <c r="P259" s="66">
        <v>27.2</v>
      </c>
      <c r="Q259" s="66">
        <v>27.8</v>
      </c>
      <c r="R259" s="66">
        <v>27.2</v>
      </c>
      <c r="S259" s="66">
        <v>24.8</v>
      </c>
      <c r="T259" s="66">
        <v>24.2</v>
      </c>
      <c r="U259" s="66">
        <v>26.6</v>
      </c>
      <c r="V259" s="66">
        <v>24.4</v>
      </c>
      <c r="W259" s="66">
        <v>26.4</v>
      </c>
      <c r="X259" s="66">
        <v>25</v>
      </c>
      <c r="Y259" s="66">
        <v>27.2</v>
      </c>
      <c r="Z259" s="66">
        <v>26.2</v>
      </c>
      <c r="AA259" s="66">
        <v>25.2</v>
      </c>
      <c r="AB259" s="66">
        <v>24.6</v>
      </c>
      <c r="AC259" s="66">
        <v>24.6</v>
      </c>
      <c r="AD259" s="66">
        <v>26.4</v>
      </c>
      <c r="AE259" s="66">
        <v>26.6</v>
      </c>
      <c r="AF259" s="66">
        <v>28</v>
      </c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22</v>
      </c>
      <c r="AQ259" s="68">
        <f t="shared" si="17"/>
        <v>25.681818181818183</v>
      </c>
      <c r="AR259" s="68">
        <f>IFERROR(VLOOKUP(A259,Climatologia_TMAX!A:U,9+$E$2,FALSE),"")</f>
        <v>26.17729236188358</v>
      </c>
      <c r="AS259" s="68">
        <f t="shared" si="18"/>
        <v>-0.49547418006539701</v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30.4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9" s="69">
        <f t="shared" si="20"/>
        <v>-2.3999999999999986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21.2</v>
      </c>
      <c r="L260" s="66">
        <v>21.2</v>
      </c>
      <c r="M260" s="66">
        <v>20</v>
      </c>
      <c r="N260" s="66">
        <v>16.2</v>
      </c>
      <c r="O260" s="66">
        <v>21</v>
      </c>
      <c r="P260" s="66">
        <v>20.2</v>
      </c>
      <c r="Q260" s="66">
        <v>22</v>
      </c>
      <c r="R260" s="66">
        <v>21.6</v>
      </c>
      <c r="S260" s="66">
        <v>18.399999999999999</v>
      </c>
      <c r="T260" s="66">
        <v>21.6</v>
      </c>
      <c r="U260" s="66">
        <v>21.4</v>
      </c>
      <c r="V260" s="66">
        <v>18.399999999999999</v>
      </c>
      <c r="W260" s="109">
        <v>21</v>
      </c>
      <c r="X260" s="66">
        <v>21</v>
      </c>
      <c r="Y260" s="66">
        <v>20.8</v>
      </c>
      <c r="Z260" s="66">
        <v>22.2</v>
      </c>
      <c r="AA260" s="66">
        <v>22.8</v>
      </c>
      <c r="AB260" s="66">
        <v>21</v>
      </c>
      <c r="AC260" s="66">
        <v>19.399999999999999</v>
      </c>
      <c r="AD260" s="66">
        <v>20</v>
      </c>
      <c r="AE260" s="66">
        <v>20</v>
      </c>
      <c r="AF260" s="66">
        <v>21.6</v>
      </c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22</v>
      </c>
      <c r="AQ260" s="68">
        <f t="shared" si="17"/>
        <v>20.590909090909093</v>
      </c>
      <c r="AR260" s="68">
        <f>IFERROR(VLOOKUP(A260,Climatologia_TMAX!A:U,9+$E$2,FALSE),"")</f>
        <v>18.964877782721398</v>
      </c>
      <c r="AS260" s="68">
        <f t="shared" si="18"/>
        <v>1.6260313081876951</v>
      </c>
      <c r="AT260" s="74">
        <f t="shared" si="19"/>
        <v>22.8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60" s="69">
        <f t="shared" si="20"/>
        <v>-0.39999999999999858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34.6</v>
      </c>
      <c r="L261" s="66">
        <v>35</v>
      </c>
      <c r="M261" s="66">
        <v>31.6</v>
      </c>
      <c r="N261" s="66">
        <v>32.200000000000003</v>
      </c>
      <c r="O261" s="66">
        <v>34.799999999999997</v>
      </c>
      <c r="P261" s="66">
        <v>36</v>
      </c>
      <c r="Q261" s="66">
        <v>35.799999999999997</v>
      </c>
      <c r="R261" s="66">
        <v>36</v>
      </c>
      <c r="S261" s="66">
        <v>34.4</v>
      </c>
      <c r="T261" s="66">
        <v>33.6</v>
      </c>
      <c r="U261" s="66">
        <v>35.6</v>
      </c>
      <c r="V261" s="66">
        <v>32.4</v>
      </c>
      <c r="W261" s="66">
        <v>35.200000000000003</v>
      </c>
      <c r="X261" s="66">
        <v>35.6</v>
      </c>
      <c r="Y261" s="66">
        <v>36.200000000000003</v>
      </c>
      <c r="Z261" s="66">
        <v>35.4</v>
      </c>
      <c r="AA261" s="66">
        <v>35.200000000000003</v>
      </c>
      <c r="AB261" s="66">
        <v>31.8</v>
      </c>
      <c r="AC261" s="66">
        <v>33</v>
      </c>
      <c r="AD261" s="66">
        <v>35.4</v>
      </c>
      <c r="AE261" s="66">
        <v>35.6</v>
      </c>
      <c r="AF261" s="66">
        <v>36.799999999999997</v>
      </c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22</v>
      </c>
      <c r="AQ261" s="68">
        <f t="shared" ref="AQ261:AQ324" si="22">IF(AP261&gt;14,AVERAGE(K261:AO261),"")</f>
        <v>34.645454545454541</v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36.799999999999997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37.6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1" s="69">
        <f t="shared" ref="AW261:AW288" si="25">IF(OR(AT261="",AU261=""),"NA",IFERROR(AT261-AU261,"NA"))</f>
        <v>-0.80000000000000426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23.2</v>
      </c>
      <c r="L262" s="66">
        <v>23</v>
      </c>
      <c r="M262" s="66">
        <v>22</v>
      </c>
      <c r="N262" s="66">
        <v>20.399999999999999</v>
      </c>
      <c r="O262" s="66">
        <v>21.8</v>
      </c>
      <c r="P262" s="66">
        <v>23.6</v>
      </c>
      <c r="Q262" s="66">
        <v>22.8</v>
      </c>
      <c r="R262" s="66">
        <v>23</v>
      </c>
      <c r="S262" s="66">
        <v>20</v>
      </c>
      <c r="T262" s="66">
        <v>23</v>
      </c>
      <c r="U262" s="66">
        <v>22.8</v>
      </c>
      <c r="V262" s="66">
        <v>21.2</v>
      </c>
      <c r="W262" s="66">
        <v>22.2</v>
      </c>
      <c r="X262" s="66">
        <v>22.4</v>
      </c>
      <c r="Y262" s="66">
        <v>22.4</v>
      </c>
      <c r="Z262" s="66">
        <v>23.2</v>
      </c>
      <c r="AA262" s="66">
        <v>23.6</v>
      </c>
      <c r="AB262" s="66">
        <v>23.4</v>
      </c>
      <c r="AC262" s="66">
        <v>21.2</v>
      </c>
      <c r="AD262" s="66">
        <v>21.6</v>
      </c>
      <c r="AE262" s="66">
        <v>22</v>
      </c>
      <c r="AF262" s="66">
        <v>22.2</v>
      </c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22</v>
      </c>
      <c r="AQ262" s="68">
        <f t="shared" si="22"/>
        <v>22.318181818181817</v>
      </c>
      <c r="AR262" s="68">
        <f>IFERROR(VLOOKUP(A262,Climatologia_TMAX!A:U,9+$E$2,FALSE),"")</f>
        <v>20.885706399035701</v>
      </c>
      <c r="AS262" s="68">
        <f t="shared" si="23"/>
        <v>1.4324754191461153</v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25.6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2" s="69">
        <f t="shared" si="25"/>
        <v>-2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15.857038190582131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20.399999999999999</v>
      </c>
      <c r="L266" s="66">
        <v>17.399999999999999</v>
      </c>
      <c r="M266" s="66">
        <v>17.600000000000001</v>
      </c>
      <c r="N266" s="66"/>
      <c r="O266" s="66"/>
      <c r="P266" s="66">
        <v>20.399999999999999</v>
      </c>
      <c r="Q266" s="66">
        <v>19.2</v>
      </c>
      <c r="R266" s="66">
        <v>19.399999999999999</v>
      </c>
      <c r="S266" s="66">
        <v>19</v>
      </c>
      <c r="T266" s="66">
        <v>17.600000000000001</v>
      </c>
      <c r="U266" s="66"/>
      <c r="V266" s="66"/>
      <c r="W266" s="66">
        <v>20.2</v>
      </c>
      <c r="X266" s="66">
        <v>19.399999999999999</v>
      </c>
      <c r="Y266" s="66">
        <v>19.8</v>
      </c>
      <c r="Z266" s="66">
        <v>20</v>
      </c>
      <c r="AA266" s="66"/>
      <c r="AB266" s="66"/>
      <c r="AC266" s="66"/>
      <c r="AD266" s="66">
        <v>20.2</v>
      </c>
      <c r="AE266" s="66">
        <v>19.399999999999999</v>
      </c>
      <c r="AF266" s="66">
        <v>19.2</v>
      </c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15</v>
      </c>
      <c r="AQ266" s="68">
        <f t="shared" si="22"/>
        <v>19.279999999999998</v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20.399999999999999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6" s="69">
        <f t="shared" si="25"/>
        <v>-3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15.4</v>
      </c>
      <c r="N268" s="66">
        <v>15.6</v>
      </c>
      <c r="O268" s="66">
        <v>15.2</v>
      </c>
      <c r="P268" s="66">
        <v>14.6</v>
      </c>
      <c r="Q268" s="66">
        <v>14.4</v>
      </c>
      <c r="R268" s="66">
        <v>15</v>
      </c>
      <c r="S268" s="66">
        <v>14.8</v>
      </c>
      <c r="T268" s="66">
        <v>15.4</v>
      </c>
      <c r="U268" s="66">
        <v>15.8</v>
      </c>
      <c r="V268" s="66">
        <v>15.4</v>
      </c>
      <c r="W268" s="66">
        <v>15.4</v>
      </c>
      <c r="X268" s="66">
        <v>15.8</v>
      </c>
      <c r="Y268" s="66">
        <v>15.2</v>
      </c>
      <c r="Z268" s="66">
        <v>15.6</v>
      </c>
      <c r="AA268" s="66">
        <v>15.2</v>
      </c>
      <c r="AB268" s="66">
        <v>14.8</v>
      </c>
      <c r="AC268" s="66">
        <v>15.2</v>
      </c>
      <c r="AD268" s="66">
        <v>15.8</v>
      </c>
      <c r="AE268" s="66">
        <v>16</v>
      </c>
      <c r="AF268" s="66">
        <v>15.6</v>
      </c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22</v>
      </c>
      <c r="AQ268" s="68">
        <f t="shared" si="22"/>
        <v>15.354545454545457</v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18.600000000000001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8" s="69">
        <f t="shared" si="25"/>
        <v>-2.6000000000000014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18.600000000000001</v>
      </c>
      <c r="M269" s="66">
        <v>18</v>
      </c>
      <c r="N269" s="66">
        <v>20</v>
      </c>
      <c r="O269" s="66">
        <v>21.8</v>
      </c>
      <c r="P269" s="66">
        <v>22.4</v>
      </c>
      <c r="Q269" s="66">
        <v>21</v>
      </c>
      <c r="R269" s="66">
        <v>20.6</v>
      </c>
      <c r="S269" s="66">
        <v>19.2</v>
      </c>
      <c r="T269" s="66">
        <v>19.2</v>
      </c>
      <c r="U269" s="109">
        <v>19.399999999999999</v>
      </c>
      <c r="V269" s="66">
        <v>18.399999999999999</v>
      </c>
      <c r="W269" s="66">
        <v>20.399999999999999</v>
      </c>
      <c r="X269" s="66">
        <v>20</v>
      </c>
      <c r="Y269" s="66">
        <v>20.399999999999999</v>
      </c>
      <c r="Z269" s="66">
        <v>21.6</v>
      </c>
      <c r="AA269" s="66">
        <v>21.2</v>
      </c>
      <c r="AB269" s="66">
        <v>21.2</v>
      </c>
      <c r="AC269" s="66">
        <v>18.600000000000001</v>
      </c>
      <c r="AD269" s="66">
        <v>20</v>
      </c>
      <c r="AE269" s="66">
        <v>20.399999999999999</v>
      </c>
      <c r="AF269" s="66">
        <v>21</v>
      </c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22</v>
      </c>
      <c r="AQ269" s="68">
        <f t="shared" si="22"/>
        <v>20.227272727272723</v>
      </c>
      <c r="AR269" s="68">
        <f>IFERROR(VLOOKUP(A269,Climatologia_TMAX!A:U,9+$E$2,FALSE),"")</f>
        <v>18.914438253180371</v>
      </c>
      <c r="AS269" s="68">
        <f t="shared" si="23"/>
        <v>1.3128344740923517</v>
      </c>
      <c r="AT269" s="74">
        <f t="shared" si="24"/>
        <v>22.4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23.4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9" s="69">
        <f t="shared" si="25"/>
        <v>-1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18</v>
      </c>
      <c r="L270" s="66">
        <v>16.2</v>
      </c>
      <c r="M270" s="66">
        <v>16.399999999999999</v>
      </c>
      <c r="N270" s="66">
        <v>18.600000000000001</v>
      </c>
      <c r="O270" s="66">
        <v>19.399999999999999</v>
      </c>
      <c r="P270" s="66">
        <v>20</v>
      </c>
      <c r="Q270" s="66">
        <v>18</v>
      </c>
      <c r="R270" s="66">
        <v>18</v>
      </c>
      <c r="S270" s="66"/>
      <c r="T270" s="66">
        <v>19</v>
      </c>
      <c r="U270" s="66">
        <v>18</v>
      </c>
      <c r="V270" s="66">
        <v>16.8</v>
      </c>
      <c r="W270" s="66">
        <v>17</v>
      </c>
      <c r="X270" s="66">
        <v>18</v>
      </c>
      <c r="Y270" s="66">
        <v>19.399999999999999</v>
      </c>
      <c r="Z270" s="66">
        <v>15.6</v>
      </c>
      <c r="AA270" s="66">
        <v>18.600000000000001</v>
      </c>
      <c r="AB270" s="66">
        <v>18</v>
      </c>
      <c r="AC270" s="66">
        <v>18.8</v>
      </c>
      <c r="AD270" s="66">
        <v>19.399999999999999</v>
      </c>
      <c r="AE270" s="66">
        <v>19.399999999999999</v>
      </c>
      <c r="AF270" s="66">
        <v>20</v>
      </c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21</v>
      </c>
      <c r="AQ270" s="68">
        <f t="shared" si="22"/>
        <v>18.219047619047622</v>
      </c>
      <c r="AR270" s="68">
        <f>IFERROR(VLOOKUP(A270,Climatologia_TMAX!A:U,9+$E$2,FALSE),"")</f>
        <v>16.09168553853759</v>
      </c>
      <c r="AS270" s="68">
        <f t="shared" si="23"/>
        <v>2.1273620805100322</v>
      </c>
      <c r="AT270" s="74">
        <f t="shared" si="24"/>
        <v>20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21.4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70" s="69">
        <f t="shared" si="25"/>
        <v>-1.3999999999999986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21.2</v>
      </c>
      <c r="L271" s="66">
        <v>16.8</v>
      </c>
      <c r="M271" s="66">
        <v>17.2</v>
      </c>
      <c r="N271" s="66">
        <v>20.2</v>
      </c>
      <c r="O271" s="66">
        <v>17.600000000000001</v>
      </c>
      <c r="P271" s="66">
        <v>18</v>
      </c>
      <c r="Q271" s="66">
        <v>16.8</v>
      </c>
      <c r="R271" s="66">
        <v>18.399999999999999</v>
      </c>
      <c r="S271" s="66">
        <v>18.399999999999999</v>
      </c>
      <c r="T271" s="66">
        <v>16.600000000000001</v>
      </c>
      <c r="U271" s="66">
        <v>17.2</v>
      </c>
      <c r="V271" s="66">
        <v>17.399999999999999</v>
      </c>
      <c r="W271" s="66">
        <v>18.399999999999999</v>
      </c>
      <c r="X271" s="66">
        <v>19.600000000000001</v>
      </c>
      <c r="Y271" s="66">
        <v>15.8</v>
      </c>
      <c r="Z271" s="66">
        <v>17.399999999999999</v>
      </c>
      <c r="AA271" s="66">
        <v>17.399999999999999</v>
      </c>
      <c r="AB271" s="66">
        <v>16.600000000000001</v>
      </c>
      <c r="AC271" s="66">
        <v>17.399999999999999</v>
      </c>
      <c r="AD271" s="66">
        <v>19.399999999999999</v>
      </c>
      <c r="AE271" s="66">
        <v>18.399999999999999</v>
      </c>
      <c r="AF271" s="66">
        <v>20.8</v>
      </c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22</v>
      </c>
      <c r="AQ271" s="68">
        <f t="shared" si="22"/>
        <v>18.04545454545454</v>
      </c>
      <c r="AR271" s="68">
        <f>IFERROR(VLOOKUP(A271,Climatologia_TMAX!A:U,9+$E$2,FALSE),"")</f>
        <v>17.216948903833771</v>
      </c>
      <c r="AS271" s="68">
        <f t="shared" si="23"/>
        <v>0.82850564162076878</v>
      </c>
      <c r="AT271" s="74">
        <f t="shared" si="24"/>
        <v>21.2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24.2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1" s="69">
        <f t="shared" si="25"/>
        <v>-3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22.4</v>
      </c>
      <c r="L272" s="66">
        <v>20.6</v>
      </c>
      <c r="M272" s="66">
        <v>22.6</v>
      </c>
      <c r="N272" s="66">
        <v>20.8</v>
      </c>
      <c r="O272" s="66">
        <v>23</v>
      </c>
      <c r="P272" s="66">
        <v>22.8</v>
      </c>
      <c r="Q272" s="66">
        <v>22</v>
      </c>
      <c r="R272" s="66">
        <v>23</v>
      </c>
      <c r="S272" s="66">
        <v>18.399999999999999</v>
      </c>
      <c r="T272" s="66">
        <v>18.399999999999999</v>
      </c>
      <c r="U272" s="66">
        <v>24.4</v>
      </c>
      <c r="V272" s="66">
        <v>21</v>
      </c>
      <c r="W272" s="66">
        <v>20</v>
      </c>
      <c r="X272" s="66">
        <v>22.2</v>
      </c>
      <c r="Y272" s="66">
        <v>22</v>
      </c>
      <c r="Z272" s="66">
        <v>21</v>
      </c>
      <c r="AA272" s="66">
        <v>23.4</v>
      </c>
      <c r="AB272" s="66">
        <v>23.6</v>
      </c>
      <c r="AC272" s="66">
        <v>22.6</v>
      </c>
      <c r="AD272" s="66">
        <v>20.399999999999999</v>
      </c>
      <c r="AE272" s="66">
        <v>21.6</v>
      </c>
      <c r="AF272" s="66">
        <v>23.4</v>
      </c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22</v>
      </c>
      <c r="AQ272" s="68">
        <f t="shared" si="22"/>
        <v>21.799999999999997</v>
      </c>
      <c r="AR272" s="68">
        <f>IFERROR(VLOOKUP(A272,Climatologia_TMAX!A:U,9+$E$2,FALSE),"")</f>
        <v>20.066417437381329</v>
      </c>
      <c r="AS272" s="68">
        <f t="shared" si="23"/>
        <v>1.7335825626186683</v>
      </c>
      <c r="AT272" s="74">
        <f t="shared" si="24"/>
        <v>24.4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26.8</v>
      </c>
      <c r="L273" s="66">
        <v>25.4</v>
      </c>
      <c r="M273" s="66">
        <v>24</v>
      </c>
      <c r="N273" s="66">
        <v>25</v>
      </c>
      <c r="O273" s="66">
        <v>27.2</v>
      </c>
      <c r="P273" s="66">
        <v>28</v>
      </c>
      <c r="Q273" s="66">
        <v>27.4</v>
      </c>
      <c r="R273" s="66">
        <v>27.2</v>
      </c>
      <c r="S273" s="66">
        <v>25.6</v>
      </c>
      <c r="T273" s="66">
        <v>26</v>
      </c>
      <c r="U273" s="66">
        <v>26.8</v>
      </c>
      <c r="V273" s="66">
        <v>23.6</v>
      </c>
      <c r="W273" s="66">
        <v>26.6</v>
      </c>
      <c r="X273" s="66">
        <v>26</v>
      </c>
      <c r="Y273" s="66">
        <v>27.6</v>
      </c>
      <c r="Z273" s="66">
        <v>27.2</v>
      </c>
      <c r="AA273" s="66">
        <v>26.8</v>
      </c>
      <c r="AB273" s="66">
        <v>25.2</v>
      </c>
      <c r="AC273" s="66">
        <v>24.6</v>
      </c>
      <c r="AD273" s="66">
        <v>25.2</v>
      </c>
      <c r="AE273" s="66">
        <v>26.8</v>
      </c>
      <c r="AF273" s="66">
        <v>28</v>
      </c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22</v>
      </c>
      <c r="AQ273" s="68">
        <f t="shared" si="22"/>
        <v>26.227272727272734</v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30.2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3" s="69">
        <f t="shared" si="25"/>
        <v>-2.1999999999999993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13</v>
      </c>
      <c r="L275" s="66">
        <v>10.4</v>
      </c>
      <c r="M275" s="66">
        <v>10</v>
      </c>
      <c r="N275" s="66">
        <v>10.4</v>
      </c>
      <c r="O275" s="66">
        <v>11.2</v>
      </c>
      <c r="P275" s="66">
        <v>13.8</v>
      </c>
      <c r="Q275" s="66">
        <v>13.6</v>
      </c>
      <c r="R275" s="66">
        <v>13.6</v>
      </c>
      <c r="S275" s="66">
        <v>11</v>
      </c>
      <c r="T275" s="66">
        <v>12.4</v>
      </c>
      <c r="U275" s="109">
        <v>11.6</v>
      </c>
      <c r="V275" s="66">
        <v>12</v>
      </c>
      <c r="W275" s="66">
        <v>11.8</v>
      </c>
      <c r="X275" s="66">
        <v>13.4</v>
      </c>
      <c r="Y275" s="66">
        <v>12.4</v>
      </c>
      <c r="Z275" s="66">
        <v>13.2</v>
      </c>
      <c r="AA275" s="66">
        <v>14</v>
      </c>
      <c r="AB275" s="66">
        <v>11</v>
      </c>
      <c r="AC275" s="66">
        <v>11.6</v>
      </c>
      <c r="AD275" s="66">
        <v>11.2</v>
      </c>
      <c r="AE275" s="66">
        <v>12.6</v>
      </c>
      <c r="AF275" s="66">
        <v>12.4</v>
      </c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22</v>
      </c>
      <c r="AQ275" s="68">
        <f t="shared" si="22"/>
        <v>12.118181818181817</v>
      </c>
      <c r="AR275" s="68">
        <f>IFERROR(VLOOKUP(A275,Climatologia_TMAX!A:U,9+$E$2,FALSE),"")</f>
        <v>11.30910159979682</v>
      </c>
      <c r="AS275" s="68">
        <f t="shared" si="23"/>
        <v>0.809080218384997</v>
      </c>
      <c r="AT275" s="74">
        <f t="shared" si="24"/>
        <v>14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5" s="69">
        <f t="shared" si="25"/>
        <v>-2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20.771839444903961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25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32.200000000000003</v>
      </c>
      <c r="L278" s="66">
        <v>30.6</v>
      </c>
      <c r="M278" s="66">
        <v>27.8</v>
      </c>
      <c r="N278" s="66">
        <v>30.4</v>
      </c>
      <c r="O278" s="66">
        <v>32.799999999999997</v>
      </c>
      <c r="P278" s="66">
        <v>34.200000000000003</v>
      </c>
      <c r="Q278" s="66">
        <v>33.200000000000003</v>
      </c>
      <c r="R278" s="66">
        <v>32.799999999999997</v>
      </c>
      <c r="S278" s="66">
        <v>30.4</v>
      </c>
      <c r="T278" s="66">
        <v>31.8</v>
      </c>
      <c r="U278" s="66">
        <v>31.6</v>
      </c>
      <c r="V278" s="66">
        <v>27.6</v>
      </c>
      <c r="W278" s="66">
        <v>33.799999999999997</v>
      </c>
      <c r="X278" s="66">
        <v>32.4</v>
      </c>
      <c r="Y278" s="66">
        <v>34</v>
      </c>
      <c r="Z278" s="66">
        <v>33.799999999999997</v>
      </c>
      <c r="AA278" s="66">
        <v>33</v>
      </c>
      <c r="AB278" s="66">
        <v>31</v>
      </c>
      <c r="AC278" s="66">
        <v>29.6</v>
      </c>
      <c r="AD278" s="66">
        <v>32</v>
      </c>
      <c r="AE278" s="66">
        <v>32.200000000000003</v>
      </c>
      <c r="AF278" s="66">
        <v>33.6</v>
      </c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22</v>
      </c>
      <c r="AQ278" s="68">
        <f t="shared" si="22"/>
        <v>31.854545454545462</v>
      </c>
      <c r="AR278" s="68">
        <f>IFERROR(VLOOKUP(A278,Climatologia_TMAX!A:U,9+$E$2,FALSE),"")</f>
        <v>30.558898924731189</v>
      </c>
      <c r="AS278" s="68">
        <f t="shared" si="23"/>
        <v>1.2956465298142739</v>
      </c>
      <c r="AT278" s="74">
        <f t="shared" si="24"/>
        <v>34.200000000000003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35.799999999999997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8" s="69">
        <f t="shared" si="25"/>
        <v>-1.5999999999999943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21.2</v>
      </c>
      <c r="M279" s="66">
        <v>21.2</v>
      </c>
      <c r="N279" s="66">
        <v>22.2</v>
      </c>
      <c r="O279" s="66">
        <v>23.5</v>
      </c>
      <c r="P279" s="66">
        <v>22</v>
      </c>
      <c r="Q279" s="66">
        <v>20.8</v>
      </c>
      <c r="R279" s="66"/>
      <c r="S279" s="66">
        <v>21</v>
      </c>
      <c r="T279" s="66">
        <v>20</v>
      </c>
      <c r="U279" s="66">
        <v>21</v>
      </c>
      <c r="V279" s="66">
        <v>18.600000000000001</v>
      </c>
      <c r="W279" s="66">
        <v>19.399999999999999</v>
      </c>
      <c r="X279" s="66">
        <v>19.8</v>
      </c>
      <c r="Y279" s="66">
        <v>20.2</v>
      </c>
      <c r="Z279" s="66">
        <v>22.4</v>
      </c>
      <c r="AA279" s="66">
        <v>22</v>
      </c>
      <c r="AB279" s="66">
        <v>21.4</v>
      </c>
      <c r="AC279" s="66">
        <v>19.399999999999999</v>
      </c>
      <c r="AD279" s="66">
        <v>22</v>
      </c>
      <c r="AE279" s="66">
        <v>21.4</v>
      </c>
      <c r="AF279" s="66">
        <v>21.6</v>
      </c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21</v>
      </c>
      <c r="AQ279" s="68">
        <f t="shared" si="22"/>
        <v>21.06190476190476</v>
      </c>
      <c r="AR279" s="68">
        <f>IFERROR(VLOOKUP(A279,Climatologia_TMAX!A:U,9+$E$2,FALSE),"")</f>
        <v>19.979224744457721</v>
      </c>
      <c r="AS279" s="68">
        <f t="shared" si="23"/>
        <v>1.0826800174470392</v>
      </c>
      <c r="AT279" s="74">
        <f t="shared" si="24"/>
        <v>23.5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23.4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9" s="69">
        <f t="shared" si="25"/>
        <v>0.10000000000000142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31.4</v>
      </c>
      <c r="L280" s="66">
        <v>31.6</v>
      </c>
      <c r="M280" s="66">
        <v>27.2</v>
      </c>
      <c r="N280" s="66">
        <v>27.8</v>
      </c>
      <c r="O280" s="66">
        <v>31.8</v>
      </c>
      <c r="P280" s="66">
        <v>33.4</v>
      </c>
      <c r="Q280" s="66">
        <v>31.4</v>
      </c>
      <c r="R280" s="66">
        <v>31.8</v>
      </c>
      <c r="S280" s="66">
        <v>29.2</v>
      </c>
      <c r="T280" s="66">
        <v>31.8</v>
      </c>
      <c r="U280" s="66">
        <v>32.799999999999997</v>
      </c>
      <c r="V280" s="66">
        <v>28.8</v>
      </c>
      <c r="W280" s="66">
        <v>31.6</v>
      </c>
      <c r="X280" s="66">
        <v>30.8</v>
      </c>
      <c r="Y280" s="66">
        <v>32.799999999999997</v>
      </c>
      <c r="Z280" s="66">
        <v>33.200000000000003</v>
      </c>
      <c r="AA280" s="66">
        <v>32.6</v>
      </c>
      <c r="AB280" s="66">
        <v>29.4</v>
      </c>
      <c r="AC280" s="66">
        <v>29.6</v>
      </c>
      <c r="AD280" s="66">
        <v>28.6</v>
      </c>
      <c r="AE280" s="66">
        <v>32.4</v>
      </c>
      <c r="AF280" s="66">
        <v>31.6</v>
      </c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22</v>
      </c>
      <c r="AQ280" s="68">
        <f t="shared" si="22"/>
        <v>30.981818181818188</v>
      </c>
      <c r="AR280" s="68">
        <f>IFERROR(VLOOKUP(A280,Climatologia_TMAX!A:U,9+$E$2,FALSE),"")</f>
        <v>29.080095604803059</v>
      </c>
      <c r="AS280" s="68">
        <f t="shared" si="23"/>
        <v>1.9017225770151285</v>
      </c>
      <c r="AT280" s="74">
        <f t="shared" si="24"/>
        <v>33.4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34.4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21.4</v>
      </c>
      <c r="L281" s="66">
        <v>21.2</v>
      </c>
      <c r="M281" s="66">
        <v>19.2</v>
      </c>
      <c r="N281" s="66">
        <v>18.8</v>
      </c>
      <c r="O281" s="66">
        <v>21.4</v>
      </c>
      <c r="P281" s="66">
        <v>23.4</v>
      </c>
      <c r="Q281" s="66">
        <v>21.6</v>
      </c>
      <c r="R281" s="66">
        <v>21.2</v>
      </c>
      <c r="S281" s="66">
        <v>20.2</v>
      </c>
      <c r="T281" s="66">
        <v>22</v>
      </c>
      <c r="U281" s="66">
        <v>21.8</v>
      </c>
      <c r="V281" s="66">
        <v>20.399999999999999</v>
      </c>
      <c r="W281" s="66">
        <v>21</v>
      </c>
      <c r="X281" s="66">
        <v>20.2</v>
      </c>
      <c r="Y281" s="66">
        <v>22.2</v>
      </c>
      <c r="Z281" s="66">
        <v>22.4</v>
      </c>
      <c r="AA281" s="66">
        <v>22.2</v>
      </c>
      <c r="AB281" s="66">
        <v>19.399999999999999</v>
      </c>
      <c r="AC281" s="66">
        <v>19.8</v>
      </c>
      <c r="AD281" s="66">
        <v>19.600000000000001</v>
      </c>
      <c r="AE281" s="66">
        <v>21.4</v>
      </c>
      <c r="AF281" s="66">
        <v>22.4</v>
      </c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22</v>
      </c>
      <c r="AQ281" s="68">
        <f t="shared" si="22"/>
        <v>21.054545454545451</v>
      </c>
      <c r="AR281" s="68">
        <f>IFERROR(VLOOKUP(A281,Climatologia_TMAX!A:U,9+$E$2,FALSE),"")</f>
        <v>19.480961768219831</v>
      </c>
      <c r="AS281" s="68">
        <f t="shared" si="23"/>
        <v>1.5735836863256196</v>
      </c>
      <c r="AT281" s="74">
        <f t="shared" si="24"/>
        <v>23.4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>
        <v>15.2</v>
      </c>
      <c r="L282" s="66">
        <v>13.8</v>
      </c>
      <c r="M282" s="66">
        <v>14.2</v>
      </c>
      <c r="N282" s="66">
        <v>14.6</v>
      </c>
      <c r="O282" s="66">
        <v>15</v>
      </c>
      <c r="P282" s="66">
        <v>15.6</v>
      </c>
      <c r="Q282" s="66">
        <v>13.4</v>
      </c>
      <c r="R282" s="66">
        <v>14</v>
      </c>
      <c r="S282" s="66">
        <v>14.6</v>
      </c>
      <c r="T282" s="66">
        <v>16.8</v>
      </c>
      <c r="U282" s="66">
        <v>17</v>
      </c>
      <c r="V282" s="66">
        <v>13.2</v>
      </c>
      <c r="W282" s="66">
        <v>15</v>
      </c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13</v>
      </c>
      <c r="AQ282" s="68" t="str">
        <f t="shared" si="22"/>
        <v/>
      </c>
      <c r="AR282" s="68">
        <f>IFERROR(VLOOKUP(A282,Climatologia_TMAX!A:U,9+$E$2,FALSE),"")</f>
        <v>15.486316278061681</v>
      </c>
      <c r="AS282" s="68" t="str">
        <f t="shared" si="23"/>
        <v/>
      </c>
      <c r="AT282" s="74">
        <f t="shared" si="24"/>
        <v>17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19.399999999999999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2" s="69">
        <f t="shared" si="25"/>
        <v>-2.3999999999999986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18.600000000000001</v>
      </c>
      <c r="L283" s="66">
        <v>18</v>
      </c>
      <c r="M283" s="66">
        <v>18.600000000000001</v>
      </c>
      <c r="N283" s="66">
        <v>19.600000000000001</v>
      </c>
      <c r="O283" s="66">
        <v>19.399999999999999</v>
      </c>
      <c r="P283" s="66">
        <v>19.600000000000001</v>
      </c>
      <c r="Q283" s="66">
        <v>19.600000000000001</v>
      </c>
      <c r="R283" s="66">
        <v>18</v>
      </c>
      <c r="S283" s="66">
        <v>18</v>
      </c>
      <c r="T283" s="66">
        <v>18</v>
      </c>
      <c r="U283" s="66">
        <v>19.2</v>
      </c>
      <c r="V283" s="66">
        <v>18.8</v>
      </c>
      <c r="W283" s="66">
        <v>19</v>
      </c>
      <c r="X283" s="66">
        <v>19.399999999999999</v>
      </c>
      <c r="Y283" s="66">
        <v>19.2</v>
      </c>
      <c r="Z283" s="66">
        <v>19.399999999999999</v>
      </c>
      <c r="AA283" s="66">
        <v>19.2</v>
      </c>
      <c r="AB283" s="66">
        <v>19.2</v>
      </c>
      <c r="AC283" s="66">
        <v>18.600000000000001</v>
      </c>
      <c r="AD283" s="66">
        <v>19.399999999999999</v>
      </c>
      <c r="AE283" s="66">
        <v>20.399999999999999</v>
      </c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21</v>
      </c>
      <c r="AQ283" s="68">
        <f t="shared" si="22"/>
        <v>19.009523809523806</v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20.399999999999999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21.8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3" s="69">
        <f t="shared" si="25"/>
        <v>-1.4000000000000021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</v>
      </c>
      <c r="L284" s="66">
        <v>17.8</v>
      </c>
      <c r="M284" s="66">
        <v>17.399999999999999</v>
      </c>
      <c r="N284" s="66">
        <v>19.399999999999999</v>
      </c>
      <c r="O284" s="66">
        <v>21.6</v>
      </c>
      <c r="P284" s="66">
        <v>21.4</v>
      </c>
      <c r="Q284" s="66">
        <v>21.2</v>
      </c>
      <c r="R284" s="66">
        <v>21.6</v>
      </c>
      <c r="S284" s="66">
        <v>19</v>
      </c>
      <c r="T284" s="66">
        <v>19.399999999999999</v>
      </c>
      <c r="U284" s="66">
        <v>20</v>
      </c>
      <c r="V284" s="66">
        <v>17.600000000000001</v>
      </c>
      <c r="W284" s="66">
        <v>19.2</v>
      </c>
      <c r="X284" s="66">
        <v>20.2</v>
      </c>
      <c r="Y284" s="66">
        <v>18.600000000000001</v>
      </c>
      <c r="Z284" s="66">
        <v>19.399999999999999</v>
      </c>
      <c r="AA284" s="66">
        <v>19.2</v>
      </c>
      <c r="AB284" s="66">
        <v>20.6</v>
      </c>
      <c r="AC284" s="66">
        <v>18.399999999999999</v>
      </c>
      <c r="AD284" s="66">
        <v>19.8</v>
      </c>
      <c r="AE284" s="66">
        <v>20</v>
      </c>
      <c r="AF284" s="66">
        <v>19.399999999999999</v>
      </c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22</v>
      </c>
      <c r="AQ284" s="68">
        <f t="shared" si="22"/>
        <v>19.645454545454541</v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21.6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4" s="69">
        <f t="shared" si="25"/>
        <v>-0.39999999999999858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21</v>
      </c>
      <c r="L285" s="66">
        <v>19</v>
      </c>
      <c r="M285" s="66">
        <v>19.399999999999999</v>
      </c>
      <c r="N285" s="66">
        <v>20</v>
      </c>
      <c r="O285" s="66">
        <v>21</v>
      </c>
      <c r="P285" s="66">
        <v>22.4</v>
      </c>
      <c r="Q285" s="66">
        <v>22</v>
      </c>
      <c r="R285" s="66">
        <v>21</v>
      </c>
      <c r="S285" s="66">
        <v>19.600000000000001</v>
      </c>
      <c r="T285" s="66">
        <v>20</v>
      </c>
      <c r="U285" s="109">
        <v>19.399999999999999</v>
      </c>
      <c r="V285" s="66">
        <v>18.399999999999999</v>
      </c>
      <c r="W285" s="66">
        <v>19.8</v>
      </c>
      <c r="X285" s="66">
        <v>21</v>
      </c>
      <c r="Y285" s="66">
        <v>21</v>
      </c>
      <c r="Z285" s="66">
        <v>22</v>
      </c>
      <c r="AA285" s="66">
        <v>22.6</v>
      </c>
      <c r="AB285" s="66">
        <v>21.8</v>
      </c>
      <c r="AC285" s="66">
        <v>20</v>
      </c>
      <c r="AD285" s="66">
        <v>19.600000000000001</v>
      </c>
      <c r="AE285" s="66">
        <v>21</v>
      </c>
      <c r="AF285" s="66">
        <v>22</v>
      </c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22</v>
      </c>
      <c r="AQ285" s="68">
        <f t="shared" si="22"/>
        <v>20.63636363636364</v>
      </c>
      <c r="AR285" s="68">
        <f>IFERROR(VLOOKUP(A285,Climatologia_TMAX!A:U,9+$E$2,FALSE),"")</f>
        <v>19.031953400468261</v>
      </c>
      <c r="AS285" s="68">
        <f t="shared" si="23"/>
        <v>1.6044102358953793</v>
      </c>
      <c r="AT285" s="74">
        <f t="shared" si="24"/>
        <v>22.6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25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5" s="69">
        <f t="shared" si="25"/>
        <v>-2.3999999999999986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28.981793702127721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</v>
      </c>
      <c r="L287" s="66">
        <v>18</v>
      </c>
      <c r="M287" s="66">
        <v>18</v>
      </c>
      <c r="N287" s="66">
        <v>17.8</v>
      </c>
      <c r="O287" s="66">
        <v>18.600000000000001</v>
      </c>
      <c r="P287" s="66">
        <v>20.2</v>
      </c>
      <c r="Q287" s="66">
        <v>22.4</v>
      </c>
      <c r="R287" s="66">
        <v>20.2</v>
      </c>
      <c r="S287" s="66">
        <v>18.399999999999999</v>
      </c>
      <c r="T287" s="66">
        <v>18.600000000000001</v>
      </c>
      <c r="U287" s="66">
        <v>17.399999999999999</v>
      </c>
      <c r="V287" s="66">
        <v>18</v>
      </c>
      <c r="W287" s="66">
        <v>18.399999999999999</v>
      </c>
      <c r="X287" s="66">
        <v>18.2</v>
      </c>
      <c r="Y287" s="66">
        <v>18.2</v>
      </c>
      <c r="Z287" s="66">
        <v>21</v>
      </c>
      <c r="AA287" s="66">
        <v>20.399999999999999</v>
      </c>
      <c r="AB287" s="66">
        <v>20.2</v>
      </c>
      <c r="AC287" s="66">
        <v>18</v>
      </c>
      <c r="AD287" s="66">
        <v>18</v>
      </c>
      <c r="AE287" s="66">
        <v>21</v>
      </c>
      <c r="AF287" s="66">
        <v>20</v>
      </c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22</v>
      </c>
      <c r="AQ287" s="68">
        <f t="shared" si="22"/>
        <v>19.09090909090909</v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22.4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24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7" s="69">
        <f t="shared" si="25"/>
        <v>-1.6000000000000014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25.99213257662791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90" width="11.42578125" style="42" customWidth="1"/>
    <col min="91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2026-07-23T15:01:47Z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2026-07-23T15:00:42Z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963ef45a-a6d4-4926-87ef-ce5df6981064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