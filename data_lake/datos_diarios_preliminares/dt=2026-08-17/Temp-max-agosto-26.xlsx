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8F0A54A0-277B-41FA-AE15-7FF41B31C0A0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<sst xmlns="http://schemas.openxmlformats.org/spreadsheetml/2006/main" count="603" uniqueCount="272">
  <si>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</si>
  <si>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</si>
  <si>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</si>
  <si>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</si>
  <si>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</si>
  <si>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</si>
  <si>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</si>
  <si>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</si>
  <si>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</si>
  <si>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</si>
  <si>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</si>
  <si>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</si>
  <si>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</si>
  <si>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</si>
  <si>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</si>
  <si>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</si>
  <si>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</si>
  <si>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</si>
  <si>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</si>
  <si>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</si>
  <si>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</si>
  <si>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</si>
  <si>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</si>
  <si>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</si>
  <si>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</si>
  <si>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</si>
  <si>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</si>
  <si>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</si>
  <si>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</si>
  <si>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</si>
  <si>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</si>
  <si>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</si>
  <si>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</si>
  <si>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</si>
  <si>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</si>
  <si>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</si>
  <si>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</si>
  <si>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</si>
  <si>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</si>
  <si>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</si>
  <si>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</si>
  <si>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</si>
  <si>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</si>
  <si>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</si>
  <si>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</si>
  <si>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</si>
  <si>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</si>
  <si>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</si>
  <si>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</si>
  <si>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</si>
  <si>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</si>
  <si>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</si>
  <si>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</si>
  <si>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</si>
  <si>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</si>
  <si>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</si>
  <si>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</si>
  <si>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</si>
  <si>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</si>
  <si>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</si>
  <si>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</si>
  <si>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</si>
  <si>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</si>
  <si>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</si>
  <si>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</si>
  <si>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</si>
  <si>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</si>
  <si>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</si>
  <si>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</si>
  <si>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</si>
  <si>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</si>
  <si>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</si>
  <si>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</si>
  <si>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</si>
  <si>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</si>
  <si>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</si>
  <si>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</si>
  <si>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</si>
  <si>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</si>
  <si>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</si>
  <si>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</si>
  <si>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</si>
  <si>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</si>
  <si>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</si>
  <si>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</si>
  <si>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</si>
  <si>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</si>
  <si>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</si>
  <si>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</si>
  <si>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</si>
  <si>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</si>
  <si>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</si>
  <si>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</si>
  <si>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</si>
  <si>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</si>
  <si>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</si>
  <si>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</si>
  <si>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</si>
  <si>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</si>
  <si>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</si>
  <si>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</si>
  <si>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</si>
  <si>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</si>
  <si>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</si>
  <si>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</si>
  <si>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</si>
  <si>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</si>
  <si>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</si>
  <si>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</si>
  <si>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</si>
  <si>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</si>
  <si>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</si>
  <si>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</si>
  <si>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</si>
  <si>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</si>
  <si>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</si>
  <si>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</si>
  <si>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</si>
  <si>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</si>
  <si>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</si>
  <si>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</si>
  <si>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</si>
  <si>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</si>
  <si>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</si>
  <si>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</si>
  <si>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</si>
  <si>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</si>
  <si>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</si>
  <si>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</si>
  <si>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</si>
  <si>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</si>
  <si>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</si>
  <si>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</si>
  <si>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</si>
  <si>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</si>
  <si>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</si>
  <si>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</si>
  <si>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</si>
  <si>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</si>
  <si>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</si>
  <si>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</si>
  <si>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</si>
  <si>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</si>
  <si>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</si>
  <si>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</si>
  <si>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</si>
  <si>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</si>
  <si>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</si>
  <si>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</si>
  <si>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</si>
  <si>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</si>
  <si>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</si>
  <si>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</si>
  <si>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</si>
  <si>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</si>
  <si>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</si>
  <si>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</si>
  <si>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</si>
  <si>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</si>
  <si>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</si>
  <si>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</si>
  <si>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</si>
  <si>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</si>
  <si>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</si>
  <si>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</si>
  <si>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</si>
  <si>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</si>
  <si>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</si>
  <si>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</si>
  <si>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</si>
  <si>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</si>
  <si>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</si>
  <si>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</si>
  <si>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</si>
  <si>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</si>
  <si>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</si>
  <si>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</si>
  <si>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</si>
  <si>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</si>
  <si>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</si>
  <si>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</si>
  <si>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</si>
  <si>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</si>
  <si>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</si>
  <si>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</si>
  <si>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</si>
  <si>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</si>
  <si>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</si>
  <si>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</si>
  <si>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</si>
  <si>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</si>
  <si>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</si>
  <si>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</si>
  <si>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</si>
  <si>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</si>
  <si>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</si>
  <si>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</si>
  <si>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</si>
  <si>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</si>
  <si>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</si>
  <si>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</si>
  <si>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</si>
  <si>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</si>
  <si>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</si>
  <si>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</si>
  <si>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</si>
  <si>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</si>
  <si>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</si>
  <si>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</si>
  <si>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</si>
  <si>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</si>
  <si>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</si>
  <si>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</si>
  <si>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</si>
  <si>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</si>
  <si>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</si>
  <si>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</si>
  <si>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</si>
  <si>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</si>
  <si>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</si>
  <si>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</si>
  <si>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</si>
  <si>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</si>
  <si>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</si>
  <si>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</si>
  <si>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</si>
  <si>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</si>
  <si>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</si>
  <si>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</si>
  <si>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</si>
  <si>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</si>
  <si>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</si>
  <si>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</si>
  <si>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</si>
  <si>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</si>
  <si>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</si>
  <si>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</si>
  <si>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</si>
  <si>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</si>
  <si>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</si>
  <si>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</si>
  <si>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</si>
  <si>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</si>
  <si>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</si>
  <si>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</si>
  <si>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</si>
  <si>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</si>
  <si>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</si>
  <si>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</si>
  <si>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</si>
  <si>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</si>
  <si>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</si>
  <si>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</si>
  <si>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</si>
  <si>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</si>
  <si>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</si>
  <si>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</si>
  <si>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</si>
  <si>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</si>
  <si>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</si>
  <si>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</si>
  <si>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</si>
  <si>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</si>
  <si>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</si>
  <si>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</si>
  <si>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</si>
  <si>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</si>
  <si>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</si>
  <si>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</si>
  <si>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</si>
  <si>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</si>
  <si>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AGOSTO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</si>
</sst>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79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L4" activePane="bottomRight" state="frozen"/>
      <selection pane="topRight" activeCell="E1" sqref="E1"/>
      <selection pane="bottomLeft" activeCell="A4" sqref="A4"/>
      <selection pane="bottomRight" activeCell="S2" sqref="S1:T1048576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31.8</v>
      </c>
      <c r="F5" s="63">
        <v>31.6</v>
      </c>
      <c r="G5" s="63">
        <v>30.6</v>
      </c>
      <c r="H5" s="63">
        <v>31.7</v>
      </c>
      <c r="I5" s="63">
        <v>31.4</v>
      </c>
      <c r="J5" s="63">
        <v>31.6</v>
      </c>
      <c r="K5" s="63">
        <v>31</v>
      </c>
      <c r="L5" s="63">
        <v>31.8</v>
      </c>
      <c r="M5" s="63">
        <v>32.1</v>
      </c>
      <c r="N5" s="63">
        <v>32</v>
      </c>
      <c r="O5" s="63">
        <v>31.5</v>
      </c>
      <c r="P5" s="63">
        <v>32</v>
      </c>
      <c r="Q5" s="63">
        <v>32.299999999999997</v>
      </c>
      <c r="R5" s="63">
        <v>32.799999999999997</v>
      </c>
      <c r="S5" s="63">
        <v>32</v>
      </c>
      <c r="T5" s="63">
        <v>32.6</v>
      </c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32.6</v>
      </c>
      <c r="AK5" s="21">
        <f>+MAX($E5:$AI5)</f>
        <v>32.799999999999997</v>
      </c>
      <c r="AL5" s="22">
        <v>33.1</v>
      </c>
      <c r="AM5" s="23">
        <f>IF(AK5&gt;0,$AK5-$AL5,"")</f>
        <v>-0.30000000000000426</v>
      </c>
      <c r="AN5" s="23">
        <v>30.51594346942419</v>
      </c>
      <c r="AO5" s="23">
        <f>IF(COUNTIF(E5:AI5,"&gt;0")&gt;=15,AVERAGE(E5:AI5),"")</f>
        <v>31.800000000000004</v>
      </c>
      <c r="AP5" s="23">
        <f>IF(AN5&gt;0,IFERROR(AO5-AN5,""),"")</f>
        <v>1.284056530575814</v>
      </c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31.5</v>
      </c>
      <c r="F6" s="63">
        <v>31</v>
      </c>
      <c r="G6" s="63">
        <v>32.200000000000003</v>
      </c>
      <c r="H6" s="63">
        <v>31.4</v>
      </c>
      <c r="I6" s="63">
        <v>31.2</v>
      </c>
      <c r="J6" s="63">
        <v>31.2</v>
      </c>
      <c r="K6" s="63">
        <v>31.5</v>
      </c>
      <c r="L6" s="63">
        <v>31.4</v>
      </c>
      <c r="M6" s="63">
        <v>31.8</v>
      </c>
      <c r="N6" s="63">
        <v>32</v>
      </c>
      <c r="O6" s="63">
        <v>32.700000000000003</v>
      </c>
      <c r="P6" s="63">
        <v>32</v>
      </c>
      <c r="Q6" s="63">
        <v>32.700000000000003</v>
      </c>
      <c r="R6" s="63">
        <v>32.6</v>
      </c>
      <c r="S6" s="63">
        <v>32.700000000000003</v>
      </c>
      <c r="T6" s="63">
        <v>32</v>
      </c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32</v>
      </c>
      <c r="AK6" s="21">
        <f t="shared" ref="AK6:AK48" si="1">+MAX($E6:$AI6)</f>
        <v>32.700000000000003</v>
      </c>
      <c r="AL6" s="22">
        <v>33.4</v>
      </c>
      <c r="AM6" s="23">
        <f t="shared" ref="AM6:AM48" si="2">IF(AK6&gt;0,$AK6-$AL6,"")</f>
        <v>-0.69999999999999574</v>
      </c>
      <c r="AN6" s="23">
        <v>31.046424304488809</v>
      </c>
      <c r="AO6" s="23">
        <f t="shared" ref="AO6:AO15" si="3">IF(COUNTIF(E6:AI6,"&gt;0")&gt;=15,AVERAGE(E6:AI6),"")</f>
        <v>31.868749999999999</v>
      </c>
      <c r="AP6" s="23">
        <f t="shared" ref="AP6:AP48" si="4">IF(AN6&gt;0,IFERROR(AO6-AN6,""),"")</f>
        <v>0.82232569551118928</v>
      </c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35.200000000000003</v>
      </c>
      <c r="F7" s="63">
        <v>37.6</v>
      </c>
      <c r="G7" s="63">
        <v>36</v>
      </c>
      <c r="H7" s="63">
        <v>34.6</v>
      </c>
      <c r="I7" s="63">
        <v>34.200000000000003</v>
      </c>
      <c r="J7" s="63">
        <v>33.799999999999997</v>
      </c>
      <c r="K7" s="63">
        <v>34.1</v>
      </c>
      <c r="L7" s="63">
        <v>36.299999999999997</v>
      </c>
      <c r="M7" s="63">
        <v>36.4</v>
      </c>
      <c r="N7" s="63">
        <v>37.799999999999997</v>
      </c>
      <c r="O7" s="63">
        <v>37.799999999999997</v>
      </c>
      <c r="P7" s="63">
        <v>35.4</v>
      </c>
      <c r="Q7" s="63">
        <v>33.799999999999997</v>
      </c>
      <c r="R7" s="63">
        <v>35.799999999999997</v>
      </c>
      <c r="S7" s="63">
        <v>36.4</v>
      </c>
      <c r="T7" s="63">
        <v>35</v>
      </c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35</v>
      </c>
      <c r="AK7" s="21">
        <f t="shared" si="1"/>
        <v>37.799999999999997</v>
      </c>
      <c r="AL7" s="22">
        <v>38.4</v>
      </c>
      <c r="AM7" s="23">
        <f t="shared" si="2"/>
        <v>-0.60000000000000142</v>
      </c>
      <c r="AN7" s="23">
        <v>33.115285708400279</v>
      </c>
      <c r="AO7" s="23">
        <f t="shared" si="3"/>
        <v>35.637500000000003</v>
      </c>
      <c r="AP7" s="23">
        <f t="shared" si="4"/>
        <v>2.5222142915997239</v>
      </c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</v>
      </c>
      <c r="G8" s="63">
        <v>34.4</v>
      </c>
      <c r="H8" s="63">
        <v>33.299999999999997</v>
      </c>
      <c r="I8" s="63">
        <v>33.299999999999997</v>
      </c>
      <c r="J8" s="63">
        <v>32.5</v>
      </c>
      <c r="K8" s="63">
        <v>34.1</v>
      </c>
      <c r="L8" s="63">
        <v>33.9</v>
      </c>
      <c r="M8" s="63">
        <v>34.6</v>
      </c>
      <c r="N8" s="63">
        <v>33.4</v>
      </c>
      <c r="O8" s="63">
        <v>33.9</v>
      </c>
      <c r="P8" s="63">
        <v>33.799999999999997</v>
      </c>
      <c r="Q8" s="63">
        <v>33.799999999999997</v>
      </c>
      <c r="R8" s="63">
        <v>33.6</v>
      </c>
      <c r="S8" s="63">
        <v>34</v>
      </c>
      <c r="T8" s="63">
        <v>35.1</v>
      </c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35.1</v>
      </c>
      <c r="AK8" s="21">
        <f t="shared" si="1"/>
        <v>35.1</v>
      </c>
      <c r="AL8" s="22">
        <v>36.9</v>
      </c>
      <c r="AM8" s="23">
        <f t="shared" si="2"/>
        <v>-1.7999999999999972</v>
      </c>
      <c r="AN8" s="23">
        <v>32.243805889046577</v>
      </c>
      <c r="AO8" s="23">
        <f t="shared" si="3"/>
        <v>33.743749999999999</v>
      </c>
      <c r="AP8" s="23">
        <f t="shared" si="4"/>
        <v>1.4999441109534217</v>
      </c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34.799999999999997</v>
      </c>
      <c r="F9" s="63">
        <v>36.299999999999997</v>
      </c>
      <c r="G9" s="63">
        <v>35.5</v>
      </c>
      <c r="H9" s="63">
        <v>35.799999999999997</v>
      </c>
      <c r="I9" s="63">
        <v>34.9</v>
      </c>
      <c r="J9" s="63">
        <v>33.6</v>
      </c>
      <c r="K9" s="63">
        <v>33.200000000000003</v>
      </c>
      <c r="L9" s="63">
        <v>34.1</v>
      </c>
      <c r="M9" s="63">
        <v>34.1</v>
      </c>
      <c r="N9" s="63">
        <v>34.200000000000003</v>
      </c>
      <c r="O9" s="63">
        <v>34.9</v>
      </c>
      <c r="P9" s="63">
        <v>37.700000000000003</v>
      </c>
      <c r="Q9" s="63">
        <v>36.700000000000003</v>
      </c>
      <c r="R9" s="63">
        <v>33.6</v>
      </c>
      <c r="S9" s="63">
        <v>34.5</v>
      </c>
      <c r="T9" s="63">
        <v>36.9</v>
      </c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36.9</v>
      </c>
      <c r="AK9" s="21">
        <f t="shared" si="1"/>
        <v>37.700000000000003</v>
      </c>
      <c r="AL9" s="22">
        <v>38.700000000000003</v>
      </c>
      <c r="AM9" s="23">
        <f t="shared" si="2"/>
        <v>-1</v>
      </c>
      <c r="AN9" s="23">
        <v>33.507160697070823</v>
      </c>
      <c r="AO9" s="23">
        <f t="shared" si="3"/>
        <v>35.049999999999997</v>
      </c>
      <c r="AP9" s="23">
        <f t="shared" si="4"/>
        <v>1.542839302929174</v>
      </c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33</v>
      </c>
      <c r="F10" s="63">
        <v>37.9</v>
      </c>
      <c r="G10" s="63">
        <v>37.4</v>
      </c>
      <c r="H10" s="63">
        <v>37.1</v>
      </c>
      <c r="I10" s="63">
        <v>35.200000000000003</v>
      </c>
      <c r="J10" s="63">
        <v>35.700000000000003</v>
      </c>
      <c r="K10" s="63">
        <v>36.1</v>
      </c>
      <c r="L10" s="63">
        <v>36.6</v>
      </c>
      <c r="M10" s="63">
        <v>36.6</v>
      </c>
      <c r="N10" s="63">
        <v>38.799999999999997</v>
      </c>
      <c r="O10" s="63">
        <v>37.9</v>
      </c>
      <c r="P10" s="63">
        <v>37.9</v>
      </c>
      <c r="Q10" s="63">
        <v>38.5</v>
      </c>
      <c r="R10" s="63">
        <v>37.1</v>
      </c>
      <c r="S10" s="63">
        <v>36.6</v>
      </c>
      <c r="T10" s="63">
        <v>38</v>
      </c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38</v>
      </c>
      <c r="AK10" s="21">
        <f t="shared" si="1"/>
        <v>38.799999999999997</v>
      </c>
      <c r="AL10" s="22">
        <v>39.4</v>
      </c>
      <c r="AM10" s="23">
        <f t="shared" si="2"/>
        <v>-0.60000000000000142</v>
      </c>
      <c r="AN10" s="23">
        <v>35.037947033054557</v>
      </c>
      <c r="AO10" s="23">
        <f t="shared" si="3"/>
        <v>36.9</v>
      </c>
      <c r="AP10" s="23">
        <f t="shared" si="4"/>
        <v>1.8620529669454413</v>
      </c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40.200000000000003</v>
      </c>
      <c r="F11" s="63">
        <v>40.6</v>
      </c>
      <c r="G11" s="63">
        <v>39.200000000000003</v>
      </c>
      <c r="H11" s="63">
        <v>37.799999999999997</v>
      </c>
      <c r="I11" s="63">
        <v>37.700000000000003</v>
      </c>
      <c r="J11" s="63">
        <v>36.299999999999997</v>
      </c>
      <c r="K11" s="63">
        <v>38.200000000000003</v>
      </c>
      <c r="L11" s="63">
        <v>39.700000000000003</v>
      </c>
      <c r="M11" s="63">
        <v>40.200000000000003</v>
      </c>
      <c r="N11" s="63">
        <v>42.9</v>
      </c>
      <c r="O11" s="63">
        <v>42.4</v>
      </c>
      <c r="P11" s="63">
        <v>41.5</v>
      </c>
      <c r="Q11" s="63">
        <v>39</v>
      </c>
      <c r="R11" s="63">
        <v>39.200000000000003</v>
      </c>
      <c r="S11" s="63">
        <v>38.200000000000003</v>
      </c>
      <c r="T11" s="63">
        <v>38.799999999999997</v>
      </c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38.799999999999997</v>
      </c>
      <c r="AK11" s="21">
        <f t="shared" si="1"/>
        <v>42.9</v>
      </c>
      <c r="AL11" s="22">
        <v>41.2</v>
      </c>
      <c r="AM11" s="23">
        <f t="shared" si="2"/>
        <v>1.6999999999999957</v>
      </c>
      <c r="AN11" s="23">
        <v>35.179462365591398</v>
      </c>
      <c r="AO11" s="23">
        <f t="shared" si="3"/>
        <v>39.493749999999999</v>
      </c>
      <c r="AP11" s="23">
        <f t="shared" si="4"/>
        <v>4.3142876344086005</v>
      </c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36</v>
      </c>
      <c r="F12" s="63">
        <v>35.799999999999997</v>
      </c>
      <c r="G12" s="63">
        <v>35.200000000000003</v>
      </c>
      <c r="H12" s="63">
        <v>33.799999999999997</v>
      </c>
      <c r="I12" s="63">
        <v>35</v>
      </c>
      <c r="J12" s="63">
        <v>27.8</v>
      </c>
      <c r="K12" s="63">
        <v>34.200000000000003</v>
      </c>
      <c r="L12" s="63">
        <v>35.799999999999997</v>
      </c>
      <c r="M12" s="63">
        <v>35.4</v>
      </c>
      <c r="N12" s="63">
        <v>36.6</v>
      </c>
      <c r="O12" s="63">
        <v>37</v>
      </c>
      <c r="P12" s="63">
        <v>36.200000000000003</v>
      </c>
      <c r="Q12" s="63">
        <v>34.799999999999997</v>
      </c>
      <c r="R12" s="63">
        <v>36</v>
      </c>
      <c r="S12" s="63">
        <v>35.6</v>
      </c>
      <c r="T12" s="63">
        <v>34.200000000000003</v>
      </c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34.200000000000003</v>
      </c>
      <c r="AK12" s="21">
        <f t="shared" si="1"/>
        <v>37</v>
      </c>
      <c r="AL12" s="22">
        <v>37.4</v>
      </c>
      <c r="AM12" s="23">
        <f t="shared" si="2"/>
        <v>-0.39999999999999858</v>
      </c>
      <c r="AN12" s="23">
        <v>32.131914371977928</v>
      </c>
      <c r="AO12" s="23">
        <f t="shared" si="3"/>
        <v>34.962500000000006</v>
      </c>
      <c r="AP12" s="23">
        <f t="shared" si="4"/>
        <v>2.830585628022078</v>
      </c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36.200000000000003</v>
      </c>
      <c r="F13" s="63">
        <v>36.799999999999997</v>
      </c>
      <c r="G13" s="63">
        <v>36.6</v>
      </c>
      <c r="H13" s="63">
        <v>35.200000000000003</v>
      </c>
      <c r="I13" s="63">
        <v>34.4</v>
      </c>
      <c r="J13" s="63">
        <v>28.4</v>
      </c>
      <c r="K13" s="63">
        <v>34.6</v>
      </c>
      <c r="L13" s="63">
        <v>36.6</v>
      </c>
      <c r="M13" s="63">
        <v>33.799999999999997</v>
      </c>
      <c r="N13" s="63">
        <v>37.200000000000003</v>
      </c>
      <c r="O13" s="63">
        <v>37.4</v>
      </c>
      <c r="P13" s="63">
        <v>37</v>
      </c>
      <c r="Q13" s="63">
        <v>36</v>
      </c>
      <c r="R13" s="63">
        <v>36.6</v>
      </c>
      <c r="S13" s="63">
        <v>37.4</v>
      </c>
      <c r="T13" s="63">
        <v>35</v>
      </c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35</v>
      </c>
      <c r="AK13" s="21">
        <f t="shared" si="1"/>
        <v>37.4</v>
      </c>
      <c r="AL13" s="22">
        <v>38.200000000000003</v>
      </c>
      <c r="AM13" s="23">
        <f t="shared" si="2"/>
        <v>-0.80000000000000426</v>
      </c>
      <c r="AN13" s="23">
        <v>32.923758320532507</v>
      </c>
      <c r="AO13" s="23">
        <f t="shared" si="3"/>
        <v>35.575000000000003</v>
      </c>
      <c r="AP13" s="23">
        <f t="shared" si="4"/>
        <v>2.6512416794674962</v>
      </c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36.700000000000003</v>
      </c>
      <c r="F14" s="63">
        <v>35.700000000000003</v>
      </c>
      <c r="G14" s="63">
        <v>34.4</v>
      </c>
      <c r="H14" s="63">
        <v>30.9</v>
      </c>
      <c r="I14" s="63">
        <v>35.6</v>
      </c>
      <c r="J14" s="63">
        <v>27.8</v>
      </c>
      <c r="K14" s="63">
        <v>35</v>
      </c>
      <c r="L14" s="63">
        <v>35.799999999999997</v>
      </c>
      <c r="M14" s="63">
        <v>35.1</v>
      </c>
      <c r="N14" s="63">
        <v>36.5</v>
      </c>
      <c r="O14" s="63">
        <v>37.1</v>
      </c>
      <c r="P14" s="63">
        <v>37</v>
      </c>
      <c r="Q14" s="63">
        <v>34.9</v>
      </c>
      <c r="R14" s="63">
        <v>35.5</v>
      </c>
      <c r="S14" s="63">
        <v>35.799999999999997</v>
      </c>
      <c r="T14" s="63">
        <v>33.299999999999997</v>
      </c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33.299999999999997</v>
      </c>
      <c r="AK14" s="21">
        <f t="shared" si="1"/>
        <v>37.1</v>
      </c>
      <c r="AL14" s="22">
        <v>36.9</v>
      </c>
      <c r="AM14" s="23">
        <f t="shared" si="2"/>
        <v>0.20000000000000284</v>
      </c>
      <c r="AN14" s="23">
        <v>33.065084280874721</v>
      </c>
      <c r="AO14" s="23">
        <f t="shared" si="3"/>
        <v>34.818750000000001</v>
      </c>
      <c r="AP14" s="23">
        <f t="shared" si="4"/>
        <v>1.75366571912528</v>
      </c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33.4</v>
      </c>
      <c r="F15" s="63">
        <v>32.9</v>
      </c>
      <c r="G15" s="63">
        <v>28.9</v>
      </c>
      <c r="H15" s="63">
        <v>33.799999999999997</v>
      </c>
      <c r="I15" s="63">
        <v>31.8</v>
      </c>
      <c r="J15" s="63">
        <v>26.8</v>
      </c>
      <c r="K15" s="63">
        <v>32</v>
      </c>
      <c r="L15" s="63">
        <v>32.4</v>
      </c>
      <c r="M15" s="63">
        <v>31.1</v>
      </c>
      <c r="N15" s="63">
        <v>33.200000000000003</v>
      </c>
      <c r="O15" s="63">
        <v>34.299999999999997</v>
      </c>
      <c r="P15" s="63">
        <v>32.6</v>
      </c>
      <c r="Q15" s="63">
        <v>33.200000000000003</v>
      </c>
      <c r="R15" s="63">
        <v>32.5</v>
      </c>
      <c r="S15" s="63">
        <v>32.4</v>
      </c>
      <c r="T15" s="63">
        <v>32</v>
      </c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32</v>
      </c>
      <c r="AK15" s="21">
        <f t="shared" si="1"/>
        <v>34.299999999999997</v>
      </c>
      <c r="AL15" s="22">
        <v>35</v>
      </c>
      <c r="AM15" s="23">
        <f t="shared" si="2"/>
        <v>-0.70000000000000284</v>
      </c>
      <c r="AN15" s="23">
        <v>31.919167946748601</v>
      </c>
      <c r="AO15" s="23">
        <f t="shared" si="3"/>
        <v>32.081249999999997</v>
      </c>
      <c r="AP15" s="23">
        <f t="shared" si="4"/>
        <v>0.16208205325139602</v>
      </c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17"/>
      <c r="AS16" s="17"/>
      <c r="AT16" s="17"/>
    </row>
    <row r="17" spans="1:42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36.700000000000003</v>
      </c>
      <c r="F17" s="63">
        <v>36.200000000000003</v>
      </c>
      <c r="G17" s="63">
        <v>34.1</v>
      </c>
      <c r="H17" s="63">
        <v>33.4</v>
      </c>
      <c r="I17" s="63">
        <v>35</v>
      </c>
      <c r="J17" s="63">
        <v>33.299999999999997</v>
      </c>
      <c r="K17" s="63">
        <v>35.5</v>
      </c>
      <c r="L17" s="63">
        <v>36.799999999999997</v>
      </c>
      <c r="M17" s="63">
        <v>36.299999999999997</v>
      </c>
      <c r="N17" s="63">
        <v>37.4</v>
      </c>
      <c r="O17" s="63">
        <v>38</v>
      </c>
      <c r="P17" s="63">
        <v>37.6</v>
      </c>
      <c r="Q17" s="63">
        <v>37.4</v>
      </c>
      <c r="R17" s="63">
        <v>36</v>
      </c>
      <c r="S17" s="63">
        <v>36.5</v>
      </c>
      <c r="T17" s="63">
        <v>35.5</v>
      </c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35.5</v>
      </c>
      <c r="AK17" s="21">
        <f t="shared" si="1"/>
        <v>38</v>
      </c>
      <c r="AL17" s="22">
        <v>37.200000000000003</v>
      </c>
      <c r="AM17" s="23">
        <f t="shared" si="2"/>
        <v>0.79999999999999716</v>
      </c>
      <c r="AN17" s="23">
        <v>32.703385242862417</v>
      </c>
      <c r="AO17" s="23">
        <f>IF(COUNTIF(E17:AI17,"&gt;0")&gt;=15,AVERAGE(E17:AI17),"")</f>
        <v>35.981250000000003</v>
      </c>
      <c r="AP17" s="23">
        <f>IF(AN17&gt;0,IFERROR(AO17-AN17,""),"")</f>
        <v>3.2778647571375856</v>
      </c>
    </row>
    <row r="18" spans="1:42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29.7</v>
      </c>
      <c r="F18" s="63">
        <v>30.5</v>
      </c>
      <c r="G18" s="63">
        <v>28.4</v>
      </c>
      <c r="H18" s="63">
        <v>27.5</v>
      </c>
      <c r="I18" s="63">
        <v>28.2</v>
      </c>
      <c r="J18" s="63">
        <v>26.8</v>
      </c>
      <c r="K18" s="63">
        <v>28.3</v>
      </c>
      <c r="L18" s="63">
        <v>30.8</v>
      </c>
      <c r="M18" s="63">
        <v>29.1</v>
      </c>
      <c r="N18" s="63">
        <v>31.1</v>
      </c>
      <c r="O18" s="63">
        <v>31.4</v>
      </c>
      <c r="P18" s="63">
        <v>31.2</v>
      </c>
      <c r="Q18" s="63">
        <v>30.2</v>
      </c>
      <c r="R18" s="63">
        <v>30.5</v>
      </c>
      <c r="S18" s="63">
        <v>30</v>
      </c>
      <c r="T18" s="63">
        <v>27.5</v>
      </c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27.5</v>
      </c>
      <c r="AK18" s="21">
        <f t="shared" si="1"/>
        <v>31.4</v>
      </c>
      <c r="AL18" s="22">
        <v>30.3</v>
      </c>
      <c r="AM18" s="23">
        <f t="shared" si="2"/>
        <v>1.0999999999999979</v>
      </c>
      <c r="AN18" s="23">
        <v>26.343645559538029</v>
      </c>
      <c r="AO18" s="23">
        <f t="shared" ref="AO18:AO33" si="5">IF(COUNTIF(E18:AI18,"&gt;0")&gt;=15,AVERAGE(E18:AI18),"")</f>
        <v>29.45</v>
      </c>
      <c r="AP18" s="23">
        <f t="shared" si="4"/>
        <v>3.1063544404619705</v>
      </c>
    </row>
    <row r="19" spans="1:42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35.5</v>
      </c>
      <c r="F19" s="63">
        <v>36.1</v>
      </c>
      <c r="G19" s="63">
        <v>34.5</v>
      </c>
      <c r="H19" s="63">
        <v>34.200000000000003</v>
      </c>
      <c r="I19" s="63">
        <v>34.700000000000003</v>
      </c>
      <c r="J19" s="63">
        <v>33.299999999999997</v>
      </c>
      <c r="K19" s="63">
        <v>37</v>
      </c>
      <c r="L19" s="63">
        <v>35.5</v>
      </c>
      <c r="M19" s="63">
        <v>36.4</v>
      </c>
      <c r="N19" s="63">
        <v>37.4</v>
      </c>
      <c r="O19" s="63">
        <v>35.200000000000003</v>
      </c>
      <c r="P19" s="63">
        <v>37.299999999999997</v>
      </c>
      <c r="Q19" s="63">
        <v>37.6</v>
      </c>
      <c r="R19" s="63">
        <v>35.700000000000003</v>
      </c>
      <c r="S19" s="63">
        <v>34.200000000000003</v>
      </c>
      <c r="T19" s="63">
        <v>35.200000000000003</v>
      </c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35.200000000000003</v>
      </c>
      <c r="AK19" s="21">
        <f t="shared" si="1"/>
        <v>37.6</v>
      </c>
      <c r="AL19" s="22">
        <v>38.700000000000003</v>
      </c>
      <c r="AM19" s="23">
        <f t="shared" si="2"/>
        <v>-1.1000000000000014</v>
      </c>
      <c r="AN19" s="23">
        <v>34.207406451612897</v>
      </c>
      <c r="AO19" s="23">
        <f t="shared" si="5"/>
        <v>35.612500000000004</v>
      </c>
      <c r="AP19" s="23">
        <f t="shared" si="4"/>
        <v>1.4050935483871072</v>
      </c>
    </row>
    <row r="20" spans="1:42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30.9</v>
      </c>
      <c r="F20" s="63">
        <v>30.9</v>
      </c>
      <c r="G20" s="63">
        <v>30</v>
      </c>
      <c r="H20" s="63">
        <v>32</v>
      </c>
      <c r="I20" s="63">
        <v>29.5</v>
      </c>
      <c r="J20" s="63">
        <v>29.1</v>
      </c>
      <c r="K20" s="63">
        <v>31</v>
      </c>
      <c r="L20" s="63">
        <v>31.9</v>
      </c>
      <c r="M20" s="63">
        <v>32.4</v>
      </c>
      <c r="N20" s="63">
        <v>32</v>
      </c>
      <c r="O20" s="63">
        <v>31.8</v>
      </c>
      <c r="P20" s="63">
        <v>31.8</v>
      </c>
      <c r="Q20" s="63">
        <v>31.9</v>
      </c>
      <c r="R20" s="63">
        <v>32.299999999999997</v>
      </c>
      <c r="S20" s="63">
        <v>32.5</v>
      </c>
      <c r="T20" s="63">
        <v>30.6</v>
      </c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30.6</v>
      </c>
      <c r="AK20" s="21">
        <f t="shared" si="1"/>
        <v>32.5</v>
      </c>
      <c r="AL20" s="22">
        <v>33.6</v>
      </c>
      <c r="AM20" s="23">
        <f t="shared" si="2"/>
        <v>-1.1000000000000014</v>
      </c>
      <c r="AN20" s="23">
        <v>28.699699180747569</v>
      </c>
      <c r="AO20" s="23">
        <f t="shared" si="5"/>
        <v>31.287500000000001</v>
      </c>
      <c r="AP20" s="23">
        <f t="shared" si="4"/>
        <v>2.5878008192524327</v>
      </c>
    </row>
    <row r="21" spans="1:42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24.7</v>
      </c>
      <c r="F21" s="63">
        <v>24.5</v>
      </c>
      <c r="G21" s="63">
        <v>23.7</v>
      </c>
      <c r="H21" s="63">
        <v>23.9</v>
      </c>
      <c r="I21" s="63">
        <v>23.3</v>
      </c>
      <c r="J21" s="63">
        <v>23.4</v>
      </c>
      <c r="K21" s="63">
        <v>24</v>
      </c>
      <c r="L21" s="63">
        <v>25.3</v>
      </c>
      <c r="M21" s="63">
        <v>25</v>
      </c>
      <c r="N21" s="63">
        <v>25.3</v>
      </c>
      <c r="O21" s="63">
        <v>25.2</v>
      </c>
      <c r="P21" s="63">
        <v>25.2</v>
      </c>
      <c r="Q21" s="63">
        <v>25</v>
      </c>
      <c r="R21" s="63">
        <v>25.8</v>
      </c>
      <c r="S21" s="63">
        <v>25.9</v>
      </c>
      <c r="T21" s="63">
        <v>24.9</v>
      </c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24.9</v>
      </c>
      <c r="AK21" s="21">
        <f t="shared" si="1"/>
        <v>25.9</v>
      </c>
      <c r="AL21" s="22">
        <v>25.9</v>
      </c>
      <c r="AM21" s="23">
        <f t="shared" si="2"/>
        <v>0</v>
      </c>
      <c r="AN21" s="23">
        <v>22.70234743584826</v>
      </c>
      <c r="AO21" s="23">
        <f t="shared" si="5"/>
        <v>24.693749999999998</v>
      </c>
      <c r="AP21" s="23">
        <f t="shared" si="4"/>
        <v>1.9914025641517377</v>
      </c>
    </row>
    <row r="22" spans="1:42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>
        <f t="shared" si="1"/>
        <v>0</v>
      </c>
      <c r="AL22" s="22">
        <v>28</v>
      </c>
      <c r="AM22" s="23" t="str">
        <f t="shared" si="2"/>
        <v/>
      </c>
      <c r="AN22" s="23">
        <v>21.522857738757349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29.6</v>
      </c>
      <c r="F23" s="63">
        <v>31.4</v>
      </c>
      <c r="G23" s="63">
        <v>29</v>
      </c>
      <c r="H23" s="63">
        <v>29</v>
      </c>
      <c r="I23" s="63">
        <v>26</v>
      </c>
      <c r="J23" s="63">
        <v>27.5</v>
      </c>
      <c r="K23" s="63">
        <v>32.1</v>
      </c>
      <c r="L23" s="63">
        <v>29.6</v>
      </c>
      <c r="M23" s="63">
        <v>30.9</v>
      </c>
      <c r="N23" s="63">
        <v>32.299999999999997</v>
      </c>
      <c r="O23" s="63">
        <v>35</v>
      </c>
      <c r="P23" s="63">
        <v>31.1</v>
      </c>
      <c r="Q23" s="63">
        <v>31.2</v>
      </c>
      <c r="R23" s="63">
        <v>31</v>
      </c>
      <c r="S23" s="63">
        <v>28.8</v>
      </c>
      <c r="T23" s="63">
        <v>25.2</v>
      </c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25.2</v>
      </c>
      <c r="AK23" s="21">
        <f t="shared" si="1"/>
        <v>35</v>
      </c>
      <c r="AL23" s="22">
        <v>32.6</v>
      </c>
      <c r="AM23" s="23">
        <f t="shared" si="2"/>
        <v>2.3999999999999986</v>
      </c>
      <c r="AN23" s="23">
        <v>27.308103225806452</v>
      </c>
      <c r="AO23" s="23">
        <f t="shared" si="5"/>
        <v>29.981249999999999</v>
      </c>
      <c r="AP23" s="23">
        <f t="shared" si="4"/>
        <v>2.6731467741935475</v>
      </c>
    </row>
    <row r="24" spans="1:42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31.9</v>
      </c>
      <c r="F24" s="63">
        <v>32.200000000000003</v>
      </c>
      <c r="G24" s="63">
        <v>30.3</v>
      </c>
      <c r="H24" s="63">
        <v>31.3</v>
      </c>
      <c r="I24" s="63">
        <v>27</v>
      </c>
      <c r="J24" s="63">
        <v>27.5</v>
      </c>
      <c r="K24" s="63">
        <v>32.4</v>
      </c>
      <c r="L24" s="63">
        <v>30.9</v>
      </c>
      <c r="M24" s="63">
        <v>32.4</v>
      </c>
      <c r="N24" s="63">
        <v>34.299999999999997</v>
      </c>
      <c r="O24" s="63">
        <v>33.299999999999997</v>
      </c>
      <c r="P24" s="63">
        <v>31.9</v>
      </c>
      <c r="Q24" s="63">
        <v>33.9</v>
      </c>
      <c r="R24" s="63">
        <v>31.8</v>
      </c>
      <c r="S24" s="63">
        <v>29.8</v>
      </c>
      <c r="T24" s="63">
        <v>26.8</v>
      </c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26.8</v>
      </c>
      <c r="AK24" s="21">
        <f t="shared" si="1"/>
        <v>34.299999999999997</v>
      </c>
      <c r="AL24" s="22">
        <v>34.4</v>
      </c>
      <c r="AM24" s="23">
        <f t="shared" si="2"/>
        <v>-0.10000000000000142</v>
      </c>
      <c r="AN24" s="23">
        <v>28.821983273596171</v>
      </c>
      <c r="AO24" s="23">
        <f t="shared" si="5"/>
        <v>31.106249999999999</v>
      </c>
      <c r="AP24" s="23">
        <f t="shared" si="4"/>
        <v>2.2842667264038283</v>
      </c>
    </row>
    <row r="25" spans="1:42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36</v>
      </c>
      <c r="F25" s="63">
        <v>36.1</v>
      </c>
      <c r="G25" s="63">
        <v>34.700000000000003</v>
      </c>
      <c r="H25" s="63">
        <v>36.200000000000003</v>
      </c>
      <c r="I25" s="63">
        <v>29.9</v>
      </c>
      <c r="J25" s="63">
        <v>35.799999999999997</v>
      </c>
      <c r="K25" s="63">
        <v>33.4</v>
      </c>
      <c r="L25" s="63">
        <v>34.299999999999997</v>
      </c>
      <c r="M25" s="63">
        <v>34.299999999999997</v>
      </c>
      <c r="N25" s="63">
        <v>37.299999999999997</v>
      </c>
      <c r="O25" s="63">
        <v>35</v>
      </c>
      <c r="P25" s="63">
        <v>34.799999999999997</v>
      </c>
      <c r="Q25" s="63">
        <v>35.799999999999997</v>
      </c>
      <c r="R25" s="63">
        <v>36.4</v>
      </c>
      <c r="S25" s="63">
        <v>35.4</v>
      </c>
      <c r="T25" s="63">
        <v>29</v>
      </c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29</v>
      </c>
      <c r="AK25" s="21">
        <f t="shared" si="1"/>
        <v>37.299999999999997</v>
      </c>
      <c r="AL25" s="22">
        <v>36.4</v>
      </c>
      <c r="AM25" s="23">
        <f t="shared" si="2"/>
        <v>0.89999999999999858</v>
      </c>
      <c r="AN25" s="23">
        <v>31.558535251017972</v>
      </c>
      <c r="AO25" s="23">
        <f t="shared" si="5"/>
        <v>34.65</v>
      </c>
      <c r="AP25" s="23">
        <f t="shared" si="4"/>
        <v>3.0914647489820268</v>
      </c>
    </row>
    <row r="26" spans="1:42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19</v>
      </c>
      <c r="F26" s="63">
        <v>20.5</v>
      </c>
      <c r="G26" s="63">
        <v>19.3</v>
      </c>
      <c r="H26" s="63">
        <v>18.8</v>
      </c>
      <c r="I26" s="63">
        <v>18.399999999999999</v>
      </c>
      <c r="J26" s="63">
        <v>18.3</v>
      </c>
      <c r="K26" s="63">
        <v>21.2</v>
      </c>
      <c r="L26" s="63">
        <v>21.3</v>
      </c>
      <c r="M26" s="63">
        <v>19.2</v>
      </c>
      <c r="N26" s="63">
        <v>21.7</v>
      </c>
      <c r="O26" s="63">
        <v>19.600000000000001</v>
      </c>
      <c r="P26" s="63">
        <v>20</v>
      </c>
      <c r="Q26" s="63">
        <v>19.899999999999999</v>
      </c>
      <c r="R26" s="63">
        <v>21.4</v>
      </c>
      <c r="S26" s="63">
        <v>21.5</v>
      </c>
      <c r="T26" s="63">
        <v>19.8</v>
      </c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19.8</v>
      </c>
      <c r="AK26" s="21">
        <f t="shared" si="1"/>
        <v>21.7</v>
      </c>
      <c r="AL26" s="22">
        <v>23.6</v>
      </c>
      <c r="AM26" s="23">
        <f t="shared" si="2"/>
        <v>-1.9000000000000021</v>
      </c>
      <c r="AN26" s="23">
        <v>18.772940161432931</v>
      </c>
      <c r="AO26" s="23">
        <f t="shared" si="5"/>
        <v>19.993749999999999</v>
      </c>
      <c r="AP26" s="23">
        <f t="shared" si="4"/>
        <v>1.2208098385670674</v>
      </c>
    </row>
    <row r="27" spans="1:42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20.3</v>
      </c>
      <c r="F27" s="63">
        <v>20.399999999999999</v>
      </c>
      <c r="G27" s="63">
        <v>20.8</v>
      </c>
      <c r="H27" s="63">
        <v>19</v>
      </c>
      <c r="I27" s="63">
        <v>18.2</v>
      </c>
      <c r="J27" s="63">
        <v>19.600000000000001</v>
      </c>
      <c r="K27" s="63">
        <v>21.6</v>
      </c>
      <c r="L27" s="63">
        <v>20.8</v>
      </c>
      <c r="M27" s="63">
        <v>21</v>
      </c>
      <c r="N27" s="63">
        <v>20.6</v>
      </c>
      <c r="O27" s="63">
        <v>19.399999999999999</v>
      </c>
      <c r="P27" s="63">
        <v>21</v>
      </c>
      <c r="Q27" s="63">
        <v>21.6</v>
      </c>
      <c r="R27" s="63">
        <v>21.8</v>
      </c>
      <c r="S27" s="63">
        <v>21.4</v>
      </c>
      <c r="T27" s="63">
        <v>22.6</v>
      </c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22.6</v>
      </c>
      <c r="AK27" s="21">
        <f t="shared" si="1"/>
        <v>22.6</v>
      </c>
      <c r="AL27" s="22">
        <v>22.4</v>
      </c>
      <c r="AM27" s="23">
        <f t="shared" si="2"/>
        <v>0.20000000000000284</v>
      </c>
      <c r="AN27" s="23">
        <v>17.087318670151451</v>
      </c>
      <c r="AO27" s="23">
        <f t="shared" si="5"/>
        <v>20.631250000000001</v>
      </c>
      <c r="AP27" s="23">
        <f t="shared" si="4"/>
        <v>3.5439313298485509</v>
      </c>
    </row>
    <row r="28" spans="1:42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32.799999999999997</v>
      </c>
      <c r="F28" s="63">
        <v>34.299999999999997</v>
      </c>
      <c r="G28" s="63">
        <v>30.1</v>
      </c>
      <c r="H28" s="63">
        <v>32.700000000000003</v>
      </c>
      <c r="I28" s="63">
        <v>29.2</v>
      </c>
      <c r="J28" s="63">
        <v>31.3</v>
      </c>
      <c r="K28" s="63">
        <v>33.700000000000003</v>
      </c>
      <c r="L28" s="63">
        <v>33.6</v>
      </c>
      <c r="M28" s="63">
        <v>33.299999999999997</v>
      </c>
      <c r="N28" s="63">
        <v>36.1</v>
      </c>
      <c r="O28" s="63">
        <v>35.4</v>
      </c>
      <c r="P28" s="63">
        <v>32.700000000000003</v>
      </c>
      <c r="Q28" s="63">
        <v>34.799999999999997</v>
      </c>
      <c r="R28" s="63">
        <v>32.5</v>
      </c>
      <c r="S28" s="63">
        <v>32</v>
      </c>
      <c r="T28" s="63">
        <v>28.3</v>
      </c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28.3</v>
      </c>
      <c r="AK28" s="21">
        <f t="shared" si="1"/>
        <v>36.1</v>
      </c>
      <c r="AL28" s="22">
        <v>36.1</v>
      </c>
      <c r="AM28" s="23">
        <f t="shared" si="2"/>
        <v>0</v>
      </c>
      <c r="AN28" s="23">
        <v>31.11792011972717</v>
      </c>
      <c r="AO28" s="23">
        <f t="shared" si="5"/>
        <v>32.674999999999997</v>
      </c>
      <c r="AP28" s="23">
        <f t="shared" si="4"/>
        <v>1.557079880272827</v>
      </c>
    </row>
    <row r="29" spans="1:42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>
        <f t="shared" si="1"/>
        <v>0</v>
      </c>
      <c r="AL29" s="22"/>
      <c r="AM29" s="23" t="str">
        <f t="shared" si="2"/>
        <v/>
      </c>
      <c r="AN29" s="23">
        <v>26.363682869685029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37.700000000000003</v>
      </c>
      <c r="F30" s="63">
        <v>38.200000000000003</v>
      </c>
      <c r="G30" s="63">
        <v>36</v>
      </c>
      <c r="H30" s="63">
        <v>34.700000000000003</v>
      </c>
      <c r="I30" s="63">
        <v>33.5</v>
      </c>
      <c r="J30" s="63">
        <v>35.4</v>
      </c>
      <c r="K30" s="63">
        <v>36.799999999999997</v>
      </c>
      <c r="L30" s="63">
        <v>36.799999999999997</v>
      </c>
      <c r="M30" s="63">
        <v>37.200000000000003</v>
      </c>
      <c r="N30" s="63">
        <v>38.5</v>
      </c>
      <c r="O30" s="63">
        <v>36</v>
      </c>
      <c r="P30" s="63">
        <v>34.200000000000003</v>
      </c>
      <c r="Q30" s="63">
        <v>36.700000000000003</v>
      </c>
      <c r="R30" s="63">
        <v>35</v>
      </c>
      <c r="S30" s="63">
        <v>36.5</v>
      </c>
      <c r="T30" s="63">
        <v>34.299999999999997</v>
      </c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34.299999999999997</v>
      </c>
      <c r="AK30" s="21">
        <f t="shared" si="1"/>
        <v>38.5</v>
      </c>
      <c r="AL30" s="22">
        <v>39</v>
      </c>
      <c r="AM30" s="23">
        <f t="shared" si="2"/>
        <v>-0.5</v>
      </c>
      <c r="AN30" s="23">
        <v>34.619032258064507</v>
      </c>
      <c r="AO30" s="23">
        <f t="shared" si="5"/>
        <v>36.09375</v>
      </c>
      <c r="AP30" s="23">
        <f t="shared" si="4"/>
        <v>1.4747177419354927</v>
      </c>
    </row>
    <row r="31" spans="1:42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27.6</v>
      </c>
      <c r="F31" s="63">
        <v>27.5</v>
      </c>
      <c r="G31" s="63">
        <v>27.2</v>
      </c>
      <c r="H31" s="63">
        <v>27</v>
      </c>
      <c r="I31" s="63">
        <v>25.4</v>
      </c>
      <c r="J31" s="63">
        <v>25</v>
      </c>
      <c r="K31" s="63">
        <v>28.5</v>
      </c>
      <c r="L31" s="63">
        <v>29.4</v>
      </c>
      <c r="M31" s="63">
        <v>28.4</v>
      </c>
      <c r="N31" s="63">
        <v>27.6</v>
      </c>
      <c r="O31" s="63">
        <v>26.5</v>
      </c>
      <c r="P31" s="63">
        <v>26.8</v>
      </c>
      <c r="Q31" s="63">
        <v>27.6</v>
      </c>
      <c r="R31" s="63">
        <v>25.9</v>
      </c>
      <c r="S31" s="63">
        <v>28.3</v>
      </c>
      <c r="T31" s="63">
        <v>24.8</v>
      </c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24.8</v>
      </c>
      <c r="AK31" s="21">
        <f t="shared" si="1"/>
        <v>29.4</v>
      </c>
      <c r="AL31" s="22">
        <v>31.3</v>
      </c>
      <c r="AM31" s="23">
        <f t="shared" si="2"/>
        <v>-1.9000000000000021</v>
      </c>
      <c r="AN31" s="23">
        <v>26.14732965766952</v>
      </c>
      <c r="AO31" s="23">
        <f t="shared" si="5"/>
        <v>27.093750000000004</v>
      </c>
      <c r="AP31" s="23">
        <f t="shared" si="4"/>
        <v>0.94642034233048378</v>
      </c>
    </row>
    <row r="32" spans="1:42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17</v>
      </c>
      <c r="F32" s="63">
        <v>19</v>
      </c>
      <c r="G32" s="63">
        <v>15.6</v>
      </c>
      <c r="H32" s="63">
        <v>16</v>
      </c>
      <c r="I32" s="63">
        <v>15.6</v>
      </c>
      <c r="J32" s="63">
        <v>15.6</v>
      </c>
      <c r="K32" s="63">
        <v>18.2</v>
      </c>
      <c r="L32" s="63">
        <v>18.8</v>
      </c>
      <c r="M32" s="63">
        <v>20</v>
      </c>
      <c r="N32" s="63">
        <v>17.2</v>
      </c>
      <c r="O32" s="63">
        <v>16.8</v>
      </c>
      <c r="P32" s="63">
        <v>15.6</v>
      </c>
      <c r="Q32" s="63">
        <v>16.600000000000001</v>
      </c>
      <c r="R32" s="63">
        <v>16.2</v>
      </c>
      <c r="S32" s="63">
        <v>16.600000000000001</v>
      </c>
      <c r="T32" s="63">
        <v>17.600000000000001</v>
      </c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17.600000000000001</v>
      </c>
      <c r="AK32" s="21">
        <f t="shared" si="1"/>
        <v>20</v>
      </c>
      <c r="AL32" s="22">
        <v>22.2</v>
      </c>
      <c r="AM32" s="23">
        <f t="shared" si="2"/>
        <v>-2.1999999999999993</v>
      </c>
      <c r="AN32" s="27">
        <v>16.438135408145051</v>
      </c>
      <c r="AO32" s="23">
        <f t="shared" si="5"/>
        <v>17.024999999999999</v>
      </c>
      <c r="AP32" s="23">
        <f t="shared" si="4"/>
        <v>0.58686459185494755</v>
      </c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16.399999999999999</v>
      </c>
      <c r="F33" s="63">
        <v>16</v>
      </c>
      <c r="G33" s="63">
        <v>14.8</v>
      </c>
      <c r="H33" s="63">
        <v>14.4</v>
      </c>
      <c r="I33" s="63">
        <v>13.8</v>
      </c>
      <c r="J33" s="63">
        <v>14.8</v>
      </c>
      <c r="K33" s="63">
        <v>16</v>
      </c>
      <c r="L33" s="63">
        <v>17</v>
      </c>
      <c r="M33" s="63">
        <v>17</v>
      </c>
      <c r="N33" s="63">
        <v>15.4</v>
      </c>
      <c r="O33" s="63">
        <v>13.6</v>
      </c>
      <c r="P33" s="63">
        <v>15.2</v>
      </c>
      <c r="Q33" s="63">
        <v>15</v>
      </c>
      <c r="R33" s="63">
        <v>13.8</v>
      </c>
      <c r="S33" s="63">
        <v>16</v>
      </c>
      <c r="T33" s="63">
        <v>16.600000000000001</v>
      </c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16.600000000000001</v>
      </c>
      <c r="AK33" s="21">
        <f t="shared" si="1"/>
        <v>17</v>
      </c>
      <c r="AL33" s="22">
        <v>20.6</v>
      </c>
      <c r="AM33" s="23">
        <f t="shared" si="2"/>
        <v>-3.6000000000000014</v>
      </c>
      <c r="AN33" s="23">
        <v>14.98521690767519</v>
      </c>
      <c r="AO33" s="23">
        <f t="shared" si="5"/>
        <v>15.362499999999999</v>
      </c>
      <c r="AP33" s="23">
        <f t="shared" si="4"/>
        <v>0.37728309232480939</v>
      </c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17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</v>
      </c>
      <c r="F35" s="63">
        <v>34.799999999999997</v>
      </c>
      <c r="G35" s="63">
        <v>30</v>
      </c>
      <c r="H35" s="63">
        <v>31</v>
      </c>
      <c r="I35" s="63">
        <v>29.4</v>
      </c>
      <c r="J35" s="63">
        <v>30.6</v>
      </c>
      <c r="K35" s="63">
        <v>32</v>
      </c>
      <c r="L35" s="63">
        <v>33</v>
      </c>
      <c r="M35" s="63">
        <v>33.200000000000003</v>
      </c>
      <c r="N35" s="63">
        <v>34</v>
      </c>
      <c r="O35" s="63">
        <v>36</v>
      </c>
      <c r="P35" s="63">
        <v>31.8</v>
      </c>
      <c r="Q35" s="63">
        <v>34.700000000000003</v>
      </c>
      <c r="R35" s="63">
        <v>32.799999999999997</v>
      </c>
      <c r="S35" s="63">
        <v>30.4</v>
      </c>
      <c r="T35" s="63">
        <v>29</v>
      </c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29</v>
      </c>
      <c r="AK35" s="21">
        <f t="shared" si="1"/>
        <v>36</v>
      </c>
      <c r="AL35" s="22">
        <v>35.200000000000003</v>
      </c>
      <c r="AM35" s="23">
        <f t="shared" si="2"/>
        <v>0.79999999999999716</v>
      </c>
      <c r="AN35" s="23">
        <v>31.229699666295879</v>
      </c>
      <c r="AO35" s="23">
        <f>IF(COUNTIF(E35:AI35,"&gt;0")&gt;=15,AVERAGE(E35:AI35),"")</f>
        <v>32.293750000000003</v>
      </c>
      <c r="AP35" s="23">
        <f t="shared" si="4"/>
        <v>1.0640503337041238</v>
      </c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>
        <f t="shared" si="1"/>
        <v>0</v>
      </c>
      <c r="AL36" s="22">
        <v>34.4</v>
      </c>
      <c r="AM36" s="23" t="str">
        <f t="shared" si="2"/>
        <v/>
      </c>
      <c r="AN36" s="23">
        <v>30.176612903225809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17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32</v>
      </c>
      <c r="F38" s="63">
        <v>34.1</v>
      </c>
      <c r="G38" s="63">
        <v>32.5</v>
      </c>
      <c r="H38" s="63">
        <v>33.4</v>
      </c>
      <c r="I38" s="63">
        <v>31.8</v>
      </c>
      <c r="J38" s="63">
        <v>32.200000000000003</v>
      </c>
      <c r="K38" s="63">
        <v>33.200000000000003</v>
      </c>
      <c r="L38" s="63">
        <v>31.6</v>
      </c>
      <c r="M38" s="63">
        <v>32</v>
      </c>
      <c r="N38" s="63">
        <v>33.9</v>
      </c>
      <c r="O38" s="63">
        <v>32.4</v>
      </c>
      <c r="P38" s="63">
        <v>32.9</v>
      </c>
      <c r="Q38" s="63">
        <v>32.700000000000003</v>
      </c>
      <c r="R38" s="63">
        <v>32.4</v>
      </c>
      <c r="S38" s="63">
        <v>30.4</v>
      </c>
      <c r="T38" s="63">
        <v>29.4</v>
      </c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29.4</v>
      </c>
      <c r="AK38" s="21">
        <f t="shared" si="1"/>
        <v>34.1</v>
      </c>
      <c r="AL38" s="22">
        <v>34.4</v>
      </c>
      <c r="AM38" s="23">
        <f t="shared" si="2"/>
        <v>-0.29999999999999716</v>
      </c>
      <c r="AN38" s="23">
        <v>30.80035842293907</v>
      </c>
      <c r="AO38" s="23">
        <f>IF(COUNTIF(E38:AI38,"&gt;0")&gt;=15,AVERAGE(E38:AI38),"")</f>
        <v>32.306249999999991</v>
      </c>
      <c r="AP38" s="23">
        <f t="shared" si="4"/>
        <v>1.5058915770609218</v>
      </c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32.4</v>
      </c>
      <c r="F39" s="63">
        <v>32</v>
      </c>
      <c r="G39" s="63">
        <v>32.4</v>
      </c>
      <c r="H39" s="63">
        <v>30</v>
      </c>
      <c r="I39" s="63">
        <v>32.200000000000003</v>
      </c>
      <c r="J39" s="63">
        <v>32.5</v>
      </c>
      <c r="K39" s="63">
        <v>31.8</v>
      </c>
      <c r="L39" s="63">
        <v>33</v>
      </c>
      <c r="M39" s="63">
        <v>33.200000000000003</v>
      </c>
      <c r="N39" s="63">
        <v>34.4</v>
      </c>
      <c r="O39" s="63">
        <v>34.799999999999997</v>
      </c>
      <c r="P39" s="63">
        <v>32.6</v>
      </c>
      <c r="Q39" s="63">
        <v>28.4</v>
      </c>
      <c r="R39" s="63">
        <v>33</v>
      </c>
      <c r="S39" s="63">
        <v>32.799999999999997</v>
      </c>
      <c r="T39" s="63">
        <v>30.4</v>
      </c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30.4</v>
      </c>
      <c r="AK39" s="21">
        <f t="shared" si="1"/>
        <v>34.799999999999997</v>
      </c>
      <c r="AL39" s="22">
        <v>36.1</v>
      </c>
      <c r="AM39" s="23">
        <f t="shared" si="2"/>
        <v>-1.3000000000000043</v>
      </c>
      <c r="AN39" s="23">
        <v>31.513637374860959</v>
      </c>
      <c r="AO39" s="23">
        <f t="shared" ref="AO39:AO48" si="7">IF(COUNTIF(E39:AI39,"&gt;0")&gt;=15,AVERAGE(E39:AI39),"")</f>
        <v>32.243749999999999</v>
      </c>
      <c r="AP39" s="23">
        <f t="shared" si="4"/>
        <v>0.7301126251390393</v>
      </c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32.1</v>
      </c>
      <c r="F40" s="63">
        <v>32</v>
      </c>
      <c r="G40" s="63">
        <v>30.6</v>
      </c>
      <c r="H40" s="63">
        <v>31.2</v>
      </c>
      <c r="I40" s="63">
        <v>27.3</v>
      </c>
      <c r="J40" s="63">
        <v>31.2</v>
      </c>
      <c r="K40" s="63">
        <v>31.1</v>
      </c>
      <c r="L40" s="63">
        <v>29.8</v>
      </c>
      <c r="M40" s="63">
        <v>32.5</v>
      </c>
      <c r="N40" s="63">
        <v>33.4</v>
      </c>
      <c r="O40" s="63">
        <v>31.2</v>
      </c>
      <c r="P40" s="63">
        <v>32.799999999999997</v>
      </c>
      <c r="Q40" s="63">
        <v>31.4</v>
      </c>
      <c r="R40" s="63">
        <v>25.8</v>
      </c>
      <c r="S40" s="63">
        <v>29.4</v>
      </c>
      <c r="T40" s="63">
        <v>31.3</v>
      </c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31.3</v>
      </c>
      <c r="AK40" s="21">
        <f t="shared" si="1"/>
        <v>33.4</v>
      </c>
      <c r="AL40" s="22">
        <v>34.4</v>
      </c>
      <c r="AM40" s="23">
        <f t="shared" si="2"/>
        <v>-1</v>
      </c>
      <c r="AN40" s="23">
        <v>29.807563959955498</v>
      </c>
      <c r="AO40" s="23">
        <f t="shared" si="7"/>
        <v>30.818749999999994</v>
      </c>
      <c r="AP40" s="23">
        <f t="shared" si="4"/>
        <v>1.0111860400444961</v>
      </c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33</v>
      </c>
      <c r="F41" s="63">
        <v>33.6</v>
      </c>
      <c r="G41" s="63">
        <v>31.6</v>
      </c>
      <c r="H41" s="63">
        <v>32</v>
      </c>
      <c r="I41" s="63">
        <v>30.6</v>
      </c>
      <c r="J41" s="63">
        <v>31.4</v>
      </c>
      <c r="K41" s="63">
        <v>33.200000000000003</v>
      </c>
      <c r="L41" s="63">
        <v>30.2</v>
      </c>
      <c r="M41" s="63">
        <v>32.6</v>
      </c>
      <c r="N41" s="63">
        <v>34.4</v>
      </c>
      <c r="O41" s="63">
        <v>32</v>
      </c>
      <c r="P41" s="63">
        <v>33.6</v>
      </c>
      <c r="Q41" s="63">
        <v>32.6</v>
      </c>
      <c r="R41" s="63">
        <v>29.8</v>
      </c>
      <c r="S41" s="63">
        <v>30.8</v>
      </c>
      <c r="T41" s="63">
        <v>31.4</v>
      </c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31.4</v>
      </c>
      <c r="AK41" s="21">
        <f t="shared" si="1"/>
        <v>34.4</v>
      </c>
      <c r="AL41" s="22">
        <v>35.200000000000003</v>
      </c>
      <c r="AM41" s="23">
        <f t="shared" si="2"/>
        <v>-0.80000000000000426</v>
      </c>
      <c r="AN41" s="23">
        <v>29.851373954599769</v>
      </c>
      <c r="AO41" s="23">
        <f t="shared" si="7"/>
        <v>32.050000000000004</v>
      </c>
      <c r="AP41" s="23">
        <f t="shared" si="4"/>
        <v>2.1986260454002355</v>
      </c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30.64846774193548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32</v>
      </c>
      <c r="F43" s="63">
        <v>31.8</v>
      </c>
      <c r="G43" s="63">
        <v>32.200000000000003</v>
      </c>
      <c r="H43" s="63">
        <v>32</v>
      </c>
      <c r="I43" s="63">
        <v>31.8</v>
      </c>
      <c r="J43" s="63">
        <v>32.799999999999997</v>
      </c>
      <c r="K43" s="63">
        <v>30.2</v>
      </c>
      <c r="L43" s="63">
        <v>33.200000000000003</v>
      </c>
      <c r="M43" s="63">
        <v>33</v>
      </c>
      <c r="N43" s="63">
        <v>34.6</v>
      </c>
      <c r="O43" s="63">
        <v>34.200000000000003</v>
      </c>
      <c r="P43" s="63">
        <v>31.2</v>
      </c>
      <c r="Q43" s="63">
        <v>28.2</v>
      </c>
      <c r="R43" s="63">
        <v>32.4</v>
      </c>
      <c r="S43" s="63">
        <v>31.2</v>
      </c>
      <c r="T43" s="63">
        <v>31.8</v>
      </c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31.8</v>
      </c>
      <c r="AK43" s="21">
        <f t="shared" si="1"/>
        <v>34.6</v>
      </c>
      <c r="AL43" s="22">
        <v>35.4</v>
      </c>
      <c r="AM43" s="23">
        <f t="shared" si="2"/>
        <v>-0.79999999999999716</v>
      </c>
      <c r="AN43" s="23">
        <v>31.022074370307589</v>
      </c>
      <c r="AO43" s="23">
        <f t="shared" si="7"/>
        <v>32.037499999999994</v>
      </c>
      <c r="AP43" s="23">
        <f t="shared" si="4"/>
        <v>1.0154256296924054</v>
      </c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32</v>
      </c>
      <c r="F44" s="29">
        <v>31</v>
      </c>
      <c r="G44" s="29">
        <v>31.3</v>
      </c>
      <c r="H44" s="29">
        <v>29</v>
      </c>
      <c r="I44" s="29">
        <v>30.4</v>
      </c>
      <c r="J44" s="29">
        <v>32.200000000000003</v>
      </c>
      <c r="K44" s="29">
        <v>32.4</v>
      </c>
      <c r="L44" s="29">
        <v>31.4</v>
      </c>
      <c r="M44" s="29">
        <v>32.4</v>
      </c>
      <c r="N44" s="29">
        <v>31.2</v>
      </c>
      <c r="O44" s="29">
        <v>32</v>
      </c>
      <c r="P44" s="29">
        <v>31.2</v>
      </c>
      <c r="Q44" s="29">
        <v>32.1</v>
      </c>
      <c r="R44" s="29">
        <v>30.2</v>
      </c>
      <c r="S44" s="29">
        <v>31.2</v>
      </c>
      <c r="T44" s="29">
        <v>30.3</v>
      </c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30.3</v>
      </c>
      <c r="AK44" s="21">
        <f t="shared" si="1"/>
        <v>32.4</v>
      </c>
      <c r="AL44" s="22">
        <v>34.4</v>
      </c>
      <c r="AM44" s="23">
        <f t="shared" si="2"/>
        <v>-2</v>
      </c>
      <c r="AN44" s="23">
        <v>30.14398006331821</v>
      </c>
      <c r="AO44" s="23">
        <f t="shared" si="7"/>
        <v>31.268749999999997</v>
      </c>
      <c r="AP44" s="23">
        <f t="shared" si="4"/>
        <v>1.1247699366817869</v>
      </c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33.200000000000003</v>
      </c>
      <c r="G45" s="63">
        <v>32</v>
      </c>
      <c r="H45" s="63">
        <v>30.6</v>
      </c>
      <c r="I45" s="63">
        <v>29.6</v>
      </c>
      <c r="J45" s="63">
        <v>32.4</v>
      </c>
      <c r="K45" s="63">
        <v>31</v>
      </c>
      <c r="L45" s="63">
        <v>28.6</v>
      </c>
      <c r="M45" s="63">
        <v>33</v>
      </c>
      <c r="N45" s="63">
        <v>34.200000000000003</v>
      </c>
      <c r="O45" s="63">
        <v>33.4</v>
      </c>
      <c r="P45" s="63">
        <v>32.200000000000003</v>
      </c>
      <c r="Q45" s="63">
        <v>32.4</v>
      </c>
      <c r="R45" s="63">
        <v>31.4</v>
      </c>
      <c r="S45" s="63">
        <v>29.4</v>
      </c>
      <c r="T45" s="63">
        <v>31.8</v>
      </c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31.8</v>
      </c>
      <c r="AK45" s="21">
        <f t="shared" si="1"/>
        <v>34.200000000000003</v>
      </c>
      <c r="AL45" s="22">
        <v>35</v>
      </c>
      <c r="AM45" s="23">
        <f t="shared" si="2"/>
        <v>-0.79999999999999716</v>
      </c>
      <c r="AN45" s="23">
        <v>30.420577139515899</v>
      </c>
      <c r="AO45" s="23">
        <f t="shared" si="7"/>
        <v>31.762499999999992</v>
      </c>
      <c r="AP45" s="23">
        <f t="shared" si="4"/>
        <v>1.3419228604840931</v>
      </c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 t="e">
        <f t="shared" si="0"/>
        <v>#N/A</v>
      </c>
      <c r="AK46" s="21">
        <f t="shared" si="1"/>
        <v>0</v>
      </c>
      <c r="AL46" s="22">
        <v>32.799999999999997</v>
      </c>
      <c r="AM46" s="23" t="str">
        <f t="shared" si="2"/>
        <v/>
      </c>
      <c r="AN46" s="23">
        <v>27.456970337411931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>
        <f t="shared" si="1"/>
        <v>0</v>
      </c>
      <c r="AL47" s="22"/>
      <c r="AM47" s="23" t="str">
        <f t="shared" si="2"/>
        <v/>
      </c>
      <c r="AN47" s="23">
        <v>30.20336791881952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27.8</v>
      </c>
      <c r="F48" s="63">
        <v>32.6</v>
      </c>
      <c r="G48" s="63">
        <v>31.9</v>
      </c>
      <c r="H48" s="63">
        <v>32</v>
      </c>
      <c r="I48" s="63">
        <v>32.5</v>
      </c>
      <c r="J48" s="63">
        <v>31.3</v>
      </c>
      <c r="K48" s="63">
        <v>31.5</v>
      </c>
      <c r="L48" s="63">
        <v>32.4</v>
      </c>
      <c r="M48" s="63">
        <v>33.1</v>
      </c>
      <c r="N48" s="63">
        <v>33</v>
      </c>
      <c r="O48" s="63">
        <v>32</v>
      </c>
      <c r="P48" s="63">
        <v>32.6</v>
      </c>
      <c r="Q48" s="63">
        <v>33.299999999999997</v>
      </c>
      <c r="R48" s="63">
        <v>33.299999999999997</v>
      </c>
      <c r="S48" s="63">
        <v>30.5</v>
      </c>
      <c r="T48" s="63">
        <v>32.4</v>
      </c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32.4</v>
      </c>
      <c r="AK48" s="21">
        <f t="shared" si="1"/>
        <v>33.299999999999997</v>
      </c>
      <c r="AL48" s="22">
        <v>35.700000000000003</v>
      </c>
      <c r="AM48" s="23">
        <f t="shared" si="2"/>
        <v>-2.4000000000000057</v>
      </c>
      <c r="AN48" s="23">
        <v>31.390004135649299</v>
      </c>
      <c r="AO48" s="23">
        <f t="shared" si="7"/>
        <v>32.012500000000003</v>
      </c>
      <c r="AP48" s="23">
        <f t="shared" si="4"/>
        <v>0.6224958643507037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17:H33 E35:M36 E38:M42 E5:M15 I17:M24 Y25:AD25 I26:M33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17:H33 E35:M36 E38:M42 O41:AI41 AE44:AI44 E5:M15 I17:M24 I26:M33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20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07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5:M15 I17:M24 E17:H33 O25 T25:W25 Y25:AD25 AF25 AI25 I26:M33 O29:AI29 E35:M36 E38:M42 E43:AI43 K44:AC44 AE44:AI44 E44:J46 K45:M46 E48:M48">
    <cfRule type="cellIs" dxfId="691" priority="2224" stopIfTrue="1" operator="between">
      <formula>-9.9</formula>
      <formula>-10</formula>
    </cfRule>
    <cfRule type="cellIs" dxfId="690" priority="2225" stopIfTrue="1" operator="between">
      <formula>-9.9</formula>
      <formula>-10</formula>
    </cfRule>
    <cfRule type="cellIs" dxfId="689" priority="2223" stopIfTrue="1" operator="between">
      <formula>-8.1</formula>
      <formula>-10</formula>
    </cfRule>
    <cfRule type="cellIs" dxfId="688" priority="2226" stopIfTrue="1" operator="equal">
      <formula>"SD"</formula>
    </cfRule>
    <cfRule type="cellIs" dxfId="687" priority="2222" stopIfTrue="1" operator="equal">
      <formula>"40.0"</formula>
    </cfRule>
  </conditionalFormatting>
  <conditionalFormatting sqref="E5:M15 I17:M24 E17:H33 Y25:AD25 I26:M33 O29:AI29 E35:M36 E38:M42 O41:AI41 E43:AI43 AE44:AI44 E45:M46 E48:M48">
    <cfRule type="cellIs" dxfId="686" priority="2212" stopIfTrue="1" operator="between">
      <formula>-9.9</formula>
      <formula>-10</formula>
    </cfRule>
    <cfRule type="cellIs" dxfId="685" priority="2213" stopIfTrue="1" operator="equal">
      <formula>"SD"</formula>
    </cfRule>
    <cfRule type="cellIs" dxfId="684" priority="2210" stopIfTrue="1" operator="between">
      <formula>-8.1</formula>
      <formula>-10</formula>
    </cfRule>
    <cfRule type="cellIs" dxfId="683" priority="2211" stopIfTrue="1" operator="between">
      <formula>-9.9</formula>
      <formula>-10</formula>
    </cfRule>
    <cfRule type="cellIs" dxfId="682" priority="2209" stopIfTrue="1" operator="equal">
      <formula>"40.0"</formula>
    </cfRule>
  </conditionalFormatting>
  <conditionalFormatting sqref="E22:M22 O22:AC22 AE22:AI22">
    <cfRule type="cellIs" dxfId="681" priority="1461" stopIfTrue="1" operator="between">
      <formula>-9.9</formula>
      <formula>-10</formula>
    </cfRule>
    <cfRule type="cellIs" dxfId="680" priority="1462" stopIfTrue="1" operator="equal">
      <formula>"SD"</formula>
    </cfRule>
    <cfRule type="cellIs" dxfId="679" priority="1467" stopIfTrue="1" operator="between">
      <formula>-9.9</formula>
      <formula>-10</formula>
    </cfRule>
    <cfRule type="cellIs" dxfId="678" priority="1466" stopIfTrue="1" operator="between">
      <formula>-9.9</formula>
      <formula>-10</formula>
    </cfRule>
    <cfRule type="containsText" dxfId="677" priority="1733" stopIfTrue="1" operator="containsText" text="sd">
      <formula>NOT(ISERROR(SEARCH("sd",E22)))</formula>
    </cfRule>
    <cfRule type="cellIs" dxfId="676" priority="1459" stopIfTrue="1" operator="between">
      <formula>-8.1</formula>
      <formula>-10</formula>
    </cfRule>
    <cfRule type="cellIs" dxfId="675" priority="1458" stopIfTrue="1" operator="equal">
      <formula>"40.0"</formula>
    </cfRule>
    <cfRule type="cellIs" dxfId="674" priority="1468" stopIfTrue="1" operator="equal">
      <formula>"SD"</formula>
    </cfRule>
    <cfRule type="cellIs" dxfId="673" priority="1460" stopIfTrue="1" operator="between">
      <formula>-9.9</formula>
      <formula>-10</formula>
    </cfRule>
    <cfRule type="cellIs" dxfId="672" priority="1463" stopIfTrue="1" operator="between">
      <formula>45</formula>
      <formula>100</formula>
    </cfRule>
    <cfRule type="cellIs" dxfId="671" priority="1464" stopIfTrue="1" operator="equal">
      <formula>"40.0"</formula>
    </cfRule>
    <cfRule type="cellIs" dxfId="670" priority="1465" stopIfTrue="1" operator="between">
      <formula>-8.1</formula>
      <formula>-10</formula>
    </cfRule>
    <cfRule type="containsText" dxfId="669" priority="1689" stopIfTrue="1" operator="containsText" text="sd">
      <formula>NOT(ISERROR(SEARCH("sd",E22)))</formula>
    </cfRule>
  </conditionalFormatting>
  <conditionalFormatting sqref="E22:M22 AE22:AI22 O22:AC22">
    <cfRule type="containsText" dxfId="668" priority="1688" stopIfTrue="1" operator="containsText" text="sd">
      <formula>NOT(ISERROR(SEARCH("sd",E22)))</formula>
    </cfRule>
    <cfRule type="containsText" dxfId="667" priority="1732" stopIfTrue="1" operator="containsText" text="sd">
      <formula>NOT(ISERROR(SEARCH("sd",E22)))</formula>
    </cfRule>
  </conditionalFormatting>
  <conditionalFormatting sqref="E22:M22">
    <cfRule type="containsText" dxfId="666" priority="1731" stopIfTrue="1" operator="containsText" text="sd">
      <formula>NOT(ISERROR(SEARCH("sd",E22)))</formula>
    </cfRule>
    <cfRule type="containsText" dxfId="665" priority="1730" stopIfTrue="1" operator="containsText" text="sd">
      <formula>NOT(ISERROR(SEARCH("sd",E22)))</formula>
    </cfRule>
    <cfRule type="containsText" dxfId="664" priority="1729" stopIfTrue="1" operator="containsText" text="sd">
      <formula>NOT(ISERROR(SEARCH("sd",E22)))</formula>
    </cfRule>
    <cfRule type="containsText" dxfId="663" priority="1728" stopIfTrue="1" operator="containsText" text="sd">
      <formula>NOT(ISERROR(SEARCH("sd",E22)))</formula>
    </cfRule>
    <cfRule type="containsText" dxfId="662" priority="1684" stopIfTrue="1" operator="containsText" text="sd">
      <formula>NOT(ISERROR(SEARCH("sd",E22)))</formula>
    </cfRule>
    <cfRule type="containsText" dxfId="661" priority="1685" stopIfTrue="1" operator="containsText" text="sd">
      <formula>NOT(ISERROR(SEARCH("sd",E22)))</formula>
    </cfRule>
    <cfRule type="containsText" dxfId="660" priority="1686" stopIfTrue="1" operator="containsText" text="sd">
      <formula>NOT(ISERROR(SEARCH("sd",E22)))</formula>
    </cfRule>
    <cfRule type="containsText" dxfId="659" priority="1687" stopIfTrue="1" operator="containsText" text="sd">
      <formula>NOT(ISERROR(SEARCH("sd",E22)))</formula>
    </cfRule>
  </conditionalFormatting>
  <conditionalFormatting sqref="E29:M29 O29:AI29">
    <cfRule type="containsText" dxfId="658" priority="504" stopIfTrue="1" operator="containsText" text="sd">
      <formula>NOT(ISERROR(SEARCH("sd",E29)))</formula>
    </cfRule>
    <cfRule type="containsText" dxfId="657" priority="503" stopIfTrue="1" operator="containsText" text="sd">
      <formula>NOT(ISERROR(SEARCH("sd",E29)))</formula>
    </cfRule>
    <cfRule type="containsText" dxfId="656" priority="501" stopIfTrue="1" operator="containsText" text="sd">
      <formula>NOT(ISERROR(SEARCH("sd",E29)))</formula>
    </cfRule>
    <cfRule type="containsText" dxfId="655" priority="499" stopIfTrue="1" operator="containsText" text="sd">
      <formula>NOT(ISERROR(SEARCH("sd",E29)))</formula>
    </cfRule>
    <cfRule type="cellIs" dxfId="654" priority="483" stopIfTrue="1" operator="between">
      <formula>-8.1</formula>
      <formula>-10</formula>
    </cfRule>
    <cfRule type="cellIs" dxfId="653" priority="490" stopIfTrue="1" operator="between">
      <formula>-9.9</formula>
      <formula>-10</formula>
    </cfRule>
    <cfRule type="cellIs" dxfId="652" priority="489" stopIfTrue="1" operator="between">
      <formula>-8.1</formula>
      <formula>-10</formula>
    </cfRule>
    <cfRule type="cellIs" dxfId="651" priority="488" stopIfTrue="1" operator="equal">
      <formula>"40.0"</formula>
    </cfRule>
    <cfRule type="cellIs" dxfId="650" priority="487" stopIfTrue="1" operator="between">
      <formula>45</formula>
      <formula>100</formula>
    </cfRule>
    <cfRule type="cellIs" dxfId="649" priority="486" stopIfTrue="1" operator="equal">
      <formula>"SD"</formula>
    </cfRule>
    <cfRule type="cellIs" dxfId="648" priority="485" stopIfTrue="1" operator="between">
      <formula>-9.9</formula>
      <formula>-10</formula>
    </cfRule>
    <cfRule type="cellIs" dxfId="647" priority="484" stopIfTrue="1" operator="between">
      <formula>-9.9</formula>
      <formula>-10</formula>
    </cfRule>
    <cfRule type="containsText" dxfId="646" priority="494" stopIfTrue="1" operator="containsText" text="sd">
      <formula>NOT(ISERROR(SEARCH("sd",E29)))</formula>
    </cfRule>
    <cfRule type="cellIs" dxfId="645" priority="491" stopIfTrue="1" operator="between">
      <formula>-9.9</formula>
      <formula>-10</formula>
    </cfRule>
    <cfRule type="cellIs" dxfId="644" priority="492" stopIfTrue="1" operator="equal">
      <formula>"SD"</formula>
    </cfRule>
    <cfRule type="cellIs" dxfId="643" priority="482" stopIfTrue="1" operator="equal">
      <formula>"40.0"</formula>
    </cfRule>
    <cfRule type="cellIs" dxfId="642" priority="481" stopIfTrue="1" operator="between">
      <formula>45</formula>
      <formula>100</formula>
    </cfRule>
    <cfRule type="containsText" dxfId="641" priority="496" stopIfTrue="1" operator="containsText" text="sd">
      <formula>NOT(ISERROR(SEARCH("sd",E29)))</formula>
    </cfRule>
    <cfRule type="containsText" dxfId="640" priority="502" stopIfTrue="1" operator="containsText" text="sd">
      <formula>NOT(ISERROR(SEARCH("sd",E29)))</formula>
    </cfRule>
    <cfRule type="containsText" dxfId="639" priority="493" stopIfTrue="1" operator="containsText" text="sd">
      <formula>NOT(ISERROR(SEARCH("sd",E29)))</formula>
    </cfRule>
    <cfRule type="containsText" dxfId="638" priority="495" stopIfTrue="1" operator="containsText" text="sd">
      <formula>NOT(ISERROR(SEARCH("sd",E29)))</formula>
    </cfRule>
    <cfRule type="containsText" dxfId="637" priority="497" stopIfTrue="1" operator="containsText" text="sd">
      <formula>NOT(ISERROR(SEARCH("sd",E29)))</formula>
    </cfRule>
    <cfRule type="containsText" dxfId="636" priority="498" stopIfTrue="1" operator="containsText" text="sd">
      <formula>NOT(ISERROR(SEARCH("sd",E29)))</formula>
    </cfRule>
    <cfRule type="containsText" dxfId="635" priority="500" stopIfTrue="1" operator="containsText" text="sd">
      <formula>NOT(ISERROR(SEARCH("sd",E29)))</formula>
    </cfRule>
  </conditionalFormatting>
  <conditionalFormatting sqref="E36:M36 E42:M42 E25:H25">
    <cfRule type="containsText" dxfId="634" priority="2206" stopIfTrue="1" operator="containsText" text="sd">
      <formula>NOT(ISERROR(SEARCH("sd",E25)))</formula>
    </cfRule>
  </conditionalFormatting>
  <conditionalFormatting sqref="E36:M36 O36:AC36 AE36:AI36">
    <cfRule type="cellIs" dxfId="633" priority="1221" stopIfTrue="1" operator="between">
      <formula>45</formula>
      <formula>100</formula>
    </cfRule>
    <cfRule type="cellIs" dxfId="632" priority="1220" stopIfTrue="1" operator="equal">
      <formula>"SD"</formula>
    </cfRule>
    <cfRule type="cellIs" dxfId="631" priority="1222" stopIfTrue="1" operator="equal">
      <formula>"40.0"</formula>
    </cfRule>
    <cfRule type="cellIs" dxfId="630" priority="1223" stopIfTrue="1" operator="between">
      <formula>-8.1</formula>
      <formula>-10</formula>
    </cfRule>
    <cfRule type="cellIs" dxfId="629" priority="1224" stopIfTrue="1" operator="between">
      <formula>-9.9</formula>
      <formula>-10</formula>
    </cfRule>
    <cfRule type="cellIs" dxfId="628" priority="1216" stopIfTrue="1" operator="equal">
      <formula>"40.0"</formula>
    </cfRule>
    <cfRule type="cellIs" dxfId="627" priority="1225" stopIfTrue="1" operator="between">
      <formula>-9.9</formula>
      <formula>-10</formula>
    </cfRule>
    <cfRule type="cellIs" dxfId="626" priority="1217" stopIfTrue="1" operator="between">
      <formula>-8.1</formula>
      <formula>-10</formula>
    </cfRule>
    <cfRule type="containsText" dxfId="625" priority="1337" stopIfTrue="1" operator="containsText" text="sd">
      <formula>NOT(ISERROR(SEARCH("sd",E36)))</formula>
    </cfRule>
    <cfRule type="containsText" dxfId="624" priority="1338" stopIfTrue="1" operator="containsText" text="sd">
      <formula>NOT(ISERROR(SEARCH("sd",E36)))</formula>
    </cfRule>
    <cfRule type="cellIs" dxfId="623" priority="1218" stopIfTrue="1" operator="between">
      <formula>-9.9</formula>
      <formula>-10</formula>
    </cfRule>
    <cfRule type="cellIs" dxfId="622" priority="1219" stopIfTrue="1" operator="between">
      <formula>-9.9</formula>
      <formula>-10</formula>
    </cfRule>
    <cfRule type="containsText" dxfId="621" priority="1336" stopIfTrue="1" operator="containsText" text="sd">
      <formula>NOT(ISERROR(SEARCH("sd",E36)))</formula>
    </cfRule>
    <cfRule type="cellIs" dxfId="620" priority="1226" stopIfTrue="1" operator="equal">
      <formula>"SD"</formula>
    </cfRule>
  </conditionalFormatting>
  <conditionalFormatting sqref="E36:M36 AE36:AI36 O36:AC36">
    <cfRule type="containsText" dxfId="619" priority="1335" stopIfTrue="1" operator="containsText" text="sd">
      <formula>NOT(ISERROR(SEARCH("sd",E36)))</formula>
    </cfRule>
  </conditionalFormatting>
  <conditionalFormatting sqref="E36:M36">
    <cfRule type="containsText" dxfId="618" priority="1334" stopIfTrue="1" operator="containsText" text="sd">
      <formula>NOT(ISERROR(SEARCH("sd",E36)))</formula>
    </cfRule>
    <cfRule type="containsText" dxfId="617" priority="1333" stopIfTrue="1" operator="containsText" text="sd">
      <formula>NOT(ISERROR(SEARCH("sd",E36)))</formula>
    </cfRule>
    <cfRule type="containsText" dxfId="616" priority="1330" stopIfTrue="1" operator="containsText" text="sd">
      <formula>NOT(ISERROR(SEARCH("sd",E36)))</formula>
    </cfRule>
    <cfRule type="containsText" dxfId="615" priority="1332" stopIfTrue="1" operator="containsText" text="sd">
      <formula>NOT(ISERROR(SEARCH("sd",E36)))</formula>
    </cfRule>
    <cfRule type="containsText" dxfId="614" priority="1331" stopIfTrue="1" operator="containsText" text="sd">
      <formula>NOT(ISERROR(SEARCH("sd",E36)))</formula>
    </cfRule>
    <cfRule type="containsText" dxfId="613" priority="1329" stopIfTrue="1" operator="containsText" text="sd">
      <formula>NOT(ISERROR(SEARCH("sd",E36)))</formula>
    </cfRule>
    <cfRule type="containsText" dxfId="612" priority="1328" stopIfTrue="1" operator="containsText" text="sd">
      <formula>NOT(ISERROR(SEARCH("sd",E36)))</formula>
    </cfRule>
    <cfRule type="containsText" dxfId="611" priority="1327" stopIfTrue="1" operator="containsText" text="sd">
      <formula>NOT(ISERROR(SEARCH("sd",E36)))</formula>
    </cfRule>
  </conditionalFormatting>
  <conditionalFormatting sqref="E42:M42 O42:AC42 AE42:AI42">
    <cfRule type="cellIs" dxfId="610" priority="978" stopIfTrue="1" operator="between">
      <formula>-9.9</formula>
      <formula>-10</formula>
    </cfRule>
    <cfRule type="cellIs" dxfId="609" priority="977" stopIfTrue="1" operator="between">
      <formula>-8.1</formula>
      <formula>-10</formula>
    </cfRule>
    <cfRule type="cellIs" dxfId="608" priority="976" stopIfTrue="1" operator="equal">
      <formula>"40.0"</formula>
    </cfRule>
    <cfRule type="containsText" dxfId="607" priority="1098" stopIfTrue="1" operator="containsText" text="sd">
      <formula>NOT(ISERROR(SEARCH("sd",E42)))</formula>
    </cfRule>
    <cfRule type="containsText" dxfId="606" priority="1097" stopIfTrue="1" operator="containsText" text="sd">
      <formula>NOT(ISERROR(SEARCH("sd",E42)))</formula>
    </cfRule>
    <cfRule type="containsText" dxfId="605" priority="1096" stopIfTrue="1" operator="containsText" text="sd">
      <formula>NOT(ISERROR(SEARCH("sd",E42)))</formula>
    </cfRule>
    <cfRule type="cellIs" dxfId="604" priority="986" stopIfTrue="1" operator="equal">
      <formula>"SD"</formula>
    </cfRule>
    <cfRule type="cellIs" dxfId="603" priority="985" stopIfTrue="1" operator="between">
      <formula>-9.9</formula>
      <formula>-10</formula>
    </cfRule>
    <cfRule type="cellIs" dxfId="602" priority="984" stopIfTrue="1" operator="between">
      <formula>-9.9</formula>
      <formula>-10</formula>
    </cfRule>
    <cfRule type="cellIs" dxfId="601" priority="983" stopIfTrue="1" operator="between">
      <formula>-8.1</formula>
      <formula>-10</formula>
    </cfRule>
    <cfRule type="cellIs" dxfId="600" priority="982" stopIfTrue="1" operator="equal">
      <formula>"40.0"</formula>
    </cfRule>
    <cfRule type="cellIs" dxfId="599" priority="981" stopIfTrue="1" operator="between">
      <formula>45</formula>
      <formula>100</formula>
    </cfRule>
    <cfRule type="cellIs" dxfId="598" priority="980" stopIfTrue="1" operator="equal">
      <formula>"SD"</formula>
    </cfRule>
    <cfRule type="cellIs" dxfId="597" priority="979" stopIfTrue="1" operator="between">
      <formula>-9.9</formula>
      <formula>-10</formula>
    </cfRule>
  </conditionalFormatting>
  <conditionalFormatting sqref="E42:M42 AE42:AI42 O42:AC42">
    <cfRule type="containsText" dxfId="596" priority="1095" stopIfTrue="1" operator="containsText" text="sd">
      <formula>NOT(ISERROR(SEARCH("sd",E42)))</formula>
    </cfRule>
  </conditionalFormatting>
  <conditionalFormatting sqref="E42:M42">
    <cfRule type="containsText" dxfId="595" priority="1092" stopIfTrue="1" operator="containsText" text="sd">
      <formula>NOT(ISERROR(SEARCH("sd",E42)))</formula>
    </cfRule>
    <cfRule type="containsText" dxfId="594" priority="1094" stopIfTrue="1" operator="containsText" text="sd">
      <formula>NOT(ISERROR(SEARCH("sd",E42)))</formula>
    </cfRule>
    <cfRule type="containsText" dxfId="593" priority="1088" stopIfTrue="1" operator="containsText" text="sd">
      <formula>NOT(ISERROR(SEARCH("sd",E42)))</formula>
    </cfRule>
    <cfRule type="containsText" dxfId="592" priority="1091" stopIfTrue="1" operator="containsText" text="sd">
      <formula>NOT(ISERROR(SEARCH("sd",E42)))</formula>
    </cfRule>
    <cfRule type="containsText" dxfId="591" priority="1090" stopIfTrue="1" operator="containsText" text="sd">
      <formula>NOT(ISERROR(SEARCH("sd",E42)))</formula>
    </cfRule>
    <cfRule type="containsText" dxfId="590" priority="1089" stopIfTrue="1" operator="containsText" text="sd">
      <formula>NOT(ISERROR(SEARCH("sd",E42)))</formula>
    </cfRule>
    <cfRule type="containsText" dxfId="589" priority="1087" stopIfTrue="1" operator="containsText" text="sd">
      <formula>NOT(ISERROR(SEARCH("sd",E42)))</formula>
    </cfRule>
    <cfRule type="containsText" dxfId="588" priority="1093" stopIfTrue="1" operator="containsText" text="sd">
      <formula>NOT(ISERROR(SEARCH("sd",E42)))</formula>
    </cfRule>
  </conditionalFormatting>
  <conditionalFormatting sqref="E47:M47 O47:AI47">
    <cfRule type="cellIs" dxfId="587" priority="1484" stopIfTrue="1" operator="between">
      <formula>-9.9</formula>
      <formula>-10</formula>
    </cfRule>
    <cfRule type="cellIs" dxfId="586" priority="1485" stopIfTrue="1" operator="between">
      <formula>-9.9</formula>
      <formula>-10</formula>
    </cfRule>
    <cfRule type="cellIs" dxfId="585" priority="1476" stopIfTrue="1" operator="equal">
      <formula>"40.0"</formula>
    </cfRule>
    <cfRule type="cellIs" dxfId="584" priority="1477" stopIfTrue="1" operator="between">
      <formula>-8.1</formula>
      <formula>-10</formula>
    </cfRule>
    <cfRule type="cellIs" dxfId="583" priority="1486" stopIfTrue="1" operator="equal">
      <formula>"SD"</formula>
    </cfRule>
    <cfRule type="cellIs" dxfId="582" priority="1475" stopIfTrue="1" operator="between">
      <formula>45</formula>
      <formula>100</formula>
    </cfRule>
    <cfRule type="cellIs" dxfId="581" priority="1483" stopIfTrue="1" operator="between">
      <formula>-8.1</formula>
      <formula>-10</formula>
    </cfRule>
    <cfRule type="cellIs" dxfId="580" priority="1478" stopIfTrue="1" operator="between">
      <formula>-9.9</formula>
      <formula>-10</formula>
    </cfRule>
    <cfRule type="cellIs" dxfId="579" priority="1479" stopIfTrue="1" operator="between">
      <formula>-9.9</formula>
      <formula>-10</formula>
    </cfRule>
    <cfRule type="cellIs" dxfId="578" priority="1480" stopIfTrue="1" operator="equal">
      <formula>"SD"</formula>
    </cfRule>
    <cfRule type="cellIs" dxfId="577" priority="1481" stopIfTrue="1" operator="between">
      <formula>45</formula>
      <formula>100</formula>
    </cfRule>
    <cfRule type="cellIs" dxfId="576" priority="1482" stopIfTrue="1" operator="equal">
      <formula>"40.0"</formula>
    </cfRule>
  </conditionalFormatting>
  <conditionalFormatting sqref="E36:N36">
    <cfRule type="cellIs" dxfId="575" priority="224" stopIfTrue="1" operator="between">
      <formula>-9.9</formula>
      <formula>-10</formula>
    </cfRule>
    <cfRule type="cellIs" dxfId="574" priority="226" stopIfTrue="1" operator="equal">
      <formula>"SD"</formula>
    </cfRule>
    <cfRule type="cellIs" dxfId="573" priority="225" stopIfTrue="1" operator="between">
      <formula>-9.9</formula>
      <formula>-10</formula>
    </cfRule>
  </conditionalFormatting>
  <conditionalFormatting sqref="E42:N42">
    <cfRule type="cellIs" dxfId="572" priority="195" stopIfTrue="1" operator="equal">
      <formula>"SD"</formula>
    </cfRule>
    <cfRule type="cellIs" dxfId="571" priority="194" stopIfTrue="1" operator="between">
      <formula>-9.9</formula>
      <formula>-10</formula>
    </cfRule>
  </conditionalFormatting>
  <conditionalFormatting sqref="E22:R22">
    <cfRule type="cellIs" dxfId="570" priority="254" stopIfTrue="1" operator="equal">
      <formula>"SD"</formula>
    </cfRule>
    <cfRule type="cellIs" dxfId="569" priority="253" stopIfTrue="1" operator="between">
      <formula>-9.9</formula>
      <formula>-10</formula>
    </cfRule>
    <cfRule type="cellIs" dxfId="568" priority="252" stopIfTrue="1" operator="between">
      <formula>-9.9</formula>
      <formula>-10</formula>
    </cfRule>
    <cfRule type="cellIs" dxfId="567" priority="251" stopIfTrue="1" operator="between">
      <formula>-8.1</formula>
      <formula>-10</formula>
    </cfRule>
    <cfRule type="cellIs" dxfId="566" priority="250" stopIfTrue="1" operator="equal">
      <formula>"40.0"</formula>
    </cfRule>
    <cfRule type="cellIs" dxfId="565" priority="249" stopIfTrue="1" operator="between">
      <formula>45</formula>
      <formula>100</formula>
    </cfRule>
  </conditionalFormatting>
  <conditionalFormatting sqref="E36:R36">
    <cfRule type="cellIs" dxfId="564" priority="221" stopIfTrue="1" operator="between">
      <formula>45</formula>
      <formula>100</formula>
    </cfRule>
    <cfRule type="cellIs" dxfId="563" priority="222" stopIfTrue="1" operator="equal">
      <formula>"40.0"</formula>
    </cfRule>
    <cfRule type="cellIs" dxfId="562" priority="223" stopIfTrue="1" operator="between">
      <formula>-8.1</formula>
      <formula>-10</formula>
    </cfRule>
  </conditionalFormatting>
  <conditionalFormatting sqref="E42:R42">
    <cfRule type="cellIs" dxfId="561" priority="190" stopIfTrue="1" operator="between">
      <formula>45</formula>
      <formula>100</formula>
    </cfRule>
    <cfRule type="cellIs" dxfId="560" priority="191" stopIfTrue="1" operator="equal">
      <formula>"40.0"</formula>
    </cfRule>
    <cfRule type="cellIs" dxfId="559" priority="192" stopIfTrue="1" operator="between">
      <formula>-8.1</formula>
      <formula>-10</formula>
    </cfRule>
    <cfRule type="cellIs" dxfId="558" priority="193" stopIfTrue="1" operator="between">
      <formula>-9.9</formula>
      <formula>-10</formula>
    </cfRule>
  </conditionalFormatting>
  <conditionalFormatting sqref="E44:AD44">
    <cfRule type="cellIs" dxfId="557" priority="394" stopIfTrue="1" operator="equal">
      <formula>"SD"</formula>
    </cfRule>
    <cfRule type="cellIs" dxfId="556" priority="393" stopIfTrue="1" operator="between">
      <formula>-9.9</formula>
      <formula>-10</formula>
    </cfRule>
    <cfRule type="cellIs" dxfId="555" priority="392" stopIfTrue="1" operator="between">
      <formula>-9.9</formula>
      <formula>-10</formula>
    </cfRule>
    <cfRule type="cellIs" dxfId="554" priority="390" stopIfTrue="1" operator="equal">
      <formula>"40.0"</formula>
    </cfRule>
    <cfRule type="cellIs" dxfId="553" priority="389" stopIfTrue="1" operator="between">
      <formula>45</formula>
      <formula>100</formula>
    </cfRule>
    <cfRule type="cellIs" dxfId="552" priority="391" stopIfTrue="1" operator="between">
      <formula>-8.1</formula>
      <formula>-10</formula>
    </cfRule>
  </conditionalFormatting>
  <conditionalFormatting sqref="E47:AI47">
    <cfRule type="cellIs" dxfId="551" priority="272" stopIfTrue="1" operator="equal">
      <formula>"SD"</formula>
    </cfRule>
    <cfRule type="cellIs" dxfId="550" priority="270" stopIfTrue="1" operator="between">
      <formula>-9.9</formula>
      <formula>-10</formula>
    </cfRule>
    <cfRule type="cellIs" dxfId="549" priority="269" stopIfTrue="1" operator="between">
      <formula>-8.1</formula>
      <formula>-10</formula>
    </cfRule>
    <cfRule type="cellIs" dxfId="548" priority="268" stopIfTrue="1" operator="equal">
      <formula>"40.0"</formula>
    </cfRule>
    <cfRule type="cellIs" dxfId="547" priority="267" stopIfTrue="1" operator="between">
      <formula>45</formula>
      <formula>100</formula>
    </cfRule>
    <cfRule type="cellIs" dxfId="546" priority="271" stopIfTrue="1" operator="between">
      <formula>-9.9</formula>
      <formula>-10</formula>
    </cfRule>
  </conditionalFormatting>
  <conditionalFormatting sqref="I5:I15 I17:I24 I26:I28 I30:I33 I35:I36 I38:I42 I45:I46 I48">
    <cfRule type="cellIs" dxfId="545" priority="1874" stopIfTrue="1" operator="between">
      <formula>-8.1</formula>
      <formula>-10</formula>
    </cfRule>
    <cfRule type="cellIs" dxfId="544" priority="1873" stopIfTrue="1" operator="equal">
      <formula>"40.0"</formula>
    </cfRule>
    <cfRule type="cellIs" dxfId="543" priority="1876" stopIfTrue="1" operator="between">
      <formula>-9.9</formula>
      <formula>-10</formula>
    </cfRule>
    <cfRule type="cellIs" dxfId="542" priority="1877" stopIfTrue="1" operator="equal">
      <formula>"SD"</formula>
    </cfRule>
    <cfRule type="cellIs" dxfId="541" priority="1875" stopIfTrue="1" operator="between">
      <formula>-9.9</formula>
      <formula>-10</formula>
    </cfRule>
  </conditionalFormatting>
  <conditionalFormatting sqref="I5:I15 I17:I28 I30:I33 I35:I36 I38:I42 I45:I46 I48">
    <cfRule type="cellIs" dxfId="540" priority="1888" stopIfTrue="1" operator="between">
      <formula>-9.9</formula>
      <formula>-10</formula>
    </cfRule>
    <cfRule type="cellIs" dxfId="539" priority="1889" stopIfTrue="1" operator="between">
      <formula>-9.9</formula>
      <formula>-10</formula>
    </cfRule>
    <cfRule type="cellIs" dxfId="538" priority="1886" stopIfTrue="1" operator="equal">
      <formula>"40.0"</formula>
    </cfRule>
    <cfRule type="cellIs" dxfId="537" priority="1890" stopIfTrue="1" operator="equal">
      <formula>"SD"</formula>
    </cfRule>
    <cfRule type="cellIs" dxfId="536" priority="1887" stopIfTrue="1" operator="between">
      <formula>-8.1</formula>
      <formula>-10</formula>
    </cfRule>
  </conditionalFormatting>
  <conditionalFormatting sqref="I5:I15 I17:I28">
    <cfRule type="cellIs" dxfId="535" priority="1851" stopIfTrue="1" operator="equal">
      <formula>"SD"</formula>
    </cfRule>
    <cfRule type="cellIs" dxfId="534" priority="1847" stopIfTrue="1" operator="equal">
      <formula>"40.0"</formula>
    </cfRule>
    <cfRule type="cellIs" dxfId="533" priority="1850" stopIfTrue="1" operator="between">
      <formula>-9.9</formula>
      <formula>-10</formula>
    </cfRule>
    <cfRule type="cellIs" dxfId="532" priority="1849" stopIfTrue="1" operator="between">
      <formula>-9.9</formula>
      <formula>-10</formula>
    </cfRule>
    <cfRule type="cellIs" dxfId="531" priority="1848" stopIfTrue="1" operator="between">
      <formula>-8.1</formula>
      <formula>-10</formula>
    </cfRule>
  </conditionalFormatting>
  <conditionalFormatting sqref="I17:I28 I5:I15">
    <cfRule type="cellIs" dxfId="530" priority="1846" stopIfTrue="1" operator="between">
      <formula>45</formula>
      <formula>100</formula>
    </cfRule>
  </conditionalFormatting>
  <conditionalFormatting sqref="I22">
    <cfRule type="containsText" dxfId="529" priority="1700" stopIfTrue="1" operator="containsText" text="sd">
      <formula>NOT(ISERROR(SEARCH("sd",I22)))</formula>
    </cfRule>
    <cfRule type="containsText" dxfId="528" priority="1659" stopIfTrue="1" operator="containsText" text="sd">
      <formula>NOT(ISERROR(SEARCH("sd",I22)))</formula>
    </cfRule>
    <cfRule type="containsText" dxfId="527" priority="1703" stopIfTrue="1" operator="containsText" text="sd">
      <formula>NOT(ISERROR(SEARCH("sd",I22)))</formula>
    </cfRule>
    <cfRule type="containsText" dxfId="526" priority="1702" stopIfTrue="1" operator="containsText" text="sd">
      <formula>NOT(ISERROR(SEARCH("sd",I22)))</formula>
    </cfRule>
    <cfRule type="containsText" dxfId="525" priority="1701" stopIfTrue="1" operator="containsText" text="sd">
      <formula>NOT(ISERROR(SEARCH("sd",I22)))</formula>
    </cfRule>
    <cfRule type="containsText" dxfId="524" priority="1698" stopIfTrue="1" operator="containsText" text="sd">
      <formula>NOT(ISERROR(SEARCH("sd",I22)))</formula>
    </cfRule>
    <cfRule type="containsText" dxfId="523" priority="1658" stopIfTrue="1" operator="containsText" text="sd">
      <formula>NOT(ISERROR(SEARCH("sd",I22)))</formula>
    </cfRule>
    <cfRule type="containsText" dxfId="522" priority="1654" stopIfTrue="1" operator="containsText" text="sd">
      <formula>NOT(ISERROR(SEARCH("sd",I22)))</formula>
    </cfRule>
    <cfRule type="containsText" dxfId="521" priority="1655" stopIfTrue="1" operator="containsText" text="sd">
      <formula>NOT(ISERROR(SEARCH("sd",I22)))</formula>
    </cfRule>
    <cfRule type="containsText" dxfId="520" priority="1656" stopIfTrue="1" operator="containsText" text="sd">
      <formula>NOT(ISERROR(SEARCH("sd",I22)))</formula>
    </cfRule>
    <cfRule type="containsText" dxfId="519" priority="1657" stopIfTrue="1" operator="containsText" text="sd">
      <formula>NOT(ISERROR(SEARCH("sd",I22)))</formula>
    </cfRule>
    <cfRule type="containsText" dxfId="518" priority="1699" stopIfTrue="1" operator="containsText" text="sd">
      <formula>NOT(ISERROR(SEARCH("sd",I22)))</formula>
    </cfRule>
  </conditionalFormatting>
  <conditionalFormatting sqref="I30:I33 I35:I36 I38:I42 I45:I46 I48">
    <cfRule type="cellIs" dxfId="517" priority="1861" stopIfTrue="1" operator="between">
      <formula>-8.1</formula>
      <formula>-10</formula>
    </cfRule>
    <cfRule type="cellIs" dxfId="516" priority="1860" stopIfTrue="1" operator="equal">
      <formula>"40.0"</formula>
    </cfRule>
    <cfRule type="cellIs" dxfId="515" priority="1862" stopIfTrue="1" operator="between">
      <formula>-9.9</formula>
      <formula>-10</formula>
    </cfRule>
    <cfRule type="cellIs" dxfId="514" priority="1864" stopIfTrue="1" operator="equal">
      <formula>"SD"</formula>
    </cfRule>
    <cfRule type="cellIs" dxfId="513" priority="1863" stopIfTrue="1" operator="between">
      <formula>-9.9</formula>
      <formula>-10</formula>
    </cfRule>
  </conditionalFormatting>
  <conditionalFormatting sqref="I35:I36 I38:I42 I5:I15 I17:I28 I30:I33 I45:I46 I48">
    <cfRule type="cellIs" dxfId="512" priority="1885" stopIfTrue="1" operator="between">
      <formula>45</formula>
      <formula>100</formula>
    </cfRule>
  </conditionalFormatting>
  <conditionalFormatting sqref="I35:I36 I38:I42 I30:I33 I45:I46 I48 I5:I15 I17:I24 I26:I28">
    <cfRule type="cellIs" dxfId="511" priority="1872" stopIfTrue="1" operator="between">
      <formula>45</formula>
      <formula>100</formula>
    </cfRule>
  </conditionalFormatting>
  <conditionalFormatting sqref="I35:I36 I38:I42 I30:I33 I45:I46 I48">
    <cfRule type="cellIs" dxfId="510" priority="1859" stopIfTrue="1" operator="between">
      <formula>45</formula>
      <formula>100</formula>
    </cfRule>
  </conditionalFormatting>
  <conditionalFormatting sqref="I36 I42">
    <cfRule type="containsText" dxfId="509" priority="1858" stopIfTrue="1" operator="containsText" text="sd">
      <formula>NOT(ISERROR(SEARCH("sd",I36)))</formula>
    </cfRule>
    <cfRule type="containsText" dxfId="508" priority="1857" stopIfTrue="1" operator="containsText" text="sd">
      <formula>NOT(ISERROR(SEARCH("sd",I36)))</formula>
    </cfRule>
    <cfRule type="containsText" dxfId="507" priority="1884" stopIfTrue="1" operator="containsText" text="sd">
      <formula>NOT(ISERROR(SEARCH("sd",I36)))</formula>
    </cfRule>
    <cfRule type="containsText" dxfId="506" priority="1883" stopIfTrue="1" operator="containsText" text="sd">
      <formula>NOT(ISERROR(SEARCH("sd",I36)))</formula>
    </cfRule>
    <cfRule type="containsText" dxfId="505" priority="1871" stopIfTrue="1" operator="containsText" text="sd">
      <formula>NOT(ISERROR(SEARCH("sd",I36)))</formula>
    </cfRule>
    <cfRule type="containsText" dxfId="504" priority="1870" stopIfTrue="1" operator="containsText" text="sd">
      <formula>NOT(ISERROR(SEARCH("sd",I36)))</formula>
    </cfRule>
  </conditionalFormatting>
  <conditionalFormatting sqref="N5:N15 N17:N33 N35:N36 N38:N42 N45:N46 N48">
    <cfRule type="cellIs" dxfId="503" priority="347" stopIfTrue="1" operator="equal">
      <formula>"40.0"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50" stopIfTrue="1" operator="between">
      <formula>-9.9</formula>
      <formula>-10</formula>
    </cfRule>
  </conditionalFormatting>
  <conditionalFormatting sqref="N5:N15 N17:N33 N35:N36 N38:N42">
    <cfRule type="cellIs" dxfId="498" priority="308" stopIfTrue="1" operator="equal">
      <formula>"40.0"</formula>
    </cfRule>
    <cfRule type="cellIs" dxfId="497" priority="310" stopIfTrue="1" operator="between">
      <formula>-9.9</formula>
      <formula>-10</formula>
    </cfRule>
    <cfRule type="cellIs" dxfId="496" priority="311" stopIfTrue="1" operator="between">
      <formula>-9.9</formula>
      <formula>-10</formula>
    </cfRule>
    <cfRule type="cellIs" dxfId="495" priority="312" stopIfTrue="1" operator="equal">
      <formula>"SD"</formula>
    </cfRule>
    <cfRule type="cellIs" dxfId="494" priority="309" stopIfTrue="1" operator="between">
      <formula>-8.1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ellIs" dxfId="491" priority="243" stopIfTrue="1" operator="between">
      <formula>45</formula>
      <formula>100</formula>
    </cfRule>
    <cfRule type="cellIs" dxfId="490" priority="244" stopIfTrue="1" operator="equal">
      <formula>"40.0"</formula>
    </cfRule>
    <cfRule type="cellIs" dxfId="489" priority="245" stopIfTrue="1" operator="between">
      <formula>-8.1</formula>
      <formula>-10</formula>
    </cfRule>
    <cfRule type="cellIs" dxfId="488" priority="246" stopIfTrue="1" operator="between">
      <formula>-9.9</formula>
      <formula>-10</formula>
    </cfRule>
    <cfRule type="cellIs" dxfId="487" priority="247" stopIfTrue="1" operator="between">
      <formula>-9.9</formula>
      <formula>-10</formula>
    </cfRule>
    <cfRule type="cellIs" dxfId="486" priority="248" stopIfTrue="1" operator="equal">
      <formula>"SD"</formula>
    </cfRule>
    <cfRule type="cellIs" dxfId="485" priority="179" stopIfTrue="1" operator="between">
      <formula>-9.9</formula>
      <formula>-10</formula>
    </cfRule>
    <cfRule type="cellIs" dxfId="484" priority="178" stopIfTrue="1" operator="between">
      <formula>-8.1</formula>
      <formula>-10</formula>
    </cfRule>
    <cfRule type="cellIs" dxfId="483" priority="177" stopIfTrue="1" operator="equal">
      <formula>"40.0"</formula>
    </cfRule>
    <cfRule type="cellIs" dxfId="482" priority="176" stopIfTrue="1" operator="between">
      <formula>45</formula>
      <formula>100</formula>
    </cfRule>
    <cfRule type="containsText" dxfId="481" priority="273" stopIfTrue="1" operator="containsText" text="sd">
      <formula>NOT(ISERROR(SEARCH("sd",N22)))</formula>
    </cfRule>
    <cfRule type="containsText" dxfId="480" priority="274" stopIfTrue="1" operator="containsText" text="sd">
      <formula>NOT(ISERROR(SEARCH("sd",N22)))</formula>
    </cfRule>
    <cfRule type="containsText" dxfId="479" priority="275" stopIfTrue="1" operator="containsText" text="sd">
      <formula>NOT(ISERROR(SEARCH("sd",N22)))</formula>
    </cfRule>
    <cfRule type="containsText" dxfId="478" priority="276" stopIfTrue="1" operator="containsText" text="sd">
      <formula>NOT(ISERROR(SEARCH("sd",N22)))</formula>
    </cfRule>
    <cfRule type="containsText" dxfId="477" priority="277" stopIfTrue="1" operator="containsText" text="sd">
      <formula>NOT(ISERROR(SEARCH("sd",N22)))</formula>
    </cfRule>
    <cfRule type="containsText" dxfId="476" priority="279" stopIfTrue="1" operator="containsText" text="sd">
      <formula>NOT(ISERROR(SEARCH("sd",N22)))</formula>
    </cfRule>
    <cfRule type="containsText" dxfId="475" priority="280" stopIfTrue="1" operator="containsText" text="sd">
      <formula>NOT(ISERROR(SEARCH("sd",N22)))</formula>
    </cfRule>
    <cfRule type="containsText" dxfId="474" priority="278" stopIfTrue="1" operator="containsText" text="sd">
      <formula>NOT(ISERROR(SEARCH("sd",N22)))</formula>
    </cfRule>
    <cfRule type="cellIs" dxfId="473" priority="181" stopIfTrue="1" operator="equal">
      <formula>"SD"</formula>
    </cfRule>
    <cfRule type="cellIs" dxfId="472" priority="180" stopIfTrue="1" operator="between">
      <formula>-9.9</formula>
      <formula>-10</formula>
    </cfRule>
  </conditionalFormatting>
  <conditionalFormatting sqref="N25 N36 N42">
    <cfRule type="containsText" dxfId="471" priority="344" stopIfTrue="1" operator="containsText" text="sd">
      <formula>NOT(ISERROR(SEARCH("sd",N25)))</formula>
    </cfRule>
    <cfRule type="containsText" dxfId="470" priority="306" stopIfTrue="1" operator="containsText" text="sd">
      <formula>NOT(ISERROR(SEARCH("sd",N25)))</formula>
    </cfRule>
    <cfRule type="containsText" dxfId="469" priority="345" stopIfTrue="1" operator="containsText" text="sd">
      <formula>NOT(ISERROR(SEARCH("sd",N25)))</formula>
    </cfRule>
  </conditionalFormatting>
  <conditionalFormatting sqref="N29">
    <cfRule type="containsText" dxfId="468" priority="168" stopIfTrue="1" operator="containsText" text="sd">
      <formula>NOT(ISERROR(SEARCH("sd",N29)))</formula>
    </cfRule>
    <cfRule type="containsText" dxfId="467" priority="167" stopIfTrue="1" operator="containsText" text="sd">
      <formula>NOT(ISERROR(SEARCH("sd",N29)))</formula>
    </cfRule>
    <cfRule type="containsText" dxfId="466" priority="164" stopIfTrue="1" operator="containsText" text="sd">
      <formula>NOT(ISERROR(SEARCH("sd",N29)))</formula>
    </cfRule>
    <cfRule type="containsText" dxfId="465" priority="163" stopIfTrue="1" operator="containsText" text="sd">
      <formula>NOT(ISERROR(SEARCH("sd",N29)))</formula>
    </cfRule>
    <cfRule type="containsText" dxfId="464" priority="162" stopIfTrue="1" operator="containsText" text="sd">
      <formula>NOT(ISERROR(SEARCH("sd",N29)))</formula>
    </cfRule>
    <cfRule type="cellIs" dxfId="463" priority="146" stopIfTrue="1" operator="equal">
      <formula>"40.0"</formula>
    </cfRule>
    <cfRule type="cellIs" dxfId="462" priority="154" stopIfTrue="1" operator="between">
      <formula>-9.9</formula>
      <formula>-10</formula>
    </cfRule>
    <cfRule type="cellIs" dxfId="461" priority="144" stopIfTrue="1" operator="equal">
      <formula>"SD"</formula>
    </cfRule>
    <cfRule type="cellIs" dxfId="460" priority="155" stopIfTrue="1" operator="between">
      <formula>-9.9</formula>
      <formula>-10</formula>
    </cfRule>
    <cfRule type="cellIs" dxfId="459" priority="153" stopIfTrue="1" operator="between">
      <formula>-8.1</formula>
      <formula>-10</formula>
    </cfRule>
    <cfRule type="cellIs" dxfId="458" priority="152" stopIfTrue="1" operator="equal">
      <formula>"40.0"</formula>
    </cfRule>
    <cfRule type="cellIs" dxfId="457" priority="151" stopIfTrue="1" operator="between">
      <formula>45</formula>
      <formula>100</formula>
    </cfRule>
    <cfRule type="cellIs" dxfId="456" priority="150" stopIfTrue="1" operator="equal">
      <formula>"SD"</formula>
    </cfRule>
    <cfRule type="cellIs" dxfId="455" priority="149" stopIfTrue="1" operator="between">
      <formula>-9.9</formula>
      <formula>-10</formula>
    </cfRule>
    <cfRule type="cellIs" dxfId="454" priority="148" stopIfTrue="1" operator="between">
      <formula>-9.9</formula>
      <formula>-10</formula>
    </cfRule>
    <cfRule type="cellIs" dxfId="453" priority="147" stopIfTrue="1" operator="between">
      <formula>-8.1</formula>
      <formula>-10</formula>
    </cfRule>
    <cfRule type="cellIs" dxfId="452" priority="145" stopIfTrue="1" operator="between">
      <formula>45</formula>
      <formula>100</formula>
    </cfRule>
    <cfRule type="cellIs" dxfId="451" priority="143" stopIfTrue="1" operator="between">
      <formula>-9.9</formula>
      <formula>-10</formula>
    </cfRule>
    <cfRule type="cellIs" dxfId="450" priority="142" stopIfTrue="1" operator="between">
      <formula>-9.9</formula>
      <formula>-10</formula>
    </cfRule>
    <cfRule type="cellIs" dxfId="449" priority="141" stopIfTrue="1" operator="between">
      <formula>-8.1</formula>
      <formula>-10</formula>
    </cfRule>
    <cfRule type="cellIs" dxfId="448" priority="140" stopIfTrue="1" operator="equal">
      <formula>"40.0"</formula>
    </cfRule>
    <cfRule type="cellIs" dxfId="447" priority="139" stopIfTrue="1" operator="between">
      <formula>45</formula>
      <formula>100</formula>
    </cfRule>
    <cfRule type="containsText" dxfId="446" priority="166" stopIfTrue="1" operator="containsText" text="sd">
      <formula>NOT(ISERROR(SEARCH("sd",N29)))</formula>
    </cfRule>
    <cfRule type="cellIs" dxfId="445" priority="156" stopIfTrue="1" operator="equal">
      <formula>"SD"</formula>
    </cfRule>
    <cfRule type="containsText" dxfId="444" priority="157" stopIfTrue="1" operator="containsText" text="sd">
      <formula>NOT(ISERROR(SEARCH("sd",N29)))</formula>
    </cfRule>
    <cfRule type="containsText" dxfId="443" priority="158" stopIfTrue="1" operator="containsText" text="sd">
      <formula>NOT(ISERROR(SEARCH("sd",N29)))</formula>
    </cfRule>
    <cfRule type="containsText" dxfId="442" priority="165" stopIfTrue="1" operator="containsText" text="sd">
      <formula>NOT(ISERROR(SEARCH("sd",N29)))</formula>
    </cfRule>
    <cfRule type="containsText" dxfId="441" priority="161" stopIfTrue="1" operator="containsText" text="sd">
      <formula>NOT(ISERROR(SEARCH("sd",N29)))</formula>
    </cfRule>
    <cfRule type="containsText" dxfId="440" priority="159" stopIfTrue="1" operator="containsText" text="sd">
      <formula>NOT(ISERROR(SEARCH("sd",N29)))</formula>
    </cfRule>
    <cfRule type="containsText" dxfId="439" priority="160" stopIfTrue="1" operator="containsText" text="sd">
      <formula>NOT(ISERROR(SEARCH("sd",N29)))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9" stopIfTrue="1" operator="equal">
      <formula>"SD"</formula>
    </cfRule>
    <cfRule type="cellIs" dxfId="435" priority="328" stopIfTrue="1" operator="between">
      <formula>-9.9</formula>
      <formula>-10</formula>
    </cfRule>
    <cfRule type="cellIs" dxfId="434" priority="327" stopIfTrue="1" operator="between">
      <formula>-9.9</formula>
      <formula>-10</formula>
    </cfRule>
    <cfRule type="cellIs" dxfId="433" priority="326" stopIfTrue="1" operator="between">
      <formula>-8.1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3" stopIfTrue="1" operator="between">
      <formula>-8.1</formula>
      <formula>-10</formula>
    </cfRule>
    <cfRule type="cellIs" dxfId="429" priority="262" stopIfTrue="1" operator="equal">
      <formula>"40.0"</formula>
    </cfRule>
    <cfRule type="cellIs" dxfId="428" priority="266" stopIfTrue="1" operator="equal">
      <formula>"SD"</formula>
    </cfRule>
    <cfRule type="cellIs" dxfId="427" priority="265" stopIfTrue="1" operator="between">
      <formula>-9.9</formula>
      <formula>-10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6" stopIfTrue="1" operator="equal">
      <formula>"40.0"</formula>
    </cfRule>
    <cfRule type="cellIs" dxfId="424" priority="257" stopIfTrue="1" operator="between">
      <formula>-8.1</formula>
      <formula>-10</formula>
    </cfRule>
    <cfRule type="cellIs" dxfId="423" priority="258" stopIfTrue="1" operator="between">
      <formula>-9.9</formula>
      <formula>-10</formula>
    </cfRule>
    <cfRule type="cellIs" dxfId="422" priority="260" stopIfTrue="1" operator="equal">
      <formula>"SD"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4" stopIfTrue="1" operator="between">
      <formula>45</formula>
      <formula>100</formula>
    </cfRule>
    <cfRule type="cellIs" dxfId="418" priority="335" stopIfTrue="1" operator="equal">
      <formula>"40.0"</formula>
    </cfRule>
    <cfRule type="cellIs" dxfId="417" priority="336" stopIfTrue="1" operator="between">
      <formula>-8.1</formula>
      <formula>-10</formula>
    </cfRule>
    <cfRule type="cellIs" dxfId="416" priority="337" stopIfTrue="1" operator="between">
      <formula>-9.9</formula>
      <formula>-10</formula>
    </cfRule>
    <cfRule type="cellIs" dxfId="415" priority="338" stopIfTrue="1" operator="between">
      <formula>-9.9</formula>
      <formula>-10</formula>
    </cfRule>
    <cfRule type="cellIs" dxfId="414" priority="339" stopIfTrue="1" operator="equal">
      <formula>"SD"</formula>
    </cfRule>
  </conditionalFormatting>
  <conditionalFormatting sqref="O17:O28 T17:W28 Y17:Y28 AC17:AC28 AF17:AF28 E17:M33 Z17:AB33 AH17:AI33 AD23:AD28 O25:Q25 S25:Y25 AC25:AG25 E35:M36 O35:AC36 AE35:AI36 E38:M42 O38:AC42 AE38:AI42 E5:M15 R17:R33 O29:Q33 S29:Y33 AC29:AG33 E43:AI43 K44:Q44 AC44 S44:AB45 AE44:AI45 E44:J46 R44:R46 K45:M46 E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M22">
    <cfRule type="cellIs" dxfId="412" priority="1457" stopIfTrue="1" operator="between">
      <formula>45</formula>
      <formula>100</formula>
    </cfRule>
  </conditionalFormatting>
  <conditionalFormatting sqref="O36:AC36 AE36:AI36 E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5" stopIfTrue="1" operator="between">
      <formula>-9.9</formula>
      <formula>-10</formula>
    </cfRule>
    <cfRule type="cellIs" dxfId="403" priority="2094" stopIfTrue="1" operator="between">
      <formula>-9.9</formula>
      <formula>-10</formula>
    </cfRule>
    <cfRule type="cellIs" dxfId="402" priority="2092" stopIfTrue="1" operator="equal">
      <formula>"40.0"</formula>
    </cfRule>
    <cfRule type="cellIs" dxfId="401" priority="2096" stopIfTrue="1" operator="equal">
      <formula>"SD"</formula>
    </cfRule>
    <cfRule type="cellIs" dxfId="400" priority="2093" stopIfTrue="1" operator="between">
      <formula>-8.1</formula>
      <formula>-10</formula>
    </cfRule>
  </conditionalFormatting>
  <conditionalFormatting sqref="P22:S22">
    <cfRule type="containsText" dxfId="399" priority="1667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90" stopIfTrue="1" operator="containsText" text="sd">
      <formula>NOT(ISERROR(SEARCH("sd",P36)))</formula>
    </cfRule>
    <cfRule type="containsText" dxfId="393" priority="2089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M15 O5:AB15 AD5:AI15 AC6:AC15 AC12:AG13 AJ16:AK16 AD17:AD21 P17:Q24 S17:T24 X17:X24 AE17:AE24 AG17:AG24 O17:O28 T17:W28 Y17:Y28 AC17:AC28 AF17:AF28 E17:M33 R17:R33 Z17:AB33 AH17:AI33 O22:Q22 S22:Y22 AE22:AG22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10" priority="3526" stopIfTrue="1" operator="equal">
      <formula>"SD"</formula>
    </cfRule>
  </conditionalFormatting>
  <conditionalFormatting sqref="AC5:AG13 E5:M15 O5:AB15 AD5:AI15 AC6:AC15 AJ16:AK16 AD17:AD21 O17:Q22 S17:Y22 AE17:AG22 P17:Q24 S17:T24 X17:X24 AE17:AE24 AG17:AG24 O17:O28 T17:W28 Y17:Y28 AC17:AC28 AF17:AF28 E17:M33 R17:R33 Z17:AB33 AH17:AI33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C3" sqref="AC3:AC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1" t="s">
        <v>122</v>
      </c>
      <c r="I1" s="72"/>
      <c r="J1" s="73"/>
      <c r="K1" s="68" t="s">
        <v>123</v>
      </c>
      <c r="L1" s="69"/>
      <c r="M1" s="70"/>
      <c r="N1" s="71" t="s">
        <v>124</v>
      </c>
      <c r="O1" s="72"/>
      <c r="P1" s="73"/>
      <c r="Q1" s="68" t="s">
        <v>125</v>
      </c>
      <c r="R1" s="69"/>
      <c r="S1" s="70"/>
      <c r="T1" s="71" t="s">
        <v>126</v>
      </c>
      <c r="U1" s="72"/>
      <c r="V1" s="73"/>
      <c r="W1" s="68" t="s">
        <v>127</v>
      </c>
      <c r="X1" s="69"/>
      <c r="Y1" s="70"/>
      <c r="Z1" s="71" t="s">
        <v>128</v>
      </c>
      <c r="AA1" s="72"/>
      <c r="AB1" s="73"/>
      <c r="AC1" s="68" t="s">
        <v>129</v>
      </c>
      <c r="AD1" s="69"/>
      <c r="AE1" s="70"/>
      <c r="AF1" s="71" t="s">
        <v>130</v>
      </c>
      <c r="AG1" s="72"/>
      <c r="AH1" s="73"/>
      <c r="AI1" s="68" t="s">
        <v>131</v>
      </c>
      <c r="AJ1" s="69"/>
      <c r="AK1" s="70"/>
      <c r="AL1" s="71" t="s">
        <v>132</v>
      </c>
      <c r="AM1" s="72"/>
      <c r="AN1" s="73"/>
      <c r="AO1" s="68" t="s">
        <v>133</v>
      </c>
      <c r="AP1" s="69"/>
      <c r="AQ1" s="70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1" workbookViewId="0">
      <selection activeCell="P2" sqref="P2:P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92</v>
      </c>
      <c r="C1" s="67" t="s">
        <v>93</v>
      </c>
      <c r="D1" s="74" t="s">
        <v>94</v>
      </c>
      <c r="E1" s="74" t="s">
        <v>95</v>
      </c>
      <c r="F1" s="74" t="s">
        <v>96</v>
      </c>
      <c r="G1" s="74" t="s">
        <v>97</v>
      </c>
      <c r="H1" s="74" t="s">
        <v>98</v>
      </c>
      <c r="I1" s="74" t="s">
        <v>99</v>
      </c>
      <c r="J1" s="74" t="s">
        <v>100</v>
      </c>
      <c r="K1" s="74" t="s">
        <v>101</v>
      </c>
      <c r="L1" s="74" t="s">
        <v>102</v>
      </c>
      <c r="M1" s="74" t="s">
        <v>103</v>
      </c>
      <c r="N1" s="74" t="s">
        <v>104</v>
      </c>
      <c r="O1" s="74" t="s">
        <v>105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2022-10-25T13:14:52Z</cp:lastPrinted>
  <dcterms:created xsi:type="dcterms:W3CDTF">2007-01-09T17:41:42Z</dcterms:created>
  <dcterms:modified xsi:type="dcterms:W3CDTF">2026-08-17T13:53:40Z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