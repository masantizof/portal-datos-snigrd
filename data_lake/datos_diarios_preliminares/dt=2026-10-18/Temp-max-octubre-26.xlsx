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F9F226A-6BE1-4549-89E2-DAD0C5B8462C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P5" i="1" s="1"/>
  <c r="AK8" i="1"/>
  <c r="AM8" i="1" s="1"/>
  <c r="AO12" i="1"/>
  <c r="AP12" i="1" s="1"/>
  <c r="AK10" i="1"/>
  <c r="AM10" i="1" s="1"/>
  <c r="AK6" i="1"/>
  <c r="AM6" i="1" s="1"/>
  <c r="AO7" i="1"/>
  <c r="AP7" i="1" s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8" i="1"/>
  <c r="AP9" i="1"/>
  <c r="AP10" i="1"/>
  <c r="AP11" i="1"/>
  <c r="AP13" i="1"/>
  <c r="AP14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<sst xmlns="http://schemas.openxmlformats.org/spreadsheetml/2006/main" count="603" uniqueCount="272">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</sst>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29" sqref="U29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>
        <v>32.4</v>
      </c>
      <c r="O5" s="63">
        <v>31.7</v>
      </c>
      <c r="P5" s="63">
        <v>31.9</v>
      </c>
      <c r="Q5" s="63">
        <v>32.4</v>
      </c>
      <c r="R5" s="63">
        <v>32.1</v>
      </c>
      <c r="S5" s="63">
        <v>32.6</v>
      </c>
      <c r="T5" s="63">
        <v>32.299999999999997</v>
      </c>
      <c r="U5" s="63">
        <v>30</v>
      </c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30</v>
      </c>
      <c r="AK5" s="21">
        <f>+MAX($E5:$AI5)</f>
        <v>32.6</v>
      </c>
      <c r="AL5" s="22">
        <v>33.700000000000003</v>
      </c>
      <c r="AM5" s="23">
        <f>IF(AK5&gt;0,$AK5-$AL5,"")</f>
        <v>-1.1000000000000014</v>
      </c>
      <c r="AN5" s="23">
        <v>30.443359430706479</v>
      </c>
      <c r="AO5" s="23">
        <f>IF(COUNTIF(E5:AI5,"&gt;0")&gt;=15,AVERAGE(E5:AI5),"")</f>
        <v>32.017647058823528</v>
      </c>
      <c r="AP5" s="23">
        <f>IF(AN5&gt;0,IFERROR(AO5-AN5,""),"")</f>
        <v>1.5742876281170481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>
        <v>30.9</v>
      </c>
      <c r="O6" s="63">
        <v>31.1</v>
      </c>
      <c r="P6" s="63">
        <v>31.7</v>
      </c>
      <c r="Q6" s="63">
        <v>32.1</v>
      </c>
      <c r="R6" s="63">
        <v>32.4</v>
      </c>
      <c r="S6" s="63">
        <v>32.1</v>
      </c>
      <c r="T6" s="63">
        <v>32.700000000000003</v>
      </c>
      <c r="U6" s="63">
        <v>30.9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30.9</v>
      </c>
      <c r="AK6" s="21">
        <f t="shared" ref="AK6:AK48" si="1">+MAX($E6:$AI6)</f>
        <v>32.700000000000003</v>
      </c>
      <c r="AL6" s="22">
        <v>32.799999999999997</v>
      </c>
      <c r="AM6" s="23">
        <f t="shared" ref="AM6:AM48" si="2">IF(AK6&gt;0,$AK6-$AL6,"")</f>
        <v>-9.9999999999994316E-2</v>
      </c>
      <c r="AN6" s="23">
        <v>30.717848543332419</v>
      </c>
      <c r="AO6" s="23">
        <f t="shared" ref="AO6:AO15" si="3">IF(COUNTIF(E6:AI6,"&gt;0")&gt;=15,AVERAGE(E6:AI6),"")</f>
        <v>31.711764705882356</v>
      </c>
      <c r="AP6" s="23">
        <f t="shared" ref="AP6:AP48" si="4">IF(AN6&gt;0,IFERROR(AO6-AN6,""),"")</f>
        <v>0.99391616254993664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>
        <v>34.6</v>
      </c>
      <c r="O7" s="63">
        <v>35.200000000000003</v>
      </c>
      <c r="P7" s="63">
        <v>34.799999999999997</v>
      </c>
      <c r="Q7" s="63">
        <v>32.299999999999997</v>
      </c>
      <c r="R7" s="63">
        <v>32.6</v>
      </c>
      <c r="S7" s="63">
        <v>35.200000000000003</v>
      </c>
      <c r="T7" s="63">
        <v>34.6</v>
      </c>
      <c r="U7" s="63">
        <v>34.700000000000003</v>
      </c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34.700000000000003</v>
      </c>
      <c r="AK7" s="21">
        <f t="shared" si="1"/>
        <v>35.200000000000003</v>
      </c>
      <c r="AL7" s="22">
        <v>36.200000000000003</v>
      </c>
      <c r="AM7" s="23">
        <f t="shared" si="2"/>
        <v>-1</v>
      </c>
      <c r="AN7" s="23">
        <v>32.441611386675547</v>
      </c>
      <c r="AO7" s="23">
        <f t="shared" si="3"/>
        <v>34.023529411764713</v>
      </c>
      <c r="AP7" s="23">
        <f t="shared" si="4"/>
        <v>1.5819180250891662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>
        <v>35.1</v>
      </c>
      <c r="O8" s="63">
        <v>34.1</v>
      </c>
      <c r="P8" s="63">
        <v>33.9</v>
      </c>
      <c r="Q8" s="63">
        <v>30.8</v>
      </c>
      <c r="R8" s="63">
        <v>32.1</v>
      </c>
      <c r="S8" s="63">
        <v>33.200000000000003</v>
      </c>
      <c r="T8" s="63">
        <v>34.700000000000003</v>
      </c>
      <c r="U8" s="63">
        <v>33.1</v>
      </c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33.1</v>
      </c>
      <c r="AK8" s="21">
        <f t="shared" si="1"/>
        <v>35.1</v>
      </c>
      <c r="AL8" s="22">
        <v>36.299999999999997</v>
      </c>
      <c r="AM8" s="23">
        <f t="shared" si="2"/>
        <v>-1.1999999999999957</v>
      </c>
      <c r="AN8" s="23">
        <v>31.669577308120129</v>
      </c>
      <c r="AO8" s="23">
        <f t="shared" si="3"/>
        <v>32.817647058823532</v>
      </c>
      <c r="AP8" s="23">
        <f t="shared" si="4"/>
        <v>1.148069750703403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>
        <v>35</v>
      </c>
      <c r="O9" s="63">
        <v>36.299999999999997</v>
      </c>
      <c r="P9" s="63">
        <v>34.4</v>
      </c>
      <c r="Q9" s="63">
        <v>30.7</v>
      </c>
      <c r="R9" s="63">
        <v>34.700000000000003</v>
      </c>
      <c r="S9" s="63">
        <v>35.1</v>
      </c>
      <c r="T9" s="63">
        <v>36.9</v>
      </c>
      <c r="U9" s="63">
        <v>35.9</v>
      </c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35.9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>
        <f t="shared" si="3"/>
        <v>34.441176470588232</v>
      </c>
      <c r="AP9" s="23">
        <f t="shared" si="4"/>
        <v>1.6794126131531044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>
        <v>36.200000000000003</v>
      </c>
      <c r="O10" s="63">
        <v>34.5</v>
      </c>
      <c r="P10" s="63">
        <v>32.9</v>
      </c>
      <c r="Q10" s="63">
        <v>29.7</v>
      </c>
      <c r="R10" s="63">
        <v>34.200000000000003</v>
      </c>
      <c r="S10" s="63">
        <v>34.6</v>
      </c>
      <c r="T10" s="63">
        <v>35.5</v>
      </c>
      <c r="U10" s="63">
        <v>34.9</v>
      </c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34.9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>
        <f t="shared" si="3"/>
        <v>34.241176470588229</v>
      </c>
      <c r="AP10" s="23">
        <f t="shared" si="4"/>
        <v>1.4552121148793162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>
        <v>35.6</v>
      </c>
      <c r="O11" s="63">
        <v>35.6</v>
      </c>
      <c r="P11" s="63">
        <v>32.799999999999997</v>
      </c>
      <c r="Q11" s="63">
        <v>32.799999999999997</v>
      </c>
      <c r="R11" s="63">
        <v>32.5</v>
      </c>
      <c r="S11" s="63">
        <v>36</v>
      </c>
      <c r="T11" s="63">
        <v>36.700000000000003</v>
      </c>
      <c r="U11" s="63">
        <v>34.4</v>
      </c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34.4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>
        <f t="shared" si="3"/>
        <v>34.794117647058833</v>
      </c>
      <c r="AP11" s="23">
        <f t="shared" si="4"/>
        <v>1.7566704148804106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>
        <v>33.4</v>
      </c>
      <c r="O12" s="63">
        <v>33.799999999999997</v>
      </c>
      <c r="P12" s="63">
        <v>31.4</v>
      </c>
      <c r="Q12" s="63">
        <v>27.8</v>
      </c>
      <c r="R12" s="63">
        <v>32.799999999999997</v>
      </c>
      <c r="S12" s="63">
        <v>34.799999999999997</v>
      </c>
      <c r="T12" s="63">
        <v>35</v>
      </c>
      <c r="U12" s="63">
        <v>29.4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29.4</v>
      </c>
      <c r="AK12" s="21">
        <f t="shared" si="1"/>
        <v>35</v>
      </c>
      <c r="AL12" s="22">
        <v>35.4</v>
      </c>
      <c r="AM12" s="23">
        <f t="shared" si="2"/>
        <v>-0.39999999999999858</v>
      </c>
      <c r="AN12" s="23">
        <v>31.112293906810031</v>
      </c>
      <c r="AO12" s="23">
        <f t="shared" si="3"/>
        <v>31.682352941176472</v>
      </c>
      <c r="AP12" s="23">
        <f t="shared" si="4"/>
        <v>0.5700590343664409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>
        <v>33.200000000000003</v>
      </c>
      <c r="O13" s="63">
        <v>34.799999999999997</v>
      </c>
      <c r="P13" s="63">
        <v>32</v>
      </c>
      <c r="Q13" s="63">
        <v>28.4</v>
      </c>
      <c r="R13" s="63">
        <v>33.799999999999997</v>
      </c>
      <c r="S13" s="63">
        <v>35.4</v>
      </c>
      <c r="T13" s="63">
        <v>35.4</v>
      </c>
      <c r="U13" s="63">
        <v>32.200000000000003</v>
      </c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32.200000000000003</v>
      </c>
      <c r="AK13" s="21">
        <f t="shared" si="1"/>
        <v>35.4</v>
      </c>
      <c r="AL13" s="22">
        <v>35.799999999999997</v>
      </c>
      <c r="AM13" s="23">
        <f t="shared" si="2"/>
        <v>-0.39999999999999858</v>
      </c>
      <c r="AN13" s="23">
        <v>31.684333333333331</v>
      </c>
      <c r="AO13" s="23">
        <f t="shared" si="3"/>
        <v>32.54117647058824</v>
      </c>
      <c r="AP13" s="23">
        <f t="shared" si="4"/>
        <v>0.85684313725490924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>
        <v>34.6</v>
      </c>
      <c r="O14" s="63">
        <v>34.1</v>
      </c>
      <c r="P14" s="63">
        <v>32.700000000000003</v>
      </c>
      <c r="Q14" s="63">
        <v>31</v>
      </c>
      <c r="R14" s="63">
        <v>34.200000000000003</v>
      </c>
      <c r="S14" s="63">
        <v>35.299999999999997</v>
      </c>
      <c r="T14" s="63">
        <v>35.1</v>
      </c>
      <c r="U14" s="63">
        <v>29.7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29.7</v>
      </c>
      <c r="AK14" s="21">
        <f t="shared" si="1"/>
        <v>35.299999999999997</v>
      </c>
      <c r="AL14" s="22">
        <v>36.5</v>
      </c>
      <c r="AM14" s="23">
        <f t="shared" si="2"/>
        <v>-1.2000000000000028</v>
      </c>
      <c r="AN14" s="23">
        <v>32.443225831073327</v>
      </c>
      <c r="AO14" s="23">
        <f t="shared" si="3"/>
        <v>32.847058823529416</v>
      </c>
      <c r="AP14" s="23">
        <f t="shared" si="4"/>
        <v>0.40383299245608839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>
        <v>31.6</v>
      </c>
      <c r="O15" s="63">
        <v>32.6</v>
      </c>
      <c r="P15" s="63">
        <v>29.3</v>
      </c>
      <c r="Q15" s="63">
        <v>26.8</v>
      </c>
      <c r="R15" s="63">
        <v>34.200000000000003</v>
      </c>
      <c r="S15" s="63">
        <v>33.200000000000003</v>
      </c>
      <c r="T15" s="63">
        <v>31.7</v>
      </c>
      <c r="U15" s="63">
        <v>32</v>
      </c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>
        <f t="shared" si="3"/>
        <v>31.71764705882353</v>
      </c>
      <c r="AP15" s="23">
        <f t="shared" si="4"/>
        <v>-2.7351982256600849E-2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>
        <v>31.4</v>
      </c>
      <c r="O17" s="63">
        <v>34.6</v>
      </c>
      <c r="P17" s="63">
        <v>27.4</v>
      </c>
      <c r="Q17" s="63">
        <v>27.2</v>
      </c>
      <c r="R17" s="63">
        <v>33.799999999999997</v>
      </c>
      <c r="S17" s="63">
        <v>35.299999999999997</v>
      </c>
      <c r="T17" s="63">
        <v>32</v>
      </c>
      <c r="U17" s="63">
        <v>30.5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30.5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>
        <f>IF(COUNTIF(E17:AI17,"&gt;0")&gt;=15,AVERAGE(E17:AI17),"")</f>
        <v>32.170588235294119</v>
      </c>
      <c r="AP17" s="23">
        <f>IF(AN17&gt;0,IFERROR(AO17-AN17,""),"")</f>
        <v>0.73625808387870961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>
        <v>26.7</v>
      </c>
      <c r="O18" s="63">
        <v>29</v>
      </c>
      <c r="P18" s="63">
        <v>25.1</v>
      </c>
      <c r="Q18" s="63">
        <v>23.9</v>
      </c>
      <c r="R18" s="63">
        <v>28.4</v>
      </c>
      <c r="S18" s="63">
        <v>29.9</v>
      </c>
      <c r="T18" s="63">
        <v>27.8</v>
      </c>
      <c r="U18" s="63">
        <v>27.8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27.8</v>
      </c>
      <c r="AK18" s="21">
        <f t="shared" si="1"/>
        <v>30</v>
      </c>
      <c r="AL18" s="22">
        <v>32.4</v>
      </c>
      <c r="AM18" s="23">
        <f t="shared" si="2"/>
        <v>-2.3999999999999986</v>
      </c>
      <c r="AN18" s="23">
        <v>25.64850703060381</v>
      </c>
      <c r="AO18" s="23">
        <f t="shared" ref="AO18:AO33" si="5">IF(COUNTIF(E18:AI18,"&gt;0")&gt;=15,AVERAGE(E18:AI18),"")</f>
        <v>27.623529411764707</v>
      </c>
      <c r="AP18" s="23">
        <f t="shared" si="4"/>
        <v>1.9750223811608976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>
        <v>33.5</v>
      </c>
      <c r="O19" s="63">
        <v>35.1</v>
      </c>
      <c r="P19" s="63">
        <v>32.4</v>
      </c>
      <c r="Q19" s="63">
        <v>29.9</v>
      </c>
      <c r="R19" s="63">
        <v>34.200000000000003</v>
      </c>
      <c r="S19" s="63">
        <v>36</v>
      </c>
      <c r="T19" s="63">
        <v>37</v>
      </c>
      <c r="U19" s="63">
        <v>37</v>
      </c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</v>
      </c>
      <c r="AK19" s="21">
        <f t="shared" si="1"/>
        <v>37</v>
      </c>
      <c r="AL19" s="22">
        <v>38.200000000000003</v>
      </c>
      <c r="AM19" s="23">
        <f t="shared" si="2"/>
        <v>-1.2000000000000028</v>
      </c>
      <c r="AN19" s="23">
        <v>33.015015853322303</v>
      </c>
      <c r="AO19" s="23">
        <f t="shared" si="5"/>
        <v>35.052941176470583</v>
      </c>
      <c r="AP19" s="23">
        <f t="shared" si="4"/>
        <v>2.0379253231482792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>
        <v>26.1</v>
      </c>
      <c r="O20" s="63">
        <v>28.8</v>
      </c>
      <c r="P20" s="63">
        <v>22.6</v>
      </c>
      <c r="Q20" s="63">
        <v>23.4</v>
      </c>
      <c r="R20" s="63">
        <v>30.4</v>
      </c>
      <c r="S20" s="63">
        <v>32.9</v>
      </c>
      <c r="T20" s="63">
        <v>25.5</v>
      </c>
      <c r="U20" s="63">
        <v>30</v>
      </c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</v>
      </c>
      <c r="AK20" s="21">
        <f t="shared" si="1"/>
        <v>32.9</v>
      </c>
      <c r="AL20" s="22">
        <v>31.9</v>
      </c>
      <c r="AM20" s="23">
        <f t="shared" si="2"/>
        <v>1</v>
      </c>
      <c r="AN20" s="23">
        <v>27.292235561863119</v>
      </c>
      <c r="AO20" s="23">
        <f t="shared" si="5"/>
        <v>28.464705882352941</v>
      </c>
      <c r="AP20" s="23">
        <f t="shared" si="4"/>
        <v>1.1724703204898219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>
        <v>22.7</v>
      </c>
      <c r="O21" s="63">
        <v>23.6</v>
      </c>
      <c r="P21" s="63">
        <v>18.600000000000001</v>
      </c>
      <c r="Q21" s="63">
        <v>19</v>
      </c>
      <c r="R21" s="63">
        <v>24.5</v>
      </c>
      <c r="S21" s="63">
        <v>26.6</v>
      </c>
      <c r="T21" s="63">
        <v>21.7</v>
      </c>
      <c r="U21" s="63">
        <v>23.8</v>
      </c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23.8</v>
      </c>
      <c r="AK21" s="21">
        <f t="shared" si="1"/>
        <v>26.6</v>
      </c>
      <c r="AL21" s="22">
        <v>25.6</v>
      </c>
      <c r="AM21" s="23">
        <f t="shared" si="2"/>
        <v>1</v>
      </c>
      <c r="AN21" s="23">
        <v>21.943225806451611</v>
      </c>
      <c r="AO21" s="23">
        <f t="shared" si="5"/>
        <v>23.376470588235296</v>
      </c>
      <c r="AP21" s="23">
        <f t="shared" si="4"/>
        <v>1.4332447817836851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>
        <v>25.8</v>
      </c>
      <c r="O23" s="63">
        <v>27.9</v>
      </c>
      <c r="P23" s="63">
        <v>24.8</v>
      </c>
      <c r="Q23" s="63">
        <v>25.2</v>
      </c>
      <c r="R23" s="63">
        <v>28.4</v>
      </c>
      <c r="S23" s="63">
        <v>30.4</v>
      </c>
      <c r="T23" s="63">
        <v>24.7</v>
      </c>
      <c r="U23" s="63">
        <v>27.6</v>
      </c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27.6</v>
      </c>
      <c r="AK23" s="21">
        <f t="shared" si="1"/>
        <v>30.4</v>
      </c>
      <c r="AL23" s="22">
        <v>31.3</v>
      </c>
      <c r="AM23" s="23">
        <f t="shared" si="2"/>
        <v>-0.90000000000000213</v>
      </c>
      <c r="AN23" s="23">
        <v>26.187468982630271</v>
      </c>
      <c r="AO23" s="23">
        <f t="shared" si="5"/>
        <v>27.67647058823529</v>
      </c>
      <c r="AP23" s="23">
        <f t="shared" si="4"/>
        <v>1.4890016056050186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>
        <v>26.9</v>
      </c>
      <c r="O24" s="63">
        <v>27.8</v>
      </c>
      <c r="P24" s="63">
        <v>24.7</v>
      </c>
      <c r="Q24" s="63">
        <v>25.8</v>
      </c>
      <c r="R24" s="63">
        <v>28</v>
      </c>
      <c r="S24" s="63">
        <v>31.5</v>
      </c>
      <c r="T24" s="63">
        <v>28.1</v>
      </c>
      <c r="U24" s="63">
        <v>28.1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28.1</v>
      </c>
      <c r="AK24" s="21">
        <f t="shared" si="1"/>
        <v>31.5</v>
      </c>
      <c r="AL24" s="22">
        <v>32.799999999999997</v>
      </c>
      <c r="AM24" s="23">
        <f t="shared" si="2"/>
        <v>-1.2999999999999972</v>
      </c>
      <c r="AN24" s="23">
        <v>27.362560803891451</v>
      </c>
      <c r="AO24" s="23">
        <f t="shared" si="5"/>
        <v>28.252941176470589</v>
      </c>
      <c r="AP24" s="23">
        <f t="shared" si="4"/>
        <v>0.89038037257913771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>
        <v>27.8</v>
      </c>
      <c r="O25" s="63">
        <v>30.7</v>
      </c>
      <c r="P25" s="63">
        <v>26</v>
      </c>
      <c r="Q25" s="63">
        <v>27</v>
      </c>
      <c r="R25" s="63">
        <v>30.4</v>
      </c>
      <c r="S25" s="63">
        <v>32.799999999999997</v>
      </c>
      <c r="T25" s="63">
        <v>30.3</v>
      </c>
      <c r="U25" s="63">
        <v>32</v>
      </c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32</v>
      </c>
      <c r="AK25" s="21">
        <f t="shared" si="1"/>
        <v>32.799999999999997</v>
      </c>
      <c r="AL25" s="22">
        <v>36.5</v>
      </c>
      <c r="AM25" s="23">
        <f t="shared" si="2"/>
        <v>-3.7000000000000028</v>
      </c>
      <c r="AN25" s="23">
        <v>28.863902868824429</v>
      </c>
      <c r="AO25" s="23">
        <f t="shared" si="5"/>
        <v>29.86470588235294</v>
      </c>
      <c r="AP25" s="23">
        <f t="shared" si="4"/>
        <v>1.0008030135285111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>
        <v>18.899999999999999</v>
      </c>
      <c r="O26" s="63">
        <v>20.3</v>
      </c>
      <c r="P26" s="63">
        <v>18</v>
      </c>
      <c r="Q26" s="63">
        <v>19.5</v>
      </c>
      <c r="R26" s="63">
        <v>22.4</v>
      </c>
      <c r="S26" s="63">
        <v>23.9</v>
      </c>
      <c r="T26" s="63">
        <v>21.6</v>
      </c>
      <c r="U26" s="63">
        <v>21.8</v>
      </c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21.8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>
        <f t="shared" si="5"/>
        <v>21.182352941176472</v>
      </c>
      <c r="AP26" s="23">
        <f t="shared" si="4"/>
        <v>1.7617187720662209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>
        <v>20.6</v>
      </c>
      <c r="O27" s="63">
        <v>22.2</v>
      </c>
      <c r="P27" s="63">
        <v>21</v>
      </c>
      <c r="Q27" s="63">
        <v>22.2</v>
      </c>
      <c r="R27" s="63">
        <v>23.6</v>
      </c>
      <c r="S27" s="63">
        <v>23.6</v>
      </c>
      <c r="T27" s="63">
        <v>22.2</v>
      </c>
      <c r="U27" s="63">
        <v>23</v>
      </c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23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>
        <f t="shared" si="5"/>
        <v>22.235294117647058</v>
      </c>
      <c r="AP27" s="23">
        <f t="shared" si="4"/>
        <v>3.5806257752367792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>
        <v>28.1</v>
      </c>
      <c r="O28" s="63">
        <v>30.1</v>
      </c>
      <c r="P28" s="63">
        <v>27.3</v>
      </c>
      <c r="Q28" s="63">
        <v>27.7</v>
      </c>
      <c r="R28" s="63">
        <v>31.3</v>
      </c>
      <c r="S28" s="63">
        <v>34</v>
      </c>
      <c r="T28" s="63">
        <v>29.9</v>
      </c>
      <c r="U28" s="63">
        <v>30.8</v>
      </c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30.8</v>
      </c>
      <c r="AK28" s="21">
        <f t="shared" si="1"/>
        <v>34</v>
      </c>
      <c r="AL28" s="22">
        <v>33.200000000000003</v>
      </c>
      <c r="AM28" s="23">
        <f t="shared" si="2"/>
        <v>0.79999999999999716</v>
      </c>
      <c r="AN28" s="23">
        <v>29.62065677977936</v>
      </c>
      <c r="AO28" s="23">
        <f t="shared" si="5"/>
        <v>30.752941176470593</v>
      </c>
      <c r="AP28" s="23">
        <f t="shared" si="4"/>
        <v>1.132284396691233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>
        <v>32.5</v>
      </c>
      <c r="O30" s="63">
        <v>36.200000000000003</v>
      </c>
      <c r="P30" s="63">
        <v>34.799999999999997</v>
      </c>
      <c r="Q30" s="63">
        <v>33.5</v>
      </c>
      <c r="R30" s="63">
        <v>35.799999999999997</v>
      </c>
      <c r="S30" s="63">
        <v>38.6</v>
      </c>
      <c r="T30" s="63">
        <v>36.4</v>
      </c>
      <c r="U30" s="63">
        <v>35.700000000000003</v>
      </c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35.700000000000003</v>
      </c>
      <c r="AK30" s="21">
        <f t="shared" si="1"/>
        <v>38.6</v>
      </c>
      <c r="AL30" s="22">
        <v>40</v>
      </c>
      <c r="AM30" s="23">
        <f t="shared" si="2"/>
        <v>-1.3999999999999986</v>
      </c>
      <c r="AN30" s="23">
        <v>33.398279569892473</v>
      </c>
      <c r="AO30" s="23">
        <f t="shared" si="5"/>
        <v>35.676470588235297</v>
      </c>
      <c r="AP30" s="23">
        <f t="shared" si="4"/>
        <v>2.2781910183428238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>
        <v>26.5</v>
      </c>
      <c r="O31" s="63">
        <v>25.2</v>
      </c>
      <c r="P31" s="63">
        <v>22.6</v>
      </c>
      <c r="Q31" s="63">
        <v>23.2</v>
      </c>
      <c r="R31" s="63">
        <v>26.4</v>
      </c>
      <c r="S31" s="63">
        <v>30</v>
      </c>
      <c r="T31" s="63">
        <v>23.4</v>
      </c>
      <c r="U31" s="63">
        <v>26.2</v>
      </c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26.2</v>
      </c>
      <c r="AK31" s="21">
        <f t="shared" si="1"/>
        <v>30</v>
      </c>
      <c r="AL31" s="22">
        <v>31.3</v>
      </c>
      <c r="AM31" s="23">
        <f t="shared" si="2"/>
        <v>-1.3000000000000007</v>
      </c>
      <c r="AN31" s="23">
        <v>24.31999307872945</v>
      </c>
      <c r="AO31" s="23">
        <f t="shared" si="5"/>
        <v>25.711764705882352</v>
      </c>
      <c r="AP31" s="23">
        <f t="shared" si="4"/>
        <v>1.3917716271529024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>
        <v>21.6</v>
      </c>
      <c r="O32" s="63">
        <v>19.8</v>
      </c>
      <c r="P32" s="63">
        <v>18.8</v>
      </c>
      <c r="Q32" s="63">
        <v>16</v>
      </c>
      <c r="R32" s="63">
        <v>19</v>
      </c>
      <c r="S32" s="63">
        <v>20.8</v>
      </c>
      <c r="T32" s="63">
        <v>17.2</v>
      </c>
      <c r="U32" s="63">
        <v>18.8</v>
      </c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18.8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>
        <f t="shared" si="5"/>
        <v>19.729411764705883</v>
      </c>
      <c r="AP32" s="23">
        <f t="shared" si="4"/>
        <v>1.8087376493432217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>
        <v>19.2</v>
      </c>
      <c r="O33" s="63">
        <v>17</v>
      </c>
      <c r="P33" s="63">
        <v>17.600000000000001</v>
      </c>
      <c r="Q33" s="63">
        <v>18</v>
      </c>
      <c r="R33" s="63">
        <v>18.399999999999999</v>
      </c>
      <c r="S33" s="63">
        <v>18.2</v>
      </c>
      <c r="T33" s="63">
        <v>16.600000000000001</v>
      </c>
      <c r="U33" s="63">
        <v>16.399999999999999</v>
      </c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16.399999999999999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>
        <f t="shared" si="5"/>
        <v>18.023529411764709</v>
      </c>
      <c r="AP33" s="23">
        <f t="shared" si="4"/>
        <v>1.1279519502173905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>
        <v>29.6</v>
      </c>
      <c r="O35" s="63">
        <v>30.2</v>
      </c>
      <c r="P35" s="63">
        <v>28.2</v>
      </c>
      <c r="Q35" s="63">
        <v>27.6</v>
      </c>
      <c r="R35" s="63">
        <v>33.799999999999997</v>
      </c>
      <c r="S35" s="63">
        <v>34.799999999999997</v>
      </c>
      <c r="T35" s="63">
        <v>25.8</v>
      </c>
      <c r="U35" s="63">
        <v>32.799999999999997</v>
      </c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32.799999999999997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>
        <f>IF(COUNTIF(E35:AI35,"&gt;0")&gt;=15,AVERAGE(E35:AI35),"")</f>
        <v>31.364705882352943</v>
      </c>
      <c r="AP35" s="23">
        <f t="shared" si="4"/>
        <v>0.81033768269304218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>
        <v>34.4</v>
      </c>
      <c r="O38" s="63">
        <v>30.7</v>
      </c>
      <c r="P38" s="63">
        <v>32.9</v>
      </c>
      <c r="Q38" s="63">
        <v>33.4</v>
      </c>
      <c r="R38" s="63">
        <v>33.200000000000003</v>
      </c>
      <c r="S38" s="63">
        <v>35.9</v>
      </c>
      <c r="T38" s="63">
        <v>33.1</v>
      </c>
      <c r="U38" s="63">
        <v>34.6</v>
      </c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34.6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>
        <f>IF(COUNTIF(E38:AI38,"&gt;0")&gt;=15,AVERAGE(E38:AI38),"")</f>
        <v>33.35294117647058</v>
      </c>
      <c r="AP38" s="23">
        <f t="shared" si="4"/>
        <v>1.4159547100263907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>
        <v>35.4</v>
      </c>
      <c r="O39" s="63">
        <v>33.799999999999997</v>
      </c>
      <c r="P39" s="63">
        <v>32.799999999999997</v>
      </c>
      <c r="Q39" s="63">
        <v>34.700000000000003</v>
      </c>
      <c r="R39" s="63">
        <v>35</v>
      </c>
      <c r="S39" s="63">
        <v>35.6</v>
      </c>
      <c r="T39" s="63">
        <v>35.9</v>
      </c>
      <c r="U39" s="63">
        <v>33.4</v>
      </c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33.4</v>
      </c>
      <c r="AK39" s="21">
        <f t="shared" si="1"/>
        <v>35.9</v>
      </c>
      <c r="AL39" s="22">
        <v>36.6</v>
      </c>
      <c r="AM39" s="23">
        <f t="shared" si="2"/>
        <v>-0.70000000000000284</v>
      </c>
      <c r="AN39" s="23">
        <v>33.422727598566297</v>
      </c>
      <c r="AO39" s="23">
        <f t="shared" ref="AO39:AO48" si="7">IF(COUNTIF(E39:AI39,"&gt;0")&gt;=15,AVERAGE(E39:AI39),"")</f>
        <v>34.429411764705883</v>
      </c>
      <c r="AP39" s="23">
        <f t="shared" si="4"/>
        <v>1.0066841661395856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>
        <v>28.6</v>
      </c>
      <c r="O40" s="63">
        <v>31.7</v>
      </c>
      <c r="P40" s="63">
        <v>29.7</v>
      </c>
      <c r="Q40" s="63">
        <v>32.200000000000003</v>
      </c>
      <c r="R40" s="63">
        <v>32.4</v>
      </c>
      <c r="S40" s="63">
        <v>31.8</v>
      </c>
      <c r="T40" s="63">
        <v>32.299999999999997</v>
      </c>
      <c r="U40" s="63">
        <v>31.2</v>
      </c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31.2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>
        <f t="shared" si="7"/>
        <v>31.141176470588235</v>
      </c>
      <c r="AP40" s="23">
        <f t="shared" si="4"/>
        <v>0.26280012650221352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>
        <v>31</v>
      </c>
      <c r="O41" s="63"/>
      <c r="P41" s="63"/>
      <c r="Q41" s="63">
        <v>33.200000000000003</v>
      </c>
      <c r="R41" s="63">
        <v>33.6</v>
      </c>
      <c r="S41" s="63">
        <v>34.4</v>
      </c>
      <c r="T41" s="63">
        <v>33.4</v>
      </c>
      <c r="U41" s="63">
        <v>29.4</v>
      </c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29.4</v>
      </c>
      <c r="AK41" s="21">
        <f t="shared" si="1"/>
        <v>34.4</v>
      </c>
      <c r="AL41" s="22">
        <v>35.4</v>
      </c>
      <c r="AM41" s="23">
        <f t="shared" si="2"/>
        <v>-1</v>
      </c>
      <c r="AN41" s="23">
        <v>31.008190582128289</v>
      </c>
      <c r="AO41" s="23">
        <f t="shared" si="7"/>
        <v>32.199999999999996</v>
      </c>
      <c r="AP41" s="23">
        <f t="shared" si="4"/>
        <v>1.1918094178717062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>
        <v>31.4</v>
      </c>
      <c r="P43" s="63">
        <v>33.6</v>
      </c>
      <c r="Q43" s="63">
        <v>33</v>
      </c>
      <c r="R43" s="63">
        <v>32.4</v>
      </c>
      <c r="S43" s="63">
        <v>34.4</v>
      </c>
      <c r="T43" s="63">
        <v>33</v>
      </c>
      <c r="U43" s="63">
        <v>33.200000000000003</v>
      </c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33.200000000000003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>
        <f t="shared" si="7"/>
        <v>33.162499999999994</v>
      </c>
      <c r="AP43" s="23">
        <f t="shared" si="4"/>
        <v>0.90550732904704745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>
        <v>34.1</v>
      </c>
      <c r="O44" s="29">
        <v>34</v>
      </c>
      <c r="P44" s="29">
        <v>31.3</v>
      </c>
      <c r="Q44" s="29">
        <v>32.4</v>
      </c>
      <c r="R44" s="29">
        <v>30.2</v>
      </c>
      <c r="S44" s="29">
        <v>33.1</v>
      </c>
      <c r="T44" s="29">
        <v>31.3</v>
      </c>
      <c r="U44" s="29">
        <v>33.1</v>
      </c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33.1</v>
      </c>
      <c r="AK44" s="21">
        <f t="shared" si="1"/>
        <v>34.1</v>
      </c>
      <c r="AL44" s="22">
        <v>34.6</v>
      </c>
      <c r="AM44" s="23">
        <f t="shared" si="2"/>
        <v>-0.5</v>
      </c>
      <c r="AN44" s="23">
        <v>31.086687000841621</v>
      </c>
      <c r="AO44" s="23">
        <f t="shared" si="7"/>
        <v>31.952941176470592</v>
      </c>
      <c r="AP44" s="23">
        <f t="shared" si="4"/>
        <v>0.86625417562897056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>
        <v>32.799999999999997</v>
      </c>
      <c r="O45" s="63">
        <v>34</v>
      </c>
      <c r="P45" s="63">
        <v>32</v>
      </c>
      <c r="Q45" s="63">
        <v>33.6</v>
      </c>
      <c r="R45" s="63">
        <v>33.4</v>
      </c>
      <c r="S45" s="63">
        <v>34</v>
      </c>
      <c r="T45" s="63">
        <v>33.799999999999997</v>
      </c>
      <c r="U45" s="63">
        <v>31.4</v>
      </c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31.4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>
        <f t="shared" si="7"/>
        <v>32.823529411764703</v>
      </c>
      <c r="AP45" s="23">
        <f t="shared" si="4"/>
        <v>1.2283346411691127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>
        <v>33.1</v>
      </c>
      <c r="O48" s="63">
        <v>34.1</v>
      </c>
      <c r="P48" s="63">
        <v>34.200000000000003</v>
      </c>
      <c r="Q48" s="63">
        <v>35.4</v>
      </c>
      <c r="R48" s="63">
        <v>33.799999999999997</v>
      </c>
      <c r="S48" s="63">
        <v>33.799999999999997</v>
      </c>
      <c r="T48" s="63">
        <v>35.200000000000003</v>
      </c>
      <c r="U48" s="63">
        <v>32.200000000000003</v>
      </c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32.200000000000003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>
        <f t="shared" si="7"/>
        <v>33.64705882352942</v>
      </c>
      <c r="AP48" s="23">
        <f t="shared" si="4"/>
        <v>1.6548695762175889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Z17:AB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Z17:AB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2026-10-18T13:35:35Z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