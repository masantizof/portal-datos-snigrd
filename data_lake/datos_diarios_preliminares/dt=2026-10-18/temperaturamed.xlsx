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2191F59D-0E44-4004-BBD5-0A06F50CF682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S212" i="1" s="1"/>
  <c r="AR211" i="1"/>
  <c r="AQ211" i="1"/>
  <c r="AS211" i="1" s="1"/>
  <c r="AP211" i="1"/>
  <c r="AR210" i="1"/>
  <c r="AP210" i="1"/>
  <c r="AQ210" i="1" s="1"/>
  <c r="AS210" i="1" s="1"/>
  <c r="AR209" i="1"/>
  <c r="AP209" i="1"/>
  <c r="AQ209" i="1" s="1"/>
  <c r="AS209" i="1" s="1"/>
  <c r="AR208" i="1"/>
  <c r="AQ208" i="1"/>
  <c r="AS208" i="1" s="1"/>
  <c r="AP208" i="1"/>
  <c r="AR207" i="1"/>
  <c r="AP207" i="1"/>
  <c r="AQ207" i="1" s="1"/>
  <c r="AS207" i="1" s="1"/>
  <c r="AR206" i="1"/>
  <c r="AQ206" i="1"/>
  <c r="AS206" i="1" s="1"/>
  <c r="AP206" i="1"/>
  <c r="AR205" i="1"/>
  <c r="AP205" i="1"/>
  <c r="AQ205" i="1" s="1"/>
  <c r="AS205" i="1" s="1"/>
  <c r="AR204" i="1"/>
  <c r="AP204" i="1"/>
  <c r="AQ204" i="1" s="1"/>
  <c r="AS204" i="1" s="1"/>
  <c r="AR203" i="1"/>
  <c r="AP203" i="1"/>
  <c r="AQ203" i="1" s="1"/>
  <c r="AS203" i="1" s="1"/>
  <c r="AR202" i="1"/>
  <c r="AP202" i="1"/>
  <c r="AQ202" i="1" s="1"/>
  <c r="AS202" i="1" s="1"/>
  <c r="AR201" i="1"/>
  <c r="AQ201" i="1"/>
  <c r="AS201" i="1" s="1"/>
  <c r="AP201" i="1"/>
  <c r="AR200" i="1"/>
  <c r="AP200" i="1"/>
  <c r="AQ200" i="1" s="1"/>
  <c r="AS200" i="1" s="1"/>
  <c r="AR199" i="1"/>
  <c r="AP199" i="1"/>
  <c r="AQ199" i="1" s="1"/>
  <c r="AS199" i="1" s="1"/>
  <c r="AR198" i="1"/>
  <c r="AP198" i="1"/>
  <c r="AQ198" i="1" s="1"/>
  <c r="AS198" i="1" s="1"/>
  <c r="AR197" i="1"/>
  <c r="AP197" i="1"/>
  <c r="AQ197" i="1" s="1"/>
  <c r="AS197" i="1" s="1"/>
  <c r="AR196" i="1"/>
  <c r="AQ196" i="1"/>
  <c r="AS196" i="1" s="1"/>
  <c r="AP196" i="1"/>
  <c r="AR195" i="1"/>
  <c r="AP195" i="1"/>
  <c r="AQ195" i="1" s="1"/>
  <c r="AS195" i="1" s="1"/>
  <c r="AR194" i="1"/>
  <c r="AP194" i="1"/>
  <c r="AQ194" i="1" s="1"/>
  <c r="AS194" i="1" s="1"/>
  <c r="AR193" i="1"/>
  <c r="AP193" i="1"/>
  <c r="AQ193" i="1" s="1"/>
  <c r="AS193" i="1" s="1"/>
  <c r="AR192" i="1"/>
  <c r="AP192" i="1"/>
  <c r="AQ192" i="1" s="1"/>
  <c r="AS192" i="1" s="1"/>
  <c r="AR191" i="1"/>
  <c r="AQ191" i="1"/>
  <c r="AS191" i="1" s="1"/>
  <c r="AP191" i="1"/>
  <c r="AR190" i="1"/>
  <c r="AP190" i="1"/>
  <c r="AQ190" i="1" s="1"/>
  <c r="AS190" i="1" s="1"/>
  <c r="AR189" i="1"/>
  <c r="AP189" i="1"/>
  <c r="AQ189" i="1" s="1"/>
  <c r="AS189" i="1" s="1"/>
  <c r="AR188" i="1"/>
  <c r="AP188" i="1"/>
  <c r="AQ188" i="1" s="1"/>
  <c r="AS188" i="1" s="1"/>
  <c r="AR187" i="1"/>
  <c r="AP187" i="1"/>
  <c r="AQ187" i="1" s="1"/>
  <c r="AS187" i="1" s="1"/>
  <c r="AR186" i="1"/>
  <c r="AQ186" i="1"/>
  <c r="AS186" i="1" s="1"/>
  <c r="AP186" i="1"/>
  <c r="AR185" i="1"/>
  <c r="AP185" i="1"/>
  <c r="AQ185" i="1" s="1"/>
  <c r="AS185" i="1" s="1"/>
  <c r="AR184" i="1"/>
  <c r="AP184" i="1"/>
  <c r="AQ184" i="1" s="1"/>
  <c r="AS184" i="1" s="1"/>
  <c r="AR183" i="1"/>
  <c r="AP183" i="1"/>
  <c r="AQ183" i="1" s="1"/>
  <c r="AS183" i="1" s="1"/>
  <c r="AR182" i="1"/>
  <c r="AP182" i="1"/>
  <c r="AQ182" i="1" s="1"/>
  <c r="AS182" i="1" s="1"/>
  <c r="AR181" i="1"/>
  <c r="AQ181" i="1"/>
  <c r="AS181" i="1" s="1"/>
  <c r="AP181" i="1"/>
  <c r="AR180" i="1"/>
  <c r="AP180" i="1"/>
  <c r="AQ180" i="1" s="1"/>
  <c r="AS180" i="1" s="1"/>
  <c r="AR179" i="1"/>
  <c r="AP179" i="1"/>
  <c r="AQ179" i="1" s="1"/>
  <c r="AS179" i="1" s="1"/>
  <c r="AR178" i="1"/>
  <c r="AP178" i="1"/>
  <c r="AQ178" i="1" s="1"/>
  <c r="AS178" i="1" s="1"/>
  <c r="AR177" i="1"/>
  <c r="AP177" i="1"/>
  <c r="AQ177" i="1" s="1"/>
  <c r="AS177" i="1" s="1"/>
  <c r="AR176" i="1"/>
  <c r="AQ176" i="1"/>
  <c r="AS176" i="1" s="1"/>
  <c r="AP176" i="1"/>
  <c r="AR175" i="1"/>
  <c r="AP175" i="1"/>
  <c r="AQ175" i="1" s="1"/>
  <c r="AS175" i="1" s="1"/>
  <c r="AR174" i="1"/>
  <c r="AP174" i="1"/>
  <c r="AQ174" i="1" s="1"/>
  <c r="AS174" i="1" s="1"/>
  <c r="AR173" i="1"/>
  <c r="AP173" i="1"/>
  <c r="AQ173" i="1" s="1"/>
  <c r="AS173" i="1" s="1"/>
  <c r="AR172" i="1"/>
  <c r="AP172" i="1"/>
  <c r="AQ172" i="1" s="1"/>
  <c r="AS172" i="1" s="1"/>
  <c r="AR171" i="1"/>
  <c r="AQ171" i="1"/>
  <c r="AS171" i="1" s="1"/>
  <c r="AP171" i="1"/>
  <c r="AR170" i="1"/>
  <c r="AP170" i="1"/>
  <c r="AQ170" i="1" s="1"/>
  <c r="AS170" i="1" s="1"/>
  <c r="AR169" i="1"/>
  <c r="AP169" i="1"/>
  <c r="AQ169" i="1" s="1"/>
  <c r="AS169" i="1" s="1"/>
  <c r="AR168" i="1"/>
  <c r="AP168" i="1"/>
  <c r="AQ168" i="1" s="1"/>
  <c r="AS168" i="1" s="1"/>
  <c r="AR167" i="1"/>
  <c r="AP167" i="1"/>
  <c r="AQ167" i="1" s="1"/>
  <c r="AS167" i="1" s="1"/>
  <c r="AR166" i="1"/>
  <c r="AQ166" i="1"/>
  <c r="AS166" i="1" s="1"/>
  <c r="AP166" i="1"/>
  <c r="AR165" i="1"/>
  <c r="AP165" i="1"/>
  <c r="AQ165" i="1" s="1"/>
  <c r="AS165" i="1" s="1"/>
  <c r="AR164" i="1"/>
  <c r="AP164" i="1"/>
  <c r="AQ164" i="1" s="1"/>
  <c r="AS164" i="1" s="1"/>
  <c r="AR163" i="1"/>
  <c r="AP163" i="1"/>
  <c r="AQ163" i="1" s="1"/>
  <c r="AS163" i="1" s="1"/>
  <c r="AR162" i="1"/>
  <c r="AP162" i="1"/>
  <c r="AQ162" i="1" s="1"/>
  <c r="AS162" i="1" s="1"/>
  <c r="AR161" i="1"/>
  <c r="AQ161" i="1"/>
  <c r="AS161" i="1" s="1"/>
  <c r="AP161" i="1"/>
  <c r="AR160" i="1"/>
  <c r="AP160" i="1"/>
  <c r="AQ160" i="1" s="1"/>
  <c r="AS160" i="1" s="1"/>
  <c r="AR159" i="1"/>
  <c r="AP159" i="1"/>
  <c r="AQ159" i="1" s="1"/>
  <c r="AS159" i="1" s="1"/>
  <c r="AR158" i="1"/>
  <c r="AP158" i="1"/>
  <c r="AQ158" i="1" s="1"/>
  <c r="AS158" i="1" s="1"/>
  <c r="AR157" i="1"/>
  <c r="AP157" i="1"/>
  <c r="AQ157" i="1" s="1"/>
  <c r="AS157" i="1" s="1"/>
  <c r="AR156" i="1"/>
  <c r="AQ156" i="1"/>
  <c r="AS156" i="1" s="1"/>
  <c r="AP156" i="1"/>
  <c r="AR155" i="1"/>
  <c r="AP155" i="1"/>
  <c r="AQ155" i="1" s="1"/>
  <c r="AS155" i="1" s="1"/>
  <c r="AR154" i="1"/>
  <c r="AP154" i="1"/>
  <c r="AQ154" i="1" s="1"/>
  <c r="AS154" i="1" s="1"/>
  <c r="AR153" i="1"/>
  <c r="AP153" i="1"/>
  <c r="AQ153" i="1" s="1"/>
  <c r="AS153" i="1" s="1"/>
  <c r="AR152" i="1"/>
  <c r="AP152" i="1"/>
  <c r="AQ152" i="1" s="1"/>
  <c r="AS152" i="1" s="1"/>
  <c r="AR151" i="1"/>
  <c r="AQ151" i="1"/>
  <c r="AS151" i="1" s="1"/>
  <c r="AP151" i="1"/>
  <c r="AR150" i="1"/>
  <c r="AP150" i="1"/>
  <c r="AQ150" i="1" s="1"/>
  <c r="AS150" i="1" s="1"/>
  <c r="AR149" i="1"/>
  <c r="AP149" i="1"/>
  <c r="AQ149" i="1" s="1"/>
  <c r="AS149" i="1" s="1"/>
  <c r="AR148" i="1"/>
  <c r="AP148" i="1"/>
  <c r="AQ148" i="1" s="1"/>
  <c r="AS148" i="1" s="1"/>
  <c r="AR147" i="1"/>
  <c r="AP147" i="1"/>
  <c r="AQ147" i="1" s="1"/>
  <c r="AS147" i="1" s="1"/>
  <c r="AR146" i="1"/>
  <c r="AQ146" i="1"/>
  <c r="AS146" i="1" s="1"/>
  <c r="AP146" i="1"/>
  <c r="AR145" i="1"/>
  <c r="AP145" i="1"/>
  <c r="AQ145" i="1" s="1"/>
  <c r="AS145" i="1" s="1"/>
  <c r="AR144" i="1"/>
  <c r="AP144" i="1"/>
  <c r="AQ144" i="1" s="1"/>
  <c r="AS144" i="1" s="1"/>
  <c r="AR143" i="1"/>
  <c r="AP143" i="1"/>
  <c r="AQ143" i="1" s="1"/>
  <c r="AS143" i="1" s="1"/>
  <c r="AR142" i="1"/>
  <c r="AP142" i="1"/>
  <c r="AQ142" i="1" s="1"/>
  <c r="AS142" i="1" s="1"/>
  <c r="AR141" i="1"/>
  <c r="AQ141" i="1"/>
  <c r="AS141" i="1" s="1"/>
  <c r="AP141" i="1"/>
  <c r="AR140" i="1"/>
  <c r="AP140" i="1"/>
  <c r="AQ140" i="1" s="1"/>
  <c r="AS140" i="1" s="1"/>
  <c r="AR139" i="1"/>
  <c r="AP139" i="1"/>
  <c r="AQ139" i="1" s="1"/>
  <c r="AS139" i="1" s="1"/>
  <c r="AR138" i="1"/>
  <c r="AP138" i="1"/>
  <c r="AQ138" i="1" s="1"/>
  <c r="AS138" i="1" s="1"/>
  <c r="AR137" i="1"/>
  <c r="AP137" i="1"/>
  <c r="AQ137" i="1" s="1"/>
  <c r="AS137" i="1" s="1"/>
  <c r="AR136" i="1"/>
  <c r="AQ136" i="1"/>
  <c r="AS136" i="1" s="1"/>
  <c r="AP136" i="1"/>
  <c r="AR135" i="1"/>
  <c r="AP135" i="1"/>
  <c r="AQ135" i="1" s="1"/>
  <c r="AS135" i="1" s="1"/>
  <c r="AR134" i="1"/>
  <c r="AP134" i="1"/>
  <c r="AQ134" i="1" s="1"/>
  <c r="AS134" i="1" s="1"/>
  <c r="AR133" i="1"/>
  <c r="AP133" i="1"/>
  <c r="AQ133" i="1" s="1"/>
  <c r="AS133" i="1" s="1"/>
  <c r="AR132" i="1"/>
  <c r="AP132" i="1"/>
  <c r="AQ132" i="1" s="1"/>
  <c r="AS132" i="1" s="1"/>
  <c r="AR131" i="1"/>
  <c r="AQ131" i="1"/>
  <c r="AS131" i="1" s="1"/>
  <c r="AP131" i="1"/>
  <c r="AR130" i="1"/>
  <c r="AP130" i="1"/>
  <c r="AQ130" i="1" s="1"/>
  <c r="AS130" i="1" s="1"/>
  <c r="AR129" i="1"/>
  <c r="AP129" i="1"/>
  <c r="AQ129" i="1" s="1"/>
  <c r="AS129" i="1" s="1"/>
  <c r="AR128" i="1"/>
  <c r="AP128" i="1"/>
  <c r="AQ128" i="1" s="1"/>
  <c r="AS128" i="1" s="1"/>
  <c r="AR127" i="1"/>
  <c r="AP127" i="1"/>
  <c r="AQ127" i="1" s="1"/>
  <c r="AS127" i="1" s="1"/>
  <c r="AR126" i="1"/>
  <c r="AQ126" i="1"/>
  <c r="AS126" i="1" s="1"/>
  <c r="AP126" i="1"/>
  <c r="AR125" i="1"/>
  <c r="AP125" i="1"/>
  <c r="AQ125" i="1" s="1"/>
  <c r="AS125" i="1" s="1"/>
  <c r="AR124" i="1"/>
  <c r="AP124" i="1"/>
  <c r="AQ124" i="1" s="1"/>
  <c r="AS124" i="1" s="1"/>
  <c r="AR123" i="1"/>
  <c r="AP123" i="1"/>
  <c r="AQ123" i="1" s="1"/>
  <c r="AS123" i="1" s="1"/>
  <c r="AR122" i="1"/>
  <c r="AP122" i="1"/>
  <c r="AQ122" i="1" s="1"/>
  <c r="AS122" i="1" s="1"/>
  <c r="AR121" i="1"/>
  <c r="AQ121" i="1"/>
  <c r="AS121" i="1" s="1"/>
  <c r="AP121" i="1"/>
  <c r="AR120" i="1"/>
  <c r="AP120" i="1"/>
  <c r="AQ120" i="1" s="1"/>
  <c r="AS120" i="1" s="1"/>
  <c r="AR119" i="1"/>
  <c r="AP119" i="1"/>
  <c r="AQ119" i="1" s="1"/>
  <c r="AS119" i="1" s="1"/>
  <c r="AR118" i="1"/>
  <c r="AP118" i="1"/>
  <c r="AQ118" i="1" s="1"/>
  <c r="AS118" i="1" s="1"/>
  <c r="AR117" i="1"/>
  <c r="AP117" i="1"/>
  <c r="AQ117" i="1" s="1"/>
  <c r="AS117" i="1" s="1"/>
  <c r="AR116" i="1"/>
  <c r="AQ116" i="1"/>
  <c r="AS116" i="1" s="1"/>
  <c r="AP116" i="1"/>
  <c r="AR115" i="1"/>
  <c r="AP115" i="1"/>
  <c r="AQ115" i="1" s="1"/>
  <c r="AS115" i="1" s="1"/>
  <c r="AR114" i="1"/>
  <c r="AP114" i="1"/>
  <c r="AQ114" i="1" s="1"/>
  <c r="AS114" i="1" s="1"/>
  <c r="AR113" i="1"/>
  <c r="AP113" i="1"/>
  <c r="AQ113" i="1" s="1"/>
  <c r="AS113" i="1" s="1"/>
  <c r="AR112" i="1"/>
  <c r="AP112" i="1"/>
  <c r="AQ112" i="1" s="1"/>
  <c r="AS112" i="1" s="1"/>
  <c r="AR111" i="1"/>
  <c r="AQ111" i="1"/>
  <c r="AS111" i="1" s="1"/>
  <c r="AP111" i="1"/>
  <c r="AR110" i="1"/>
  <c r="AP110" i="1"/>
  <c r="AQ110" i="1" s="1"/>
  <c r="AS110" i="1" s="1"/>
  <c r="AR109" i="1"/>
  <c r="AP109" i="1"/>
  <c r="AQ109" i="1" s="1"/>
  <c r="AS109" i="1" s="1"/>
  <c r="AR108" i="1"/>
  <c r="AP108" i="1"/>
  <c r="AQ108" i="1" s="1"/>
  <c r="AS108" i="1" s="1"/>
  <c r="AR107" i="1"/>
  <c r="AP107" i="1"/>
  <c r="AQ107" i="1" s="1"/>
  <c r="AS107" i="1" s="1"/>
  <c r="AR106" i="1"/>
  <c r="AQ106" i="1"/>
  <c r="AS106" i="1" s="1"/>
  <c r="AP106" i="1"/>
  <c r="AR105" i="1"/>
  <c r="AP105" i="1"/>
  <c r="AQ105" i="1" s="1"/>
  <c r="AS105" i="1" s="1"/>
  <c r="AR104" i="1"/>
  <c r="AP104" i="1"/>
  <c r="AQ104" i="1" s="1"/>
  <c r="AS104" i="1" s="1"/>
  <c r="AR103" i="1"/>
  <c r="AP103" i="1"/>
  <c r="AQ103" i="1" s="1"/>
  <c r="AS103" i="1" s="1"/>
  <c r="AR102" i="1"/>
  <c r="AP102" i="1"/>
  <c r="AQ102" i="1" s="1"/>
  <c r="AS102" i="1" s="1"/>
  <c r="AR101" i="1"/>
  <c r="AQ101" i="1"/>
  <c r="AS101" i="1" s="1"/>
  <c r="AP101" i="1"/>
  <c r="AR100" i="1"/>
  <c r="AP100" i="1"/>
  <c r="AQ100" i="1" s="1"/>
  <c r="AS100" i="1" s="1"/>
  <c r="AR99" i="1"/>
  <c r="AP99" i="1"/>
  <c r="AQ99" i="1" s="1"/>
  <c r="AS99" i="1" s="1"/>
  <c r="AR98" i="1"/>
  <c r="AP98" i="1"/>
  <c r="AQ98" i="1" s="1"/>
  <c r="AS98" i="1" s="1"/>
  <c r="AR97" i="1"/>
  <c r="AP97" i="1"/>
  <c r="AQ97" i="1" s="1"/>
  <c r="AS97" i="1" s="1"/>
  <c r="AR96" i="1"/>
  <c r="AQ96" i="1"/>
  <c r="AS96" i="1" s="1"/>
  <c r="AP96" i="1"/>
  <c r="AR95" i="1"/>
  <c r="AP95" i="1"/>
  <c r="AQ95" i="1" s="1"/>
  <c r="AS95" i="1" s="1"/>
  <c r="AR94" i="1"/>
  <c r="AP94" i="1"/>
  <c r="AQ94" i="1" s="1"/>
  <c r="AS94" i="1" s="1"/>
  <c r="AR93" i="1"/>
  <c r="AP93" i="1"/>
  <c r="AQ93" i="1" s="1"/>
  <c r="AS93" i="1" s="1"/>
  <c r="AR92" i="1"/>
  <c r="AP92" i="1"/>
  <c r="AQ92" i="1" s="1"/>
  <c r="AS92" i="1" s="1"/>
  <c r="AR91" i="1"/>
  <c r="AQ91" i="1"/>
  <c r="AS91" i="1" s="1"/>
  <c r="AP91" i="1"/>
  <c r="AR90" i="1"/>
  <c r="AP90" i="1"/>
  <c r="AQ90" i="1" s="1"/>
  <c r="AS90" i="1" s="1"/>
  <c r="AR89" i="1"/>
  <c r="AP89" i="1"/>
  <c r="AQ89" i="1" s="1"/>
  <c r="AS89" i="1" s="1"/>
  <c r="AR88" i="1"/>
  <c r="AP88" i="1"/>
  <c r="AQ88" i="1" s="1"/>
  <c r="AS88" i="1" s="1"/>
  <c r="AR87" i="1"/>
  <c r="AP87" i="1"/>
  <c r="AQ87" i="1" s="1"/>
  <c r="AS87" i="1" s="1"/>
  <c r="AR86" i="1"/>
  <c r="AQ86" i="1"/>
  <c r="AS86" i="1" s="1"/>
  <c r="AP86" i="1"/>
  <c r="AR85" i="1"/>
  <c r="AP85" i="1"/>
  <c r="AQ85" i="1" s="1"/>
  <c r="AS85" i="1" s="1"/>
  <c r="AR84" i="1"/>
  <c r="AP84" i="1"/>
  <c r="AQ84" i="1" s="1"/>
  <c r="AS84" i="1" s="1"/>
  <c r="AR83" i="1"/>
  <c r="AP83" i="1"/>
  <c r="AQ83" i="1" s="1"/>
  <c r="AS83" i="1" s="1"/>
  <c r="AR82" i="1"/>
  <c r="AP82" i="1"/>
  <c r="AQ82" i="1" s="1"/>
  <c r="AS82" i="1" s="1"/>
  <c r="AR81" i="1"/>
  <c r="AQ81" i="1"/>
  <c r="AS81" i="1" s="1"/>
  <c r="AP81" i="1"/>
  <c r="AR80" i="1"/>
  <c r="AP80" i="1"/>
  <c r="AQ80" i="1" s="1"/>
  <c r="AS80" i="1" s="1"/>
  <c r="AR79" i="1"/>
  <c r="AP79" i="1"/>
  <c r="AQ79" i="1" s="1"/>
  <c r="AS79" i="1" s="1"/>
  <c r="AR78" i="1"/>
  <c r="AP78" i="1"/>
  <c r="AQ78" i="1" s="1"/>
  <c r="AS78" i="1" s="1"/>
  <c r="AR77" i="1"/>
  <c r="AP77" i="1"/>
  <c r="AQ77" i="1" s="1"/>
  <c r="AS77" i="1" s="1"/>
  <c r="AR76" i="1"/>
  <c r="AQ76" i="1"/>
  <c r="AS76" i="1" s="1"/>
  <c r="AP76" i="1"/>
  <c r="AR75" i="1"/>
  <c r="AP75" i="1"/>
  <c r="AQ75" i="1" s="1"/>
  <c r="AS75" i="1" s="1"/>
  <c r="AR74" i="1"/>
  <c r="AP74" i="1"/>
  <c r="AQ74" i="1" s="1"/>
  <c r="AS74" i="1" s="1"/>
  <c r="AR73" i="1"/>
  <c r="AP73" i="1"/>
  <c r="AQ73" i="1" s="1"/>
  <c r="AS73" i="1" s="1"/>
  <c r="AR72" i="1"/>
  <c r="AP72" i="1"/>
  <c r="AQ72" i="1" s="1"/>
  <c r="AS72" i="1" s="1"/>
  <c r="AR71" i="1"/>
  <c r="AQ71" i="1"/>
  <c r="AS71" i="1" s="1"/>
  <c r="AP71" i="1"/>
  <c r="AR70" i="1"/>
  <c r="AP70" i="1"/>
  <c r="AQ70" i="1" s="1"/>
  <c r="AS70" i="1" s="1"/>
  <c r="AR69" i="1"/>
  <c r="AP69" i="1"/>
  <c r="AQ69" i="1" s="1"/>
  <c r="AS69" i="1" s="1"/>
  <c r="AR68" i="1"/>
  <c r="AP68" i="1"/>
  <c r="AQ68" i="1" s="1"/>
  <c r="AS68" i="1" s="1"/>
  <c r="AR67" i="1"/>
  <c r="AP67" i="1"/>
  <c r="AQ67" i="1" s="1"/>
  <c r="AS67" i="1" s="1"/>
  <c r="AR66" i="1"/>
  <c r="AQ66" i="1"/>
  <c r="AS66" i="1" s="1"/>
  <c r="AP66" i="1"/>
  <c r="AR65" i="1"/>
  <c r="AP65" i="1"/>
  <c r="AQ65" i="1" s="1"/>
  <c r="AS65" i="1" s="1"/>
  <c r="AR64" i="1"/>
  <c r="AP64" i="1"/>
  <c r="AQ64" i="1" s="1"/>
  <c r="AS64" i="1" s="1"/>
  <c r="AR63" i="1"/>
  <c r="AP63" i="1"/>
  <c r="AQ63" i="1" s="1"/>
  <c r="AS63" i="1" s="1"/>
  <c r="AR62" i="1"/>
  <c r="AP62" i="1"/>
  <c r="AQ62" i="1" s="1"/>
  <c r="AS62" i="1" s="1"/>
  <c r="AR61" i="1"/>
  <c r="AQ61" i="1"/>
  <c r="AS61" i="1" s="1"/>
  <c r="AP61" i="1"/>
  <c r="AR60" i="1"/>
  <c r="AP60" i="1"/>
  <c r="AQ60" i="1" s="1"/>
  <c r="AS60" i="1" s="1"/>
  <c r="AR59" i="1"/>
  <c r="AP59" i="1"/>
  <c r="AQ59" i="1" s="1"/>
  <c r="AS59" i="1" s="1"/>
  <c r="AR58" i="1"/>
  <c r="AP58" i="1"/>
  <c r="AQ58" i="1" s="1"/>
  <c r="AS58" i="1" s="1"/>
  <c r="AR57" i="1"/>
  <c r="AP57" i="1"/>
  <c r="AQ57" i="1" s="1"/>
  <c r="AS57" i="1" s="1"/>
  <c r="AR56" i="1"/>
  <c r="AQ56" i="1"/>
  <c r="AS56" i="1" s="1"/>
  <c r="AP56" i="1"/>
  <c r="AR55" i="1"/>
  <c r="AP55" i="1"/>
  <c r="AQ55" i="1" s="1"/>
  <c r="AS55" i="1" s="1"/>
  <c r="AR54" i="1"/>
  <c r="AP54" i="1"/>
  <c r="AQ54" i="1" s="1"/>
  <c r="AS54" i="1" s="1"/>
  <c r="AR53" i="1"/>
  <c r="AP53" i="1"/>
  <c r="AQ53" i="1" s="1"/>
  <c r="AS53" i="1" s="1"/>
  <c r="AR52" i="1"/>
  <c r="AP52" i="1"/>
  <c r="AQ52" i="1" s="1"/>
  <c r="AS52" i="1" s="1"/>
  <c r="AR51" i="1"/>
  <c r="AQ51" i="1"/>
  <c r="AS51" i="1" s="1"/>
  <c r="AP51" i="1"/>
  <c r="AR50" i="1"/>
  <c r="AP50" i="1"/>
  <c r="AQ50" i="1" s="1"/>
  <c r="AS50" i="1" s="1"/>
  <c r="AR49" i="1"/>
  <c r="AP49" i="1"/>
  <c r="AQ49" i="1" s="1"/>
  <c r="AS49" i="1" s="1"/>
  <c r="AR48" i="1"/>
  <c r="AP48" i="1"/>
  <c r="AQ48" i="1" s="1"/>
  <c r="AS48" i="1" s="1"/>
  <c r="AR47" i="1"/>
  <c r="AP47" i="1"/>
  <c r="AQ47" i="1" s="1"/>
  <c r="AS47" i="1" s="1"/>
  <c r="AR46" i="1"/>
  <c r="AQ46" i="1"/>
  <c r="AS46" i="1" s="1"/>
  <c r="AP46" i="1"/>
  <c r="AR45" i="1"/>
  <c r="AP45" i="1"/>
  <c r="AQ45" i="1" s="1"/>
  <c r="AS45" i="1" s="1"/>
  <c r="AR44" i="1"/>
  <c r="AP44" i="1"/>
  <c r="AQ44" i="1" s="1"/>
  <c r="AS44" i="1" s="1"/>
  <c r="AR43" i="1"/>
  <c r="AP43" i="1"/>
  <c r="AQ43" i="1" s="1"/>
  <c r="AS43" i="1" s="1"/>
  <c r="AR42" i="1"/>
  <c r="AP42" i="1"/>
  <c r="AQ42" i="1" s="1"/>
  <c r="AS42" i="1" s="1"/>
  <c r="AR41" i="1"/>
  <c r="AQ41" i="1"/>
  <c r="AS41" i="1" s="1"/>
  <c r="AP41" i="1"/>
  <c r="AR40" i="1"/>
  <c r="AP40" i="1"/>
  <c r="AQ40" i="1" s="1"/>
  <c r="AS40" i="1" s="1"/>
  <c r="AR39" i="1"/>
  <c r="AP39" i="1"/>
  <c r="AQ39" i="1" s="1"/>
  <c r="AS39" i="1" s="1"/>
  <c r="AR38" i="1"/>
  <c r="AP38" i="1"/>
  <c r="AQ38" i="1" s="1"/>
  <c r="AS38" i="1" s="1"/>
  <c r="AR37" i="1"/>
  <c r="AP37" i="1"/>
  <c r="AQ37" i="1" s="1"/>
  <c r="AS37" i="1" s="1"/>
  <c r="AR36" i="1"/>
  <c r="AQ36" i="1"/>
  <c r="AS36" i="1" s="1"/>
  <c r="AP36" i="1"/>
  <c r="AR35" i="1"/>
  <c r="AP35" i="1"/>
  <c r="AQ35" i="1" s="1"/>
  <c r="AS35" i="1" s="1"/>
  <c r="AR34" i="1"/>
  <c r="AP34" i="1"/>
  <c r="AQ34" i="1" s="1"/>
  <c r="AS34" i="1" s="1"/>
  <c r="AR33" i="1"/>
  <c r="AP33" i="1"/>
  <c r="AQ33" i="1" s="1"/>
  <c r="AS33" i="1" s="1"/>
  <c r="AR32" i="1"/>
  <c r="AP32" i="1"/>
  <c r="AQ32" i="1" s="1"/>
  <c r="AS32" i="1" s="1"/>
  <c r="AR31" i="1"/>
  <c r="AQ31" i="1"/>
  <c r="AS31" i="1" s="1"/>
  <c r="AP31" i="1"/>
  <c r="AR30" i="1"/>
  <c r="AP30" i="1"/>
  <c r="AQ30" i="1" s="1"/>
  <c r="AS30" i="1" s="1"/>
  <c r="AR29" i="1"/>
  <c r="AP29" i="1"/>
  <c r="AQ29" i="1" s="1"/>
  <c r="AS29" i="1" s="1"/>
  <c r="AR28" i="1"/>
  <c r="AP28" i="1"/>
  <c r="AQ28" i="1" s="1"/>
  <c r="AS28" i="1" s="1"/>
  <c r="AR27" i="1"/>
  <c r="AP27" i="1"/>
  <c r="AQ27" i="1" s="1"/>
  <c r="AS27" i="1" s="1"/>
  <c r="AR26" i="1"/>
  <c r="AQ26" i="1"/>
  <c r="AS26" i="1" s="1"/>
  <c r="AP26" i="1"/>
  <c r="AR25" i="1"/>
  <c r="AP25" i="1"/>
  <c r="AQ25" i="1" s="1"/>
  <c r="AS25" i="1" s="1"/>
  <c r="AR24" i="1"/>
  <c r="AP24" i="1"/>
  <c r="AQ24" i="1" s="1"/>
  <c r="AS24" i="1" s="1"/>
  <c r="AR23" i="1"/>
  <c r="AP23" i="1"/>
  <c r="AQ23" i="1" s="1"/>
  <c r="AS23" i="1" s="1"/>
  <c r="AR22" i="1"/>
  <c r="AP22" i="1"/>
  <c r="AQ22" i="1" s="1"/>
  <c r="AS22" i="1" s="1"/>
  <c r="AR21" i="1"/>
  <c r="AQ21" i="1"/>
  <c r="AS21" i="1" s="1"/>
  <c r="AP21" i="1"/>
  <c r="AR20" i="1"/>
  <c r="AP20" i="1"/>
  <c r="AQ20" i="1" s="1"/>
  <c r="AS20" i="1" s="1"/>
  <c r="AR19" i="1"/>
  <c r="AP19" i="1"/>
  <c r="AQ19" i="1" s="1"/>
  <c r="AS19" i="1" s="1"/>
  <c r="AR18" i="1"/>
  <c r="AP18" i="1"/>
  <c r="AQ18" i="1" s="1"/>
  <c r="AS18" i="1" s="1"/>
  <c r="AR17" i="1"/>
  <c r="AP17" i="1"/>
  <c r="AQ17" i="1" s="1"/>
  <c r="AS17" i="1" s="1"/>
  <c r="AR16" i="1"/>
  <c r="AQ16" i="1"/>
  <c r="AS16" i="1" s="1"/>
  <c r="AP16" i="1"/>
  <c r="AR15" i="1"/>
  <c r="AP15" i="1"/>
  <c r="AQ15" i="1" s="1"/>
  <c r="AS15" i="1" s="1"/>
  <c r="AR14" i="1"/>
  <c r="AP14" i="1"/>
  <c r="AQ14" i="1" s="1"/>
  <c r="AS14" i="1" s="1"/>
  <c r="AR13" i="1"/>
  <c r="AP13" i="1"/>
  <c r="AQ13" i="1" s="1"/>
  <c r="AS13" i="1" s="1"/>
  <c r="AR12" i="1"/>
  <c r="AP12" i="1"/>
  <c r="AQ12" i="1" s="1"/>
  <c r="AS12" i="1" s="1"/>
  <c r="AR11" i="1"/>
  <c r="AQ11" i="1"/>
  <c r="AS11" i="1" s="1"/>
  <c r="AP11" i="1"/>
  <c r="AR10" i="1"/>
  <c r="AP10" i="1"/>
  <c r="AQ10" i="1" s="1"/>
  <c r="AS10" i="1" s="1"/>
  <c r="AR9" i="1"/>
  <c r="AP9" i="1"/>
  <c r="AQ9" i="1" s="1"/>
  <c r="AS9" i="1" s="1"/>
  <c r="AR8" i="1"/>
  <c r="AP8" i="1"/>
  <c r="AQ8" i="1" s="1"/>
  <c r="AS8" i="1" s="1"/>
  <c r="AR7" i="1"/>
  <c r="AP7" i="1"/>
  <c r="AQ7" i="1" s="1"/>
  <c r="AS7" i="1" s="1"/>
  <c r="AR6" i="1"/>
  <c r="AQ6" i="1"/>
  <c r="AS6" i="1" s="1"/>
  <c r="AP6" i="1"/>
  <c r="AR5" i="1"/>
  <c r="AP5" i="1"/>
  <c r="AQ5" i="1" s="1"/>
  <c r="AS5" i="1" s="1"/>
  <c r="I2" i="1"/>
  <c r="D2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<sst xmlns="http://schemas.openxmlformats.org/spreadsheetml/2006/main" count="3690" uniqueCount="1514">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</sst>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topLeftCell="E179" zoomScale="87" zoomScaleNormal="87" workbookViewId="0">
      <selection activeCell="AA222" sqref="AA222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59.42578125" style="50" bestFit="1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95" width="32.42578125" style="50" customWidth="1"/>
    <col min="196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OCTUBRE</v>
      </c>
      <c r="E2" s="76">
        <v>10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29.7</v>
      </c>
      <c r="L5" s="56">
        <v>29.4</v>
      </c>
      <c r="M5" s="56">
        <v>28.6</v>
      </c>
      <c r="N5" s="56">
        <v>29.3</v>
      </c>
      <c r="O5" s="56">
        <v>29.7</v>
      </c>
      <c r="P5" s="56">
        <v>29.4</v>
      </c>
      <c r="Q5" s="56">
        <v>29.4</v>
      </c>
      <c r="R5" s="56">
        <v>29</v>
      </c>
      <c r="S5" s="56">
        <v>28.9</v>
      </c>
      <c r="T5" s="56">
        <v>29.1</v>
      </c>
      <c r="U5" s="56">
        <v>29.9</v>
      </c>
      <c r="V5" s="56">
        <v>29.5</v>
      </c>
      <c r="W5" s="56">
        <v>28.9</v>
      </c>
      <c r="X5" s="56">
        <v>29.6</v>
      </c>
      <c r="Y5" s="56">
        <v>30</v>
      </c>
      <c r="Z5" s="56">
        <v>30</v>
      </c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16</v>
      </c>
      <c r="AQ5" s="71">
        <f t="shared" ref="AQ5:AQ68" si="1">IF(AP5&gt;14,AVERAGE(K5:AO5),"")</f>
        <v>29.4</v>
      </c>
      <c r="AR5" s="71">
        <f>IFERROR(VLOOKUP(A5,Climatologia_TMED!A:U,9+$E$2,FALSE),"")</f>
        <v>27.881000630194169</v>
      </c>
      <c r="AS5" s="71">
        <f t="shared" ref="AS5:AS68" si="2">IF(OR(AQ5="",AR5=""),"",IFERROR(AQ5-AR5,""))</f>
        <v>1.5189993698058295</v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</v>
      </c>
      <c r="L6" s="56">
        <v>28.9</v>
      </c>
      <c r="M6" s="56">
        <v>28.8</v>
      </c>
      <c r="N6" s="56">
        <v>29.3</v>
      </c>
      <c r="O6" s="56">
        <v>29.4</v>
      </c>
      <c r="P6" s="56">
        <v>28.3</v>
      </c>
      <c r="Q6" s="56">
        <v>29.1</v>
      </c>
      <c r="R6" s="56">
        <v>28.9</v>
      </c>
      <c r="S6" s="56">
        <v>28.7</v>
      </c>
      <c r="T6" s="56">
        <v>27.7</v>
      </c>
      <c r="U6" s="56">
        <v>29.6</v>
      </c>
      <c r="V6" s="56">
        <v>29.5</v>
      </c>
      <c r="W6" s="56">
        <v>28.9</v>
      </c>
      <c r="X6" s="56">
        <v>29</v>
      </c>
      <c r="Y6" s="56">
        <v>29.6</v>
      </c>
      <c r="Z6" s="56">
        <v>29.5</v>
      </c>
      <c r="AA6" s="56">
        <v>27.8</v>
      </c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17</v>
      </c>
      <c r="AQ6" s="71">
        <f t="shared" si="1"/>
        <v>28.941176470588239</v>
      </c>
      <c r="AR6" s="71">
        <f>IFERROR(VLOOKUP(A6,Climatologia_TMED!A:U,9+$E$2,FALSE),"")</f>
        <v>27.729629390681001</v>
      </c>
      <c r="AS6" s="71">
        <f t="shared" si="2"/>
        <v>1.2115470799072376</v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30.3</v>
      </c>
      <c r="L7" s="56">
        <v>30.7</v>
      </c>
      <c r="M7" s="56">
        <v>28.6</v>
      </c>
      <c r="N7" s="56">
        <v>28.7</v>
      </c>
      <c r="O7" s="56">
        <v>30.9</v>
      </c>
      <c r="P7" s="56">
        <v>29.7</v>
      </c>
      <c r="Q7" s="56">
        <v>29.5</v>
      </c>
      <c r="R7" s="56">
        <v>29.3</v>
      </c>
      <c r="S7" s="56">
        <v>31.4</v>
      </c>
      <c r="T7" s="56">
        <v>30.9</v>
      </c>
      <c r="U7" s="56">
        <v>31.4</v>
      </c>
      <c r="V7" s="56">
        <v>29.3</v>
      </c>
      <c r="W7" s="56">
        <v>28.2</v>
      </c>
      <c r="X7" s="56">
        <v>29.2</v>
      </c>
      <c r="Y7" s="56">
        <v>30.6</v>
      </c>
      <c r="Z7" s="56">
        <v>30.5</v>
      </c>
      <c r="AA7" s="56">
        <v>30.1</v>
      </c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17</v>
      </c>
      <c r="AQ7" s="71">
        <f t="shared" si="1"/>
        <v>29.958823529411763</v>
      </c>
      <c r="AR7" s="71">
        <f>IFERROR(VLOOKUP(A7,Climatologia_TMED!A:U,9+$E$2,FALSE),"")</f>
        <v>28.179117106951619</v>
      </c>
      <c r="AS7" s="71">
        <f t="shared" si="2"/>
        <v>1.7797064224601442</v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29.9</v>
      </c>
      <c r="L8" s="56">
        <v>31.1</v>
      </c>
      <c r="M8" s="56">
        <v>28.6</v>
      </c>
      <c r="N8" s="56">
        <v>29.8</v>
      </c>
      <c r="O8" s="56">
        <v>30.8</v>
      </c>
      <c r="P8" s="56">
        <v>29.1</v>
      </c>
      <c r="Q8" s="56">
        <v>27.6</v>
      </c>
      <c r="R8" s="56">
        <v>29</v>
      </c>
      <c r="S8" s="56">
        <v>30.4</v>
      </c>
      <c r="T8" s="56">
        <v>30.7</v>
      </c>
      <c r="U8" s="56">
        <v>30.5</v>
      </c>
      <c r="V8" s="56">
        <v>30.5</v>
      </c>
      <c r="W8" s="56">
        <v>27.7</v>
      </c>
      <c r="X8" s="56">
        <v>28.6</v>
      </c>
      <c r="Y8" s="56">
        <v>30.2</v>
      </c>
      <c r="Z8" s="56">
        <v>30.7</v>
      </c>
      <c r="AA8" s="56">
        <v>30.1</v>
      </c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17</v>
      </c>
      <c r="AQ8" s="71">
        <f t="shared" si="1"/>
        <v>29.723529411764702</v>
      </c>
      <c r="AR8" s="71">
        <f>IFERROR(VLOOKUP(A8,Climatologia_TMED!A:U,9+$E$2,FALSE),"")</f>
        <v>28.286533664480331</v>
      </c>
      <c r="AS8" s="71">
        <f t="shared" si="2"/>
        <v>1.4369957472843709</v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29</v>
      </c>
      <c r="L9" s="56">
        <v>30.5</v>
      </c>
      <c r="M9" s="56">
        <v>28.5</v>
      </c>
      <c r="N9" s="56">
        <v>29</v>
      </c>
      <c r="O9" s="56">
        <v>29</v>
      </c>
      <c r="P9" s="56">
        <v>28.6</v>
      </c>
      <c r="Q9" s="56">
        <v>28.3</v>
      </c>
      <c r="R9" s="56">
        <v>29.1</v>
      </c>
      <c r="S9" s="56">
        <v>31.1</v>
      </c>
      <c r="T9" s="56">
        <v>30.5</v>
      </c>
      <c r="U9" s="56">
        <v>30.7</v>
      </c>
      <c r="V9" s="56">
        <v>27.4</v>
      </c>
      <c r="W9" s="56">
        <v>27.3</v>
      </c>
      <c r="X9" s="56">
        <v>29.4</v>
      </c>
      <c r="Y9" s="56">
        <v>29.8</v>
      </c>
      <c r="Z9" s="56">
        <v>31.2</v>
      </c>
      <c r="AA9" s="56">
        <v>28.8</v>
      </c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17</v>
      </c>
      <c r="AQ9" s="71">
        <f t="shared" si="1"/>
        <v>29.305882352941175</v>
      </c>
      <c r="AR9" s="71">
        <f>IFERROR(VLOOKUP(A9,Climatologia_TMED!A:U,9+$E$2,FALSE),"")</f>
        <v>29.103848566308201</v>
      </c>
      <c r="AS9" s="71">
        <f t="shared" si="2"/>
        <v>0.202033786632974</v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30.5</v>
      </c>
      <c r="L10" s="56">
        <v>28.7</v>
      </c>
      <c r="M10" s="56">
        <v>29.1</v>
      </c>
      <c r="N10" s="56">
        <v>29.4</v>
      </c>
      <c r="O10" s="56">
        <v>33.1</v>
      </c>
      <c r="P10" s="56">
        <v>29.9</v>
      </c>
      <c r="Q10" s="56">
        <v>27.9</v>
      </c>
      <c r="R10" s="56">
        <v>28.9</v>
      </c>
      <c r="S10" s="56">
        <v>30</v>
      </c>
      <c r="T10" s="56">
        <v>32.4</v>
      </c>
      <c r="U10" s="56">
        <v>29.8</v>
      </c>
      <c r="V10" s="56"/>
      <c r="W10" s="56"/>
      <c r="X10" s="56">
        <v>29</v>
      </c>
      <c r="Y10" s="56">
        <v>31.2</v>
      </c>
      <c r="Z10" s="56">
        <v>31</v>
      </c>
      <c r="AA10" s="56">
        <v>31.1</v>
      </c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15</v>
      </c>
      <c r="AQ10" s="71">
        <f t="shared" si="1"/>
        <v>30.133333333333333</v>
      </c>
      <c r="AR10" s="71">
        <f>IFERROR(VLOOKUP(A10,Climatologia_TMED!A:U,9+$E$2,FALSE),"")</f>
        <v>28.122698839392388</v>
      </c>
      <c r="AS10" s="71">
        <f t="shared" si="2"/>
        <v>2.0106344939409446</v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29.5</v>
      </c>
      <c r="L11" s="56">
        <v>30.2</v>
      </c>
      <c r="M11" s="56">
        <v>27.9</v>
      </c>
      <c r="N11" s="56">
        <v>29.9</v>
      </c>
      <c r="O11" s="56">
        <v>30.7</v>
      </c>
      <c r="P11" s="56">
        <v>28.7</v>
      </c>
      <c r="Q11" s="56">
        <v>28.1</v>
      </c>
      <c r="R11" s="56">
        <v>29.6</v>
      </c>
      <c r="S11" s="56">
        <v>30.6</v>
      </c>
      <c r="T11" s="56">
        <v>30.9</v>
      </c>
      <c r="U11" s="56">
        <v>30</v>
      </c>
      <c r="V11" s="56">
        <v>27.1</v>
      </c>
      <c r="W11" s="56">
        <v>24.5</v>
      </c>
      <c r="X11" s="56">
        <v>28.3</v>
      </c>
      <c r="Y11" s="56">
        <v>30.9</v>
      </c>
      <c r="Z11" s="56">
        <v>31.6</v>
      </c>
      <c r="AA11" s="56">
        <v>27.6</v>
      </c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17</v>
      </c>
      <c r="AQ11" s="71">
        <f t="shared" si="1"/>
        <v>29.182352941176472</v>
      </c>
      <c r="AR11" s="71">
        <f>IFERROR(VLOOKUP(A11,Climatologia_TMED!A:U,9+$E$2,FALSE),"")</f>
        <v>27.709736758537161</v>
      </c>
      <c r="AS11" s="71">
        <f t="shared" si="2"/>
        <v>1.4726161826393103</v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30.3</v>
      </c>
      <c r="L12" s="56">
        <v>28.8</v>
      </c>
      <c r="M12" s="56"/>
      <c r="N12" s="56">
        <v>27.9</v>
      </c>
      <c r="O12" s="56">
        <v>29.8</v>
      </c>
      <c r="P12" s="56">
        <v>27.6</v>
      </c>
      <c r="Q12" s="56">
        <v>28.8</v>
      </c>
      <c r="R12" s="56">
        <v>27.4</v>
      </c>
      <c r="S12" s="56">
        <v>30.4</v>
      </c>
      <c r="T12" s="56">
        <v>29.6</v>
      </c>
      <c r="U12" s="56">
        <v>29.5</v>
      </c>
      <c r="V12" s="56">
        <v>29.6</v>
      </c>
      <c r="W12" s="56">
        <v>27.2</v>
      </c>
      <c r="X12" s="56">
        <v>29.8</v>
      </c>
      <c r="Y12" s="56">
        <v>29.9</v>
      </c>
      <c r="Z12" s="56">
        <v>28.9</v>
      </c>
      <c r="AA12" s="56">
        <v>26.5</v>
      </c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16</v>
      </c>
      <c r="AQ12" s="71">
        <f t="shared" si="1"/>
        <v>28.875</v>
      </c>
      <c r="AR12" s="71">
        <f>IFERROR(VLOOKUP(A12,Climatologia_TMED!A:U,9+$E$2,FALSE),"")</f>
        <v>27.557996852311359</v>
      </c>
      <c r="AS12" s="71">
        <f t="shared" si="2"/>
        <v>1.3170031476886415</v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28.6</v>
      </c>
      <c r="L13" s="56">
        <v>28.1</v>
      </c>
      <c r="M13" s="56">
        <v>27.3</v>
      </c>
      <c r="N13" s="56">
        <v>29.6</v>
      </c>
      <c r="O13" s="56">
        <v>30.8</v>
      </c>
      <c r="P13" s="56">
        <v>28.5</v>
      </c>
      <c r="Q13" s="56">
        <v>28.7</v>
      </c>
      <c r="R13" s="56">
        <v>29.8</v>
      </c>
      <c r="S13" s="56">
        <v>26.6</v>
      </c>
      <c r="T13" s="56">
        <v>27.6</v>
      </c>
      <c r="U13" s="56">
        <v>30.1</v>
      </c>
      <c r="V13" s="56">
        <v>25.2</v>
      </c>
      <c r="W13" s="56">
        <v>25.8</v>
      </c>
      <c r="X13" s="56">
        <v>28.5</v>
      </c>
      <c r="Y13" s="56">
        <v>29.9</v>
      </c>
      <c r="Z13" s="56">
        <v>29.4</v>
      </c>
      <c r="AA13" s="56">
        <v>27.7</v>
      </c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17</v>
      </c>
      <c r="AQ13" s="71">
        <f t="shared" si="1"/>
        <v>28.36470588235294</v>
      </c>
      <c r="AR13" s="71">
        <f>IFERROR(VLOOKUP(A13,Climatologia_TMED!A:U,9+$E$2,FALSE),"")</f>
        <v>27.382634408602119</v>
      </c>
      <c r="AS13" s="71">
        <f t="shared" si="2"/>
        <v>0.98207147375082116</v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23.7</v>
      </c>
      <c r="L14" s="56">
        <v>23.1</v>
      </c>
      <c r="M14" s="56">
        <v>21.9</v>
      </c>
      <c r="N14" s="56">
        <v>24.8</v>
      </c>
      <c r="O14" s="56">
        <v>24.5</v>
      </c>
      <c r="P14" s="56">
        <v>22.8</v>
      </c>
      <c r="Q14" s="56">
        <v>23.8</v>
      </c>
      <c r="R14" s="56">
        <v>22.9</v>
      </c>
      <c r="S14" s="56">
        <v>23.2</v>
      </c>
      <c r="T14" s="56">
        <v>23.4</v>
      </c>
      <c r="U14" s="56">
        <v>24.3</v>
      </c>
      <c r="V14" s="56">
        <v>20.5</v>
      </c>
      <c r="W14" s="56">
        <v>20.9</v>
      </c>
      <c r="X14" s="56">
        <v>23.3</v>
      </c>
      <c r="Y14" s="56">
        <v>24.6</v>
      </c>
      <c r="Z14" s="56">
        <v>23.9</v>
      </c>
      <c r="AA14" s="56">
        <v>23.7</v>
      </c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17</v>
      </c>
      <c r="AQ14" s="71">
        <f t="shared" si="1"/>
        <v>23.252941176470586</v>
      </c>
      <c r="AR14" s="71">
        <f>IFERROR(VLOOKUP(A14,Climatologia_TMED!A:U,9+$E$2,FALSE),"")</f>
        <v>21.259047860741401</v>
      </c>
      <c r="AS14" s="71">
        <f t="shared" si="2"/>
        <v>1.9938933157291849</v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29.8</v>
      </c>
      <c r="L15" s="56">
        <v>31.7</v>
      </c>
      <c r="M15" s="56">
        <v>30.6</v>
      </c>
      <c r="N15" s="56">
        <v>29</v>
      </c>
      <c r="O15" s="56">
        <v>30.2</v>
      </c>
      <c r="P15" s="56">
        <v>29.8</v>
      </c>
      <c r="Q15" s="56">
        <v>27.7</v>
      </c>
      <c r="R15" s="56">
        <v>31</v>
      </c>
      <c r="S15" s="56">
        <v>29.8</v>
      </c>
      <c r="T15" s="56">
        <v>28.7</v>
      </c>
      <c r="U15" s="56">
        <v>30</v>
      </c>
      <c r="V15" s="56">
        <v>28.6</v>
      </c>
      <c r="W15" s="56">
        <v>26.7</v>
      </c>
      <c r="X15" s="56">
        <v>29</v>
      </c>
      <c r="Y15" s="56">
        <v>31.1</v>
      </c>
      <c r="Z15" s="56">
        <v>31.6</v>
      </c>
      <c r="AA15" s="56">
        <v>30.3</v>
      </c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17</v>
      </c>
      <c r="AQ15" s="71">
        <f t="shared" si="1"/>
        <v>29.741176470588236</v>
      </c>
      <c r="AR15" s="71">
        <f>IFERROR(VLOOKUP(A15,Climatologia_TMED!A:U,9+$E$2,FALSE),"")</f>
        <v>27.673047235023031</v>
      </c>
      <c r="AS15" s="71">
        <f t="shared" si="2"/>
        <v>2.0681292355652054</v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29.4</v>
      </c>
      <c r="L16" s="56">
        <v>28.5</v>
      </c>
      <c r="M16" s="56">
        <v>23.5</v>
      </c>
      <c r="N16" s="56">
        <v>27</v>
      </c>
      <c r="O16" s="56">
        <v>30.3</v>
      </c>
      <c r="P16" s="56">
        <v>26.6</v>
      </c>
      <c r="Q16" s="56">
        <v>28.3</v>
      </c>
      <c r="R16" s="56">
        <v>29</v>
      </c>
      <c r="S16" s="56">
        <v>29.1</v>
      </c>
      <c r="T16" s="56">
        <v>29</v>
      </c>
      <c r="U16" s="56">
        <v>27.6</v>
      </c>
      <c r="V16" s="56">
        <v>25.4</v>
      </c>
      <c r="W16" s="56">
        <v>25.5</v>
      </c>
      <c r="X16" s="56">
        <v>28.9</v>
      </c>
      <c r="Y16" s="56">
        <v>29.9</v>
      </c>
      <c r="Z16" s="56">
        <v>28.7</v>
      </c>
      <c r="AA16" s="56">
        <v>28.5</v>
      </c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17</v>
      </c>
      <c r="AQ16" s="71">
        <f t="shared" si="1"/>
        <v>27.952941176470588</v>
      </c>
      <c r="AR16" s="71">
        <f>IFERROR(VLOOKUP(A16,Climatologia_TMED!A:U,9+$E$2,FALSE),"")</f>
        <v>27.20826867240342</v>
      </c>
      <c r="AS16" s="71">
        <f t="shared" si="2"/>
        <v>0.74467250406716801</v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23.1</v>
      </c>
      <c r="L17" s="56">
        <v>24</v>
      </c>
      <c r="M17" s="56">
        <v>23</v>
      </c>
      <c r="N17" s="56">
        <v>24.5</v>
      </c>
      <c r="O17" s="56">
        <v>23.7</v>
      </c>
      <c r="P17" s="56">
        <v>22.7</v>
      </c>
      <c r="Q17" s="56">
        <v>22.9</v>
      </c>
      <c r="R17" s="56">
        <v>22.5</v>
      </c>
      <c r="S17" s="56">
        <v>22.6</v>
      </c>
      <c r="T17" s="56">
        <v>21.9</v>
      </c>
      <c r="U17" s="56">
        <v>24</v>
      </c>
      <c r="V17" s="56">
        <v>19</v>
      </c>
      <c r="W17" s="56">
        <v>19.899999999999999</v>
      </c>
      <c r="X17" s="56">
        <v>24.1</v>
      </c>
      <c r="Y17" s="56">
        <v>26.5</v>
      </c>
      <c r="Z17" s="56">
        <v>21.7</v>
      </c>
      <c r="AA17" s="56">
        <v>24.1</v>
      </c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17</v>
      </c>
      <c r="AQ17" s="71">
        <f t="shared" si="1"/>
        <v>22.952941176470588</v>
      </c>
      <c r="AR17" s="71">
        <f>IFERROR(VLOOKUP(A17,Climatologia_TMED!A:U,9+$E$2,FALSE),"")</f>
        <v>22.205912124582859</v>
      </c>
      <c r="AS17" s="71">
        <f t="shared" si="2"/>
        <v>0.74702905188772917</v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19.100000000000001</v>
      </c>
      <c r="L18" s="56">
        <v>18.899999999999999</v>
      </c>
      <c r="M18" s="56">
        <v>18.399999999999999</v>
      </c>
      <c r="N18" s="56">
        <v>19.3</v>
      </c>
      <c r="O18" s="56">
        <v>18.600000000000001</v>
      </c>
      <c r="P18" s="56">
        <v>18.600000000000001</v>
      </c>
      <c r="Q18" s="56">
        <v>18.100000000000001</v>
      </c>
      <c r="R18" s="56">
        <v>16.5</v>
      </c>
      <c r="S18" s="56">
        <v>20</v>
      </c>
      <c r="T18" s="56">
        <v>18.3</v>
      </c>
      <c r="U18" s="56">
        <v>18.8</v>
      </c>
      <c r="V18" s="56">
        <v>16</v>
      </c>
      <c r="W18" s="56">
        <v>16</v>
      </c>
      <c r="X18" s="56">
        <v>18.2</v>
      </c>
      <c r="Y18" s="56">
        <v>20.9</v>
      </c>
      <c r="Z18" s="56">
        <v>17.600000000000001</v>
      </c>
      <c r="AA18" s="56">
        <v>18.5</v>
      </c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17</v>
      </c>
      <c r="AQ18" s="71">
        <f t="shared" si="1"/>
        <v>18.341176470588238</v>
      </c>
      <c r="AR18" s="71">
        <f>IFERROR(VLOOKUP(A18,Climatologia_TMED!A:U,9+$E$2,FALSE),"")</f>
        <v>16.702332904784161</v>
      </c>
      <c r="AS18" s="71">
        <f t="shared" si="2"/>
        <v>1.638843565804077</v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23.7</v>
      </c>
      <c r="L19" s="56">
        <v>22.6</v>
      </c>
      <c r="M19" s="56">
        <v>22.1</v>
      </c>
      <c r="N19" s="56">
        <v>23.7</v>
      </c>
      <c r="O19" s="56">
        <v>24.1</v>
      </c>
      <c r="P19" s="56">
        <v>21.9</v>
      </c>
      <c r="Q19" s="56">
        <v>22.5</v>
      </c>
      <c r="R19" s="56">
        <v>22.8</v>
      </c>
      <c r="S19" s="56">
        <v>21.7</v>
      </c>
      <c r="T19" s="56">
        <v>21.6</v>
      </c>
      <c r="U19" s="56">
        <v>23.3</v>
      </c>
      <c r="V19" s="56">
        <v>21</v>
      </c>
      <c r="W19" s="56">
        <v>21.3</v>
      </c>
      <c r="X19" s="56">
        <v>23.4</v>
      </c>
      <c r="Y19" s="56">
        <v>26.3</v>
      </c>
      <c r="Z19" s="56">
        <v>22</v>
      </c>
      <c r="AA19" s="56">
        <v>23.3</v>
      </c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17</v>
      </c>
      <c r="AQ19" s="71">
        <f t="shared" si="1"/>
        <v>22.78235294117647</v>
      </c>
      <c r="AR19" s="71">
        <f>IFERROR(VLOOKUP(A19,Climatologia_TMED!A:U,9+$E$2,FALSE),"")</f>
        <v>21.27792338709677</v>
      </c>
      <c r="AS19" s="71">
        <f t="shared" si="2"/>
        <v>1.5044295540796995</v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23.3</v>
      </c>
      <c r="L20" s="56">
        <v>23.1</v>
      </c>
      <c r="M20" s="56">
        <v>23.1</v>
      </c>
      <c r="N20" s="56">
        <v>23.4</v>
      </c>
      <c r="O20" s="56">
        <v>24.7</v>
      </c>
      <c r="P20" s="56">
        <v>23.4</v>
      </c>
      <c r="Q20" s="56">
        <v>22.1</v>
      </c>
      <c r="R20" s="56">
        <v>22.7</v>
      </c>
      <c r="S20" s="56">
        <v>22.5</v>
      </c>
      <c r="T20" s="56">
        <v>22.7</v>
      </c>
      <c r="U20" s="56">
        <v>22.8</v>
      </c>
      <c r="V20" s="56">
        <v>21.1</v>
      </c>
      <c r="W20" s="56">
        <v>21</v>
      </c>
      <c r="X20" s="56">
        <v>22.9</v>
      </c>
      <c r="Y20" s="56">
        <v>25.7</v>
      </c>
      <c r="Z20" s="56">
        <v>23.1</v>
      </c>
      <c r="AA20" s="56">
        <v>22.6</v>
      </c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17</v>
      </c>
      <c r="AQ20" s="71">
        <f t="shared" si="1"/>
        <v>22.952941176470588</v>
      </c>
      <c r="AR20" s="71">
        <f>IFERROR(VLOOKUP(A20,Climatologia_TMED!A:U,9+$E$2,FALSE),"")</f>
        <v>21.607575757575749</v>
      </c>
      <c r="AS20" s="71">
        <f t="shared" si="2"/>
        <v>1.3453654188948398</v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24.9</v>
      </c>
      <c r="L21" s="56">
        <v>23.8</v>
      </c>
      <c r="M21" s="56">
        <v>24.4</v>
      </c>
      <c r="N21" s="56">
        <v>25</v>
      </c>
      <c r="O21" s="56">
        <v>26.6</v>
      </c>
      <c r="P21" s="56">
        <v>26.6</v>
      </c>
      <c r="Q21" s="56">
        <v>24.1</v>
      </c>
      <c r="R21" s="56">
        <v>24.7</v>
      </c>
      <c r="S21" s="56">
        <v>24.8</v>
      </c>
      <c r="T21" s="56">
        <v>23.5</v>
      </c>
      <c r="U21" s="56">
        <v>26.1</v>
      </c>
      <c r="V21" s="56">
        <v>22.9</v>
      </c>
      <c r="W21" s="56">
        <v>23.5</v>
      </c>
      <c r="X21" s="56">
        <v>25.9</v>
      </c>
      <c r="Y21" s="56">
        <v>27</v>
      </c>
      <c r="Z21" s="56">
        <v>26.1</v>
      </c>
      <c r="AA21" s="56">
        <v>26.8</v>
      </c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17</v>
      </c>
      <c r="AQ21" s="71">
        <f t="shared" si="1"/>
        <v>25.099999999999998</v>
      </c>
      <c r="AR21" s="71">
        <f>IFERROR(VLOOKUP(A21,Climatologia_TMED!A:U,9+$E$2,FALSE),"")</f>
        <v>23.654690396737109</v>
      </c>
      <c r="AS21" s="71">
        <f t="shared" si="2"/>
        <v>1.4453096032628885</v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16.3</v>
      </c>
      <c r="L22" s="56">
        <v>15.9</v>
      </c>
      <c r="M22" s="56">
        <v>16</v>
      </c>
      <c r="N22" s="56">
        <v>16.100000000000001</v>
      </c>
      <c r="O22" s="56">
        <v>17.3</v>
      </c>
      <c r="P22" s="56">
        <v>16.7</v>
      </c>
      <c r="Q22" s="56">
        <v>16.5</v>
      </c>
      <c r="R22" s="56">
        <v>15.2</v>
      </c>
      <c r="S22" s="56">
        <v>16.3</v>
      </c>
      <c r="T22" s="56">
        <v>15.4</v>
      </c>
      <c r="U22" s="56">
        <v>16.5</v>
      </c>
      <c r="V22" s="56">
        <v>14</v>
      </c>
      <c r="W22" s="56">
        <v>14.8</v>
      </c>
      <c r="X22" s="56">
        <v>14.9</v>
      </c>
      <c r="Y22" s="56">
        <v>18.5</v>
      </c>
      <c r="Z22" s="56">
        <v>16.100000000000001</v>
      </c>
      <c r="AA22" s="56">
        <v>16.7</v>
      </c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17</v>
      </c>
      <c r="AQ22" s="71">
        <f t="shared" si="1"/>
        <v>16.070588235294121</v>
      </c>
      <c r="AR22" s="71">
        <f>IFERROR(VLOOKUP(A22,Climatologia_TMED!A:U,9+$E$2,FALSE),"")</f>
        <v>13.74946812596005</v>
      </c>
      <c r="AS22" s="71">
        <f t="shared" si="2"/>
        <v>2.3211201093340712</v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25.3</v>
      </c>
      <c r="L23" s="56">
        <v>23.1</v>
      </c>
      <c r="M23" s="56">
        <v>23.8</v>
      </c>
      <c r="N23" s="56">
        <v>23.6</v>
      </c>
      <c r="O23" s="56">
        <v>26</v>
      </c>
      <c r="P23" s="56">
        <v>25</v>
      </c>
      <c r="Q23" s="56">
        <v>24.2</v>
      </c>
      <c r="R23" s="56">
        <v>23.9</v>
      </c>
      <c r="S23" s="56">
        <v>25.1</v>
      </c>
      <c r="T23" s="56">
        <v>23.1</v>
      </c>
      <c r="U23" s="56">
        <v>24.2</v>
      </c>
      <c r="V23" s="56">
        <v>22.6</v>
      </c>
      <c r="W23" s="56">
        <v>23.7</v>
      </c>
      <c r="X23" s="56">
        <v>25.4</v>
      </c>
      <c r="Y23" s="56">
        <v>27.4</v>
      </c>
      <c r="Z23" s="56">
        <v>25</v>
      </c>
      <c r="AA23" s="56">
        <v>26.3</v>
      </c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17</v>
      </c>
      <c r="AQ23" s="71">
        <f t="shared" si="1"/>
        <v>24.570588235294117</v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28.3</v>
      </c>
      <c r="L24" s="56">
        <v>28</v>
      </c>
      <c r="M24" s="56">
        <v>29.5</v>
      </c>
      <c r="N24" s="56">
        <v>29.6</v>
      </c>
      <c r="O24" s="56">
        <v>31.5</v>
      </c>
      <c r="P24" s="56">
        <v>31.2</v>
      </c>
      <c r="Q24" s="56">
        <v>29.2</v>
      </c>
      <c r="R24" s="56">
        <v>28.8</v>
      </c>
      <c r="S24" s="56">
        <v>31.3</v>
      </c>
      <c r="T24" s="56">
        <v>29.3</v>
      </c>
      <c r="U24" s="56">
        <v>29.1</v>
      </c>
      <c r="V24" s="56">
        <v>28.7</v>
      </c>
      <c r="W24" s="56">
        <v>27.8</v>
      </c>
      <c r="X24" s="56">
        <v>29.7</v>
      </c>
      <c r="Y24" s="56">
        <v>32.200000000000003</v>
      </c>
      <c r="Z24" s="56">
        <v>31.6</v>
      </c>
      <c r="AA24" s="56">
        <v>30.8</v>
      </c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17</v>
      </c>
      <c r="AQ24" s="71">
        <f t="shared" si="1"/>
        <v>29.8</v>
      </c>
      <c r="AR24" s="71">
        <f>IFERROR(VLOOKUP(A24,Climatologia_TMED!A:U,9+$E$2,FALSE),"")</f>
        <v>28.253813918757459</v>
      </c>
      <c r="AS24" s="71">
        <f t="shared" si="2"/>
        <v>1.5461860812425421</v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20.3</v>
      </c>
      <c r="L25" s="56">
        <v>18.7</v>
      </c>
      <c r="M25" s="56">
        <v>19.600000000000001</v>
      </c>
      <c r="N25" s="56">
        <v>21</v>
      </c>
      <c r="O25" s="56">
        <v>20.5</v>
      </c>
      <c r="P25" s="56">
        <v>20.6</v>
      </c>
      <c r="Q25" s="56">
        <v>20.2</v>
      </c>
      <c r="R25" s="56">
        <v>18.600000000000001</v>
      </c>
      <c r="S25" s="56">
        <v>20.9</v>
      </c>
      <c r="T25" s="56">
        <v>20.8</v>
      </c>
      <c r="U25" s="56">
        <v>19.5</v>
      </c>
      <c r="V25" s="56">
        <v>18.2</v>
      </c>
      <c r="W25" s="56">
        <v>18.8</v>
      </c>
      <c r="X25" s="56">
        <v>21.3</v>
      </c>
      <c r="Y25" s="56">
        <v>24.4</v>
      </c>
      <c r="Z25" s="56">
        <v>19.8</v>
      </c>
      <c r="AA25" s="56">
        <v>20.5</v>
      </c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17</v>
      </c>
      <c r="AQ25" s="71">
        <f t="shared" si="1"/>
        <v>20.21764705882353</v>
      </c>
      <c r="AR25" s="71">
        <f>IFERROR(VLOOKUP(A25,Climatologia_TMED!A:U,9+$E$2,FALSE),"")</f>
        <v>18.986103909450769</v>
      </c>
      <c r="AS25" s="71">
        <f t="shared" si="2"/>
        <v>1.2315431493727615</v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12.7</v>
      </c>
      <c r="L26" s="56">
        <v>11.4</v>
      </c>
      <c r="M26" s="56">
        <v>12.1</v>
      </c>
      <c r="N26" s="56">
        <v>13.5</v>
      </c>
      <c r="O26" s="56">
        <v>13.7</v>
      </c>
      <c r="P26" s="56">
        <v>14.1</v>
      </c>
      <c r="Q26" s="56">
        <v>14.3</v>
      </c>
      <c r="R26" s="56">
        <v>12.1</v>
      </c>
      <c r="S26" s="56">
        <v>12.7</v>
      </c>
      <c r="T26" s="56">
        <v>13.7</v>
      </c>
      <c r="U26" s="56">
        <v>11.8</v>
      </c>
      <c r="V26" s="56">
        <v>11.3</v>
      </c>
      <c r="W26" s="56">
        <v>14.1</v>
      </c>
      <c r="X26" s="56">
        <v>13</v>
      </c>
      <c r="Y26" s="56">
        <v>13.1</v>
      </c>
      <c r="Z26" s="56">
        <v>12</v>
      </c>
      <c r="AA26" s="56">
        <v>11.9</v>
      </c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17</v>
      </c>
      <c r="AQ26" s="71">
        <f t="shared" si="1"/>
        <v>12.794117647058824</v>
      </c>
      <c r="AR26" s="71">
        <f>IFERROR(VLOOKUP(A26,Climatologia_TMED!A:U,9+$E$2,FALSE),"")</f>
        <v>11.362154377880151</v>
      </c>
      <c r="AS26" s="71">
        <f t="shared" si="2"/>
        <v>1.4319632691786737</v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29.9</v>
      </c>
      <c r="L27" s="56">
        <v>26</v>
      </c>
      <c r="M27" s="56">
        <v>25.7</v>
      </c>
      <c r="N27" s="56">
        <v>28.8</v>
      </c>
      <c r="O27" s="56">
        <v>29.5</v>
      </c>
      <c r="P27" s="56">
        <v>25.5</v>
      </c>
      <c r="Q27" s="56">
        <v>28.4</v>
      </c>
      <c r="R27" s="56">
        <v>28.5</v>
      </c>
      <c r="S27" s="56">
        <v>28.9</v>
      </c>
      <c r="T27" s="56">
        <v>27.3</v>
      </c>
      <c r="U27" s="56">
        <v>26.8</v>
      </c>
      <c r="V27" s="56">
        <v>25.5</v>
      </c>
      <c r="W27" s="56">
        <v>25.3</v>
      </c>
      <c r="X27" s="56">
        <v>28.9</v>
      </c>
      <c r="Y27" s="56">
        <v>29.8</v>
      </c>
      <c r="Z27" s="56">
        <v>24.3</v>
      </c>
      <c r="AA27" s="56">
        <v>27.9</v>
      </c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17</v>
      </c>
      <c r="AQ27" s="71">
        <f t="shared" si="1"/>
        <v>27.470588235294116</v>
      </c>
      <c r="AR27" s="71">
        <f>IFERROR(VLOOKUP(A27,Climatologia_TMED!A:U,9+$E$2,FALSE),"")</f>
        <v>26.428489988876521</v>
      </c>
      <c r="AS27" s="71">
        <f t="shared" si="2"/>
        <v>1.042098246417595</v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28</v>
      </c>
      <c r="L28" s="99">
        <v>25.4</v>
      </c>
      <c r="M28" s="56">
        <v>29.2</v>
      </c>
      <c r="N28" s="56">
        <v>29.3</v>
      </c>
      <c r="O28" s="56">
        <v>30.3</v>
      </c>
      <c r="P28" s="56">
        <v>32.1</v>
      </c>
      <c r="Q28" s="56">
        <v>26.1</v>
      </c>
      <c r="R28" s="56">
        <v>28.6</v>
      </c>
      <c r="S28" s="56">
        <v>29.5</v>
      </c>
      <c r="T28" s="56">
        <v>30.1</v>
      </c>
      <c r="U28" s="56">
        <v>25.7</v>
      </c>
      <c r="V28" s="56">
        <v>28.9</v>
      </c>
      <c r="W28" s="56">
        <v>28.8</v>
      </c>
      <c r="X28" s="56">
        <v>29.4</v>
      </c>
      <c r="Y28" s="56">
        <v>29.2</v>
      </c>
      <c r="Z28" s="56">
        <v>29.3</v>
      </c>
      <c r="AA28" s="56">
        <v>28.8</v>
      </c>
      <c r="AB28" s="56"/>
      <c r="AC28" s="56"/>
      <c r="AD28" s="56"/>
      <c r="AE28" s="56"/>
      <c r="AF28" s="56"/>
      <c r="AG28" s="56"/>
      <c r="AH28" s="99"/>
      <c r="AI28" s="56"/>
      <c r="AJ28" s="56"/>
      <c r="AK28" s="56"/>
      <c r="AL28" s="56"/>
      <c r="AM28" s="56"/>
      <c r="AN28" s="56"/>
      <c r="AO28" s="56"/>
      <c r="AP28" s="58">
        <f t="shared" si="0"/>
        <v>17</v>
      </c>
      <c r="AQ28" s="71">
        <f t="shared" si="1"/>
        <v>28.747058823529411</v>
      </c>
      <c r="AR28" s="71">
        <f>IFERROR(VLOOKUP(A28,Climatologia_TMED!A:U,9+$E$2,FALSE),"")</f>
        <v>26.85779444357868</v>
      </c>
      <c r="AS28" s="71">
        <f t="shared" si="2"/>
        <v>1.8892643799507312</v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29.1</v>
      </c>
      <c r="L29" s="56">
        <v>28.9</v>
      </c>
      <c r="M29" s="56">
        <v>30</v>
      </c>
      <c r="N29" s="56">
        <v>30.8</v>
      </c>
      <c r="O29" s="56">
        <v>30.9</v>
      </c>
      <c r="P29" s="56">
        <v>30</v>
      </c>
      <c r="Q29" s="56">
        <v>27.9</v>
      </c>
      <c r="R29" s="56">
        <v>28.9</v>
      </c>
      <c r="S29" s="56">
        <v>29.3</v>
      </c>
      <c r="T29" s="56">
        <v>29.6</v>
      </c>
      <c r="U29" s="56">
        <v>28.7</v>
      </c>
      <c r="V29" s="56">
        <v>29</v>
      </c>
      <c r="W29" s="56">
        <v>29.5</v>
      </c>
      <c r="X29" s="56">
        <v>28.9</v>
      </c>
      <c r="Y29" s="56">
        <v>29</v>
      </c>
      <c r="Z29" s="56">
        <v>30</v>
      </c>
      <c r="AA29" s="56">
        <v>30.2</v>
      </c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17</v>
      </c>
      <c r="AQ29" s="71">
        <f t="shared" si="1"/>
        <v>29.452941176470588</v>
      </c>
      <c r="AR29" s="71">
        <f>IFERROR(VLOOKUP(A29,Climatologia_TMED!A:U,9+$E$2,FALSE),"")</f>
        <v>28.371190211345901</v>
      </c>
      <c r="AS29" s="71">
        <f t="shared" si="2"/>
        <v>1.0817509651246873</v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26.3</v>
      </c>
      <c r="L30" s="56">
        <v>24.1</v>
      </c>
      <c r="M30" s="56">
        <v>25.9</v>
      </c>
      <c r="N30" s="56">
        <v>28.7</v>
      </c>
      <c r="O30" s="56">
        <v>28</v>
      </c>
      <c r="P30" s="56">
        <v>27.8</v>
      </c>
      <c r="Q30" s="56">
        <v>24.9</v>
      </c>
      <c r="R30" s="56">
        <v>27.7</v>
      </c>
      <c r="S30" s="56">
        <v>26.7</v>
      </c>
      <c r="T30" s="56">
        <v>25.5</v>
      </c>
      <c r="U30" s="56">
        <v>26.6</v>
      </c>
      <c r="V30" s="56">
        <v>25.9</v>
      </c>
      <c r="W30" s="56">
        <v>27</v>
      </c>
      <c r="X30" s="56">
        <v>28.2</v>
      </c>
      <c r="Y30" s="56">
        <v>27.6</v>
      </c>
      <c r="Z30" s="56">
        <v>29.5</v>
      </c>
      <c r="AA30" s="56">
        <v>27.2</v>
      </c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17</v>
      </c>
      <c r="AQ30" s="71">
        <f t="shared" si="1"/>
        <v>26.91764705882353</v>
      </c>
      <c r="AR30" s="71">
        <f>IFERROR(VLOOKUP(A30,Climatologia_TMED!A:U,9+$E$2,FALSE),"")</f>
        <v>25.87283273596173</v>
      </c>
      <c r="AS30" s="71">
        <f t="shared" si="2"/>
        <v>1.0448143228618001</v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27.3</v>
      </c>
      <c r="L31" s="98">
        <v>27.2</v>
      </c>
      <c r="M31" s="98">
        <v>27.8</v>
      </c>
      <c r="N31" s="98">
        <v>28.4</v>
      </c>
      <c r="O31" s="98">
        <v>28.7</v>
      </c>
      <c r="P31" s="98">
        <v>30.2</v>
      </c>
      <c r="Q31" s="98">
        <v>28.4</v>
      </c>
      <c r="R31" s="98">
        <v>28.8</v>
      </c>
      <c r="S31" s="98">
        <v>27.4</v>
      </c>
      <c r="T31" s="98">
        <v>27.6</v>
      </c>
      <c r="U31" s="98">
        <v>29.2</v>
      </c>
      <c r="V31" s="98">
        <v>28.6</v>
      </c>
      <c r="W31" s="98">
        <v>28.4</v>
      </c>
      <c r="X31" s="98">
        <v>27.2</v>
      </c>
      <c r="Y31" s="98">
        <v>28.4</v>
      </c>
      <c r="Z31" s="98">
        <v>28.9</v>
      </c>
      <c r="AA31" s="98">
        <v>27.2</v>
      </c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17</v>
      </c>
      <c r="AQ31" s="71">
        <f t="shared" si="1"/>
        <v>28.217647058823527</v>
      </c>
      <c r="AR31" s="71">
        <f>IFERROR(VLOOKUP(A31,Climatologia_TMED!A:U,9+$E$2,FALSE),"")</f>
        <v>26.594523775388289</v>
      </c>
      <c r="AS31" s="71">
        <f t="shared" si="2"/>
        <v>1.6231232834352376</v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19.399999999999999</v>
      </c>
      <c r="L32" s="56">
        <v>20</v>
      </c>
      <c r="M32" s="56">
        <v>20.466666666666669</v>
      </c>
      <c r="N32" s="56">
        <v>19.399999999999999</v>
      </c>
      <c r="O32" s="56">
        <v>19.533333333333331</v>
      </c>
      <c r="P32" s="56">
        <v>19.399999999999999</v>
      </c>
      <c r="Q32" s="56">
        <v>20.466666666666669</v>
      </c>
      <c r="R32" s="56">
        <v>20.2</v>
      </c>
      <c r="S32" s="56">
        <v>19.266666666666669</v>
      </c>
      <c r="T32" s="56">
        <v>19.600000000000001</v>
      </c>
      <c r="U32" s="56">
        <v>20.06666666666667</v>
      </c>
      <c r="V32" s="56">
        <v>19.86666666666666</v>
      </c>
      <c r="W32" s="56">
        <v>19.06666666666667</v>
      </c>
      <c r="X32" s="56">
        <v>19.333333333333329</v>
      </c>
      <c r="Y32" s="56">
        <v>19.63333333333334</v>
      </c>
      <c r="Z32" s="56">
        <v>20.533333333333331</v>
      </c>
      <c r="AA32" s="56">
        <v>19.333333333333329</v>
      </c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17</v>
      </c>
      <c r="AQ32" s="71">
        <f t="shared" si="1"/>
        <v>19.739215686274502</v>
      </c>
      <c r="AR32" s="71">
        <f>IFERROR(VLOOKUP(A32,Climatologia_TMED!A:U,9+$E$2,FALSE),"")</f>
        <v>17.254437895100601</v>
      </c>
      <c r="AS32" s="71">
        <f t="shared" si="2"/>
        <v>2.4847777911739009</v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28.75</v>
      </c>
      <c r="L33" s="56">
        <v>26.9</v>
      </c>
      <c r="M33" s="56">
        <v>24.1</v>
      </c>
      <c r="N33" s="56">
        <v>28.15</v>
      </c>
      <c r="O33" s="56">
        <v>29.25</v>
      </c>
      <c r="P33" s="56">
        <v>27.3</v>
      </c>
      <c r="Q33" s="56">
        <v>27.9</v>
      </c>
      <c r="R33" s="56">
        <v>28.75</v>
      </c>
      <c r="S33" s="56">
        <v>27.85</v>
      </c>
      <c r="T33" s="56">
        <v>28.2</v>
      </c>
      <c r="U33" s="56">
        <v>26.95</v>
      </c>
      <c r="V33" s="56">
        <v>25.4</v>
      </c>
      <c r="W33" s="56">
        <v>25.35</v>
      </c>
      <c r="X33" s="56">
        <v>28</v>
      </c>
      <c r="Y33" s="56">
        <v>29.05</v>
      </c>
      <c r="Z33" s="56">
        <v>28.4</v>
      </c>
      <c r="AA33" s="56">
        <v>28.4</v>
      </c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17</v>
      </c>
      <c r="AQ33" s="71">
        <f t="shared" si="1"/>
        <v>27.570588235294117</v>
      </c>
      <c r="AR33" s="71">
        <f>IFERROR(VLOOKUP(A33,Climatologia_TMED!A:U,9+$E$2,FALSE),"")</f>
        <v>26.480026163250781</v>
      </c>
      <c r="AS33" s="71">
        <f t="shared" si="2"/>
        <v>1.0905620720433369</v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21.13333333333334</v>
      </c>
      <c r="L34" s="56">
        <v>20.666666666666671</v>
      </c>
      <c r="M34" s="56">
        <v>19.8</v>
      </c>
      <c r="N34" s="56">
        <v>20.93333333333333</v>
      </c>
      <c r="O34" s="56">
        <v>22.06666666666667</v>
      </c>
      <c r="P34" s="56">
        <v>20.733333333333331</v>
      </c>
      <c r="Q34" s="56">
        <v>20.8</v>
      </c>
      <c r="R34" s="56">
        <v>20.133333333333329</v>
      </c>
      <c r="S34" s="56">
        <v>21.2</v>
      </c>
      <c r="T34" s="56">
        <v>20.06666666666667</v>
      </c>
      <c r="U34" s="56">
        <v>21.2</v>
      </c>
      <c r="V34" s="56">
        <v>19.533333333333331</v>
      </c>
      <c r="W34" s="56">
        <v>18.533333333333331</v>
      </c>
      <c r="X34" s="56">
        <v>20.8</v>
      </c>
      <c r="Y34" s="56">
        <v>22.06666666666667</v>
      </c>
      <c r="Z34" s="56">
        <v>19.533333333333331</v>
      </c>
      <c r="AA34" s="56">
        <v>21.06666666666667</v>
      </c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17</v>
      </c>
      <c r="AQ34" s="71">
        <f t="shared" si="1"/>
        <v>20.603921568627445</v>
      </c>
      <c r="AR34" s="71">
        <f>IFERROR(VLOOKUP(A34,Climatologia_TMED!A:U,9+$E$2,FALSE),"")</f>
        <v>19.457461376838431</v>
      </c>
      <c r="AS34" s="71">
        <f t="shared" si="2"/>
        <v>1.1464601917890143</v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25.3</v>
      </c>
      <c r="L35" s="56">
        <v>24.6</v>
      </c>
      <c r="M35" s="56">
        <v>23.35</v>
      </c>
      <c r="N35" s="56">
        <v>23.65</v>
      </c>
      <c r="O35" s="56">
        <v>24.9</v>
      </c>
      <c r="P35" s="56">
        <v>24.85</v>
      </c>
      <c r="Q35" s="56">
        <v>22.3</v>
      </c>
      <c r="R35" s="56">
        <v>23.25</v>
      </c>
      <c r="S35" s="56">
        <v>23.75</v>
      </c>
      <c r="T35" s="56">
        <v>23.7</v>
      </c>
      <c r="U35" s="56">
        <v>25.35</v>
      </c>
      <c r="V35" s="56">
        <v>24.15</v>
      </c>
      <c r="W35" s="56">
        <v>23.1</v>
      </c>
      <c r="X35" s="56">
        <v>23.8</v>
      </c>
      <c r="Y35" s="56">
        <v>24.55</v>
      </c>
      <c r="Z35" s="56">
        <v>23.5</v>
      </c>
      <c r="AA35" s="56">
        <v>25.4</v>
      </c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17</v>
      </c>
      <c r="AQ35" s="71">
        <f t="shared" si="1"/>
        <v>24.088235294117649</v>
      </c>
      <c r="AR35" s="71">
        <f>IFERROR(VLOOKUP(A35,Climatologia_TMED!A:U,9+$E$2,FALSE),"")</f>
        <v>23.52490973164798</v>
      </c>
      <c r="AS35" s="71">
        <f t="shared" si="2"/>
        <v>0.56332556246966803</v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19.55</v>
      </c>
      <c r="L36" s="56">
        <v>19.149999999999999</v>
      </c>
      <c r="M36" s="56">
        <v>19.399999999999999</v>
      </c>
      <c r="N36" s="56">
        <v>18.350000000000001</v>
      </c>
      <c r="O36" s="56">
        <v>20.350000000000001</v>
      </c>
      <c r="P36" s="56">
        <v>19.45</v>
      </c>
      <c r="Q36" s="56">
        <v>19.149999999999999</v>
      </c>
      <c r="R36" s="56">
        <v>19.25</v>
      </c>
      <c r="S36" s="56">
        <v>20.25</v>
      </c>
      <c r="T36" s="56">
        <v>18.899999999999999</v>
      </c>
      <c r="U36" s="56">
        <v>19.95</v>
      </c>
      <c r="V36" s="56">
        <v>17.25</v>
      </c>
      <c r="W36" s="56">
        <v>17.399999999999999</v>
      </c>
      <c r="X36" s="56">
        <v>17.2</v>
      </c>
      <c r="Y36" s="56">
        <v>22</v>
      </c>
      <c r="Z36" s="56">
        <v>17.350000000000001</v>
      </c>
      <c r="AA36" s="56">
        <v>19.399999999999999</v>
      </c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17</v>
      </c>
      <c r="AQ36" s="71">
        <f t="shared" si="1"/>
        <v>19.079411764705885</v>
      </c>
      <c r="AR36" s="71">
        <f>IFERROR(VLOOKUP(A36,Climatologia_TMED!A:U,9+$E$2,FALSE),"")</f>
        <v>17.966849004562881</v>
      </c>
      <c r="AS36" s="71">
        <f t="shared" si="2"/>
        <v>1.1125627601430033</v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27.4</v>
      </c>
      <c r="L37" s="56">
        <v>27.45</v>
      </c>
      <c r="M37" s="56">
        <v>26.8</v>
      </c>
      <c r="N37" s="56">
        <v>27.95</v>
      </c>
      <c r="O37" s="56">
        <v>27.1</v>
      </c>
      <c r="P37" s="56">
        <v>25.1</v>
      </c>
      <c r="Q37" s="56">
        <v>26.1</v>
      </c>
      <c r="R37" s="56">
        <v>27.8</v>
      </c>
      <c r="S37" s="56">
        <v>27.8</v>
      </c>
      <c r="T37" s="56">
        <v>25.5</v>
      </c>
      <c r="U37" s="56">
        <v>26.8</v>
      </c>
      <c r="V37" s="56">
        <v>24.85</v>
      </c>
      <c r="W37" s="56">
        <v>25.05</v>
      </c>
      <c r="X37" s="56">
        <v>27</v>
      </c>
      <c r="Y37" s="56">
        <v>27.2</v>
      </c>
      <c r="Z37" s="56">
        <v>25.05</v>
      </c>
      <c r="AA37" s="56">
        <v>27.4</v>
      </c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17</v>
      </c>
      <c r="AQ37" s="71">
        <f t="shared" si="1"/>
        <v>26.608823529411765</v>
      </c>
      <c r="AR37" s="71">
        <f>IFERROR(VLOOKUP(A37,Climatologia_TMED!A:U,9+$E$2,FALSE),"")</f>
        <v>25.484403091811242</v>
      </c>
      <c r="AS37" s="71">
        <f t="shared" si="2"/>
        <v>1.1244204376005236</v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16.75</v>
      </c>
      <c r="L38" s="56">
        <v>15.5</v>
      </c>
      <c r="M38" s="56">
        <v>15.4</v>
      </c>
      <c r="N38" s="56">
        <v>16.75</v>
      </c>
      <c r="O38" s="56">
        <v>14.55</v>
      </c>
      <c r="P38" s="56">
        <v>15.75</v>
      </c>
      <c r="Q38" s="56">
        <v>14.45</v>
      </c>
      <c r="R38" s="56">
        <v>15.8</v>
      </c>
      <c r="S38" s="56">
        <v>16.850000000000001</v>
      </c>
      <c r="T38" s="56">
        <v>14.4</v>
      </c>
      <c r="U38" s="56">
        <v>14.45</v>
      </c>
      <c r="V38" s="56">
        <v>13.85</v>
      </c>
      <c r="W38" s="56">
        <v>13</v>
      </c>
      <c r="X38" s="56">
        <v>15.8</v>
      </c>
      <c r="Y38" s="56">
        <v>18.25</v>
      </c>
      <c r="Z38" s="56">
        <v>14.9</v>
      </c>
      <c r="AA38" s="56">
        <v>14.75</v>
      </c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17</v>
      </c>
      <c r="AQ38" s="71">
        <f t="shared" si="1"/>
        <v>15.364705882352943</v>
      </c>
      <c r="AR38" s="71">
        <f>IFERROR(VLOOKUP(A38,Climatologia_TMED!A:U,9+$E$2,FALSE),"")</f>
        <v>14.761222698942371</v>
      </c>
      <c r="AS38" s="71">
        <f t="shared" si="2"/>
        <v>0.60348318341057272</v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21.06666666666667</v>
      </c>
      <c r="L39" s="56">
        <v>21.266666666666669</v>
      </c>
      <c r="M39" s="56">
        <v>19.86666666666666</v>
      </c>
      <c r="N39" s="56">
        <v>22.06666666666667</v>
      </c>
      <c r="O39" s="56">
        <v>21.133333333333329</v>
      </c>
      <c r="P39" s="56">
        <v>20.466666666666669</v>
      </c>
      <c r="Q39" s="56">
        <v>21.06666666666667</v>
      </c>
      <c r="R39" s="56">
        <v>21.666666666666671</v>
      </c>
      <c r="S39" s="56">
        <v>21.733333333333331</v>
      </c>
      <c r="T39" s="56">
        <v>20.06666666666667</v>
      </c>
      <c r="U39" s="56">
        <v>21.2</v>
      </c>
      <c r="V39" s="56">
        <v>18.733333333333331</v>
      </c>
      <c r="W39" s="56">
        <v>17.266666666666669</v>
      </c>
      <c r="X39" s="56">
        <v>21.6</v>
      </c>
      <c r="Y39" s="56">
        <v>23.733333333333331</v>
      </c>
      <c r="Z39" s="56">
        <v>20.333333333333329</v>
      </c>
      <c r="AA39" s="56">
        <v>21.533333333333331</v>
      </c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17</v>
      </c>
      <c r="AQ39" s="71">
        <f t="shared" si="1"/>
        <v>20.870588235294115</v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24</v>
      </c>
      <c r="L40" s="56"/>
      <c r="M40" s="56">
        <v>22.733333333333331</v>
      </c>
      <c r="N40" s="56"/>
      <c r="O40" s="56">
        <v>23.8</v>
      </c>
      <c r="P40" s="56">
        <v>23.266666666666669</v>
      </c>
      <c r="Q40" s="56"/>
      <c r="R40" s="56"/>
      <c r="S40" s="56"/>
      <c r="T40" s="56">
        <v>22.733333333333331</v>
      </c>
      <c r="U40" s="56">
        <v>23.533333333333331</v>
      </c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6</v>
      </c>
      <c r="AQ40" s="71" t="str">
        <f t="shared" si="1"/>
        <v/>
      </c>
      <c r="AR40" s="71">
        <f>IFERROR(VLOOKUP(A40,Climatologia_TMED!A:U,9+$E$2,FALSE),"")</f>
        <v>21.706254066649031</v>
      </c>
      <c r="AS40" s="71" t="str">
        <f t="shared" si="2"/>
        <v/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19.06666666666667</v>
      </c>
      <c r="L41" s="56">
        <v>19.533333333333331</v>
      </c>
      <c r="M41" s="56">
        <v>19</v>
      </c>
      <c r="N41" s="56">
        <v>19.06666666666667</v>
      </c>
      <c r="O41" s="56">
        <v>19.399999999999999</v>
      </c>
      <c r="P41" s="56">
        <v>16.600000000000001</v>
      </c>
      <c r="Q41" s="56">
        <v>18.06666666666667</v>
      </c>
      <c r="R41" s="56">
        <v>15.33333333333333</v>
      </c>
      <c r="S41" s="56">
        <v>18.266666666666669</v>
      </c>
      <c r="T41" s="56">
        <v>18.06666666666667</v>
      </c>
      <c r="U41" s="56">
        <v>19.533333333333331</v>
      </c>
      <c r="V41" s="56">
        <v>17.399999999999999</v>
      </c>
      <c r="W41" s="56">
        <v>19.266666666666669</v>
      </c>
      <c r="X41" s="56">
        <v>19.06666666666667</v>
      </c>
      <c r="Y41" s="56">
        <v>18.399999999999999</v>
      </c>
      <c r="Z41" s="56">
        <v>19.133333333333329</v>
      </c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16</v>
      </c>
      <c r="AQ41" s="71">
        <f t="shared" si="1"/>
        <v>18.45</v>
      </c>
      <c r="AR41" s="71">
        <f>IFERROR(VLOOKUP(A41,Climatologia_TMED!A:U,9+$E$2,FALSE),"")</f>
        <v>17.809525933717701</v>
      </c>
      <c r="AS41" s="71">
        <f t="shared" si="2"/>
        <v>0.64047406628229808</v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28.9</v>
      </c>
      <c r="L42" s="56">
        <v>28.2</v>
      </c>
      <c r="M42" s="56">
        <v>25.3</v>
      </c>
      <c r="N42" s="56">
        <v>27.75</v>
      </c>
      <c r="O42" s="56">
        <v>28.5</v>
      </c>
      <c r="P42" s="56">
        <v>27</v>
      </c>
      <c r="Q42" s="56">
        <v>27.7</v>
      </c>
      <c r="R42" s="56"/>
      <c r="S42" s="56">
        <v>28.7</v>
      </c>
      <c r="T42" s="56">
        <v>28.25</v>
      </c>
      <c r="U42" s="56">
        <v>29.1</v>
      </c>
      <c r="V42" s="56">
        <v>27.75</v>
      </c>
      <c r="W42" s="56">
        <v>26.2</v>
      </c>
      <c r="X42" s="56">
        <v>28.5</v>
      </c>
      <c r="Y42" s="56">
        <v>28.45</v>
      </c>
      <c r="Z42" s="56">
        <v>29</v>
      </c>
      <c r="AA42" s="56">
        <v>27.3</v>
      </c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16</v>
      </c>
      <c r="AQ42" s="71">
        <f t="shared" si="1"/>
        <v>27.912499999999998</v>
      </c>
      <c r="AR42" s="71">
        <f>IFERROR(VLOOKUP(A42,Climatologia_TMED!A:U,9+$E$2,FALSE),"")</f>
        <v>27.174029271206681</v>
      </c>
      <c r="AS42" s="71">
        <f t="shared" si="2"/>
        <v>0.73847072879331677</v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30.1</v>
      </c>
      <c r="L43" s="56">
        <v>29.25</v>
      </c>
      <c r="M43" s="56">
        <v>25.35</v>
      </c>
      <c r="N43" s="56">
        <v>27.85</v>
      </c>
      <c r="O43" s="56">
        <v>28.95</v>
      </c>
      <c r="P43" s="56">
        <v>27.3</v>
      </c>
      <c r="Q43" s="56">
        <v>28.25</v>
      </c>
      <c r="R43" s="56">
        <v>28.75</v>
      </c>
      <c r="S43" s="56">
        <v>29.25</v>
      </c>
      <c r="T43" s="56">
        <v>29.55</v>
      </c>
      <c r="U43" s="56">
        <v>30.15</v>
      </c>
      <c r="V43" s="56">
        <v>28.6</v>
      </c>
      <c r="W43" s="56">
        <v>27.4</v>
      </c>
      <c r="X43" s="56">
        <v>29.15</v>
      </c>
      <c r="Y43" s="56">
        <v>29.95</v>
      </c>
      <c r="Z43" s="56">
        <v>30.5</v>
      </c>
      <c r="AA43" s="56">
        <v>27.65</v>
      </c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17</v>
      </c>
      <c r="AQ43" s="71">
        <f t="shared" si="1"/>
        <v>28.705882352941174</v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29.25</v>
      </c>
      <c r="L44" s="56">
        <v>27.55</v>
      </c>
      <c r="M44" s="56">
        <v>24.75</v>
      </c>
      <c r="N44" s="56">
        <v>27.85</v>
      </c>
      <c r="O44" s="56">
        <v>28.75</v>
      </c>
      <c r="P44" s="56">
        <v>25.55</v>
      </c>
      <c r="Q44" s="56">
        <v>27.524999999999999</v>
      </c>
      <c r="R44" s="56">
        <v>27.824999999999999</v>
      </c>
      <c r="S44" s="56">
        <v>29</v>
      </c>
      <c r="T44" s="56">
        <v>27.574999999999999</v>
      </c>
      <c r="U44" s="56">
        <v>29</v>
      </c>
      <c r="V44" s="56">
        <v>28.3</v>
      </c>
      <c r="W44" s="56">
        <v>27.5</v>
      </c>
      <c r="X44" s="56">
        <v>29.625</v>
      </c>
      <c r="Y44" s="56">
        <v>29</v>
      </c>
      <c r="Z44" s="56">
        <v>28.45</v>
      </c>
      <c r="AA44" s="56">
        <v>27.274999999999999</v>
      </c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17</v>
      </c>
      <c r="AQ44" s="71">
        <f t="shared" si="1"/>
        <v>27.927941176470586</v>
      </c>
      <c r="AR44" s="71">
        <f>IFERROR(VLOOKUP(A44,Climatologia_TMED!A:U,9+$E$2,FALSE),"")</f>
        <v>27.22822487949573</v>
      </c>
      <c r="AS44" s="71">
        <f t="shared" si="2"/>
        <v>0.69971629697485582</v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28.6</v>
      </c>
      <c r="L45" s="56">
        <v>28.6</v>
      </c>
      <c r="M45" s="56">
        <v>24.4</v>
      </c>
      <c r="N45" s="56">
        <v>26.65</v>
      </c>
      <c r="O45" s="56">
        <v>29</v>
      </c>
      <c r="P45" s="56">
        <v>26.3</v>
      </c>
      <c r="Q45" s="56">
        <v>27.75</v>
      </c>
      <c r="R45" s="56">
        <v>28.2</v>
      </c>
      <c r="S45" s="56">
        <v>28.4</v>
      </c>
      <c r="T45" s="56">
        <v>28.15</v>
      </c>
      <c r="U45" s="56">
        <v>29.1</v>
      </c>
      <c r="V45" s="56">
        <v>27.9</v>
      </c>
      <c r="W45" s="56">
        <v>25.6</v>
      </c>
      <c r="X45" s="56">
        <v>28.5</v>
      </c>
      <c r="Y45" s="56">
        <v>29.25</v>
      </c>
      <c r="Z45" s="56">
        <v>28.35</v>
      </c>
      <c r="AA45" s="56">
        <v>28.45</v>
      </c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17</v>
      </c>
      <c r="AQ45" s="71">
        <f t="shared" si="1"/>
        <v>27.835294117647063</v>
      </c>
      <c r="AR45" s="71">
        <f>IFERROR(VLOOKUP(A45,Climatologia_TMED!A:U,9+$E$2,FALSE),"")</f>
        <v>26.888831730658229</v>
      </c>
      <c r="AS45" s="71">
        <f t="shared" si="2"/>
        <v>0.94646238698883423</v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29</v>
      </c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1</v>
      </c>
      <c r="AQ46" s="71" t="str">
        <f t="shared" si="1"/>
        <v/>
      </c>
      <c r="AR46" s="71">
        <f>IFERROR(VLOOKUP(A46,Climatologia_TMED!A:U,9+$E$2,FALSE),"")</f>
        <v>27.478847261609349</v>
      </c>
      <c r="AS46" s="71" t="str">
        <f t="shared" si="2"/>
        <v/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0</v>
      </c>
      <c r="AQ47" s="71" t="str">
        <f t="shared" si="1"/>
        <v/>
      </c>
      <c r="AR47" s="71">
        <f>IFERROR(VLOOKUP(A47,Climatologia_TMED!A:U,9+$E$2,FALSE),"")</f>
        <v>27.517259164073671</v>
      </c>
      <c r="AS47" s="71" t="str">
        <f t="shared" si="2"/>
        <v/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27.620388404955971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27.220810541310531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28.9</v>
      </c>
      <c r="L50" s="56">
        <v>26.35</v>
      </c>
      <c r="M50" s="56">
        <v>25.35</v>
      </c>
      <c r="N50" s="56">
        <v>27.85</v>
      </c>
      <c r="O50" s="56">
        <v>29.2</v>
      </c>
      <c r="P50" s="56">
        <v>26.85</v>
      </c>
      <c r="Q50" s="56">
        <v>29.2</v>
      </c>
      <c r="R50" s="56">
        <v>27.75</v>
      </c>
      <c r="S50" s="56">
        <v>28.4</v>
      </c>
      <c r="T50" s="56">
        <v>27.5</v>
      </c>
      <c r="U50" s="56">
        <v>29.05</v>
      </c>
      <c r="V50" s="56">
        <v>27.6</v>
      </c>
      <c r="W50" s="56">
        <v>26.25</v>
      </c>
      <c r="X50" s="56">
        <v>28.6</v>
      </c>
      <c r="Y50" s="56">
        <v>29.3</v>
      </c>
      <c r="Z50" s="56">
        <v>30.3</v>
      </c>
      <c r="AA50" s="56">
        <v>28.3</v>
      </c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17</v>
      </c>
      <c r="AQ50" s="71">
        <f t="shared" si="1"/>
        <v>28.044117647058826</v>
      </c>
      <c r="AR50" s="71">
        <f>IFERROR(VLOOKUP(A50,Climatologia_TMED!A:U,9+$E$2,FALSE),"")</f>
        <v>27.189899602702589</v>
      </c>
      <c r="AS50" s="71">
        <f t="shared" si="2"/>
        <v>0.85421804435623727</v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>
        <f>IFERROR(VLOOKUP(A51,Climatologia_TMED!A:U,9+$E$2,FALSE),"")</f>
        <v>27.431466051553041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28.15</v>
      </c>
      <c r="L53" s="56">
        <v>27.1</v>
      </c>
      <c r="M53" s="56">
        <v>23.85</v>
      </c>
      <c r="N53" s="56">
        <v>25.85</v>
      </c>
      <c r="O53" s="56">
        <v>28.4</v>
      </c>
      <c r="P53" s="56">
        <v>26.2</v>
      </c>
      <c r="Q53" s="56">
        <v>27.1</v>
      </c>
      <c r="R53" s="56">
        <v>27.05</v>
      </c>
      <c r="S53" s="56">
        <v>28</v>
      </c>
      <c r="T53" s="56">
        <v>27.85</v>
      </c>
      <c r="U53" s="56">
        <v>27.65</v>
      </c>
      <c r="V53" s="56">
        <v>26.4</v>
      </c>
      <c r="W53" s="56">
        <v>25.55</v>
      </c>
      <c r="X53" s="56">
        <v>27.45</v>
      </c>
      <c r="Y53" s="56">
        <v>28.6</v>
      </c>
      <c r="Z53" s="56">
        <v>29.15</v>
      </c>
      <c r="AA53" s="56">
        <v>27.3</v>
      </c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17</v>
      </c>
      <c r="AQ53" s="71">
        <f t="shared" si="1"/>
        <v>27.155882352941177</v>
      </c>
      <c r="AR53" s="71">
        <f>IFERROR(VLOOKUP(A53,Climatologia_TMED!A:U,9+$E$2,FALSE),"")</f>
        <v>26.49867881858615</v>
      </c>
      <c r="AS53" s="71">
        <f t="shared" si="2"/>
        <v>0.65720353435502687</v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29.5</v>
      </c>
      <c r="L54" s="56">
        <v>28.2</v>
      </c>
      <c r="M54" s="56">
        <v>27.15</v>
      </c>
      <c r="N54" s="56">
        <v>27.65</v>
      </c>
      <c r="O54" s="56">
        <v>29.6</v>
      </c>
      <c r="P54" s="56">
        <v>27.65</v>
      </c>
      <c r="Q54" s="56">
        <v>28.75</v>
      </c>
      <c r="R54" s="56">
        <v>29.2</v>
      </c>
      <c r="S54" s="56">
        <v>29.95</v>
      </c>
      <c r="T54" s="56">
        <v>27.85</v>
      </c>
      <c r="U54" s="56">
        <v>30.05</v>
      </c>
      <c r="V54" s="56">
        <v>27.5</v>
      </c>
      <c r="W54" s="56">
        <v>26.1</v>
      </c>
      <c r="X54" s="56">
        <v>28.5</v>
      </c>
      <c r="Y54" s="56">
        <v>29.7</v>
      </c>
      <c r="Z54" s="56">
        <v>30.3</v>
      </c>
      <c r="AA54" s="56">
        <v>26.15</v>
      </c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17</v>
      </c>
      <c r="AQ54" s="71">
        <f t="shared" si="1"/>
        <v>28.458823529411767</v>
      </c>
      <c r="AR54" s="71">
        <f>IFERROR(VLOOKUP(A54,Climatologia_TMED!A:U,9+$E$2,FALSE),"")</f>
        <v>27.989273285300179</v>
      </c>
      <c r="AS54" s="71">
        <f t="shared" si="2"/>
        <v>0.46955024411158774</v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/>
      <c r="L55" s="56">
        <v>30</v>
      </c>
      <c r="M55" s="56">
        <v>27.2</v>
      </c>
      <c r="N55" s="56">
        <v>29.1</v>
      </c>
      <c r="O55" s="56"/>
      <c r="P55" s="56"/>
      <c r="Q55" s="56">
        <v>25.35</v>
      </c>
      <c r="R55" s="56">
        <v>27.35</v>
      </c>
      <c r="S55" s="56">
        <v>29.25</v>
      </c>
      <c r="T55" s="56">
        <v>30</v>
      </c>
      <c r="U55" s="56">
        <v>29.15</v>
      </c>
      <c r="V55" s="56">
        <v>27.2</v>
      </c>
      <c r="W55" s="56">
        <v>26.05</v>
      </c>
      <c r="X55" s="56">
        <v>28.9</v>
      </c>
      <c r="Y55" s="56">
        <v>31.05</v>
      </c>
      <c r="Z55" s="56">
        <v>29.95</v>
      </c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13</v>
      </c>
      <c r="AQ55" s="71" t="str">
        <f t="shared" si="1"/>
        <v/>
      </c>
      <c r="AR55" s="71">
        <f>IFERROR(VLOOKUP(A55,Climatologia_TMED!A:U,9+$E$2,FALSE),"")</f>
        <v>27.517592431191851</v>
      </c>
      <c r="AS55" s="71" t="str">
        <f t="shared" si="2"/>
        <v/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0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27.20975891866382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27.9</v>
      </c>
      <c r="L59" s="56">
        <v>29.35</v>
      </c>
      <c r="M59" s="56">
        <v>26.65</v>
      </c>
      <c r="N59" s="56">
        <v>27.65</v>
      </c>
      <c r="O59" s="56">
        <v>30.45</v>
      </c>
      <c r="P59" s="56">
        <v>27.4</v>
      </c>
      <c r="Q59" s="56">
        <v>26.6</v>
      </c>
      <c r="R59" s="56">
        <v>26.4</v>
      </c>
      <c r="S59" s="56">
        <v>29</v>
      </c>
      <c r="T59" s="56">
        <v>28.95</v>
      </c>
      <c r="U59" s="56">
        <v>28.55</v>
      </c>
      <c r="V59" s="56">
        <v>29.1</v>
      </c>
      <c r="W59" s="56">
        <v>26.45</v>
      </c>
      <c r="X59" s="56">
        <v>28.3</v>
      </c>
      <c r="Y59" s="56">
        <v>29.45</v>
      </c>
      <c r="Z59" s="56">
        <v>28.8</v>
      </c>
      <c r="AA59" s="56">
        <v>29.8</v>
      </c>
      <c r="AB59" s="56"/>
      <c r="AC59" s="99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17</v>
      </c>
      <c r="AQ59" s="71">
        <f t="shared" si="1"/>
        <v>28.282352941176473</v>
      </c>
      <c r="AR59" s="71">
        <f>IFERROR(VLOOKUP(A59,Climatologia_TMED!A:U,9+$E$2,FALSE),"")</f>
        <v>27.213190091590139</v>
      </c>
      <c r="AS59" s="71">
        <f t="shared" si="2"/>
        <v>1.0691628495863341</v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/>
      <c r="L60" s="56">
        <v>25.45</v>
      </c>
      <c r="M60" s="56">
        <v>24.5</v>
      </c>
      <c r="N60" s="56">
        <v>26.8</v>
      </c>
      <c r="O60" s="56">
        <v>26.15</v>
      </c>
      <c r="P60" s="56">
        <v>27</v>
      </c>
      <c r="Q60" s="56"/>
      <c r="R60" s="56">
        <v>26</v>
      </c>
      <c r="S60" s="56">
        <v>25.9</v>
      </c>
      <c r="T60" s="56">
        <v>25.6</v>
      </c>
      <c r="U60" s="56">
        <v>25.7</v>
      </c>
      <c r="V60" s="56">
        <v>25.95</v>
      </c>
      <c r="W60" s="56"/>
      <c r="X60" s="56"/>
      <c r="Y60" s="56"/>
      <c r="Z60" s="56">
        <v>28.45</v>
      </c>
      <c r="AA60" s="56">
        <v>26.4</v>
      </c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12</v>
      </c>
      <c r="AQ60" s="71" t="str">
        <f t="shared" si="1"/>
        <v/>
      </c>
      <c r="AR60" s="71">
        <f>IFERROR(VLOOKUP(A60,Climatologia_TMED!A:U,9+$E$2,FALSE),"")</f>
        <v>25.40553026864524</v>
      </c>
      <c r="AS60" s="71" t="str">
        <f t="shared" si="2"/>
        <v/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26.65</v>
      </c>
      <c r="L61" s="56">
        <v>27.6</v>
      </c>
      <c r="M61" s="56">
        <v>29.35</v>
      </c>
      <c r="N61" s="56">
        <v>29.5</v>
      </c>
      <c r="O61" s="56">
        <v>29.05</v>
      </c>
      <c r="P61" s="56">
        <v>29.55</v>
      </c>
      <c r="Q61" s="56">
        <v>26.8</v>
      </c>
      <c r="R61" s="56">
        <v>28.6</v>
      </c>
      <c r="S61" s="56">
        <v>27.5</v>
      </c>
      <c r="T61" s="56"/>
      <c r="U61" s="56"/>
      <c r="V61" s="56">
        <v>27.7</v>
      </c>
      <c r="W61" s="56">
        <v>27.85</v>
      </c>
      <c r="X61" s="56">
        <v>26.8</v>
      </c>
      <c r="Y61" s="56">
        <v>28.4</v>
      </c>
      <c r="Z61" s="56">
        <v>26.85</v>
      </c>
      <c r="AA61" s="56">
        <v>27.65</v>
      </c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15</v>
      </c>
      <c r="AQ61" s="71">
        <f t="shared" si="1"/>
        <v>27.990000000000002</v>
      </c>
      <c r="AR61" s="71">
        <f>IFERROR(VLOOKUP(A61,Climatologia_TMED!A:U,9+$E$2,FALSE),"")</f>
        <v>26.804794338924129</v>
      </c>
      <c r="AS61" s="71">
        <f t="shared" si="2"/>
        <v>1.185205661075873</v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27.266666666666669</v>
      </c>
      <c r="L62" s="56">
        <v>24.266666666666669</v>
      </c>
      <c r="M62" s="56">
        <v>25.4</v>
      </c>
      <c r="N62" s="56">
        <v>28.333333333333329</v>
      </c>
      <c r="O62" s="56">
        <v>29.333333333333329</v>
      </c>
      <c r="P62" s="56">
        <v>28.333333333333329</v>
      </c>
      <c r="Q62" s="56">
        <v>25.333333333333329</v>
      </c>
      <c r="R62" s="56">
        <v>28.666666666666671</v>
      </c>
      <c r="S62" s="56">
        <v>28.6</v>
      </c>
      <c r="T62" s="56">
        <v>27.13333333333334</v>
      </c>
      <c r="U62" s="56">
        <v>27.933333333333341</v>
      </c>
      <c r="V62" s="56">
        <v>26.86666666666666</v>
      </c>
      <c r="W62" s="56">
        <v>29.2</v>
      </c>
      <c r="X62" s="56">
        <v>29.13333333333334</v>
      </c>
      <c r="Y62" s="56">
        <v>29.266666666666669</v>
      </c>
      <c r="Z62" s="56">
        <v>28.86666666666666</v>
      </c>
      <c r="AA62" s="56">
        <v>26.2</v>
      </c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17</v>
      </c>
      <c r="AQ62" s="71">
        <f t="shared" si="1"/>
        <v>27.654901960784315</v>
      </c>
      <c r="AR62" s="71">
        <f>IFERROR(VLOOKUP(A62,Climatologia_TMED!A:U,9+$E$2,FALSE),"")</f>
        <v>25.86650485081659</v>
      </c>
      <c r="AS62" s="71">
        <f t="shared" si="2"/>
        <v>1.7883971099677254</v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24.55464610863833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26.2635709767778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>
        <v>25.2</v>
      </c>
      <c r="L65" s="56">
        <v>26.8</v>
      </c>
      <c r="M65" s="56">
        <v>26.9</v>
      </c>
      <c r="N65" s="56">
        <v>28.1</v>
      </c>
      <c r="O65" s="56">
        <v>27.75</v>
      </c>
      <c r="P65" s="56">
        <v>27.9</v>
      </c>
      <c r="Q65" s="56">
        <v>26.15</v>
      </c>
      <c r="R65" s="56">
        <v>27.2</v>
      </c>
      <c r="S65" s="56">
        <v>26.75</v>
      </c>
      <c r="T65" s="56">
        <v>26.7</v>
      </c>
      <c r="U65" s="56">
        <v>26.1</v>
      </c>
      <c r="V65" s="56">
        <v>26.15</v>
      </c>
      <c r="W65" s="56">
        <v>27.75</v>
      </c>
      <c r="X65" s="56">
        <v>26.5</v>
      </c>
      <c r="Y65" s="56">
        <v>27.2</v>
      </c>
      <c r="Z65" s="56">
        <v>26.85</v>
      </c>
      <c r="AA65" s="56">
        <v>25.95</v>
      </c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17</v>
      </c>
      <c r="AQ65" s="71">
        <f t="shared" si="1"/>
        <v>26.820588235294117</v>
      </c>
      <c r="AR65" s="71">
        <f>IFERROR(VLOOKUP(A65,Climatologia_TMED!A:U,9+$E$2,FALSE),"")</f>
        <v>26.097584247861882</v>
      </c>
      <c r="AS65" s="71">
        <f t="shared" si="2"/>
        <v>0.72300398743223582</v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26.55</v>
      </c>
      <c r="L66" s="56">
        <v>26.1</v>
      </c>
      <c r="M66" s="56">
        <v>26.3</v>
      </c>
      <c r="N66" s="56">
        <v>28.55</v>
      </c>
      <c r="O66" s="56">
        <v>27.7</v>
      </c>
      <c r="P66" s="56">
        <v>28.45</v>
      </c>
      <c r="Q66" s="56">
        <v>24.25</v>
      </c>
      <c r="R66" s="56">
        <v>27.65</v>
      </c>
      <c r="S66" s="56">
        <v>26.6</v>
      </c>
      <c r="T66" s="56">
        <v>27.05</v>
      </c>
      <c r="U66" s="56">
        <v>27.95</v>
      </c>
      <c r="V66" s="56">
        <v>26.7</v>
      </c>
      <c r="W66" s="56">
        <v>28.15</v>
      </c>
      <c r="X66" s="56">
        <v>27.2</v>
      </c>
      <c r="Y66" s="56">
        <v>27</v>
      </c>
      <c r="Z66" s="56">
        <v>27.5</v>
      </c>
      <c r="AA66" s="56">
        <v>26.1</v>
      </c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17</v>
      </c>
      <c r="AQ66" s="71">
        <f t="shared" si="1"/>
        <v>27.047058823529408</v>
      </c>
      <c r="AR66" s="71">
        <f>IFERROR(VLOOKUP(A66,Climatologia_TMED!A:U,9+$E$2,FALSE),"")</f>
        <v>26.18643292457655</v>
      </c>
      <c r="AS66" s="71">
        <f t="shared" si="2"/>
        <v>0.86062589895285768</v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25.75</v>
      </c>
      <c r="L67" s="56">
        <v>24.65</v>
      </c>
      <c r="M67" s="56">
        <v>26.2</v>
      </c>
      <c r="N67" s="56">
        <v>26.45</v>
      </c>
      <c r="O67" s="56">
        <v>28.55</v>
      </c>
      <c r="P67" s="56"/>
      <c r="Q67" s="56">
        <v>26.2</v>
      </c>
      <c r="R67" s="56">
        <v>27.4</v>
      </c>
      <c r="S67" s="56">
        <v>27.8</v>
      </c>
      <c r="T67" s="56">
        <v>25.75</v>
      </c>
      <c r="U67" s="56"/>
      <c r="V67" s="56"/>
      <c r="W67" s="56">
        <v>27.75</v>
      </c>
      <c r="X67" s="56">
        <v>27.9</v>
      </c>
      <c r="Y67" s="56">
        <v>26.9</v>
      </c>
      <c r="Z67" s="56">
        <v>27.8</v>
      </c>
      <c r="AA67" s="56">
        <v>25.75</v>
      </c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14</v>
      </c>
      <c r="AQ67" s="71" t="str">
        <f t="shared" si="1"/>
        <v/>
      </c>
      <c r="AR67" s="71">
        <f>IFERROR(VLOOKUP(A67,Climatologia_TMED!A:U,9+$E$2,FALSE),"")</f>
        <v>26.111106729021561</v>
      </c>
      <c r="AS67" s="71" t="str">
        <f t="shared" si="2"/>
        <v/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26.9</v>
      </c>
      <c r="L68" s="56">
        <v>24.9</v>
      </c>
      <c r="M68" s="56">
        <v>26.05</v>
      </c>
      <c r="N68" s="56">
        <v>25.55</v>
      </c>
      <c r="O68" s="56">
        <v>26.85</v>
      </c>
      <c r="P68" s="56">
        <v>27.55</v>
      </c>
      <c r="Q68" s="56">
        <v>26.35</v>
      </c>
      <c r="R68" s="56">
        <v>26.55</v>
      </c>
      <c r="S68" s="56">
        <v>25.6</v>
      </c>
      <c r="T68" s="56">
        <v>25.45</v>
      </c>
      <c r="U68" s="56">
        <v>26.7</v>
      </c>
      <c r="V68" s="56">
        <v>25.1</v>
      </c>
      <c r="W68" s="56">
        <v>26.45</v>
      </c>
      <c r="X68" s="56">
        <v>26.4</v>
      </c>
      <c r="Y68" s="56">
        <v>25.95</v>
      </c>
      <c r="Z68" s="56">
        <v>26.8</v>
      </c>
      <c r="AA68" s="56">
        <v>25.2</v>
      </c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17</v>
      </c>
      <c r="AQ68" s="71">
        <f t="shared" si="1"/>
        <v>26.138235294117646</v>
      </c>
      <c r="AR68" s="71">
        <f>IFERROR(VLOOKUP(A68,Climatologia_TMED!A:U,9+$E$2,FALSE),"")</f>
        <v>25.781046108207619</v>
      </c>
      <c r="AS68" s="71">
        <f t="shared" si="2"/>
        <v>0.35718918591002691</v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26.25</v>
      </c>
      <c r="L69" s="56">
        <v>25.725000000000001</v>
      </c>
      <c r="M69" s="56">
        <v>26.6</v>
      </c>
      <c r="N69" s="56">
        <v>25.5</v>
      </c>
      <c r="O69" s="56">
        <v>26.65</v>
      </c>
      <c r="P69" s="56">
        <v>27.2</v>
      </c>
      <c r="Q69" s="56">
        <v>24.35</v>
      </c>
      <c r="R69" s="56">
        <v>26.25</v>
      </c>
      <c r="S69" s="56">
        <v>26.5</v>
      </c>
      <c r="T69" s="56">
        <v>25.1</v>
      </c>
      <c r="U69" s="56">
        <v>26.9</v>
      </c>
      <c r="V69" s="56">
        <v>25.225000000000001</v>
      </c>
      <c r="W69" s="56">
        <v>26.2</v>
      </c>
      <c r="X69" s="56">
        <v>26.4</v>
      </c>
      <c r="Y69" s="56">
        <v>25.7</v>
      </c>
      <c r="Z69" s="56">
        <v>26.55</v>
      </c>
      <c r="AA69" s="56">
        <v>25.3</v>
      </c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17</v>
      </c>
      <c r="AQ69" s="71">
        <f t="shared" ref="AQ69:AQ132" si="4">IF(AP69&gt;14,AVERAGE(K69:AO69),"")</f>
        <v>26.023529411764706</v>
      </c>
      <c r="AR69" s="71">
        <f>IFERROR(VLOOKUP(A69,Climatologia_TMED!A:U,9+$E$2,FALSE),"")</f>
        <v>25.72848061100953</v>
      </c>
      <c r="AS69" s="71">
        <f t="shared" ref="AS69:AS132" si="5">IF(OR(AQ69="",AR69=""),"",IFERROR(AQ69-AR69,""))</f>
        <v>0.29504880075517548</v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>
        <v>28</v>
      </c>
      <c r="L70" s="56">
        <v>25.666666666666671</v>
      </c>
      <c r="M70" s="56">
        <v>28</v>
      </c>
      <c r="N70" s="56">
        <v>25.266666666666669</v>
      </c>
      <c r="O70" s="56">
        <v>28.2</v>
      </c>
      <c r="P70" s="56">
        <v>29.466666666666669</v>
      </c>
      <c r="Q70" s="56">
        <v>25.966666666666669</v>
      </c>
      <c r="R70" s="56">
        <v>28.066666666666659</v>
      </c>
      <c r="S70" s="56">
        <v>27.6</v>
      </c>
      <c r="T70" s="56">
        <v>26.266666666666669</v>
      </c>
      <c r="U70" s="56">
        <v>27.466666666666669</v>
      </c>
      <c r="V70" s="56">
        <v>25.86666666666666</v>
      </c>
      <c r="W70" s="56">
        <v>29</v>
      </c>
      <c r="X70" s="56">
        <v>29</v>
      </c>
      <c r="Y70" s="56">
        <v>28.333333333333329</v>
      </c>
      <c r="Z70" s="56">
        <v>28.466666666666669</v>
      </c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16</v>
      </c>
      <c r="AQ70" s="71">
        <f t="shared" si="4"/>
        <v>27.539583333333333</v>
      </c>
      <c r="AR70" s="71">
        <f>IFERROR(VLOOKUP(A70,Climatologia_TMED!A:U,9+$E$2,FALSE),"")</f>
        <v>27.054430505774569</v>
      </c>
      <c r="AS70" s="71">
        <f t="shared" si="5"/>
        <v>0.48515282755876399</v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27.266666666666669</v>
      </c>
      <c r="L71" s="56">
        <v>26.833333333333329</v>
      </c>
      <c r="M71" s="56">
        <v>27.333333333333329</v>
      </c>
      <c r="N71" s="56">
        <v>28.533333333333331</v>
      </c>
      <c r="O71" s="56">
        <v>28.666666666666671</v>
      </c>
      <c r="P71" s="56">
        <v>28.6</v>
      </c>
      <c r="Q71" s="56">
        <v>25</v>
      </c>
      <c r="R71" s="56">
        <v>27.566666666666659</v>
      </c>
      <c r="S71" s="56">
        <v>27.36666666666666</v>
      </c>
      <c r="T71" s="56">
        <v>27.033333333333331</v>
      </c>
      <c r="U71" s="56">
        <v>27.63333333333334</v>
      </c>
      <c r="V71" s="56">
        <v>27.466666666666669</v>
      </c>
      <c r="W71" s="56">
        <v>27.533333333333331</v>
      </c>
      <c r="X71" s="56">
        <v>27.833333333333329</v>
      </c>
      <c r="Y71" s="56">
        <v>28.166666666666671</v>
      </c>
      <c r="Z71" s="56">
        <v>28.166666666666671</v>
      </c>
      <c r="AA71" s="56">
        <v>25.43333333333333</v>
      </c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17</v>
      </c>
      <c r="AQ71" s="71">
        <f t="shared" si="4"/>
        <v>27.437254901960781</v>
      </c>
      <c r="AR71" s="71">
        <f>IFERROR(VLOOKUP(A71,Climatologia_TMED!A:U,9+$E$2,FALSE),"")</f>
        <v>26.934526828589131</v>
      </c>
      <c r="AS71" s="71">
        <f t="shared" si="5"/>
        <v>0.50272807337164949</v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26.166666666666671</v>
      </c>
      <c r="L72" s="56">
        <v>27.06666666666667</v>
      </c>
      <c r="M72" s="56">
        <v>25.533333333333331</v>
      </c>
      <c r="N72" s="56">
        <v>26.033333333333331</v>
      </c>
      <c r="O72" s="56">
        <v>27.63333333333334</v>
      </c>
      <c r="P72" s="56">
        <v>25.466666666666669</v>
      </c>
      <c r="Q72" s="56">
        <v>27.13333333333334</v>
      </c>
      <c r="R72" s="56">
        <v>27.166666666666671</v>
      </c>
      <c r="S72" s="56">
        <v>25.766666666666669</v>
      </c>
      <c r="T72" s="56">
        <v>26.6</v>
      </c>
      <c r="U72" s="56">
        <v>25.833333333333329</v>
      </c>
      <c r="V72" s="56">
        <v>26.833333333333329</v>
      </c>
      <c r="W72" s="56">
        <v>26.633333333333329</v>
      </c>
      <c r="X72" s="56"/>
      <c r="Y72" s="56">
        <v>28.733333333333331</v>
      </c>
      <c r="Z72" s="56">
        <v>26.5</v>
      </c>
      <c r="AA72" s="56">
        <v>26.2</v>
      </c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16</v>
      </c>
      <c r="AQ72" s="71">
        <f t="shared" si="4"/>
        <v>26.581250000000001</v>
      </c>
      <c r="AR72" s="71">
        <f>IFERROR(VLOOKUP(A72,Climatologia_TMED!A:U,9+$E$2,FALSE),"")</f>
        <v>25.84451128626969</v>
      </c>
      <c r="AS72" s="71">
        <f t="shared" si="5"/>
        <v>0.73673871373031119</v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26</v>
      </c>
      <c r="L73" s="56">
        <v>24.55</v>
      </c>
      <c r="M73" s="56"/>
      <c r="N73" s="56"/>
      <c r="O73" s="56"/>
      <c r="P73" s="56">
        <v>26.225000000000001</v>
      </c>
      <c r="Q73" s="56"/>
      <c r="R73" s="56"/>
      <c r="S73" s="56"/>
      <c r="T73" s="56"/>
      <c r="U73" s="56"/>
      <c r="V73" s="56"/>
      <c r="W73" s="56"/>
      <c r="X73" s="56">
        <v>27.93333333333333</v>
      </c>
      <c r="Y73" s="56">
        <v>26.9</v>
      </c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5</v>
      </c>
      <c r="AQ73" s="71" t="str">
        <f t="shared" si="4"/>
        <v/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22.65</v>
      </c>
      <c r="L74" s="56">
        <v>19.350000000000001</v>
      </c>
      <c r="M74" s="56">
        <v>22.4</v>
      </c>
      <c r="N74" s="56">
        <v>23.35</v>
      </c>
      <c r="O74" s="56">
        <v>24.4</v>
      </c>
      <c r="P74" s="56">
        <v>23.55</v>
      </c>
      <c r="Q74" s="56">
        <v>23</v>
      </c>
      <c r="R74" s="56">
        <v>21.3</v>
      </c>
      <c r="S74" s="56">
        <v>23.5</v>
      </c>
      <c r="T74" s="56">
        <v>22.8</v>
      </c>
      <c r="U74" s="56">
        <v>22.35</v>
      </c>
      <c r="V74" s="56">
        <v>22.35</v>
      </c>
      <c r="W74" s="56">
        <v>21.2</v>
      </c>
      <c r="X74" s="56">
        <v>20.7</v>
      </c>
      <c r="Y74" s="56">
        <v>24.25</v>
      </c>
      <c r="Z74" s="56">
        <v>24.15</v>
      </c>
      <c r="AA74" s="56">
        <v>21.9</v>
      </c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17</v>
      </c>
      <c r="AQ74" s="71">
        <f t="shared" si="4"/>
        <v>22.541176470588233</v>
      </c>
      <c r="AR74" s="71">
        <f>IFERROR(VLOOKUP(A74,Climatologia_TMED!A:U,9+$E$2,FALSE),"")</f>
        <v>21.226017584604101</v>
      </c>
      <c r="AS74" s="71">
        <f t="shared" si="5"/>
        <v>1.3151588859841326</v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17.266666666666669</v>
      </c>
      <c r="L75" s="56">
        <v>15</v>
      </c>
      <c r="M75" s="56">
        <v>16.399999999999999</v>
      </c>
      <c r="N75" s="56">
        <v>16.266666666666669</v>
      </c>
      <c r="O75" s="56">
        <v>18</v>
      </c>
      <c r="P75" s="56">
        <v>17.266666666666669</v>
      </c>
      <c r="Q75" s="56">
        <v>17.133333333333329</v>
      </c>
      <c r="R75" s="56">
        <v>15.4</v>
      </c>
      <c r="S75" s="56">
        <v>16.866666666666671</v>
      </c>
      <c r="T75" s="56">
        <v>17.266666666666669</v>
      </c>
      <c r="U75" s="56">
        <v>16.399999999999999</v>
      </c>
      <c r="V75" s="56">
        <v>15.4</v>
      </c>
      <c r="W75" s="56">
        <v>15.266666666666669</v>
      </c>
      <c r="X75" s="56">
        <v>16.8</v>
      </c>
      <c r="Y75" s="56">
        <v>18.2</v>
      </c>
      <c r="Z75" s="56">
        <v>16.666666666666671</v>
      </c>
      <c r="AA75" s="56">
        <v>16.13333333333334</v>
      </c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17</v>
      </c>
      <c r="AQ75" s="71">
        <f t="shared" si="4"/>
        <v>16.572549019607845</v>
      </c>
      <c r="AR75" s="71">
        <f>IFERROR(VLOOKUP(A75,Climatologia_TMED!A:U,9+$E$2,FALSE),"")</f>
        <v>15.837189539923889</v>
      </c>
      <c r="AS75" s="71">
        <f t="shared" si="5"/>
        <v>0.73535947968395554</v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21.75</v>
      </c>
      <c r="L76" s="56">
        <v>19.649999999999999</v>
      </c>
      <c r="M76" s="56">
        <v>21.65</v>
      </c>
      <c r="N76" s="56">
        <v>21.85</v>
      </c>
      <c r="O76" s="56">
        <v>22.95</v>
      </c>
      <c r="P76" s="56">
        <v>23.1</v>
      </c>
      <c r="Q76" s="56">
        <v>20.9</v>
      </c>
      <c r="R76" s="56">
        <v>19.5</v>
      </c>
      <c r="S76" s="56">
        <v>23</v>
      </c>
      <c r="T76" s="56">
        <v>21.35</v>
      </c>
      <c r="U76" s="56">
        <v>21.65</v>
      </c>
      <c r="V76" s="56">
        <v>21.1</v>
      </c>
      <c r="W76" s="56">
        <v>21.2</v>
      </c>
      <c r="X76" s="56">
        <v>21.85</v>
      </c>
      <c r="Y76" s="56">
        <v>23.45</v>
      </c>
      <c r="Z76" s="56">
        <v>22</v>
      </c>
      <c r="AA76" s="56">
        <v>20.85</v>
      </c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17</v>
      </c>
      <c r="AQ76" s="71">
        <f t="shared" si="4"/>
        <v>21.635294117647064</v>
      </c>
      <c r="AR76" s="71">
        <f>IFERROR(VLOOKUP(A76,Climatologia_TMED!A:U,9+$E$2,FALSE),"")</f>
        <v>20.58024705695469</v>
      </c>
      <c r="AS76" s="71">
        <f t="shared" si="5"/>
        <v>1.0550470606923739</v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23.6</v>
      </c>
      <c r="L77" s="56">
        <v>23.13333333333334</v>
      </c>
      <c r="M77" s="56">
        <v>25.2</v>
      </c>
      <c r="N77" s="56">
        <v>23.93333333333333</v>
      </c>
      <c r="O77" s="56">
        <v>25.6</v>
      </c>
      <c r="P77" s="56">
        <v>25.266666666666669</v>
      </c>
      <c r="Q77" s="56">
        <v>23.333333333333329</v>
      </c>
      <c r="R77" s="56">
        <v>22.13333333333334</v>
      </c>
      <c r="S77" s="56">
        <v>26.466666666666669</v>
      </c>
      <c r="T77" s="56">
        <v>22.93333333333333</v>
      </c>
      <c r="U77" s="56">
        <v>25.86666666666666</v>
      </c>
      <c r="V77" s="56">
        <v>24.733333333333331</v>
      </c>
      <c r="W77" s="56">
        <v>22.333333333333329</v>
      </c>
      <c r="X77" s="56">
        <v>23.2</v>
      </c>
      <c r="Y77" s="56">
        <v>26.93333333333333</v>
      </c>
      <c r="Z77" s="56">
        <v>25.666666666666671</v>
      </c>
      <c r="AA77" s="56">
        <v>23.666666666666671</v>
      </c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17</v>
      </c>
      <c r="AQ77" s="71">
        <f t="shared" si="4"/>
        <v>24.352941176470587</v>
      </c>
      <c r="AR77" s="71">
        <f>IFERROR(VLOOKUP(A77,Climatologia_TMED!A:U,9+$E$2,FALSE),"")</f>
        <v>22.700195843288881</v>
      </c>
      <c r="AS77" s="71">
        <f t="shared" si="5"/>
        <v>1.6527453331817057</v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29.35</v>
      </c>
      <c r="L78" s="56">
        <v>28.4</v>
      </c>
      <c r="M78" s="56">
        <v>30.15</v>
      </c>
      <c r="N78" s="56">
        <v>30.85</v>
      </c>
      <c r="O78" s="56">
        <v>32.75</v>
      </c>
      <c r="P78" s="56">
        <v>30.6</v>
      </c>
      <c r="Q78" s="56">
        <v>29.35</v>
      </c>
      <c r="R78" s="56">
        <v>30.5</v>
      </c>
      <c r="S78" s="56">
        <v>30</v>
      </c>
      <c r="T78" s="56">
        <v>26.2</v>
      </c>
      <c r="U78" s="56">
        <v>31.15</v>
      </c>
      <c r="V78" s="56">
        <v>27.35</v>
      </c>
      <c r="W78" s="56">
        <v>26.55</v>
      </c>
      <c r="X78" s="56">
        <v>29.75</v>
      </c>
      <c r="Y78" s="56"/>
      <c r="Z78" s="56">
        <v>29.95</v>
      </c>
      <c r="AA78" s="56">
        <v>32.549999999999997</v>
      </c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16</v>
      </c>
      <c r="AQ78" s="71">
        <f t="shared" si="4"/>
        <v>29.715624999999999</v>
      </c>
      <c r="AR78" s="71">
        <f>IFERROR(VLOOKUP(A78,Climatologia_TMED!A:U,9+$E$2,FALSE),"")</f>
        <v>28.36125399000905</v>
      </c>
      <c r="AS78" s="71">
        <f t="shared" si="5"/>
        <v>1.3543710099909489</v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30.733333333333331</v>
      </c>
      <c r="L79" s="56">
        <v>31.86666666666666</v>
      </c>
      <c r="M79" s="56">
        <v>26.266666666666669</v>
      </c>
      <c r="N79" s="56">
        <v>28.8</v>
      </c>
      <c r="O79" s="56">
        <v>32.133333333333333</v>
      </c>
      <c r="P79" s="56">
        <v>32.533333333333331</v>
      </c>
      <c r="Q79" s="56">
        <v>31.533333333333331</v>
      </c>
      <c r="R79" s="56">
        <v>31.266666666666669</v>
      </c>
      <c r="S79" s="56">
        <v>31.666666666666671</v>
      </c>
      <c r="T79" s="56">
        <v>26.8</v>
      </c>
      <c r="U79" s="56">
        <v>32.200000000000003</v>
      </c>
      <c r="V79" s="56">
        <v>30.2</v>
      </c>
      <c r="W79" s="56">
        <v>28.466666666666669</v>
      </c>
      <c r="X79" s="56">
        <v>31.733333333333331</v>
      </c>
      <c r="Y79" s="56">
        <v>33.4</v>
      </c>
      <c r="Z79" s="56">
        <v>32.666666666666657</v>
      </c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16</v>
      </c>
      <c r="AQ79" s="71">
        <f t="shared" si="4"/>
        <v>30.766666666666666</v>
      </c>
      <c r="AR79" s="71">
        <f>IFERROR(VLOOKUP(A79,Climatologia_TMED!A:U,9+$E$2,FALSE),"")</f>
        <v>29.03471256683039</v>
      </c>
      <c r="AS79" s="71">
        <f t="shared" si="5"/>
        <v>1.7319540998362761</v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21.533333333333331</v>
      </c>
      <c r="L80" s="56">
        <v>20.466666666666669</v>
      </c>
      <c r="M80" s="56">
        <v>20.8</v>
      </c>
      <c r="N80" s="56">
        <v>22.466666666666669</v>
      </c>
      <c r="O80" s="56">
        <v>23.4</v>
      </c>
      <c r="P80" s="56">
        <v>22.43333333333333</v>
      </c>
      <c r="Q80" s="56">
        <v>22.2</v>
      </c>
      <c r="R80" s="56">
        <v>22.333333333333329</v>
      </c>
      <c r="S80" s="56">
        <v>23.466666666666669</v>
      </c>
      <c r="T80" s="56">
        <v>19.733333333333331</v>
      </c>
      <c r="U80" s="56">
        <v>22.86666666666666</v>
      </c>
      <c r="V80" s="56">
        <v>20.866666666666671</v>
      </c>
      <c r="W80" s="56">
        <v>21.733333333333331</v>
      </c>
      <c r="X80" s="56">
        <v>21.86666666666666</v>
      </c>
      <c r="Y80" s="56">
        <v>24.06666666666667</v>
      </c>
      <c r="Z80" s="56">
        <v>22.4</v>
      </c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16</v>
      </c>
      <c r="AQ80" s="71">
        <f t="shared" si="4"/>
        <v>22.039583333333333</v>
      </c>
      <c r="AR80" s="71">
        <f>IFERROR(VLOOKUP(A80,Climatologia_TMED!A:U,9+$E$2,FALSE),"")</f>
        <v>20.3636890694053</v>
      </c>
      <c r="AS80" s="71">
        <f t="shared" si="5"/>
        <v>1.6758942639280328</v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25.4</v>
      </c>
      <c r="L81" s="56"/>
      <c r="M81" s="56">
        <v>25.45</v>
      </c>
      <c r="N81" s="56">
        <v>26.45</v>
      </c>
      <c r="O81" s="56">
        <v>28.25</v>
      </c>
      <c r="P81" s="56">
        <v>27.5</v>
      </c>
      <c r="Q81" s="56"/>
      <c r="R81" s="56">
        <v>23.85</v>
      </c>
      <c r="S81" s="56">
        <v>27.05</v>
      </c>
      <c r="T81" s="56">
        <v>25.4</v>
      </c>
      <c r="U81" s="56"/>
      <c r="V81" s="56">
        <v>25.8</v>
      </c>
      <c r="W81" s="56">
        <v>27.7</v>
      </c>
      <c r="X81" s="56">
        <v>27.25</v>
      </c>
      <c r="Y81" s="56">
        <v>27.3</v>
      </c>
      <c r="Z81" s="56">
        <v>26.85</v>
      </c>
      <c r="AA81" s="56">
        <v>24.85</v>
      </c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14</v>
      </c>
      <c r="AQ81" s="71" t="str">
        <f t="shared" si="4"/>
        <v/>
      </c>
      <c r="AR81" s="71">
        <f>IFERROR(VLOOKUP(A81,Climatologia_TMED!A:U,9+$E$2,FALSE),"")</f>
        <v>25.649001100346791</v>
      </c>
      <c r="AS81" s="71" t="str">
        <f t="shared" si="5"/>
        <v/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28.4</v>
      </c>
      <c r="L82" s="56">
        <v>24</v>
      </c>
      <c r="M82" s="56">
        <v>26.93333333333333</v>
      </c>
      <c r="N82" s="56">
        <v>28</v>
      </c>
      <c r="O82" s="56">
        <v>29.06666666666667</v>
      </c>
      <c r="P82" s="56"/>
      <c r="Q82" s="56">
        <v>28.6</v>
      </c>
      <c r="R82" s="56">
        <v>26</v>
      </c>
      <c r="S82" s="56">
        <v>28.533333333333331</v>
      </c>
      <c r="T82" s="56">
        <v>27.266666666666669</v>
      </c>
      <c r="U82" s="56">
        <v>27.6</v>
      </c>
      <c r="V82" s="56">
        <v>27.166666666666671</v>
      </c>
      <c r="W82" s="56">
        <v>28.933333333333341</v>
      </c>
      <c r="X82" s="56">
        <v>29.466666666666669</v>
      </c>
      <c r="Y82" s="56">
        <v>28.466666666666669</v>
      </c>
      <c r="Z82" s="56">
        <v>29.13333333333334</v>
      </c>
      <c r="AA82" s="56">
        <v>26.466666666666669</v>
      </c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16</v>
      </c>
      <c r="AQ82" s="71">
        <f t="shared" si="4"/>
        <v>27.752083333333339</v>
      </c>
      <c r="AR82" s="71">
        <f>IFERROR(VLOOKUP(A82,Climatologia_TMED!A:U,9+$E$2,FALSE),"")</f>
        <v>26.62117511996097</v>
      </c>
      <c r="AS82" s="71">
        <f t="shared" si="5"/>
        <v>1.1309082133723685</v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28.166161108168389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/>
      <c r="L85" s="56"/>
      <c r="M85" s="56">
        <v>32.25</v>
      </c>
      <c r="N85" s="56">
        <v>32.799999999999997</v>
      </c>
      <c r="O85" s="56">
        <v>33.35</v>
      </c>
      <c r="P85" s="56">
        <v>32.049999999999997</v>
      </c>
      <c r="Q85" s="56">
        <v>29.75</v>
      </c>
      <c r="R85" s="56">
        <v>30.5</v>
      </c>
      <c r="S85" s="56">
        <v>31.05</v>
      </c>
      <c r="T85" s="56">
        <v>31.35</v>
      </c>
      <c r="U85" s="56">
        <v>31.75</v>
      </c>
      <c r="V85" s="56">
        <v>30.5</v>
      </c>
      <c r="W85" s="56">
        <v>27.95</v>
      </c>
      <c r="X85" s="56">
        <v>29.8</v>
      </c>
      <c r="Y85" s="56">
        <v>31.85</v>
      </c>
      <c r="Z85" s="56">
        <v>32.650000000000013</v>
      </c>
      <c r="AA85" s="56">
        <v>32.049999999999997</v>
      </c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15</v>
      </c>
      <c r="AQ85" s="71">
        <f t="shared" si="4"/>
        <v>31.310000000000006</v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29.75</v>
      </c>
      <c r="L86" s="56">
        <v>28.15</v>
      </c>
      <c r="M86" s="56">
        <v>27.85</v>
      </c>
      <c r="N86" s="56">
        <v>29.1</v>
      </c>
      <c r="O86" s="56">
        <v>29.45</v>
      </c>
      <c r="P86" s="56">
        <v>29.6</v>
      </c>
      <c r="Q86" s="56">
        <v>29.15</v>
      </c>
      <c r="R86" s="56">
        <v>29.8</v>
      </c>
      <c r="S86" s="56">
        <v>29.6</v>
      </c>
      <c r="T86" s="56">
        <v>29.7</v>
      </c>
      <c r="U86" s="56">
        <v>30.35</v>
      </c>
      <c r="V86" s="56">
        <v>30.3</v>
      </c>
      <c r="W86" s="56">
        <v>26.65</v>
      </c>
      <c r="X86" s="56">
        <v>27.25</v>
      </c>
      <c r="Y86" s="56">
        <v>28.75</v>
      </c>
      <c r="Z86" s="56">
        <v>30.15</v>
      </c>
      <c r="AA86" s="56">
        <v>28.75</v>
      </c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17</v>
      </c>
      <c r="AQ86" s="71">
        <f t="shared" si="4"/>
        <v>29.079411764705881</v>
      </c>
      <c r="AR86" s="71">
        <f>IFERROR(VLOOKUP(A86,Climatologia_TMED!A:U,9+$E$2,FALSE),"")</f>
        <v>27.379728091279489</v>
      </c>
      <c r="AS86" s="71">
        <f t="shared" si="5"/>
        <v>1.6996836734263923</v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/>
      <c r="L87" s="56"/>
      <c r="M87" s="56"/>
      <c r="N87" s="56"/>
      <c r="O87" s="56">
        <v>29.35</v>
      </c>
      <c r="P87" s="56">
        <v>29.1</v>
      </c>
      <c r="Q87" s="56">
        <v>28.1</v>
      </c>
      <c r="R87" s="56">
        <v>28.2</v>
      </c>
      <c r="S87" s="56">
        <v>30.35</v>
      </c>
      <c r="T87" s="56">
        <v>28.6</v>
      </c>
      <c r="U87" s="56">
        <v>30.9</v>
      </c>
      <c r="V87" s="56">
        <v>28</v>
      </c>
      <c r="W87" s="56">
        <v>26.95</v>
      </c>
      <c r="X87" s="56">
        <v>28.9</v>
      </c>
      <c r="Y87" s="56">
        <v>28.65</v>
      </c>
      <c r="Z87" s="56">
        <v>29.3</v>
      </c>
      <c r="AA87" s="56">
        <v>28.15</v>
      </c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13</v>
      </c>
      <c r="AQ87" s="71" t="str">
        <f t="shared" si="4"/>
        <v/>
      </c>
      <c r="AR87" s="71">
        <f>IFERROR(VLOOKUP(A87,Climatologia_TMED!A:U,9+$E$2,FALSE),"")</f>
        <v>27.720582732365109</v>
      </c>
      <c r="AS87" s="71" t="str">
        <f t="shared" si="5"/>
        <v/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27.9</v>
      </c>
      <c r="L88" s="56">
        <v>28.1</v>
      </c>
      <c r="M88" s="56">
        <v>27.6</v>
      </c>
      <c r="N88" s="56">
        <v>27.55</v>
      </c>
      <c r="O88" s="56">
        <v>29.85</v>
      </c>
      <c r="P88" s="56">
        <v>26.6</v>
      </c>
      <c r="Q88" s="56">
        <v>26.7</v>
      </c>
      <c r="R88" s="56">
        <v>27.45</v>
      </c>
      <c r="S88" s="56">
        <v>27.75</v>
      </c>
      <c r="T88" s="56">
        <v>27.75</v>
      </c>
      <c r="U88" s="56">
        <v>28.25</v>
      </c>
      <c r="V88" s="56">
        <v>26.6</v>
      </c>
      <c r="W88" s="56">
        <v>25.85</v>
      </c>
      <c r="X88" s="56">
        <v>26.65</v>
      </c>
      <c r="Y88" s="56">
        <v>29.15</v>
      </c>
      <c r="Z88" s="56">
        <v>29.65</v>
      </c>
      <c r="AA88" s="56">
        <v>27.8</v>
      </c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17</v>
      </c>
      <c r="AQ88" s="71">
        <f t="shared" si="4"/>
        <v>27.71764705882353</v>
      </c>
      <c r="AR88" s="71">
        <f>IFERROR(VLOOKUP(A88,Climatologia_TMED!A:U,9+$E$2,FALSE),"")</f>
        <v>27.069778972520901</v>
      </c>
      <c r="AS88" s="71">
        <f t="shared" si="5"/>
        <v>0.64786808630262982</v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29.85</v>
      </c>
      <c r="L89" s="56">
        <v>30.5</v>
      </c>
      <c r="M89" s="56">
        <v>28.1</v>
      </c>
      <c r="N89" s="56">
        <v>30.1</v>
      </c>
      <c r="O89" s="56">
        <v>29.8</v>
      </c>
      <c r="P89" s="56">
        <v>26.65</v>
      </c>
      <c r="Q89" s="56">
        <v>27.75</v>
      </c>
      <c r="R89" s="56">
        <v>29.1</v>
      </c>
      <c r="S89" s="56">
        <v>29.6</v>
      </c>
      <c r="T89" s="56">
        <v>30.45</v>
      </c>
      <c r="U89" s="56"/>
      <c r="V89" s="56">
        <v>27.95</v>
      </c>
      <c r="W89" s="56">
        <v>26.85</v>
      </c>
      <c r="X89" s="56">
        <v>29.45</v>
      </c>
      <c r="Y89" s="56">
        <v>31.2</v>
      </c>
      <c r="Z89" s="56">
        <v>31.65</v>
      </c>
      <c r="AA89" s="56">
        <v>28.3</v>
      </c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16</v>
      </c>
      <c r="AQ89" s="71">
        <f t="shared" si="4"/>
        <v>29.206250000000001</v>
      </c>
      <c r="AR89" s="71">
        <f>IFERROR(VLOOKUP(A89,Climatologia_TMED!A:U,9+$E$2,FALSE),"")</f>
        <v>27.705209307495291</v>
      </c>
      <c r="AS89" s="71">
        <f t="shared" si="5"/>
        <v>1.5010406925047093</v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29.35</v>
      </c>
      <c r="L90" s="56"/>
      <c r="M90" s="56"/>
      <c r="N90" s="56"/>
      <c r="O90" s="56">
        <v>30.15</v>
      </c>
      <c r="P90" s="56">
        <v>29.3</v>
      </c>
      <c r="Q90" s="56">
        <v>28.9</v>
      </c>
      <c r="R90" s="56">
        <v>29.95</v>
      </c>
      <c r="S90" s="56">
        <v>30.85</v>
      </c>
      <c r="T90" s="56">
        <v>31.75</v>
      </c>
      <c r="U90" s="56">
        <v>30.85</v>
      </c>
      <c r="V90" s="56">
        <v>28.95</v>
      </c>
      <c r="W90" s="56">
        <v>27.1</v>
      </c>
      <c r="X90" s="56">
        <v>28.95</v>
      </c>
      <c r="Y90" s="56">
        <v>31.3</v>
      </c>
      <c r="Z90" s="56">
        <v>29.75</v>
      </c>
      <c r="AA90" s="56">
        <v>28.55</v>
      </c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14</v>
      </c>
      <c r="AQ90" s="71" t="str">
        <f t="shared" si="4"/>
        <v/>
      </c>
      <c r="AR90" s="71">
        <f>IFERROR(VLOOKUP(A90,Climatologia_TMED!A:U,9+$E$2,FALSE),"")</f>
        <v>27.329609392143951</v>
      </c>
      <c r="AS90" s="71" t="str">
        <f t="shared" si="5"/>
        <v/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>
        <v>29.15</v>
      </c>
      <c r="L91" s="56">
        <v>28.4</v>
      </c>
      <c r="M91" s="56">
        <v>27.25</v>
      </c>
      <c r="N91" s="56">
        <v>29.7</v>
      </c>
      <c r="O91" s="56">
        <v>31.15</v>
      </c>
      <c r="P91" s="56">
        <v>28.5</v>
      </c>
      <c r="Q91" s="56">
        <v>29.05</v>
      </c>
      <c r="R91" s="56">
        <v>30.35</v>
      </c>
      <c r="S91" s="56">
        <v>29.35</v>
      </c>
      <c r="T91" s="56"/>
      <c r="U91" s="56">
        <v>27.45</v>
      </c>
      <c r="V91" s="56">
        <v>28.85</v>
      </c>
      <c r="W91" s="56">
        <v>28.8</v>
      </c>
      <c r="X91" s="56">
        <v>31.05</v>
      </c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13</v>
      </c>
      <c r="AQ91" s="71" t="str">
        <f t="shared" si="4"/>
        <v/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16.899999999999999</v>
      </c>
      <c r="L92" s="56">
        <v>17.7</v>
      </c>
      <c r="M92" s="56">
        <v>16.5</v>
      </c>
      <c r="N92" s="56">
        <v>17.149999999999999</v>
      </c>
      <c r="O92" s="56">
        <v>17.05</v>
      </c>
      <c r="P92" s="56">
        <v>17</v>
      </c>
      <c r="Q92" s="56">
        <v>17.2</v>
      </c>
      <c r="R92" s="56">
        <v>16.95</v>
      </c>
      <c r="S92" s="56">
        <v>17.75</v>
      </c>
      <c r="T92" s="56">
        <v>16.850000000000001</v>
      </c>
      <c r="U92" s="56">
        <v>17.75</v>
      </c>
      <c r="V92" s="56">
        <v>16.05</v>
      </c>
      <c r="W92" s="56">
        <v>13.4</v>
      </c>
      <c r="X92" s="56">
        <v>15.1</v>
      </c>
      <c r="Y92" s="56">
        <v>14.525</v>
      </c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15</v>
      </c>
      <c r="AQ92" s="71">
        <f t="shared" si="4"/>
        <v>16.524999999999999</v>
      </c>
      <c r="AR92" s="71">
        <f>IFERROR(VLOOKUP(A92,Climatologia_TMED!A:U,9+$E$2,FALSE),"")</f>
        <v>15.8775587415372</v>
      </c>
      <c r="AS92" s="71">
        <f t="shared" si="5"/>
        <v>0.64744125846279843</v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24.266666666666669</v>
      </c>
      <c r="L93" s="56">
        <v>22.466666666666669</v>
      </c>
      <c r="M93" s="56">
        <v>22.733333333333331</v>
      </c>
      <c r="N93" s="56">
        <v>24.4</v>
      </c>
      <c r="O93" s="56">
        <v>23.733333333333331</v>
      </c>
      <c r="P93" s="56">
        <v>22.86666666666666</v>
      </c>
      <c r="Q93" s="56">
        <v>23.466666666666669</v>
      </c>
      <c r="R93" s="56">
        <v>23.13333333333334</v>
      </c>
      <c r="S93" s="56">
        <v>23.4</v>
      </c>
      <c r="T93" s="56">
        <v>22.4</v>
      </c>
      <c r="U93" s="56">
        <v>23.733333333333331</v>
      </c>
      <c r="V93" s="56">
        <v>22.666666666666671</v>
      </c>
      <c r="W93" s="56">
        <v>21.666666666666671</v>
      </c>
      <c r="X93" s="56">
        <v>22.86666666666666</v>
      </c>
      <c r="Y93" s="56">
        <v>24.466666666666669</v>
      </c>
      <c r="Z93" s="56">
        <v>22.666666666666671</v>
      </c>
      <c r="AA93" s="56">
        <v>22.93333333333333</v>
      </c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17</v>
      </c>
      <c r="AQ93" s="71">
        <f t="shared" si="4"/>
        <v>23.168627450980399</v>
      </c>
      <c r="AR93" s="71">
        <f>IFERROR(VLOOKUP(A93,Climatologia_TMED!A:U,9+$E$2,FALSE),"")</f>
        <v>21.989857397107869</v>
      </c>
      <c r="AS93" s="71">
        <f t="shared" si="5"/>
        <v>1.1787700538725296</v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17.2</v>
      </c>
      <c r="L94" s="56">
        <v>17.149999999999999</v>
      </c>
      <c r="M94" s="56">
        <v>17.899999999999999</v>
      </c>
      <c r="N94" s="56">
        <v>17.55</v>
      </c>
      <c r="O94" s="56">
        <v>16.95</v>
      </c>
      <c r="P94" s="56">
        <v>16.95</v>
      </c>
      <c r="Q94" s="56">
        <v>15.85</v>
      </c>
      <c r="R94" s="56">
        <v>16.7</v>
      </c>
      <c r="S94" s="56">
        <v>17.2</v>
      </c>
      <c r="T94" s="56">
        <v>18.3</v>
      </c>
      <c r="U94" s="56">
        <v>17.45</v>
      </c>
      <c r="V94" s="56">
        <v>16</v>
      </c>
      <c r="W94" s="56">
        <v>15.35</v>
      </c>
      <c r="X94" s="56">
        <v>16.8</v>
      </c>
      <c r="Y94" s="56">
        <v>20.3</v>
      </c>
      <c r="Z94" s="56">
        <v>15.5</v>
      </c>
      <c r="AA94" s="56">
        <v>17.100000000000001</v>
      </c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17</v>
      </c>
      <c r="AQ94" s="71">
        <f t="shared" si="4"/>
        <v>17.073529411764707</v>
      </c>
      <c r="AR94" s="71">
        <f>IFERROR(VLOOKUP(A94,Climatologia_TMED!A:U,9+$E$2,FALSE),"")</f>
        <v>16.039847019800661</v>
      </c>
      <c r="AS94" s="71">
        <f t="shared" si="5"/>
        <v>1.0336823919640459</v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16.2</v>
      </c>
      <c r="L95" s="56">
        <v>15.3</v>
      </c>
      <c r="M95" s="56">
        <v>15.35</v>
      </c>
      <c r="N95" s="56">
        <v>14.7</v>
      </c>
      <c r="O95" s="56">
        <v>16.600000000000001</v>
      </c>
      <c r="P95" s="56">
        <v>16.2</v>
      </c>
      <c r="Q95" s="56">
        <v>15.85</v>
      </c>
      <c r="R95" s="56">
        <v>15.8</v>
      </c>
      <c r="S95" s="56">
        <v>16.45</v>
      </c>
      <c r="T95" s="56">
        <v>15.6</v>
      </c>
      <c r="U95" s="56">
        <v>16</v>
      </c>
      <c r="V95" s="56">
        <v>15.3</v>
      </c>
      <c r="W95" s="56">
        <v>15</v>
      </c>
      <c r="X95" s="56">
        <v>16.95</v>
      </c>
      <c r="Y95" s="56">
        <v>16.5</v>
      </c>
      <c r="Z95" s="56">
        <v>16.100000000000001</v>
      </c>
      <c r="AA95" s="56">
        <v>17.05</v>
      </c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17</v>
      </c>
      <c r="AQ95" s="71">
        <f t="shared" si="4"/>
        <v>15.938235294117646</v>
      </c>
      <c r="AR95" s="71">
        <f>IFERROR(VLOOKUP(A95,Climatologia_TMED!A:U,9+$E$2,FALSE),"")</f>
        <v>14.123251533978079</v>
      </c>
      <c r="AS95" s="71">
        <f t="shared" si="5"/>
        <v>1.8149837601395671</v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17.01292441020539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>
        <v>17.45</v>
      </c>
      <c r="L97" s="56">
        <v>17.8</v>
      </c>
      <c r="M97" s="56">
        <v>19.2</v>
      </c>
      <c r="N97" s="56">
        <v>17.3</v>
      </c>
      <c r="O97" s="56">
        <v>17.55</v>
      </c>
      <c r="P97" s="56">
        <v>16.55</v>
      </c>
      <c r="Q97" s="56">
        <v>17.149999999999999</v>
      </c>
      <c r="R97" s="56">
        <v>17.149999999999999</v>
      </c>
      <c r="S97" s="56">
        <v>15.4</v>
      </c>
      <c r="T97" s="56">
        <v>15.1</v>
      </c>
      <c r="U97" s="56">
        <v>16.5</v>
      </c>
      <c r="V97" s="56">
        <v>16.350000000000001</v>
      </c>
      <c r="W97" s="56">
        <v>15.75</v>
      </c>
      <c r="X97" s="56">
        <v>16.899999999999999</v>
      </c>
      <c r="Y97" s="56">
        <v>17.2</v>
      </c>
      <c r="Z97" s="56">
        <v>15.95</v>
      </c>
      <c r="AA97" s="56">
        <v>15.05</v>
      </c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17</v>
      </c>
      <c r="AQ97" s="71">
        <f t="shared" si="4"/>
        <v>16.726470588235294</v>
      </c>
      <c r="AR97" s="71">
        <f>IFERROR(VLOOKUP(A97,Climatologia_TMED!A:U,9+$E$2,FALSE),"")</f>
        <v>14.44460019878052</v>
      </c>
      <c r="AS97" s="71">
        <f t="shared" si="5"/>
        <v>2.2818703894547738</v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15.35</v>
      </c>
      <c r="L98" s="56">
        <v>13.45</v>
      </c>
      <c r="M98" s="56">
        <v>12.8</v>
      </c>
      <c r="N98" s="56">
        <v>12.65</v>
      </c>
      <c r="O98" s="56">
        <v>14.6</v>
      </c>
      <c r="P98" s="56">
        <v>15.75</v>
      </c>
      <c r="Q98" s="56">
        <v>13.5</v>
      </c>
      <c r="R98" s="56">
        <v>13.65</v>
      </c>
      <c r="S98" s="56">
        <v>14.85</v>
      </c>
      <c r="T98" s="56">
        <v>13.35</v>
      </c>
      <c r="U98" s="56">
        <v>13.9</v>
      </c>
      <c r="V98" s="56">
        <v>13.65</v>
      </c>
      <c r="W98" s="56">
        <v>13.9</v>
      </c>
      <c r="X98" s="56">
        <v>14.8</v>
      </c>
      <c r="Y98" s="56">
        <v>15.55</v>
      </c>
      <c r="Z98" s="56">
        <v>13.8</v>
      </c>
      <c r="AA98" s="56">
        <v>13.6</v>
      </c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17</v>
      </c>
      <c r="AQ98" s="71">
        <f t="shared" si="4"/>
        <v>14.067647058823532</v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15.8</v>
      </c>
      <c r="L99" s="56">
        <v>14.133333333333329</v>
      </c>
      <c r="M99" s="56">
        <v>15.1</v>
      </c>
      <c r="N99" s="56">
        <v>15.66666666666667</v>
      </c>
      <c r="O99" s="56">
        <v>16.63333333333334</v>
      </c>
      <c r="P99" s="56">
        <v>14.56666666666667</v>
      </c>
      <c r="Q99" s="56">
        <v>14.4</v>
      </c>
      <c r="R99" s="56">
        <v>14.7</v>
      </c>
      <c r="S99" s="56">
        <v>14.53333333333333</v>
      </c>
      <c r="T99" s="56">
        <v>14.1</v>
      </c>
      <c r="U99" s="56">
        <v>14.8</v>
      </c>
      <c r="V99" s="56">
        <v>12.866666666666671</v>
      </c>
      <c r="W99" s="56">
        <v>12.133333333333329</v>
      </c>
      <c r="X99" s="56">
        <v>15.06666666666667</v>
      </c>
      <c r="Y99" s="56">
        <v>16.333333333333329</v>
      </c>
      <c r="Z99" s="56">
        <v>14.866666666666671</v>
      </c>
      <c r="AA99" s="56">
        <v>14.53333333333333</v>
      </c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17</v>
      </c>
      <c r="AQ99" s="71">
        <f t="shared" si="4"/>
        <v>14.719607843137254</v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>
        <v>17.466666666666669</v>
      </c>
      <c r="L100" s="56">
        <v>16.93333333333333</v>
      </c>
      <c r="M100" s="56"/>
      <c r="N100" s="56"/>
      <c r="O100" s="56">
        <v>17.399999999999999</v>
      </c>
      <c r="P100" s="56">
        <v>18.600000000000001</v>
      </c>
      <c r="Q100" s="56">
        <v>17</v>
      </c>
      <c r="R100" s="56">
        <v>15.8</v>
      </c>
      <c r="S100" s="56">
        <v>17.2</v>
      </c>
      <c r="T100" s="56"/>
      <c r="U100" s="56"/>
      <c r="V100" s="56"/>
      <c r="W100" s="56">
        <v>15.733333333333331</v>
      </c>
      <c r="X100" s="56">
        <v>15.93333333333333</v>
      </c>
      <c r="Y100" s="56">
        <v>18.93333333333333</v>
      </c>
      <c r="Z100" s="56">
        <v>17.266666666666669</v>
      </c>
      <c r="AA100" s="56">
        <v>15.733333333333331</v>
      </c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12</v>
      </c>
      <c r="AQ100" s="71" t="str">
        <f t="shared" si="4"/>
        <v/>
      </c>
      <c r="AR100" s="71">
        <f>IFERROR(VLOOKUP(A100,Climatologia_TMED!A:U,9+$E$2,FALSE),"")</f>
        <v>14.509560422870511</v>
      </c>
      <c r="AS100" s="71" t="str">
        <f t="shared" si="5"/>
        <v/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15.45</v>
      </c>
      <c r="L101" s="56">
        <v>14.05</v>
      </c>
      <c r="M101" s="56">
        <v>13.85</v>
      </c>
      <c r="N101" s="56">
        <v>13.15</v>
      </c>
      <c r="O101" s="56">
        <v>15.25</v>
      </c>
      <c r="P101" s="56">
        <v>16.45</v>
      </c>
      <c r="Q101" s="56">
        <v>13.8</v>
      </c>
      <c r="R101" s="56">
        <v>14.1</v>
      </c>
      <c r="S101" s="56">
        <v>15</v>
      </c>
      <c r="T101" s="56">
        <v>14.15</v>
      </c>
      <c r="U101" s="56">
        <v>14.3</v>
      </c>
      <c r="V101" s="56">
        <v>13.65</v>
      </c>
      <c r="W101" s="56">
        <v>14.45</v>
      </c>
      <c r="X101" s="56">
        <v>15.75</v>
      </c>
      <c r="Y101" s="56">
        <v>15.75</v>
      </c>
      <c r="Z101" s="56">
        <v>15.3</v>
      </c>
      <c r="AA101" s="56">
        <v>14.95</v>
      </c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17</v>
      </c>
      <c r="AQ101" s="71">
        <f t="shared" si="4"/>
        <v>14.670588235294119</v>
      </c>
      <c r="AR101" s="71">
        <f>IFERROR(VLOOKUP(A101,Climatologia_TMED!A:U,9+$E$2,FALSE),"")</f>
        <v>13.247962835098431</v>
      </c>
      <c r="AS101" s="71">
        <f t="shared" si="5"/>
        <v>1.4226254001956882</v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>
        <v>15</v>
      </c>
      <c r="L102" s="56">
        <v>13.733333333333331</v>
      </c>
      <c r="M102" s="56">
        <v>13.66666666666667</v>
      </c>
      <c r="N102" s="56">
        <v>14.53333333333333</v>
      </c>
      <c r="O102" s="56">
        <v>15.4</v>
      </c>
      <c r="P102" s="56"/>
      <c r="Q102" s="56"/>
      <c r="R102" s="56">
        <v>14.53333333333333</v>
      </c>
      <c r="S102" s="56">
        <v>13.6</v>
      </c>
      <c r="T102" s="56">
        <v>12.46666666666667</v>
      </c>
      <c r="U102" s="56"/>
      <c r="V102" s="56"/>
      <c r="W102" s="56">
        <v>13.133333333333329</v>
      </c>
      <c r="X102" s="56">
        <v>13.53333333333333</v>
      </c>
      <c r="Y102" s="56">
        <v>14.6</v>
      </c>
      <c r="Z102" s="56">
        <v>14.8</v>
      </c>
      <c r="AA102" s="56">
        <v>14.866666666666671</v>
      </c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13</v>
      </c>
      <c r="AQ102" s="71" t="str">
        <f t="shared" si="4"/>
        <v/>
      </c>
      <c r="AR102" s="71">
        <f>IFERROR(VLOOKUP(A102,Climatologia_TMED!A:U,9+$E$2,FALSE),"")</f>
        <v>11.74846290543551</v>
      </c>
      <c r="AS102" s="71" t="str">
        <f t="shared" si="5"/>
        <v/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25.13070503981595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16.725767393923569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19.399999999999999</v>
      </c>
      <c r="L105" s="56">
        <v>17.8</v>
      </c>
      <c r="M105" s="56">
        <v>19.333333333333329</v>
      </c>
      <c r="N105" s="56">
        <v>18.733333333333331</v>
      </c>
      <c r="O105" s="56">
        <v>20.8</v>
      </c>
      <c r="P105" s="56">
        <v>20.133333333333329</v>
      </c>
      <c r="Q105" s="56">
        <v>18.666666666666671</v>
      </c>
      <c r="R105" s="56">
        <v>18.06666666666667</v>
      </c>
      <c r="S105" s="56">
        <v>16.86666666666666</v>
      </c>
      <c r="T105" s="56">
        <v>16.399999999999999</v>
      </c>
      <c r="U105" s="56">
        <v>18.533333333333331</v>
      </c>
      <c r="V105" s="56">
        <v>17</v>
      </c>
      <c r="W105" s="56">
        <v>16.133333333333329</v>
      </c>
      <c r="X105" s="56">
        <v>17.93333333333333</v>
      </c>
      <c r="Y105" s="56">
        <v>21.533333333333331</v>
      </c>
      <c r="Z105" s="56">
        <v>20.399999999999999</v>
      </c>
      <c r="AA105" s="56">
        <v>18.466666666666669</v>
      </c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17</v>
      </c>
      <c r="AQ105" s="71">
        <f t="shared" si="4"/>
        <v>18.600000000000001</v>
      </c>
      <c r="AR105" s="71">
        <f>IFERROR(VLOOKUP(A105,Climatologia_TMED!A:U,9+$E$2,FALSE),"")</f>
        <v>17.093359138055629</v>
      </c>
      <c r="AS105" s="71">
        <f t="shared" si="5"/>
        <v>1.5066408619443727</v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>
        <v>17.350000000000001</v>
      </c>
      <c r="L106" s="56">
        <v>15.9</v>
      </c>
      <c r="M106" s="56">
        <v>15.15</v>
      </c>
      <c r="N106" s="56">
        <v>14.05</v>
      </c>
      <c r="O106" s="56">
        <v>16.7</v>
      </c>
      <c r="P106" s="56">
        <v>15.7</v>
      </c>
      <c r="Q106" s="56">
        <v>13.074999999999999</v>
      </c>
      <c r="R106" s="56">
        <v>14.85</v>
      </c>
      <c r="S106" s="56"/>
      <c r="T106" s="56">
        <v>13.2</v>
      </c>
      <c r="U106" s="56">
        <v>15.1</v>
      </c>
      <c r="V106" s="56">
        <v>14.5</v>
      </c>
      <c r="W106" s="56">
        <v>15.2</v>
      </c>
      <c r="X106" s="56">
        <v>12.55</v>
      </c>
      <c r="Y106" s="56">
        <v>15.75</v>
      </c>
      <c r="Z106" s="56">
        <v>15.55</v>
      </c>
      <c r="AA106" s="56">
        <v>13.25</v>
      </c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16</v>
      </c>
      <c r="AQ106" s="71">
        <f t="shared" si="4"/>
        <v>14.8671875</v>
      </c>
      <c r="AR106" s="71">
        <f>IFERROR(VLOOKUP(A106,Climatologia_TMED!A:U,9+$E$2,FALSE),"")</f>
        <v>14.06904829587253</v>
      </c>
      <c r="AS106" s="71">
        <f t="shared" si="5"/>
        <v>0.79813920412746953</v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0</v>
      </c>
      <c r="AQ107" s="71" t="str">
        <f t="shared" si="4"/>
        <v/>
      </c>
      <c r="AR107" s="71">
        <f>IFERROR(VLOOKUP(A107,Climatologia_TMED!A:U,9+$E$2,FALSE),"")</f>
        <v>13.93105734767021</v>
      </c>
      <c r="AS107" s="71" t="str">
        <f t="shared" si="5"/>
        <v/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16.25</v>
      </c>
      <c r="L108" s="56">
        <v>16.3</v>
      </c>
      <c r="M108" s="56">
        <v>13.824999999999999</v>
      </c>
      <c r="N108" s="56">
        <v>15.2</v>
      </c>
      <c r="O108" s="56">
        <v>15.25</v>
      </c>
      <c r="P108" s="56">
        <v>16.55</v>
      </c>
      <c r="Q108" s="56">
        <v>13.6</v>
      </c>
      <c r="R108" s="56">
        <v>14.3</v>
      </c>
      <c r="S108" s="56">
        <v>16.25</v>
      </c>
      <c r="T108" s="56">
        <v>13.85</v>
      </c>
      <c r="U108" s="56">
        <v>16.350000000000001</v>
      </c>
      <c r="V108" s="56">
        <v>14.25</v>
      </c>
      <c r="W108" s="56">
        <v>15.7</v>
      </c>
      <c r="X108" s="56">
        <v>15.05</v>
      </c>
      <c r="Y108" s="56">
        <v>16.350000000000001</v>
      </c>
      <c r="Z108" s="56">
        <v>16.45</v>
      </c>
      <c r="AA108" s="56">
        <v>14</v>
      </c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17</v>
      </c>
      <c r="AQ108" s="71">
        <f t="shared" si="4"/>
        <v>15.266176470588235</v>
      </c>
      <c r="AR108" s="71">
        <f>IFERROR(VLOOKUP(A108,Climatologia_TMED!A:U,9+$E$2,FALSE),"")</f>
        <v>14.682222659169771</v>
      </c>
      <c r="AS108" s="71">
        <f t="shared" si="5"/>
        <v>0.58395381141846414</v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16.350000000000001</v>
      </c>
      <c r="L109" s="56">
        <v>14.45</v>
      </c>
      <c r="M109" s="56">
        <v>15.2</v>
      </c>
      <c r="N109" s="56">
        <v>15.75</v>
      </c>
      <c r="O109" s="56">
        <v>16.399999999999999</v>
      </c>
      <c r="P109" s="56">
        <v>16.25</v>
      </c>
      <c r="Q109" s="56">
        <v>16.8</v>
      </c>
      <c r="R109" s="56">
        <v>15.75</v>
      </c>
      <c r="S109" s="56">
        <v>16.350000000000001</v>
      </c>
      <c r="T109" s="56">
        <v>15.05</v>
      </c>
      <c r="U109" s="56">
        <v>16.25</v>
      </c>
      <c r="V109" s="56">
        <v>13.95</v>
      </c>
      <c r="W109" s="56">
        <v>15.9</v>
      </c>
      <c r="X109" s="56">
        <v>17.100000000000001</v>
      </c>
      <c r="Y109" s="56">
        <v>17.350000000000001</v>
      </c>
      <c r="Z109" s="56">
        <v>15.35</v>
      </c>
      <c r="AA109" s="56">
        <v>16.3</v>
      </c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17</v>
      </c>
      <c r="AQ109" s="71">
        <f t="shared" si="4"/>
        <v>15.914705882352942</v>
      </c>
      <c r="AR109" s="71">
        <f>IFERROR(VLOOKUP(A109,Climatologia_TMED!A:U,9+$E$2,FALSE),"")</f>
        <v>14.58204881504656</v>
      </c>
      <c r="AS109" s="71">
        <f t="shared" si="5"/>
        <v>1.332657067306382</v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>
        <v>19.733333333333331</v>
      </c>
      <c r="L110" s="56">
        <v>17.8</v>
      </c>
      <c r="M110" s="56">
        <v>17.8</v>
      </c>
      <c r="N110" s="56">
        <v>19</v>
      </c>
      <c r="O110" s="56">
        <v>19.466666666666669</v>
      </c>
      <c r="P110" s="56">
        <v>19.06666666666667</v>
      </c>
      <c r="Q110" s="56">
        <v>18.333333333333329</v>
      </c>
      <c r="R110" s="56">
        <v>19.06666666666667</v>
      </c>
      <c r="S110" s="56">
        <v>18.8</v>
      </c>
      <c r="T110" s="56">
        <v>18.266666666666669</v>
      </c>
      <c r="U110" s="56">
        <v>18.399999999999999</v>
      </c>
      <c r="V110" s="56">
        <v>17.06666666666667</v>
      </c>
      <c r="W110" s="56">
        <v>18.399999999999999</v>
      </c>
      <c r="X110" s="56">
        <v>19.399999999999999</v>
      </c>
      <c r="Y110" s="56">
        <v>19.399999999999999</v>
      </c>
      <c r="Z110" s="56">
        <v>19.466666666666669</v>
      </c>
      <c r="AA110" s="56">
        <v>19.133333333333329</v>
      </c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17</v>
      </c>
      <c r="AQ110" s="71">
        <f t="shared" si="4"/>
        <v>18.741176470588236</v>
      </c>
      <c r="AR110" s="71">
        <f>IFERROR(VLOOKUP(A110,Climatologia_TMED!A:U,9+$E$2,FALSE),"")</f>
        <v>18.046652477429902</v>
      </c>
      <c r="AS110" s="71">
        <f t="shared" si="5"/>
        <v>0.69452399315833446</v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17.850000000000001</v>
      </c>
      <c r="L111" s="56">
        <v>16.7</v>
      </c>
      <c r="M111" s="56">
        <v>15.75</v>
      </c>
      <c r="N111" s="56">
        <v>15.6</v>
      </c>
      <c r="O111" s="56">
        <v>17.149999999999999</v>
      </c>
      <c r="P111" s="56">
        <v>17.8</v>
      </c>
      <c r="Q111" s="56">
        <v>15.9</v>
      </c>
      <c r="R111" s="56">
        <v>16.899999999999999</v>
      </c>
      <c r="S111" s="56">
        <v>17.850000000000001</v>
      </c>
      <c r="T111" s="56">
        <v>17.399999999999999</v>
      </c>
      <c r="U111" s="56">
        <v>16.399999999999999</v>
      </c>
      <c r="V111" s="56">
        <v>15.2</v>
      </c>
      <c r="W111" s="56">
        <v>17.649999999999999</v>
      </c>
      <c r="X111" s="56">
        <v>17.7</v>
      </c>
      <c r="Y111" s="56">
        <v>18.350000000000001</v>
      </c>
      <c r="Z111" s="56">
        <v>17.850000000000001</v>
      </c>
      <c r="AA111" s="56">
        <v>16.55</v>
      </c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17</v>
      </c>
      <c r="AQ111" s="71">
        <f t="shared" si="4"/>
        <v>16.976470588235291</v>
      </c>
      <c r="AR111" s="71">
        <f>IFERROR(VLOOKUP(A111,Climatologia_TMED!A:U,9+$E$2,FALSE),"")</f>
        <v>16.360524994967189</v>
      </c>
      <c r="AS111" s="71">
        <f t="shared" si="5"/>
        <v>0.61594559326810128</v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20.399999999999999</v>
      </c>
      <c r="L112" s="56">
        <v>17.93333333333333</v>
      </c>
      <c r="M112" s="56">
        <v>19.533333333333331</v>
      </c>
      <c r="N112" s="56">
        <v>19.600000000000001</v>
      </c>
      <c r="O112" s="56">
        <v>20.466666666666669</v>
      </c>
      <c r="P112" s="56">
        <v>19.399999999999999</v>
      </c>
      <c r="Q112" s="56">
        <v>19.333333333333329</v>
      </c>
      <c r="R112" s="56">
        <v>19.333333333333329</v>
      </c>
      <c r="S112" s="56">
        <v>20.399999999999999</v>
      </c>
      <c r="T112" s="56">
        <v>18.333333333333329</v>
      </c>
      <c r="U112" s="56">
        <v>19.866666666666671</v>
      </c>
      <c r="V112" s="56">
        <v>18.2</v>
      </c>
      <c r="W112" s="56">
        <v>19.733333333333331</v>
      </c>
      <c r="X112" s="56">
        <v>18</v>
      </c>
      <c r="Y112" s="56">
        <v>20.06666666666667</v>
      </c>
      <c r="Z112" s="56">
        <v>20.06666666666667</v>
      </c>
      <c r="AA112" s="56">
        <v>18.86666666666666</v>
      </c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17</v>
      </c>
      <c r="AQ112" s="71">
        <f t="shared" si="4"/>
        <v>19.384313725490195</v>
      </c>
      <c r="AR112" s="71">
        <f>IFERROR(VLOOKUP(A112,Climatologia_TMED!A:U,9+$E$2,FALSE),"")</f>
        <v>17.634442842433899</v>
      </c>
      <c r="AS112" s="71">
        <f t="shared" si="5"/>
        <v>1.7498708830562961</v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>
        <v>21.6</v>
      </c>
      <c r="L113" s="56">
        <v>20</v>
      </c>
      <c r="M113" s="56">
        <v>20.333333333333329</v>
      </c>
      <c r="N113" s="56">
        <v>19.733333333333331</v>
      </c>
      <c r="O113" s="56">
        <v>21.06666666666667</v>
      </c>
      <c r="P113" s="56">
        <v>21.06666666666667</v>
      </c>
      <c r="Q113" s="56">
        <v>20.2</v>
      </c>
      <c r="R113" s="56"/>
      <c r="S113" s="56">
        <v>20.133333333333329</v>
      </c>
      <c r="T113" s="56">
        <v>19.333333333333339</v>
      </c>
      <c r="U113" s="56">
        <v>20.8</v>
      </c>
      <c r="V113" s="56">
        <v>18.06666666666667</v>
      </c>
      <c r="W113" s="56">
        <v>20.866666666666671</v>
      </c>
      <c r="X113" s="56"/>
      <c r="Y113" s="56">
        <v>21.666666666666671</v>
      </c>
      <c r="Z113" s="56">
        <v>21.333333333333329</v>
      </c>
      <c r="AA113" s="56">
        <v>19.2</v>
      </c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15</v>
      </c>
      <c r="AQ113" s="71">
        <f t="shared" si="4"/>
        <v>20.36</v>
      </c>
      <c r="AR113" s="71">
        <f>IFERROR(VLOOKUP(A113,Climatologia_TMED!A:U,9+$E$2,FALSE),"")</f>
        <v>18.982990988223222</v>
      </c>
      <c r="AS113" s="71">
        <f t="shared" si="5"/>
        <v>1.3770090117767779</v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>
        <v>24.6</v>
      </c>
      <c r="L114" s="56">
        <v>23.533333333333331</v>
      </c>
      <c r="M114" s="56">
        <v>22.8</v>
      </c>
      <c r="N114" s="56"/>
      <c r="O114" s="56">
        <v>24.333333333333329</v>
      </c>
      <c r="P114" s="56"/>
      <c r="Q114" s="56">
        <v>23.333333333333329</v>
      </c>
      <c r="R114" s="56"/>
      <c r="S114" s="56"/>
      <c r="T114" s="56">
        <v>21.666666666666671</v>
      </c>
      <c r="U114" s="56"/>
      <c r="V114" s="56"/>
      <c r="W114" s="56">
        <v>23.266666666666669</v>
      </c>
      <c r="X114" s="56">
        <v>24.266666666666669</v>
      </c>
      <c r="Y114" s="56">
        <v>24.4</v>
      </c>
      <c r="Z114" s="56">
        <v>24.666666666666671</v>
      </c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10</v>
      </c>
      <c r="AQ114" s="71" t="str">
        <f t="shared" si="4"/>
        <v/>
      </c>
      <c r="AR114" s="71">
        <f>IFERROR(VLOOKUP(A114,Climatologia_TMED!A:U,9+$E$2,FALSE),"")</f>
        <v>21.484302258844231</v>
      </c>
      <c r="AS114" s="71" t="str">
        <f t="shared" si="5"/>
        <v/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26.95</v>
      </c>
      <c r="L115" s="56">
        <v>26.2</v>
      </c>
      <c r="M115" s="56">
        <v>28.274999999999999</v>
      </c>
      <c r="N115" s="56">
        <v>27.95</v>
      </c>
      <c r="O115" s="56">
        <v>29.4</v>
      </c>
      <c r="P115" s="56">
        <v>29.5</v>
      </c>
      <c r="Q115" s="56">
        <v>25.9</v>
      </c>
      <c r="R115" s="56">
        <v>27.65</v>
      </c>
      <c r="S115" s="56">
        <v>29.7</v>
      </c>
      <c r="T115" s="56">
        <v>27.5</v>
      </c>
      <c r="U115" s="56">
        <v>27.4</v>
      </c>
      <c r="V115" s="56">
        <v>26.8</v>
      </c>
      <c r="W115" s="56">
        <v>28.6</v>
      </c>
      <c r="X115" s="56">
        <v>29.05</v>
      </c>
      <c r="Y115" s="56">
        <v>28.9</v>
      </c>
      <c r="Z115" s="56">
        <v>30</v>
      </c>
      <c r="AA115" s="56">
        <v>25.35</v>
      </c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17</v>
      </c>
      <c r="AQ115" s="71">
        <f t="shared" si="4"/>
        <v>27.948529411764707</v>
      </c>
      <c r="AR115" s="71">
        <f>IFERROR(VLOOKUP(A115,Climatologia_TMED!A:U,9+$E$2,FALSE),"")</f>
        <v>27.484475806451581</v>
      </c>
      <c r="AS115" s="71">
        <f t="shared" si="5"/>
        <v>0.46405360531312567</v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19.533333333333331</v>
      </c>
      <c r="L116" s="56">
        <v>18.13333333333334</v>
      </c>
      <c r="M116" s="56">
        <v>19.466666666666669</v>
      </c>
      <c r="N116" s="56">
        <v>19.399999999999999</v>
      </c>
      <c r="O116" s="56">
        <v>20.133333333333329</v>
      </c>
      <c r="P116" s="56">
        <v>20.8</v>
      </c>
      <c r="Q116" s="56">
        <v>19.266666666666669</v>
      </c>
      <c r="R116" s="56">
        <v>18.866666666666671</v>
      </c>
      <c r="S116" s="56">
        <v>19.2</v>
      </c>
      <c r="T116" s="56">
        <v>19.333333333333329</v>
      </c>
      <c r="U116" s="56">
        <v>19.666666666666671</v>
      </c>
      <c r="V116" s="56">
        <v>19.466666666666669</v>
      </c>
      <c r="W116" s="56">
        <v>18.399999999999999</v>
      </c>
      <c r="X116" s="56">
        <v>19</v>
      </c>
      <c r="Y116" s="56">
        <v>19.600000000000001</v>
      </c>
      <c r="Z116" s="56">
        <v>19.533333333333331</v>
      </c>
      <c r="AA116" s="56">
        <v>19.86666666666666</v>
      </c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17</v>
      </c>
      <c r="AQ116" s="71">
        <f t="shared" si="4"/>
        <v>19.392156862745104</v>
      </c>
      <c r="AR116" s="71">
        <f>IFERROR(VLOOKUP(A116,Climatologia_TMED!A:U,9+$E$2,FALSE),"")</f>
        <v>19.131439248100389</v>
      </c>
      <c r="AS116" s="71">
        <f t="shared" si="5"/>
        <v>0.26071761464471521</v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28.666666666666671</v>
      </c>
      <c r="L117" s="56">
        <v>25.8</v>
      </c>
      <c r="M117" s="56">
        <v>27.4</v>
      </c>
      <c r="N117" s="56">
        <v>27.6</v>
      </c>
      <c r="O117" s="56">
        <v>29.06666666666667</v>
      </c>
      <c r="P117" s="56">
        <v>29.4</v>
      </c>
      <c r="Q117" s="56">
        <v>25.533333333333331</v>
      </c>
      <c r="R117" s="56">
        <v>27.666666666666671</v>
      </c>
      <c r="S117" s="56">
        <v>28.733333333333331</v>
      </c>
      <c r="T117" s="56">
        <v>27.13333333333334</v>
      </c>
      <c r="U117" s="56"/>
      <c r="V117" s="56"/>
      <c r="W117" s="56">
        <v>28.2</v>
      </c>
      <c r="X117" s="56">
        <v>28.733333333333331</v>
      </c>
      <c r="Y117" s="56">
        <v>28.86666666666666</v>
      </c>
      <c r="Z117" s="56">
        <v>29.266666666666669</v>
      </c>
      <c r="AA117" s="56">
        <v>24.6</v>
      </c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15</v>
      </c>
      <c r="AQ117" s="71">
        <f t="shared" si="4"/>
        <v>27.777777777777779</v>
      </c>
      <c r="AR117" s="71">
        <f>IFERROR(VLOOKUP(A117,Climatologia_TMED!A:U,9+$E$2,FALSE),"")</f>
        <v>26.59831004118276</v>
      </c>
      <c r="AS117" s="71">
        <f t="shared" si="5"/>
        <v>1.1794677365950186</v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>
        <v>30.8</v>
      </c>
      <c r="L118" s="56">
        <v>29.86666666666666</v>
      </c>
      <c r="M118" s="56"/>
      <c r="N118" s="56">
        <v>30.4</v>
      </c>
      <c r="O118" s="56">
        <v>30</v>
      </c>
      <c r="P118" s="56">
        <v>30.06666666666667</v>
      </c>
      <c r="Q118" s="56">
        <v>30.13333333333334</v>
      </c>
      <c r="R118" s="56">
        <v>29.333333333333329</v>
      </c>
      <c r="S118" s="56">
        <v>29.666666666666671</v>
      </c>
      <c r="T118" s="56">
        <v>29.8</v>
      </c>
      <c r="U118" s="56">
        <v>30.333333333333329</v>
      </c>
      <c r="V118" s="56">
        <v>30</v>
      </c>
      <c r="W118" s="56">
        <v>30.533333333333331</v>
      </c>
      <c r="X118" s="56"/>
      <c r="Y118" s="56"/>
      <c r="Z118" s="56">
        <v>30.4</v>
      </c>
      <c r="AA118" s="56">
        <v>26.93333333333333</v>
      </c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14</v>
      </c>
      <c r="AQ118" s="71" t="str">
        <f t="shared" si="4"/>
        <v/>
      </c>
      <c r="AR118" s="71">
        <f>IFERROR(VLOOKUP(A118,Climatologia_TMED!A:U,9+$E$2,FALSE),"")</f>
        <v>26.967688172043001</v>
      </c>
      <c r="AS118" s="71" t="str">
        <f t="shared" si="5"/>
        <v/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/>
      <c r="L119" s="56">
        <v>23.733333333333331</v>
      </c>
      <c r="M119" s="56">
        <v>25.266666666666669</v>
      </c>
      <c r="N119" s="56">
        <v>23.666666666666671</v>
      </c>
      <c r="O119" s="56">
        <v>23.533333333333331</v>
      </c>
      <c r="P119" s="56">
        <v>24.6</v>
      </c>
      <c r="Q119" s="56">
        <v>25.6</v>
      </c>
      <c r="R119" s="56">
        <v>25.666666666666671</v>
      </c>
      <c r="S119" s="56">
        <v>23.6</v>
      </c>
      <c r="T119" s="56">
        <v>24</v>
      </c>
      <c r="U119" s="56"/>
      <c r="V119" s="56"/>
      <c r="W119" s="56">
        <v>23.6</v>
      </c>
      <c r="X119" s="56">
        <v>24.733333333333331</v>
      </c>
      <c r="Y119" s="56">
        <v>23.733333333333331</v>
      </c>
      <c r="Z119" s="56"/>
      <c r="AA119" s="56">
        <v>23.93333333333333</v>
      </c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13</v>
      </c>
      <c r="AQ119" s="71" t="str">
        <f t="shared" si="4"/>
        <v/>
      </c>
      <c r="AR119" s="71">
        <f>IFERROR(VLOOKUP(A119,Climatologia_TMED!A:U,9+$E$2,FALSE),"")</f>
        <v>22.61409796893664</v>
      </c>
      <c r="AS119" s="71" t="str">
        <f t="shared" si="5"/>
        <v/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>
        <v>29</v>
      </c>
      <c r="L120" s="56"/>
      <c r="M120" s="56">
        <v>28.06666666666667</v>
      </c>
      <c r="N120" s="56">
        <v>29.333333333333329</v>
      </c>
      <c r="O120" s="56">
        <v>28.2</v>
      </c>
      <c r="P120" s="56">
        <v>26.86666666666666</v>
      </c>
      <c r="Q120" s="56"/>
      <c r="R120" s="56"/>
      <c r="S120" s="56"/>
      <c r="T120" s="56"/>
      <c r="U120" s="56"/>
      <c r="V120" s="56"/>
      <c r="W120" s="56"/>
      <c r="X120" s="56">
        <v>29.666666666666671</v>
      </c>
      <c r="Y120" s="56">
        <v>28.733333333333331</v>
      </c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7</v>
      </c>
      <c r="AQ120" s="71" t="str">
        <f t="shared" si="4"/>
        <v/>
      </c>
      <c r="AR120" s="71">
        <f>IFERROR(VLOOKUP(A120,Climatologia_TMED!A:U,9+$E$2,FALSE),"")</f>
        <v>27.08701552597141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26.538243725963699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13.8</v>
      </c>
      <c r="L122" s="56">
        <v>13</v>
      </c>
      <c r="M122" s="56">
        <v>12.93333333333333</v>
      </c>
      <c r="N122" s="56">
        <v>13.8</v>
      </c>
      <c r="O122" s="56">
        <v>12.66666666666667</v>
      </c>
      <c r="P122" s="56">
        <v>11.866666666666671</v>
      </c>
      <c r="Q122" s="56">
        <v>10.4</v>
      </c>
      <c r="R122" s="56">
        <v>11.8</v>
      </c>
      <c r="S122" s="56">
        <v>13.2</v>
      </c>
      <c r="T122" s="56">
        <v>12.46666666666667</v>
      </c>
      <c r="U122" s="56">
        <v>12</v>
      </c>
      <c r="V122" s="56">
        <v>13</v>
      </c>
      <c r="W122" s="56">
        <v>12.866666666666671</v>
      </c>
      <c r="X122" s="56">
        <v>12.06666666666667</v>
      </c>
      <c r="Y122" s="56">
        <v>14.8</v>
      </c>
      <c r="Z122" s="56">
        <v>13.4</v>
      </c>
      <c r="AA122" s="56">
        <v>10.4</v>
      </c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17</v>
      </c>
      <c r="AQ122" s="71">
        <f t="shared" si="4"/>
        <v>12.615686274509805</v>
      </c>
      <c r="AR122" s="71">
        <f>IFERROR(VLOOKUP(A122,Climatologia_TMED!A:U,9+$E$2,FALSE),"")</f>
        <v>10.85633242813253</v>
      </c>
      <c r="AS122" s="71">
        <f t="shared" si="5"/>
        <v>1.7593538463772749</v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23.638459600288289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17.533333333333331</v>
      </c>
      <c r="L124" s="56">
        <v>15.733333333333331</v>
      </c>
      <c r="M124" s="56">
        <v>16.866666666666671</v>
      </c>
      <c r="N124" s="56">
        <v>18.2</v>
      </c>
      <c r="O124" s="56">
        <v>18.06666666666667</v>
      </c>
      <c r="P124" s="56">
        <v>18.2</v>
      </c>
      <c r="Q124" s="56">
        <v>18.266666666666669</v>
      </c>
      <c r="R124" s="56">
        <v>17.866666666666671</v>
      </c>
      <c r="S124" s="56">
        <v>17.666666666666671</v>
      </c>
      <c r="T124" s="56">
        <v>18.399999999999999</v>
      </c>
      <c r="U124" s="56">
        <v>18</v>
      </c>
      <c r="V124" s="56">
        <v>18.333333333333329</v>
      </c>
      <c r="W124" s="56">
        <v>18.93333333333333</v>
      </c>
      <c r="X124" s="56">
        <v>19.333333333333329</v>
      </c>
      <c r="Y124" s="56">
        <v>18.666666666666671</v>
      </c>
      <c r="Z124" s="56">
        <v>17.266666666666669</v>
      </c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16</v>
      </c>
      <c r="AQ124" s="71">
        <f t="shared" si="4"/>
        <v>17.958333333333336</v>
      </c>
      <c r="AR124" s="71">
        <f>IFERROR(VLOOKUP(A124,Climatologia_TMED!A:U,9+$E$2,FALSE),"")</f>
        <v>16.229132820044239</v>
      </c>
      <c r="AS124" s="71">
        <f t="shared" si="5"/>
        <v>1.7292005132890971</v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17.402636498767819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>
        <v>14.06666666666667</v>
      </c>
      <c r="L126" s="56"/>
      <c r="M126" s="56">
        <v>11.53333333333333</v>
      </c>
      <c r="N126" s="56"/>
      <c r="O126" s="56">
        <v>13.66666666666667</v>
      </c>
      <c r="P126" s="56">
        <v>13.866666666666671</v>
      </c>
      <c r="Q126" s="56">
        <v>12.8</v>
      </c>
      <c r="R126" s="56">
        <v>12.9</v>
      </c>
      <c r="S126" s="56">
        <v>12.6</v>
      </c>
      <c r="T126" s="56">
        <v>12.93333333333333</v>
      </c>
      <c r="U126" s="56"/>
      <c r="V126" s="56">
        <v>12.733333333333331</v>
      </c>
      <c r="W126" s="56"/>
      <c r="X126" s="56">
        <v>14.46666666666667</v>
      </c>
      <c r="Y126" s="56">
        <v>13.866666666666671</v>
      </c>
      <c r="Z126" s="56"/>
      <c r="AA126" s="56">
        <v>12.866666666666671</v>
      </c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12</v>
      </c>
      <c r="AQ126" s="71" t="str">
        <f t="shared" si="4"/>
        <v/>
      </c>
      <c r="AR126" s="71">
        <f>IFERROR(VLOOKUP(A126,Climatologia_TMED!A:U,9+$E$2,FALSE),"")</f>
        <v>11.806048918509131</v>
      </c>
      <c r="AS126" s="71" t="str">
        <f t="shared" si="5"/>
        <v/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>
        <v>27.8</v>
      </c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1</v>
      </c>
      <c r="AQ127" s="71" t="str">
        <f t="shared" si="4"/>
        <v/>
      </c>
      <c r="AR127" s="71">
        <f>IFERROR(VLOOKUP(A127,Climatologia_TMED!A:U,9+$E$2,FALSE),"")</f>
        <v>26.170070326925149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26.368048586220631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25.675025997066079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14.733333333333331</v>
      </c>
      <c r="L130" s="56">
        <v>13.866666666666671</v>
      </c>
      <c r="M130" s="56">
        <v>15.233333333333331</v>
      </c>
      <c r="N130" s="56">
        <v>14.6</v>
      </c>
      <c r="O130" s="56">
        <v>16.2</v>
      </c>
      <c r="P130" s="56">
        <v>12.866666666666671</v>
      </c>
      <c r="Q130" s="56">
        <v>13.133333333333329</v>
      </c>
      <c r="R130" s="56">
        <v>14.4</v>
      </c>
      <c r="S130" s="56">
        <v>16.36666666666666</v>
      </c>
      <c r="T130" s="56">
        <v>16.06666666666667</v>
      </c>
      <c r="U130" s="56">
        <v>15.03333333333333</v>
      </c>
      <c r="V130" s="56">
        <v>13.53333333333333</v>
      </c>
      <c r="W130" s="56">
        <v>13.633333333333329</v>
      </c>
      <c r="X130" s="56">
        <v>15.16666666666667</v>
      </c>
      <c r="Y130" s="56">
        <v>17.533333333333331</v>
      </c>
      <c r="Z130" s="56">
        <v>15.33333333333333</v>
      </c>
      <c r="AA130" s="56">
        <v>14.866666666666671</v>
      </c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17</v>
      </c>
      <c r="AQ130" s="71">
        <f t="shared" si="4"/>
        <v>14.856862745098038</v>
      </c>
      <c r="AR130" s="71">
        <f>IFERROR(VLOOKUP(A130,Climatologia_TMED!A:U,9+$E$2,FALSE),"")</f>
        <v>13.846390041845421</v>
      </c>
      <c r="AS130" s="71">
        <f t="shared" si="5"/>
        <v>1.0104727032526171</v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17.149999999999999</v>
      </c>
      <c r="L131" s="56">
        <v>16.600000000000001</v>
      </c>
      <c r="M131" s="56">
        <v>18.05</v>
      </c>
      <c r="N131" s="56">
        <v>19.899999999999999</v>
      </c>
      <c r="O131" s="56">
        <v>17.899999999999999</v>
      </c>
      <c r="P131" s="56">
        <v>16.850000000000001</v>
      </c>
      <c r="Q131" s="56">
        <v>17.100000000000001</v>
      </c>
      <c r="R131" s="56">
        <v>15.9</v>
      </c>
      <c r="S131" s="56">
        <v>18.649999999999999</v>
      </c>
      <c r="T131" s="56">
        <v>17.399999999999999</v>
      </c>
      <c r="U131" s="56">
        <v>18.2</v>
      </c>
      <c r="V131" s="56">
        <v>15.65</v>
      </c>
      <c r="W131" s="56">
        <v>15.6</v>
      </c>
      <c r="X131" s="56">
        <v>17.100000000000001</v>
      </c>
      <c r="Y131" s="56"/>
      <c r="Z131" s="56">
        <v>18.149999999999999</v>
      </c>
      <c r="AA131" s="56">
        <v>17.55</v>
      </c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16</v>
      </c>
      <c r="AQ131" s="71">
        <f t="shared" si="4"/>
        <v>17.359375</v>
      </c>
      <c r="AR131" s="71">
        <f>IFERROR(VLOOKUP(A131,Climatologia_TMED!A:U,9+$E$2,FALSE),"")</f>
        <v>16.55177959187796</v>
      </c>
      <c r="AS131" s="71">
        <f t="shared" si="5"/>
        <v>0.80759540812204023</v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18.07603789174123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15.133333333333329</v>
      </c>
      <c r="L133" s="56">
        <v>13.733333333333331</v>
      </c>
      <c r="M133" s="56">
        <v>14.266666666666669</v>
      </c>
      <c r="N133" s="56">
        <v>15.133333333333329</v>
      </c>
      <c r="O133" s="56">
        <v>15.366666666666671</v>
      </c>
      <c r="P133" s="56">
        <v>13.96666666666667</v>
      </c>
      <c r="Q133" s="56">
        <v>14.43333333333333</v>
      </c>
      <c r="R133" s="56">
        <v>13.5</v>
      </c>
      <c r="S133" s="56">
        <v>15.2</v>
      </c>
      <c r="T133" s="56">
        <v>15.06666666666667</v>
      </c>
      <c r="U133" s="56">
        <v>14.7</v>
      </c>
      <c r="V133" s="56">
        <v>13.66666666666667</v>
      </c>
      <c r="W133" s="56">
        <v>13.1</v>
      </c>
      <c r="X133" s="56">
        <v>14.06666666666667</v>
      </c>
      <c r="Y133" s="56">
        <v>15.33333333333333</v>
      </c>
      <c r="Z133" s="56">
        <v>14.133333333333329</v>
      </c>
      <c r="AA133" s="56">
        <v>14.6</v>
      </c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17</v>
      </c>
      <c r="AQ133" s="71">
        <f t="shared" ref="AQ133:AQ196" si="7">IF(AP133&gt;14,AVERAGE(K133:AO133),"")</f>
        <v>14.435294117647056</v>
      </c>
      <c r="AR133" s="71">
        <f>IFERROR(VLOOKUP(A133,Climatologia_TMED!A:U,9+$E$2,FALSE),"")</f>
        <v>13.13826330396255</v>
      </c>
      <c r="AS133" s="71">
        <f t="shared" ref="AS133:AS196" si="8">IF(OR(AQ133="",AR133=""),"",IFERROR(AQ133-AR133,""))</f>
        <v>1.2970308136845059</v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18.333333333333329</v>
      </c>
      <c r="L134" s="56">
        <v>16.533333333333331</v>
      </c>
      <c r="M134" s="56">
        <v>18.600000000000001</v>
      </c>
      <c r="N134" s="56">
        <v>20.466666666666669</v>
      </c>
      <c r="O134" s="56">
        <v>18.13333333333334</v>
      </c>
      <c r="P134" s="56">
        <v>15.53333333333333</v>
      </c>
      <c r="Q134" s="56">
        <v>17</v>
      </c>
      <c r="R134" s="56">
        <v>16.466666666666669</v>
      </c>
      <c r="S134" s="56">
        <v>19.133333333333329</v>
      </c>
      <c r="T134" s="56">
        <v>19.93333333333333</v>
      </c>
      <c r="U134" s="56">
        <v>18.733333333333331</v>
      </c>
      <c r="V134" s="56">
        <v>16.666666666666661</v>
      </c>
      <c r="W134" s="56">
        <v>16.8</v>
      </c>
      <c r="X134" s="56">
        <v>18.466666666666669</v>
      </c>
      <c r="Y134" s="56">
        <v>19.2</v>
      </c>
      <c r="Z134" s="56">
        <v>18.466666666666669</v>
      </c>
      <c r="AA134" s="56">
        <v>17.733333333333331</v>
      </c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17</v>
      </c>
      <c r="AQ134" s="71">
        <f t="shared" si="7"/>
        <v>18.011764705882356</v>
      </c>
      <c r="AR134" s="71">
        <f>IFERROR(VLOOKUP(A134,Climatologia_TMED!A:U,9+$E$2,FALSE),"")</f>
        <v>16.123804262864379</v>
      </c>
      <c r="AS134" s="71">
        <f t="shared" si="8"/>
        <v>1.8879604430179775</v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19.100000000000001</v>
      </c>
      <c r="L135" s="56">
        <v>17.649999999999999</v>
      </c>
      <c r="M135" s="56">
        <v>18.100000000000001</v>
      </c>
      <c r="N135" s="56">
        <v>18.149999999999999</v>
      </c>
      <c r="O135" s="56">
        <v>18.5</v>
      </c>
      <c r="P135" s="56">
        <v>18.25</v>
      </c>
      <c r="Q135" s="56">
        <v>18.350000000000001</v>
      </c>
      <c r="R135" s="56"/>
      <c r="S135" s="56">
        <v>18.95</v>
      </c>
      <c r="T135" s="56">
        <v>19.350000000000001</v>
      </c>
      <c r="U135" s="56">
        <v>16.95</v>
      </c>
      <c r="V135" s="56">
        <v>17.149999999999999</v>
      </c>
      <c r="W135" s="56">
        <v>17.399999999999999</v>
      </c>
      <c r="X135" s="56">
        <v>18.45</v>
      </c>
      <c r="Y135" s="56">
        <v>21.65</v>
      </c>
      <c r="Z135" s="56">
        <v>18.600000000000001</v>
      </c>
      <c r="AA135" s="56">
        <v>19.149999999999999</v>
      </c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16</v>
      </c>
      <c r="AQ135" s="71">
        <f t="shared" si="7"/>
        <v>18.484374999999996</v>
      </c>
      <c r="AR135" s="71">
        <f>IFERROR(VLOOKUP(A135,Climatologia_TMED!A:U,9+$E$2,FALSE),"")</f>
        <v>17.803425611943009</v>
      </c>
      <c r="AS135" s="71">
        <f t="shared" si="8"/>
        <v>0.68094938805698746</v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12.93333333333333</v>
      </c>
      <c r="L136" s="56">
        <v>11.53333333333333</v>
      </c>
      <c r="M136" s="56">
        <v>11.733333333333331</v>
      </c>
      <c r="N136" s="56"/>
      <c r="O136" s="56">
        <v>12.2</v>
      </c>
      <c r="P136" s="56">
        <v>14.133333333333329</v>
      </c>
      <c r="Q136" s="56">
        <v>14.33333333333333</v>
      </c>
      <c r="R136" s="56">
        <v>14.266666666666669</v>
      </c>
      <c r="S136" s="56">
        <v>13.53333333333333</v>
      </c>
      <c r="T136" s="56">
        <v>13.33333333333333</v>
      </c>
      <c r="U136" s="56">
        <v>13.2</v>
      </c>
      <c r="V136" s="56">
        <v>12.866666666666671</v>
      </c>
      <c r="W136" s="56">
        <v>12.6</v>
      </c>
      <c r="X136" s="56">
        <v>12.46666666666667</v>
      </c>
      <c r="Y136" s="56">
        <v>13.06666666666667</v>
      </c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14</v>
      </c>
      <c r="AQ136" s="71" t="str">
        <f t="shared" si="7"/>
        <v/>
      </c>
      <c r="AR136" s="71">
        <f>IFERROR(VLOOKUP(A136,Climatologia_TMED!A:U,9+$E$2,FALSE),"")</f>
        <v>12.221172043010739</v>
      </c>
      <c r="AS136" s="71" t="str">
        <f t="shared" si="8"/>
        <v/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20.285381058186829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20.266666666666669</v>
      </c>
      <c r="L138" s="56">
        <v>20.6</v>
      </c>
      <c r="M138" s="56">
        <v>21.06666666666667</v>
      </c>
      <c r="N138" s="56">
        <v>21.86666666666666</v>
      </c>
      <c r="O138" s="56">
        <v>21.533333333333331</v>
      </c>
      <c r="P138" s="56">
        <v>21.733333333333331</v>
      </c>
      <c r="Q138" s="56">
        <v>21.86666666666666</v>
      </c>
      <c r="R138" s="56">
        <v>21.333333333333329</v>
      </c>
      <c r="S138" s="56">
        <v>22.533333333333331</v>
      </c>
      <c r="T138" s="56">
        <v>21.86666666666666</v>
      </c>
      <c r="U138" s="56">
        <v>21.133333333333329</v>
      </c>
      <c r="V138" s="56">
        <v>20.466666666666669</v>
      </c>
      <c r="W138" s="56">
        <v>20.8</v>
      </c>
      <c r="X138" s="56">
        <v>21.4</v>
      </c>
      <c r="Y138" s="56">
        <v>23.466666666666669</v>
      </c>
      <c r="Z138" s="56">
        <v>21</v>
      </c>
      <c r="AA138" s="56">
        <v>22.466666666666669</v>
      </c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17</v>
      </c>
      <c r="AQ138" s="71">
        <f t="shared" si="7"/>
        <v>21.494117647058822</v>
      </c>
      <c r="AR138" s="71">
        <f>IFERROR(VLOOKUP(A138,Climatologia_TMED!A:U,9+$E$2,FALSE),"")</f>
        <v>19.995544690623731</v>
      </c>
      <c r="AS138" s="71">
        <f t="shared" si="8"/>
        <v>1.4985729564350905</v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14.625</v>
      </c>
      <c r="L139" s="56">
        <v>13.25</v>
      </c>
      <c r="M139" s="56">
        <v>13.85</v>
      </c>
      <c r="N139" s="56">
        <v>14.95</v>
      </c>
      <c r="O139" s="56">
        <v>15.85</v>
      </c>
      <c r="P139" s="56">
        <v>15.125</v>
      </c>
      <c r="Q139" s="56">
        <v>14.75</v>
      </c>
      <c r="R139" s="56">
        <v>13.55</v>
      </c>
      <c r="S139" s="56">
        <v>15.05</v>
      </c>
      <c r="T139" s="56">
        <v>14.525</v>
      </c>
      <c r="U139" s="56">
        <v>14.725</v>
      </c>
      <c r="V139" s="56">
        <v>13.6</v>
      </c>
      <c r="W139" s="56">
        <v>13.15</v>
      </c>
      <c r="X139" s="56">
        <v>14.7</v>
      </c>
      <c r="Y139" s="56">
        <v>15.074999999999999</v>
      </c>
      <c r="Z139" s="56">
        <v>14.35</v>
      </c>
      <c r="AA139" s="56">
        <v>13.925000000000001</v>
      </c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17</v>
      </c>
      <c r="AQ139" s="71">
        <f t="shared" si="7"/>
        <v>14.414705882352941</v>
      </c>
      <c r="AR139" s="71">
        <f>IFERROR(VLOOKUP(A139,Climatologia_TMED!A:U,9+$E$2,FALSE),"")</f>
        <v>13.25229822156893</v>
      </c>
      <c r="AS139" s="71">
        <f t="shared" si="8"/>
        <v>1.1624076607840106</v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16.45</v>
      </c>
      <c r="L140" s="56">
        <v>15.65</v>
      </c>
      <c r="M140" s="56">
        <v>15.9</v>
      </c>
      <c r="N140" s="56">
        <v>15.2</v>
      </c>
      <c r="O140" s="56">
        <v>16</v>
      </c>
      <c r="P140" s="56">
        <v>16.55</v>
      </c>
      <c r="Q140" s="56">
        <v>16.5</v>
      </c>
      <c r="R140" s="56">
        <v>16.850000000000001</v>
      </c>
      <c r="S140" s="56">
        <v>16.5</v>
      </c>
      <c r="T140" s="56">
        <v>16.45</v>
      </c>
      <c r="U140" s="56">
        <v>15.25</v>
      </c>
      <c r="V140" s="56">
        <v>15.65</v>
      </c>
      <c r="W140" s="56">
        <v>17.149999999999999</v>
      </c>
      <c r="X140" s="56">
        <v>16.850000000000001</v>
      </c>
      <c r="Y140" s="56">
        <v>15.8</v>
      </c>
      <c r="Z140" s="56">
        <v>15.85</v>
      </c>
      <c r="AA140" s="56">
        <v>15.7</v>
      </c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17</v>
      </c>
      <c r="AQ140" s="71">
        <f t="shared" si="7"/>
        <v>16.13529411764706</v>
      </c>
      <c r="AR140" s="71">
        <f>IFERROR(VLOOKUP(A140,Climatologia_TMED!A:U,9+$E$2,FALSE),"")</f>
        <v>15.717934093437149</v>
      </c>
      <c r="AS140" s="71">
        <f t="shared" si="8"/>
        <v>0.41736002420991092</v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14.2</v>
      </c>
      <c r="L141" s="56">
        <v>13.06666666666667</v>
      </c>
      <c r="M141" s="56">
        <v>13.733333333333331</v>
      </c>
      <c r="N141" s="56">
        <v>15.66666666666667</v>
      </c>
      <c r="O141" s="56">
        <v>16.2</v>
      </c>
      <c r="P141" s="56">
        <v>12.866666666666671</v>
      </c>
      <c r="Q141" s="56">
        <v>14.66666666666667</v>
      </c>
      <c r="R141" s="56">
        <v>13.066666666666659</v>
      </c>
      <c r="S141" s="56">
        <v>14.266666666666669</v>
      </c>
      <c r="T141" s="56">
        <v>14.4</v>
      </c>
      <c r="U141" s="56">
        <v>14.33333333333333</v>
      </c>
      <c r="V141" s="56">
        <v>13</v>
      </c>
      <c r="W141" s="56">
        <v>13.133333333333329</v>
      </c>
      <c r="X141" s="56">
        <v>14.4</v>
      </c>
      <c r="Y141" s="56">
        <v>15.266666666666669</v>
      </c>
      <c r="Z141" s="56">
        <v>13</v>
      </c>
      <c r="AA141" s="56">
        <v>13.866666666666671</v>
      </c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17</v>
      </c>
      <c r="AQ141" s="71">
        <f t="shared" si="7"/>
        <v>14.06666666666667</v>
      </c>
      <c r="AR141" s="71">
        <f>IFERROR(VLOOKUP(A141,Climatologia_TMED!A:U,9+$E$2,FALSE),"")</f>
        <v>12.760684905622311</v>
      </c>
      <c r="AS141" s="71">
        <f t="shared" si="8"/>
        <v>1.3059817610443591</v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>
        <v>12.15</v>
      </c>
      <c r="L142" s="56">
        <v>10.85</v>
      </c>
      <c r="M142" s="56">
        <v>11.2</v>
      </c>
      <c r="N142" s="56">
        <v>12.7</v>
      </c>
      <c r="O142" s="56">
        <v>13.2</v>
      </c>
      <c r="P142" s="56">
        <v>12.55</v>
      </c>
      <c r="Q142" s="56">
        <v>12.9</v>
      </c>
      <c r="R142" s="56">
        <v>11.5</v>
      </c>
      <c r="S142" s="56">
        <v>13.3</v>
      </c>
      <c r="T142" s="56">
        <v>13.4</v>
      </c>
      <c r="U142" s="56">
        <v>12.4</v>
      </c>
      <c r="V142" s="56">
        <v>12.1</v>
      </c>
      <c r="W142" s="56">
        <v>12.25</v>
      </c>
      <c r="X142" s="56">
        <v>12.6</v>
      </c>
      <c r="Y142" s="56">
        <v>12.55</v>
      </c>
      <c r="Z142" s="56">
        <v>12</v>
      </c>
      <c r="AA142" s="56">
        <v>12.15</v>
      </c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17</v>
      </c>
      <c r="AQ142" s="71">
        <f t="shared" si="7"/>
        <v>12.341176470588236</v>
      </c>
      <c r="AR142" s="71">
        <f>IFERROR(VLOOKUP(A142,Climatologia_TMED!A:U,9+$E$2,FALSE),"")</f>
        <v>11.19315959344102</v>
      </c>
      <c r="AS142" s="71">
        <f t="shared" si="8"/>
        <v>1.1480168771472155</v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28.2</v>
      </c>
      <c r="L143" s="56">
        <v>26.066666666666659</v>
      </c>
      <c r="M143" s="56">
        <v>26</v>
      </c>
      <c r="N143" s="56">
        <v>28.333333333333329</v>
      </c>
      <c r="O143" s="56">
        <v>28.733333333333331</v>
      </c>
      <c r="P143" s="56">
        <v>28.333333333333329</v>
      </c>
      <c r="Q143" s="56">
        <v>29</v>
      </c>
      <c r="R143" s="56">
        <v>28.4</v>
      </c>
      <c r="S143" s="56">
        <v>28.466666666666669</v>
      </c>
      <c r="T143" s="56">
        <v>26.733333333333331</v>
      </c>
      <c r="U143" s="56">
        <v>26.8</v>
      </c>
      <c r="V143" s="56">
        <v>27.13333333333334</v>
      </c>
      <c r="W143" s="56">
        <v>28.06666666666667</v>
      </c>
      <c r="X143" s="56">
        <v>29.13333333333334</v>
      </c>
      <c r="Y143" s="56">
        <v>28.13333333333334</v>
      </c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15</v>
      </c>
      <c r="AQ143" s="71">
        <f t="shared" si="7"/>
        <v>27.835555555555555</v>
      </c>
      <c r="AR143" s="71">
        <f>IFERROR(VLOOKUP(A143,Climatologia_TMED!A:U,9+$E$2,FALSE),"")</f>
        <v>25.817599555061172</v>
      </c>
      <c r="AS143" s="71">
        <f t="shared" si="8"/>
        <v>2.0179560004943831</v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18.06666666666667</v>
      </c>
      <c r="L144" s="56">
        <v>17.266666666666669</v>
      </c>
      <c r="M144" s="56">
        <v>16.533333333333331</v>
      </c>
      <c r="N144" s="56">
        <v>17.133333333333329</v>
      </c>
      <c r="O144" s="56">
        <v>18.266666666666669</v>
      </c>
      <c r="P144" s="56">
        <v>18</v>
      </c>
      <c r="Q144" s="56">
        <v>16</v>
      </c>
      <c r="R144" s="56">
        <v>18.2</v>
      </c>
      <c r="S144" s="56">
        <v>17.600000000000001</v>
      </c>
      <c r="T144" s="56">
        <v>16.333333333333329</v>
      </c>
      <c r="U144" s="56">
        <v>17.333333333333329</v>
      </c>
      <c r="V144" s="56">
        <v>15.66666666666667</v>
      </c>
      <c r="W144" s="56">
        <v>14.866666666666671</v>
      </c>
      <c r="X144" s="56">
        <v>17</v>
      </c>
      <c r="Y144" s="56">
        <v>17.466666666666669</v>
      </c>
      <c r="Z144" s="56">
        <v>17.8</v>
      </c>
      <c r="AA144" s="56">
        <v>16.733333333333331</v>
      </c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17</v>
      </c>
      <c r="AQ144" s="71">
        <f t="shared" si="7"/>
        <v>17.074509803921568</v>
      </c>
      <c r="AR144" s="71">
        <f>IFERROR(VLOOKUP(A144,Climatologia_TMED!A:U,9+$E$2,FALSE),"")</f>
        <v>15.68907352555914</v>
      </c>
      <c r="AS144" s="71">
        <f t="shared" si="8"/>
        <v>1.3854362783624286</v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20.2</v>
      </c>
      <c r="L145" s="56">
        <v>19.866666666666671</v>
      </c>
      <c r="M145" s="56">
        <v>20.93333333333333</v>
      </c>
      <c r="N145" s="56">
        <v>22</v>
      </c>
      <c r="O145" s="56">
        <v>22</v>
      </c>
      <c r="P145" s="56">
        <v>21.2</v>
      </c>
      <c r="Q145" s="56">
        <v>18.600000000000001</v>
      </c>
      <c r="R145" s="56">
        <v>20.266666666666669</v>
      </c>
      <c r="S145" s="56">
        <v>22.06666666666667</v>
      </c>
      <c r="T145" s="56">
        <v>20.333333333333329</v>
      </c>
      <c r="U145" s="56">
        <v>22.13333333333334</v>
      </c>
      <c r="V145" s="56">
        <v>19.2</v>
      </c>
      <c r="W145" s="56">
        <v>18.600000000000001</v>
      </c>
      <c r="X145" s="56">
        <v>20.2</v>
      </c>
      <c r="Y145" s="56">
        <v>21.93333333333333</v>
      </c>
      <c r="Z145" s="56">
        <v>21.4</v>
      </c>
      <c r="AA145" s="56">
        <v>20.399999999999999</v>
      </c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17</v>
      </c>
      <c r="AQ145" s="71">
        <f t="shared" si="7"/>
        <v>20.666666666666664</v>
      </c>
      <c r="AR145" s="71">
        <f>IFERROR(VLOOKUP(A145,Climatologia_TMED!A:U,9+$E$2,FALSE),"")</f>
        <v>19.419995767669139</v>
      </c>
      <c r="AS145" s="71">
        <f t="shared" si="8"/>
        <v>1.2466708989975253</v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>
        <v>31.13333333333334</v>
      </c>
      <c r="L146" s="56">
        <v>31.8</v>
      </c>
      <c r="M146" s="56">
        <v>30.8</v>
      </c>
      <c r="N146" s="56">
        <v>29.93333333333333</v>
      </c>
      <c r="O146" s="56">
        <v>31.6</v>
      </c>
      <c r="P146" s="56">
        <v>31.733333333333331</v>
      </c>
      <c r="Q146" s="56">
        <v>28.13333333333334</v>
      </c>
      <c r="R146" s="56"/>
      <c r="S146" s="56">
        <v>30.466666666666669</v>
      </c>
      <c r="T146" s="56">
        <v>30</v>
      </c>
      <c r="U146" s="56">
        <v>31.733333333333331</v>
      </c>
      <c r="V146" s="56">
        <v>29.266666666666669</v>
      </c>
      <c r="W146" s="56">
        <v>26.93333333333333</v>
      </c>
      <c r="X146" s="56">
        <v>28.6</v>
      </c>
      <c r="Y146" s="56">
        <v>30.86666666666666</v>
      </c>
      <c r="Z146" s="56">
        <v>31</v>
      </c>
      <c r="AA146" s="56">
        <v>31.533333333333331</v>
      </c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16</v>
      </c>
      <c r="AQ146" s="71">
        <f t="shared" si="7"/>
        <v>30.345833333333339</v>
      </c>
      <c r="AR146" s="71">
        <f>IFERROR(VLOOKUP(A146,Climatologia_TMED!A:U,9+$E$2,FALSE),"")</f>
        <v>28.23129393152885</v>
      </c>
      <c r="AS146" s="71">
        <f t="shared" si="8"/>
        <v>2.114539401804489</v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26.93333333333333</v>
      </c>
      <c r="L147" s="56">
        <v>26.13333333333334</v>
      </c>
      <c r="M147" s="56">
        <v>25.93333333333333</v>
      </c>
      <c r="N147" s="56">
        <v>26.666666666666671</v>
      </c>
      <c r="O147" s="56">
        <v>27.13333333333334</v>
      </c>
      <c r="P147" s="56">
        <v>25.4</v>
      </c>
      <c r="Q147" s="56">
        <v>23.8</v>
      </c>
      <c r="R147" s="56">
        <v>26.466666666666669</v>
      </c>
      <c r="S147" s="56">
        <v>26.733333333333331</v>
      </c>
      <c r="T147" s="56">
        <v>25.93333333333333</v>
      </c>
      <c r="U147" s="56">
        <v>26.466666666666669</v>
      </c>
      <c r="V147" s="56">
        <v>23.266666666666669</v>
      </c>
      <c r="W147" s="56">
        <v>22.93333333333333</v>
      </c>
      <c r="X147" s="56">
        <v>25.666666666666671</v>
      </c>
      <c r="Y147" s="56">
        <v>26.333333333333329</v>
      </c>
      <c r="Z147" s="56">
        <v>26.8</v>
      </c>
      <c r="AA147" s="56">
        <v>25.6</v>
      </c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17</v>
      </c>
      <c r="AQ147" s="71">
        <f t="shared" si="7"/>
        <v>25.776470588235298</v>
      </c>
      <c r="AR147" s="71">
        <f>IFERROR(VLOOKUP(A147,Climatologia_TMED!A:U,9+$E$2,FALSE),"")</f>
        <v>23.435879058931128</v>
      </c>
      <c r="AS147" s="71">
        <f t="shared" si="8"/>
        <v>2.3405915293041701</v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29.13333333333334</v>
      </c>
      <c r="L148" s="56">
        <v>31.733333333333331</v>
      </c>
      <c r="M148" s="56">
        <v>30.93333333333333</v>
      </c>
      <c r="N148" s="56">
        <v>29.866666666666671</v>
      </c>
      <c r="O148" s="56">
        <v>31.733333333333331</v>
      </c>
      <c r="P148" s="56">
        <v>29.333333333333329</v>
      </c>
      <c r="Q148" s="56">
        <v>29.2</v>
      </c>
      <c r="R148" s="56">
        <v>31.13333333333334</v>
      </c>
      <c r="S148" s="56">
        <v>30.2</v>
      </c>
      <c r="T148" s="56">
        <v>27.8</v>
      </c>
      <c r="U148" s="56">
        <v>29.2</v>
      </c>
      <c r="V148" s="56">
        <v>27.466666666666669</v>
      </c>
      <c r="W148" s="56">
        <v>27.06666666666667</v>
      </c>
      <c r="X148" s="56">
        <v>29.6</v>
      </c>
      <c r="Y148" s="56">
        <v>30.2</v>
      </c>
      <c r="Z148" s="56">
        <v>30.86666666666666</v>
      </c>
      <c r="AA148" s="56">
        <v>29.333333333333329</v>
      </c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17</v>
      </c>
      <c r="AQ148" s="71">
        <f t="shared" si="7"/>
        <v>29.694117647058825</v>
      </c>
      <c r="AR148" s="71">
        <f>IFERROR(VLOOKUP(A148,Climatologia_TMED!A:U,9+$E$2,FALSE),"")</f>
        <v>28.269792366916029</v>
      </c>
      <c r="AS148" s="71">
        <f t="shared" si="8"/>
        <v>1.4243252801427957</v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0</v>
      </c>
      <c r="AQ149" s="71" t="str">
        <f t="shared" si="7"/>
        <v/>
      </c>
      <c r="AR149" s="71">
        <f>IFERROR(VLOOKUP(A149,Climatologia_TMED!A:U,9+$E$2,FALSE),"")</f>
        <v>21.51672599184278</v>
      </c>
      <c r="AS149" s="71" t="str">
        <f t="shared" si="8"/>
        <v/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22.15209540019616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>
        <v>23.666666666666671</v>
      </c>
      <c r="L151" s="56">
        <v>23.933333333333341</v>
      </c>
      <c r="M151" s="56">
        <v>22.06666666666667</v>
      </c>
      <c r="N151" s="56">
        <v>23.266666666666669</v>
      </c>
      <c r="O151" s="56">
        <v>23.933333333333341</v>
      </c>
      <c r="P151" s="56">
        <v>23</v>
      </c>
      <c r="Q151" s="56">
        <v>22.06666666666667</v>
      </c>
      <c r="R151" s="56">
        <v>22.4</v>
      </c>
      <c r="S151" s="56">
        <v>22.466666666666669</v>
      </c>
      <c r="T151" s="56">
        <v>23.533333333333331</v>
      </c>
      <c r="U151" s="56">
        <v>22.733333333333331</v>
      </c>
      <c r="V151" s="56">
        <v>22.13333333333334</v>
      </c>
      <c r="W151" s="56"/>
      <c r="X151" s="56">
        <v>22.666666666666671</v>
      </c>
      <c r="Y151" s="56">
        <v>23.86666666666666</v>
      </c>
      <c r="Z151" s="56">
        <v>22.86666666666666</v>
      </c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15</v>
      </c>
      <c r="AQ151" s="71">
        <f t="shared" si="7"/>
        <v>22.973333333333336</v>
      </c>
      <c r="AR151" s="71">
        <f>IFERROR(VLOOKUP(A151,Climatologia_TMED!A:U,9+$E$2,FALSE),"")</f>
        <v>21.245281015509999</v>
      </c>
      <c r="AS151" s="71">
        <f t="shared" si="8"/>
        <v>1.7280523178233373</v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21.5141724872101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28.439637613730319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19.5</v>
      </c>
      <c r="L154" s="56">
        <v>19.600000000000001</v>
      </c>
      <c r="M154" s="56">
        <v>19.05</v>
      </c>
      <c r="N154" s="56">
        <v>20.350000000000001</v>
      </c>
      <c r="O154" s="56">
        <v>21.15</v>
      </c>
      <c r="P154" s="56">
        <v>20.25</v>
      </c>
      <c r="Q154" s="56">
        <v>20.25</v>
      </c>
      <c r="R154" s="56">
        <v>20.149999999999999</v>
      </c>
      <c r="S154" s="56">
        <v>20.55</v>
      </c>
      <c r="T154" s="56">
        <v>18.899999999999999</v>
      </c>
      <c r="U154" s="56">
        <v>20.350000000000001</v>
      </c>
      <c r="V154" s="56">
        <v>19.649999999999999</v>
      </c>
      <c r="W154" s="56">
        <v>18.2</v>
      </c>
      <c r="X154" s="56">
        <v>20.65</v>
      </c>
      <c r="Y154" s="56">
        <v>20.7</v>
      </c>
      <c r="Z154" s="56">
        <v>20.25</v>
      </c>
      <c r="AA154" s="56">
        <v>20.3</v>
      </c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17</v>
      </c>
      <c r="AQ154" s="71">
        <f t="shared" si="7"/>
        <v>19.991176470588236</v>
      </c>
      <c r="AR154" s="71">
        <f>IFERROR(VLOOKUP(A154,Climatologia_TMED!A:U,9+$E$2,FALSE),"")</f>
        <v>19.26545544432085</v>
      </c>
      <c r="AS154" s="71">
        <f t="shared" si="8"/>
        <v>0.72572102626738655</v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>
        <v>27.266666666666669</v>
      </c>
      <c r="L155" s="56">
        <v>26.4</v>
      </c>
      <c r="M155" s="56">
        <v>26.466666666666669</v>
      </c>
      <c r="N155" s="56">
        <v>28.266666666666669</v>
      </c>
      <c r="O155" s="56">
        <v>29.666666666666671</v>
      </c>
      <c r="P155" s="56">
        <v>27.333333333333329</v>
      </c>
      <c r="Q155" s="56">
        <v>28.06666666666667</v>
      </c>
      <c r="R155" s="56">
        <v>28.666666666666671</v>
      </c>
      <c r="S155" s="56">
        <v>27.466666666666669</v>
      </c>
      <c r="T155" s="56">
        <v>26.8</v>
      </c>
      <c r="U155" s="56">
        <v>28.466666666666669</v>
      </c>
      <c r="V155" s="56">
        <v>26.533333333333331</v>
      </c>
      <c r="W155" s="56">
        <v>25.6</v>
      </c>
      <c r="X155" s="56">
        <v>28.8</v>
      </c>
      <c r="Y155" s="56">
        <v>29.733333333333331</v>
      </c>
      <c r="Z155" s="56">
        <v>26.666666666666671</v>
      </c>
      <c r="AA155" s="56">
        <v>27</v>
      </c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17</v>
      </c>
      <c r="AQ155" s="71">
        <f t="shared" si="7"/>
        <v>27.6</v>
      </c>
      <c r="AR155" s="71">
        <f>IFERROR(VLOOKUP(A155,Climatologia_TMED!A:U,9+$E$2,FALSE),"")</f>
        <v>27.327364142600121</v>
      </c>
      <c r="AS155" s="71">
        <f t="shared" si="8"/>
        <v>0.27263585739988017</v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23.877657679608699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>
        <v>27.333333333333329</v>
      </c>
      <c r="L157" s="56"/>
      <c r="M157" s="56">
        <v>27.733333333333331</v>
      </c>
      <c r="N157" s="56"/>
      <c r="O157" s="56">
        <v>28.86666666666666</v>
      </c>
      <c r="P157" s="56">
        <v>28.133333333333329</v>
      </c>
      <c r="Q157" s="56"/>
      <c r="R157" s="56"/>
      <c r="S157" s="56">
        <v>27.333333333333329</v>
      </c>
      <c r="T157" s="56">
        <v>27.4</v>
      </c>
      <c r="U157" s="56">
        <v>29.06666666666667</v>
      </c>
      <c r="V157" s="56">
        <v>27.066666666666659</v>
      </c>
      <c r="W157" s="56">
        <v>25.466666666666669</v>
      </c>
      <c r="X157" s="56">
        <v>28.6</v>
      </c>
      <c r="Y157" s="56">
        <v>29.266666666666669</v>
      </c>
      <c r="Z157" s="56">
        <v>28.266666666666669</v>
      </c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12</v>
      </c>
      <c r="AQ157" s="71" t="str">
        <f t="shared" si="7"/>
        <v/>
      </c>
      <c r="AR157" s="71">
        <f>IFERROR(VLOOKUP(A157,Climatologia_TMED!A:U,9+$E$2,FALSE),"")</f>
        <v>26.98420492870563</v>
      </c>
      <c r="AS157" s="71" t="str">
        <f t="shared" si="8"/>
        <v/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30</v>
      </c>
      <c r="L158" s="56">
        <v>28.86666666666666</v>
      </c>
      <c r="M158" s="56">
        <v>28</v>
      </c>
      <c r="N158" s="56">
        <v>30.06666666666667</v>
      </c>
      <c r="O158" s="56">
        <v>31</v>
      </c>
      <c r="P158" s="56">
        <v>30</v>
      </c>
      <c r="Q158" s="56">
        <v>30.6</v>
      </c>
      <c r="R158" s="56"/>
      <c r="S158" s="56"/>
      <c r="T158" s="56"/>
      <c r="U158" s="56">
        <v>29.86666666666666</v>
      </c>
      <c r="V158" s="56">
        <v>26.666666666666671</v>
      </c>
      <c r="W158" s="56">
        <v>26.466666666666669</v>
      </c>
      <c r="X158" s="56">
        <v>29.466666666666669</v>
      </c>
      <c r="Y158" s="56">
        <v>29.8</v>
      </c>
      <c r="Z158" s="56">
        <v>30.333333333333329</v>
      </c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13</v>
      </c>
      <c r="AQ158" s="71" t="str">
        <f t="shared" si="7"/>
        <v/>
      </c>
      <c r="AR158" s="71">
        <f>IFERROR(VLOOKUP(A158,Climatologia_TMED!A:U,9+$E$2,FALSE),"")</f>
        <v>27.282952445666279</v>
      </c>
      <c r="AS158" s="71" t="str">
        <f t="shared" si="8"/>
        <v/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>
        <v>21.733333333333331</v>
      </c>
      <c r="L159" s="56">
        <v>20.266666666666669</v>
      </c>
      <c r="M159" s="56">
        <v>20.93333333333333</v>
      </c>
      <c r="N159" s="56">
        <v>21.06666666666667</v>
      </c>
      <c r="O159" s="56">
        <v>21.06666666666667</v>
      </c>
      <c r="P159" s="56">
        <v>20.866666666666671</v>
      </c>
      <c r="Q159" s="56">
        <v>20.466666666666669</v>
      </c>
      <c r="R159" s="56">
        <v>19.600000000000001</v>
      </c>
      <c r="S159" s="56">
        <v>19.93333333333333</v>
      </c>
      <c r="T159" s="56">
        <v>19.8</v>
      </c>
      <c r="U159" s="56">
        <v>20.399999999999999</v>
      </c>
      <c r="V159" s="56">
        <v>18.866666666666671</v>
      </c>
      <c r="W159" s="56">
        <v>18.399999999999999</v>
      </c>
      <c r="X159" s="56">
        <v>21.333333333333329</v>
      </c>
      <c r="Y159" s="56">
        <v>21.2</v>
      </c>
      <c r="Z159" s="56">
        <v>21.266666666666669</v>
      </c>
      <c r="AA159" s="56">
        <v>19.93333333333333</v>
      </c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17</v>
      </c>
      <c r="AQ159" s="71">
        <f t="shared" si="7"/>
        <v>20.419607843137253</v>
      </c>
      <c r="AR159" s="71">
        <f>IFERROR(VLOOKUP(A159,Climatologia_TMED!A:U,9+$E$2,FALSE),"")</f>
        <v>18.50720835851228</v>
      </c>
      <c r="AS159" s="71">
        <f t="shared" si="8"/>
        <v>1.9123994846249737</v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28.13333333333334</v>
      </c>
      <c r="L160" s="56">
        <v>27.733333333333331</v>
      </c>
      <c r="M160" s="56">
        <v>26</v>
      </c>
      <c r="N160" s="56">
        <v>28.4</v>
      </c>
      <c r="O160" s="56">
        <v>28.13333333333334</v>
      </c>
      <c r="P160" s="56">
        <v>26.733333333333331</v>
      </c>
      <c r="Q160" s="56">
        <v>27.533333333333331</v>
      </c>
      <c r="R160" s="56">
        <v>27.666666666666671</v>
      </c>
      <c r="S160" s="56">
        <v>27.066666666666659</v>
      </c>
      <c r="T160" s="56">
        <v>26.533333333333331</v>
      </c>
      <c r="U160" s="56"/>
      <c r="V160" s="56">
        <v>25</v>
      </c>
      <c r="W160" s="56">
        <v>24.4</v>
      </c>
      <c r="X160" s="56">
        <v>27</v>
      </c>
      <c r="Y160" s="56">
        <v>27.266666666666669</v>
      </c>
      <c r="Z160" s="56">
        <v>27.466666666666669</v>
      </c>
      <c r="AA160" s="56">
        <v>27.533333333333331</v>
      </c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16</v>
      </c>
      <c r="AQ160" s="71">
        <f t="shared" si="7"/>
        <v>27.037500000000001</v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0</v>
      </c>
      <c r="AQ161" s="71" t="str">
        <f t="shared" si="7"/>
        <v/>
      </c>
      <c r="AR161" s="71">
        <f>IFERROR(VLOOKUP(A161,Climatologia_TMED!A:U,9+$E$2,FALSE),"")</f>
        <v>17.144719156195411</v>
      </c>
      <c r="AS161" s="71" t="str">
        <f t="shared" si="8"/>
        <v/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28.4</v>
      </c>
      <c r="L162" s="56">
        <v>27.8</v>
      </c>
      <c r="M162" s="56">
        <v>27.266666666666669</v>
      </c>
      <c r="N162" s="56">
        <v>28.733333333333331</v>
      </c>
      <c r="O162" s="56">
        <v>29.13333333333334</v>
      </c>
      <c r="P162" s="56">
        <v>27.86666666666666</v>
      </c>
      <c r="Q162" s="56">
        <v>28.6</v>
      </c>
      <c r="R162" s="56">
        <v>29.13333333333334</v>
      </c>
      <c r="S162" s="56">
        <v>28.333333333333329</v>
      </c>
      <c r="T162" s="56">
        <v>28</v>
      </c>
      <c r="U162" s="56">
        <v>29</v>
      </c>
      <c r="V162" s="56">
        <v>25.866666666666671</v>
      </c>
      <c r="W162" s="56">
        <v>25.933333333333341</v>
      </c>
      <c r="X162" s="56">
        <v>28.466666666666669</v>
      </c>
      <c r="Y162" s="56">
        <v>29.333333333333329</v>
      </c>
      <c r="Z162" s="56"/>
      <c r="AA162" s="56">
        <v>28.666666666666671</v>
      </c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16</v>
      </c>
      <c r="AQ162" s="71">
        <f t="shared" si="7"/>
        <v>28.158333333333331</v>
      </c>
      <c r="AR162" s="71">
        <f>IFERROR(VLOOKUP(A162,Climatologia_TMED!A:U,9+$E$2,FALSE),"")</f>
        <v>27.840201618906349</v>
      </c>
      <c r="AS162" s="71">
        <f t="shared" si="8"/>
        <v>0.31813171442698263</v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20.666666666666671</v>
      </c>
      <c r="L163" s="56">
        <v>20.6</v>
      </c>
      <c r="M163" s="56">
        <v>21.266666666666669</v>
      </c>
      <c r="N163" s="56">
        <v>21.733333333333331</v>
      </c>
      <c r="O163" s="56">
        <v>21.86666666666666</v>
      </c>
      <c r="P163" s="56">
        <v>21.733333333333331</v>
      </c>
      <c r="Q163" s="56">
        <v>21.4</v>
      </c>
      <c r="R163" s="56">
        <v>21</v>
      </c>
      <c r="S163" s="56">
        <v>20.8</v>
      </c>
      <c r="T163" s="56">
        <v>21.466666666666669</v>
      </c>
      <c r="U163" s="56">
        <v>21.93333333333333</v>
      </c>
      <c r="V163" s="56">
        <v>20.733333333333331</v>
      </c>
      <c r="W163" s="56">
        <v>20</v>
      </c>
      <c r="X163" s="56">
        <v>21.6</v>
      </c>
      <c r="Y163" s="56">
        <v>21.86666666666666</v>
      </c>
      <c r="Z163" s="56">
        <v>22</v>
      </c>
      <c r="AA163" s="56">
        <v>21.333333333333329</v>
      </c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17</v>
      </c>
      <c r="AQ163" s="71">
        <f t="shared" si="7"/>
        <v>21.294117647058826</v>
      </c>
      <c r="AR163" s="71">
        <f>IFERROR(VLOOKUP(A163,Climatologia_TMED!A:U,9+$E$2,FALSE),"")</f>
        <v>21.150314253896148</v>
      </c>
      <c r="AS163" s="71">
        <f t="shared" si="8"/>
        <v>0.14380339316267765</v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24.85</v>
      </c>
      <c r="L164" s="56">
        <v>25.25</v>
      </c>
      <c r="M164" s="56">
        <v>24.6</v>
      </c>
      <c r="N164" s="56">
        <v>25.35</v>
      </c>
      <c r="O164" s="56">
        <v>25.45</v>
      </c>
      <c r="P164" s="56">
        <v>26.05</v>
      </c>
      <c r="Q164" s="56">
        <v>25.4</v>
      </c>
      <c r="R164" s="56">
        <v>24.9</v>
      </c>
      <c r="S164" s="56">
        <v>24.9</v>
      </c>
      <c r="T164" s="56">
        <v>24.3</v>
      </c>
      <c r="U164" s="56">
        <v>25.1</v>
      </c>
      <c r="V164" s="56">
        <v>24.25</v>
      </c>
      <c r="W164" s="56">
        <v>23.55</v>
      </c>
      <c r="X164" s="56">
        <v>25.5</v>
      </c>
      <c r="Y164" s="56">
        <v>25.85</v>
      </c>
      <c r="Z164" s="56">
        <v>26.15</v>
      </c>
      <c r="AA164" s="56">
        <v>24.95</v>
      </c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17</v>
      </c>
      <c r="AQ164" s="71">
        <f t="shared" si="7"/>
        <v>25.082352941176474</v>
      </c>
      <c r="AR164" s="71">
        <f>IFERROR(VLOOKUP(A164,Climatologia_TMED!A:U,9+$E$2,FALSE),"")</f>
        <v>23.812330659664671</v>
      </c>
      <c r="AS164" s="71">
        <f t="shared" si="8"/>
        <v>1.2700222815118032</v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19.065929567791962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16.333333333333329</v>
      </c>
      <c r="L166" s="56">
        <v>15.4</v>
      </c>
      <c r="M166" s="56">
        <v>14.46666666666667</v>
      </c>
      <c r="N166" s="56">
        <v>15.266666666666669</v>
      </c>
      <c r="O166" s="56">
        <v>15.6</v>
      </c>
      <c r="P166" s="56">
        <v>14.4</v>
      </c>
      <c r="Q166" s="56">
        <v>13.133333333333329</v>
      </c>
      <c r="R166" s="56">
        <v>13.133333333333329</v>
      </c>
      <c r="S166" s="56">
        <v>15.6</v>
      </c>
      <c r="T166" s="56">
        <v>13.733333333333331</v>
      </c>
      <c r="U166" s="56">
        <v>14.6</v>
      </c>
      <c r="V166" s="56">
        <v>13.2</v>
      </c>
      <c r="W166" s="56">
        <v>12.33333333333333</v>
      </c>
      <c r="X166" s="56">
        <v>14.93333333333333</v>
      </c>
      <c r="Y166" s="56">
        <v>17</v>
      </c>
      <c r="Z166" s="56">
        <v>16.13333333333334</v>
      </c>
      <c r="AA166" s="56">
        <v>14.6</v>
      </c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17</v>
      </c>
      <c r="AQ166" s="71">
        <f t="shared" si="7"/>
        <v>14.698039215686274</v>
      </c>
      <c r="AR166" s="71">
        <f>IFERROR(VLOOKUP(A166,Climatologia_TMED!A:U,9+$E$2,FALSE),"")</f>
        <v>13.44716277345195</v>
      </c>
      <c r="AS166" s="71">
        <f t="shared" si="8"/>
        <v>1.2508764422343237</v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20.466666666666669</v>
      </c>
      <c r="L167" s="56">
        <v>19.333333333333329</v>
      </c>
      <c r="M167" s="56">
        <v>19.2</v>
      </c>
      <c r="N167" s="56">
        <v>20.266666666666669</v>
      </c>
      <c r="O167" s="56">
        <v>21.666666666666671</v>
      </c>
      <c r="P167" s="56">
        <v>20.666666666666671</v>
      </c>
      <c r="Q167" s="56">
        <v>20.466666666666669</v>
      </c>
      <c r="R167" s="56">
        <v>19.333333333333329</v>
      </c>
      <c r="S167" s="56">
        <v>19.86666666666666</v>
      </c>
      <c r="T167" s="56">
        <v>20.133333333333329</v>
      </c>
      <c r="U167" s="56">
        <v>21</v>
      </c>
      <c r="V167" s="56">
        <v>18.733333333333331</v>
      </c>
      <c r="W167" s="56">
        <v>17.93333333333333</v>
      </c>
      <c r="X167" s="56">
        <v>20.399999999999999</v>
      </c>
      <c r="Y167" s="56">
        <v>21.533333333333331</v>
      </c>
      <c r="Z167" s="56">
        <v>20.8</v>
      </c>
      <c r="AA167" s="56">
        <v>19.866666666666671</v>
      </c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17</v>
      </c>
      <c r="AQ167" s="71">
        <f t="shared" si="7"/>
        <v>20.098039215686271</v>
      </c>
      <c r="AR167" s="71">
        <f>IFERROR(VLOOKUP(A167,Climatologia_TMED!A:U,9+$E$2,FALSE),"")</f>
        <v>18.685052168105109</v>
      </c>
      <c r="AS167" s="71">
        <f t="shared" si="8"/>
        <v>1.4129870475811614</v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28.1</v>
      </c>
      <c r="L168" s="56">
        <v>27.65</v>
      </c>
      <c r="M168" s="56">
        <v>27.7</v>
      </c>
      <c r="N168" s="56">
        <v>27.45</v>
      </c>
      <c r="O168" s="56">
        <v>26.9</v>
      </c>
      <c r="P168" s="56">
        <v>27.25</v>
      </c>
      <c r="Q168" s="56">
        <v>26.25</v>
      </c>
      <c r="R168" s="56">
        <v>27.05</v>
      </c>
      <c r="S168" s="56">
        <v>26.4</v>
      </c>
      <c r="T168" s="56">
        <v>26.75</v>
      </c>
      <c r="U168" s="56">
        <v>28.7</v>
      </c>
      <c r="V168" s="56">
        <v>25</v>
      </c>
      <c r="W168" s="56">
        <v>26.6</v>
      </c>
      <c r="X168" s="56">
        <v>27.9</v>
      </c>
      <c r="Y168" s="56">
        <v>29.2</v>
      </c>
      <c r="Z168" s="56">
        <v>28.55</v>
      </c>
      <c r="AA168" s="56">
        <v>27.7</v>
      </c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17</v>
      </c>
      <c r="AQ168" s="71">
        <f t="shared" si="7"/>
        <v>27.361764705882351</v>
      </c>
      <c r="AR168" s="71">
        <f>IFERROR(VLOOKUP(A168,Climatologia_TMED!A:U,9+$E$2,FALSE),"")</f>
        <v>25.68526828154393</v>
      </c>
      <c r="AS168" s="71">
        <f t="shared" si="8"/>
        <v>1.6764964243384206</v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10.85</v>
      </c>
      <c r="L169" s="56">
        <v>10.3</v>
      </c>
      <c r="M169" s="56">
        <v>9.3999999999999986</v>
      </c>
      <c r="N169" s="56">
        <v>11.55</v>
      </c>
      <c r="O169" s="56">
        <v>11.15</v>
      </c>
      <c r="P169" s="56">
        <v>11.75</v>
      </c>
      <c r="Q169" s="56">
        <v>11.55</v>
      </c>
      <c r="R169" s="56">
        <v>10.050000000000001</v>
      </c>
      <c r="S169" s="56">
        <v>10.9</v>
      </c>
      <c r="T169" s="56">
        <v>10.4</v>
      </c>
      <c r="U169" s="56">
        <v>10.3</v>
      </c>
      <c r="V169" s="56">
        <v>9.1</v>
      </c>
      <c r="W169" s="56">
        <v>8.9499999999999993</v>
      </c>
      <c r="X169" s="56">
        <v>10.55</v>
      </c>
      <c r="Y169" s="56">
        <v>11.7</v>
      </c>
      <c r="Z169" s="56">
        <v>10.5</v>
      </c>
      <c r="AA169" s="56">
        <v>11.25</v>
      </c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17</v>
      </c>
      <c r="AQ169" s="71">
        <f t="shared" si="7"/>
        <v>10.602941176470589</v>
      </c>
      <c r="AR169" s="71">
        <f>IFERROR(VLOOKUP(A169,Climatologia_TMED!A:U,9+$E$2,FALSE),"")</f>
        <v>9.1783728479351918</v>
      </c>
      <c r="AS169" s="71">
        <f t="shared" si="8"/>
        <v>1.4245683285353969</v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>
        <v>26.733333333333331</v>
      </c>
      <c r="L170" s="56">
        <v>24.533333333333331</v>
      </c>
      <c r="M170" s="56">
        <v>26.333333333333329</v>
      </c>
      <c r="N170" s="56">
        <v>25.6</v>
      </c>
      <c r="O170" s="56">
        <v>27.466666666666669</v>
      </c>
      <c r="P170" s="56">
        <v>27.8</v>
      </c>
      <c r="Q170" s="56">
        <v>24.8</v>
      </c>
      <c r="R170" s="56">
        <v>26.866666666666671</v>
      </c>
      <c r="S170" s="56">
        <v>26.13333333333334</v>
      </c>
      <c r="T170" s="56"/>
      <c r="U170" s="56"/>
      <c r="V170" s="56"/>
      <c r="W170" s="56"/>
      <c r="X170" s="56">
        <v>26.266666666666669</v>
      </c>
      <c r="Y170" s="56">
        <v>27.06666666666667</v>
      </c>
      <c r="Z170" s="56">
        <v>28.06666666666667</v>
      </c>
      <c r="AA170" s="56">
        <v>25.2</v>
      </c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13</v>
      </c>
      <c r="AQ170" s="71" t="str">
        <f t="shared" si="7"/>
        <v/>
      </c>
      <c r="AR170" s="71">
        <f>IFERROR(VLOOKUP(A170,Climatologia_TMED!A:U,9+$E$2,FALSE),"")</f>
        <v>25.172318057027329</v>
      </c>
      <c r="AS170" s="71" t="str">
        <f t="shared" si="8"/>
        <v/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19.06666666666667</v>
      </c>
      <c r="L171" s="56">
        <v>17.93333333333333</v>
      </c>
      <c r="M171" s="56">
        <v>19.399999999999999</v>
      </c>
      <c r="N171" s="56">
        <v>20.533333333333331</v>
      </c>
      <c r="O171" s="56">
        <v>20.8</v>
      </c>
      <c r="P171" s="56">
        <v>19.2</v>
      </c>
      <c r="Q171" s="56">
        <v>16.2</v>
      </c>
      <c r="R171" s="56">
        <v>17.466666666666669</v>
      </c>
      <c r="S171" s="56">
        <v>17.733333333333331</v>
      </c>
      <c r="T171" s="56"/>
      <c r="U171" s="56"/>
      <c r="V171" s="56"/>
      <c r="W171" s="56">
        <v>17.2</v>
      </c>
      <c r="X171" s="56">
        <v>18.533333333333331</v>
      </c>
      <c r="Y171" s="56">
        <v>23.333333333333329</v>
      </c>
      <c r="Z171" s="56">
        <v>20.06666666666667</v>
      </c>
      <c r="AA171" s="56">
        <v>20</v>
      </c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14</v>
      </c>
      <c r="AQ171" s="71" t="str">
        <f t="shared" si="7"/>
        <v/>
      </c>
      <c r="AR171" s="71">
        <f>IFERROR(VLOOKUP(A171,Climatologia_TMED!A:U,9+$E$2,FALSE),"")</f>
        <v>18.15503279216766</v>
      </c>
      <c r="AS171" s="71" t="str">
        <f t="shared" si="8"/>
        <v/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25.95</v>
      </c>
      <c r="L172" s="56">
        <v>24.6</v>
      </c>
      <c r="M172" s="56">
        <v>25</v>
      </c>
      <c r="N172" s="56">
        <v>25.95</v>
      </c>
      <c r="O172" s="56">
        <v>25.75</v>
      </c>
      <c r="P172" s="56">
        <v>25</v>
      </c>
      <c r="Q172" s="56">
        <v>24.9</v>
      </c>
      <c r="R172" s="56">
        <v>24.7</v>
      </c>
      <c r="S172" s="56">
        <v>25.55</v>
      </c>
      <c r="T172" s="56">
        <v>23.95</v>
      </c>
      <c r="U172" s="56">
        <v>25.3</v>
      </c>
      <c r="V172" s="56">
        <v>23.35</v>
      </c>
      <c r="W172" s="56">
        <v>24.1</v>
      </c>
      <c r="X172" s="56">
        <v>25.05</v>
      </c>
      <c r="Y172" s="56">
        <v>26.95</v>
      </c>
      <c r="Z172" s="56">
        <v>24.6</v>
      </c>
      <c r="AA172" s="56">
        <v>26.2</v>
      </c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17</v>
      </c>
      <c r="AQ172" s="71">
        <f t="shared" si="7"/>
        <v>25.111764705882354</v>
      </c>
      <c r="AR172" s="71">
        <f>IFERROR(VLOOKUP(A172,Climatologia_TMED!A:U,9+$E$2,FALSE),"")</f>
        <v>24.050262637051691</v>
      </c>
      <c r="AS172" s="71">
        <f t="shared" si="8"/>
        <v>1.0615020688306629</v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25</v>
      </c>
      <c r="L173" s="56">
        <v>22.45</v>
      </c>
      <c r="M173" s="56">
        <v>23.6</v>
      </c>
      <c r="N173" s="56">
        <v>23.1</v>
      </c>
      <c r="O173" s="56">
        <v>24.65</v>
      </c>
      <c r="P173" s="56">
        <v>23.85</v>
      </c>
      <c r="Q173" s="56">
        <v>24.3</v>
      </c>
      <c r="R173" s="56">
        <v>23.25</v>
      </c>
      <c r="S173" s="56">
        <v>24.95</v>
      </c>
      <c r="T173" s="56">
        <v>22.35</v>
      </c>
      <c r="U173" s="56">
        <v>23.75</v>
      </c>
      <c r="V173" s="56">
        <v>22.15</v>
      </c>
      <c r="W173" s="56">
        <v>23.6</v>
      </c>
      <c r="X173" s="56">
        <v>24.4</v>
      </c>
      <c r="Y173" s="56">
        <v>26.55</v>
      </c>
      <c r="Z173" s="56">
        <v>23.65</v>
      </c>
      <c r="AA173" s="56">
        <v>25.15</v>
      </c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17</v>
      </c>
      <c r="AQ173" s="71">
        <f t="shared" si="7"/>
        <v>23.92647058823529</v>
      </c>
      <c r="AR173" s="71">
        <f>IFERROR(VLOOKUP(A173,Climatologia_TMED!A:U,9+$E$2,FALSE),"")</f>
        <v>23.497853229879439</v>
      </c>
      <c r="AS173" s="71">
        <f t="shared" si="8"/>
        <v>0.4286173583558508</v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0</v>
      </c>
      <c r="AQ174" s="71" t="str">
        <f t="shared" si="7"/>
        <v/>
      </c>
      <c r="AR174" s="71">
        <f>IFERROR(VLOOKUP(A174,Climatologia_TMED!A:U,9+$E$2,FALSE),"")</f>
        <v>11.822213153512321</v>
      </c>
      <c r="AS174" s="71" t="str">
        <f t="shared" si="8"/>
        <v/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24.4</v>
      </c>
      <c r="L175" s="56">
        <v>24.333333333333329</v>
      </c>
      <c r="M175" s="56">
        <v>23.733333333333331</v>
      </c>
      <c r="N175" s="56">
        <v>24.733333333333331</v>
      </c>
      <c r="O175" s="56">
        <v>24.333333333333329</v>
      </c>
      <c r="P175" s="56">
        <v>23.333333333333329</v>
      </c>
      <c r="Q175" s="56">
        <v>24.666666666666671</v>
      </c>
      <c r="R175" s="56">
        <v>22.13333333333334</v>
      </c>
      <c r="S175" s="56">
        <v>24.6</v>
      </c>
      <c r="T175" s="56">
        <v>23</v>
      </c>
      <c r="U175" s="56">
        <v>21.666666666666671</v>
      </c>
      <c r="V175" s="56">
        <v>22.13333333333334</v>
      </c>
      <c r="W175" s="56">
        <v>23.6</v>
      </c>
      <c r="X175" s="56"/>
      <c r="Y175" s="56">
        <v>24.06666666666667</v>
      </c>
      <c r="Z175" s="56">
        <v>22.6</v>
      </c>
      <c r="AA175" s="56">
        <v>24.333333333333329</v>
      </c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16</v>
      </c>
      <c r="AQ175" s="71">
        <f t="shared" si="7"/>
        <v>23.604166666666664</v>
      </c>
      <c r="AR175" s="71">
        <f>IFERROR(VLOOKUP(A175,Climatologia_TMED!A:U,9+$E$2,FALSE),"")</f>
        <v>23.1422602484216</v>
      </c>
      <c r="AS175" s="71">
        <f t="shared" si="8"/>
        <v>0.46190641824506429</v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22.557266090755959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18.720496714456381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25.4</v>
      </c>
      <c r="L178" s="56">
        <v>23.8</v>
      </c>
      <c r="M178" s="56">
        <v>23.86666666666666</v>
      </c>
      <c r="N178" s="56">
        <v>24.533333333333331</v>
      </c>
      <c r="O178" s="56">
        <v>21.733333333333331</v>
      </c>
      <c r="P178" s="56">
        <v>24.266666666666669</v>
      </c>
      <c r="Q178" s="56">
        <v>25.2</v>
      </c>
      <c r="R178" s="56">
        <v>24.13333333333334</v>
      </c>
      <c r="S178" s="56">
        <v>25.533333333333331</v>
      </c>
      <c r="T178" s="56">
        <v>25.4</v>
      </c>
      <c r="U178" s="56">
        <v>23.866666666666671</v>
      </c>
      <c r="V178" s="56">
        <v>23.066666666666659</v>
      </c>
      <c r="W178" s="56">
        <v>23.733333333333331</v>
      </c>
      <c r="X178" s="56">
        <v>25.2</v>
      </c>
      <c r="Y178" s="56">
        <v>26.466666666666669</v>
      </c>
      <c r="Z178" s="56">
        <v>23.933333333333341</v>
      </c>
      <c r="AA178" s="56">
        <v>23.733333333333331</v>
      </c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17</v>
      </c>
      <c r="AQ178" s="71">
        <f t="shared" si="7"/>
        <v>24.345098039215689</v>
      </c>
      <c r="AR178" s="71">
        <f>IFERROR(VLOOKUP(A178,Climatologia_TMED!A:U,9+$E$2,FALSE),"")</f>
        <v>23.856486653552508</v>
      </c>
      <c r="AS178" s="71">
        <f t="shared" si="8"/>
        <v>0.48861138566318019</v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18.3</v>
      </c>
      <c r="L179" s="56">
        <v>17.55</v>
      </c>
      <c r="M179" s="56">
        <v>16</v>
      </c>
      <c r="N179" s="56">
        <v>18.55</v>
      </c>
      <c r="O179" s="56">
        <v>18.55</v>
      </c>
      <c r="P179" s="56">
        <v>17.350000000000001</v>
      </c>
      <c r="Q179" s="56">
        <v>17.850000000000001</v>
      </c>
      <c r="R179" s="56">
        <v>18.25</v>
      </c>
      <c r="S179" s="56">
        <v>18.850000000000001</v>
      </c>
      <c r="T179" s="56">
        <v>17.3</v>
      </c>
      <c r="U179" s="56">
        <v>18.399999999999999</v>
      </c>
      <c r="V179" s="56">
        <v>16.350000000000001</v>
      </c>
      <c r="W179" s="56">
        <v>16.2</v>
      </c>
      <c r="X179" s="56">
        <v>17.899999999999999</v>
      </c>
      <c r="Y179" s="56">
        <v>20</v>
      </c>
      <c r="Z179" s="56">
        <v>16.55</v>
      </c>
      <c r="AA179" s="56">
        <v>17.55</v>
      </c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17</v>
      </c>
      <c r="AQ179" s="71">
        <f t="shared" si="7"/>
        <v>17.735294117647058</v>
      </c>
      <c r="AR179" s="71">
        <f>IFERROR(VLOOKUP(A179,Climatologia_TMED!A:U,9+$E$2,FALSE),"")</f>
        <v>16.764946858821169</v>
      </c>
      <c r="AS179" s="71">
        <f t="shared" si="8"/>
        <v>0.97034725882588901</v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15.2649193548387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28.733333333333331</v>
      </c>
      <c r="L181" s="56">
        <v>28.266666666666669</v>
      </c>
      <c r="M181" s="56">
        <v>28.733333333333331</v>
      </c>
      <c r="N181" s="56">
        <v>29.266666666666669</v>
      </c>
      <c r="O181" s="56">
        <v>31.333333333333329</v>
      </c>
      <c r="P181" s="56">
        <v>30.733333333333331</v>
      </c>
      <c r="Q181" s="56">
        <v>28.4</v>
      </c>
      <c r="R181" s="56">
        <v>29.4</v>
      </c>
      <c r="S181" s="56">
        <v>27.866666666666671</v>
      </c>
      <c r="T181" s="56"/>
      <c r="U181" s="56"/>
      <c r="V181" s="56"/>
      <c r="W181" s="56">
        <v>27.333333333333329</v>
      </c>
      <c r="X181" s="56">
        <v>29.2</v>
      </c>
      <c r="Y181" s="56">
        <v>31.466666666666669</v>
      </c>
      <c r="Z181" s="56">
        <v>30.4</v>
      </c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13</v>
      </c>
      <c r="AQ181" s="71" t="str">
        <f t="shared" si="7"/>
        <v/>
      </c>
      <c r="AR181" s="71">
        <f>IFERROR(VLOOKUP(A181,Climatologia_TMED!A:U,9+$E$2,FALSE),"")</f>
        <v>28.166902300402729</v>
      </c>
      <c r="AS181" s="71" t="str">
        <f t="shared" si="8"/>
        <v/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28.10239113050358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27.976983870967722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27.13333333333334</v>
      </c>
      <c r="L184" s="56">
        <v>27.466666666666669</v>
      </c>
      <c r="M184" s="56">
        <v>26.466666666666669</v>
      </c>
      <c r="N184" s="56">
        <v>28.86666666666666</v>
      </c>
      <c r="O184" s="56">
        <v>28.733333333333331</v>
      </c>
      <c r="P184" s="56">
        <v>29.13333333333334</v>
      </c>
      <c r="Q184" s="56">
        <v>26.266666666666669</v>
      </c>
      <c r="R184" s="56">
        <v>26.466666666666669</v>
      </c>
      <c r="S184" s="56">
        <v>27.13333333333334</v>
      </c>
      <c r="T184" s="56">
        <v>25.533333333333331</v>
      </c>
      <c r="U184" s="56">
        <v>27.666666666666671</v>
      </c>
      <c r="V184" s="56">
        <v>25.733333333333331</v>
      </c>
      <c r="W184" s="56">
        <v>25.13333333333334</v>
      </c>
      <c r="X184" s="56">
        <v>27.333333333333329</v>
      </c>
      <c r="Y184" s="56">
        <v>29.266666666666669</v>
      </c>
      <c r="Z184" s="56">
        <v>28.4</v>
      </c>
      <c r="AA184" s="56">
        <v>28.933333333333341</v>
      </c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17</v>
      </c>
      <c r="AQ184" s="71">
        <f t="shared" si="7"/>
        <v>27.3921568627451</v>
      </c>
      <c r="AR184" s="71">
        <f>IFERROR(VLOOKUP(A184,Climatologia_TMED!A:U,9+$E$2,FALSE),"")</f>
        <v>26.16601419906257</v>
      </c>
      <c r="AS184" s="71">
        <f t="shared" si="8"/>
        <v>1.2261426636825306</v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27</v>
      </c>
      <c r="L185" s="56">
        <v>27.6</v>
      </c>
      <c r="M185" s="56">
        <v>26.333333333333329</v>
      </c>
      <c r="N185" s="56"/>
      <c r="O185" s="56">
        <v>29.533333333333331</v>
      </c>
      <c r="P185" s="56">
        <v>29.2</v>
      </c>
      <c r="Q185" s="56">
        <v>26.06666666666667</v>
      </c>
      <c r="R185" s="56">
        <v>26</v>
      </c>
      <c r="S185" s="56">
        <v>26.6</v>
      </c>
      <c r="T185" s="56">
        <v>25</v>
      </c>
      <c r="U185" s="56">
        <v>28.2</v>
      </c>
      <c r="V185" s="56">
        <v>26.8</v>
      </c>
      <c r="W185" s="56">
        <v>26.8</v>
      </c>
      <c r="X185" s="56">
        <v>27.6</v>
      </c>
      <c r="Y185" s="56">
        <v>28.8</v>
      </c>
      <c r="Z185" s="56">
        <v>27.333333333333329</v>
      </c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15</v>
      </c>
      <c r="AQ185" s="71">
        <f t="shared" si="7"/>
        <v>27.257777777777779</v>
      </c>
      <c r="AR185" s="71">
        <f>IFERROR(VLOOKUP(A185,Climatologia_TMED!A:U,9+$E$2,FALSE),"")</f>
        <v>27.314008040702969</v>
      </c>
      <c r="AS185" s="71">
        <f t="shared" si="8"/>
        <v>-5.6230262925190289E-2</v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28.176192062942871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24.93341060609438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16.8</v>
      </c>
      <c r="L188" s="56">
        <v>16.466666666666669</v>
      </c>
      <c r="M188" s="56">
        <v>17.266666666666669</v>
      </c>
      <c r="N188" s="56">
        <v>17.399999999999999</v>
      </c>
      <c r="O188" s="56">
        <v>18.06666666666667</v>
      </c>
      <c r="P188" s="56">
        <v>17.2</v>
      </c>
      <c r="Q188" s="56">
        <v>16.133333333333329</v>
      </c>
      <c r="R188" s="56">
        <v>17.06666666666667</v>
      </c>
      <c r="S188" s="56">
        <v>17.333333333333329</v>
      </c>
      <c r="T188" s="56">
        <v>15.8</v>
      </c>
      <c r="U188" s="56">
        <v>16.266666666666669</v>
      </c>
      <c r="V188" s="56">
        <v>15.66666666666667</v>
      </c>
      <c r="W188" s="56">
        <v>14.93333333333333</v>
      </c>
      <c r="X188" s="56">
        <v>17.2</v>
      </c>
      <c r="Y188" s="56">
        <v>19.06666666666667</v>
      </c>
      <c r="Z188" s="56">
        <v>17.333333333333329</v>
      </c>
      <c r="AA188" s="56">
        <v>17.466666666666669</v>
      </c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17</v>
      </c>
      <c r="AQ188" s="71">
        <f t="shared" si="7"/>
        <v>16.909803921568628</v>
      </c>
      <c r="AR188" s="71">
        <f>IFERROR(VLOOKUP(A188,Climatologia_TMED!A:U,9+$E$2,FALSE),"")</f>
        <v>15.632681192521719</v>
      </c>
      <c r="AS188" s="71">
        <f t="shared" si="8"/>
        <v>1.2771227290469085</v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28.733333333333331</v>
      </c>
      <c r="L189" s="56">
        <v>27.6</v>
      </c>
      <c r="M189" s="56">
        <v>28.533333333333331</v>
      </c>
      <c r="N189" s="56"/>
      <c r="O189" s="56">
        <v>31.13333333333334</v>
      </c>
      <c r="P189" s="56"/>
      <c r="Q189" s="56"/>
      <c r="R189" s="56">
        <v>29.06666666666667</v>
      </c>
      <c r="S189" s="56">
        <v>28</v>
      </c>
      <c r="T189" s="56"/>
      <c r="U189" s="56">
        <v>30</v>
      </c>
      <c r="V189" s="56">
        <v>25.4</v>
      </c>
      <c r="W189" s="56">
        <v>26.333333333333329</v>
      </c>
      <c r="X189" s="56">
        <v>30.13333333333334</v>
      </c>
      <c r="Y189" s="56"/>
      <c r="Z189" s="56">
        <v>29.666666666666671</v>
      </c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11</v>
      </c>
      <c r="AQ189" s="71" t="str">
        <f t="shared" si="7"/>
        <v/>
      </c>
      <c r="AR189" s="71">
        <f>IFERROR(VLOOKUP(A189,Climatologia_TMED!A:U,9+$E$2,FALSE),"")</f>
        <v>28.14153599027232</v>
      </c>
      <c r="AS189" s="71" t="str">
        <f t="shared" si="8"/>
        <v/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28.13333333333334</v>
      </c>
      <c r="L190" s="56">
        <v>27.8</v>
      </c>
      <c r="M190" s="56">
        <v>26.93333333333333</v>
      </c>
      <c r="N190" s="56">
        <v>28.666666666666671</v>
      </c>
      <c r="O190" s="56">
        <v>29.4</v>
      </c>
      <c r="P190" s="56">
        <v>27.666666666666671</v>
      </c>
      <c r="Q190" s="56">
        <v>26.666666666666671</v>
      </c>
      <c r="R190" s="56">
        <v>28</v>
      </c>
      <c r="S190" s="56">
        <v>27.333333333333329</v>
      </c>
      <c r="T190" s="56">
        <v>27</v>
      </c>
      <c r="U190" s="56">
        <v>29.066666666666659</v>
      </c>
      <c r="V190" s="56">
        <v>26.13333333333334</v>
      </c>
      <c r="W190" s="56">
        <v>25.666666666666671</v>
      </c>
      <c r="X190" s="56">
        <v>29.266666666666669</v>
      </c>
      <c r="Y190" s="56">
        <v>30.93333333333333</v>
      </c>
      <c r="Z190" s="56">
        <v>29.6</v>
      </c>
      <c r="AA190" s="56">
        <v>29.93333333333333</v>
      </c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17</v>
      </c>
      <c r="AQ190" s="71">
        <f t="shared" si="7"/>
        <v>28.129411764705885</v>
      </c>
      <c r="AR190" s="71">
        <f>IFERROR(VLOOKUP(A190,Climatologia_TMED!A:U,9+$E$2,FALSE),"")</f>
        <v>28.021983889303101</v>
      </c>
      <c r="AS190" s="71">
        <f t="shared" si="8"/>
        <v>0.10742787540278442</v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18.75</v>
      </c>
      <c r="L191" s="56">
        <v>17.649999999999999</v>
      </c>
      <c r="M191" s="56">
        <v>17.7</v>
      </c>
      <c r="N191" s="56">
        <v>18.600000000000001</v>
      </c>
      <c r="O191" s="56">
        <v>19.2</v>
      </c>
      <c r="P191" s="56">
        <v>18.649999999999999</v>
      </c>
      <c r="Q191" s="56">
        <v>17.75</v>
      </c>
      <c r="R191" s="56">
        <v>18.55</v>
      </c>
      <c r="S191" s="56">
        <v>18.7</v>
      </c>
      <c r="T191" s="56">
        <v>17.5</v>
      </c>
      <c r="U191" s="56"/>
      <c r="V191" s="56"/>
      <c r="W191" s="56">
        <v>16.850000000000001</v>
      </c>
      <c r="X191" s="56">
        <v>18.05</v>
      </c>
      <c r="Y191" s="56"/>
      <c r="Z191" s="56">
        <v>18.75</v>
      </c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13</v>
      </c>
      <c r="AQ191" s="71" t="str">
        <f t="shared" si="7"/>
        <v/>
      </c>
      <c r="AR191" s="71">
        <f>IFERROR(VLOOKUP(A191,Climatologia_TMED!A:U,9+$E$2,FALSE),"")</f>
        <v>17.031723004984951</v>
      </c>
      <c r="AS191" s="71" t="str">
        <f t="shared" si="8"/>
        <v/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25.533333333333331</v>
      </c>
      <c r="L192" s="56">
        <v>25.266666666666669</v>
      </c>
      <c r="M192" s="56">
        <v>24.333333333333329</v>
      </c>
      <c r="N192" s="56">
        <v>26.266666666666669</v>
      </c>
      <c r="O192" s="56">
        <v>26.6</v>
      </c>
      <c r="P192" s="56">
        <v>25.466666666666669</v>
      </c>
      <c r="Q192" s="56">
        <v>25.266666666666669</v>
      </c>
      <c r="R192" s="56">
        <v>24.6</v>
      </c>
      <c r="S192" s="56">
        <v>24.466666666666669</v>
      </c>
      <c r="T192" s="56">
        <v>24.8</v>
      </c>
      <c r="U192" s="56">
        <v>25.86666666666666</v>
      </c>
      <c r="V192" s="56">
        <v>23.533333333333331</v>
      </c>
      <c r="W192" s="56">
        <v>23.666666666666671</v>
      </c>
      <c r="X192" s="56">
        <v>25.86666666666666</v>
      </c>
      <c r="Y192" s="56">
        <v>26.266666666666669</v>
      </c>
      <c r="Z192" s="56">
        <v>26.8</v>
      </c>
      <c r="AA192" s="56">
        <v>26.4</v>
      </c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17</v>
      </c>
      <c r="AQ192" s="71">
        <f t="shared" si="7"/>
        <v>25.352941176470587</v>
      </c>
      <c r="AR192" s="71">
        <f>IFERROR(VLOOKUP(A192,Climatologia_TMED!A:U,9+$E$2,FALSE),"")</f>
        <v>24.47218981595962</v>
      </c>
      <c r="AS192" s="71">
        <f t="shared" si="8"/>
        <v>0.88075136051096692</v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>
        <v>26.7</v>
      </c>
      <c r="L193" s="56">
        <v>24.85</v>
      </c>
      <c r="M193" s="56"/>
      <c r="N193" s="56"/>
      <c r="O193" s="56"/>
      <c r="P193" s="56">
        <v>28.05</v>
      </c>
      <c r="Q193" s="56">
        <v>24.65</v>
      </c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4</v>
      </c>
      <c r="AQ193" s="71" t="str">
        <f t="shared" si="7"/>
        <v/>
      </c>
      <c r="AR193" s="71">
        <f>IFERROR(VLOOKUP(A193,Climatologia_TMED!A:U,9+$E$2,FALSE),"")</f>
        <v>25.911317793433021</v>
      </c>
      <c r="AS193" s="71" t="str">
        <f t="shared" si="8"/>
        <v/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20.466666666666669</v>
      </c>
      <c r="L194" s="56">
        <v>19.666666666666671</v>
      </c>
      <c r="M194" s="56">
        <v>20.666666666666671</v>
      </c>
      <c r="N194" s="56">
        <v>22.466666666666669</v>
      </c>
      <c r="O194" s="56">
        <v>21.733333333333331</v>
      </c>
      <c r="P194" s="56">
        <v>21.06666666666667</v>
      </c>
      <c r="Q194" s="56">
        <v>22.133333333333329</v>
      </c>
      <c r="R194" s="56">
        <v>21.13333333333334</v>
      </c>
      <c r="S194" s="56">
        <v>21.733333333333331</v>
      </c>
      <c r="T194" s="56">
        <v>19.666666666666671</v>
      </c>
      <c r="U194" s="56">
        <v>21.666666666666671</v>
      </c>
      <c r="V194" s="56">
        <v>21.8</v>
      </c>
      <c r="W194" s="56">
        <v>19.2</v>
      </c>
      <c r="X194" s="56">
        <v>21.466666666666669</v>
      </c>
      <c r="Y194" s="56">
        <v>22.4</v>
      </c>
      <c r="Z194" s="56">
        <v>21.666666666666671</v>
      </c>
      <c r="AA194" s="56">
        <v>22.333333333333329</v>
      </c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17</v>
      </c>
      <c r="AQ194" s="71">
        <f t="shared" si="7"/>
        <v>21.250980392156862</v>
      </c>
      <c r="AR194" s="71">
        <f>IFERROR(VLOOKUP(A194,Climatologia_TMED!A:U,9+$E$2,FALSE),"")</f>
        <v>21.212110372187279</v>
      </c>
      <c r="AS194" s="71">
        <f t="shared" si="8"/>
        <v>3.8870019969582614E-2</v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25.4</v>
      </c>
      <c r="L195" s="56">
        <v>24.466666666666669</v>
      </c>
      <c r="M195" s="56">
        <v>23.733333333333331</v>
      </c>
      <c r="N195" s="56">
        <v>26.333333333333329</v>
      </c>
      <c r="O195" s="56">
        <v>27.266666666666669</v>
      </c>
      <c r="P195" s="56">
        <v>24.466666666666669</v>
      </c>
      <c r="Q195" s="56">
        <v>24.93333333333333</v>
      </c>
      <c r="R195" s="56">
        <v>25.8</v>
      </c>
      <c r="S195" s="56">
        <v>26.2</v>
      </c>
      <c r="T195" s="56">
        <v>25.466666666666669</v>
      </c>
      <c r="U195" s="56"/>
      <c r="V195" s="56"/>
      <c r="W195" s="56"/>
      <c r="X195" s="56">
        <v>26.333333333333329</v>
      </c>
      <c r="Y195" s="56">
        <v>28.4</v>
      </c>
      <c r="Z195" s="56">
        <v>26.533333333333331</v>
      </c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13</v>
      </c>
      <c r="AQ195" s="71" t="str">
        <f t="shared" si="7"/>
        <v/>
      </c>
      <c r="AR195" s="71">
        <f>IFERROR(VLOOKUP(A195,Climatologia_TMED!A:U,9+$E$2,FALSE),"")</f>
        <v>24.663820600570912</v>
      </c>
      <c r="AS195" s="71" t="str">
        <f t="shared" si="8"/>
        <v/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20.766666666666669</v>
      </c>
      <c r="L196" s="56">
        <v>19.600000000000001</v>
      </c>
      <c r="M196" s="56">
        <v>19.733333333333331</v>
      </c>
      <c r="N196" s="56">
        <v>19.8</v>
      </c>
      <c r="O196" s="56">
        <v>21.6</v>
      </c>
      <c r="P196" s="56">
        <v>20</v>
      </c>
      <c r="Q196" s="56">
        <v>20.733333333333331</v>
      </c>
      <c r="R196" s="56">
        <v>20.866666666666671</v>
      </c>
      <c r="S196" s="56">
        <v>20.8</v>
      </c>
      <c r="T196" s="56">
        <v>20.399999999999999</v>
      </c>
      <c r="U196" s="56"/>
      <c r="V196" s="56"/>
      <c r="W196" s="56">
        <v>18.266666666666669</v>
      </c>
      <c r="X196" s="56">
        <v>20.466666666666669</v>
      </c>
      <c r="Y196" s="56">
        <v>21.86666666666666</v>
      </c>
      <c r="Z196" s="56">
        <v>20.466666666666669</v>
      </c>
      <c r="AA196" s="56">
        <v>20.866666666666671</v>
      </c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15</v>
      </c>
      <c r="AQ196" s="71">
        <f t="shared" si="7"/>
        <v>20.415555555555557</v>
      </c>
      <c r="AR196" s="71">
        <f>IFERROR(VLOOKUP(A196,Climatologia_TMED!A:U,9+$E$2,FALSE),"")</f>
        <v>19.30020530053967</v>
      </c>
      <c r="AS196" s="71">
        <f t="shared" si="8"/>
        <v>1.1153502550158869</v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26</v>
      </c>
      <c r="L197" s="56">
        <v>24.13333333333334</v>
      </c>
      <c r="M197" s="56">
        <v>25.133333333333329</v>
      </c>
      <c r="N197" s="56">
        <v>26</v>
      </c>
      <c r="O197" s="56">
        <v>27.86666666666666</v>
      </c>
      <c r="P197" s="56">
        <v>27.13333333333334</v>
      </c>
      <c r="Q197" s="56">
        <v>25</v>
      </c>
      <c r="R197" s="56">
        <v>25.06666666666667</v>
      </c>
      <c r="S197" s="56">
        <v>27.13333333333334</v>
      </c>
      <c r="T197" s="56">
        <v>24.333333333333329</v>
      </c>
      <c r="U197" s="56">
        <v>25.533333333333331</v>
      </c>
      <c r="V197" s="56">
        <v>22</v>
      </c>
      <c r="W197" s="56">
        <v>23.2</v>
      </c>
      <c r="X197" s="56">
        <v>26.533333333333331</v>
      </c>
      <c r="Y197" s="56">
        <v>28.4</v>
      </c>
      <c r="Z197" s="56">
        <v>26.8</v>
      </c>
      <c r="AA197" s="56">
        <v>27.266666666666669</v>
      </c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17</v>
      </c>
      <c r="AQ197" s="71">
        <f t="shared" ref="AQ197:AQ260" si="10">IF(AP197&gt;14,AVERAGE(K197:AO197),"")</f>
        <v>25.737254901960778</v>
      </c>
      <c r="AR197" s="71">
        <f>IFERROR(VLOOKUP(A197,Climatologia_TMED!A:U,9+$E$2,FALSE),"")</f>
        <v>24.067391244533901</v>
      </c>
      <c r="AS197" s="71">
        <f t="shared" ref="AS197:AS260" si="11">IF(OR(AQ197="",AR197=""),"",IFERROR(AQ197-AR197,""))</f>
        <v>1.6698636574268768</v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22.1</v>
      </c>
      <c r="L198" s="56">
        <v>21</v>
      </c>
      <c r="M198" s="56">
        <v>22.2</v>
      </c>
      <c r="N198" s="56">
        <v>22.35</v>
      </c>
      <c r="O198" s="56">
        <v>24.4</v>
      </c>
      <c r="P198" s="56">
        <v>23.25</v>
      </c>
      <c r="Q198" s="56">
        <v>21.55</v>
      </c>
      <c r="R198" s="56">
        <v>20.6</v>
      </c>
      <c r="S198" s="56">
        <v>21.7</v>
      </c>
      <c r="T198" s="56">
        <v>20.05</v>
      </c>
      <c r="U198" s="56">
        <v>21.95</v>
      </c>
      <c r="V198" s="56">
        <v>20.149999999999999</v>
      </c>
      <c r="W198" s="56">
        <v>20.100000000000001</v>
      </c>
      <c r="X198" s="56">
        <v>21.85</v>
      </c>
      <c r="Y198" s="56">
        <v>23.25</v>
      </c>
      <c r="Z198" s="56">
        <v>22.65</v>
      </c>
      <c r="AA198" s="56">
        <v>21.75</v>
      </c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17</v>
      </c>
      <c r="AQ198" s="71">
        <f t="shared" si="10"/>
        <v>21.817647058823532</v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16.533333333333331</v>
      </c>
      <c r="L199" s="56">
        <v>16.666666666666671</v>
      </c>
      <c r="M199" s="56">
        <v>16.8</v>
      </c>
      <c r="N199" s="56">
        <v>17.06666666666667</v>
      </c>
      <c r="O199" s="56">
        <v>17.600000000000001</v>
      </c>
      <c r="P199" s="56">
        <v>17.533333333333331</v>
      </c>
      <c r="Q199" s="56">
        <v>16.533333333333331</v>
      </c>
      <c r="R199" s="56">
        <v>16.533333333333331</v>
      </c>
      <c r="S199" s="56">
        <v>17.399999999999999</v>
      </c>
      <c r="T199" s="56">
        <v>15.46666666666667</v>
      </c>
      <c r="U199" s="56">
        <v>15.66666666666667</v>
      </c>
      <c r="V199" s="56">
        <v>16.133333333333329</v>
      </c>
      <c r="W199" s="56">
        <v>16.133333333333329</v>
      </c>
      <c r="X199" s="56">
        <v>16.666666666666671</v>
      </c>
      <c r="Y199" s="56">
        <v>17.133333333333329</v>
      </c>
      <c r="Z199" s="56">
        <v>17.06666666666667</v>
      </c>
      <c r="AA199" s="56">
        <v>17</v>
      </c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17</v>
      </c>
      <c r="AQ199" s="71">
        <f t="shared" si="10"/>
        <v>16.701960784313723</v>
      </c>
      <c r="AR199" s="71">
        <f>IFERROR(VLOOKUP(A199,Climatologia_TMED!A:U,9+$E$2,FALSE),"")</f>
        <v>15.991572822061141</v>
      </c>
      <c r="AS199" s="71">
        <f t="shared" si="11"/>
        <v>0.71038796225258238</v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15.2</v>
      </c>
      <c r="L200" s="56">
        <v>15.85</v>
      </c>
      <c r="M200" s="56">
        <v>14.4</v>
      </c>
      <c r="N200" s="56">
        <v>15.15</v>
      </c>
      <c r="O200" s="56"/>
      <c r="P200" s="56">
        <v>15.45</v>
      </c>
      <c r="Q200" s="56">
        <v>14.25</v>
      </c>
      <c r="R200" s="56">
        <v>14.25</v>
      </c>
      <c r="S200" s="56">
        <v>16.100000000000001</v>
      </c>
      <c r="T200" s="56">
        <v>14.2</v>
      </c>
      <c r="U200" s="56">
        <v>15.95</v>
      </c>
      <c r="V200" s="56">
        <v>13.5</v>
      </c>
      <c r="W200" s="56">
        <v>14.3</v>
      </c>
      <c r="X200" s="56">
        <v>14.5</v>
      </c>
      <c r="Y200" s="56">
        <v>16.850000000000001</v>
      </c>
      <c r="Z200" s="56">
        <v>15.3</v>
      </c>
      <c r="AA200" s="56">
        <v>14.5</v>
      </c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16</v>
      </c>
      <c r="AQ200" s="71">
        <f t="shared" si="10"/>
        <v>14.984375</v>
      </c>
      <c r="AR200" s="71">
        <f>IFERROR(VLOOKUP(A200,Climatologia_TMED!A:U,9+$E$2,FALSE),"")</f>
        <v>13.379643694033749</v>
      </c>
      <c r="AS200" s="71">
        <f t="shared" si="11"/>
        <v>1.6047313059662507</v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26.35</v>
      </c>
      <c r="L201" s="56">
        <v>25.05</v>
      </c>
      <c r="M201" s="56">
        <v>26.6</v>
      </c>
      <c r="N201" s="56">
        <v>26.75</v>
      </c>
      <c r="O201" s="56">
        <v>28.35</v>
      </c>
      <c r="P201" s="56">
        <v>28.55</v>
      </c>
      <c r="Q201" s="56">
        <v>26.2</v>
      </c>
      <c r="R201" s="56">
        <v>26.15</v>
      </c>
      <c r="S201" s="56">
        <v>27.45</v>
      </c>
      <c r="T201" s="56">
        <v>24.2</v>
      </c>
      <c r="U201" s="56">
        <v>27.4</v>
      </c>
      <c r="V201" s="56">
        <v>24.75</v>
      </c>
      <c r="W201" s="56">
        <v>24.95</v>
      </c>
      <c r="X201" s="56">
        <v>26.55</v>
      </c>
      <c r="Y201" s="56">
        <v>28.7</v>
      </c>
      <c r="Z201" s="56">
        <v>26.95</v>
      </c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16</v>
      </c>
      <c r="AQ201" s="71">
        <f t="shared" si="10"/>
        <v>26.559374999999996</v>
      </c>
      <c r="AR201" s="71">
        <f>IFERROR(VLOOKUP(A201,Climatologia_TMED!A:U,9+$E$2,FALSE),"")</f>
        <v>25.410236323068471</v>
      </c>
      <c r="AS201" s="71">
        <f t="shared" si="11"/>
        <v>1.1491386769315248</v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15</v>
      </c>
      <c r="L202" s="56">
        <v>13.5</v>
      </c>
      <c r="M202" s="56">
        <v>13.5</v>
      </c>
      <c r="N202" s="56">
        <v>13.5</v>
      </c>
      <c r="O202" s="56">
        <v>14.85</v>
      </c>
      <c r="P202" s="56">
        <v>14.75</v>
      </c>
      <c r="Q202" s="56">
        <v>13.5</v>
      </c>
      <c r="R202" s="56">
        <v>13.8</v>
      </c>
      <c r="S202" s="56">
        <v>13.15</v>
      </c>
      <c r="T202" s="56">
        <v>14.15</v>
      </c>
      <c r="U202" s="56">
        <v>14.15</v>
      </c>
      <c r="V202" s="56">
        <v>14.25</v>
      </c>
      <c r="W202" s="56">
        <v>13.95</v>
      </c>
      <c r="X202" s="56">
        <v>13.1</v>
      </c>
      <c r="Y202" s="56">
        <v>14.85</v>
      </c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15</v>
      </c>
      <c r="AQ202" s="71">
        <f t="shared" si="10"/>
        <v>13.999999999999998</v>
      </c>
      <c r="AR202" s="71">
        <f>IFERROR(VLOOKUP(A202,Climatologia_TMED!A:U,9+$E$2,FALSE),"")</f>
        <v>13.321685479663159</v>
      </c>
      <c r="AS202" s="71">
        <f t="shared" si="11"/>
        <v>0.67831452033683881</v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15.53333333333333</v>
      </c>
      <c r="L203" s="56">
        <v>14.33333333333333</v>
      </c>
      <c r="M203" s="56">
        <v>14.266666666666669</v>
      </c>
      <c r="N203" s="56">
        <v>15.53333333333333</v>
      </c>
      <c r="O203" s="56">
        <v>15.46666666666667</v>
      </c>
      <c r="P203" s="56">
        <v>15.133333333333329</v>
      </c>
      <c r="Q203" s="56">
        <v>13.66666666666667</v>
      </c>
      <c r="R203" s="56">
        <v>14.066666666666659</v>
      </c>
      <c r="S203" s="56">
        <v>14.933333333333341</v>
      </c>
      <c r="T203" s="56">
        <v>15</v>
      </c>
      <c r="U203" s="56">
        <v>14.133333333333329</v>
      </c>
      <c r="V203" s="56">
        <v>14.33333333333333</v>
      </c>
      <c r="W203" s="56">
        <v>12.6</v>
      </c>
      <c r="X203" s="56">
        <v>14.66666666666667</v>
      </c>
      <c r="Y203" s="56">
        <v>15.8</v>
      </c>
      <c r="Z203" s="56">
        <v>14.866666666666671</v>
      </c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16</v>
      </c>
      <c r="AQ203" s="71">
        <f t="shared" si="10"/>
        <v>14.645833333333334</v>
      </c>
      <c r="AR203" s="71">
        <f>IFERROR(VLOOKUP(A203,Climatologia_TMED!A:U,9+$E$2,FALSE),"")</f>
        <v>12.34760616022419</v>
      </c>
      <c r="AS203" s="71">
        <f t="shared" si="11"/>
        <v>2.2982271731091437</v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0</v>
      </c>
      <c r="AQ204" s="71" t="str">
        <f t="shared" si="10"/>
        <v/>
      </c>
      <c r="AR204" s="71">
        <f>IFERROR(VLOOKUP(A204,Climatologia_TMED!A:U,9+$E$2,FALSE),"")</f>
        <v>12.743373324088489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14.95</v>
      </c>
      <c r="L205" s="56">
        <v>14.65</v>
      </c>
      <c r="M205" s="56">
        <v>15.8</v>
      </c>
      <c r="N205" s="56">
        <v>14.85</v>
      </c>
      <c r="O205" s="56">
        <v>16.600000000000001</v>
      </c>
      <c r="P205" s="56">
        <v>15.45</v>
      </c>
      <c r="Q205" s="56">
        <v>15.4</v>
      </c>
      <c r="R205" s="56">
        <v>15.85</v>
      </c>
      <c r="S205" s="56">
        <v>15.85</v>
      </c>
      <c r="T205" s="56">
        <v>14.5</v>
      </c>
      <c r="U205" s="56">
        <v>17.399999999999999</v>
      </c>
      <c r="V205" s="56">
        <v>14.8</v>
      </c>
      <c r="W205" s="56">
        <v>16.05</v>
      </c>
      <c r="X205" s="56">
        <v>15.65</v>
      </c>
      <c r="Y205" s="56">
        <v>15.45</v>
      </c>
      <c r="Z205" s="56">
        <v>14.1</v>
      </c>
      <c r="AA205" s="56">
        <v>15.55</v>
      </c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17</v>
      </c>
      <c r="AQ205" s="71">
        <f t="shared" si="10"/>
        <v>15.464705882352943</v>
      </c>
      <c r="AR205" s="71">
        <f>IFERROR(VLOOKUP(A205,Climatologia_TMED!A:U,9+$E$2,FALSE),"")</f>
        <v>14.246549125350921</v>
      </c>
      <c r="AS205" s="71">
        <f t="shared" si="11"/>
        <v>1.2181567570020224</v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14.35</v>
      </c>
      <c r="L206" s="56">
        <v>13.8</v>
      </c>
      <c r="M206" s="56">
        <v>13.35</v>
      </c>
      <c r="N206" s="56">
        <v>13.6</v>
      </c>
      <c r="O206" s="56"/>
      <c r="P206" s="56">
        <v>13.9</v>
      </c>
      <c r="Q206" s="56">
        <v>15.15</v>
      </c>
      <c r="R206" s="56">
        <v>13.95</v>
      </c>
      <c r="S206" s="56">
        <v>13.5</v>
      </c>
      <c r="T206" s="56">
        <v>15.15</v>
      </c>
      <c r="U206" s="56">
        <v>14.85</v>
      </c>
      <c r="V206" s="56">
        <v>13.05</v>
      </c>
      <c r="W206" s="56">
        <v>13.9</v>
      </c>
      <c r="X206" s="56">
        <v>14.95</v>
      </c>
      <c r="Y206" s="56">
        <v>15.65</v>
      </c>
      <c r="Z206" s="56">
        <v>14.2</v>
      </c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15</v>
      </c>
      <c r="AQ206" s="71">
        <f t="shared" si="10"/>
        <v>14.223333333333334</v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>
        <v>16.600000000000001</v>
      </c>
      <c r="L207" s="56">
        <v>15</v>
      </c>
      <c r="M207" s="56"/>
      <c r="N207" s="56"/>
      <c r="O207" s="56">
        <v>16.733333333333331</v>
      </c>
      <c r="P207" s="56">
        <v>16</v>
      </c>
      <c r="Q207" s="56">
        <v>14.866666666666671</v>
      </c>
      <c r="R207" s="56">
        <v>13.93333333333333</v>
      </c>
      <c r="S207" s="56">
        <v>16</v>
      </c>
      <c r="T207" s="56"/>
      <c r="U207" s="56"/>
      <c r="V207" s="56"/>
      <c r="W207" s="56">
        <v>15.53333333333333</v>
      </c>
      <c r="X207" s="56">
        <v>16.2</v>
      </c>
      <c r="Y207" s="56">
        <v>16.666666666666671</v>
      </c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10</v>
      </c>
      <c r="AQ207" s="71" t="str">
        <f t="shared" si="10"/>
        <v/>
      </c>
      <c r="AR207" s="71">
        <f>IFERROR(VLOOKUP(A207,Climatologia_TMED!A:U,9+$E$2,FALSE),"")</f>
        <v>13.76939164245368</v>
      </c>
      <c r="AS207" s="71" t="str">
        <f t="shared" si="11"/>
        <v/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16.3</v>
      </c>
      <c r="L208" s="56">
        <v>15.15</v>
      </c>
      <c r="M208" s="56">
        <v>15</v>
      </c>
      <c r="N208" s="56">
        <v>14.5</v>
      </c>
      <c r="O208" s="56">
        <v>17.399999999999999</v>
      </c>
      <c r="P208" s="56">
        <v>16.600000000000001</v>
      </c>
      <c r="Q208" s="56">
        <v>15.85</v>
      </c>
      <c r="R208" s="56"/>
      <c r="S208" s="56">
        <v>15.4</v>
      </c>
      <c r="T208" s="56">
        <v>14.95</v>
      </c>
      <c r="U208" s="56">
        <v>15.9</v>
      </c>
      <c r="V208" s="56">
        <v>13.95</v>
      </c>
      <c r="W208" s="56">
        <v>15.15</v>
      </c>
      <c r="X208" s="56">
        <v>15.25</v>
      </c>
      <c r="Y208" s="56">
        <v>15.5</v>
      </c>
      <c r="Z208" s="56">
        <v>14.55</v>
      </c>
      <c r="AA208" s="56">
        <v>15.2</v>
      </c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16</v>
      </c>
      <c r="AQ208" s="71">
        <f t="shared" si="10"/>
        <v>15.415624999999999</v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11.3</v>
      </c>
      <c r="L209" s="56">
        <v>11.4</v>
      </c>
      <c r="M209" s="56">
        <v>11.1</v>
      </c>
      <c r="N209" s="56">
        <v>10.6</v>
      </c>
      <c r="O209" s="56">
        <v>10.4</v>
      </c>
      <c r="P209" s="56">
        <v>10.9</v>
      </c>
      <c r="Q209" s="56">
        <v>11.45</v>
      </c>
      <c r="R209" s="56">
        <v>11.6</v>
      </c>
      <c r="S209" s="56">
        <v>11.2</v>
      </c>
      <c r="T209" s="56">
        <v>10.65</v>
      </c>
      <c r="U209" s="56">
        <v>10.55</v>
      </c>
      <c r="V209" s="56">
        <v>10.65</v>
      </c>
      <c r="W209" s="56">
        <v>11.35</v>
      </c>
      <c r="X209" s="56">
        <v>11.4</v>
      </c>
      <c r="Y209" s="56">
        <v>11.15</v>
      </c>
      <c r="Z209" s="56">
        <v>11.15</v>
      </c>
      <c r="AA209" s="56">
        <v>11.3</v>
      </c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17</v>
      </c>
      <c r="AQ209" s="71">
        <f t="shared" si="10"/>
        <v>11.067647058823532</v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18.899999999999999</v>
      </c>
      <c r="L210" s="56">
        <v>16.05</v>
      </c>
      <c r="M210" s="56"/>
      <c r="N210" s="56"/>
      <c r="O210" s="56">
        <v>17.350000000000001</v>
      </c>
      <c r="P210" s="56">
        <v>17.649999999999999</v>
      </c>
      <c r="Q210" s="56">
        <v>17.3</v>
      </c>
      <c r="R210" s="56">
        <v>16.75</v>
      </c>
      <c r="S210" s="56">
        <v>16.899999999999999</v>
      </c>
      <c r="T210" s="56">
        <v>16.25</v>
      </c>
      <c r="U210" s="56">
        <v>15.9</v>
      </c>
      <c r="V210" s="56">
        <v>14.5</v>
      </c>
      <c r="W210" s="56">
        <v>16.899999999999999</v>
      </c>
      <c r="X210" s="56">
        <v>15.3</v>
      </c>
      <c r="Y210" s="56">
        <v>17.45</v>
      </c>
      <c r="Z210" s="56">
        <v>16.350000000000001</v>
      </c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14</v>
      </c>
      <c r="AQ210" s="71" t="str">
        <f t="shared" si="10"/>
        <v/>
      </c>
      <c r="AR210" s="71">
        <f>IFERROR(VLOOKUP(A210,Climatologia_TMED!A:U,9+$E$2,FALSE),"")</f>
        <v>14.424177791772021</v>
      </c>
      <c r="AS210" s="71" t="str">
        <f t="shared" si="11"/>
        <v/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10.25</v>
      </c>
      <c r="L211" s="56">
        <v>8.9</v>
      </c>
      <c r="M211" s="56">
        <v>8.3999999999999986</v>
      </c>
      <c r="N211" s="56">
        <v>9.5</v>
      </c>
      <c r="O211" s="56">
        <v>10.5</v>
      </c>
      <c r="P211" s="56">
        <v>10.199999999999999</v>
      </c>
      <c r="Q211" s="56">
        <v>9.0500000000000007</v>
      </c>
      <c r="R211" s="56">
        <v>9.6999999999999993</v>
      </c>
      <c r="S211" s="56">
        <v>10.15</v>
      </c>
      <c r="T211" s="56">
        <v>10.199999999999999</v>
      </c>
      <c r="U211" s="56">
        <v>9.25</v>
      </c>
      <c r="V211" s="56">
        <v>8.5</v>
      </c>
      <c r="W211" s="56">
        <v>9.3000000000000007</v>
      </c>
      <c r="X211" s="56">
        <v>9.8000000000000007</v>
      </c>
      <c r="Y211" s="56">
        <v>10.199999999999999</v>
      </c>
      <c r="Z211" s="56">
        <v>9.35</v>
      </c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8">
        <f t="shared" si="9"/>
        <v>16</v>
      </c>
      <c r="AQ211" s="71">
        <f t="shared" si="10"/>
        <v>9.578125</v>
      </c>
      <c r="AR211" s="71">
        <f>IFERROR(VLOOKUP(A211,Climatologia_TMED!A:U,9+$E$2,FALSE),"")</f>
        <v>8.5279378065139184</v>
      </c>
      <c r="AS211" s="71">
        <f t="shared" si="11"/>
        <v>1.0501871934860816</v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29.75</v>
      </c>
      <c r="L212" s="56">
        <v>28.95</v>
      </c>
      <c r="M212" s="56">
        <v>28.65</v>
      </c>
      <c r="N212" s="56"/>
      <c r="O212" s="56"/>
      <c r="P212" s="56">
        <v>29.85</v>
      </c>
      <c r="Q212" s="56">
        <v>29.85</v>
      </c>
      <c r="R212" s="56">
        <v>28.85</v>
      </c>
      <c r="S212" s="56">
        <v>28.95</v>
      </c>
      <c r="T212" s="56">
        <v>29.2</v>
      </c>
      <c r="U212" s="56">
        <v>29.4</v>
      </c>
      <c r="V212" s="56">
        <v>29</v>
      </c>
      <c r="W212" s="56">
        <v>29.1</v>
      </c>
      <c r="X212" s="56">
        <v>28.25</v>
      </c>
      <c r="Y212" s="56">
        <v>28.35</v>
      </c>
      <c r="Z212" s="56">
        <v>28</v>
      </c>
      <c r="AA212" s="56">
        <v>27.85</v>
      </c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8">
        <f t="shared" si="9"/>
        <v>15</v>
      </c>
      <c r="AQ212" s="71">
        <f t="shared" si="10"/>
        <v>28.933333333333334</v>
      </c>
      <c r="AR212" s="71" t="str">
        <f>IFERROR(VLOOKUP(A212,Climatologia_TMED!A:U,9+$E$2,FALSE),"")</f>
        <v/>
      </c>
      <c r="AS212" s="71" t="str">
        <f t="shared" si="11"/>
        <v/>
      </c>
    </row>
  </sheetData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topLeftCell="C1" workbookViewId="0">
      <selection activeCell="Q28" sqref="Q1:Q1048576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2026-10-18T15:18:20Z</dcterms:modified>
</cp:coreProperties>
</file>